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puts" sheetId="1" r:id="rId5"/>
    <sheet state="visible" name="CONTROL_CENTER" sheetId="2" r:id="rId6"/>
    <sheet state="visible" name="Inputs Maite DE" sheetId="3" r:id="rId7"/>
    <sheet state="visible" name="Inputs Maite Nordics" sheetId="4" r:id="rId8"/>
    <sheet state="visible" name="VolumeFile_combined" sheetId="5" r:id="rId9"/>
    <sheet state="visible" name="VolumeFile_combined NEU" sheetId="6" r:id="rId10"/>
    <sheet state="hidden" name="Line_mapping" sheetId="7" r:id="rId11"/>
    <sheet state="visible" name="Rackfile_combined" sheetId="8" r:id="rId12"/>
    <sheet state="visible" name="SeparateFamily" sheetId="9" r:id="rId13"/>
    <sheet state="visible" name="Standard Copy and Paste" sheetId="10" r:id="rId14"/>
    <sheet state="visible" name="layout" sheetId="11" r:id="rId15"/>
    <sheet state="hidden" name="grouping_ingredients" sheetId="12" r:id="rId16"/>
    <sheet state="visible" name="HALO input" sheetId="13" r:id="rId17"/>
    <sheet state="visible" name="Level Constraints" sheetId="14" r:id="rId18"/>
    <sheet state="visible" name="Visualization Rackplan - DACH" sheetId="15" r:id="rId19"/>
    <sheet state="hidden" name="Parameters" sheetId="16" r:id="rId20"/>
    <sheet state="hidden" name="exportP2L_oldFormatForCheck" sheetId="17" r:id="rId21"/>
    <sheet state="hidden" name="Visualization Rackplan" sheetId="18" r:id="rId22"/>
    <sheet state="visible" name="Visualization Rackplan - Nordic" sheetId="19" r:id="rId23"/>
    <sheet state="visible" name="Stats Rackplan" sheetId="20" r:id="rId24"/>
    <sheet state="visible" name="Maitre Inputs DENO_Stamm" sheetId="21" r:id="rId25"/>
    <sheet state="visible" name="exportP2L" sheetId="22" r:id="rId26"/>
    <sheet state="hidden" name="Output_HALO - Nordics" sheetId="23" r:id="rId27"/>
    <sheet state="visible" name="static exportP2L - DACH" sheetId="24" r:id="rId28"/>
    <sheet state="visible" name="static exportP2L - Nordics" sheetId="25" r:id="rId29"/>
    <sheet state="hidden" name="Output_HALO" sheetId="26" r:id="rId30"/>
    <sheet state="hidden" name="Output_HALO - DACH" sheetId="27" r:id="rId31"/>
    <sheet state="hidden" name="SKU Separation Check" sheetId="28" r:id="rId32"/>
    <sheet state="hidden" name="Recipe Pick Pattern" sheetId="29" r:id="rId33"/>
    <sheet state="hidden" name="result_solver_stats" sheetId="30" r:id="rId34"/>
    <sheet state="hidden" name="exportP2L_oldFormatForCheck_Sep" sheetId="31" r:id="rId35"/>
    <sheet state="hidden" name="PivotCheck__exportP2L" sheetId="32" r:id="rId36"/>
    <sheet state="hidden" name="PivotCheck__exportP2L_Separatio" sheetId="33" r:id="rId37"/>
  </sheets>
  <definedNames>
    <definedName name="master_job">#REF!</definedName>
    <definedName name="master_job_long">#REF!</definedName>
    <definedName name="job_inbox">#REF!</definedName>
    <definedName name="new_job_id_long">#REF!</definedName>
    <definedName name="new_job_id_staging">#REF!</definedName>
    <definedName name="new_job_separation">#REF!</definedName>
    <definedName name="new_job_staging">#REF!</definedName>
    <definedName name="new_job_id_separation">#REF!</definedName>
    <definedName name="new_job_status_staging">#REF!</definedName>
    <definedName name="new_job_status_separation">#REF!</definedName>
    <definedName name="new_job_status">CONTROL_CENTER!$F$8</definedName>
    <definedName name="new_job_long">#REF!</definedName>
    <definedName name="timezone_rack_planning">CONTROL_CENTER!$G$6</definedName>
    <definedName name="new_job_id">CONTROL_CENTER!$F$7</definedName>
    <definedName name="master_job_staging">#REF!</definedName>
    <definedName name="master_job_separation">#REF!</definedName>
    <definedName name="timestamp_rack_planning">CONTROL_CENTER!$F$6</definedName>
    <definedName hidden="1" localSheetId="4" name="_xlnm._FilterDatabase">VolumeFile_combined!$A$1:$J$136</definedName>
    <definedName hidden="1" localSheetId="5" name="_xlnm._FilterDatabase">'VolumeFile_combined NEU'!$A$1:$J$136</definedName>
    <definedName hidden="1" localSheetId="8" name="_xlnm._FilterDatabase">SeparateFamily!$A$1:$B$231</definedName>
    <definedName hidden="1" localSheetId="13" name="_xlnm._FilterDatabase">'Level Constraints'!$A$1:$B$128</definedName>
    <definedName hidden="1" localSheetId="21" name="_xlnm._FilterDatabase">exportP2L!$A$1:$Y$736</definedName>
    <definedName hidden="1" localSheetId="23" name="_xlnm._FilterDatabase">'static exportP2L - DACH'!$A$1:$Y$736</definedName>
    <definedName hidden="1" localSheetId="24" name="_xlnm._FilterDatabase">'static exportP2L - Nordics'!$A$1:$Y$738</definedName>
  </definedNames>
  <calcPr/>
  <pivotCaches>
    <pivotCache cacheId="0" r:id="rId38"/>
    <pivotCache cacheId="1" r:id="rId39"/>
    <pivotCache cacheId="2" r:id="rId40"/>
    <pivotCache cacheId="3" r:id="rId41"/>
    <pivotCache cacheId="4" r:id="rId42"/>
    <pivotCache cacheId="5" r:id="rId43"/>
    <pivotCache cacheId="6" r:id="rId44"/>
    <pivotCache cacheId="7" r:id="rId45"/>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tc={30ab2251-25c4-4d58-a0c9-da9c0b789eb0}</author>
    <author>tc={31041c0b-1f0d-4f51-b6c5-638f53eee1b2}</author>
    <author>tc={3cdb588c-e907-436f-a061-b51649a9cf1b}</author>
    <author>tc={bac2f70c-80c1-4889-a18f-756f44766717}</author>
    <author>tc={e4959bfe-80df-4297-a051-9f20587fc0c5}</author>
    <author>tc={ed483da7-340c-4b6a-aa31-d09be8142f90}</author>
  </authors>
  <commentList>
    <comment authorId="0" xr:uid="{30ab2251-25c4-4d58-a0c9-da9c0b789eb0}" ref="K9">
      <text>
        <t xml:space="preserve">[Threaded comment]
 Your version of Excel allows you to read this threaded comment; however, any edits to it will get removed if the file is opened in a newer version of Excel. Learn more: https://go.microsoft.com/fwlink/?linkid=870924
Comment:
	W29, verbesserungsvorschlag
ASL 5 = SE
ASL 1 = DK
</t>
      </text>
    </comment>
    <comment authorId="1" xr:uid="{31041c0b-1f0d-4f51-b6c5-638f53eee1b2}" ref="A1">
      <text>
        <t xml:space="preserve">[Threaded comment]
 Your version of Excel allows you to read this threaded comment; however, any edits to it will get removed if the file is opened in a newer version of Excel. Learn more: https://go.microsoft.com/fwlink/?linkid=870924
Comment:
	@shaurya.jadhav@hellofresh.de added market column
Assigned to shaurya.jadhav@hellofresh.de
</t>
      </text>
    </comment>
    <comment authorId="2" xr:uid="{3cdb588c-e907-436f-a061-b51649a9cf1b}" ref="A1">
      <text>
        <t xml:space="preserve">[Threaded comment]
 Your version of Excel allows you to read this threaded comment; however, any edits to it will get removed if the file is opened in a newer version of Excel. Learn more: https://go.microsoft.com/fwlink/?linkid=870924
Comment:
	manuel zu addiert
</t>
      </text>
    </comment>
    <comment authorId="3" xr:uid="{bac2f70c-80c1-4889-a18f-756f44766717}" ref="C12">
      <text>
        <t xml:space="preserve">[Threaded comment]
 Your version of Excel allows you to read this threaded comment; however, any edits to it will get removed if the file is opened in a newer version of Excel. Learn more: https://go.microsoft.com/fwlink/?linkid=870924
Comment:
	WAITING FOR DL1 PDL CODE
</t>
      </text>
    </comment>
    <comment authorId="4" xr:uid="{e4959bfe-80df-4297-a051-9f20587fc0c5}" ref="K13">
      <text>
        <t xml:space="preserve">[Threaded comment]
 Your version of Excel allows you to read this threaded comment; however, any edits to it will get removed if the file is opened in a newer version of Excel. Learn more: https://go.microsoft.com/fwlink/?linkid=870924
Comment:
	@bilge.berber@hellofresh.com , just noticed, we will have to duplicate this below for Nordics too.... a check would be mega helpful here .....Thank you :)
Assigned to bilge.berber@hellofresh.com
Reply:
	maybe instead of chilled and Kits we have DACH and Nordics? Factoer does not have a chilled or kits differentiation.then we wont have two tables
Reply:
	Hi
</t>
      </text>
    </comment>
    <comment authorId="5" xr:uid="{ed483da7-340c-4b6a-aa31-d09be8142f90}" ref="A1">
      <text>
        <t xml:space="preserve">[Threaded comment]
 Your version of Excel allows you to read this threaded comment; however, any edits to it will get removed if the file is opened in a newer version of Excel. Learn more: https://go.microsoft.com/fwlink/?linkid=870924
Comment:
	@bilge.berber@hellofresh.com , so i havea  question. i allocated F06 to F12 to the liners but i closed them in the layout. The halo should have had ran into a problem right?
Assigned to bilge.berber@hellofresh.com
Reply:
	good question, I don't know 100% now. My guess is, that SKU would still be on the line. But since that pickface is blocked, it would be assigned to another pickface.
Reply:
	So they where no assigned to another pickface. No hurry...so hard and fast, i though it will go in infeas...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tc={aaa5fa56-decf-432c-8c63-d8bb6c806d7a}</author>
    <author>tc={ad63d82b-86e4-42dc-9fc5-69352709def6}</author>
    <author>tc={e62f730c-ea48-46f8-953d-8adf42d8ea2f}</author>
  </authors>
  <commentList>
    <comment authorId="0" xr:uid="{aaa5fa56-decf-432c-8c63-d8bb6c806d7a}" ref="A11">
      <text>
        <t xml:space="preserve">[Threaded comment]
 Your version of Excel allows you to read this threaded comment; however, any edits to it will get removed if the file is opened in a newer version of Excel. Learn more: https://go.microsoft.com/fwlink/?linkid=870924
Comment:
	Hier auch @benjamin.von-strauch@hellofresh.de @kodzo.tozoun@hellofresh.de 
Hier müssen wir die retention gifts hinzufügen. für W15, - W19 . In W19 sollten es 9 weitere Pickplätze dafür sein und dann auch bleiben
Assigned to benjamin.von-strauch@hellofresh.de
Reply:
	Hi @moritz.ochs@factor75.eu, können wir nicht den Flyer mit dem Artikel zusammen in die Box packen?  Also so wie, als wenn wir ein Sample haben!
</t>
      </text>
    </comment>
    <comment authorId="1" xr:uid="{ad63d82b-86e4-42dc-9fc5-69352709def6}" ref="K1">
      <text>
        <t xml:space="preserve">[Threaded comment]
 Your version of Excel allows you to read this threaded comment; however, any edits to it will get removed if the file is opened in a newer version of Excel. Learn more: https://go.microsoft.com/fwlink/?linkid=870924
Comment:
	@shaurya.jadhav@hellofresh.de added market column here
Reply:
	Hey Hey, so i define it directly over here and HALO input takes it automatically?
Reply:
	Question answered when i added Nordics here :P Thanks
</t>
      </text>
    </comment>
    <comment authorId="2" xr:uid="{e62f730c-ea48-46f8-953d-8adf42d8ea2f}" ref="A64">
      <text>
        <t xml:space="preserve">[Threaded comment]
 Your version of Excel allows you to read this threaded comment; however, any edits to it will get removed if the file is opened in a newer version of Excel. Learn more: https://go.microsoft.com/fwlink/?linkid=870924
Comment:
	@shaurya.jadhav@hellofresh.de changing these 3 box sizes to proper name instead of S,M,L. They need to match with the rackfile_combined tab to get correct types
Reply:
	Hey Bilge, oh i understood where i missed to change it. Then we need to convert the Nordics boxes to S,M,L as they will be names S,M,L in the boxfile for Nordics, but DE will remain the same.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tc={32e7a361-101d-4a76-b281-353e1760da57}</author>
  </authors>
  <commentList>
    <comment authorId="0" xr:uid="{32e7a361-101d-4a76-b281-353e1760da57}" ref="A12">
      <text>
        <t xml:space="preserve">[Threaded comment]
 Your version of Excel allows you to read this threaded comment; however, any edits to it will get removed if the file is opened in a newer version of Excel. Learn more: https://go.microsoft.com/fwlink/?linkid=870924
Comment:
	@benjamin.von-strauch@hellofresh.de @kodzo.tozoun@hellofresh.de 
Hier müssen wir die retention gifts hinzufügen. für W15, - W19 . In W19 sollten es 9 weitere Pickplätze dafür sein und dann auch bleiben
Assigned to benjamin.von-strauch@hellofresh.de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tc={83832805-7db7-4e78-b288-b69524d6caf6}</author>
  </authors>
  <commentList>
    <comment authorId="0" xr:uid="{83832805-7db7-4e78-b288-b69524d6caf6}" ref="C2">
      <text>
        <t xml:space="preserve">[Threaded comment]
 Your version of Excel allows you to read this threaded comment; however, any edits to it will get removed if the file is opened in a newer version of Excel. Learn more: https://go.microsoft.com/fwlink/?linkid=870924
Comment:
	@bilge.berber@hellofresh.com , is it imp to maintain thsi column if i have more SKU anytime in the future?
Assigned to bilge.berber@hellofresh.com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tc={6e15ac8e-41fd-4c77-ba3d-12baa162bd5a}</author>
  </authors>
  <commentList>
    <comment authorId="0" xr:uid="{6e15ac8e-41fd-4c77-ba3d-12baa162bd5a}" ref="A12">
      <text>
        <t xml:space="preserve">[Threaded comment]
 Your version of Excel allows you to read this threaded comment; however, any edits to it will get removed if the file is opened in a newer version of Excel. Learn more: https://go.microsoft.com/fwlink/?linkid=870924
Comment:
	Hier auch @benjamin.von-strauch@hellofresh.de @kodzo.tozoun@hellofresh.de
Hier müssen wir die retention gifts hinzufügen. für W15, - W19 . In W19 sollten es 9 weitere Pickplätze dafür sein und dann auch bleiben
Assigned to benjamin.von-strauch@hellofresh.de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tc={3fec36a6-053e-4a3b-86ca-7a6d15ac0928}</author>
  </authors>
  <commentList>
    <comment authorId="0" xr:uid="{3fec36a6-053e-4a3b-86ca-7a6d15ac0928}" ref="E9">
      <text>
        <t xml:space="preserve">[Threaded comment]
 Your version of Excel allows you to read this threaded comment; however, any edits to it will get removed if the file is opened in a newer version of Excel. Learn more: https://go.microsoft.com/fwlink/?linkid=870924
Comment:
	@bilge.berber@hellofresh.com , so if i run only Nordics HALO will delete DACH? Oi! this might pose in issue in the situation where my output "ExportP2L" is linked to other gsheets, it will go blank as there will be output anymore.
another dilemma, if i keep DACH "checked" while made changes only to NORDICS, i understand that HALO will also redistribute DACH too? is that right? but if i have already fixed DACH and only want to meddle with NORDICS and vice a versa,
can we have the checkmark keep the previously run result be it DACH or NORDICS as it is here and in output? and no delete it? is it possible?
Assigned to bilge.berber@hellofresh.com
Reply:
	hmm I need to think about this. I will get back to you on Monday/Tuesday
Reply:
	Thank you very much. until then please lets keep the current F_ HALO alive :)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tc={299fd28d-54ad-447d-bd02-8c10aca3d70b}</author>
    <author>tc={2eadec40-499a-4f38-9c83-d6c9ad41c8c2}</author>
  </authors>
  <commentList>
    <comment authorId="0" xr:uid="{299fd28d-54ad-447d-bd02-8c10aca3d70b}" ref="BC19">
      <text>
        <t xml:space="preserve">[Threaded comment]
 Your version of Excel allows you to read this threaded comment; however, any edits to it will get removed if the file is opened in a newer version of Excel. Learn more: https://go.microsoft.com/fwlink/?linkid=870924
Comment:
	Phasenweise zu viel zu tun....
</t>
      </text>
    </comment>
    <comment authorId="1" xr:uid="{2eadec40-499a-4f38-9c83-d6c9ad41c8c2}" ref="E9">
      <text>
        <t xml:space="preserve">[Threaded comment]
 Your version of Excel allows you to read this threaded comment; however, any edits to it will get removed if the file is opened in a newer version of Excel. Learn more: https://go.microsoft.com/fwlink/?linkid=870924
Comment:
	@steven.ender@hellofresh.de , lass uns das morgen einmal besprechen. wir müssen noch liner bestimmen, ice bestimmen, und flyer bestimmen.... können wir dannach Rackfile finalizieren, ESL, Klebe labels, der linie können wir auch ein art rackfile check machen lassen. müssen aber ein boxfile benötigen, wer mit ILP matcht, damit wir paar boxen test am freitag fahren können.....
cc. @tobias.lausch@hellofresh.de
Assigned to steven.ender@hellofresh.de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tc={42906b85-a23d-46c3-9dda-6f72c810f438}</author>
  </authors>
  <commentList>
    <comment authorId="0" xr:uid="{42906b85-a23d-46c3-9dda-6f72c810f438}" ref="A1">
      <text>
        <t xml:space="preserve">[Threaded comment]
 Your version of Excel allows you to read this threaded comment; however, any edits to it will get removed if the file is opened in a newer version of Excel. Learn more: https://go.microsoft.com/fwlink/?linkid=870924
Comment:
	hey, I now have 3 tabs of Export P2L, this one is now moot right?
@bilge.berber@hellofresh.com
Assigned to bilge.berber@hellofresh.com
Reply:
	this tab is where HALO exports the full output. Then I split into DACH and DKSE with formula. Then if you click on the button, it is copied to the static tabs.
Reply:
	But I can actually delete DACH and Nordics tabs. They are just filtered for each country. I think you can check it from here and then fix it if needed. What do you think?
Reply:
	Hey, just checked you message... yes i think we can then delete those tabs if this essentially splits them in static....
</t>
      </text>
    </comment>
  </commentList>
</comments>
</file>

<file path=xl/sharedStrings.xml><?xml version="1.0" encoding="utf-8"?>
<sst xmlns="http://schemas.openxmlformats.org/spreadsheetml/2006/main" count="9457" uniqueCount="1221">
  <si>
    <t>VolumeFile</t>
  </si>
  <si>
    <t>name</t>
  </si>
  <si>
    <t>demand_thursday</t>
  </si>
  <si>
    <t>demand_friday</t>
  </si>
  <si>
    <t>demand_saturday</t>
  </si>
  <si>
    <t>demand_sunday</t>
  </si>
  <si>
    <t>demand_monday</t>
  </si>
  <si>
    <t>station_constraint</t>
  </si>
  <si>
    <t>level_constraint</t>
  </si>
  <si>
    <t>pickface_constraint</t>
  </si>
  <si>
    <t>separate_constraint</t>
  </si>
  <si>
    <t>IcePack1</t>
  </si>
  <si>
    <t>F29</t>
  </si>
  <si>
    <t>RackFile_Combined</t>
  </si>
  <si>
    <t>Grouping</t>
  </si>
  <si>
    <t>Converter TABLE</t>
  </si>
  <si>
    <t>IcePack2</t>
  </si>
  <si>
    <t>F105</t>
  </si>
  <si>
    <t>Maitre Forecast</t>
  </si>
  <si>
    <t>IcePack3</t>
  </si>
  <si>
    <t>F137</t>
  </si>
  <si>
    <t>Recipe</t>
  </si>
  <si>
    <t>Ingredient</t>
  </si>
  <si>
    <t>SKU</t>
  </si>
  <si>
    <t>Line</t>
  </si>
  <si>
    <t>FlowRackPosition</t>
  </si>
  <si>
    <t>Quantity</t>
  </si>
  <si>
    <t>ScanRegEx</t>
  </si>
  <si>
    <t>StorageConditions</t>
  </si>
  <si>
    <t>recipe_slot</t>
  </si>
  <si>
    <t>ingredient_sku</t>
  </si>
  <si>
    <t>ingredient_name</t>
  </si>
  <si>
    <t>final_key</t>
  </si>
  <si>
    <t>picks_2p</t>
  </si>
  <si>
    <t>picks_3p</t>
  </si>
  <si>
    <t>picks_4p</t>
  </si>
  <si>
    <t>W21</t>
  </si>
  <si>
    <t>CON-00-138294-2</t>
  </si>
  <si>
    <t>Hähnchen mit Champignons und Reis</t>
  </si>
  <si>
    <t>CON-00-136693-3</t>
  </si>
  <si>
    <t>Rindfleisch mit BBQ-Sauce</t>
  </si>
  <si>
    <t>CON-00-137559-2</t>
  </si>
  <si>
    <t>Gochugaru-Hähnchen</t>
  </si>
  <si>
    <t>CON-00-136648-3</t>
  </si>
  <si>
    <t>Pulled Chicken mit Cheddar und Speck</t>
  </si>
  <si>
    <t>CON-00-136659-3</t>
  </si>
  <si>
    <t>Gegrilltes Hähnchenfilet mit Pesto</t>
  </si>
  <si>
    <t>CON-00-136638-3</t>
  </si>
  <si>
    <t>Scharfes Hähnchen mit Jalapeño, Limette und Cheddar</t>
  </si>
  <si>
    <t>CON-00-138996-2</t>
  </si>
  <si>
    <t>Cheddar Pulled Beef</t>
  </si>
  <si>
    <t>CON-00-136617-3</t>
  </si>
  <si>
    <t>Lachs auf Blumenkohlreis in Käsecreme</t>
  </si>
  <si>
    <t>CON-00-136634-3</t>
  </si>
  <si>
    <t>Zucchini-Paprika-Ratatouille</t>
  </si>
  <si>
    <t>CON-00-136647-3</t>
  </si>
  <si>
    <t>Quinoa-Süßkartoffel-Erdnuss-Bowl</t>
  </si>
  <si>
    <t>CON-00-136664-3</t>
  </si>
  <si>
    <t>Schweinefilet in Sonnentomaten-Sauce</t>
  </si>
  <si>
    <t>CON-00-137745-2</t>
  </si>
  <si>
    <t>Lachs in Senf-Dill-Sauce</t>
  </si>
  <si>
    <t>CON-00-136725-3</t>
  </si>
  <si>
    <t>Hähnchen Alfredo</t>
  </si>
  <si>
    <t>CON-00-136649-3</t>
  </si>
  <si>
    <t>Gegrilltes Hähnchenfilet mit Kartoffel-Lauch-Püree</t>
  </si>
  <si>
    <t>CON-00-137312-2</t>
  </si>
  <si>
    <t>Rindfleisch-Bohnen-Bowl</t>
  </si>
  <si>
    <t>CON-00-137456-2</t>
  </si>
  <si>
    <t>Tomate-Mozzarella-Hähnchen</t>
  </si>
  <si>
    <t>CON-00-139494-2</t>
  </si>
  <si>
    <t>Schweinefilet mit Artischocken und Spinat</t>
  </si>
  <si>
    <t>F32</t>
  </si>
  <si>
    <t>CON-00-138006-2</t>
  </si>
  <si>
    <t>Schweinefilet in Lauchcreme</t>
  </si>
  <si>
    <t>PTN-00-136930-3</t>
  </si>
  <si>
    <t>Gegrilltes Hähnchen mit Knoblauch-Kräutern</t>
  </si>
  <si>
    <t>F98</t>
  </si>
  <si>
    <t>F108</t>
  </si>
  <si>
    <t>F123</t>
  </si>
  <si>
    <t>F134</t>
  </si>
  <si>
    <t>Ice pro Box</t>
  </si>
  <si>
    <t>Anzahl</t>
  </si>
  <si>
    <t>Icepack</t>
  </si>
  <si>
    <t>HALO Verden - FACTOR</t>
  </si>
  <si>
    <t>Production Week</t>
  </si>
  <si>
    <t>19</t>
  </si>
  <si>
    <t>NEW JOB</t>
  </si>
  <si>
    <t>Line Mapping</t>
  </si>
  <si>
    <t>timestamp</t>
  </si>
  <si>
    <t>UTC</t>
  </si>
  <si>
    <t>dag</t>
  </si>
  <si>
    <t>HALO rackplanning DACH VE</t>
  </si>
  <si>
    <t>Market</t>
  </si>
  <si>
    <t>Run?</t>
  </si>
  <si>
    <t>s3</t>
  </si>
  <si>
    <t>HALO model rack_planning DACH VE</t>
  </si>
  <si>
    <t>ASL1</t>
  </si>
  <si>
    <t>DACH</t>
  </si>
  <si>
    <t>status</t>
  </si>
  <si>
    <t>ASL2</t>
  </si>
  <si>
    <t>NORDICS</t>
  </si>
  <si>
    <t>Copy this to the UI</t>
  </si>
  <si>
    <t>halo||rack_planning||dach_ve_factor</t>
  </si>
  <si>
    <t>Reporting</t>
  </si>
  <si>
    <t>SKUs</t>
  </si>
  <si>
    <t>ActivePickfaces</t>
  </si>
  <si>
    <t>noch/übrig</t>
  </si>
  <si>
    <t>DE</t>
  </si>
  <si>
    <t>NO</t>
  </si>
  <si>
    <t>Export P2L check:</t>
  </si>
  <si>
    <t>All SKUs from HALO input are in HALO output</t>
  </si>
  <si>
    <t xml:space="preserve">Rackfile_combined SKUs are the same as in exportP2L </t>
  </si>
  <si>
    <t>3p</t>
  </si>
  <si>
    <t>No pickface has more than 1 SKU in exportP2L</t>
  </si>
  <si>
    <t>2p</t>
  </si>
  <si>
    <t>F_DE</t>
  </si>
  <si>
    <t>300er</t>
  </si>
  <si>
    <t>Core</t>
  </si>
  <si>
    <t>200er</t>
  </si>
  <si>
    <t>Addons</t>
  </si>
  <si>
    <t>Free2Life</t>
  </si>
  <si>
    <t>F_NO</t>
  </si>
  <si>
    <t>600er</t>
  </si>
  <si>
    <t>700er</t>
  </si>
  <si>
    <t>F_NL/BE</t>
  </si>
  <si>
    <t>400er</t>
  </si>
  <si>
    <t>500er</t>
  </si>
  <si>
    <t>MANUELL EINTRAGEN</t>
  </si>
  <si>
    <t>Demand für Smoothies/Ice needs to be filled manually</t>
  </si>
  <si>
    <t>F144</t>
  </si>
  <si>
    <t>Woche</t>
  </si>
  <si>
    <t>Rezept</t>
  </si>
  <si>
    <t>Maitre Code</t>
  </si>
  <si>
    <t>Artikel</t>
  </si>
  <si>
    <t>wed -4wk</t>
  </si>
  <si>
    <t>wed -3wk</t>
  </si>
  <si>
    <t>wed -2wk</t>
  </si>
  <si>
    <t>wed-1wk</t>
  </si>
  <si>
    <t>Fri -1wk</t>
  </si>
  <si>
    <t>Mon</t>
  </si>
  <si>
    <t>Tues</t>
  </si>
  <si>
    <t>Weds</t>
  </si>
  <si>
    <t>Thurs</t>
  </si>
  <si>
    <t>order</t>
  </si>
  <si>
    <t>Target</t>
  </si>
  <si>
    <t>F127</t>
  </si>
  <si>
    <t>F58</t>
  </si>
  <si>
    <t>In Boxen ca:</t>
  </si>
  <si>
    <t>Static</t>
  </si>
  <si>
    <t>F86</t>
  </si>
  <si>
    <t>F110</t>
  </si>
  <si>
    <t>BEV-00-136840-3</t>
  </si>
  <si>
    <t>FACTOR_ Ginger Lemon Apple Wellness Shot</t>
  </si>
  <si>
    <t>F122</t>
  </si>
  <si>
    <t>BEV-00-137951-2</t>
  </si>
  <si>
    <t>FACTOR_ Spirulina Ginger Lime Ginger Shot</t>
  </si>
  <si>
    <t>BEV-00-137952-2</t>
  </si>
  <si>
    <t>FACTOR_ Turmeric Cayenne Pineapple Ginger Shot</t>
  </si>
  <si>
    <t>Ice share</t>
  </si>
  <si>
    <t>S</t>
  </si>
  <si>
    <t>70%</t>
  </si>
  <si>
    <t>Werte von KW27</t>
  </si>
  <si>
    <t>M</t>
  </si>
  <si>
    <t>20%</t>
  </si>
  <si>
    <t>L</t>
  </si>
  <si>
    <t>10%</t>
  </si>
  <si>
    <t>F89</t>
  </si>
  <si>
    <t>Buffer for more meals</t>
  </si>
  <si>
    <t>In Boxen ca</t>
  </si>
  <si>
    <t>705 - FACTOR_ Ginger Lemon Apple Wellness Shot</t>
  </si>
  <si>
    <t>709 - FACTOR_ Spirulina Ginger Lime Ginger Shot</t>
  </si>
  <si>
    <t>F106</t>
  </si>
  <si>
    <t>710 - FACTOR_ Turmeric Cayenne Pineapple Ginger Shot</t>
  </si>
  <si>
    <t>market</t>
  </si>
  <si>
    <t>Factor Box Large</t>
  </si>
  <si>
    <t>F02</t>
  </si>
  <si>
    <t>Factor Box Medium</t>
  </si>
  <si>
    <t>F03</t>
  </si>
  <si>
    <t>Factor Box Small</t>
  </si>
  <si>
    <t>F05</t>
  </si>
  <si>
    <t>Factor Liner Large1</t>
  </si>
  <si>
    <t>F07</t>
  </si>
  <si>
    <t>Factor Liner Large2</t>
  </si>
  <si>
    <t>F11</t>
  </si>
  <si>
    <t>Factor Liner Medium1</t>
  </si>
  <si>
    <t>F08</t>
  </si>
  <si>
    <t>Factor Liner Medium2</t>
  </si>
  <si>
    <t>F12</t>
  </si>
  <si>
    <t>Factor Liner Small1</t>
  </si>
  <si>
    <t>F06</t>
  </si>
  <si>
    <t>Factor Liner Small2</t>
  </si>
  <si>
    <t>F10</t>
  </si>
  <si>
    <t>FA-DE Freebies</t>
  </si>
  <si>
    <t>F143</t>
  </si>
  <si>
    <t>FA-DE Welcome Booklet</t>
  </si>
  <si>
    <t>F142</t>
  </si>
  <si>
    <t>FA-DE First Box - Flyer about program</t>
  </si>
  <si>
    <t>F141</t>
  </si>
  <si>
    <t>FA-DE Second Box - Tote Bag</t>
  </si>
  <si>
    <t>F139</t>
  </si>
  <si>
    <t>FA-DE Second Box - Flyer</t>
  </si>
  <si>
    <t>F140</t>
  </si>
  <si>
    <t>FA-DE Third Box - Socks</t>
  </si>
  <si>
    <t>F138</t>
  </si>
  <si>
    <t>FA-DE Third Box - Flyer</t>
  </si>
  <si>
    <t>FA-DE Fourth Box - Hydroflask</t>
  </si>
  <si>
    <t>F135</t>
  </si>
  <si>
    <t>FA-DE Fourth Box - Flyer</t>
  </si>
  <si>
    <t>F136</t>
  </si>
  <si>
    <t>220 - Free4Life_ Ginger Lemon Apple Wellness Shot_Single</t>
  </si>
  <si>
    <t>0</t>
  </si>
  <si>
    <t>221 - Free4Life_ Spirulina Ginger Lime Ginger Shot_Single</t>
  </si>
  <si>
    <t>F112</t>
  </si>
  <si>
    <t>222 - Free4Life_ Turmeric Cayenne Pineapple Ginger Shot_Single</t>
  </si>
  <si>
    <t>F124</t>
  </si>
  <si>
    <t>XS</t>
  </si>
  <si>
    <t>F04</t>
  </si>
  <si>
    <t>FA-Nordics Welcome Booklet</t>
  </si>
  <si>
    <t>565072 - Gegrilltes Hähnchen mit Ratatouille</t>
  </si>
  <si>
    <t>565209 - Grünes Chili-Hähnchen mit Quinoa-Salsa</t>
  </si>
  <si>
    <t>565309 - Geschmortes Rind in Kräuterjus</t>
  </si>
  <si>
    <t>565064 - Lachs in Senf-Dill-Sauce</t>
  </si>
  <si>
    <t>565178 - Westafrikanisches Hähnchen-Erdnuss-Curry</t>
  </si>
  <si>
    <t>565189 - Lachs Piccata</t>
  </si>
  <si>
    <t>565164 - Hähnchen mit karamellisierten Zwiebeln &amp; Emmentaler-Fondue</t>
  </si>
  <si>
    <t>565043 - Würziges Hähnchen mit Jalapeño, Limette und Cheddar</t>
  </si>
  <si>
    <t>565244 - Cremiges Tomaten-Risotto</t>
  </si>
  <si>
    <t>565141 - Zucchini-Paprika-Ratatouille</t>
  </si>
  <si>
    <t>565143 - Schweinefilet in cremiger Knoblauch-Senf-Sauce</t>
  </si>
  <si>
    <t>565196 - Ají Verde Lachs</t>
  </si>
  <si>
    <t>565130 - Pulled Pork mit roter Chilisauce</t>
  </si>
  <si>
    <t>565211 - Gegrilltes Hähnchen in Ingwer-Knoblauch-Marinade</t>
  </si>
  <si>
    <t>565091 - Scharfes Rinderhack mit Jalapeños</t>
  </si>
  <si>
    <t>565221 - Lachs-Bowl mit Zitrus-Miso</t>
  </si>
  <si>
    <t>565252 - Rinderragù mit sonnengetrockneten Tomaten und Pasta</t>
  </si>
  <si>
    <t>565095 - Schweinefilet in würziger Ancho-Chili-Sauce</t>
  </si>
  <si>
    <t/>
  </si>
  <si>
    <t>205 - FACTOR_ Ginger Lemon Apple Wellness Shot</t>
  </si>
  <si>
    <t>209 - FACTOR_ Spirulina Ginger Lime Ginger Shot</t>
  </si>
  <si>
    <t>210 - FACTOR_ Turmeric Cayenne Pineapple Ginger Shot</t>
  </si>
  <si>
    <t>565072 - Grillet kylling med ratatouille</t>
  </si>
  <si>
    <t>565209 - Chilensk inspireret kylling med salsa-quinoa</t>
  </si>
  <si>
    <t>565309 - Braiseret oksekød i urtesky</t>
  </si>
  <si>
    <t>565064 - Laks i senneps-dild sauce</t>
  </si>
  <si>
    <t>565178 - Vestfrikansk-inspireret peanut-kyllingecurry</t>
  </si>
  <si>
    <t xml:space="preserve">565189 - Laks Piccata </t>
  </si>
  <si>
    <t>565164 - Kylling i Emmental-fondue med karamelliseret løg</t>
  </si>
  <si>
    <t>565043 - Spicy kylling med jalapeño, lime og cheddar</t>
  </si>
  <si>
    <t>565244 - Cremet tomatrisotto</t>
  </si>
  <si>
    <t>565141 - Squash- og peberfrugtsratatouille</t>
  </si>
  <si>
    <t>565143 - Svinemørbrad i cremet hvidløgs- og sennepssauce</t>
  </si>
  <si>
    <t>565196 - Laks med aji verde</t>
  </si>
  <si>
    <t>565130 - Chilikryddet pulled pork</t>
  </si>
  <si>
    <t>565211 - Grillet kylling med ingefær og hvidløg</t>
  </si>
  <si>
    <t>565091 - Krydret hakket oksekød med jalapenos</t>
  </si>
  <si>
    <t>565221 - Laksebowl med citrus-miso</t>
  </si>
  <si>
    <t>565252 - Pasta med oksekødsragù og soltørrede tomater</t>
  </si>
  <si>
    <t>565095 - Svinemørbrad i ancho- og chilisauce</t>
  </si>
  <si>
    <t xml:space="preserve">620 - </t>
  </si>
  <si>
    <t xml:space="preserve">621 - </t>
  </si>
  <si>
    <t>206 - Gegrilltes Hähnchen mit Knoblauch-Kräutern</t>
  </si>
  <si>
    <t>line</t>
  </si>
  <si>
    <t>Packaging</t>
  </si>
  <si>
    <t>FR1</t>
  </si>
  <si>
    <t>Loyalties</t>
  </si>
  <si>
    <t>Chilled</t>
  </si>
  <si>
    <t>WB1</t>
  </si>
  <si>
    <t>FLY1</t>
  </si>
  <si>
    <t>BAG1</t>
  </si>
  <si>
    <t>FLY2</t>
  </si>
  <si>
    <t>SOC1</t>
  </si>
  <si>
    <t>FLY3</t>
  </si>
  <si>
    <t>FLA1</t>
  </si>
  <si>
    <t>FLY4</t>
  </si>
  <si>
    <t>Ice6</t>
  </si>
  <si>
    <t>IcePack</t>
  </si>
  <si>
    <t>Ice9</t>
  </si>
  <si>
    <t>Ice12</t>
  </si>
  <si>
    <t>220_1p</t>
  </si>
  <si>
    <t>BEV-00-136840-3a</t>
  </si>
  <si>
    <t>1</t>
  </si>
  <si>
    <t>221_1p</t>
  </si>
  <si>
    <t>BEV-00-137951-2a</t>
  </si>
  <si>
    <t>222_1p</t>
  </si>
  <si>
    <t>BEV-00-137952-2a</t>
  </si>
  <si>
    <t>Ice2</t>
  </si>
  <si>
    <t>Ice4</t>
  </si>
  <si>
    <t>Manual Family Constraint</t>
  </si>
  <si>
    <t>Automatic Family</t>
  </si>
  <si>
    <t>FamilyType DE</t>
  </si>
  <si>
    <t>Gegrillt</t>
  </si>
  <si>
    <t>Schwein</t>
  </si>
  <si>
    <t>Automatic Seperate SKU Logic</t>
  </si>
  <si>
    <t>Lachs</t>
  </si>
  <si>
    <t>Cremiges</t>
  </si>
  <si>
    <t>Hähnchen</t>
  </si>
  <si>
    <t>Rind</t>
  </si>
  <si>
    <t>Pulled</t>
  </si>
  <si>
    <t>Thai</t>
  </si>
  <si>
    <t>Hack</t>
  </si>
  <si>
    <t>Scharfes</t>
  </si>
  <si>
    <t>565119 - Gegrilltes Hähnchen mit Knoblauch-Kräutern</t>
  </si>
  <si>
    <t>805 - FACTOR_ Ginger Lemon Apple Wellness Shot</t>
  </si>
  <si>
    <t>809 - FACTOR_ Spirulina Ginger Lime Ginger Shot</t>
  </si>
  <si>
    <t>810 - FACTOR_ Turmeric Cayenne Pineapple Ginger Shot</t>
  </si>
  <si>
    <t>Grillet</t>
  </si>
  <si>
    <t>FamilyType NO</t>
  </si>
  <si>
    <t>Kylling</t>
  </si>
  <si>
    <t>Laks</t>
  </si>
  <si>
    <t>Svinemørbrad</t>
  </si>
  <si>
    <t>Cremet</t>
  </si>
  <si>
    <t>Oksekød</t>
  </si>
  <si>
    <t>565119 - Grillet kylling med hvidlød og urter</t>
  </si>
  <si>
    <t>VolumenFile</t>
  </si>
  <si>
    <t>FA-DE Freebie Flyer</t>
  </si>
  <si>
    <t>FA-DE Firth Box - Duffel Bag</t>
  </si>
  <si>
    <t>FA-DE Firth Box - Flyer</t>
  </si>
  <si>
    <t>F101</t>
  </si>
  <si>
    <t>F126</t>
  </si>
  <si>
    <t>Rackfile Combined</t>
  </si>
  <si>
    <t>DUF1</t>
  </si>
  <si>
    <t>FLY5</t>
  </si>
  <si>
    <t>Pickface_IID</t>
  </si>
  <si>
    <t>pickface_name</t>
  </si>
  <si>
    <t>station</t>
  </si>
  <si>
    <t>pickface</t>
  </si>
  <si>
    <t>level</t>
  </si>
  <si>
    <t>column</t>
  </si>
  <si>
    <t>type</t>
  </si>
  <si>
    <t>ActiveStation</t>
  </si>
  <si>
    <t>priority</t>
  </si>
  <si>
    <t>station_mapping</t>
  </si>
  <si>
    <t>Week</t>
  </si>
  <si>
    <t>F01</t>
  </si>
  <si>
    <t>F09</t>
  </si>
  <si>
    <t>F13</t>
  </si>
  <si>
    <t>F14</t>
  </si>
  <si>
    <t>F15</t>
  </si>
  <si>
    <t>F16</t>
  </si>
  <si>
    <t>F17</t>
  </si>
  <si>
    <t>F18</t>
  </si>
  <si>
    <t>F19</t>
  </si>
  <si>
    <t>F20</t>
  </si>
  <si>
    <t>F21</t>
  </si>
  <si>
    <t>F22</t>
  </si>
  <si>
    <t>F23</t>
  </si>
  <si>
    <t>F24</t>
  </si>
  <si>
    <t>F25</t>
  </si>
  <si>
    <t>F26</t>
  </si>
  <si>
    <t>F27</t>
  </si>
  <si>
    <t>F28</t>
  </si>
  <si>
    <t>F30</t>
  </si>
  <si>
    <t>F31</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</si>
  <si>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</si>
  <si>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</si>
  <si>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</si>
  <si>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</si>
  <si>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</si>
  <si>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</si>
  <si>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</si>
  <si>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</si>
  <si>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</si>
  <si>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</si>
  <si>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</si>
  <si>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</si>
  <si>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</si>
  <si>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</si>
  <si>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</si>
  <si>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</si>
  <si>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</si>
  <si>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</si>
  <si>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</si>
  <si>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</si>
  <si>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</si>
  <si>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</si>
  <si>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</si>
  <si>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</si>
  <si>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</si>
  <si>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</si>
  <si>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</si>
  <si>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</si>
  <si>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</si>
  <si>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</si>
  <si>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</si>
  <si>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</si>
  <si>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</si>
  <si>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</si>
  <si>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</si>
  <si>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</si>
  <si>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</si>
  <si>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</si>
  <si>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</si>
  <si>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</si>
  <si>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</si>
  <si>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</si>
  <si>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</si>
  <si>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</si>
  <si>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</si>
  <si>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</si>
  <si>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</si>
  <si>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</si>
  <si>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</si>
  <si>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</si>
  <si>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</si>
  <si>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</si>
  <si>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F87</t>
  </si>
  <si>
    <t>F88</t>
  </si>
  <si>
    <t>F90</t>
  </si>
  <si>
    <t>F91</t>
  </si>
  <si>
    <t>F92</t>
  </si>
  <si>
    <t>F93</t>
  </si>
  <si>
    <t>F94</t>
  </si>
  <si>
    <t>F95</t>
  </si>
  <si>
    <t>F96</t>
  </si>
  <si>
    <t>F97</t>
  </si>
  <si>
    <t>F99</t>
  </si>
  <si>
    <t>F100</t>
  </si>
  <si>
    <t>F102</t>
  </si>
  <si>
    <t>F103</t>
  </si>
  <si>
    <t>F104</t>
  </si>
  <si>
    <t>F107</t>
  </si>
  <si>
    <t>F109</t>
  </si>
  <si>
    <t>F111</t>
  </si>
  <si>
    <t>F113</t>
  </si>
  <si>
    <t>F114</t>
  </si>
  <si>
    <t>F115</t>
  </si>
  <si>
    <t>F116</t>
  </si>
  <si>
    <t>F117</t>
  </si>
  <si>
    <t>F118</t>
  </si>
  <si>
    <t>F119</t>
  </si>
  <si>
    <t>F120</t>
  </si>
  <si>
    <t>F121</t>
  </si>
  <si>
    <t>F125</t>
  </si>
  <si>
    <t>F128</t>
  </si>
  <si>
    <t>F129</t>
  </si>
  <si>
    <t>F130</t>
  </si>
  <si>
    <t>F131</t>
  </si>
  <si>
    <t>F132</t>
  </si>
  <si>
    <t>F133</t>
  </si>
  <si>
    <t>F145</t>
  </si>
  <si>
    <t>F146</t>
  </si>
  <si>
    <t>F147</t>
  </si>
  <si>
    <t>F148</t>
  </si>
  <si>
    <t>F149</t>
  </si>
  <si>
    <t>F150</t>
  </si>
  <si>
    <t>F151</t>
  </si>
  <si>
    <t>F152</t>
  </si>
  <si>
    <t>F153</t>
  </si>
  <si>
    <t>F154</t>
  </si>
  <si>
    <t>F155</t>
  </si>
  <si>
    <t>F156</t>
  </si>
  <si>
    <t>separate_constraint_new</t>
  </si>
  <si>
    <t>DemandTotal</t>
  </si>
  <si>
    <t>IsStaging</t>
  </si>
  <si>
    <t>skucode</t>
  </si>
  <si>
    <t>SETTINGS</t>
  </si>
  <si>
    <t>to show</t>
  </si>
  <si>
    <t>column_name</t>
  </si>
  <si>
    <t>main showing</t>
  </si>
  <si>
    <t>lower showing</t>
  </si>
  <si>
    <t>coordinate showing</t>
  </si>
  <si>
    <t>Layout</t>
  </si>
  <si>
    <t>station column</t>
  </si>
  <si>
    <t>type column</t>
  </si>
  <si>
    <t>coordinate</t>
  </si>
  <si>
    <t>pickface_coordinate</t>
  </si>
  <si>
    <t>TYPE</t>
  </si>
  <si>
    <t>STATION</t>
  </si>
  <si>
    <t>LEVEL\COLUMN</t>
  </si>
  <si>
    <t>value</t>
  </si>
  <si>
    <t>Pickface_List</t>
  </si>
  <si>
    <t>["F01", "F02", "F03", "F04", "F05", "F06", "F07", "F08", "F09",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t>
  </si>
  <si>
    <t>301_1p</t>
  </si>
  <si>
    <t>301 - Gegrilltes Hähnchenfilet mit Kartoffel-Lauch-Püree</t>
  </si>
  <si>
    <t>302_1p</t>
  </si>
  <si>
    <t xml:space="preserve">302 - Trottole Bolognese </t>
  </si>
  <si>
    <t>CON-00-136722-3</t>
  </si>
  <si>
    <t>303_1p</t>
  </si>
  <si>
    <t>303 - Indisches Butterhuhn</t>
  </si>
  <si>
    <t>CON-00-136623-3</t>
  </si>
  <si>
    <t>304_1p</t>
  </si>
  <si>
    <t>304 - Hähnchen in Schnittlauchcreme</t>
  </si>
  <si>
    <t>CON-00-136687-3</t>
  </si>
  <si>
    <t>305_1p</t>
  </si>
  <si>
    <t>305 - Hähnchen à la Florentine</t>
  </si>
  <si>
    <t>CON-00-136620-3</t>
  </si>
  <si>
    <t>306_1p</t>
  </si>
  <si>
    <t>306 - Rosmarin-Tomaten-Hähnchen</t>
  </si>
  <si>
    <t>CON-00-138005-2</t>
  </si>
  <si>
    <t>307_1p</t>
  </si>
  <si>
    <t>307 - Schweinefilet mit Artischocken und Spinat</t>
  </si>
  <si>
    <t>308_1p</t>
  </si>
  <si>
    <t>308 - Lachs in cremiger Gochugaru-Sauce</t>
  </si>
  <si>
    <t>CON-00-137744-2</t>
  </si>
  <si>
    <t>309_1p</t>
  </si>
  <si>
    <t>309 - Cremiges Tomaten-Risotto</t>
  </si>
  <si>
    <t>CON-00-136629-3</t>
  </si>
  <si>
    <t>310_1p</t>
  </si>
  <si>
    <t>310 - Black Bean Bowl mit Enchiladasauce</t>
  </si>
  <si>
    <t>CON-00-136625-3</t>
  </si>
  <si>
    <t>311_1p</t>
  </si>
  <si>
    <t>311 - Geschmortes Rindfleisch in Kräuterjus</t>
  </si>
  <si>
    <t>CON-00-136698-3</t>
  </si>
  <si>
    <t>312_1p</t>
  </si>
  <si>
    <t>312 - Lachs auf Blumenkohlreis in Käsecreme</t>
  </si>
  <si>
    <t>313_1p</t>
  </si>
  <si>
    <t>313 - Hähnchen in Basilikum-Paprika-Sauce</t>
  </si>
  <si>
    <t>CON-00-136661-3</t>
  </si>
  <si>
    <t>314_1p</t>
  </si>
  <si>
    <t>314 - Gegrilltes Hähnchenfilet mit Pesto</t>
  </si>
  <si>
    <t>315_1p</t>
  </si>
  <si>
    <t>315 - Kohl in Hackfleisch-Käsesauce</t>
  </si>
  <si>
    <t>CON-00-136671-3</t>
  </si>
  <si>
    <t>316_1p</t>
  </si>
  <si>
    <t>316 - Hähnchen in Pilzsauce</t>
  </si>
  <si>
    <t>CON-00-136711-3</t>
  </si>
  <si>
    <t>317_1p</t>
  </si>
  <si>
    <t>317 - Schweinefilet in cremiger Knoblauch-Senf-Sauce</t>
  </si>
  <si>
    <t>CON-00-136637-3</t>
  </si>
  <si>
    <t>318_1p</t>
  </si>
  <si>
    <t xml:space="preserve">318 - Schweinefilet in Lauchcreme </t>
  </si>
  <si>
    <t>806_1p</t>
  </si>
  <si>
    <t>806 - Gegrilltes Hähnchen mit Knoblauch-Kräutern</t>
  </si>
  <si>
    <t>805_1p</t>
  </si>
  <si>
    <t>809_1p</t>
  </si>
  <si>
    <t>810_1p</t>
  </si>
  <si>
    <t>Values</t>
  </si>
  <si>
    <t>SUM of demand_thursday</t>
  </si>
  <si>
    <t>SUM of demand_friday</t>
  </si>
  <si>
    <t>SUM of demand_saturday</t>
  </si>
  <si>
    <t>COUNTUNIQUE of name</t>
  </si>
  <si>
    <t>Balancing</t>
  </si>
  <si>
    <t>Ambient</t>
  </si>
  <si>
    <t>CON-00-136674-3</t>
  </si>
  <si>
    <t>CON-00-152205-2</t>
  </si>
  <si>
    <t>CON-00-150748-2</t>
  </si>
  <si>
    <t>CON-00-152025-2</t>
  </si>
  <si>
    <t>CON-00-148220-2</t>
  </si>
  <si>
    <t>CON-00-151278-2</t>
  </si>
  <si>
    <t>CON-00-138152-2</t>
  </si>
  <si>
    <t>CON-00-152024-2</t>
  </si>
  <si>
    <t>CON-00-136694-3</t>
  </si>
  <si>
    <t>CON-00-154547-2</t>
  </si>
  <si>
    <t>CON-00-155185-3</t>
  </si>
  <si>
    <t>CON-00-136696-3</t>
  </si>
  <si>
    <t>206_1p</t>
  </si>
  <si>
    <t>205_1p</t>
  </si>
  <si>
    <t>209_1p</t>
  </si>
  <si>
    <t>210_1p</t>
  </si>
  <si>
    <t>601_1p</t>
  </si>
  <si>
    <t>CON-00-147878-2</t>
  </si>
  <si>
    <t>602_1p</t>
  </si>
  <si>
    <t>CON-00-152208-2</t>
  </si>
  <si>
    <t>603_1p</t>
  </si>
  <si>
    <t>CON-00-147839-2</t>
  </si>
  <si>
    <t>604_1p</t>
  </si>
  <si>
    <t>CON-00-147871-2</t>
  </si>
  <si>
    <t>605_1p</t>
  </si>
  <si>
    <t>CON-00-150749-2</t>
  </si>
  <si>
    <t>606_1p</t>
  </si>
  <si>
    <t>CON-00-152023-2</t>
  </si>
  <si>
    <t>607_1p</t>
  </si>
  <si>
    <t>CON-00-148196-2</t>
  </si>
  <si>
    <t>608_1p</t>
  </si>
  <si>
    <t>CON-00-147826-2</t>
  </si>
  <si>
    <t>609_1p</t>
  </si>
  <si>
    <t>CON-00-147816-2</t>
  </si>
  <si>
    <t>610_1p</t>
  </si>
  <si>
    <t>CON-00-147817-2</t>
  </si>
  <si>
    <t>611_1p</t>
  </si>
  <si>
    <t>CON-00-147824-2</t>
  </si>
  <si>
    <t>612_1p</t>
  </si>
  <si>
    <t>CON-00-151279-2</t>
  </si>
  <si>
    <t>613_1p</t>
  </si>
  <si>
    <t>CON-00-147901-2</t>
  </si>
  <si>
    <t>614_1p</t>
  </si>
  <si>
    <t>CON-00-152026-2</t>
  </si>
  <si>
    <t>615_1p</t>
  </si>
  <si>
    <t>CON-00-147857-2</t>
  </si>
  <si>
    <t>616_1p</t>
  </si>
  <si>
    <t>CON-00-154556-2</t>
  </si>
  <si>
    <t>617_1p</t>
  </si>
  <si>
    <t>CON-00-155188-2</t>
  </si>
  <si>
    <t>618_1p</t>
  </si>
  <si>
    <t>CON-00-147864-2</t>
  </si>
  <si>
    <t>620_1p</t>
  </si>
  <si>
    <t>621_1p</t>
  </si>
  <si>
    <t>706_1p</t>
  </si>
  <si>
    <t>706 - Grillet kylling med hvidlød og urter</t>
  </si>
  <si>
    <t>PTN-00-148223-2</t>
  </si>
  <si>
    <t>705_1p</t>
  </si>
  <si>
    <t>709_1p</t>
  </si>
  <si>
    <t>710_1p</t>
  </si>
  <si>
    <t>decvar0</t>
  </si>
  <si>
    <t>decvar_z_lower</t>
  </si>
  <si>
    <t>decvar_z_upper</t>
  </si>
  <si>
    <t>2-1</t>
  </si>
  <si>
    <t>3-1</t>
  </si>
  <si>
    <t>4-1</t>
  </si>
  <si>
    <t>5-1</t>
  </si>
  <si>
    <t>6-2</t>
  </si>
  <si>
    <t>7-1</t>
  </si>
  <si>
    <t>7-2</t>
  </si>
  <si>
    <t>8-2</t>
  </si>
  <si>
    <t>9-1</t>
  </si>
  <si>
    <t>9-2</t>
  </si>
  <si>
    <t>12-2</t>
  </si>
  <si>
    <t>13-2</t>
  </si>
  <si>
    <t>14-1</t>
  </si>
  <si>
    <t>14-2</t>
  </si>
  <si>
    <t>18-1</t>
  </si>
  <si>
    <t>18-2</t>
  </si>
  <si>
    <t>19-1</t>
  </si>
  <si>
    <t>19-2</t>
  </si>
  <si>
    <t>20-2</t>
  </si>
  <si>
    <t>24-1</t>
  </si>
  <si>
    <t>24-2</t>
  </si>
  <si>
    <t>25-1</t>
  </si>
  <si>
    <t>25-2</t>
  </si>
  <si>
    <t>26-2</t>
  </si>
  <si>
    <t>27-2</t>
  </si>
  <si>
    <t>28-2</t>
  </si>
  <si>
    <t>29-1</t>
  </si>
  <si>
    <t>34-1</t>
  </si>
  <si>
    <t>34-2</t>
  </si>
  <si>
    <t>35-1</t>
  </si>
  <si>
    <t>35-2</t>
  </si>
  <si>
    <t>36-2</t>
  </si>
  <si>
    <t>37-3</t>
  </si>
  <si>
    <t>38-1</t>
  </si>
  <si>
    <t>41-1</t>
  </si>
  <si>
    <t>41-2</t>
  </si>
  <si>
    <t>42-1</t>
  </si>
  <si>
    <t>42-2</t>
  </si>
  <si>
    <t>43-1</t>
  </si>
  <si>
    <t>43-2</t>
  </si>
  <si>
    <t>44-2</t>
  </si>
  <si>
    <t>49-2</t>
  </si>
  <si>
    <t>50-1</t>
  </si>
  <si>
    <t>50-2</t>
  </si>
  <si>
    <t>51-1</t>
  </si>
  <si>
    <t>51-2</t>
  </si>
  <si>
    <t>52-1</t>
  </si>
  <si>
    <t>54-1</t>
  </si>
  <si>
    <t>55-1</t>
  </si>
  <si>
    <t>55-2</t>
  </si>
  <si>
    <t>56-1</t>
  </si>
  <si>
    <t>56-2</t>
  </si>
  <si>
    <t>57-1</t>
  </si>
  <si>
    <t>57-2</t>
  </si>
  <si>
    <t>58-1</t>
  </si>
  <si>
    <t>58-2</t>
  </si>
  <si>
    <t>59-1</t>
  </si>
  <si>
    <t>59-2</t>
  </si>
  <si>
    <t>60-1</t>
  </si>
  <si>
    <t>60-2</t>
  </si>
  <si>
    <t>Columns</t>
  </si>
  <si>
    <t>Rows</t>
  </si>
  <si>
    <t xml:space="preserve">Base line: Recipe Pick Pattern </t>
  </si>
  <si>
    <t xml:space="preserve">Test line: Recipe Pick Pattern </t>
  </si>
  <si>
    <t>COUNTUNIQUE of SKU</t>
  </si>
  <si>
    <t>Kits</t>
  </si>
  <si>
    <t>RecipeVolume</t>
  </si>
  <si>
    <t>RecipeSlot</t>
  </si>
  <si>
    <t>PortionSize</t>
  </si>
  <si>
    <t>NameHelper</t>
  </si>
  <si>
    <t>10r_2p</t>
  </si>
  <si>
    <t>11r_2p</t>
  </si>
  <si>
    <t>12r_2p</t>
  </si>
  <si>
    <t>13r_2p</t>
  </si>
  <si>
    <t>14r_2p</t>
  </si>
  <si>
    <t>15r_2p</t>
  </si>
  <si>
    <t>16r_2p</t>
  </si>
  <si>
    <t>17r_2p</t>
  </si>
  <si>
    <t>18r_2p</t>
  </si>
  <si>
    <t>19r_2p</t>
  </si>
  <si>
    <t>1r_2p</t>
  </si>
  <si>
    <t>20r_2p</t>
  </si>
  <si>
    <t>21r_2p</t>
  </si>
  <si>
    <t>22r_2p</t>
  </si>
  <si>
    <t>23r_2p</t>
  </si>
  <si>
    <t>24r_2p</t>
  </si>
  <si>
    <t>25r_2p</t>
  </si>
  <si>
    <t>26r_2p</t>
  </si>
  <si>
    <t>27r_2p</t>
  </si>
  <si>
    <t>28r_2p</t>
  </si>
  <si>
    <t>29r_2p</t>
  </si>
  <si>
    <t>2r_2p</t>
  </si>
  <si>
    <t>301r_2p</t>
  </si>
  <si>
    <t>303r_2p</t>
  </si>
  <si>
    <t>30r_2p</t>
  </si>
  <si>
    <t>31r_2p</t>
  </si>
  <si>
    <t>32r_2p</t>
  </si>
  <si>
    <t>33r_2p</t>
  </si>
  <si>
    <t>34r_2p</t>
  </si>
  <si>
    <t>35r_2p</t>
  </si>
  <si>
    <t>36r_2p</t>
  </si>
  <si>
    <t>3r_2p</t>
  </si>
  <si>
    <t>401r_2p</t>
  </si>
  <si>
    <t>4r_2p</t>
  </si>
  <si>
    <t>5r_2p</t>
  </si>
  <si>
    <t>6r_2p</t>
  </si>
  <si>
    <t>701r_2p</t>
  </si>
  <si>
    <t>702r_2p</t>
  </si>
  <si>
    <t>703r_2p</t>
  </si>
  <si>
    <t>7r_2p</t>
  </si>
  <si>
    <t>8r_2p</t>
  </si>
  <si>
    <t>9r_2p</t>
  </si>
  <si>
    <t>metric</t>
  </si>
  <si>
    <t>job_name</t>
  </si>
  <si>
    <t>start_time</t>
  </si>
  <si>
    <t>2026-04-29 09:38:24</t>
  </si>
  <si>
    <t>run_type</t>
  </si>
  <si>
    <t>solve_problem</t>
  </si>
  <si>
    <t>run_id</t>
  </si>
  <si>
    <t>43e23e21-15e3-40d0-b193-59290d746ce3</t>
  </si>
  <si>
    <t>cpu</t>
  </si>
  <si>
    <t>AMD EPYC 7R13 Processor</t>
  </si>
  <si>
    <t>memory_gb</t>
  </si>
  <si>
    <t>123.16</t>
  </si>
  <si>
    <t>import_parameters_runtime</t>
  </si>
  <si>
    <t>0.0</t>
  </si>
  <si>
    <t>load_tabular_constraints</t>
  </si>
  <si>
    <t>dataframe_shape</t>
  </si>
  <si>
    <t>(3231, 28)</t>
  </si>
  <si>
    <t>dataframe_size</t>
  </si>
  <si>
    <t>2.19</t>
  </si>
  <si>
    <t>create_input_dataframes_runtime</t>
  </si>
  <si>
    <t>0.019</t>
  </si>
  <si>
    <t>number_unisolver_variables</t>
  </si>
  <si>
    <t>4</t>
  </si>
  <si>
    <t>create_unisolver_variables_runtime</t>
  </si>
  <si>
    <t>number_unisolver_objective_functions</t>
  </si>
  <si>
    <t>create_unisolver_objective_functions_runtime</t>
  </si>
  <si>
    <t>number_unisolver_constraints</t>
  </si>
  <si>
    <t>9</t>
  </si>
  <si>
    <t>create_unisolver_constraints_runtime</t>
  </si>
  <si>
    <t>0.001</t>
  </si>
  <si>
    <t>number_unisolver_slack_variables</t>
  </si>
  <si>
    <t>number_unisolver_slack_objectives</t>
  </si>
  <si>
    <t>number_mip_variables</t>
  </si>
  <si>
    <t>3257</t>
  </si>
  <si>
    <t>create_mip_variables_runtime</t>
  </si>
  <si>
    <t>0.061</t>
  </si>
  <si>
    <t>create_constraints_df_dict_runtime</t>
  </si>
  <si>
    <t>0.003</t>
  </si>
  <si>
    <t>number_mip_constraints</t>
  </si>
  <si>
    <t>446</t>
  </si>
  <si>
    <t>create_mip_constraints_runtime</t>
  </si>
  <si>
    <t>0.61</t>
  </si>
  <si>
    <t>empty_constraints</t>
  </si>
  <si>
    <t>['StationConstraint', 'LevelConstraint']</t>
  </si>
  <si>
    <t>number_empty_constraints</t>
  </si>
  <si>
    <t>2</t>
  </si>
  <si>
    <t>create_mip_objective_functions_runtime</t>
  </si>
  <si>
    <t>0.005</t>
  </si>
  <si>
    <t>solver_name</t>
  </si>
  <si>
    <t>grb</t>
  </si>
  <si>
    <t>emphasis</t>
  </si>
  <si>
    <t>{1: 1}</t>
  </si>
  <si>
    <t>integer_tol</t>
  </si>
  <si>
    <t>{1: 1e-06}</t>
  </si>
  <si>
    <t>max_mip_gap</t>
  </si>
  <si>
    <t>{1: 0.01}</t>
  </si>
  <si>
    <t>max_seconds</t>
  </si>
  <si>
    <t>{1: 500}</t>
  </si>
  <si>
    <t>model_conversion_runtime</t>
  </si>
  <si>
    <t>0.127</t>
  </si>
  <si>
    <t>mip_solver_status</t>
  </si>
  <si>
    <t>{1: OPTIMAL}</t>
  </si>
  <si>
    <t>has_active_slacks</t>
  </si>
  <si>
    <t>objective_value</t>
  </si>
  <si>
    <t>{1: '6577.71'}</t>
  </si>
  <si>
    <t>objective_terms_values</t>
  </si>
  <si>
    <t>{1: ['6577.71']}</t>
  </si>
  <si>
    <t>final_mip_gap</t>
  </si>
  <si>
    <t>{1: '1.65863e-06'}</t>
  </si>
  <si>
    <t>mip_optimize_runtime</t>
  </si>
  <si>
    <t>{1: 0.365}</t>
  </si>
  <si>
    <t>number_optimized_priorities</t>
  </si>
  <si>
    <t>optimize_model_runtime</t>
  </si>
  <si>
    <t>0.379</t>
  </si>
  <si>
    <t>problem_status</t>
  </si>
  <si>
    <t>done</t>
  </si>
  <si>
    <t>infeasibility_info</t>
  </si>
  <si>
    <t>prepare_decision_variable_output_runtime</t>
  </si>
  <si>
    <t>0.022</t>
  </si>
  <si>
    <t>sensitivity_analysis_runtime</t>
  </si>
  <si>
    <t>create_outputs_runtime</t>
  </si>
  <si>
    <t>0.025</t>
  </si>
  <si>
    <t>total_runtime</t>
  </si>
  <si>
    <t>2.866</t>
  </si>
  <si>
    <t>error_reporting</t>
  </si>
  <si>
    <t>Box-S</t>
  </si>
  <si>
    <t>Box-M</t>
  </si>
  <si>
    <t>Box-L</t>
  </si>
  <si>
    <t>Box-XL</t>
  </si>
  <si>
    <t>Box-XS</t>
  </si>
  <si>
    <t>paper_pouch-32-L</t>
  </si>
  <si>
    <t>paper_pouch-32-S</t>
  </si>
  <si>
    <t>paper_pouch-32-M</t>
  </si>
  <si>
    <t>703_1</t>
  </si>
  <si>
    <t>703_MK</t>
  </si>
  <si>
    <t>Addon Mealkit</t>
  </si>
  <si>
    <t>^703.*</t>
  </si>
  <si>
    <t>703_2</t>
  </si>
  <si>
    <t>703_3</t>
  </si>
  <si>
    <t>703_4</t>
  </si>
  <si>
    <t>703_5</t>
  </si>
  <si>
    <t>703_6</t>
  </si>
  <si>
    <t>703_7</t>
  </si>
  <si>
    <t>703_8</t>
  </si>
  <si>
    <t>703_9</t>
  </si>
  <si>
    <t>703_10</t>
  </si>
  <si>
    <t>Mealkit</t>
  </si>
  <si>
    <t>^703r.*</t>
  </si>
  <si>
    <t>703r_3p</t>
  </si>
  <si>
    <t>703r_4p</t>
  </si>
  <si>
    <t>301_1</t>
  </si>
  <si>
    <t>301_MK</t>
  </si>
  <si>
    <t>^301.*</t>
  </si>
  <si>
    <t>301_2</t>
  </si>
  <si>
    <t>301_3</t>
  </si>
  <si>
    <t>301_4</t>
  </si>
  <si>
    <t>301_5</t>
  </si>
  <si>
    <t>301_6</t>
  </si>
  <si>
    <t>301_7</t>
  </si>
  <si>
    <t>301_8</t>
  </si>
  <si>
    <t>301_9</t>
  </si>
  <si>
    <t>301_10</t>
  </si>
  <si>
    <t>^301r.*</t>
  </si>
  <si>
    <t>301r_3p</t>
  </si>
  <si>
    <t>301r_4p</t>
  </si>
  <si>
    <t>701_1</t>
  </si>
  <si>
    <t>701_MK</t>
  </si>
  <si>
    <t>^701.*</t>
  </si>
  <si>
    <t>701_2</t>
  </si>
  <si>
    <t>701_3</t>
  </si>
  <si>
    <t>701_4</t>
  </si>
  <si>
    <t>701_5</t>
  </si>
  <si>
    <t>701_6</t>
  </si>
  <si>
    <t>701_7</t>
  </si>
  <si>
    <t>701_8</t>
  </si>
  <si>
    <t>701_9</t>
  </si>
  <si>
    <t>701_10</t>
  </si>
  <si>
    <t>^701r.*</t>
  </si>
  <si>
    <t>701r_3p</t>
  </si>
  <si>
    <t>701r_4p</t>
  </si>
  <si>
    <t>702_1</t>
  </si>
  <si>
    <t>702_MK</t>
  </si>
  <si>
    <t>^702.*</t>
  </si>
  <si>
    <t>702_2</t>
  </si>
  <si>
    <t>702_3</t>
  </si>
  <si>
    <t>702_4</t>
  </si>
  <si>
    <t>702_5</t>
  </si>
  <si>
    <t>702_6</t>
  </si>
  <si>
    <t>702_7</t>
  </si>
  <si>
    <t>702_8</t>
  </si>
  <si>
    <t>702_9</t>
  </si>
  <si>
    <t>702_10</t>
  </si>
  <si>
    <t>^702r.*</t>
  </si>
  <si>
    <t>702r_3p</t>
  </si>
  <si>
    <t>702r_4p</t>
  </si>
  <si>
    <t>303_1</t>
  </si>
  <si>
    <t>303_MK</t>
  </si>
  <si>
    <t>^303.*</t>
  </si>
  <si>
    <t>303_2</t>
  </si>
  <si>
    <t>303_3</t>
  </si>
  <si>
    <t>303_4</t>
  </si>
  <si>
    <t>303_5</t>
  </si>
  <si>
    <t>303_6</t>
  </si>
  <si>
    <t>303_7</t>
  </si>
  <si>
    <t>303_8</t>
  </si>
  <si>
    <t>303_9</t>
  </si>
  <si>
    <t>303_10</t>
  </si>
  <si>
    <t>^303r.*</t>
  </si>
  <si>
    <t>303r_3p</t>
  </si>
  <si>
    <t>303r_4p</t>
  </si>
  <si>
    <t>401_1</t>
  </si>
  <si>
    <t>401_MK</t>
  </si>
  <si>
    <t>^401.*</t>
  </si>
  <si>
    <t>401_2</t>
  </si>
  <si>
    <t>401_3</t>
  </si>
  <si>
    <t>401_4</t>
  </si>
  <si>
    <t>401_5</t>
  </si>
  <si>
    <t>401_6</t>
  </si>
  <si>
    <t>401_7</t>
  </si>
  <si>
    <t>401_8</t>
  </si>
  <si>
    <t>401_9</t>
  </si>
  <si>
    <t>401_10</t>
  </si>
  <si>
    <t>^401r.*</t>
  </si>
  <si>
    <t>401r_3p</t>
  </si>
  <si>
    <t>401r_4p</t>
  </si>
  <si>
    <t>1_MK</t>
  </si>
  <si>
    <t>^1r.*</t>
  </si>
  <si>
    <t>1r_3p</t>
  </si>
  <si>
    <t>1r_4p</t>
  </si>
  <si>
    <t>2_MK</t>
  </si>
  <si>
    <t>^2r.*</t>
  </si>
  <si>
    <t>2r_3p</t>
  </si>
  <si>
    <t>2r_4p</t>
  </si>
  <si>
    <t>3_MK</t>
  </si>
  <si>
    <t>^3r.*</t>
  </si>
  <si>
    <t>3r_3p</t>
  </si>
  <si>
    <t>3r_4p</t>
  </si>
  <si>
    <t>4_MK</t>
  </si>
  <si>
    <t>^4r.*</t>
  </si>
  <si>
    <t>4r_3p</t>
  </si>
  <si>
    <t>4r_4p</t>
  </si>
  <si>
    <t>5_MK</t>
  </si>
  <si>
    <t>^5r.*</t>
  </si>
  <si>
    <t>5r_3p</t>
  </si>
  <si>
    <t>5r_4p</t>
  </si>
  <si>
    <t>6_MK</t>
  </si>
  <si>
    <t>^6r.*</t>
  </si>
  <si>
    <t>6r_3p</t>
  </si>
  <si>
    <t>6r_4p</t>
  </si>
  <si>
    <t>7_MK</t>
  </si>
  <si>
    <t>^7r.*</t>
  </si>
  <si>
    <t>7r_3p</t>
  </si>
  <si>
    <t>7r_4p</t>
  </si>
  <si>
    <t>8_MK</t>
  </si>
  <si>
    <t>^8r.*</t>
  </si>
  <si>
    <t>8r_3p</t>
  </si>
  <si>
    <t>8r_4p</t>
  </si>
  <si>
    <t>9_MK</t>
  </si>
  <si>
    <t>^9r.*</t>
  </si>
  <si>
    <t>9r_3p</t>
  </si>
  <si>
    <t>9r_4p</t>
  </si>
  <si>
    <t>10_MK</t>
  </si>
  <si>
    <t>^10r.*</t>
  </si>
  <si>
    <t>10r_3p</t>
  </si>
  <si>
    <t>10r_4p</t>
  </si>
  <si>
    <t>11_MK</t>
  </si>
  <si>
    <t>^11r.*</t>
  </si>
  <si>
    <t>11r_3p</t>
  </si>
  <si>
    <t>11r_4p</t>
  </si>
  <si>
    <t>12_MK</t>
  </si>
  <si>
    <t>^12r.*</t>
  </si>
  <si>
    <t>12r_3p</t>
  </si>
  <si>
    <t>12r_4p</t>
  </si>
  <si>
    <t>13_MK</t>
  </si>
  <si>
    <t>^13r.*</t>
  </si>
  <si>
    <t>13r_3p</t>
  </si>
  <si>
    <t>13r_4p</t>
  </si>
  <si>
    <t>14_MK</t>
  </si>
  <si>
    <t>^14r.*</t>
  </si>
  <si>
    <t>14r_3p</t>
  </si>
  <si>
    <t>14r_4p</t>
  </si>
  <si>
    <t>15_MK</t>
  </si>
  <si>
    <t>^15r.*</t>
  </si>
  <si>
    <t>15r_3p</t>
  </si>
  <si>
    <t>15r_4p</t>
  </si>
  <si>
    <t>16_MK</t>
  </si>
  <si>
    <t>^16r.*</t>
  </si>
  <si>
    <t>16r_3p</t>
  </si>
  <si>
    <t>16r_4p</t>
  </si>
  <si>
    <t>17_MK</t>
  </si>
  <si>
    <t>^17r.*</t>
  </si>
  <si>
    <t>17r_3p</t>
  </si>
  <si>
    <t>17r_4p</t>
  </si>
  <si>
    <t>18_MK</t>
  </si>
  <si>
    <t>^18r.*</t>
  </si>
  <si>
    <t>18r_3p</t>
  </si>
  <si>
    <t>18r_4p</t>
  </si>
  <si>
    <t>19_MK</t>
  </si>
  <si>
    <t>^19r.*</t>
  </si>
  <si>
    <t>19r_3p</t>
  </si>
  <si>
    <t>19r_4p</t>
  </si>
  <si>
    <t>20_MK</t>
  </si>
  <si>
    <t>^20r.*</t>
  </si>
  <si>
    <t>20r_3p</t>
  </si>
  <si>
    <t>20r_4p</t>
  </si>
  <si>
    <t>21_MK</t>
  </si>
  <si>
    <t>^21r.*</t>
  </si>
  <si>
    <t>21r_3p</t>
  </si>
  <si>
    <t>21r_4p</t>
  </si>
  <si>
    <t>22_MK</t>
  </si>
  <si>
    <t>^22r.*</t>
  </si>
  <si>
    <t>22r_3p</t>
  </si>
  <si>
    <t>22r_4p</t>
  </si>
  <si>
    <t>23_MK</t>
  </si>
  <si>
    <t>^23r.*</t>
  </si>
  <si>
    <t>23r_3p</t>
  </si>
  <si>
    <t>23r_4p</t>
  </si>
  <si>
    <t>24_MK</t>
  </si>
  <si>
    <t>^24r.*</t>
  </si>
  <si>
    <t>24r_3p</t>
  </si>
  <si>
    <t>24r_4p</t>
  </si>
  <si>
    <t>25_MK</t>
  </si>
  <si>
    <t>^25r.*</t>
  </si>
  <si>
    <t>25r_3p</t>
  </si>
  <si>
    <t>25r_4p</t>
  </si>
  <si>
    <t>26_MK</t>
  </si>
  <si>
    <t>^26r.*</t>
  </si>
  <si>
    <t>26r_3p</t>
  </si>
  <si>
    <t>26r_4p</t>
  </si>
  <si>
    <t>27_MK</t>
  </si>
  <si>
    <t>^27r.*</t>
  </si>
  <si>
    <t>27r_3p</t>
  </si>
  <si>
    <t>27r_4p</t>
  </si>
  <si>
    <t>28_MK</t>
  </si>
  <si>
    <t>^28r.*</t>
  </si>
  <si>
    <t>28r_3p</t>
  </si>
  <si>
    <t>28r_4p</t>
  </si>
  <si>
    <t>29_MK</t>
  </si>
  <si>
    <t>^29r.*</t>
  </si>
  <si>
    <t>29r_3p</t>
  </si>
  <si>
    <t>29r_4p</t>
  </si>
  <si>
    <t>30_MK</t>
  </si>
  <si>
    <t>^30r.*</t>
  </si>
  <si>
    <t>30r_3p</t>
  </si>
  <si>
    <t>30r_4p</t>
  </si>
  <si>
    <t>31_MK</t>
  </si>
  <si>
    <t>^31r.*</t>
  </si>
  <si>
    <t>31r_3p</t>
  </si>
  <si>
    <t>31r_4p</t>
  </si>
  <si>
    <t>32_MK</t>
  </si>
  <si>
    <t>^32r.*</t>
  </si>
  <si>
    <t>32r_3p</t>
  </si>
  <si>
    <t>32r_4p</t>
  </si>
  <si>
    <t>33_MK</t>
  </si>
  <si>
    <t>^33r.*</t>
  </si>
  <si>
    <t>33r_3p</t>
  </si>
  <si>
    <t>33r_4p</t>
  </si>
  <si>
    <t>34_MK</t>
  </si>
  <si>
    <t>^34r.*</t>
  </si>
  <si>
    <t>34r_3p</t>
  </si>
  <si>
    <t>34r_4p</t>
  </si>
  <si>
    <t>35_MK</t>
  </si>
  <si>
    <t>^35r.*</t>
  </si>
  <si>
    <t>35r_3p</t>
  </si>
  <si>
    <t>35r_4p</t>
  </si>
  <si>
    <t>36_MK</t>
  </si>
  <si>
    <t>^36r.*</t>
  </si>
  <si>
    <t>36r_3p</t>
  </si>
  <si>
    <t>36r_4p</t>
  </si>
  <si>
    <t>HaehnchenbrustfiletinLakegStueck-QS_0</t>
  </si>
  <si>
    <t>PTN-11-101341-2</t>
  </si>
  <si>
    <t>PTN-11-101342-2</t>
  </si>
  <si>
    <t>Naturjoghurtmind.%FettBiog_0</t>
  </si>
  <si>
    <t>DAI-11-116266-3</t>
  </si>
  <si>
    <t>Naturjoghurtmind.%FettBiog_1</t>
  </si>
  <si>
    <t>DAI-11-116265-3</t>
  </si>
  <si>
    <t>Hartkaeseital.Artgeriebeng__1</t>
  </si>
  <si>
    <t>DAI-00-10141-2</t>
  </si>
  <si>
    <t>Hartkaeseital.Artgeriebeng__0</t>
  </si>
  <si>
    <t>DAI-00-50213-2</t>
  </si>
  <si>
    <t>Buttermilch-ZitronenDressingml_0</t>
  </si>
  <si>
    <t>PRO-00-90579-2</t>
  </si>
  <si>
    <t>Haehnchengeschnetzeltesmariniertg-QS_0</t>
  </si>
  <si>
    <t>PTN-11-50463-2</t>
  </si>
  <si>
    <t>PTN-11-50464-2</t>
  </si>
  <si>
    <t>BaconScheibengScheiben-QS_0</t>
  </si>
  <si>
    <t>PTN-11-90558-2</t>
  </si>
  <si>
    <t>PTN-11-90559-2</t>
  </si>
  <si>
    <t>Dinkelvorgekochtg-(V)_0</t>
  </si>
  <si>
    <t>DRY-00-50447-2</t>
  </si>
  <si>
    <t>DRY-00-50448-2</t>
  </si>
  <si>
    <t>DRY-00-50449-2</t>
  </si>
  <si>
    <t>Hirtenkaeseg%Fett_1</t>
  </si>
  <si>
    <t>DAI-00-115401-3</t>
  </si>
  <si>
    <t>DAI-00-115403-3</t>
  </si>
  <si>
    <t>Hirtenkaeseg%Fett_0</t>
  </si>
  <si>
    <t>DAI-00-115402-3</t>
  </si>
  <si>
    <t>RinderhueftsteakgStueck-QS_0</t>
  </si>
  <si>
    <t>PTN-11-90502-2</t>
  </si>
  <si>
    <t>PTN-11-90503-2</t>
  </si>
  <si>
    <t>JungerGoudageriebeng_0</t>
  </si>
  <si>
    <t>DAI-11-120510-3</t>
  </si>
  <si>
    <t>DAI-11-120511-3</t>
  </si>
  <si>
    <t>GemischtesHackfleischg-QS_0</t>
  </si>
  <si>
    <t>PTN-11-117378-2</t>
  </si>
  <si>
    <t>PTN-11-117377-2</t>
  </si>
  <si>
    <t>PTN-11-117379-2</t>
  </si>
  <si>
    <t>FrischerFlammkuchenTeigg-(V)_0</t>
  </si>
  <si>
    <t>BAK-00-102699-3</t>
  </si>
  <si>
    <t>MozzarellaVeggieg_0</t>
  </si>
  <si>
    <t>DAI-11-10039-2</t>
  </si>
  <si>
    <t>SaureSahneBiog_0</t>
  </si>
  <si>
    <t>DAI-11-116335-3</t>
  </si>
  <si>
    <t>BueffelmozzarellaD.O.P.g__0</t>
  </si>
  <si>
    <t>DAI-00-50291-2</t>
  </si>
  <si>
    <t>Frischecremeg_0</t>
  </si>
  <si>
    <t>DAI-00-119635-3</t>
  </si>
  <si>
    <t>DAI-00-119636-3</t>
  </si>
  <si>
    <t>DAI-00-119637-3</t>
  </si>
  <si>
    <t>WuerzigerGoudageriebeng_1</t>
  </si>
  <si>
    <t>DAI-11-120514-3</t>
  </si>
  <si>
    <t>WuerzigerGoudageriebeng_0</t>
  </si>
  <si>
    <t>DAI-11-120515-3</t>
  </si>
  <si>
    <t>Cremefraicheg_0</t>
  </si>
  <si>
    <t>DAI-11-115404-3</t>
  </si>
  <si>
    <t>GrillkaeseZypriotischerArtg_0</t>
  </si>
  <si>
    <t>DAI-00-115523-3</t>
  </si>
  <si>
    <t>Naturjoghurtmind.%FettBiog_2</t>
  </si>
  <si>
    <t>DAI-11-116264-3</t>
  </si>
  <si>
    <t>SeehechtgStueck_0</t>
  </si>
  <si>
    <t>PTN-11-50092-2</t>
  </si>
  <si>
    <t>PTN-11-50081-2</t>
  </si>
  <si>
    <t>Sahnejoghurtmildg_0</t>
  </si>
  <si>
    <t>DAI-11-13079-2</t>
  </si>
  <si>
    <t>DAI-11-13080-2</t>
  </si>
  <si>
    <t>VeganescremigesSojaproduktg_0</t>
  </si>
  <si>
    <t>DAI-00-100365-3</t>
  </si>
  <si>
    <t>HaehncheninnenbrustfiletinLakeg_0</t>
  </si>
  <si>
    <t>PTN-11-119517-2</t>
  </si>
  <si>
    <t>PTN-11-119516-2</t>
  </si>
  <si>
    <t>PTN-11-119515-2</t>
  </si>
  <si>
    <t>FrischeLinguinig-(V)_0</t>
  </si>
  <si>
    <t>DRY-00-50074-2</t>
  </si>
  <si>
    <t>DRY-00-50075-2</t>
  </si>
  <si>
    <t>Hartkaeseital.Artgeraspeltg__0</t>
  </si>
  <si>
    <t>DAI-00-50214-2</t>
  </si>
  <si>
    <t>Hartkaeseital.Artgeraspeltg__1</t>
  </si>
  <si>
    <t>DAI-00-50215-2</t>
  </si>
  <si>
    <t>GarnelenohneSchaleg_0</t>
  </si>
  <si>
    <t>PTN-11-003429-2</t>
  </si>
  <si>
    <t>PTN-11-11323-2</t>
  </si>
  <si>
    <t>PTN-11-11324-2</t>
  </si>
  <si>
    <t>Lachsfiletxgg_0</t>
  </si>
  <si>
    <t>PTN-11-100591-2</t>
  </si>
  <si>
    <t>PTN-11-115697-2</t>
  </si>
  <si>
    <t>Butterg_1</t>
  </si>
  <si>
    <t>DAI-11-13075-2</t>
  </si>
  <si>
    <t>SchweinefiletgStueck-QS_0</t>
  </si>
  <si>
    <t>PTN-11-50382-2</t>
  </si>
  <si>
    <t>PTN-11-50431-2</t>
  </si>
  <si>
    <t>PTN-11-50193-2</t>
  </si>
  <si>
    <t>HaehnchenunterschenkelinPaprikamarinadegStueck-QS_0</t>
  </si>
  <si>
    <t>PTN-11-002893-2</t>
  </si>
  <si>
    <t>PTN-11-002895-2</t>
  </si>
  <si>
    <t>PTN-11-002894-2</t>
  </si>
  <si>
    <t>Rinderhackfleischg-QS_0</t>
  </si>
  <si>
    <t>PTN-11-10144-2</t>
  </si>
  <si>
    <t>PTN-11-10145-2</t>
  </si>
  <si>
    <t>PTN-11-10146-2</t>
  </si>
  <si>
    <t>Prosciuttog_0</t>
  </si>
  <si>
    <t>PTN-11-121079-2</t>
  </si>
  <si>
    <t>PTN-11-121078-2</t>
  </si>
  <si>
    <t>Paccherifrischg-(V)_0</t>
  </si>
  <si>
    <t>DRY-00-50103-2</t>
  </si>
  <si>
    <t>DRY-00-50104-2</t>
  </si>
  <si>
    <t>PlantedveganeFiletstueckenHaehnchen-ArtKraeuter-Zitroneg_0</t>
  </si>
  <si>
    <t>PTN-11-120370-3</t>
  </si>
  <si>
    <t>PTN-11-120371-1</t>
  </si>
  <si>
    <t>Eierspaetzlefrisch(%)g_0</t>
  </si>
  <si>
    <t>DRY-00-116334-3</t>
  </si>
  <si>
    <t>DRY-00-116333-3</t>
  </si>
  <si>
    <t>DRY-00-116332-3</t>
  </si>
  <si>
    <t>BaconStreifeng-QS_0</t>
  </si>
  <si>
    <t>PTN-11-90560-2</t>
  </si>
  <si>
    <t>PTN-11-10001-2</t>
  </si>
  <si>
    <t>Wirsinggeschnitteng_0</t>
  </si>
  <si>
    <t>PHF-11-90513-2</t>
  </si>
  <si>
    <t>PHF-11-90514-2</t>
  </si>
  <si>
    <t>PHF-11-90515-2</t>
  </si>
  <si>
    <t>Gnocchifrischvorgekochtg-(V)_0</t>
  </si>
  <si>
    <t>DRY-00-10072-3</t>
  </si>
  <si>
    <t>DRY-00-10472-3</t>
  </si>
  <si>
    <t>DRY-00-10074-3</t>
  </si>
  <si>
    <t>Kraeuterbutterg_0</t>
  </si>
  <si>
    <t>DAI-00-004414-2</t>
  </si>
  <si>
    <t>ThueringerRostbratwurstgStueck--QS_0</t>
  </si>
  <si>
    <t>PTN-11-90545-2</t>
  </si>
  <si>
    <t>PTN-11-90546-2</t>
  </si>
  <si>
    <t>PTN-11-90566-2</t>
  </si>
  <si>
    <t>Kartoffel-Schupfnudelng-(V)_0</t>
  </si>
  <si>
    <t>DRY-00-50136-2</t>
  </si>
  <si>
    <t>DRY-00-50137-2</t>
  </si>
  <si>
    <t>DRY-00-50138-2</t>
  </si>
  <si>
    <t>HaehnchenbrustfiletStueckg-QS_0</t>
  </si>
  <si>
    <t>PTN-11-11336-2</t>
  </si>
  <si>
    <t>JungerGoudageriebeng_1</t>
  </si>
  <si>
    <t>DAI-11-120512-3</t>
  </si>
  <si>
    <t>SaureSahneBiog_1</t>
  </si>
  <si>
    <t>DAI-11-116336-3</t>
  </si>
  <si>
    <t>Kaminkaesemildg_0</t>
  </si>
  <si>
    <t>DAI-11-50354-2</t>
  </si>
  <si>
    <t>FrischerButter-Blaetterteigg_0</t>
  </si>
  <si>
    <t>BAK-00-000917-2</t>
  </si>
  <si>
    <t>Schmandg_0</t>
  </si>
  <si>
    <t>DAI-11-10146-3</t>
  </si>
  <si>
    <t>Porreeg_0</t>
  </si>
  <si>
    <t>PHF-11-50154-3</t>
  </si>
  <si>
    <t>VeganeBriocheBurgerBunserg-(V)_0</t>
  </si>
  <si>
    <t>BAK-00-115694-5</t>
  </si>
  <si>
    <t>BAK-00-115693-5</t>
  </si>
  <si>
    <t>BAK-00-115695-5</t>
  </si>
  <si>
    <t>Blumenkohlg_0</t>
  </si>
  <si>
    <t>PHF-11-10021-3</t>
  </si>
  <si>
    <t>PHF-11-10022-3</t>
  </si>
  <si>
    <t>PHF-11-10020-3</t>
  </si>
  <si>
    <t>Brokkolig_0</t>
  </si>
  <si>
    <t>PHF-11-10023-3</t>
  </si>
  <si>
    <t>Steinofenbaguetteg-(V)_0</t>
  </si>
  <si>
    <t>BAK-00-10049-5</t>
  </si>
  <si>
    <t>702_2p</t>
  </si>
  <si>
    <t>303_2p</t>
  </si>
  <si>
    <t>Ringbrotg-(V)_0</t>
  </si>
  <si>
    <t>BAK-00-004037-5</t>
  </si>
  <si>
    <t>Butterg_0</t>
  </si>
  <si>
    <t>DAI-11-13074-2</t>
  </si>
  <si>
    <t>Ice1</t>
  </si>
  <si>
    <t>Ice3</t>
  </si>
  <si>
    <t>Ice5</t>
  </si>
  <si>
    <t>Ice7</t>
  </si>
  <si>
    <t>Ice8</t>
  </si>
  <si>
    <t>paper_pouch-28-M</t>
  </si>
  <si>
    <t>paper_pouch-28-L</t>
  </si>
  <si>
    <t>paper_pouch-28-S</t>
  </si>
  <si>
    <t>DEB</t>
  </si>
  <si>
    <t>ATB</t>
  </si>
  <si>
    <t>DC</t>
  </si>
  <si>
    <t>9999_1</t>
  </si>
  <si>
    <t>Sample KerryGold</t>
  </si>
  <si>
    <t>OTH-00-127317-3</t>
  </si>
  <si>
    <t>9998_1</t>
  </si>
  <si>
    <t>Sampe Garden Gourmet</t>
  </si>
  <si>
    <t>OTH-00-004169-3</t>
  </si>
  <si>
    <t>COUNTUNIQUE of Ingredient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</si>
</sst>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quot;-&quot;mmm&quot;-&quot;yyyy"/>
    <numFmt numFmtId="165" formatCode="yyyy-mm-dd h:mm:ss"/>
    <numFmt numFmtId="166" formatCode="m/d/yyyy h:mm:ss"/>
    <numFmt numFmtId="167" formatCode="0.000"/>
  </numFmts>
  <fonts count="39">
    <font>
      <sz val="10.0"/>
      <color rgb="FF000000"/>
      <name val="Arial"/>
      <scheme val="minor"/>
    </font>
    <font>
      <b/>
      <color theme="1"/>
      <name val="Arial"/>
    </font>
    <font>
      <color theme="1"/>
      <name val="Arial"/>
    </font>
    <font>
      <sz val="13.0"/>
      <color theme="1"/>
      <name val="Arial"/>
      <scheme val="minor"/>
    </font>
    <font>
      <b/>
      <sz val="13.0"/>
      <color theme="1"/>
      <name val="Arial"/>
    </font>
    <font>
      <color theme="1"/>
      <name val="Arial"/>
      <scheme val="minor"/>
    </font>
    <font/>
    <font>
      <b/>
      <sz val="11.0"/>
      <color theme="1"/>
      <name val="Calibri"/>
    </font>
    <font>
      <sz val="11.0"/>
      <color theme="1"/>
      <name val="Calibri"/>
    </font>
    <font>
      <b/>
      <color rgb="FFFFFFFF"/>
      <name val="Arial"/>
    </font>
    <font>
      <b/>
      <sz val="18.0"/>
      <color theme="1"/>
      <name val="Arial"/>
      <scheme val="minor"/>
    </font>
    <font>
      <b/>
      <sz val="16.0"/>
      <color theme="1"/>
      <name val="Arial"/>
      <scheme val="minor"/>
    </font>
    <font>
      <sz val="18.0"/>
      <color theme="1"/>
      <name val="Arial"/>
      <scheme val="minor"/>
    </font>
    <font>
      <b/>
      <color theme="1"/>
      <name val="Arial"/>
      <scheme val="minor"/>
    </font>
    <font>
      <color theme="1"/>
      <name val="Calibri"/>
    </font>
    <font>
      <b/>
      <sz val="14.0"/>
      <color theme="1"/>
      <name val="Arial"/>
      <scheme val="minor"/>
    </font>
    <font>
      <sz val="12.0"/>
      <color theme="1"/>
      <name val="Arial"/>
      <scheme val="minor"/>
    </font>
    <font>
      <sz val="12.0"/>
      <color rgb="FFFFFFFF"/>
      <name val="Arial"/>
      <scheme val="minor"/>
    </font>
    <font>
      <color rgb="FFFFFFFF"/>
      <name val="Arial"/>
      <scheme val="minor"/>
    </font>
    <font>
      <b/>
      <sz val="12.0"/>
      <color theme="1"/>
      <name val="Calibri"/>
    </font>
    <font>
      <b/>
      <sz val="12.0"/>
      <color rgb="FFCC0000"/>
      <name val="Calibri"/>
    </font>
    <font>
      <sz val="9.0"/>
      <color rgb="FFFFFFFF"/>
      <name val="Google Sans Mono"/>
    </font>
    <font>
      <b/>
      <sz val="11.0"/>
      <color theme="1"/>
      <name val="Arial"/>
      <scheme val="minor"/>
    </font>
    <font>
      <sz val="11.0"/>
      <color theme="1"/>
      <name val="Arial"/>
      <scheme val="minor"/>
    </font>
    <font>
      <sz val="11.0"/>
      <color rgb="FF000000"/>
      <name val="Calibri"/>
    </font>
    <font>
      <color rgb="FFEFEFEF"/>
      <name val="Arial"/>
      <scheme val="minor"/>
    </font>
    <font>
      <color rgb="FFB7B7B7"/>
      <name val="Arial"/>
      <scheme val="minor"/>
    </font>
    <font>
      <b/>
      <sz val="12.0"/>
      <color theme="1"/>
      <name val="Arial"/>
      <scheme val="minor"/>
    </font>
    <font>
      <b/>
      <sz val="14.0"/>
      <color rgb="FFFFFFFF"/>
      <name val="Arial"/>
      <scheme val="minor"/>
    </font>
    <font>
      <color theme="0"/>
      <name val="Arial"/>
      <scheme val="minor"/>
    </font>
    <font>
      <sz val="11.0"/>
      <color rgb="FF000000"/>
      <name val="Inconsolata"/>
    </font>
    <font>
      <b/>
      <sz val="14.0"/>
      <color rgb="FF999999"/>
      <name val="Arial"/>
      <scheme val="minor"/>
    </font>
    <font>
      <b/>
      <sz val="14.0"/>
      <color theme="0"/>
      <name val="Arial"/>
      <scheme val="minor"/>
    </font>
    <font>
      <color theme="1"/>
      <name val="Inherit"/>
    </font>
    <font>
      <b/>
      <sz val="50.0"/>
      <color theme="1"/>
      <name val="Arial"/>
      <scheme val="minor"/>
    </font>
    <font>
      <b/>
      <sz val="11.0"/>
      <color theme="1"/>
      <name val="Arial"/>
    </font>
    <font>
      <sz val="11.0"/>
      <color theme="1"/>
      <name val="Arial"/>
    </font>
    <font>
      <sz val="11.0"/>
      <color rgb="FF000000"/>
      <name val="Arial"/>
      <scheme val="minor"/>
    </font>
    <font>
      <sz val="21.0"/>
      <color theme="1"/>
      <name val="Arial"/>
      <scheme val="minor"/>
    </font>
  </fonts>
  <fills count="34">
    <fill>
      <patternFill patternType="none"/>
    </fill>
    <fill>
      <patternFill patternType="lightGray"/>
    </fill>
    <fill>
      <patternFill patternType="solid">
        <fgColor rgb="FFCCCCCC"/>
        <bgColor rgb="FFCCCCCC"/>
      </patternFill>
    </fill>
    <fill>
      <patternFill patternType="solid">
        <fgColor rgb="FFFFFF00"/>
        <bgColor rgb="FFFFFF00"/>
      </patternFill>
    </fill>
    <fill>
      <patternFill patternType="solid">
        <fgColor rgb="FFB6D7A8"/>
        <bgColor rgb="FFB6D7A8"/>
      </patternFill>
    </fill>
    <fill>
      <patternFill patternType="solid">
        <fgColor rgb="FFFFF2CC"/>
        <bgColor rgb="FFFFF2CC"/>
      </patternFill>
    </fill>
    <fill>
      <patternFill patternType="solid">
        <fgColor rgb="FFD9EAD3"/>
        <bgColor rgb="FFD9EAD3"/>
      </patternFill>
    </fill>
    <fill>
      <patternFill patternType="solid">
        <fgColor rgb="FF00FFFF"/>
        <bgColor rgb="FF00FFFF"/>
      </patternFill>
    </fill>
    <fill>
      <patternFill patternType="solid">
        <fgColor rgb="FF00FF00"/>
        <bgColor rgb="FF00FF00"/>
      </patternFill>
    </fill>
    <fill>
      <patternFill patternType="solid">
        <fgColor rgb="FFD0E0E3"/>
        <bgColor rgb="FFD0E0E3"/>
      </patternFill>
    </fill>
    <fill>
      <patternFill patternType="solid">
        <fgColor rgb="FFA4C2F4"/>
        <bgColor rgb="FFA4C2F4"/>
      </patternFill>
    </fill>
    <fill>
      <patternFill patternType="solid">
        <fgColor rgb="FFC9DAF8"/>
        <bgColor rgb="FFC9DAF8"/>
      </patternFill>
    </fill>
    <fill>
      <patternFill patternType="solid">
        <fgColor rgb="FF4A86E8"/>
        <bgColor rgb="FF4A86E8"/>
      </patternFill>
    </fill>
    <fill>
      <patternFill patternType="solid">
        <fgColor theme="0"/>
        <bgColor theme="0"/>
      </patternFill>
    </fill>
    <fill>
      <patternFill patternType="solid">
        <fgColor theme="7"/>
        <bgColor theme="7"/>
      </patternFill>
    </fill>
    <fill>
      <patternFill patternType="solid">
        <fgColor rgb="FFFFFFFF"/>
        <bgColor rgb="FFFFFFFF"/>
      </patternFill>
    </fill>
    <fill>
      <patternFill patternType="solid">
        <fgColor rgb="FFB7B7B7"/>
        <bgColor rgb="FFB7B7B7"/>
      </patternFill>
    </fill>
    <fill>
      <patternFill patternType="solid">
        <fgColor rgb="FFEFEFEF"/>
        <bgColor rgb="FFEFEFEF"/>
      </patternFill>
    </fill>
    <fill>
      <patternFill patternType="solid">
        <fgColor rgb="FFFFE599"/>
        <bgColor rgb="FFFFE599"/>
      </patternFill>
    </fill>
    <fill>
      <patternFill patternType="solid">
        <fgColor rgb="FFB7E1CD"/>
        <bgColor rgb="FFB7E1CD"/>
      </patternFill>
    </fill>
    <fill>
      <patternFill patternType="solid">
        <fgColor rgb="FFFCE5CD"/>
        <bgColor rgb="FFFCE5CD"/>
      </patternFill>
    </fill>
    <fill>
      <patternFill patternType="solid">
        <fgColor rgb="FFF4CCCC"/>
        <bgColor rgb="FFF4CCCC"/>
      </patternFill>
    </fill>
    <fill>
      <patternFill patternType="solid">
        <fgColor rgb="FFFF0000"/>
        <bgColor rgb="FFFF0000"/>
      </patternFill>
    </fill>
    <fill>
      <patternFill patternType="solid">
        <fgColor rgb="FFFF00FF"/>
        <bgColor rgb="FFFF00FF"/>
      </patternFill>
    </fill>
    <fill>
      <patternFill patternType="solid">
        <fgColor rgb="FFFF9900"/>
        <bgColor rgb="FFFF9900"/>
      </patternFill>
    </fill>
    <fill>
      <patternFill patternType="solid">
        <fgColor rgb="FFA2C4C9"/>
        <bgColor rgb="FFA2C4C9"/>
      </patternFill>
    </fill>
    <fill>
      <patternFill patternType="solid">
        <fgColor rgb="FFF9CB9C"/>
        <bgColor rgb="FFF9CB9C"/>
      </patternFill>
    </fill>
    <fill>
      <patternFill patternType="solid">
        <fgColor rgb="FFEAD1DC"/>
        <bgColor rgb="FFEAD1DC"/>
      </patternFill>
    </fill>
    <fill>
      <patternFill patternType="solid">
        <fgColor rgb="FF000000"/>
        <bgColor rgb="FF000000"/>
      </patternFill>
    </fill>
    <fill>
      <patternFill patternType="solid">
        <fgColor rgb="FFD9D2E9"/>
        <bgColor rgb="FFD9D2E9"/>
      </patternFill>
    </fill>
    <fill>
      <patternFill patternType="solid">
        <fgColor rgb="FF93C47D"/>
        <bgColor rgb="FF93C47D"/>
      </patternFill>
    </fill>
    <fill>
      <patternFill patternType="solid">
        <fgColor theme="1"/>
        <bgColor theme="1"/>
      </patternFill>
    </fill>
    <fill>
      <patternFill patternType="solid">
        <fgColor rgb="FFE67C73"/>
        <bgColor rgb="FFE67C73"/>
      </patternFill>
    </fill>
    <fill>
      <patternFill patternType="solid">
        <fgColor rgb="FF57BB8A"/>
        <bgColor rgb="FF57BB8A"/>
      </patternFill>
    </fill>
  </fills>
  <borders count="67">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top style="double">
        <color rgb="FF000000"/>
      </top>
      <bottom style="thin">
        <color rgb="FF000000"/>
      </bottom>
    </border>
    <border>
      <left style="medium">
        <color rgb="FF000000"/>
      </left>
      <top style="medium">
        <color rgb="FF000000"/>
      </top>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rder>
    <border>
      <right style="medium">
        <color rgb="FF000000"/>
      </right>
    </border>
    <border>
      <bottom style="thin">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ck">
        <color rgb="FF666666"/>
      </left>
      <top style="thick">
        <color rgb="FF666666"/>
      </top>
    </border>
    <border>
      <top style="thick">
        <color rgb="FF666666"/>
      </top>
    </border>
    <border>
      <right style="thick">
        <color rgb="FF666666"/>
      </right>
      <top style="thick">
        <color rgb="FF666666"/>
      </top>
    </border>
    <border>
      <left style="thick">
        <color rgb="FF666666"/>
      </left>
      <bottom style="thin">
        <color rgb="FF666666"/>
      </bottom>
    </border>
    <border>
      <bottom style="thin">
        <color rgb="FF666666"/>
      </bottom>
    </border>
    <border>
      <right style="thick">
        <color rgb="FF666666"/>
      </right>
      <bottom style="thin">
        <color rgb="FF666666"/>
      </bottom>
    </border>
    <border>
      <left style="thick">
        <color rgb="FF666666"/>
      </left>
    </border>
    <border>
      <right style="thick">
        <color rgb="FF666666"/>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medium">
        <color rgb="FF434343"/>
      </left>
      <right style="medium">
        <color rgb="FF434343"/>
      </right>
      <bottom style="medium">
        <color rgb="FF434343"/>
      </bottom>
    </border>
    <border>
      <left style="thin">
        <color rgb="FF434343"/>
      </left>
      <top style="thin">
        <color rgb="FF434343"/>
      </top>
    </border>
    <border>
      <right style="thin">
        <color rgb="FF434343"/>
      </right>
      <top style="thin">
        <color rgb="FF434343"/>
      </top>
    </border>
    <border>
      <left style="thin">
        <color rgb="FF434343"/>
      </left>
      <right style="thin">
        <color rgb="FF434343"/>
      </right>
      <top style="thin">
        <color rgb="FF434343"/>
      </top>
      <bottom style="thin">
        <color rgb="FF434343"/>
      </bottom>
    </border>
    <border>
      <left style="thin">
        <color rgb="FF434343"/>
      </left>
      <top style="thin">
        <color rgb="FF434343"/>
      </top>
      <bottom style="thin">
        <color rgb="FF434343"/>
      </bottom>
    </border>
    <border>
      <right style="thin">
        <color rgb="FF434343"/>
      </right>
      <top style="thin">
        <color rgb="FF434343"/>
      </top>
      <bottom style="thin">
        <color rgb="FF434343"/>
      </bottom>
    </border>
    <border>
      <left style="thin">
        <color rgb="FF434343"/>
      </left>
    </border>
    <border>
      <right style="thin">
        <color rgb="FF434343"/>
      </right>
    </border>
    <border>
      <left style="thin">
        <color rgb="FF434343"/>
      </left>
      <bottom style="thin">
        <color rgb="FF434343"/>
      </bottom>
    </border>
    <border>
      <right style="thin">
        <color rgb="FF434343"/>
      </right>
      <bottom style="thin">
        <color rgb="FF434343"/>
      </bottom>
    </border>
    <border>
      <left style="thick">
        <color rgb="FF666666"/>
      </left>
      <bottom style="thick">
        <color rgb="FF666666"/>
      </bottom>
    </border>
    <border>
      <bottom style="thick">
        <color rgb="FF666666"/>
      </bottom>
    </border>
    <border>
      <right style="thick">
        <color rgb="FF666666"/>
      </right>
      <bottom style="thick">
        <color rgb="FF666666"/>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left style="medium">
        <color rgb="FF000000"/>
      </left>
      <bottom style="medium">
        <color rgb="FF000000"/>
      </bottom>
    </border>
    <border>
      <bottom style="medium">
        <color rgb="FF000000"/>
      </bottom>
    </border>
    <border>
      <bottom style="medium">
        <color rgb="FFB7B7B7"/>
      </bottom>
    </border>
    <border>
      <bottom style="thick">
        <color rgb="FF000000"/>
      </bottom>
    </border>
    <border>
      <right style="thick">
        <color rgb="FF000000"/>
      </right>
    </border>
  </borders>
  <cellStyleXfs count="1">
    <xf borderId="0" fillId="0" fontId="0" numFmtId="0" applyAlignment="1" applyFont="1"/>
  </cellStyleXfs>
  <cellXfs count="381">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1" numFmtId="0" xfId="0" applyAlignment="1" applyFill="1" applyFont="1">
      <alignment readingOrder="0" vertical="bottom"/>
    </xf>
    <xf borderId="0" fillId="0" fontId="2" numFmtId="164" xfId="0" applyAlignment="1" applyFont="1" applyNumberForma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vertical="bottom"/>
    </xf>
    <xf borderId="0" fillId="0" fontId="2" numFmtId="0" xfId="0" applyAlignment="1" applyFont="1">
      <alignment vertical="bottom"/>
    </xf>
    <xf borderId="0" fillId="3" fontId="3" numFmtId="0" xfId="0" applyAlignment="1" applyFill="1" applyFont="1">
      <alignment horizontal="center" readingOrder="0" vertical="center"/>
    </xf>
    <xf borderId="0" fillId="4" fontId="4" numFmtId="0" xfId="0" applyAlignment="1" applyFill="1" applyFont="1">
      <alignment horizontal="center" vertical="bottom"/>
    </xf>
    <xf borderId="0" fillId="0" fontId="4" numFmtId="0" xfId="0" applyAlignment="1" applyFont="1">
      <alignment horizontal="center" vertical="bottom"/>
    </xf>
    <xf borderId="0" fillId="0" fontId="5" numFmtId="0" xfId="0" applyAlignment="1" applyFont="1">
      <alignment readingOrder="0"/>
    </xf>
    <xf borderId="0" fillId="5" fontId="5" numFmtId="0" xfId="0" applyAlignment="1" applyFill="1" applyFont="1">
      <alignment readingOrder="0"/>
    </xf>
    <xf borderId="1" fillId="6" fontId="2" numFmtId="0" xfId="0" applyAlignment="1" applyBorder="1" applyFill="1" applyFont="1">
      <alignment horizontal="center" vertical="bottom"/>
    </xf>
    <xf borderId="2" fillId="0" fontId="6" numFmtId="0" xfId="0" applyBorder="1" applyFont="1"/>
    <xf borderId="0" fillId="7" fontId="5" numFmtId="0" xfId="0" applyAlignment="1" applyFill="1" applyFont="1">
      <alignment readingOrder="0"/>
    </xf>
    <xf borderId="0" fillId="7" fontId="5" numFmtId="0" xfId="0" applyFont="1"/>
    <xf borderId="0" fillId="7" fontId="3" numFmtId="0" xfId="0" applyAlignment="1" applyFont="1">
      <alignment horizontal="center" readingOrder="0" vertical="center"/>
    </xf>
    <xf borderId="0" fillId="8" fontId="3" numFmtId="0" xfId="0" applyAlignment="1" applyFill="1" applyFont="1">
      <alignment horizontal="center" readingOrder="0" vertical="center"/>
    </xf>
    <xf borderId="1" fillId="6" fontId="1" numFmtId="0" xfId="0" applyAlignment="1" applyBorder="1" applyFont="1">
      <alignment horizontal="center" vertical="bottom"/>
    </xf>
    <xf borderId="3" fillId="6" fontId="1" numFmtId="0" xfId="0" applyAlignment="1" applyBorder="1" applyFont="1">
      <alignment horizontal="center" vertical="bottom"/>
    </xf>
    <xf borderId="0" fillId="0" fontId="1" numFmtId="0" xfId="0" applyAlignment="1" applyFont="1">
      <alignment horizontal="center" vertical="bottom"/>
    </xf>
    <xf borderId="0" fillId="0" fontId="1" numFmtId="0" xfId="0" applyAlignment="1" applyFont="1">
      <alignment horizontal="center" readingOrder="0" vertical="bottom"/>
    </xf>
    <xf borderId="1" fillId="6" fontId="1" numFmtId="0" xfId="0" applyAlignment="1" applyBorder="1" applyFont="1">
      <alignment shrinkToFit="0" vertical="bottom" wrapText="1"/>
    </xf>
    <xf borderId="3" fillId="6" fontId="1" numFmtId="0" xfId="0" applyAlignment="1" applyBorder="1" applyFont="1">
      <alignment shrinkToFit="0" vertical="bottom" wrapText="1"/>
    </xf>
    <xf borderId="0" fillId="9" fontId="5" numFmtId="0" xfId="0" applyAlignment="1" applyFill="1" applyFont="1">
      <alignment readingOrder="0"/>
    </xf>
    <xf borderId="4" fillId="6" fontId="7" numFmtId="0" xfId="0" applyAlignment="1" applyBorder="1" applyFont="1">
      <alignment horizontal="center" readingOrder="0" shrinkToFit="0" vertical="top" wrapText="0"/>
    </xf>
    <xf borderId="2" fillId="6" fontId="7" numFmtId="0" xfId="0" applyAlignment="1" applyBorder="1" applyFont="1">
      <alignment horizontal="center" readingOrder="0" shrinkToFit="0" vertical="top" wrapText="0"/>
    </xf>
    <xf borderId="0" fillId="3" fontId="2" numFmtId="3" xfId="0" applyAlignment="1" applyFont="1" applyNumberFormat="1">
      <alignment readingOrder="0" vertical="bottom"/>
    </xf>
    <xf borderId="0" fillId="5" fontId="5" numFmtId="0" xfId="0" applyFont="1"/>
    <xf borderId="0" fillId="5" fontId="5" numFmtId="3" xfId="0" applyAlignment="1" applyFont="1" applyNumberFormat="1">
      <alignment readingOrder="0"/>
    </xf>
    <xf borderId="0" fillId="5" fontId="5" numFmtId="0" xfId="0" applyAlignment="1" applyFont="1">
      <alignment horizontal="right" readingOrder="0"/>
    </xf>
    <xf borderId="0" fillId="5" fontId="2" numFmtId="0" xfId="0" applyAlignment="1" applyFont="1">
      <alignment readingOrder="0" vertical="bottom"/>
    </xf>
    <xf borderId="0" fillId="9" fontId="5" numFmtId="0" xfId="0" applyFont="1"/>
    <xf borderId="0" fillId="6" fontId="5" numFmtId="0" xfId="0" applyFont="1"/>
    <xf borderId="0" fillId="0" fontId="5" numFmtId="3" xfId="0" applyAlignment="1" applyFont="1" applyNumberFormat="1">
      <alignment readingOrder="0"/>
    </xf>
    <xf borderId="0" fillId="3" fontId="2" numFmtId="0" xfId="0" applyAlignment="1" applyFont="1">
      <alignment readingOrder="0" vertical="bottom"/>
    </xf>
    <xf borderId="0" fillId="0" fontId="1" numFmtId="0" xfId="0" applyAlignment="1" applyFont="1">
      <alignment horizontal="right" vertical="bottom"/>
    </xf>
    <xf borderId="0" fillId="0" fontId="2" numFmtId="0" xfId="0" applyAlignment="1" applyFont="1">
      <alignment readingOrder="0" vertical="bottom"/>
    </xf>
    <xf borderId="5" fillId="0" fontId="1" numFmtId="0" xfId="0" applyAlignment="1" applyBorder="1" applyFont="1">
      <alignment vertical="bottom"/>
    </xf>
    <xf borderId="6" fillId="0" fontId="2" numFmtId="0" xfId="0" applyAlignment="1" applyBorder="1" applyFont="1">
      <alignment vertical="bottom"/>
    </xf>
    <xf borderId="6" fillId="0" fontId="1" numFmtId="0" xfId="0" applyAlignment="1" applyBorder="1" applyFont="1">
      <alignment horizontal="right" vertical="bottom"/>
    </xf>
    <xf borderId="0" fillId="0" fontId="4" numFmtId="0" xfId="0" applyAlignment="1" applyFont="1">
      <alignment horizontal="center" vertical="bottom"/>
    </xf>
    <xf borderId="0" fillId="4" fontId="4" numFmtId="0" xfId="0" applyAlignment="1" applyFont="1">
      <alignment horizontal="center" vertical="bottom"/>
    </xf>
    <xf borderId="7" fillId="10" fontId="1" numFmtId="0" xfId="0" applyAlignment="1" applyBorder="1" applyFill="1" applyFont="1">
      <alignment horizontal="center" readingOrder="0" vertical="bottom"/>
    </xf>
    <xf borderId="8" fillId="10" fontId="1" numFmtId="0" xfId="0" applyAlignment="1" applyBorder="1" applyFont="1">
      <alignment horizontal="center" readingOrder="0" vertical="bottom"/>
    </xf>
    <xf borderId="7" fillId="6" fontId="1" numFmtId="0" xfId="0" applyAlignment="1" applyBorder="1" applyFont="1">
      <alignment horizontal="center" readingOrder="0" vertical="bottom"/>
    </xf>
    <xf borderId="9" fillId="6" fontId="1" numFmtId="0" xfId="0" applyAlignment="1" applyBorder="1" applyFont="1">
      <alignment horizontal="center" vertical="bottom"/>
    </xf>
    <xf borderId="0" fillId="0" fontId="1" numFmtId="0" xfId="0" applyAlignment="1" applyFont="1">
      <alignment horizontal="center" vertical="bottom"/>
    </xf>
    <xf borderId="10" fillId="11" fontId="2" numFmtId="0" xfId="0" applyAlignment="1" applyBorder="1" applyFill="1" applyFont="1">
      <alignment horizontal="center" readingOrder="0" vertical="bottom"/>
    </xf>
    <xf borderId="11" fillId="11" fontId="2" numFmtId="0" xfId="0" applyAlignment="1" applyBorder="1" applyFont="1">
      <alignment horizontal="center" readingOrder="0" vertical="bottom"/>
    </xf>
    <xf borderId="11" fillId="6" fontId="2" numFmtId="0" xfId="0" applyAlignment="1" applyBorder="1" applyFont="1">
      <alignment horizontal="center" readingOrder="0" vertical="bottom"/>
    </xf>
    <xf borderId="10" fillId="6" fontId="2" numFmtId="0" xfId="0" applyAlignment="1" applyBorder="1" applyFont="1">
      <alignment horizontal="center" readingOrder="0" vertical="bottom"/>
    </xf>
    <xf borderId="1" fillId="4" fontId="1" numFmtId="0" xfId="0" applyAlignment="1" applyBorder="1" applyFont="1">
      <alignment horizontal="center" vertical="bottom"/>
    </xf>
    <xf borderId="3" fillId="0" fontId="6" numFmtId="0" xfId="0" applyBorder="1" applyFont="1"/>
    <xf borderId="12" fillId="0" fontId="1" numFmtId="0" xfId="0" applyAlignment="1" applyBorder="1" applyFont="1">
      <alignment shrinkToFit="0" vertical="bottom" wrapText="1"/>
    </xf>
    <xf borderId="12" fillId="0" fontId="2" numFmtId="0" xfId="0" applyAlignment="1" applyBorder="1" applyFont="1">
      <alignment vertical="bottom"/>
    </xf>
    <xf borderId="0" fillId="0" fontId="2" numFmtId="0" xfId="0" applyAlignment="1" applyFont="1">
      <alignment horizontal="right" vertical="bottom"/>
    </xf>
    <xf borderId="13" fillId="11" fontId="2" numFmtId="0" xfId="0" applyAlignment="1" applyBorder="1" applyFont="1">
      <alignment horizontal="center" readingOrder="0" vertical="bottom"/>
    </xf>
    <xf borderId="14" fillId="11" fontId="2" numFmtId="0" xfId="0" applyAlignment="1" applyBorder="1" applyFont="1">
      <alignment horizontal="center" readingOrder="0" vertical="bottom"/>
    </xf>
    <xf borderId="14" fillId="6" fontId="2" numFmtId="0" xfId="0" applyAlignment="1" applyBorder="1" applyFont="1">
      <alignment horizontal="center" readingOrder="0" vertical="bottom"/>
    </xf>
    <xf borderId="13" fillId="6" fontId="2" numFmtId="0" xfId="0" applyAlignment="1" applyBorder="1" applyFont="1">
      <alignment horizontal="center" readingOrder="0" vertical="bottom"/>
    </xf>
    <xf borderId="0" fillId="0" fontId="8" numFmtId="0" xfId="0" applyAlignment="1" applyFont="1">
      <alignment vertical="bottom"/>
    </xf>
    <xf borderId="15" fillId="0" fontId="7" numFmtId="0" xfId="0" applyAlignment="1" applyBorder="1" applyFont="1">
      <alignment horizontal="center" vertical="bottom"/>
    </xf>
    <xf borderId="16" fillId="0" fontId="8" numFmtId="0" xfId="0" applyAlignment="1" applyBorder="1" applyFont="1">
      <alignment horizontal="center" vertical="bottom"/>
    </xf>
    <xf borderId="15" fillId="0" fontId="8" numFmtId="0" xfId="0" applyAlignment="1" applyBorder="1" applyFont="1">
      <alignment horizontal="center" vertical="bottom"/>
    </xf>
    <xf borderId="15" fillId="0" fontId="2" numFmtId="0" xfId="0" applyAlignment="1" applyBorder="1" applyFont="1">
      <alignment horizontal="center" vertical="bottom"/>
    </xf>
    <xf borderId="15" fillId="0" fontId="2" numFmtId="0" xfId="0" applyAlignment="1" applyBorder="1" applyFont="1">
      <alignment vertical="bottom"/>
    </xf>
    <xf borderId="12" fillId="0" fontId="2" numFmtId="0" xfId="0" applyAlignment="1" applyBorder="1" applyFont="1">
      <alignment horizontal="center" vertical="bottom"/>
    </xf>
    <xf borderId="0" fillId="0" fontId="2" numFmtId="0" xfId="0" applyAlignment="1" applyFont="1">
      <alignment horizontal="center" vertical="bottom"/>
    </xf>
    <xf borderId="1" fillId="12" fontId="9" numFmtId="0" xfId="0" applyAlignment="1" applyBorder="1" applyFill="1" applyFont="1">
      <alignment horizontal="center" vertical="bottom"/>
    </xf>
    <xf borderId="0" fillId="0" fontId="2" numFmtId="0" xfId="0" applyAlignment="1" applyFont="1">
      <alignment horizontal="center" readingOrder="0" vertical="bottom"/>
    </xf>
    <xf borderId="4" fillId="11" fontId="2" numFmtId="0" xfId="0" applyAlignment="1" applyBorder="1" applyFont="1">
      <alignment vertical="bottom"/>
    </xf>
    <xf borderId="4" fillId="11" fontId="2" numFmtId="0" xfId="0" applyAlignment="1" applyBorder="1" applyFont="1">
      <alignment horizontal="center" vertical="bottom"/>
    </xf>
    <xf borderId="16" fillId="0" fontId="7" numFmtId="0" xfId="0" applyAlignment="1" applyBorder="1" applyFont="1">
      <alignment horizontal="center" vertical="bottom"/>
    </xf>
    <xf borderId="0" fillId="13" fontId="5" numFmtId="0" xfId="0" applyFill="1" applyFont="1"/>
    <xf borderId="0" fillId="13" fontId="5" numFmtId="0" xfId="0" applyFont="1"/>
    <xf borderId="17" fillId="2" fontId="10" numFmtId="0" xfId="0" applyAlignment="1" applyBorder="1" applyFont="1">
      <alignment horizontal="center" readingOrder="0" vertical="center"/>
    </xf>
    <xf borderId="18" fillId="0" fontId="6" numFmtId="0" xfId="0" applyBorder="1" applyFont="1"/>
    <xf borderId="19" fillId="0" fontId="6" numFmtId="0" xfId="0" applyBorder="1" applyFont="1"/>
    <xf borderId="4" fillId="14" fontId="11" numFmtId="0" xfId="0" applyAlignment="1" applyBorder="1" applyFill="1" applyFont="1">
      <alignment horizontal="center" readingOrder="0" shrinkToFit="0" vertical="center" wrapText="1"/>
    </xf>
    <xf borderId="20" fillId="0" fontId="6" numFmtId="0" xfId="0" applyBorder="1" applyFont="1"/>
    <xf borderId="21" fillId="0" fontId="6" numFmtId="0" xfId="0" applyBorder="1" applyFont="1"/>
    <xf borderId="22" fillId="0" fontId="6" numFmtId="0" xfId="0" applyBorder="1" applyFont="1"/>
    <xf borderId="4" fillId="6" fontId="12" numFmtId="49" xfId="0" applyAlignment="1" applyBorder="1" applyFont="1" applyNumberFormat="1">
      <alignment horizontal="center" readingOrder="0" vertical="center"/>
    </xf>
    <xf borderId="23" fillId="13" fontId="5" numFmtId="0" xfId="0" applyBorder="1" applyFont="1"/>
    <xf borderId="0" fillId="13" fontId="13" numFmtId="0" xfId="0" applyAlignment="1" applyFont="1">
      <alignment readingOrder="0"/>
    </xf>
    <xf borderId="24" fillId="13" fontId="5" numFmtId="0" xfId="0" applyBorder="1" applyFont="1"/>
    <xf borderId="25" fillId="15" fontId="7" numFmtId="0" xfId="0" applyAlignment="1" applyBorder="1" applyFill="1" applyFont="1">
      <alignment vertical="bottom"/>
    </xf>
    <xf borderId="26" fillId="0" fontId="14" numFmtId="0" xfId="0" applyAlignment="1" applyBorder="1" applyFont="1">
      <alignment vertical="bottom"/>
    </xf>
    <xf borderId="27" fillId="0" fontId="14" numFmtId="0" xfId="0" applyAlignment="1" applyBorder="1" applyFont="1">
      <alignment vertical="bottom"/>
    </xf>
    <xf borderId="25" fillId="14" fontId="15" numFmtId="0" xfId="0" applyAlignment="1" applyBorder="1" applyFont="1">
      <alignment horizontal="center" readingOrder="0" vertical="center"/>
    </xf>
    <xf borderId="26" fillId="0" fontId="6" numFmtId="0" xfId="0" applyBorder="1" applyFont="1"/>
    <xf borderId="27" fillId="0" fontId="6" numFmtId="0" xfId="0" applyBorder="1" applyFont="1"/>
    <xf borderId="28" fillId="0" fontId="8" numFmtId="0" xfId="0" applyAlignment="1" applyBorder="1" applyFont="1">
      <alignment horizontal="right" vertical="bottom"/>
    </xf>
    <xf borderId="0" fillId="3" fontId="7" numFmtId="165" xfId="0" applyAlignment="1" applyFont="1" applyNumberFormat="1">
      <alignment horizontal="center" readingOrder="0" vertical="bottom"/>
    </xf>
    <xf borderId="29" fillId="15" fontId="8" numFmtId="0" xfId="0" applyAlignment="1" applyBorder="1" applyFont="1">
      <alignment readingOrder="0" vertical="bottom"/>
    </xf>
    <xf borderId="5" fillId="0" fontId="6" numFmtId="0" xfId="0" applyBorder="1" applyFont="1"/>
    <xf borderId="12" fillId="0" fontId="6" numFmtId="0" xfId="0" applyBorder="1" applyFont="1"/>
    <xf borderId="15" fillId="0" fontId="6" numFmtId="0" xfId="0" applyBorder="1" applyFont="1"/>
    <xf borderId="28" fillId="15" fontId="8" numFmtId="0" xfId="0" applyAlignment="1" applyBorder="1" applyFont="1">
      <alignment horizontal="right" vertical="bottom"/>
    </xf>
    <xf borderId="0" fillId="15" fontId="8" numFmtId="0" xfId="0" applyAlignment="1" applyFont="1">
      <alignment horizontal="center" readingOrder="0" vertical="bottom"/>
    </xf>
    <xf borderId="29" fillId="15" fontId="14" numFmtId="0" xfId="0" applyAlignment="1" applyBorder="1" applyFont="1">
      <alignment readingOrder="0" vertical="bottom"/>
    </xf>
    <xf borderId="24" fillId="13" fontId="5" numFmtId="0" xfId="0" applyBorder="1" applyFont="1"/>
    <xf borderId="4" fillId="6" fontId="16" numFmtId="0" xfId="0" applyAlignment="1" applyBorder="1" applyFont="1">
      <alignment horizontal="center" readingOrder="0" vertical="center"/>
    </xf>
    <xf borderId="4" fillId="15" fontId="17" numFmtId="0" xfId="0" applyAlignment="1" applyBorder="1" applyFont="1">
      <alignment horizontal="center" readingOrder="0" vertical="center"/>
    </xf>
    <xf borderId="4" fillId="13" fontId="5" numFmtId="0" xfId="0" applyAlignment="1" applyBorder="1" applyFont="1">
      <alignment readingOrder="0"/>
    </xf>
    <xf borderId="4" fillId="15" fontId="18" numFmtId="0" xfId="0" applyAlignment="1" applyBorder="1" applyFont="1">
      <alignment readingOrder="0"/>
    </xf>
    <xf borderId="5" fillId="15" fontId="8" numFmtId="0" xfId="0" applyAlignment="1" applyBorder="1" applyFont="1">
      <alignment horizontal="right" vertical="bottom"/>
    </xf>
    <xf borderId="12" fillId="15" fontId="7" numFmtId="0" xfId="0" applyAlignment="1" applyBorder="1" applyFont="1">
      <alignment horizontal="center" vertical="bottom"/>
    </xf>
    <xf borderId="15" fillId="15" fontId="14" numFmtId="0" xfId="0" applyAlignment="1" applyBorder="1" applyFont="1">
      <alignment vertical="bottom"/>
    </xf>
    <xf borderId="0" fillId="15" fontId="14" numFmtId="0" xfId="0" applyAlignment="1" applyFont="1">
      <alignment vertical="bottom"/>
    </xf>
    <xf borderId="8" fillId="16" fontId="19" numFmtId="0" xfId="0" applyAlignment="1" applyBorder="1" applyFill="1" applyFont="1">
      <alignment horizontal="center" vertical="bottom"/>
    </xf>
    <xf borderId="30" fillId="17" fontId="20" numFmtId="0" xfId="0" applyAlignment="1" applyBorder="1" applyFill="1" applyFont="1">
      <alignment horizontal="center" readingOrder="0" vertical="bottom"/>
    </xf>
    <xf borderId="12" fillId="15" fontId="14" numFmtId="0" xfId="0" applyAlignment="1" applyBorder="1" applyFont="1">
      <alignment vertical="bottom"/>
    </xf>
    <xf borderId="28" fillId="15" fontId="7" numFmtId="0" xfId="0" applyAlignment="1" applyBorder="1" applyFont="1">
      <alignment vertical="bottom"/>
    </xf>
    <xf borderId="29" fillId="15" fontId="14" numFmtId="0" xfId="0" applyAlignment="1" applyBorder="1" applyFont="1">
      <alignment vertical="bottom"/>
    </xf>
    <xf borderId="0" fillId="0" fontId="13" numFmtId="0" xfId="0" applyAlignment="1" applyFont="1">
      <alignment readingOrder="0"/>
    </xf>
    <xf borderId="0" fillId="13" fontId="13" numFmtId="0" xfId="0" applyAlignment="1" applyFont="1">
      <alignment horizontal="right" readingOrder="0"/>
    </xf>
    <xf borderId="28" fillId="15" fontId="14" numFmtId="0" xfId="0" applyAlignment="1" applyBorder="1" applyFont="1">
      <alignment vertical="bottom"/>
    </xf>
    <xf borderId="29" fillId="0" fontId="6" numFmtId="0" xfId="0" applyBorder="1" applyFont="1"/>
    <xf borderId="0" fillId="13" fontId="5" numFmtId="0" xfId="0" applyAlignment="1" applyFont="1">
      <alignment horizontal="right" readingOrder="0"/>
    </xf>
    <xf borderId="0" fillId="13" fontId="5" numFmtId="0" xfId="0" applyAlignment="1" applyFont="1">
      <alignment horizontal="right"/>
    </xf>
    <xf borderId="0" fillId="13" fontId="5" numFmtId="0" xfId="0" applyAlignment="1" applyFont="1">
      <alignment readingOrder="0"/>
    </xf>
    <xf borderId="29" fillId="15" fontId="14" numFmtId="166" xfId="0" applyAlignment="1" applyBorder="1" applyFont="1" applyNumberFormat="1">
      <alignment vertical="bottom"/>
    </xf>
    <xf borderId="5" fillId="15" fontId="14" numFmtId="0" xfId="0" applyAlignment="1" applyBorder="1" applyFont="1">
      <alignment vertical="bottom"/>
    </xf>
    <xf borderId="12" fillId="0" fontId="14" numFmtId="0" xfId="0" applyAlignment="1" applyBorder="1" applyFont="1">
      <alignment vertical="bottom"/>
    </xf>
    <xf borderId="15" fillId="15" fontId="14" numFmtId="166" xfId="0" applyAlignment="1" applyBorder="1" applyFont="1" applyNumberFormat="1">
      <alignment vertical="bottom"/>
    </xf>
    <xf borderId="31" fillId="18" fontId="2" numFmtId="0" xfId="0" applyAlignment="1" applyBorder="1" applyFill="1" applyFont="1">
      <alignment horizontal="center" shrinkToFit="0" vertical="center" wrapText="0"/>
    </xf>
    <xf borderId="32" fillId="0" fontId="6" numFmtId="0" xfId="0" applyBorder="1" applyFont="1"/>
    <xf borderId="33" fillId="19" fontId="2" numFmtId="0" xfId="0" applyAlignment="1" applyBorder="1" applyFill="1" applyFont="1">
      <alignment horizontal="center" vertical="bottom"/>
    </xf>
    <xf borderId="34" fillId="15" fontId="2" numFmtId="0" xfId="0" applyAlignment="1" applyBorder="1" applyFont="1">
      <alignment readingOrder="0" vertical="bottom"/>
    </xf>
    <xf borderId="35" fillId="0" fontId="6" numFmtId="0" xfId="0" applyBorder="1" applyFont="1"/>
    <xf borderId="36" fillId="0" fontId="6" numFmtId="0" xfId="0" applyBorder="1" applyFont="1"/>
    <xf borderId="37" fillId="0" fontId="6" numFmtId="0" xfId="0" applyBorder="1" applyFont="1"/>
    <xf borderId="0" fillId="15" fontId="21" numFmtId="0" xfId="0" applyAlignment="1" applyFont="1">
      <alignment horizontal="left" readingOrder="0"/>
    </xf>
    <xf borderId="0" fillId="13" fontId="18" numFmtId="0" xfId="0" applyAlignment="1" applyFont="1">
      <alignment readingOrder="0"/>
    </xf>
    <xf borderId="38" fillId="0" fontId="6" numFmtId="0" xfId="0" applyBorder="1" applyFont="1"/>
    <xf borderId="39" fillId="0" fontId="6" numFmtId="0" xfId="0" applyBorder="1" applyFont="1"/>
    <xf borderId="0" fillId="15" fontId="2" numFmtId="0" xfId="0" applyAlignment="1" applyFont="1">
      <alignment vertical="bottom"/>
    </xf>
    <xf borderId="40" fillId="13" fontId="5" numFmtId="0" xfId="0" applyBorder="1" applyFont="1"/>
    <xf borderId="41" fillId="15" fontId="2" numFmtId="0" xfId="0" applyAlignment="1" applyBorder="1" applyFont="1">
      <alignment vertical="bottom"/>
    </xf>
    <xf borderId="41" fillId="13" fontId="5" numFmtId="0" xfId="0" applyBorder="1" applyFont="1"/>
    <xf borderId="42" fillId="13" fontId="5" numFmtId="0" xfId="0" applyBorder="1" applyFont="1"/>
    <xf borderId="43" fillId="11" fontId="5" numFmtId="0" xfId="0" applyAlignment="1" applyBorder="1" applyFont="1">
      <alignment readingOrder="0"/>
    </xf>
    <xf borderId="44" fillId="11" fontId="5" numFmtId="0" xfId="0" applyBorder="1" applyFont="1"/>
    <xf borderId="45" fillId="11" fontId="5" numFmtId="0" xfId="0" applyAlignment="1" applyBorder="1" applyFont="1">
      <alignment readingOrder="0"/>
    </xf>
    <xf borderId="46" fillId="11" fontId="5" numFmtId="0" xfId="0" applyAlignment="1" applyBorder="1" applyFont="1">
      <alignment readingOrder="0"/>
    </xf>
    <xf borderId="47" fillId="11" fontId="5" numFmtId="0" xfId="0" applyAlignment="1" applyBorder="1" applyFont="1">
      <alignment readingOrder="0"/>
    </xf>
    <xf borderId="48" fillId="11" fontId="5" numFmtId="0" xfId="0" applyAlignment="1" applyBorder="1" applyFont="1">
      <alignment readingOrder="0"/>
    </xf>
    <xf borderId="49" fillId="11" fontId="5" numFmtId="0" xfId="0" applyAlignment="1" applyBorder="1" applyFont="1">
      <alignment readingOrder="0"/>
    </xf>
    <xf borderId="50" fillId="11" fontId="5" numFmtId="0" xfId="0" applyAlignment="1" applyBorder="1" applyFont="1">
      <alignment readingOrder="0"/>
    </xf>
    <xf borderId="51" fillId="20" fontId="5" numFmtId="0" xfId="0" applyAlignment="1" applyBorder="1" applyFill="1" applyFont="1">
      <alignment readingOrder="0"/>
    </xf>
    <xf borderId="52" fillId="20" fontId="5" numFmtId="0" xfId="0" applyBorder="1" applyFont="1"/>
    <xf borderId="45" fillId="20" fontId="5" numFmtId="0" xfId="0" applyAlignment="1" applyBorder="1" applyFont="1">
      <alignment readingOrder="0"/>
    </xf>
    <xf borderId="46" fillId="20" fontId="5" numFmtId="0" xfId="0" applyAlignment="1" applyBorder="1" applyFont="1">
      <alignment readingOrder="0"/>
    </xf>
    <xf borderId="49" fillId="20" fontId="5" numFmtId="0" xfId="0" applyAlignment="1" applyBorder="1" applyFont="1">
      <alignment readingOrder="0"/>
    </xf>
    <xf borderId="50" fillId="20" fontId="5" numFmtId="0" xfId="0" applyAlignment="1" applyBorder="1" applyFont="1">
      <alignment readingOrder="0"/>
    </xf>
    <xf borderId="43" fillId="21" fontId="5" numFmtId="0" xfId="0" applyAlignment="1" applyBorder="1" applyFill="1" applyFont="1">
      <alignment readingOrder="0"/>
    </xf>
    <xf borderId="44" fillId="21" fontId="5" numFmtId="0" xfId="0" applyBorder="1" applyFont="1"/>
    <xf borderId="45" fillId="21" fontId="5" numFmtId="0" xfId="0" applyAlignment="1" applyBorder="1" applyFont="1">
      <alignment readingOrder="0"/>
    </xf>
    <xf borderId="46" fillId="21" fontId="5" numFmtId="0" xfId="0" applyAlignment="1" applyBorder="1" applyFont="1">
      <alignment readingOrder="0"/>
    </xf>
    <xf borderId="49" fillId="21" fontId="5" numFmtId="0" xfId="0" applyAlignment="1" applyBorder="1" applyFont="1">
      <alignment readingOrder="0"/>
    </xf>
    <xf borderId="50" fillId="21" fontId="5" numFmtId="0" xfId="0" applyAlignment="1" applyBorder="1" applyFont="1">
      <alignment readingOrder="0"/>
    </xf>
    <xf borderId="0" fillId="4" fontId="1" numFmtId="0" xfId="0" applyAlignment="1" applyFont="1">
      <alignment readingOrder="0" shrinkToFit="0" vertical="bottom" wrapText="1"/>
    </xf>
    <xf borderId="0" fillId="4" fontId="1" numFmtId="49" xfId="0" applyAlignment="1" applyFont="1" applyNumberFormat="1">
      <alignment readingOrder="0" vertical="bottom"/>
    </xf>
    <xf borderId="0" fillId="4" fontId="2" numFmtId="164" xfId="0" applyAlignment="1" applyFont="1" applyNumberFormat="1">
      <alignment vertical="bottom"/>
    </xf>
    <xf borderId="0" fillId="0" fontId="1" numFmtId="49" xfId="0" applyAlignment="1" applyFont="1" applyNumberFormat="1">
      <alignment vertical="bottom"/>
    </xf>
    <xf borderId="0" fillId="0" fontId="4" numFmtId="49" xfId="0" applyAlignment="1" applyFont="1" applyNumberFormat="1">
      <alignment horizontal="center" vertical="bottom"/>
    </xf>
    <xf borderId="0" fillId="0" fontId="2" numFmtId="49" xfId="0" applyAlignment="1" applyFont="1" applyNumberFormat="1">
      <alignment vertical="bottom"/>
    </xf>
    <xf borderId="0" fillId="0" fontId="2" numFmtId="0" xfId="0" applyAlignment="1" applyFont="1">
      <alignment horizontal="center" vertical="bottom"/>
    </xf>
    <xf borderId="0" fillId="0" fontId="2" numFmtId="49" xfId="0" applyAlignment="1" applyFont="1" applyNumberFormat="1">
      <alignment horizontal="center" vertical="bottom"/>
    </xf>
    <xf borderId="7" fillId="0" fontId="1" numFmtId="0" xfId="0" applyAlignment="1" applyBorder="1" applyFont="1">
      <alignment horizontal="center" readingOrder="0" vertical="bottom"/>
    </xf>
    <xf borderId="53" fillId="0" fontId="6" numFmtId="0" xfId="0" applyBorder="1" applyFont="1"/>
    <xf borderId="9" fillId="0" fontId="6" numFmtId="0" xfId="0" applyBorder="1" applyFont="1"/>
    <xf borderId="54" fillId="0" fontId="1" numFmtId="0" xfId="0" applyAlignment="1" applyBorder="1" applyFont="1">
      <alignment readingOrder="0" shrinkToFit="0" vertical="bottom" wrapText="1"/>
    </xf>
    <xf borderId="55" fillId="0" fontId="1" numFmtId="49" xfId="0" applyAlignment="1" applyBorder="1" applyFont="1" applyNumberFormat="1">
      <alignment readingOrder="0" shrinkToFit="0" vertical="bottom" wrapText="1"/>
    </xf>
    <xf borderId="55" fillId="0" fontId="1" numFmtId="0" xfId="0" applyAlignment="1" applyBorder="1" applyFont="1">
      <alignment readingOrder="0" shrinkToFit="0" vertical="bottom" wrapText="1"/>
    </xf>
    <xf borderId="56" fillId="0" fontId="1" numFmtId="0" xfId="0" applyAlignment="1" applyBorder="1" applyFont="1">
      <alignment readingOrder="0" shrinkToFit="0" vertical="bottom" wrapText="1"/>
    </xf>
    <xf borderId="57" fillId="0" fontId="1" numFmtId="0" xfId="0" applyAlignment="1" applyBorder="1" applyFont="1">
      <alignment readingOrder="0" shrinkToFit="0" vertical="bottom" wrapText="1"/>
    </xf>
    <xf borderId="58" fillId="0" fontId="2" numFmtId="0" xfId="0" applyAlignment="1" applyBorder="1" applyFont="1">
      <alignment vertical="bottom"/>
    </xf>
    <xf borderId="59" fillId="0" fontId="2" numFmtId="0" xfId="0" applyAlignment="1" applyBorder="1" applyFont="1">
      <alignment readingOrder="0" vertical="bottom"/>
    </xf>
    <xf borderId="60" fillId="0" fontId="2" numFmtId="0" xfId="0" applyAlignment="1" applyBorder="1" applyFont="1">
      <alignment readingOrder="0" vertical="bottom"/>
    </xf>
    <xf borderId="61" fillId="5" fontId="5" numFmtId="0" xfId="0" applyBorder="1" applyFont="1"/>
    <xf borderId="0" fillId="0" fontId="5" numFmtId="49" xfId="0" applyFont="1" applyNumberFormat="1"/>
    <xf borderId="0" fillId="0" fontId="5" numFmtId="0" xfId="0" applyFont="1"/>
    <xf borderId="59" fillId="5" fontId="5" numFmtId="0" xfId="0" applyAlignment="1" applyBorder="1" applyFont="1">
      <alignment horizontal="center"/>
    </xf>
    <xf borderId="0" fillId="5" fontId="5" numFmtId="3" xfId="0" applyFont="1" applyNumberFormat="1"/>
    <xf borderId="0" fillId="0" fontId="5" numFmtId="3" xfId="0" applyFont="1" applyNumberFormat="1"/>
    <xf borderId="0" fillId="0" fontId="2" numFmtId="3" xfId="0" applyAlignment="1" applyFont="1" applyNumberFormat="1">
      <alignment vertical="bottom"/>
    </xf>
    <xf borderId="11" fillId="0" fontId="2" numFmtId="3" xfId="0" applyAlignment="1" applyBorder="1" applyFont="1" applyNumberFormat="1">
      <alignment vertical="bottom"/>
    </xf>
    <xf borderId="61" fillId="15" fontId="2" numFmtId="0" xfId="0" applyAlignment="1" applyBorder="1" applyFont="1">
      <alignment vertical="bottom"/>
    </xf>
    <xf borderId="11" fillId="0" fontId="2" numFmtId="0" xfId="0" applyAlignment="1" applyBorder="1" applyFont="1">
      <alignment vertical="bottom"/>
    </xf>
    <xf borderId="0" fillId="22" fontId="5" numFmtId="0" xfId="0" applyFill="1" applyFont="1"/>
    <xf borderId="61" fillId="0" fontId="2" numFmtId="0" xfId="0" applyAlignment="1" applyBorder="1" applyFont="1">
      <alignment vertical="bottom"/>
    </xf>
    <xf borderId="61" fillId="0" fontId="2" numFmtId="0" xfId="0" applyAlignment="1" applyBorder="1" applyFont="1">
      <alignment vertical="bottom"/>
    </xf>
    <xf borderId="0" fillId="0" fontId="1" numFmtId="3" xfId="0" applyAlignment="1" applyFont="1" applyNumberFormat="1">
      <alignment horizontal="right" vertical="bottom"/>
    </xf>
    <xf borderId="11" fillId="0" fontId="1" numFmtId="3" xfId="0" applyAlignment="1" applyBorder="1" applyFont="1" applyNumberFormat="1">
      <alignment horizontal="right" vertical="bottom"/>
    </xf>
    <xf borderId="61" fillId="0" fontId="1" numFmtId="0" xfId="0" applyAlignment="1" applyBorder="1" applyFont="1">
      <alignment vertical="bottom"/>
    </xf>
    <xf borderId="11" fillId="0" fontId="2" numFmtId="0" xfId="0" applyAlignment="1" applyBorder="1" applyFont="1">
      <alignment vertical="bottom"/>
    </xf>
    <xf borderId="58" fillId="0" fontId="1" numFmtId="0" xfId="0" applyAlignment="1" applyBorder="1" applyFont="1">
      <alignment vertical="bottom"/>
    </xf>
    <xf borderId="59" fillId="0" fontId="2" numFmtId="49" xfId="0" applyAlignment="1" applyBorder="1" applyFont="1" applyNumberFormat="1">
      <alignment vertical="bottom"/>
    </xf>
    <xf borderId="59" fillId="0" fontId="2" numFmtId="0" xfId="0" applyAlignment="1" applyBorder="1" applyFont="1">
      <alignment vertical="bottom"/>
    </xf>
    <xf borderId="59" fillId="0" fontId="1" numFmtId="0" xfId="0" applyAlignment="1" applyBorder="1" applyFont="1">
      <alignment horizontal="right" vertical="bottom"/>
    </xf>
    <xf borderId="60" fillId="0" fontId="2" numFmtId="0" xfId="0" applyAlignment="1" applyBorder="1" applyFont="1">
      <alignment vertical="bottom"/>
    </xf>
    <xf borderId="61" fillId="0" fontId="2" numFmtId="0" xfId="0" applyAlignment="1" applyBorder="1" applyFont="1">
      <alignment readingOrder="0" vertical="bottom"/>
    </xf>
    <xf borderId="0" fillId="23" fontId="2" numFmtId="0" xfId="0" applyAlignment="1" applyFill="1" applyFont="1">
      <alignment readingOrder="0" vertical="bottom"/>
    </xf>
    <xf borderId="62" fillId="0" fontId="2" numFmtId="0" xfId="0" applyAlignment="1" applyBorder="1" applyFont="1">
      <alignment readingOrder="0" vertical="bottom"/>
    </xf>
    <xf borderId="63" fillId="0" fontId="2" numFmtId="49" xfId="0" applyAlignment="1" applyBorder="1" applyFont="1" applyNumberFormat="1">
      <alignment vertical="bottom"/>
    </xf>
    <xf borderId="63" fillId="0" fontId="2" numFmtId="0" xfId="0" applyAlignment="1" applyBorder="1" applyFont="1">
      <alignment vertical="bottom"/>
    </xf>
    <xf borderId="14" fillId="0" fontId="2" numFmtId="0" xfId="0" applyAlignment="1" applyBorder="1" applyFont="1">
      <alignment vertical="bottom"/>
    </xf>
    <xf borderId="58" fillId="0" fontId="5" numFmtId="0" xfId="0" applyBorder="1" applyFont="1"/>
    <xf borderId="59" fillId="0" fontId="5" numFmtId="0" xfId="0" applyAlignment="1" applyBorder="1" applyFont="1">
      <alignment readingOrder="0"/>
    </xf>
    <xf borderId="59" fillId="0" fontId="5" numFmtId="0" xfId="0" applyBorder="1" applyFont="1"/>
    <xf borderId="59" fillId="5" fontId="5" numFmtId="0" xfId="0" applyAlignment="1" applyBorder="1" applyFont="1">
      <alignment readingOrder="0"/>
    </xf>
    <xf borderId="59" fillId="0" fontId="5" numFmtId="0" xfId="0" applyBorder="1" applyFont="1"/>
    <xf borderId="60" fillId="0" fontId="5" numFmtId="0" xfId="0" applyBorder="1" applyFont="1"/>
    <xf borderId="62" fillId="0" fontId="2" numFmtId="0" xfId="0" applyAlignment="1" applyBorder="1" applyFont="1">
      <alignment vertical="bottom"/>
    </xf>
    <xf borderId="63" fillId="0" fontId="5" numFmtId="0" xfId="0" applyAlignment="1" applyBorder="1" applyFont="1">
      <alignment readingOrder="0"/>
    </xf>
    <xf borderId="63" fillId="0" fontId="2" numFmtId="0" xfId="0" applyAlignment="1" applyBorder="1" applyFont="1">
      <alignment vertical="bottom"/>
    </xf>
    <xf borderId="63" fillId="0" fontId="2" numFmtId="0" xfId="0" applyAlignment="1" applyBorder="1" applyFont="1">
      <alignment readingOrder="0" vertical="bottom"/>
    </xf>
    <xf borderId="63" fillId="5" fontId="2" numFmtId="0" xfId="0" applyAlignment="1" applyBorder="1" applyFont="1">
      <alignment readingOrder="0" vertical="bottom"/>
    </xf>
    <xf borderId="0" fillId="0" fontId="1" numFmtId="0" xfId="0" applyAlignment="1" applyFont="1">
      <alignment vertical="bottom"/>
    </xf>
    <xf borderId="58" fillId="0" fontId="2" numFmtId="0" xfId="0" applyAlignment="1" applyBorder="1" applyFont="1">
      <alignment readingOrder="0" vertical="bottom"/>
    </xf>
    <xf borderId="60" fillId="0" fontId="2" numFmtId="49" xfId="0" applyAlignment="1" applyBorder="1" applyFont="1" applyNumberFormat="1">
      <alignment vertical="bottom"/>
    </xf>
    <xf borderId="11" fillId="0" fontId="2" numFmtId="0" xfId="0" applyAlignment="1" applyBorder="1" applyFont="1">
      <alignment readingOrder="0" vertical="bottom"/>
    </xf>
    <xf borderId="0" fillId="0" fontId="4" numFmtId="0" xfId="0" applyAlignment="1" applyFont="1">
      <alignment horizontal="center" readingOrder="0" vertical="bottom"/>
    </xf>
    <xf borderId="0" fillId="0" fontId="1" numFmtId="0" xfId="0" applyAlignment="1" applyFont="1">
      <alignment readingOrder="0" vertical="bottom"/>
    </xf>
    <xf borderId="0" fillId="0" fontId="2" numFmtId="10" xfId="0" applyAlignment="1" applyFont="1" applyNumberFormat="1">
      <alignment vertical="bottom"/>
    </xf>
    <xf borderId="14" fillId="0" fontId="2" numFmtId="0" xfId="0" applyAlignment="1" applyBorder="1" applyFont="1">
      <alignment readingOrder="0" vertical="bottom"/>
    </xf>
    <xf borderId="0" fillId="0" fontId="1" numFmtId="10" xfId="0" applyAlignment="1" applyFont="1" applyNumberFormat="1">
      <alignment horizontal="center" vertical="bottom"/>
    </xf>
    <xf borderId="0" fillId="24" fontId="2" numFmtId="1" xfId="0" applyAlignment="1" applyFill="1" applyFont="1" applyNumberFormat="1">
      <alignment horizontal="center" readingOrder="0" vertical="bottom"/>
    </xf>
    <xf borderId="0" fillId="0" fontId="7" numFmtId="0" xfId="0" applyAlignment="1" applyFont="1">
      <alignment horizontal="center" vertical="bottom"/>
    </xf>
    <xf borderId="0" fillId="0" fontId="8" numFmtId="49" xfId="0" applyAlignment="1" applyFont="1" applyNumberFormat="1">
      <alignment horizontal="center" vertical="bottom"/>
    </xf>
    <xf borderId="0" fillId="0" fontId="8" numFmtId="0" xfId="0" applyAlignment="1" applyFont="1">
      <alignment horizontal="center" vertical="bottom"/>
    </xf>
    <xf borderId="0" fillId="0" fontId="7" numFmtId="49" xfId="0" applyAlignment="1" applyFont="1" applyNumberFormat="1">
      <alignment horizontal="center" vertical="bottom"/>
    </xf>
    <xf borderId="59" fillId="0" fontId="1" numFmtId="3" xfId="0" applyAlignment="1" applyBorder="1" applyFont="1" applyNumberFormat="1">
      <alignment horizontal="right" vertical="bottom"/>
    </xf>
    <xf borderId="59" fillId="0" fontId="2" numFmtId="3" xfId="0" applyAlignment="1" applyBorder="1" applyFont="1" applyNumberFormat="1">
      <alignment vertical="bottom"/>
    </xf>
    <xf borderId="60" fillId="0" fontId="2" numFmtId="3" xfId="0" applyAlignment="1" applyBorder="1" applyFont="1" applyNumberFormat="1">
      <alignment vertical="bottom"/>
    </xf>
    <xf borderId="0" fillId="5" fontId="2" numFmtId="0" xfId="0" applyAlignment="1" applyFont="1">
      <alignment vertical="bottom"/>
    </xf>
    <xf borderId="0" fillId="0" fontId="2" numFmtId="1" xfId="0" applyAlignment="1" applyFont="1" applyNumberFormat="1">
      <alignment horizontal="center" readingOrder="0" vertical="bottom"/>
    </xf>
    <xf borderId="0" fillId="25" fontId="5" numFmtId="0" xfId="0" applyAlignment="1" applyFill="1" applyFont="1">
      <alignment readingOrder="0"/>
    </xf>
    <xf borderId="0" fillId="25" fontId="22" numFmtId="0" xfId="0" applyAlignment="1" applyFont="1">
      <alignment readingOrder="0"/>
    </xf>
    <xf borderId="0" fillId="20" fontId="5" numFmtId="0" xfId="0" applyAlignment="1" applyFont="1">
      <alignment readingOrder="0"/>
    </xf>
    <xf borderId="0" fillId="20" fontId="2" numFmtId="0" xfId="0" applyAlignment="1" applyFont="1">
      <alignment horizontal="right" readingOrder="0" vertical="bottom"/>
    </xf>
    <xf borderId="0" fillId="20" fontId="2" numFmtId="0" xfId="0" applyAlignment="1" applyFont="1">
      <alignment vertical="bottom"/>
    </xf>
    <xf borderId="0" fillId="20" fontId="2" numFmtId="0" xfId="0" applyAlignment="1" applyFont="1">
      <alignment readingOrder="0" vertical="bottom"/>
    </xf>
    <xf borderId="0" fillId="0" fontId="23" numFmtId="0" xfId="0" applyAlignment="1" applyFont="1">
      <alignment readingOrder="0"/>
    </xf>
    <xf borderId="0" fillId="6" fontId="5" numFmtId="0" xfId="0" applyAlignment="1" applyFont="1">
      <alignment readingOrder="0"/>
    </xf>
    <xf borderId="0" fillId="6" fontId="5" numFmtId="0" xfId="0" applyFont="1"/>
    <xf borderId="0" fillId="6" fontId="2" numFmtId="0" xfId="0" applyAlignment="1" applyFont="1">
      <alignment horizontal="right" readingOrder="0" vertical="bottom"/>
    </xf>
    <xf borderId="0" fillId="6" fontId="2" numFmtId="0" xfId="0" applyAlignment="1" applyFont="1">
      <alignment readingOrder="0" vertical="bottom"/>
    </xf>
    <xf borderId="0" fillId="6" fontId="2" numFmtId="0" xfId="0" applyAlignment="1" applyFont="1">
      <alignment vertical="bottom"/>
    </xf>
    <xf borderId="0" fillId="21" fontId="5" numFmtId="0" xfId="0" applyFont="1"/>
    <xf borderId="0" fillId="21" fontId="5" numFmtId="0" xfId="0" applyAlignment="1" applyFont="1">
      <alignment readingOrder="0"/>
    </xf>
    <xf borderId="0" fillId="21" fontId="5" numFmtId="0" xfId="0" applyFont="1"/>
    <xf borderId="0" fillId="3" fontId="5" numFmtId="0" xfId="0" applyAlignment="1" applyFont="1">
      <alignment readingOrder="0"/>
    </xf>
    <xf borderId="0" fillId="3" fontId="5" numFmtId="3" xfId="0" applyAlignment="1" applyFont="1" applyNumberFormat="1">
      <alignment readingOrder="0"/>
    </xf>
    <xf borderId="0" fillId="3" fontId="5" numFmtId="0" xfId="0" applyAlignment="1" applyFont="1">
      <alignment horizontal="right"/>
    </xf>
    <xf borderId="0" fillId="3" fontId="5" numFmtId="0" xfId="0" applyFont="1"/>
    <xf borderId="0" fillId="7" fontId="2" numFmtId="3" xfId="0" applyAlignment="1" applyFont="1" applyNumberFormat="1">
      <alignment horizontal="right" readingOrder="0" vertical="bottom"/>
    </xf>
    <xf borderId="0" fillId="0" fontId="2" numFmtId="3" xfId="0" applyAlignment="1" applyFont="1" applyNumberFormat="1">
      <alignment horizontal="right" readingOrder="0" vertical="bottom"/>
    </xf>
    <xf borderId="0" fillId="0" fontId="2" numFmtId="0" xfId="0" applyAlignment="1" applyFont="1">
      <alignment horizontal="right" readingOrder="0" vertical="bottom"/>
    </xf>
    <xf borderId="0" fillId="0" fontId="5" numFmtId="10" xfId="0" applyFont="1" applyNumberFormat="1"/>
    <xf borderId="0" fillId="0" fontId="5" numFmtId="0" xfId="0" applyAlignment="1" applyFont="1">
      <alignment horizontal="right"/>
    </xf>
    <xf borderId="0" fillId="20" fontId="24" numFmtId="0" xfId="0" applyAlignment="1" applyFont="1">
      <alignment readingOrder="0" shrinkToFit="0" vertical="bottom" wrapText="0"/>
    </xf>
    <xf borderId="0" fillId="7" fontId="5" numFmtId="0" xfId="0" applyAlignment="1" applyFont="1">
      <alignment horizontal="left" readingOrder="0"/>
    </xf>
    <xf borderId="0" fillId="0" fontId="5" numFmtId="0" xfId="0" applyAlignment="1" applyFont="1">
      <alignment horizontal="right" readingOrder="0"/>
    </xf>
    <xf borderId="0" fillId="0" fontId="5" numFmtId="0" xfId="0" applyAlignment="1" applyFont="1">
      <alignment horizontal="left" readingOrder="0"/>
    </xf>
    <xf borderId="0" fillId="11" fontId="2" numFmtId="0" xfId="0" applyAlignment="1" applyFont="1">
      <alignment readingOrder="0" vertical="bottom"/>
    </xf>
    <xf borderId="0" fillId="11" fontId="2" numFmtId="0" xfId="0" applyAlignment="1" applyFont="1">
      <alignment vertical="bottom"/>
    </xf>
    <xf borderId="0" fillId="11" fontId="2" numFmtId="0" xfId="0" applyAlignment="1" applyFont="1">
      <alignment horizontal="right" readingOrder="0" vertical="bottom"/>
    </xf>
    <xf borderId="0" fillId="20" fontId="2" numFmtId="0" xfId="0" applyAlignment="1" applyFont="1">
      <alignment vertical="bottom"/>
    </xf>
    <xf borderId="0" fillId="21" fontId="2" numFmtId="0" xfId="0" applyAlignment="1" applyFont="1">
      <alignment readingOrder="0" vertical="bottom"/>
    </xf>
    <xf borderId="0" fillId="3" fontId="2" numFmtId="0" xfId="0" applyAlignment="1" applyFont="1">
      <alignment vertical="bottom"/>
    </xf>
    <xf borderId="0" fillId="3" fontId="2" numFmtId="0" xfId="0" applyAlignment="1" applyFont="1">
      <alignment horizontal="right" readingOrder="0" vertical="bottom"/>
    </xf>
    <xf borderId="0" fillId="11" fontId="5" numFmtId="0" xfId="0" applyAlignment="1" applyFont="1">
      <alignment readingOrder="0"/>
    </xf>
    <xf borderId="0" fillId="11" fontId="5" numFmtId="0" xfId="0" applyFont="1"/>
    <xf borderId="0" fillId="21" fontId="2" numFmtId="0" xfId="0" applyAlignment="1" applyFont="1">
      <alignment vertical="bottom"/>
    </xf>
    <xf borderId="0" fillId="21" fontId="2" numFmtId="0" xfId="0" applyAlignment="1" applyFont="1">
      <alignment horizontal="right" readingOrder="0" vertical="bottom"/>
    </xf>
    <xf borderId="0" fillId="7" fontId="2" numFmtId="0" xfId="0" applyAlignment="1" applyFont="1">
      <alignment readingOrder="0" vertical="bottom"/>
    </xf>
    <xf borderId="0" fillId="7" fontId="2" numFmtId="0" xfId="0" applyAlignment="1" applyFont="1">
      <alignment vertical="bottom"/>
    </xf>
    <xf borderId="0" fillId="7" fontId="2" numFmtId="0" xfId="0" applyAlignment="1" applyFont="1">
      <alignment horizontal="right" readingOrder="0" vertical="bottom"/>
    </xf>
    <xf borderId="0" fillId="0" fontId="24" numFmtId="0" xfId="0" applyAlignment="1" applyFont="1">
      <alignment shrinkToFit="0" vertical="bottom" wrapText="0"/>
    </xf>
    <xf borderId="0" fillId="0" fontId="24" numFmtId="0" xfId="0" applyAlignment="1" applyFont="1">
      <alignment readingOrder="0" shrinkToFit="0" vertical="bottom" wrapText="0"/>
    </xf>
    <xf borderId="26" fillId="0" fontId="8" numFmtId="0" xfId="0" applyAlignment="1" applyBorder="1" applyFont="1">
      <alignment readingOrder="0" vertical="bottom"/>
    </xf>
    <xf borderId="0" fillId="0" fontId="8" numFmtId="0" xfId="0" applyAlignment="1" applyFont="1">
      <alignment readingOrder="0" vertical="bottom"/>
    </xf>
    <xf borderId="0" fillId="0" fontId="5" numFmtId="0" xfId="0" applyAlignment="1" applyFont="1">
      <alignment horizontal="center" readingOrder="0"/>
    </xf>
    <xf borderId="0" fillId="0" fontId="25" numFmtId="0" xfId="0" applyFont="1"/>
    <xf borderId="0" fillId="0" fontId="26" numFmtId="0" xfId="0" applyFont="1"/>
    <xf borderId="0" fillId="18" fontId="5" numFmtId="0" xfId="0" applyAlignment="1" applyFont="1">
      <alignment horizontal="center"/>
    </xf>
    <xf borderId="0" fillId="5" fontId="5" numFmtId="0" xfId="0" applyAlignment="1" applyFont="1">
      <alignment horizontal="center"/>
    </xf>
    <xf borderId="58" fillId="0" fontId="5" numFmtId="0" xfId="0" applyAlignment="1" applyBorder="1" applyFont="1">
      <alignment readingOrder="0"/>
    </xf>
    <xf borderId="60" fillId="0" fontId="5" numFmtId="0" xfId="0" applyAlignment="1" applyBorder="1" applyFont="1">
      <alignment horizontal="center"/>
    </xf>
    <xf borderId="0" fillId="3" fontId="27" numFmtId="0" xfId="0" applyAlignment="1" applyFont="1">
      <alignment readingOrder="0" textRotation="255" vertical="top"/>
    </xf>
    <xf borderId="61" fillId="0" fontId="5" numFmtId="0" xfId="0" applyAlignment="1" applyBorder="1" applyFont="1">
      <alignment readingOrder="0"/>
    </xf>
    <xf borderId="11" fillId="0" fontId="5" numFmtId="0" xfId="0" applyAlignment="1" applyBorder="1" applyFont="1">
      <alignment horizontal="center"/>
    </xf>
    <xf borderId="61" fillId="0" fontId="5" numFmtId="0" xfId="0" applyBorder="1" applyFont="1"/>
    <xf borderId="11" fillId="0" fontId="5" numFmtId="0" xfId="0" applyBorder="1" applyFont="1"/>
    <xf borderId="62" fillId="0" fontId="5" numFmtId="0" xfId="0" applyBorder="1" applyFont="1"/>
    <xf borderId="14" fillId="0" fontId="5" numFmtId="0" xfId="0" applyBorder="1" applyFont="1"/>
    <xf borderId="0" fillId="15" fontId="5" numFmtId="0" xfId="0" applyAlignment="1" applyFont="1">
      <alignment horizontal="center"/>
    </xf>
    <xf borderId="0" fillId="0" fontId="5" numFmtId="0" xfId="0" applyAlignment="1" applyFont="1">
      <alignment horizontal="center"/>
    </xf>
    <xf borderId="0" fillId="26" fontId="5" numFmtId="0" xfId="0" applyAlignment="1" applyFill="1" applyFont="1">
      <alignment horizontal="center"/>
    </xf>
    <xf borderId="0" fillId="20" fontId="5" numFmtId="0" xfId="0" applyAlignment="1" applyFont="1">
      <alignment horizontal="center"/>
    </xf>
    <xf borderId="14" fillId="0" fontId="5" numFmtId="0" xfId="0" applyAlignment="1" applyBorder="1" applyFont="1">
      <alignment horizontal="center"/>
    </xf>
    <xf borderId="0" fillId="15" fontId="2" numFmtId="0" xfId="0" applyAlignment="1" applyFont="1">
      <alignment readingOrder="0" vertical="bottom"/>
    </xf>
    <xf borderId="0" fillId="27" fontId="1" numFmtId="0" xfId="0" applyAlignment="1" applyFill="1" applyFont="1">
      <alignment horizontal="center" readingOrder="0" vertical="bottom"/>
    </xf>
    <xf borderId="0" fillId="28" fontId="5" numFmtId="0" xfId="0" applyFill="1" applyFont="1"/>
    <xf borderId="1" fillId="27" fontId="1" numFmtId="0" xfId="0" applyAlignment="1" applyBorder="1" applyFont="1">
      <alignment horizontal="center" readingOrder="0" vertical="bottom"/>
    </xf>
    <xf borderId="0" fillId="28" fontId="5" numFmtId="9" xfId="0" applyAlignment="1" applyFont="1" applyNumberFormat="1">
      <alignment readingOrder="0"/>
    </xf>
    <xf borderId="0" fillId="28" fontId="5" numFmtId="0" xfId="0" applyAlignment="1" applyFont="1">
      <alignment readingOrder="0"/>
    </xf>
    <xf borderId="1" fillId="5" fontId="5" numFmtId="0" xfId="0" applyAlignment="1" applyBorder="1" applyFont="1">
      <alignment horizontal="center" readingOrder="0"/>
    </xf>
    <xf borderId="0" fillId="0" fontId="5" numFmtId="0" xfId="0" applyFont="1"/>
    <xf borderId="0" fillId="0" fontId="14" numFmtId="0" xfId="0" applyAlignment="1" applyFont="1">
      <alignment readingOrder="0" vertical="bottom"/>
    </xf>
    <xf borderId="0" fillId="15" fontId="5" numFmtId="0" xfId="0" applyFont="1"/>
    <xf borderId="0" fillId="15" fontId="5" numFmtId="0" xfId="0" applyAlignment="1" applyFont="1">
      <alignment readingOrder="0"/>
    </xf>
    <xf borderId="0" fillId="15" fontId="5" numFmtId="0" xfId="0" applyAlignment="1" applyFont="1">
      <alignment readingOrder="0"/>
    </xf>
    <xf borderId="0" fillId="15" fontId="5" numFmtId="0" xfId="0" applyFont="1"/>
    <xf borderId="0" fillId="15" fontId="2" numFmtId="0" xfId="0" applyAlignment="1" applyFont="1">
      <alignment horizontal="right" vertical="bottom"/>
    </xf>
    <xf borderId="0" fillId="0" fontId="5" numFmtId="0" xfId="0" applyAlignment="1" applyFont="1">
      <alignment readingOrder="0"/>
    </xf>
    <xf borderId="64" fillId="0" fontId="5" numFmtId="0" xfId="0" applyBorder="1" applyFont="1"/>
    <xf borderId="64" fillId="0" fontId="2" numFmtId="0" xfId="0" applyAlignment="1" applyBorder="1" applyFont="1">
      <alignment vertical="bottom"/>
    </xf>
    <xf borderId="64" fillId="0" fontId="5" numFmtId="0" xfId="0" applyAlignment="1" applyBorder="1" applyFont="1">
      <alignment readingOrder="0"/>
    </xf>
    <xf borderId="64" fillId="0" fontId="5" numFmtId="0" xfId="0" applyAlignment="1" applyBorder="1" applyFont="1">
      <alignment readingOrder="0"/>
    </xf>
    <xf borderId="64" fillId="0" fontId="14" numFmtId="0" xfId="0" applyAlignment="1" applyBorder="1" applyFont="1">
      <alignment readingOrder="0" vertical="bottom"/>
    </xf>
    <xf borderId="0" fillId="0" fontId="14" numFmtId="0" xfId="0" applyAlignment="1" applyFont="1">
      <alignment horizontal="center" readingOrder="0" vertical="bottom"/>
    </xf>
    <xf borderId="4" fillId="29" fontId="7" numFmtId="0" xfId="0" applyAlignment="1" applyBorder="1" applyFill="1" applyFont="1">
      <alignment horizontal="center" readingOrder="0" shrinkToFit="0" vertical="top" wrapText="0"/>
    </xf>
    <xf borderId="2" fillId="29" fontId="7" numFmtId="0" xfId="0" applyAlignment="1" applyBorder="1" applyFont="1">
      <alignment horizontal="center" readingOrder="0" shrinkToFit="0" vertical="top" wrapText="0"/>
    </xf>
    <xf borderId="0" fillId="0" fontId="24" numFmtId="0" xfId="0" applyAlignment="1" applyFont="1">
      <alignment horizontal="right" shrinkToFit="0" vertical="bottom" wrapText="0"/>
    </xf>
    <xf borderId="0" fillId="0" fontId="24" numFmtId="0" xfId="0" applyAlignment="1" applyFont="1">
      <alignment horizontal="right" readingOrder="0" shrinkToFit="0" vertical="bottom" wrapText="0"/>
    </xf>
    <xf borderId="0" fillId="4" fontId="13" numFmtId="0" xfId="0" applyAlignment="1" applyFont="1">
      <alignment readingOrder="0"/>
    </xf>
    <xf borderId="0" fillId="30" fontId="13" numFmtId="0" xfId="0" applyAlignment="1" applyFill="1" applyFont="1">
      <alignment readingOrder="0"/>
    </xf>
    <xf borderId="0" fillId="30" fontId="13" numFmtId="49" xfId="0" applyAlignment="1" applyFont="1" applyNumberFormat="1">
      <alignment readingOrder="0"/>
    </xf>
    <xf borderId="0" fillId="0" fontId="5" numFmtId="49" xfId="0" applyAlignment="1" applyFont="1" applyNumberFormat="1">
      <alignment readingOrder="0"/>
    </xf>
    <xf borderId="0" fillId="0" fontId="5" numFmtId="3" xfId="0" applyAlignment="1" applyFont="1" applyNumberFormat="1">
      <alignment horizontal="right" readingOrder="0"/>
    </xf>
    <xf borderId="0" fillId="0" fontId="5" numFmtId="3" xfId="0" applyAlignment="1" applyFont="1" applyNumberFormat="1">
      <alignment horizontal="right"/>
    </xf>
    <xf borderId="65" fillId="0" fontId="5" numFmtId="0" xfId="0" applyBorder="1" applyFont="1"/>
    <xf borderId="65" fillId="0" fontId="5" numFmtId="3" xfId="0" applyAlignment="1" applyBorder="1" applyFont="1" applyNumberFormat="1">
      <alignment horizontal="right"/>
    </xf>
    <xf borderId="65" fillId="0" fontId="5" numFmtId="0" xfId="0" applyAlignment="1" applyBorder="1" applyFont="1">
      <alignment horizontal="right" readingOrder="0"/>
    </xf>
    <xf borderId="65" fillId="0" fontId="5" numFmtId="0" xfId="0" applyAlignment="1" applyBorder="1" applyFont="1">
      <alignment horizontal="right"/>
    </xf>
    <xf borderId="65" fillId="0" fontId="2" numFmtId="0" xfId="0" applyAlignment="1" applyBorder="1" applyFont="1">
      <alignment vertical="bottom"/>
    </xf>
    <xf borderId="65" fillId="0" fontId="2" numFmtId="0" xfId="0" applyAlignment="1" applyBorder="1" applyFont="1">
      <alignment vertical="bottom"/>
    </xf>
    <xf borderId="65" fillId="0" fontId="5" numFmtId="49" xfId="0" applyBorder="1" applyFont="1" applyNumberFormat="1"/>
    <xf borderId="65" fillId="0" fontId="5" numFmtId="3" xfId="0" applyBorder="1" applyFont="1" applyNumberFormat="1"/>
    <xf borderId="65" fillId="0" fontId="5" numFmtId="49" xfId="0" applyAlignment="1" applyBorder="1" applyFont="1" applyNumberFormat="1">
      <alignment readingOrder="0"/>
    </xf>
    <xf borderId="0" fillId="0" fontId="10" numFmtId="0" xfId="0" applyAlignment="1" applyFont="1">
      <alignment readingOrder="0"/>
    </xf>
    <xf borderId="0" fillId="31" fontId="28" numFmtId="0" xfId="0" applyAlignment="1" applyFill="1" applyFont="1">
      <alignment readingOrder="0"/>
    </xf>
    <xf borderId="0" fillId="31" fontId="29" numFmtId="0" xfId="0" applyFont="1"/>
    <xf borderId="0" fillId="2" fontId="30" numFmtId="0" xfId="0" applyAlignment="1" applyFont="1">
      <alignment readingOrder="0"/>
    </xf>
    <xf borderId="0" fillId="16" fontId="15" numFmtId="0" xfId="0" applyFont="1"/>
    <xf borderId="0" fillId="31" fontId="31" numFmtId="0" xfId="0" applyAlignment="1" applyFont="1">
      <alignment readingOrder="0"/>
    </xf>
    <xf borderId="4" fillId="0" fontId="5" numFmtId="0" xfId="0" applyAlignment="1" applyBorder="1" applyFont="1">
      <alignment horizontal="center" shrinkToFit="0" vertical="top" wrapText="1"/>
    </xf>
    <xf borderId="0" fillId="31" fontId="32" numFmtId="0" xfId="0" applyAlignment="1" applyFont="1">
      <alignment readingOrder="0"/>
    </xf>
    <xf borderId="0" fillId="0" fontId="5" numFmtId="0" xfId="0" applyAlignment="1" applyFont="1">
      <alignment horizontal="center" shrinkToFit="0" vertical="top" wrapText="1"/>
    </xf>
    <xf borderId="0" fillId="0" fontId="5" numFmtId="0" xfId="0" applyAlignment="1" applyFont="1">
      <alignment horizontal="center" readingOrder="0" shrinkToFit="0" vertical="top" wrapText="1"/>
    </xf>
    <xf borderId="0" fillId="0" fontId="33" numFmtId="0" xfId="0" applyAlignment="1" applyFont="1">
      <alignment horizontal="left" readingOrder="0"/>
    </xf>
    <xf borderId="0" fillId="28" fontId="29" numFmtId="0" xfId="0" applyFont="1"/>
    <xf borderId="4" fillId="22" fontId="5" numFmtId="0" xfId="0" applyAlignment="1" applyBorder="1" applyFont="1">
      <alignment horizontal="center" shrinkToFit="0" vertical="top" wrapText="1"/>
    </xf>
    <xf borderId="0" fillId="0" fontId="34" numFmtId="0" xfId="0" applyAlignment="1" applyFont="1">
      <alignment horizontal="center" readingOrder="0" shrinkToFit="0" vertical="center" wrapText="1"/>
    </xf>
    <xf borderId="66" fillId="0" fontId="5" numFmtId="0" xfId="0" applyBorder="1" applyFont="1"/>
    <xf borderId="0" fillId="0" fontId="22" numFmtId="0" xfId="0" applyAlignment="1" applyFont="1">
      <alignment readingOrder="0"/>
    </xf>
    <xf borderId="0" fillId="0" fontId="23" numFmtId="10" xfId="0" applyAlignment="1" applyFont="1" applyNumberFormat="1">
      <alignment horizontal="right"/>
    </xf>
    <xf borderId="0" fillId="0" fontId="35" numFmtId="0" xfId="0" applyAlignment="1" applyFont="1">
      <alignment vertical="bottom"/>
    </xf>
    <xf borderId="0" fillId="32" fontId="36" numFmtId="10" xfId="0" applyAlignment="1" applyFill="1" applyFont="1" applyNumberFormat="1">
      <alignment horizontal="right" vertical="bottom"/>
    </xf>
    <xf borderId="0" fillId="0" fontId="36" numFmtId="10" xfId="0" applyAlignment="1" applyFont="1" applyNumberFormat="1">
      <alignment horizontal="right" vertical="bottom"/>
    </xf>
    <xf borderId="0" fillId="0" fontId="13" numFmtId="0" xfId="0" applyFont="1"/>
    <xf borderId="0" fillId="33" fontId="36" numFmtId="10" xfId="0" applyAlignment="1" applyFill="1" applyFont="1" applyNumberFormat="1">
      <alignment horizontal="right" vertical="bottom"/>
    </xf>
    <xf borderId="0" fillId="15" fontId="37" numFmtId="10" xfId="0" applyAlignment="1" applyFont="1" applyNumberFormat="1">
      <alignment horizontal="right"/>
    </xf>
    <xf borderId="0" fillId="15" fontId="36" numFmtId="10" xfId="0" applyAlignment="1" applyFont="1" applyNumberFormat="1">
      <alignment horizontal="right" vertical="bottom"/>
    </xf>
    <xf borderId="0" fillId="15" fontId="30" numFmtId="0" xfId="0" applyAlignment="1" applyFont="1">
      <alignment horizontal="left" readingOrder="0"/>
    </xf>
    <xf borderId="0" fillId="0" fontId="2" numFmtId="0" xfId="0" applyAlignment="1" applyFont="1">
      <alignment readingOrder="0" shrinkToFit="0" vertical="bottom" wrapText="0"/>
    </xf>
    <xf quotePrefix="1" borderId="0" fillId="0" fontId="5" numFmtId="0" xfId="0" applyAlignment="1" applyFont="1">
      <alignment readingOrder="0"/>
    </xf>
    <xf borderId="0" fillId="0" fontId="5" numFmtId="1" xfId="0" applyFont="1" applyNumberFormat="1"/>
    <xf borderId="0" fillId="20" fontId="38" numFmtId="0" xfId="0" applyAlignment="1" applyFont="1">
      <alignment horizontal="left" readingOrder="0" vertical="center"/>
    </xf>
    <xf borderId="0" fillId="4" fontId="38" numFmtId="0" xfId="0" applyAlignment="1" applyFont="1">
      <alignment horizontal="left" readingOrder="0" vertical="center"/>
    </xf>
    <xf borderId="0" fillId="0" fontId="5" numFmtId="1" xfId="0" applyAlignment="1" applyFont="1" applyNumberFormat="1">
      <alignment horizontal="center"/>
    </xf>
    <xf borderId="0" fillId="0" fontId="13" numFmtId="0" xfId="0" applyAlignment="1" applyFont="1">
      <alignment horizontal="center" readingOrder="0"/>
    </xf>
    <xf borderId="0" fillId="0" fontId="13" numFmtId="167" xfId="0" applyAlignment="1" applyFont="1" applyNumberFormat="1">
      <alignment horizontal="center" readingOrder="0"/>
    </xf>
    <xf borderId="0" fillId="0" fontId="5" numFmtId="167" xfId="0" applyAlignment="1" applyFont="1" applyNumberFormat="1">
      <alignment horizontal="center"/>
    </xf>
  </cellXfs>
  <cellStyles count="1">
    <cellStyle xfId="0" name="Normal" builtinId="0"/>
  </cellStyles>
  <dxfs count="18">
    <dxf>
      <font/>
      <fill>
        <patternFill patternType="solid">
          <fgColor rgb="FFB7E1CD"/>
          <bgColor rgb="FFB7E1CD"/>
        </patternFill>
      </fill>
      <border/>
    </dxf>
    <dxf>
      <font/>
      <fill>
        <patternFill patternType="solid">
          <fgColor rgb="FFEA9999"/>
          <bgColor rgb="FFEA9999"/>
        </patternFill>
      </fill>
      <border/>
    </dxf>
    <dxf>
      <font/>
      <fill>
        <patternFill patternType="solid">
          <fgColor rgb="FF6AA84F"/>
          <bgColor rgb="FF6AA84F"/>
        </patternFill>
      </fill>
      <border/>
    </dxf>
    <dxf>
      <font/>
      <fill>
        <patternFill patternType="solid">
          <fgColor rgb="FFE06666"/>
          <bgColor rgb="FFE06666"/>
        </patternFill>
      </fill>
      <border/>
    </dxf>
    <dxf>
      <font/>
      <fill>
        <patternFill patternType="solid">
          <fgColor rgb="FFFF0000"/>
          <bgColor rgb="FFFF0000"/>
        </patternFill>
      </fill>
      <border/>
    </dxf>
    <dxf>
      <font/>
      <fill>
        <patternFill patternType="solid">
          <fgColor rgb="FFF4CCCC"/>
          <bgColor rgb="FFF4CCCC"/>
        </patternFill>
      </fill>
      <border/>
    </dxf>
    <dxf>
      <font>
        <color rgb="FFFF0000"/>
      </font>
      <fill>
        <patternFill patternType="none"/>
      </fill>
      <border/>
    </dxf>
    <dxf>
      <font/>
      <fill>
        <patternFill patternType="solid">
          <fgColor rgb="FFF9CB9C"/>
          <bgColor rgb="FFF9CB9C"/>
        </patternFill>
      </fill>
      <border/>
    </dxf>
    <dxf>
      <font/>
      <fill>
        <patternFill patternType="solid">
          <fgColor rgb="FFD5A6BD"/>
          <bgColor rgb="FFD5A6BD"/>
        </patternFill>
      </fill>
      <border/>
    </dxf>
    <dxf>
      <font/>
      <fill>
        <patternFill patternType="solid">
          <fgColor rgb="FFCFE2F3"/>
          <bgColor rgb="FFCFE2F3"/>
        </patternFill>
      </fill>
      <border/>
    </dxf>
    <dxf>
      <font/>
      <fill>
        <patternFill patternType="solid">
          <fgColor rgb="FF6FA8DC"/>
          <bgColor rgb="FF6FA8DC"/>
        </patternFill>
      </fill>
      <border/>
    </dxf>
    <dxf>
      <font/>
      <fill>
        <patternFill patternType="solid">
          <fgColor rgb="FFC27BA0"/>
          <bgColor rgb="FFC27BA0"/>
        </patternFill>
      </fill>
      <border/>
    </dxf>
    <dxf>
      <font/>
      <fill>
        <patternFill patternType="solid">
          <fgColor rgb="FFCC4125"/>
          <bgColor rgb="FFCC4125"/>
        </patternFill>
      </fill>
      <border/>
    </dxf>
    <dxf>
      <font/>
      <fill>
        <patternFill patternType="solid">
          <fgColor rgb="FFE69138"/>
          <bgColor rgb="FFE69138"/>
        </patternFill>
      </fill>
      <border/>
    </dxf>
    <dxf>
      <font/>
      <fill>
        <patternFill patternType="solid">
          <fgColor rgb="FF3D85C6"/>
          <bgColor rgb="FF3D85C6"/>
        </patternFill>
      </fill>
      <border/>
    </dxf>
    <dxf>
      <font/>
      <fill>
        <patternFill patternType="solid">
          <fgColor rgb="FFCCCCCC"/>
          <bgColor rgb="FFCCCCCC"/>
        </patternFill>
      </fill>
      <border/>
    </dxf>
    <dxf>
      <font/>
      <fill>
        <patternFill patternType="solid">
          <fgColor rgb="FF999999"/>
          <bgColor rgb="FF999999"/>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40" Type="http://schemas.openxmlformats.org/officeDocument/2006/relationships/pivotCacheDefinition" Target="pivotCache/pivotCacheDefinition3.xml"/><Relationship Id="rId20" Type="http://schemas.openxmlformats.org/officeDocument/2006/relationships/worksheet" Target="worksheets/sheet16.xml"/><Relationship Id="rId42" Type="http://schemas.openxmlformats.org/officeDocument/2006/relationships/pivotCacheDefinition" Target="pivotCache/pivotCacheDefinition5.xml"/><Relationship Id="rId41" Type="http://schemas.openxmlformats.org/officeDocument/2006/relationships/pivotCacheDefinition" Target="pivotCache/pivotCacheDefinition4.xml"/><Relationship Id="rId22" Type="http://schemas.openxmlformats.org/officeDocument/2006/relationships/worksheet" Target="worksheets/sheet18.xml"/><Relationship Id="rId44" Type="http://schemas.openxmlformats.org/officeDocument/2006/relationships/pivotCacheDefinition" Target="pivotCache/pivotCacheDefinition7.xml"/><Relationship Id="rId21" Type="http://schemas.openxmlformats.org/officeDocument/2006/relationships/worksheet" Target="worksheets/sheet17.xml"/><Relationship Id="rId43" Type="http://schemas.openxmlformats.org/officeDocument/2006/relationships/pivotCacheDefinition" Target="pivotCache/pivotCacheDefinition6.xml"/><Relationship Id="rId24" Type="http://schemas.openxmlformats.org/officeDocument/2006/relationships/worksheet" Target="worksheets/sheet20.xml"/><Relationship Id="rId23" Type="http://schemas.openxmlformats.org/officeDocument/2006/relationships/worksheet" Target="worksheets/sheet19.xml"/><Relationship Id="rId45" Type="http://schemas.openxmlformats.org/officeDocument/2006/relationships/pivotCacheDefinition" Target="pivotCache/pivotCacheDefinition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pivotCacheDefinition" Target="pivotCache/pivotCacheDefinition2.xml"/><Relationship Id="rId16" Type="http://schemas.openxmlformats.org/officeDocument/2006/relationships/worksheet" Target="worksheets/sheet12.xml"/><Relationship Id="rId38" Type="http://schemas.openxmlformats.org/officeDocument/2006/relationships/pivotCacheDefinition" Target="pivotCache/pivotCacheDefinition1.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800">
                <a:solidFill>
                  <a:srgbClr val="757575"/>
                </a:solidFill>
                <a:latin typeface="+mn-lt"/>
              </a:defRPr>
            </a:pPr>
            <a:r>
              <a:rPr b="0" sz="2800">
                <a:solidFill>
                  <a:srgbClr val="757575"/>
                </a:solidFill>
                <a:latin typeface="+mn-lt"/>
              </a:rPr>
              <a:t>2p pick distribution</a:t>
            </a:r>
          </a:p>
        </c:rich>
      </c:tx>
      <c:overlay val="0"/>
    </c:title>
    <c:plotArea>
      <c:layout/>
      <c:barChart>
        <c:barDir val="col"/>
        <c:grouping val="stacked"/>
        <c:ser>
          <c:idx val="0"/>
          <c:order val="0"/>
          <c:tx>
            <c:v>Chilled stations</c:v>
          </c:tx>
          <c:spPr>
            <a:solidFill>
              <a:schemeClr val="accent1"/>
            </a:solidFill>
            <a:ln cmpd="sng">
              <a:solidFill>
                <a:srgbClr val="000000"/>
              </a:solidFill>
            </a:ln>
          </c:spPr>
          <c:dPt>
            <c:idx val="0"/>
          </c:dPt>
          <c:cat>
            <c:strRef>
              <c:f>'Stats Rackplan'!$A$9:$A$26</c:f>
            </c:strRef>
          </c:cat>
          <c:val>
            <c:numRef>
              <c:f>'Stats Rackplan'!$B$9:$B$26</c:f>
              <c:numCache/>
            </c:numRef>
          </c:val>
        </c:ser>
        <c:ser>
          <c:idx val="1"/>
          <c:order val="1"/>
          <c:tx>
            <c:v>Ambient station</c:v>
          </c:tx>
          <c:spPr>
            <a:solidFill>
              <a:schemeClr val="accent5"/>
            </a:solidFill>
            <a:ln cmpd="sng">
              <a:solidFill>
                <a:srgbClr val="000000"/>
              </a:solidFill>
            </a:ln>
          </c:spPr>
          <c:cat>
            <c:strRef>
              <c:f>'Stats Rackplan'!$A$9:$A$26</c:f>
            </c:strRef>
          </c:cat>
          <c:val>
            <c:numRef>
              <c:f>'Stats Rackplan'!$F$9:$F$26</c:f>
              <c:numCache/>
            </c:numRef>
          </c:val>
        </c:ser>
        <c:overlap val="100"/>
        <c:axId val="2122917584"/>
        <c:axId val="299351234"/>
      </c:barChart>
      <c:catAx>
        <c:axId val="21229175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station</a:t>
                </a:r>
              </a:p>
            </c:rich>
          </c:tx>
          <c:overlay val="0"/>
        </c:title>
        <c:numFmt formatCode="General" sourceLinked="1"/>
        <c:majorTickMark val="none"/>
        <c:minorTickMark val="none"/>
        <c:spPr/>
        <c:txPr>
          <a:bodyPr/>
          <a:lstStyle/>
          <a:p>
            <a:pPr lvl="0">
              <a:defRPr b="0">
                <a:solidFill>
                  <a:srgbClr val="000000"/>
                </a:solidFill>
                <a:latin typeface="+mn-lt"/>
              </a:defRPr>
            </a:pPr>
          </a:p>
        </c:txPr>
        <c:crossAx val="299351234"/>
      </c:catAx>
      <c:valAx>
        <c:axId val="2993512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Picks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2291758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SKU count per station</a:t>
            </a:r>
          </a:p>
        </c:rich>
      </c:tx>
      <c:overlay val="0"/>
    </c:title>
    <c:plotArea>
      <c:layout/>
      <c:barChart>
        <c:barDir val="col"/>
        <c:grouping val="stacked"/>
        <c:ser>
          <c:idx val="0"/>
          <c:order val="0"/>
          <c:tx>
            <c:v>Chilled stations</c:v>
          </c:tx>
          <c:spPr>
            <a:solidFill>
              <a:schemeClr val="accent1"/>
            </a:solidFill>
            <a:ln cmpd="sng">
              <a:solidFill>
                <a:srgbClr val="000000"/>
              </a:solidFill>
            </a:ln>
          </c:spPr>
          <c:dPt>
            <c:idx val="0"/>
          </c:dPt>
          <c:cat>
            <c:strRef>
              <c:f>'Stats Rackplan'!$A$9:$A$26</c:f>
            </c:strRef>
          </c:cat>
          <c:val>
            <c:numRef>
              <c:f>'Stats Rackplan'!$E$9:$E$26</c:f>
              <c:numCache/>
            </c:numRef>
          </c:val>
        </c:ser>
        <c:ser>
          <c:idx val="1"/>
          <c:order val="1"/>
          <c:tx>
            <c:v>Ambient station</c:v>
          </c:tx>
          <c:spPr>
            <a:solidFill>
              <a:schemeClr val="accent5"/>
            </a:solidFill>
            <a:ln cmpd="sng">
              <a:solidFill>
                <a:srgbClr val="000000"/>
              </a:solidFill>
            </a:ln>
          </c:spPr>
          <c:cat>
            <c:strRef>
              <c:f>'Stats Rackplan'!$A$9:$A$26</c:f>
            </c:strRef>
          </c:cat>
          <c:val>
            <c:numRef>
              <c:f>'Stats Rackplan'!$I$9:$I$26</c:f>
              <c:numCache/>
            </c:numRef>
          </c:val>
        </c:ser>
        <c:overlap val="100"/>
        <c:axId val="1078086183"/>
        <c:axId val="449299218"/>
      </c:barChart>
      <c:catAx>
        <c:axId val="10780861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station</a:t>
                </a:r>
              </a:p>
            </c:rich>
          </c:tx>
          <c:overlay val="0"/>
        </c:title>
        <c:numFmt formatCode="General" sourceLinked="1"/>
        <c:majorTickMark val="none"/>
        <c:minorTickMark val="none"/>
        <c:spPr/>
        <c:txPr>
          <a:bodyPr/>
          <a:lstStyle/>
          <a:p>
            <a:pPr lvl="0">
              <a:defRPr b="0">
                <a:solidFill>
                  <a:srgbClr val="000000"/>
                </a:solidFill>
                <a:latin typeface="+mn-lt"/>
              </a:defRPr>
            </a:pPr>
          </a:p>
        </c:txPr>
        <c:crossAx val="449299218"/>
      </c:catAx>
      <c:valAx>
        <c:axId val="4492992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SKU 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7808618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400">
                <a:solidFill>
                  <a:srgbClr val="757575"/>
                </a:solidFill>
                <a:latin typeface="+mn-lt"/>
              </a:defRPr>
            </a:pPr>
            <a:r>
              <a:rPr b="0" sz="2400">
                <a:solidFill>
                  <a:srgbClr val="757575"/>
                </a:solidFill>
                <a:latin typeface="+mn-lt"/>
              </a:rPr>
              <a:t>SKU count per station</a:t>
            </a:r>
          </a:p>
        </c:rich>
      </c:tx>
      <c:overlay val="0"/>
    </c:title>
    <c:plotArea>
      <c:layout/>
      <c:barChart>
        <c:barDir val="col"/>
        <c:grouping val="stacked"/>
        <c:ser>
          <c:idx val="0"/>
          <c:order val="0"/>
          <c:tx>
            <c:v>Chilled stations</c:v>
          </c:tx>
          <c:spPr>
            <a:solidFill>
              <a:schemeClr val="accent1"/>
            </a:solidFill>
            <a:ln cmpd="sng">
              <a:solidFill>
                <a:srgbClr val="000000"/>
              </a:solidFill>
            </a:ln>
          </c:spPr>
          <c:dPt>
            <c:idx val="0"/>
          </c:dPt>
          <c:cat>
            <c:strRef>
              <c:f>'Stats Rackplan'!$S$9:$S$26</c:f>
            </c:strRef>
          </c:cat>
          <c:val>
            <c:numRef>
              <c:f>'Stats Rackplan'!$W$9:$W$26</c:f>
              <c:numCache/>
            </c:numRef>
          </c:val>
        </c:ser>
        <c:ser>
          <c:idx val="1"/>
          <c:order val="1"/>
          <c:tx>
            <c:v>Ambient station</c:v>
          </c:tx>
          <c:spPr>
            <a:solidFill>
              <a:schemeClr val="accent5"/>
            </a:solidFill>
            <a:ln cmpd="sng">
              <a:solidFill>
                <a:srgbClr val="000000"/>
              </a:solidFill>
            </a:ln>
          </c:spPr>
          <c:cat>
            <c:strRef>
              <c:f>'Stats Rackplan'!$S$9:$S$26</c:f>
            </c:strRef>
          </c:cat>
          <c:val>
            <c:numRef>
              <c:f>'Stats Rackplan'!$AA$9:$AA$26</c:f>
              <c:numCache/>
            </c:numRef>
          </c:val>
        </c:ser>
        <c:overlap val="100"/>
        <c:axId val="337972310"/>
        <c:axId val="134005237"/>
      </c:barChart>
      <c:catAx>
        <c:axId val="3379723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34005237"/>
      </c:catAx>
      <c:valAx>
        <c:axId val="1340052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SKU 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797231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2800">
                <a:solidFill>
                  <a:srgbClr val="757575"/>
                </a:solidFill>
                <a:latin typeface="+mn-lt"/>
              </a:defRPr>
            </a:pPr>
            <a:r>
              <a:rPr b="0" sz="2800">
                <a:solidFill>
                  <a:srgbClr val="757575"/>
                </a:solidFill>
                <a:latin typeface="+mn-lt"/>
              </a:rPr>
              <a:t>2p pick distribution</a:t>
            </a:r>
          </a:p>
        </c:rich>
      </c:tx>
      <c:overlay val="0"/>
    </c:title>
    <c:plotArea>
      <c:layout/>
      <c:barChart>
        <c:barDir val="col"/>
        <c:grouping val="stacked"/>
        <c:ser>
          <c:idx val="0"/>
          <c:order val="0"/>
          <c:tx>
            <c:v>Chilled stations</c:v>
          </c:tx>
          <c:spPr>
            <a:solidFill>
              <a:schemeClr val="accent1"/>
            </a:solidFill>
            <a:ln cmpd="sng">
              <a:solidFill>
                <a:srgbClr val="000000"/>
              </a:solidFill>
            </a:ln>
          </c:spPr>
          <c:dPt>
            <c:idx val="0"/>
          </c:dPt>
          <c:cat>
            <c:strRef>
              <c:f>'Stats Rackplan'!$S$9:$S$26</c:f>
            </c:strRef>
          </c:cat>
          <c:val>
            <c:numRef>
              <c:f>'Stats Rackplan'!$T$9:$T$26</c:f>
              <c:numCache/>
            </c:numRef>
          </c:val>
        </c:ser>
        <c:ser>
          <c:idx val="1"/>
          <c:order val="1"/>
          <c:tx>
            <c:v>Ambient station</c:v>
          </c:tx>
          <c:spPr>
            <a:solidFill>
              <a:schemeClr val="accent5"/>
            </a:solidFill>
            <a:ln cmpd="sng">
              <a:solidFill>
                <a:srgbClr val="000000"/>
              </a:solidFill>
            </a:ln>
          </c:spPr>
          <c:cat>
            <c:strRef>
              <c:f>'Stats Rackplan'!$S$9:$S$26</c:f>
            </c:strRef>
          </c:cat>
          <c:val>
            <c:numRef>
              <c:f>'Stats Rackplan'!$X$9:$X$26</c:f>
              <c:numCache/>
            </c:numRef>
          </c:val>
        </c:ser>
        <c:overlap val="100"/>
        <c:axId val="619597388"/>
        <c:axId val="2034365691"/>
      </c:barChart>
      <c:catAx>
        <c:axId val="6195973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station</a:t>
                </a:r>
              </a:p>
            </c:rich>
          </c:tx>
          <c:overlay val="0"/>
        </c:title>
        <c:numFmt formatCode="General" sourceLinked="1"/>
        <c:majorTickMark val="none"/>
        <c:minorTickMark val="none"/>
        <c:spPr/>
        <c:txPr>
          <a:bodyPr/>
          <a:lstStyle/>
          <a:p>
            <a:pPr lvl="0">
              <a:defRPr b="0">
                <a:solidFill>
                  <a:srgbClr val="000000"/>
                </a:solidFill>
                <a:latin typeface="+mn-lt"/>
              </a:defRPr>
            </a:pPr>
          </a:p>
        </c:txPr>
        <c:crossAx val="2034365691"/>
      </c:catAx>
      <c:valAx>
        <c:axId val="20343656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Picks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9597388"/>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d135c9a9-201b-4794-beb3-a7826890db05}">
    <Anchor>
      <Comment id="{ed483da7-340c-4b6a-aa31-d09be8142f90}"/>
    </Anchor>
    <History>
      <Event time="2025-06-25T17:41:56.00" id="{f6803354-6064-4b6e-95ec-8f2d2c186048}">
        <Attribution userId="placeholder@email.com" userName="Shaurya Jadhav" userProvider="google-sheets"/>
        <Anchor>
          <Comment id="{ed483da7-340c-4b6a-aa31-d09be8142f90}"/>
        </Anchor>
        <Create/>
      </Event>
      <Event time="2025-06-25T17:41:56.00" id="{32076178-57be-4654-b0ca-7026e0b61a69}">
        <Attribution userId="placeholder@email.com" userName="Shaurya Jadhav" userProvider="google-sheets"/>
        <Anchor>
          <Comment id="{ed483da7-340c-4b6a-aa31-d09be8142f90}"/>
        </Anchor>
        <Assign userId="bilge.berber@hellofresh.com" userName="bilge.berber@hellofresh.com" userProvider="google-sheets"/>
      </Event>
    </History>
  </Task>
  <Task id="{656b0f4c-c440-4eca-98d9-1ddd26727b80}">
    <Anchor>
      <Comment id="{31041c0b-1f0d-4f51-b6c5-638f53eee1b2}"/>
    </Anchor>
    <History>
      <Event time="2025-06-19T13:28:11.00" id="{5f248104-7167-428d-8ec1-7c998807f1e1}">
        <Attribution userId="placeholder@email.com" userName="Bilge Bahadir Berber" userProvider="google-sheets"/>
        <Anchor>
          <Comment id="{31041c0b-1f0d-4f51-b6c5-638f53eee1b2}"/>
        </Anchor>
        <Create/>
      </Event>
      <Event time="2025-06-19T13:28:11.00" id="{e85b372b-5572-4ceb-853a-24a4fecd9a06}">
        <Attribution userId="placeholder@email.com" userName="Bilge Bahadir Berber" userProvider="google-sheets"/>
        <Anchor>
          <Comment id="{31041c0b-1f0d-4f51-b6c5-638f53eee1b2}"/>
        </Anchor>
        <Assign userId="shaurya.jadhav@hellofresh.de" userName="shaurya.jadhav@hellofresh.de" userProvider="google-sheets"/>
      </Event>
    </History>
  </Task>
  <Task id="{8aa9109f-ae7a-443d-952a-5623d8ef1227}">
    <Anchor>
      <Comment id="{e4959bfe-80df-4297-a051-9f20587fc0c5}"/>
    </Anchor>
    <History>
      <Event time="2025-06-20T15:41:21.00" id="{c5dcfb27-cf1a-48f3-b314-ff482da88378}">
        <Attribution userId="placeholder@email.com" userName="Shaurya Jadhav" userProvider="google-sheets"/>
        <Anchor>
          <Comment id="{e4959bfe-80df-4297-a051-9f20587fc0c5}"/>
        </Anchor>
        <Create/>
      </Event>
      <Event time="2025-06-20T15:41:21.00" id="{29835f89-8a29-4faf-a07d-e6779272ca40}">
        <Attribution userId="placeholder@email.com" userName="Shaurya Jadhav" userProvider="google-sheets"/>
        <Anchor>
          <Comment id="{e4959bfe-80df-4297-a051-9f20587fc0c5}"/>
        </Anchor>
        <Assign userId="bilge.berber@hellofresh.com" userName="bilge.berber@hellofresh.com" userProvider="google-sheets"/>
      </Event>
    </History>
  </Task>
</Tasks>
</file>

<file path=xl/documenttasks/documenttask2.xml><?xml version="1.0" encoding="utf-8"?>
<Tasks xmlns="http://schemas.microsoft.com/office/tasks/2019/documenttasks">
  <Task id="{9ca80f27-de51-4266-9898-52910ba58197}">
    <Anchor>
      <Comment id="{aaa5fa56-decf-432c-8c63-d8bb6c806d7a}"/>
    </Anchor>
    <History>
      <Event time="2026-03-26T08:00:32.00" id="{c18ae867-34b6-4605-9e33-b008e3cfb333}">
        <Attribution userId="placeholder@email.com" userName="Moritz Ochs" userProvider="google-sheets"/>
        <Anchor>
          <Comment id="{aaa5fa56-decf-432c-8c63-d8bb6c806d7a}"/>
        </Anchor>
        <Create/>
      </Event>
      <Event time="2026-03-26T08:00:32.00" id="{7037cb2a-21e3-42ae-84db-39583d097f4d}">
        <Attribution userId="placeholder@email.com" userName="Moritz Ochs" userProvider="google-sheets"/>
        <Anchor>
          <Comment id="{aaa5fa56-decf-432c-8c63-d8bb6c806d7a}"/>
        </Anchor>
        <Assign userId="benjamin.von-strauch@hellofresh.de" userName="benjamin.von-strauch@hellofresh.de" userProvider="google-sheets"/>
      </Event>
    </History>
  </Task>
</Tasks>
</file>

<file path=xl/documenttasks/documenttask3.xml><?xml version="1.0" encoding="utf-8"?>
<Tasks xmlns="http://schemas.microsoft.com/office/tasks/2019/documenttasks">
  <Task id="{548b6224-04de-41b6-93d0-c6cfdffa448b}">
    <Anchor>
      <Comment id="{32e7a361-101d-4a76-b281-353e1760da57}"/>
    </Anchor>
    <History>
      <Event time="2026-03-26T07:57:54.00" id="{dc7a6d22-59c8-4443-86fa-724cb83dfd3d}">
        <Attribution userId="placeholder@email.com" userName="Moritz Ochs" userProvider="google-sheets"/>
        <Anchor>
          <Comment id="{32e7a361-101d-4a76-b281-353e1760da57}"/>
        </Anchor>
        <Create/>
      </Event>
      <Event time="2026-03-26T07:57:54.00" id="{56787fb9-4da1-4395-94cd-408986977b18}">
        <Attribution userId="placeholder@email.com" userName="Moritz Ochs" userProvider="google-sheets"/>
        <Anchor>
          <Comment id="{32e7a361-101d-4a76-b281-353e1760da57}"/>
        </Anchor>
        <Assign userId="benjamin.von-strauch@hellofresh.de" userName="benjamin.von-strauch@hellofresh.de" userProvider="google-sheets"/>
      </Event>
    </History>
  </Task>
</Tasks>
</file>

<file path=xl/documenttasks/documenttask4.xml><?xml version="1.0" encoding="utf-8"?>
<Tasks xmlns="http://schemas.microsoft.com/office/tasks/2019/documenttasks">
  <Task id="{9d734178-a456-45f8-84c1-b229e1e76184}">
    <Anchor>
      <Comment id="{83832805-7db7-4e78-b288-b69524d6caf6}"/>
    </Anchor>
    <History>
      <Event time="2025-06-26T12:07:16.00" id="{1e96c19f-0ea9-4542-a4b9-cd9ce79ab311}">
        <Attribution userId="placeholder@email.com" userName="Shaurya Jadhav" userProvider="google-sheets"/>
        <Anchor>
          <Comment id="{83832805-7db7-4e78-b288-b69524d6caf6}"/>
        </Anchor>
        <Create/>
      </Event>
      <Event time="2025-06-26T12:07:16.00" id="{593c8e0f-0f75-4a4c-8383-13919002c304}">
        <Attribution userId="placeholder@email.com" userName="Shaurya Jadhav" userProvider="google-sheets"/>
        <Anchor>
          <Comment id="{83832805-7db7-4e78-b288-b69524d6caf6}"/>
        </Anchor>
        <Assign userId="bilge.berber@hellofresh.com" userName="bilge.berber@hellofresh.com" userProvider="google-sheets"/>
      </Event>
    </History>
  </Task>
</Tasks>
</file>

<file path=xl/documenttasks/documenttask5.xml><?xml version="1.0" encoding="utf-8"?>
<Tasks xmlns="http://schemas.microsoft.com/office/tasks/2019/documenttasks">
  <Task id="{bbef3cd2-7d47-4559-8478-43e202bbece4}">
    <Anchor>
      <Comment id="{6e15ac8e-41fd-4c77-ba3d-12baa162bd5a}"/>
    </Anchor>
    <History>
      <Event time="2026-03-26T08:01:43.00" id="{bebab0fb-a022-45ab-958c-ee35761c8dfd}">
        <Attribution userId="placeholder@email.com" userName="Moritz Ochs" userProvider="google-sheets"/>
        <Anchor>
          <Comment id="{6e15ac8e-41fd-4c77-ba3d-12baa162bd5a}"/>
        </Anchor>
        <Create/>
      </Event>
      <Event time="2026-03-26T08:01:43.00" id="{32891485-d9be-49d3-bd5a-da2d3c0444db}">
        <Attribution userId="placeholder@email.com" userName="Moritz Ochs" userProvider="google-sheets"/>
        <Anchor>
          <Comment id="{6e15ac8e-41fd-4c77-ba3d-12baa162bd5a}"/>
        </Anchor>
        <Assign userId="benjamin.von-strauch@hellofresh.de" userName="benjamin.von-strauch@hellofresh.de" userProvider="google-sheets"/>
      </Event>
    </History>
  </Task>
</Tasks>
</file>

<file path=xl/documenttasks/documenttask6.xml><?xml version="1.0" encoding="utf-8"?>
<Tasks xmlns="http://schemas.microsoft.com/office/tasks/2019/documenttasks">
  <Task id="{8719f4b9-4bf8-429a-9b73-8a1747bc7377}">
    <Anchor>
      <Comment id="{3fec36a6-053e-4a3b-86ca-7a6d15ac0928}"/>
    </Anchor>
    <History>
      <Event time="2025-06-26T12:13:01.00" id="{bb7bfed2-f3dc-4527-becd-64bb529e0f02}">
        <Attribution userId="placeholder@email.com" userName="Shaurya Jadhav" userProvider="google-sheets"/>
        <Anchor>
          <Comment id="{3fec36a6-053e-4a3b-86ca-7a6d15ac0928}"/>
        </Anchor>
        <Create/>
      </Event>
      <Event time="2025-06-26T12:13:01.00" id="{d5f51052-7beb-48e1-a5d2-b2c9519d4295}">
        <Attribution userId="placeholder@email.com" userName="Shaurya Jadhav" userProvider="google-sheets"/>
        <Anchor>
          <Comment id="{3fec36a6-053e-4a3b-86ca-7a6d15ac0928}"/>
        </Anchor>
        <Assign userId="bilge.berber@hellofresh.com" userName="bilge.berber@hellofresh.com" userProvider="google-sheets"/>
      </Event>
    </History>
  </Task>
</Tasks>
</file>

<file path=xl/documenttasks/documenttask7.xml><?xml version="1.0" encoding="utf-8"?>
<Tasks xmlns="http://schemas.microsoft.com/office/tasks/2019/documenttasks">
  <Task id="{01c4987a-adcd-4b03-b4a7-440ca8d7ac24}">
    <Anchor>
      <Comment id="{2eadec40-499a-4f38-9c83-d6c9ad41c8c2}"/>
    </Anchor>
    <History>
      <Event time="2025-06-25T17:40:02.00" id="{6555ac76-66fa-4389-be31-70840aaf8a0d}">
        <Attribution userId="placeholder@email.com" userName="Shaurya Jadhav" userProvider="google-sheets"/>
        <Anchor>
          <Comment id="{2eadec40-499a-4f38-9c83-d6c9ad41c8c2}"/>
        </Anchor>
        <Create/>
      </Event>
      <Event time="2025-06-25T17:40:02.00" id="{ed65323a-d022-40b1-b2ef-a4b487e124c3}">
        <Attribution userId="placeholder@email.com" userName="Shaurya Jadhav" userProvider="google-sheets"/>
        <Anchor>
          <Comment id="{2eadec40-499a-4f38-9c83-d6c9ad41c8c2}"/>
        </Anchor>
        <Assign userId="steven.ender@hellofresh.de" userName="steven.ender@hellofresh.de" userProvider="google-sheets"/>
      </Event>
    </History>
  </Task>
</Tasks>
</file>

<file path=xl/documenttasks/documenttask8.xml><?xml version="1.0" encoding="utf-8"?>
<Tasks xmlns="http://schemas.microsoft.com/office/tasks/2019/documenttasks">
  <Task id="{a77fca71-2cb6-4f24-b138-8e14f8095e42}">
    <Anchor>
      <Comment id="{42906b85-a23d-46c3-9dda-6f72c810f438}"/>
    </Anchor>
    <History>
      <Event time="2025-07-01T18:11:00.00" id="{185f1d94-a2cc-426d-b2de-94f982f261c2}">
        <Attribution userId="placeholder@email.com" userName="Shaurya Jadhav" userProvider="google-sheets"/>
        <Anchor>
          <Comment id="{42906b85-a23d-46c3-9dda-6f72c810f438}"/>
        </Anchor>
        <Create/>
      </Event>
      <Event time="2025-07-01T18:11:00.00" id="{7dba6fec-6852-44d5-b99e-8c05800cbdf8}">
        <Attribution userId="placeholder@email.com" userName="Shaurya Jadhav" userProvider="google-sheets"/>
        <Anchor>
          <Comment id="{42906b85-a23d-46c3-9dda-6f72c810f438}"/>
        </Anchor>
        <Assign userId="bilge.berber@hellofresh.com" userName="bilge.berber@hellofresh.com" userProvider="google-sheets"/>
      </Event>
    </History>
  </Task>
</Tasks>
</file>

<file path=xl/drawings/_rels/drawing2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3</xdr:row>
      <xdr:rowOff>171450</xdr:rowOff>
    </xdr:from>
    <xdr:ext cx="2628900" cy="1162050"/>
    <xdr:sp>
      <xdr:nvSpPr>
        <xdr:cNvPr id="3" name="Shape 3"/>
        <xdr:cNvSpPr/>
      </xdr:nvSpPr>
      <xdr:spPr>
        <a:xfrm>
          <a:off x="1067725" y="445375"/>
          <a:ext cx="4163400" cy="18384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2800"/>
            <a:t>Factor rackplanning</a:t>
          </a:r>
          <a:endParaRPr b="1" sz="2800"/>
        </a:p>
      </xdr:txBody>
    </xdr:sp>
    <xdr:clientData fLocksWithSheet="0"/>
  </xdr:oneCellAnchor>
  <xdr:oneCellAnchor>
    <xdr:from>
      <xdr:col>8</xdr:col>
      <xdr:colOff>66675</xdr:colOff>
      <xdr:row>6</xdr:row>
      <xdr:rowOff>219075</xdr:rowOff>
    </xdr:from>
    <xdr:ext cx="847725" cy="190500"/>
    <xdr:sp>
      <xdr:nvSpPr>
        <xdr:cNvPr id="4" name="Shape 4"/>
        <xdr:cNvSpPr/>
      </xdr:nvSpPr>
      <xdr:spPr>
        <a:xfrm>
          <a:off x="3035150" y="1045550"/>
          <a:ext cx="1248600" cy="264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Fix ASL 1</a:t>
          </a:r>
          <a:endParaRPr sz="1400"/>
        </a:p>
      </xdr:txBody>
    </xdr:sp>
    <xdr:clientData fLocksWithSheet="0"/>
  </xdr:oneCellAnchor>
  <xdr:oneCellAnchor>
    <xdr:from>
      <xdr:col>8</xdr:col>
      <xdr:colOff>66675</xdr:colOff>
      <xdr:row>8</xdr:row>
      <xdr:rowOff>9525</xdr:rowOff>
    </xdr:from>
    <xdr:ext cx="847725" cy="190500"/>
    <xdr:sp>
      <xdr:nvSpPr>
        <xdr:cNvPr id="5" name="Shape 5"/>
        <xdr:cNvSpPr/>
      </xdr:nvSpPr>
      <xdr:spPr>
        <a:xfrm>
          <a:off x="3035150" y="1045550"/>
          <a:ext cx="1248600" cy="2640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Fix ASL 2</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76200</xdr:rowOff>
    </xdr:from>
    <xdr:ext cx="7086600" cy="4400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723900</xdr:colOff>
      <xdr:row>4</xdr:row>
      <xdr:rowOff>76200</xdr:rowOff>
    </xdr:from>
    <xdr:ext cx="7086600" cy="44005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25</xdr:col>
      <xdr:colOff>152400</xdr:colOff>
      <xdr:row>4</xdr:row>
      <xdr:rowOff>76200</xdr:rowOff>
    </xdr:from>
    <xdr:ext cx="7086600" cy="44005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17</xdr:col>
      <xdr:colOff>828675</xdr:colOff>
      <xdr:row>4</xdr:row>
      <xdr:rowOff>76200</xdr:rowOff>
    </xdr:from>
    <xdr:ext cx="7086600" cy="44005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odzo.tozoun@hellofresh.de" id="{878599c3-d03d-46d2-9730-6f164c353511}" userId="kodzo.tozoun@hellofresh.de" providerId="google-sheets"/>
  <x18tc:person displayName="Benjamin von Strauch" id="{9b83dd34-efdd-4824-a30d-c90fae7780dc}" providerId="google-sheets"/>
  <x18tc:person displayName="steven.ender@hellofresh.de" id="{454333ee-e808-47cc-ada5-e9317852bf64}" userId="steven.ender@hellofresh.de" providerId="google-sheets"/>
  <x18tc:person displayName="shaurya.jadhav@hellofresh.de" id="{9928731f-7db5-4d5f-964d-6ad316bc6a16}" userId="shaurya.jadhav@hellofresh.de" providerId="google-sheets"/>
  <x18tc:person displayName="Moritz Ochs" id="{14aa8177-6ea9-4bf8-ae21-439d795f6d94}" providerId="google-sheets"/>
  <x18tc:person displayName="Shaurya Jadhav" id="{13a0038e-b902-426e-81a3-da0d2d0ce911}" providerId="google-sheets"/>
  <x18tc:person displayName="bilge.berber@hellofresh.com" id="{43788b58-43f8-433c-9437-560cca6b01af}" userId="bilge.berber@hellofresh.com" providerId="google-sheets"/>
  <x18tc:person displayName="tobias.lausch@hellofresh.de" id="{8ba90d46-c051-4dea-810f-e35e9dd812c1}" userId="tobias.lausch@hellofresh.de" providerId="google-sheets"/>
  <x18tc:person displayName="benjamin.von-strauch@hellofresh.de" id="{557ee7c8-4420-44c4-9413-7c8608a3d0c0}" userId="benjamin.von-strauch@hellofresh.de" providerId="google-sheets"/>
  <x18tc:person displayName="moritz.ochs@factor75.eu" id="{3241cf7a-90d8-426e-a46f-0ff0c1d0ab34}" userId="moritz.ochs@factor75.eu" providerId="google-sheets"/>
  <x18tc:person displayName="Bilge Bahadir Berber" id="{8a8b2ab8-2287-451b-bef0-6731de9d4544}"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1000" sheet="Output_HALO - DACH"/>
  </cacheSource>
  <cacheFields>
    <cacheField name="market" numFmtId="0">
      <sharedItems containsBlank="1">
        <s v="DACH"/>
        <m/>
      </sharedItems>
    </cacheField>
    <cacheField name="name" numFmtId="0">
      <sharedItems containsBlank="1">
        <s v="Factor Box Large"/>
        <s v="Factor Box Medium"/>
        <s v="Factor Box Small"/>
        <s v="Factor Liner Small1"/>
        <s v="Factor Liner Large1"/>
        <s v="Factor Liner Medium1"/>
        <s v="Factor Liner Small2"/>
        <s v="Factor Liner Large2"/>
        <s v="Factor Liner Medium2"/>
        <s v="565064 - Lachs in Senf-Dill-Sauce"/>
        <s v="565095 - Schweinefilet in würziger Ancho-Chili-Sauce"/>
        <s v=""/>
        <s v="565252 - Rinderragù mit sonnengetrockneten Tomaten und Pasta"/>
        <s v="565091 - Scharfes Rinderhack mit Jalapeños"/>
        <s v="565043 - Würziges Hähnchen mit Jalapeño, Limette und Cheddar"/>
        <s v="565211 - Gegrilltes Hähnchen in Ingwer-Knoblauch-Marinade"/>
        <s v="205 - FACTOR_ Ginger Lemon Apple Wellness Shot"/>
        <s v="565309 - Geschmortes Rind in Kräuterjus"/>
        <s v="220 - Free4Life_ Ginger Lemon Apple Wellness Shot_Single"/>
        <s v="565164 - Hähnchen mit karamellisierten Zwiebeln &amp; Emmentaler-Fondue"/>
        <s v="565189 - Lachs Piccata"/>
        <s v="565072 - Gegrilltes Hähnchen mit Ratatouille"/>
        <s v="IcePack2"/>
        <s v="565119 - Gegrilltes Hähnchen mit Knoblauch-Kräutern"/>
        <s v="565143 - Schweinefilet in cremiger Knoblauch-Senf-Sauce"/>
        <s v="565178 - Westafrikanisches Hähnchen-Erdnuss-Curry"/>
        <s v="209 - FACTOR_ Spirulina Ginger Lime Ginger Shot"/>
        <s v="221 - Free4Life_ Spirulina Ginger Lime Ginger Shot_Single"/>
        <s v="210 - FACTOR_ Turmeric Cayenne Pineapple Ginger Shot"/>
        <s v="565130 - Pulled Pork mit roter Chilisauce"/>
        <s v="222 - Free4Life_ Turmeric Cayenne Pineapple Ginger Shot_Single"/>
        <s v="565196 - Ají Verde Lachs"/>
        <s v="565141 - Zucchini-Paprika-Ratatouille"/>
        <s v="IcePack3"/>
        <s v="565221 - Lachs-Bowl mit Zitrus-Miso"/>
        <s v="565209 - Grünes Chili-Hähnchen mit Quinoa-Salsa"/>
        <s v="565244 - Cremiges Tomaten-Risotto"/>
        <s v="FA-DE Fourth Box - Hydroflask"/>
        <s v="FA-DE Fourth Box - Flyer"/>
        <s v="FA-DE Third Box - Flyer"/>
        <s v="FA-DE Third Box - Socks"/>
        <s v="FA-DE Second Box - Tote Bag"/>
        <s v="FA-DE Second Box - Flyer"/>
        <s v="FA-DE First Box - Flyer about program"/>
        <s v="FA-DE Welcome Booklet"/>
        <s v="FA-DE Freebies"/>
        <s v="IcePack1"/>
        <m/>
      </sharedItems>
    </cacheField>
    <cacheField name="line" numFmtId="0">
      <sharedItems containsBlank="1">
        <s v="ASL1"/>
        <m/>
      </sharedItems>
    </cacheField>
    <cacheField name="pickface_name" numFmtId="0">
      <sharedItems containsBlank="1">
        <s v="F02"/>
        <s v="F03"/>
        <s v="F05"/>
        <s v="F06"/>
        <s v="F07"/>
        <s v="F08"/>
        <s v="F10"/>
        <s v="F11"/>
        <s v="F12"/>
        <s v="F55"/>
        <s v="F56"/>
        <s v="F58"/>
        <s v="F59"/>
        <s v="F62"/>
        <s v="F65"/>
        <s v="F85"/>
        <s v="F86"/>
        <s v="F88"/>
        <s v="F89"/>
        <s v="F92"/>
        <s v="F96"/>
        <s v="F97"/>
        <s v="F105"/>
        <s v="F106"/>
        <s v="F107"/>
        <s v="F109"/>
        <s v="F110"/>
        <s v="F112"/>
        <s v="F122"/>
        <s v="F123"/>
        <s v="F124"/>
        <s v="F125"/>
        <s v="F126"/>
        <s v="F127"/>
        <s v="F131"/>
        <s v="F133"/>
        <s v="F134"/>
        <s v="F135"/>
        <s v="F136"/>
        <s v="F137"/>
        <s v="F138"/>
        <s v="F139"/>
        <s v="F140"/>
        <s v="F141"/>
        <s v="F142"/>
        <s v="F143"/>
        <s v="F144"/>
        <m/>
      </sharedItems>
    </cacheField>
    <cacheField name="station" numFmtId="0">
      <sharedItems containsString="0" containsBlank="1" containsNumber="1" containsInteger="1">
        <n v="1.0"/>
        <n v="2.0"/>
        <n v="8.0"/>
        <n v="9.0"/>
        <n v="12.0"/>
        <n v="13.0"/>
        <n v="14.0"/>
        <n v="16.0"/>
        <n v="17.0"/>
        <n v="18.0"/>
        <m/>
      </sharedItems>
    </cacheField>
    <cacheField name="pickface">
      <sharedItems containsBlank="1" containsMixedTypes="1" containsNumber="1" containsInteger="1">
        <s v=""/>
        <n v="2.0"/>
        <n v="1.0"/>
        <n v="0.0"/>
        <m/>
      </sharedItems>
    </cacheField>
    <cacheField name="level" numFmtId="0">
      <sharedItems containsString="0" containsBlank="1" containsNumber="1" containsInteger="1">
        <n v="1.0"/>
        <n v="2.0"/>
        <n v="3.0"/>
        <m/>
      </sharedItems>
    </cacheField>
    <cacheField name="column" numFmtId="0">
      <sharedItems containsString="0" containsBlank="1" containsNumber="1" containsInteger="1">
        <n v="2.0"/>
        <n v="3.0"/>
        <n v="5.0"/>
        <n v="6.0"/>
        <n v="7.0"/>
        <n v="8.0"/>
        <n v="9.0"/>
        <n v="24.0"/>
        <n v="25.0"/>
        <n v="26.0"/>
        <n v="27.0"/>
        <n v="34.0"/>
        <n v="35.0"/>
        <n v="36.0"/>
        <n v="37.0"/>
        <n v="38.0"/>
        <n v="41.0"/>
        <n v="42.0"/>
        <n v="43.0"/>
        <n v="44.0"/>
        <n v="49.0"/>
        <n v="50.0"/>
        <n v="51.0"/>
        <n v="52.0"/>
        <n v="54.0"/>
        <n v="55.0"/>
        <n v="56.0"/>
        <n v="57.0"/>
        <n v="58.0"/>
        <n v="59.0"/>
        <n v="60.0"/>
        <m/>
      </sharedItems>
    </cacheField>
    <cacheField name="type" numFmtId="0">
      <sharedItems containsBlank="1">
        <s v="Packaging"/>
        <s v="Chilled"/>
        <m/>
      </sharedItems>
    </cacheField>
    <cacheField name="station_mapping" numFmtId="0">
      <sharedItems containsString="0" containsBlank="1" containsNumber="1" containsInteger="1">
        <n v="-2.0"/>
        <n v="-1.0"/>
        <n v="5.0"/>
        <n v="6.0"/>
        <n v="9.0"/>
        <n v="10.0"/>
        <n v="11.0"/>
        <n v="13.0"/>
        <n v="14.0"/>
        <n v="15.0"/>
        <m/>
      </sharedItems>
    </cacheField>
    <cacheField name="demand_thursday">
      <sharedItems containsBlank="1" containsMixedTypes="1" containsNumber="1" containsInteger="1">
        <n v="0.0"/>
        <n v="504.0"/>
        <n v="1733.0"/>
        <n v="678.0"/>
        <n v="1246.0"/>
        <n v="670.0"/>
        <n v="48.0"/>
        <n v="2052.0"/>
        <n v="2993.0"/>
        <s v=""/>
        <n v="598.0"/>
        <n v="2180.0"/>
        <n v="56.0"/>
        <n v="36.0"/>
        <n v="1276.0"/>
        <n v="1282.0"/>
        <n v="293.0"/>
        <n v="55.0"/>
        <n v="773.0"/>
        <n v="1863.0"/>
        <n v="326.0"/>
        <m/>
      </sharedItems>
    </cacheField>
    <cacheField name="demand_friday">
      <sharedItems containsBlank="1" containsMixedTypes="1" containsNumber="1" containsInteger="1">
        <n v="0.0"/>
        <s v=""/>
        <m/>
      </sharedItems>
    </cacheField>
    <cacheField name="demand_saturday">
      <sharedItems containsBlank="1" containsMixedTypes="1" containsNumber="1" containsInteger="1">
        <n v="0.0"/>
        <s v=""/>
        <m/>
      </sharedItems>
    </cacheField>
    <cacheField name="DemandTotal">
      <sharedItems containsBlank="1" containsMixedTypes="1" containsNumber="1" containsInteger="1">
        <n v="0.0"/>
        <n v="504.0"/>
        <s v=""/>
        <n v="1733.0"/>
        <n v="678.0"/>
        <n v="1246.0"/>
        <n v="670.0"/>
        <n v="48.0"/>
        <n v="2052.0"/>
        <n v="2993.0"/>
        <n v="598.0"/>
        <n v="2180.0"/>
        <n v="56.0"/>
        <n v="36.0"/>
        <n v="1276.0"/>
        <n v="1282.0"/>
        <n v="293.0"/>
        <n v="55.0"/>
        <n v="773.0"/>
        <n v="1863.0"/>
        <n v="326.0"/>
        <m/>
      </sharedItems>
    </cacheField>
    <cacheField name="decvar0" numFmtId="0">
      <sharedItems containsString="0" containsBlank="1" containsNumber="1" containsInteger="1">
        <n v="1.0"/>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1000" sheet="Output_HALO - Nordics"/>
  </cacheSource>
  <cacheFields>
    <cacheField name="market" numFmtId="0">
      <sharedItems containsBlank="1">
        <s v="NORDICS"/>
        <m/>
      </sharedItems>
    </cacheField>
    <cacheField name="name" numFmtId="0">
      <sharedItems containsBlank="1">
        <s v="L"/>
        <s v="M"/>
        <s v="S"/>
        <s v="XS"/>
        <s v="565221 - Laksebowl med citrus-miso"/>
        <s v="565178 - Vestfrikansk-inspireret peanut-kyllingecurry"/>
        <s v="621 - "/>
        <s v="565091 - Krydret hakket oksekød med jalapenos"/>
        <s v="565064 - Laks i senneps-dild sauce"/>
        <s v="565211 - Grillet kylling med ingefær og hvidløg"/>
        <s v="565164 - Kylling i Emmental-fondue med karamelliseret løg"/>
        <s v="565309 - Braiseret oksekød i urtesky"/>
        <s v="565095 - Svinemørbrad i ancho- og chilisauce"/>
        <s v="565072 - Grillet kylling med ratatouille"/>
        <s v="620 - "/>
        <s v="706 - Grillet kylling med hvidlød og urter"/>
        <s v="565130 - Chilikryddet pulled pork"/>
        <s v="565196 - Laks med aji verde"/>
        <s v=""/>
        <s v="709 - FACTOR_ Spirulina Ginger Lime Ginger Shot"/>
        <s v="565043 - Spicy kylling med jalapeño, lime og cheddar"/>
        <s v="710 - FACTOR_ Turmeric Cayenne Pineapple Ginger Shot"/>
        <s v="565252 - Pasta med oksekødsragù og soltørrede tomater"/>
        <s v="565141 - Squash- og peberfrugtsratatouille"/>
        <s v="705 - FACTOR_ Ginger Lemon Apple Wellness Shot"/>
        <s v="565143 - Svinemørbrad i cremet hvidløgs- og sennepssauce"/>
        <s v="FA-Nordics Welcome Booklet"/>
        <s v="565209 - Chilensk inspireret kylling med salsa-quinoa"/>
        <s v="565244 - Cremet tomatrisotto"/>
        <s v="565189 - Laks Piccata "/>
        <s v="IcePack1"/>
        <s v="FA-DE Freebies"/>
        <m/>
      </sharedItems>
    </cacheField>
    <cacheField name="line" numFmtId="0">
      <sharedItems containsBlank="1">
        <s v="ASL2"/>
        <m/>
      </sharedItems>
    </cacheField>
    <cacheField name="pickface_name" numFmtId="0">
      <sharedItems containsBlank="1">
        <s v="F02"/>
        <s v="F03"/>
        <s v="F04"/>
        <s v="F05"/>
        <s v="F20"/>
        <s v="F23"/>
        <s v="F25"/>
        <s v="F26"/>
        <s v="F37"/>
        <s v="F38"/>
        <s v="F40"/>
        <s v="F41"/>
        <s v="F44"/>
        <s v="F68"/>
        <s v="F70"/>
        <s v="F85"/>
        <s v="F86"/>
        <s v="F88"/>
        <s v="F89"/>
        <s v="F106"/>
        <s v="F107"/>
        <s v="F108"/>
        <s v="F109"/>
        <s v="F110"/>
        <s v="F122"/>
        <s v="F123"/>
        <s v="F124"/>
        <s v="F125"/>
        <s v="F126"/>
        <s v="F127"/>
        <s v="F137"/>
        <s v="F138"/>
        <m/>
      </sharedItems>
    </cacheField>
    <cacheField name="station" numFmtId="0">
      <sharedItems containsString="0" containsBlank="1" containsNumber="1" containsInteger="1">
        <n v="1.0"/>
        <n v="4.0"/>
        <n v="6.0"/>
        <n v="9.0"/>
        <n v="12.0"/>
        <n v="14.0"/>
        <n v="16.0"/>
        <n v="18.0"/>
        <m/>
      </sharedItems>
    </cacheField>
    <cacheField name="pickface">
      <sharedItems containsBlank="1" containsMixedTypes="1" containsNumber="1" containsInteger="1">
        <s v=""/>
        <n v="2.0"/>
        <n v="1.0"/>
        <n v="0.0"/>
        <m/>
      </sharedItems>
    </cacheField>
    <cacheField name="level" numFmtId="0">
      <sharedItems containsString="0" containsBlank="1" containsNumber="1" containsInteger="1">
        <n v="1.0"/>
        <n v="2.0"/>
        <m/>
      </sharedItems>
    </cacheField>
    <cacheField name="column" numFmtId="0">
      <sharedItems containsString="0" containsBlank="1" containsNumber="1" containsInteger="1">
        <n v="2.0"/>
        <n v="3.0"/>
        <n v="4.0"/>
        <n v="5.0"/>
        <n v="12.0"/>
        <n v="13.0"/>
        <n v="14.0"/>
        <n v="18.0"/>
        <n v="19.0"/>
        <n v="20.0"/>
        <n v="28.0"/>
        <n v="29.0"/>
        <n v="34.0"/>
        <n v="35.0"/>
        <n v="41.0"/>
        <n v="42.0"/>
        <n v="43.0"/>
        <n v="49.0"/>
        <n v="50.0"/>
        <n v="51.0"/>
        <n v="52.0"/>
        <n v="57.0"/>
        <m/>
      </sharedItems>
    </cacheField>
    <cacheField name="type" numFmtId="0">
      <sharedItems containsBlank="1">
        <s v="Packaging"/>
        <s v="Chilled"/>
        <m/>
      </sharedItems>
    </cacheField>
    <cacheField name="station_mapping" numFmtId="0">
      <sharedItems containsString="0" containsBlank="1" containsNumber="1" containsInteger="1">
        <n v="-2.0"/>
        <n v="1.0"/>
        <n v="3.0"/>
        <n v="6.0"/>
        <n v="9.0"/>
        <n v="11.0"/>
        <n v="13.0"/>
        <n v="15.0"/>
        <m/>
      </sharedItems>
    </cacheField>
    <cacheField name="demand_thursday" numFmtId="0">
      <sharedItems containsString="0" containsBlank="1" containsNumber="1" containsInteger="1">
        <n v="0.0"/>
        <n v="625.0"/>
        <n v="2382.0"/>
        <n v="685.0"/>
        <n v="718.0"/>
        <n v="2354.0"/>
        <n v="667.0"/>
        <n v="3769.0"/>
        <n v="36.0"/>
        <n v="1996.0"/>
        <n v="1383.0"/>
        <n v="73.0"/>
        <n v="1291.0"/>
        <n v="89.0"/>
        <n v="1844.0"/>
        <n v="260.0"/>
        <n v="126.0"/>
        <n v="709.0"/>
        <n v="2570.0"/>
        <n v="310.0"/>
        <n v="130.0"/>
        <m/>
      </sharedItems>
    </cacheField>
    <cacheField name="demand_friday" numFmtId="0">
      <sharedItems containsString="0" containsBlank="1" containsNumber="1" containsInteger="1">
        <n v="0.0"/>
        <m/>
      </sharedItems>
    </cacheField>
    <cacheField name="demand_saturday" numFmtId="0">
      <sharedItems containsString="0" containsBlank="1" containsNumber="1" containsInteger="1">
        <n v="0.0"/>
        <m/>
      </sharedItems>
    </cacheField>
    <cacheField name="DemandTotal">
      <sharedItems containsBlank="1" containsMixedTypes="1" containsNumber="1" containsInteger="1">
        <n v="0.0"/>
        <n v="625.0"/>
        <n v="2382.0"/>
        <n v="685.0"/>
        <n v="718.0"/>
        <n v="2354.0"/>
        <n v="667.0"/>
        <n v="3769.0"/>
        <n v="36.0"/>
        <n v="1996.0"/>
        <n v="1383.0"/>
        <s v=""/>
        <n v="73.0"/>
        <n v="1291.0"/>
        <n v="89.0"/>
        <n v="1844.0"/>
        <n v="260.0"/>
        <n v="126.0"/>
        <n v="709.0"/>
        <n v="2570.0"/>
        <n v="310.0"/>
        <n v="130.0"/>
        <m/>
      </sharedItems>
    </cacheField>
    <cacheField name="decvar0" numFmtId="0">
      <sharedItems containsString="0" containsBlank="1" containsNumber="1" containsInteger="1">
        <n v="1.0"/>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107" sheet="Output_HALO - DACH"/>
  </cacheSource>
  <cacheFields>
    <cacheField name="market" numFmtId="0">
      <sharedItems containsBlank="1">
        <s v="DACH"/>
        <m/>
      </sharedItems>
    </cacheField>
    <cacheField name="name" numFmtId="0">
      <sharedItems containsBlank="1">
        <s v="Factor Box Large"/>
        <s v="Factor Box Medium"/>
        <s v="Factor Box Small"/>
        <s v="Factor Liner Small1"/>
        <s v="Factor Liner Large1"/>
        <s v="Factor Liner Medium1"/>
        <s v="Factor Liner Small2"/>
        <s v="Factor Liner Large2"/>
        <s v="Factor Liner Medium2"/>
        <s v="565064 - Lachs in Senf-Dill-Sauce"/>
        <s v="565095 - Schweinefilet in würziger Ancho-Chili-Sauce"/>
        <s v=""/>
        <s v="565252 - Rinderragù mit sonnengetrockneten Tomaten und Pasta"/>
        <s v="565091 - Scharfes Rinderhack mit Jalapeños"/>
        <s v="565043 - Würziges Hähnchen mit Jalapeño, Limette und Cheddar"/>
        <s v="565211 - Gegrilltes Hähnchen in Ingwer-Knoblauch-Marinade"/>
        <s v="205 - FACTOR_ Ginger Lemon Apple Wellness Shot"/>
        <s v="565309 - Geschmortes Rind in Kräuterjus"/>
        <s v="220 - Free4Life_ Ginger Lemon Apple Wellness Shot_Single"/>
        <s v="565164 - Hähnchen mit karamellisierten Zwiebeln &amp; Emmentaler-Fondue"/>
        <s v="565189 - Lachs Piccata"/>
        <s v="565072 - Gegrilltes Hähnchen mit Ratatouille"/>
        <s v="IcePack2"/>
        <s v="565119 - Gegrilltes Hähnchen mit Knoblauch-Kräutern"/>
        <s v="565143 - Schweinefilet in cremiger Knoblauch-Senf-Sauce"/>
        <s v="565178 - Westafrikanisches Hähnchen-Erdnuss-Curry"/>
        <s v="209 - FACTOR_ Spirulina Ginger Lime Ginger Shot"/>
        <s v="221 - Free4Life_ Spirulina Ginger Lime Ginger Shot_Single"/>
        <s v="210 - FACTOR_ Turmeric Cayenne Pineapple Ginger Shot"/>
        <s v="565130 - Pulled Pork mit roter Chilisauce"/>
        <s v="222 - Free4Life_ Turmeric Cayenne Pineapple Ginger Shot_Single"/>
        <s v="565196 - Ají Verde Lachs"/>
        <s v="565141 - Zucchini-Paprika-Ratatouille"/>
        <s v="IcePack3"/>
        <s v="565221 - Lachs-Bowl mit Zitrus-Miso"/>
        <s v="565209 - Grünes Chili-Hähnchen mit Quinoa-Salsa"/>
        <s v="565244 - Cremiges Tomaten-Risotto"/>
        <s v="FA-DE Fourth Box - Hydroflask"/>
        <s v="FA-DE Fourth Box - Flyer"/>
        <s v="FA-DE Third Box - Flyer"/>
        <s v="FA-DE Third Box - Socks"/>
        <s v="FA-DE Second Box - Tote Bag"/>
        <s v="FA-DE Second Box - Flyer"/>
        <s v="FA-DE First Box - Flyer about program"/>
        <s v="FA-DE Welcome Booklet"/>
        <s v="FA-DE Freebies"/>
        <s v="IcePack1"/>
        <m/>
      </sharedItems>
    </cacheField>
    <cacheField name="line" numFmtId="0">
      <sharedItems containsBlank="1">
        <s v="ASL1"/>
        <m/>
      </sharedItems>
    </cacheField>
    <cacheField name="pickface_name" numFmtId="0">
      <sharedItems containsBlank="1">
        <s v="F02"/>
        <s v="F03"/>
        <s v="F05"/>
        <s v="F06"/>
        <s v="F07"/>
        <s v="F08"/>
        <s v="F10"/>
        <s v="F11"/>
        <s v="F12"/>
        <s v="F55"/>
        <s v="F56"/>
        <s v="F58"/>
        <s v="F59"/>
        <s v="F62"/>
        <s v="F65"/>
        <s v="F85"/>
        <s v="F86"/>
        <s v="F88"/>
        <s v="F89"/>
        <s v="F92"/>
        <s v="F96"/>
        <s v="F97"/>
        <s v="F105"/>
        <s v="F106"/>
        <s v="F107"/>
        <s v="F109"/>
        <s v="F110"/>
        <s v="F112"/>
        <s v="F122"/>
        <s v="F123"/>
        <s v="F124"/>
        <s v="F125"/>
        <s v="F126"/>
        <s v="F127"/>
        <s v="F131"/>
        <s v="F133"/>
        <s v="F134"/>
        <s v="F135"/>
        <s v="F136"/>
        <s v="F137"/>
        <s v="F138"/>
        <s v="F139"/>
        <s v="F140"/>
        <s v="F141"/>
        <s v="F142"/>
        <s v="F143"/>
        <s v="F144"/>
        <m/>
      </sharedItems>
    </cacheField>
    <cacheField name="station" numFmtId="0">
      <sharedItems containsString="0" containsBlank="1" containsNumber="1" containsInteger="1">
        <n v="1.0"/>
        <n v="2.0"/>
        <n v="8.0"/>
        <n v="9.0"/>
        <n v="12.0"/>
        <n v="13.0"/>
        <n v="14.0"/>
        <n v="16.0"/>
        <n v="17.0"/>
        <n v="18.0"/>
        <m/>
      </sharedItems>
    </cacheField>
    <cacheField name="pickface">
      <sharedItems containsBlank="1" containsMixedTypes="1" containsNumber="1" containsInteger="1">
        <s v=""/>
        <n v="2.0"/>
        <n v="1.0"/>
        <n v="0.0"/>
        <m/>
      </sharedItems>
    </cacheField>
    <cacheField name="level" numFmtId="0">
      <sharedItems containsString="0" containsBlank="1" containsNumber="1" containsInteger="1">
        <n v="1.0"/>
        <n v="2.0"/>
        <n v="3.0"/>
        <m/>
      </sharedItems>
    </cacheField>
    <cacheField name="column" numFmtId="0">
      <sharedItems containsString="0" containsBlank="1" containsNumber="1" containsInteger="1">
        <n v="2.0"/>
        <n v="3.0"/>
        <n v="5.0"/>
        <n v="6.0"/>
        <n v="7.0"/>
        <n v="8.0"/>
        <n v="9.0"/>
        <n v="24.0"/>
        <n v="25.0"/>
        <n v="26.0"/>
        <n v="27.0"/>
        <n v="34.0"/>
        <n v="35.0"/>
        <n v="36.0"/>
        <n v="37.0"/>
        <n v="38.0"/>
        <n v="41.0"/>
        <n v="42.0"/>
        <n v="43.0"/>
        <n v="44.0"/>
        <n v="49.0"/>
        <n v="50.0"/>
        <n v="51.0"/>
        <n v="52.0"/>
        <n v="54.0"/>
        <n v="55.0"/>
        <n v="56.0"/>
        <n v="57.0"/>
        <n v="58.0"/>
        <n v="59.0"/>
        <n v="60.0"/>
        <m/>
      </sharedItems>
    </cacheField>
    <cacheField name="type" numFmtId="0">
      <sharedItems containsBlank="1">
        <s v="Packaging"/>
        <s v="Chilled"/>
        <m/>
      </sharedItems>
    </cacheField>
    <cacheField name="station_mapping" numFmtId="0">
      <sharedItems containsString="0" containsBlank="1" containsNumber="1" containsInteger="1">
        <n v="-2.0"/>
        <n v="-1.0"/>
        <n v="5.0"/>
        <n v="6.0"/>
        <n v="9.0"/>
        <n v="10.0"/>
        <n v="11.0"/>
        <n v="13.0"/>
        <n v="14.0"/>
        <n v="15.0"/>
        <m/>
      </sharedItems>
    </cacheField>
    <cacheField name="demand_thursday">
      <sharedItems containsBlank="1" containsMixedTypes="1" containsNumber="1" containsInteger="1">
        <n v="0.0"/>
        <n v="504.0"/>
        <n v="1733.0"/>
        <n v="678.0"/>
        <n v="1246.0"/>
        <n v="670.0"/>
        <n v="48.0"/>
        <n v="2052.0"/>
        <n v="2993.0"/>
        <s v=""/>
        <n v="598.0"/>
        <n v="2180.0"/>
        <n v="56.0"/>
        <n v="36.0"/>
        <n v="1276.0"/>
        <n v="1282.0"/>
        <n v="293.0"/>
        <n v="55.0"/>
        <n v="773.0"/>
        <n v="1863.0"/>
        <n v="326.0"/>
        <m/>
      </sharedItems>
    </cacheField>
    <cacheField name="demand_friday">
      <sharedItems containsBlank="1" containsMixedTypes="1" containsNumber="1" containsInteger="1">
        <n v="0.0"/>
        <s v=""/>
        <m/>
      </sharedItems>
    </cacheField>
    <cacheField name="demand_saturday">
      <sharedItems containsBlank="1" containsMixedTypes="1" containsNumber="1" containsInteger="1">
        <n v="0.0"/>
        <s v=""/>
        <m/>
      </sharedItems>
    </cacheField>
    <cacheField name="DemandTotal">
      <sharedItems containsBlank="1" containsMixedTypes="1" containsNumber="1" containsInteger="1">
        <n v="0.0"/>
        <n v="504.0"/>
        <s v=""/>
        <n v="1733.0"/>
        <n v="678.0"/>
        <n v="1246.0"/>
        <n v="670.0"/>
        <n v="48.0"/>
        <n v="2052.0"/>
        <n v="2993.0"/>
        <n v="598.0"/>
        <n v="2180.0"/>
        <n v="56.0"/>
        <n v="36.0"/>
        <n v="1276.0"/>
        <n v="1282.0"/>
        <n v="293.0"/>
        <n v="55.0"/>
        <n v="773.0"/>
        <n v="1863.0"/>
        <n v="326.0"/>
        <m/>
      </sharedItems>
    </cacheField>
    <cacheField name="decvar0" numFmtId="0">
      <sharedItems containsString="0" containsBlank="1" containsNumber="1" containsInteger="1">
        <n v="1.0"/>
        <m/>
      </sharedItems>
    </cacheField>
    <cacheField name="decvar_z_lower" numFmtId="0">
      <sharedItems containsString="0" containsBlank="1" containsNumber="1" containsInteger="1">
        <n v="0.0"/>
        <n v="55.0"/>
        <m/>
      </sharedItems>
    </cacheField>
    <cacheField name="decvar_z_upper" numFmtId="0">
      <sharedItems containsString="0" containsBlank="1" containsNumber="1" containsInteger="1">
        <n v="0.0"/>
        <n v="2993.0"/>
        <m/>
      </sharedItems>
    </cacheField>
    <cacheField name="separate_constraint_new" numFmtId="0">
      <sharedItems containsBlank="1">
        <s v=""/>
        <s v="Lachs"/>
        <s v="Schwein"/>
        <s v="Gegrillt"/>
        <s v="Cremiges"/>
        <m/>
      </sharedItems>
    </cacheField>
    <cacheField name="pickface_coordinate" numFmtId="0">
      <sharedItems containsBlank="1">
        <s v="2-1"/>
        <s v="3-1"/>
        <s v="5-1"/>
        <s v="6-2"/>
        <s v="7-1"/>
        <s v="7-2"/>
        <s v="8-2"/>
        <s v="9-1"/>
        <s v="9-2"/>
        <s v="24-1"/>
        <s v="24-2"/>
        <s v="25-1"/>
        <s v="25-2"/>
        <s v="26-2"/>
        <s v="27-2"/>
        <s v="34-1"/>
        <s v="34-2"/>
        <s v="35-1"/>
        <s v="35-2"/>
        <s v="36-2"/>
        <s v="37-3"/>
        <s v="38-1"/>
        <s v="41-1"/>
        <s v="41-2"/>
        <s v="42-1"/>
        <s v="43-1"/>
        <s v="43-2"/>
        <s v="44-2"/>
        <s v="49-2"/>
        <s v="50-1"/>
        <s v="50-2"/>
        <s v="51-1"/>
        <s v="51-2"/>
        <s v="52-1"/>
        <s v="54-1"/>
        <s v="55-1"/>
        <s v="55-2"/>
        <s v="56-1"/>
        <s v="56-2"/>
        <s v="57-1"/>
        <s v="57-2"/>
        <s v="58-1"/>
        <s v="58-2"/>
        <s v="59-1"/>
        <s v="59-2"/>
        <s v="60-1"/>
        <s v="60-2"/>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107" sheet="Output_HALO - Nordics"/>
  </cacheSource>
  <cacheFields>
    <cacheField name="market" numFmtId="0">
      <sharedItems containsBlank="1">
        <s v="NORDICS"/>
        <m/>
      </sharedItems>
    </cacheField>
    <cacheField name="name" numFmtId="0">
      <sharedItems containsBlank="1">
        <s v="L"/>
        <s v="M"/>
        <s v="S"/>
        <s v="XS"/>
        <s v="565221 - Laksebowl med citrus-miso"/>
        <s v="565178 - Vestfrikansk-inspireret peanut-kyllingecurry"/>
        <s v="621 - "/>
        <s v="565091 - Krydret hakket oksekød med jalapenos"/>
        <s v="565064 - Laks i senneps-dild sauce"/>
        <s v="565211 - Grillet kylling med ingefær og hvidløg"/>
        <s v="565164 - Kylling i Emmental-fondue med karamelliseret løg"/>
        <s v="565309 - Braiseret oksekød i urtesky"/>
        <s v="565095 - Svinemørbrad i ancho- og chilisauce"/>
        <s v="565072 - Grillet kylling med ratatouille"/>
        <s v="620 - "/>
        <s v="706 - Grillet kylling med hvidlød og urter"/>
        <s v="565130 - Chilikryddet pulled pork"/>
        <s v="565196 - Laks med aji verde"/>
        <s v=""/>
        <s v="709 - FACTOR_ Spirulina Ginger Lime Ginger Shot"/>
        <s v="565043 - Spicy kylling med jalapeño, lime og cheddar"/>
        <s v="710 - FACTOR_ Turmeric Cayenne Pineapple Ginger Shot"/>
        <s v="565252 - Pasta med oksekødsragù og soltørrede tomater"/>
        <s v="565141 - Squash- og peberfrugtsratatouille"/>
        <s v="705 - FACTOR_ Ginger Lemon Apple Wellness Shot"/>
        <s v="565143 - Svinemørbrad i cremet hvidløgs- og sennepssauce"/>
        <s v="FA-Nordics Welcome Booklet"/>
        <s v="565209 - Chilensk inspireret kylling med salsa-quinoa"/>
        <s v="565244 - Cremet tomatrisotto"/>
        <s v="565189 - Laks Piccata "/>
        <s v="IcePack1"/>
        <s v="FA-DE Freebies"/>
        <m/>
      </sharedItems>
    </cacheField>
    <cacheField name="line" numFmtId="0">
      <sharedItems containsBlank="1">
        <s v="ASL2"/>
        <m/>
      </sharedItems>
    </cacheField>
    <cacheField name="pickface_name" numFmtId="0">
      <sharedItems containsBlank="1">
        <s v="F02"/>
        <s v="F03"/>
        <s v="F04"/>
        <s v="F05"/>
        <s v="F20"/>
        <s v="F23"/>
        <s v="F25"/>
        <s v="F26"/>
        <s v="F37"/>
        <s v="F38"/>
        <s v="F40"/>
        <s v="F41"/>
        <s v="F44"/>
        <s v="F68"/>
        <s v="F70"/>
        <s v="F85"/>
        <s v="F86"/>
        <s v="F88"/>
        <s v="F89"/>
        <s v="F106"/>
        <s v="F107"/>
        <s v="F108"/>
        <s v="F109"/>
        <s v="F110"/>
        <s v="F122"/>
        <s v="F123"/>
        <s v="F124"/>
        <s v="F125"/>
        <s v="F126"/>
        <s v="F127"/>
        <s v="F137"/>
        <s v="F138"/>
        <m/>
      </sharedItems>
    </cacheField>
    <cacheField name="station" numFmtId="0">
      <sharedItems containsString="0" containsBlank="1" containsNumber="1" containsInteger="1">
        <n v="1.0"/>
        <n v="4.0"/>
        <n v="6.0"/>
        <n v="9.0"/>
        <n v="12.0"/>
        <n v="14.0"/>
        <n v="16.0"/>
        <n v="18.0"/>
        <m/>
      </sharedItems>
    </cacheField>
    <cacheField name="pickface">
      <sharedItems containsBlank="1" containsMixedTypes="1" containsNumber="1" containsInteger="1">
        <s v=""/>
        <n v="2.0"/>
        <n v="1.0"/>
        <n v="0.0"/>
        <m/>
      </sharedItems>
    </cacheField>
    <cacheField name="level" numFmtId="0">
      <sharedItems containsString="0" containsBlank="1" containsNumber="1" containsInteger="1">
        <n v="1.0"/>
        <n v="2.0"/>
        <m/>
      </sharedItems>
    </cacheField>
    <cacheField name="column" numFmtId="0">
      <sharedItems containsString="0" containsBlank="1" containsNumber="1" containsInteger="1">
        <n v="2.0"/>
        <n v="3.0"/>
        <n v="4.0"/>
        <n v="5.0"/>
        <n v="12.0"/>
        <n v="13.0"/>
        <n v="14.0"/>
        <n v="18.0"/>
        <n v="19.0"/>
        <n v="20.0"/>
        <n v="28.0"/>
        <n v="29.0"/>
        <n v="34.0"/>
        <n v="35.0"/>
        <n v="41.0"/>
        <n v="42.0"/>
        <n v="43.0"/>
        <n v="49.0"/>
        <n v="50.0"/>
        <n v="51.0"/>
        <n v="52.0"/>
        <n v="57.0"/>
        <m/>
      </sharedItems>
    </cacheField>
    <cacheField name="type" numFmtId="0">
      <sharedItems containsBlank="1">
        <s v="Packaging"/>
        <s v="Chilled"/>
        <m/>
      </sharedItems>
    </cacheField>
    <cacheField name="station_mapping" numFmtId="0">
      <sharedItems containsString="0" containsBlank="1" containsNumber="1" containsInteger="1">
        <n v="-2.0"/>
        <n v="1.0"/>
        <n v="3.0"/>
        <n v="6.0"/>
        <n v="9.0"/>
        <n v="11.0"/>
        <n v="13.0"/>
        <n v="15.0"/>
        <m/>
      </sharedItems>
    </cacheField>
    <cacheField name="demand_thursday" numFmtId="0">
      <sharedItems containsString="0" containsBlank="1" containsNumber="1" containsInteger="1">
        <n v="0.0"/>
        <n v="625.0"/>
        <n v="2382.0"/>
        <n v="685.0"/>
        <n v="718.0"/>
        <n v="2354.0"/>
        <n v="667.0"/>
        <n v="3769.0"/>
        <n v="36.0"/>
        <n v="1996.0"/>
        <n v="1383.0"/>
        <n v="73.0"/>
        <n v="1291.0"/>
        <n v="89.0"/>
        <n v="1844.0"/>
        <n v="260.0"/>
        <n v="126.0"/>
        <n v="709.0"/>
        <n v="2570.0"/>
        <n v="310.0"/>
        <n v="130.0"/>
        <m/>
      </sharedItems>
    </cacheField>
    <cacheField name="demand_friday" numFmtId="0">
      <sharedItems containsString="0" containsBlank="1" containsNumber="1" containsInteger="1">
        <n v="0.0"/>
        <m/>
      </sharedItems>
    </cacheField>
    <cacheField name="demand_saturday" numFmtId="0">
      <sharedItems containsString="0" containsBlank="1" containsNumber="1" containsInteger="1">
        <n v="0.0"/>
        <m/>
      </sharedItems>
    </cacheField>
    <cacheField name="DemandTotal">
      <sharedItems containsBlank="1" containsMixedTypes="1" containsNumber="1" containsInteger="1">
        <n v="0.0"/>
        <n v="625.0"/>
        <n v="2382.0"/>
        <n v="685.0"/>
        <n v="718.0"/>
        <n v="2354.0"/>
        <n v="667.0"/>
        <n v="3769.0"/>
        <n v="36.0"/>
        <n v="1996.0"/>
        <n v="1383.0"/>
        <s v=""/>
        <n v="73.0"/>
        <n v="1291.0"/>
        <n v="89.0"/>
        <n v="1844.0"/>
        <n v="260.0"/>
        <n v="126.0"/>
        <n v="709.0"/>
        <n v="2570.0"/>
        <n v="310.0"/>
        <n v="130.0"/>
        <m/>
      </sharedItems>
    </cacheField>
    <cacheField name="decvar0" numFmtId="0">
      <sharedItems containsString="0" containsBlank="1" containsNumber="1" containsInteger="1">
        <n v="1.0"/>
        <m/>
      </sharedItems>
    </cacheField>
    <cacheField name="decvar_z_lower" numFmtId="0">
      <sharedItems containsString="0" containsBlank="1" containsNumber="1" containsInteger="1">
        <n v="0.0"/>
        <n v="130.0"/>
        <m/>
      </sharedItems>
    </cacheField>
    <cacheField name="decvar_z_upper" numFmtId="0">
      <sharedItems containsString="0" containsBlank="1" containsNumber="1" containsInteger="1">
        <n v="0.0"/>
        <n v="3769.0"/>
        <m/>
      </sharedItems>
    </cacheField>
    <cacheField name="separate_constraint_new" numFmtId="0">
      <sharedItems containsBlank="1">
        <s v=""/>
        <s v="Laks"/>
        <s v="Grillet"/>
        <s v="Svinemørbrad"/>
        <m/>
      </sharedItems>
    </cacheField>
    <cacheField name="pickface_coordinate" numFmtId="0">
      <sharedItems containsBlank="1">
        <s v="2-1"/>
        <s v="3-1"/>
        <s v="4-1"/>
        <s v="5-1"/>
        <s v="12-2"/>
        <s v="13-2"/>
        <s v="14-1"/>
        <s v="14-2"/>
        <s v="18-1"/>
        <s v="18-2"/>
        <s v="19-1"/>
        <s v="19-2"/>
        <s v="20-2"/>
        <s v="28-2"/>
        <s v="29-1"/>
        <s v="34-1"/>
        <s v="34-2"/>
        <s v="35-1"/>
        <s v="35-2"/>
        <s v="41-2"/>
        <s v="42-1"/>
        <s v="42-2"/>
        <s v="43-1"/>
        <s v="43-2"/>
        <s v="49-2"/>
        <s v="50-1"/>
        <s v="50-2"/>
        <s v="51-1"/>
        <s v="51-2"/>
        <s v="52-1"/>
        <s v="57-1"/>
        <s v="57-2"/>
        <m/>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00" sheet="Output_HALO"/>
  </cacheSource>
  <cacheFields>
    <cacheField name="market" numFmtId="0">
      <sharedItems containsBlank="1">
        <s v="DACH"/>
        <s v="NORDICS"/>
        <m/>
      </sharedItems>
    </cacheField>
    <cacheField name="name" numFmtId="0">
      <sharedItems containsBlank="1">
        <s v="Factor Box Large"/>
        <s v="L"/>
        <s v="Factor Box Medium"/>
        <s v="M"/>
        <s v="S"/>
        <s v="Factor Box Small"/>
        <s v="XS"/>
        <s v="Factor Liner Small1"/>
        <s v="Factor Liner Large1"/>
        <s v="Factor Liner Medium1"/>
        <s v="Factor Liner Small2"/>
        <s v="Factor Liner Large2"/>
        <s v="Factor Liner Medium2"/>
        <s v="565221 - Laksebowl med citrus-miso"/>
        <s v="565178 - Vestfrikansk-inspireret peanut-kyllingecurry"/>
        <s v="621 - "/>
        <s v="565091 - Krydret hakket oksekød med jalapenos"/>
        <s v="565064 - Laks i senneps-dild sauce"/>
        <s v="565211 - Grillet kylling med ingefær og hvidløg"/>
        <s v="565164 - Kylling i Emmental-fondue med karamelliseret løg"/>
        <s v="565309 - Braiseret oksekød i urtesky"/>
        <s v="565095 - Svinemørbrad i ancho- og chilisauce"/>
        <s v="565064 - Lachs in Senf-Dill-Sauce"/>
        <s v="565095 - Schweinefilet in würziger Ancho-Chili-Sauce"/>
        <s v=""/>
        <s v="565252 - Rinderragù mit sonnengetrockneten Tomaten und Pasta"/>
        <s v="565091 - Scharfes Rinderhack mit Jalapeños"/>
        <s v="565043 - Würziges Hähnchen mit Jalapeño, Limette und Cheddar"/>
        <s v="565072 - Grillet kylling med ratatouille"/>
        <s v="620 - "/>
        <s v="565211 - Gegrilltes Hähnchen in Ingwer-Knoblauch-Marinade"/>
        <s v="706 - Grillet kylling med hvidlød og urter"/>
        <s v="205 - FACTOR_ Ginger Lemon Apple Wellness Shot"/>
        <s v="565130 - Chilikryddet pulled pork"/>
        <s v="565309 - Geschmortes Rind in Kräuterjus"/>
        <s v="565196 - Laks med aji verde"/>
        <s v="220 - Free4Life_ Ginger Lemon Apple Wellness Shot_Single"/>
        <s v="565164 - Hähnchen mit karamellisierten Zwiebeln &amp; Emmentaler-Fondue"/>
        <s v="565189 - Lachs Piccata"/>
        <s v="565072 - Gegrilltes Hähnchen mit Ratatouille"/>
        <s v="IcePack2"/>
        <s v="565119 - Gegrilltes Hähnchen mit Knoblauch-Kräutern"/>
        <s v="709 - FACTOR_ Spirulina Ginger Lime Ginger Shot"/>
        <s v="565143 - Schweinefilet in cremiger Knoblauch-Senf-Sauce"/>
        <s v="565043 - Spicy kylling med jalapeño, lime og cheddar"/>
        <s v="710 - FACTOR_ Turmeric Cayenne Pineapple Ginger Shot"/>
        <s v="565178 - Westafrikanisches Hähnchen-Erdnuss-Curry"/>
        <s v="565252 - Pasta med oksekødsragù og soltørrede tomater"/>
        <s v="209 - FACTOR_ Spirulina Ginger Lime Ginger Shot"/>
        <s v="565141 - Squash- og peberfrugtsratatouille"/>
        <s v="221 - Free4Life_ Spirulina Ginger Lime Ginger Shot_Single"/>
        <s v="210 - FACTOR_ Turmeric Cayenne Pineapple Ginger Shot"/>
        <s v="705 - FACTOR_ Ginger Lemon Apple Wellness Shot"/>
        <s v="565130 - Pulled Pork mit roter Chilisauce"/>
        <s v="565143 - Svinemørbrad i cremet hvidløgs- og sennepssauce"/>
        <s v="222 - Free4Life_ Turmeric Cayenne Pineapple Ginger Shot_Single"/>
        <s v="FA-Nordics Welcome Booklet"/>
        <s v="565196 - Ají Verde Lachs"/>
        <s v="565209 - Chilensk inspireret kylling med salsa-quinoa"/>
        <s v="565141 - Zucchini-Paprika-Ratatouille"/>
        <s v="565244 - Cremet tomatrisotto"/>
        <s v="IcePack3"/>
        <s v="565189 - Laks Piccata "/>
        <s v="565221 - Lachs-Bowl mit Zitrus-Miso"/>
        <s v="565209 - Grünes Chili-Hähnchen mit Quinoa-Salsa"/>
        <s v="565244 - Cremiges Tomaten-Risotto"/>
        <s v="FA-DE Fourth Box - Hydroflask"/>
        <s v="FA-DE Fourth Box - Flyer"/>
        <s v="FA-DE Third Box - Flyer"/>
        <s v="IcePack1"/>
        <s v="FA-DE Third Box - Socks"/>
        <s v="FA-DE Freebies"/>
        <s v="FA-DE Second Box - Tote Bag"/>
        <s v="FA-DE Second Box - Flyer"/>
        <s v="FA-DE First Box - Flyer about program"/>
        <s v="FA-DE Welcome Booklet"/>
        <m/>
      </sharedItems>
    </cacheField>
    <cacheField name="line" numFmtId="0">
      <sharedItems containsBlank="1">
        <s v="ASL1"/>
        <s v="ASL2"/>
        <m/>
      </sharedItems>
    </cacheField>
    <cacheField name="pickface_name" numFmtId="0">
      <sharedItems containsBlank="1">
        <s v="F02"/>
        <s v="F03"/>
        <s v="F04"/>
        <s v="F05"/>
        <s v="F06"/>
        <s v="F07"/>
        <s v="F08"/>
        <s v="F10"/>
        <s v="F11"/>
        <s v="F12"/>
        <s v="F20"/>
        <s v="F23"/>
        <s v="F25"/>
        <s v="F26"/>
        <s v="F37"/>
        <s v="F38"/>
        <s v="F40"/>
        <s v="F41"/>
        <s v="F44"/>
        <s v="F55"/>
        <s v="F56"/>
        <s v="F58"/>
        <s v="F59"/>
        <s v="F62"/>
        <s v="F65"/>
        <s v="F68"/>
        <s v="F70"/>
        <s v="F85"/>
        <s v="F86"/>
        <s v="F88"/>
        <s v="F89"/>
        <s v="F92"/>
        <s v="F96"/>
        <s v="F97"/>
        <s v="F105"/>
        <s v="F106"/>
        <s v="F107"/>
        <s v="F108"/>
        <s v="F109"/>
        <s v="F110"/>
        <s v="F112"/>
        <s v="F122"/>
        <s v="F123"/>
        <s v="F124"/>
        <s v="F125"/>
        <s v="F126"/>
        <s v="F127"/>
        <s v="F131"/>
        <s v="F133"/>
        <s v="F134"/>
        <s v="F135"/>
        <s v="F136"/>
        <s v="F137"/>
        <s v="F138"/>
        <s v="F139"/>
        <s v="F140"/>
        <s v="F141"/>
        <s v="F142"/>
        <s v="F143"/>
        <s v="F144"/>
        <m/>
      </sharedItems>
    </cacheField>
    <cacheField name="station" numFmtId="0">
      <sharedItems containsString="0" containsBlank="1" containsNumber="1" containsInteger="1">
        <n v="1.0"/>
        <n v="2.0"/>
        <n v="4.0"/>
        <n v="6.0"/>
        <n v="8.0"/>
        <n v="9.0"/>
        <n v="12.0"/>
        <n v="13.0"/>
        <n v="14.0"/>
        <n v="16.0"/>
        <n v="17.0"/>
        <n v="18.0"/>
        <m/>
      </sharedItems>
    </cacheField>
    <cacheField name="pickface">
      <sharedItems containsBlank="1" containsMixedTypes="1" containsNumber="1" containsInteger="1">
        <s v=""/>
        <n v="2.0"/>
        <n v="1.0"/>
        <n v="0.0"/>
        <m/>
      </sharedItems>
    </cacheField>
    <cacheField name="level" numFmtId="0">
      <sharedItems containsString="0" containsBlank="1" containsNumber="1" containsInteger="1">
        <n v="1.0"/>
        <n v="2.0"/>
        <n v="3.0"/>
        <m/>
      </sharedItems>
    </cacheField>
    <cacheField name="column" numFmtId="0">
      <sharedItems containsString="0" containsBlank="1" containsNumber="1" containsInteger="1">
        <n v="2.0"/>
        <n v="3.0"/>
        <n v="4.0"/>
        <n v="5.0"/>
        <n v="6.0"/>
        <n v="7.0"/>
        <n v="8.0"/>
        <n v="9.0"/>
        <n v="12.0"/>
        <n v="13.0"/>
        <n v="14.0"/>
        <n v="18.0"/>
        <n v="19.0"/>
        <n v="20.0"/>
        <n v="24.0"/>
        <n v="25.0"/>
        <n v="26.0"/>
        <n v="27.0"/>
        <n v="28.0"/>
        <n v="29.0"/>
        <n v="34.0"/>
        <n v="35.0"/>
        <n v="36.0"/>
        <n v="37.0"/>
        <n v="38.0"/>
        <n v="41.0"/>
        <n v="42.0"/>
        <n v="43.0"/>
        <n v="44.0"/>
        <n v="49.0"/>
        <n v="50.0"/>
        <n v="51.0"/>
        <n v="52.0"/>
        <n v="54.0"/>
        <n v="55.0"/>
        <n v="56.0"/>
        <n v="57.0"/>
        <n v="58.0"/>
        <n v="59.0"/>
        <n v="60.0"/>
        <m/>
      </sharedItems>
    </cacheField>
    <cacheField name="type" numFmtId="0">
      <sharedItems containsBlank="1">
        <s v="Packaging"/>
        <s v="Chilled"/>
        <m/>
      </sharedItems>
    </cacheField>
    <cacheField name="station_mapping" numFmtId="0">
      <sharedItems containsString="0" containsBlank="1" containsNumber="1" containsInteger="1">
        <n v="-2.0"/>
        <n v="-1.0"/>
        <n v="1.0"/>
        <n v="3.0"/>
        <n v="5.0"/>
        <n v="6.0"/>
        <n v="9.0"/>
        <n v="10.0"/>
        <n v="11.0"/>
        <n v="13.0"/>
        <n v="14.0"/>
        <n v="15.0"/>
        <m/>
      </sharedItems>
    </cacheField>
    <cacheField name="demand_thursday">
      <sharedItems containsBlank="1" containsMixedTypes="1" containsNumber="1" containsInteger="1">
        <n v="0.0"/>
        <n v="625.0"/>
        <n v="2382.0"/>
        <n v="685.0"/>
        <n v="718.0"/>
        <n v="2354.0"/>
        <n v="667.0"/>
        <n v="504.0"/>
        <n v="1733.0"/>
        <n v="678.0"/>
        <n v="1246.0"/>
        <n v="3769.0"/>
        <n v="670.0"/>
        <n v="36.0"/>
        <n v="48.0"/>
        <n v="1996.0"/>
        <n v="2052.0"/>
        <n v="1383.0"/>
        <n v="2993.0"/>
        <s v=""/>
        <n v="73.0"/>
        <n v="598.0"/>
        <n v="1291.0"/>
        <n v="89.0"/>
        <n v="2180.0"/>
        <n v="1844.0"/>
        <n v="56.0"/>
        <n v="260.0"/>
        <n v="126.0"/>
        <n v="1276.0"/>
        <n v="709.0"/>
        <n v="1282.0"/>
        <n v="2570.0"/>
        <n v="293.0"/>
        <n v="310.0"/>
        <n v="55.0"/>
        <n v="773.0"/>
        <n v="1863.0"/>
        <n v="326.0"/>
        <n v="130.0"/>
        <m/>
      </sharedItems>
    </cacheField>
    <cacheField name="demand_friday">
      <sharedItems containsBlank="1" containsMixedTypes="1" containsNumber="1" containsInteger="1">
        <n v="0.0"/>
        <s v=""/>
        <m/>
      </sharedItems>
    </cacheField>
    <cacheField name="demand_saturday">
      <sharedItems containsBlank="1" containsMixedTypes="1" containsNumber="1" containsInteger="1">
        <n v="0.0"/>
        <s v=""/>
        <m/>
      </sharedItems>
    </cacheField>
    <cacheField name="DemandTotal">
      <sharedItems containsBlank="1" containsMixedTypes="1" containsNumber="1" containsInteger="1">
        <n v="0.0"/>
        <n v="625.0"/>
        <n v="2382.0"/>
        <n v="685.0"/>
        <n v="718.0"/>
        <n v="2354.0"/>
        <n v="667.0"/>
        <n v="504.0"/>
        <s v=""/>
        <n v="1733.0"/>
        <n v="678.0"/>
        <n v="1246.0"/>
        <n v="3769.0"/>
        <n v="670.0"/>
        <n v="36.0"/>
        <n v="48.0"/>
        <n v="1996.0"/>
        <n v="2052.0"/>
        <n v="1383.0"/>
        <n v="2993.0"/>
        <n v="73.0"/>
        <n v="598.0"/>
        <n v="1291.0"/>
        <n v="89.0"/>
        <n v="2180.0"/>
        <n v="1844.0"/>
        <n v="56.0"/>
        <n v="260.0"/>
        <n v="126.0"/>
        <n v="1276.0"/>
        <n v="709.0"/>
        <n v="1282.0"/>
        <n v="2570.0"/>
        <n v="293.0"/>
        <n v="310.0"/>
        <n v="55.0"/>
        <n v="773.0"/>
        <n v="1863.0"/>
        <n v="326.0"/>
        <n v="130.0"/>
        <m/>
      </sharedItems>
    </cacheField>
    <cacheField name="decvar0" numFmtId="0">
      <sharedItems containsString="0" containsBlank="1" containsNumber="1" containsInteger="1">
        <n v="1.0"/>
        <m/>
      </sharedItems>
    </cacheField>
    <cacheField name="decvar_z_lower" numFmtId="0">
      <sharedItems containsString="0" containsBlank="1" containsNumber="1" containsInteger="1">
        <n v="0.0"/>
        <n v="130.0"/>
        <n v="55.0"/>
        <m/>
      </sharedItems>
    </cacheField>
    <cacheField name="decvar_z_upper" numFmtId="0">
      <sharedItems containsString="0" containsBlank="1" containsNumber="1" containsInteger="1">
        <n v="0.0"/>
        <n v="3769.0"/>
        <n v="2993.0"/>
        <m/>
      </sharedItems>
    </cacheField>
    <cacheField name="separate_constraint_new" numFmtId="0">
      <sharedItems containsBlank="1">
        <s v=""/>
        <s v="Laks"/>
        <s v="Grillet"/>
        <s v="Svinemørbrad"/>
        <s v="Lachs"/>
        <s v="Schwein"/>
        <s v="Gegrillt"/>
        <s v="Cremiges"/>
        <m/>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455" sheet="exportP2L_oldFormatForCheck_Sep"/>
  </cacheSource>
  <cacheFields>
    <cacheField name="Recipe" numFmtId="0">
      <sharedItems>
        <s v="Box-S"/>
        <s v="Box-M"/>
        <s v="Box-L"/>
        <s v="Box-XL"/>
        <s v="Box-XS"/>
        <s v="paper_pouch-32-L"/>
        <s v="paper_pouch-32-S"/>
        <s v="paper_pouch-32-M"/>
        <s v="703_1"/>
        <s v="703_2"/>
        <s v="703_3"/>
        <s v="703_4"/>
        <s v="703_5"/>
        <s v="703_6"/>
        <s v="703_7"/>
        <s v="703_8"/>
        <s v="703_9"/>
        <s v="703_10"/>
        <s v="703r_2p"/>
        <s v="703r_3p"/>
        <s v="703r_4p"/>
        <s v="301_1"/>
        <s v="301_2"/>
        <s v="301_3"/>
        <s v="301_4"/>
        <s v="301_5"/>
        <s v="301_6"/>
        <s v="301_7"/>
        <s v="301_8"/>
        <s v="301_9"/>
        <s v="301_10"/>
        <s v="301r_2p"/>
        <s v="301r_3p"/>
        <s v="301r_4p"/>
        <s v="701_1"/>
        <s v="701_2"/>
        <s v="701_3"/>
        <s v="701_4"/>
        <s v="701_5"/>
        <s v="701_6"/>
        <s v="701_7"/>
        <s v="701_8"/>
        <s v="701_9"/>
        <s v="701_10"/>
        <s v="701r_2p"/>
        <s v="701r_3p"/>
        <s v="701r_4p"/>
        <s v="702_1"/>
        <s v="702_2"/>
        <s v="702_3"/>
        <s v="702_4"/>
        <s v="702_5"/>
        <s v="702_6"/>
        <s v="702_7"/>
        <s v="702_8"/>
        <s v="702_9"/>
        <s v="702_10"/>
        <s v="702r_2p"/>
        <s v="702r_3p"/>
        <s v="702r_4p"/>
        <s v="303_1"/>
        <s v="303_2"/>
        <s v="303_3"/>
        <s v="303_4"/>
        <s v="303_5"/>
        <s v="303_6"/>
        <s v="303_7"/>
        <s v="303_8"/>
        <s v="303_9"/>
        <s v="303_10"/>
        <s v="303r_2p"/>
        <s v="303r_3p"/>
        <s v="303r_4p"/>
        <s v="401_1"/>
        <s v="401_2"/>
        <s v="401_3"/>
        <s v="401_4"/>
        <s v="401_5"/>
        <s v="401_6"/>
        <s v="401_7"/>
        <s v="401_8"/>
        <s v="401_9"/>
        <s v="401_10"/>
        <s v="401r_2p"/>
        <s v="401r_3p"/>
        <s v="401r_4p"/>
        <s v="1r_2p"/>
        <s v="1r_3p"/>
        <s v="1r_4p"/>
        <s v="2r_2p"/>
        <s v="2r_3p"/>
        <s v="2r_4p"/>
        <s v="3r_2p"/>
        <s v="3r_3p"/>
        <s v="3r_4p"/>
        <s v="4r_2p"/>
        <s v="4r_3p"/>
        <s v="4r_4p"/>
        <s v="5r_2p"/>
        <s v="5r_3p"/>
        <s v="5r_4p"/>
        <s v="6r_2p"/>
        <s v="6r_3p"/>
        <s v="6r_4p"/>
        <s v="7r_2p"/>
        <s v="7r_3p"/>
        <s v="7r_4p"/>
        <s v="8r_2p"/>
        <s v="8r_3p"/>
        <s v="8r_4p"/>
        <s v="9r_2p"/>
        <s v="9r_3p"/>
        <s v="9r_4p"/>
        <s v="10r_2p"/>
        <s v="10r_3p"/>
        <s v="10r_4p"/>
        <s v="11r_2p"/>
        <s v="11r_3p"/>
        <s v="11r_4p"/>
        <s v="12r_2p"/>
        <s v="12r_3p"/>
        <s v="12r_4p"/>
        <s v="13r_2p"/>
        <s v="13r_3p"/>
        <s v="13r_4p"/>
        <s v="14r_2p"/>
        <s v="14r_3p"/>
        <s v="14r_4p"/>
        <s v="15r_2p"/>
        <s v="15r_3p"/>
        <s v="15r_4p"/>
        <s v="16r_2p"/>
        <s v="16r_3p"/>
        <s v="16r_4p"/>
        <s v="17r_2p"/>
        <s v="17r_3p"/>
        <s v="17r_4p"/>
        <s v="18r_2p"/>
        <s v="18r_3p"/>
        <s v="18r_4p"/>
        <s v="19r_2p"/>
        <s v="19r_3p"/>
        <s v="19r_4p"/>
        <s v="20r_2p"/>
        <s v="20r_3p"/>
        <s v="20r_4p"/>
        <s v="21r_2p"/>
        <s v="21r_3p"/>
        <s v="21r_4p"/>
        <s v="22r_2p"/>
        <s v="22r_3p"/>
        <s v="22r_4p"/>
        <s v="23r_2p"/>
        <s v="23r_3p"/>
        <s v="23r_4p"/>
        <s v="24r_2p"/>
        <s v="24r_3p"/>
        <s v="24r_4p"/>
        <s v="25r_2p"/>
        <s v="25r_3p"/>
        <s v="25r_4p"/>
        <s v="26r_2p"/>
        <s v="26r_3p"/>
        <s v="26r_4p"/>
        <s v="27r_2p"/>
        <s v="27r_3p"/>
        <s v="27r_4p"/>
        <s v="28r_2p"/>
        <s v="28r_3p"/>
        <s v="28r_4p"/>
        <s v="29r_2p"/>
        <s v="29r_3p"/>
        <s v="29r_4p"/>
        <s v="30r_2p"/>
        <s v="30r_3p"/>
        <s v="30r_4p"/>
        <s v="31r_2p"/>
        <s v="31r_3p"/>
        <s v="31r_4p"/>
        <s v="32r_2p"/>
        <s v="32r_3p"/>
        <s v="32r_4p"/>
        <s v="33r_2p"/>
        <s v="33r_3p"/>
        <s v="33r_4p"/>
        <s v="34r_2p"/>
        <s v="34r_3p"/>
        <s v="34r_4p"/>
        <s v="35r_2p"/>
        <s v="35r_3p"/>
        <s v="35r_4p"/>
        <s v="36r_2p"/>
        <s v="36r_3p"/>
        <s v="36r_4p"/>
      </sharedItems>
    </cacheField>
    <cacheField name="Ingredient" numFmtId="0">
      <sharedItems>
        <s v="Box-S"/>
        <s v="Box-M"/>
        <s v="Box-L"/>
        <s v="Box-XL"/>
        <s v="Box-XS"/>
        <s v="paper_pouch-32-L"/>
        <s v="paper_pouch-32-S"/>
        <s v="paper_pouch-32-M"/>
        <s v="703_MK"/>
        <s v="301_MK"/>
        <s v="701_MK"/>
        <s v="702_MK"/>
        <s v="303_MK"/>
        <s v="401_MK"/>
        <s v="1_MK"/>
        <s v="2_MK"/>
        <s v="3_MK"/>
        <s v="4_MK"/>
        <s v="5_MK"/>
        <s v="6_MK"/>
        <s v="7_MK"/>
        <s v="8_MK"/>
        <s v="9_MK"/>
        <s v="10_MK"/>
        <s v="11_MK"/>
        <s v="12_MK"/>
        <s v="13_MK"/>
        <s v="14_MK"/>
        <s v="15_MK"/>
        <s v="16_MK"/>
        <s v="17_MK"/>
        <s v="18_MK"/>
        <s v="19_MK"/>
        <s v="20_MK"/>
        <s v="21_MK"/>
        <s v="22_MK"/>
        <s v="23_MK"/>
        <s v="24_MK"/>
        <s v="25_MK"/>
        <s v="26_MK"/>
        <s v="27_MK"/>
        <s v="28_MK"/>
        <s v="29_MK"/>
        <s v="30_MK"/>
        <s v="31_MK"/>
        <s v="32_MK"/>
        <s v="33_MK"/>
        <s v="34_MK"/>
        <s v="35_MK"/>
        <s v="36_MK"/>
        <s v="HaehnchenbrustfiletinLakegStueck-QS_0"/>
        <s v="Naturjoghurtmind.%FettBiog_0"/>
        <s v="Naturjoghurtmind.%FettBiog_1"/>
        <s v="Hartkaeseital.Artgeriebeng__1"/>
        <s v="Hartkaeseital.Artgeriebeng__0"/>
        <s v="Buttermilch-ZitronenDressingml_0"/>
        <s v="Haehnchengeschnetzeltesmariniertg-QS_0"/>
        <s v="BaconScheibengScheiben-QS_0"/>
        <s v="Dinkelvorgekochtg-(V)_0"/>
        <s v="Hirtenkaeseg%Fett_1"/>
        <s v="Hirtenkaeseg%Fett_0"/>
        <s v="RinderhueftsteakgStueck-QS_0"/>
        <s v="JungerGoudageriebeng_0"/>
        <s v="GemischtesHackfleischg-QS_0"/>
        <s v="FrischerFlammkuchenTeigg-(V)_0"/>
        <s v="MozzarellaVeggieg_0"/>
        <s v="SaureSahneBiog_0"/>
        <s v="BueffelmozzarellaD.O.P.g__0"/>
        <s v="Frischecremeg_0"/>
        <s v="WuerzigerGoudageriebeng_1"/>
        <s v="WuerzigerGoudageriebeng_0"/>
        <s v="Cremefraicheg_0"/>
        <s v="GrillkaeseZypriotischerArtg_0"/>
        <s v="Naturjoghurtmind.%FettBiog_2"/>
        <s v="SeehechtgStueck_0"/>
        <s v="Sahnejoghurtmildg_0"/>
        <s v="VeganescremigesSojaproduktg_0"/>
        <s v="HaehncheninnenbrustfiletinLakeg_0"/>
        <s v="FrischeLinguinig-(V)_0"/>
        <s v="Hartkaeseital.Artgeraspeltg__0"/>
        <s v="Hartkaeseital.Artgeraspeltg__1"/>
        <s v="GarnelenohneSchaleg_0"/>
        <s v="Lachsfiletxgg_0"/>
        <s v="Butterg_1"/>
        <s v="SchweinefiletgStueck-QS_0"/>
        <s v="HaehnchenunterschenkelinPaprikamarinadegStueck-QS_0"/>
        <s v="Rinderhackfleischg-QS_0"/>
        <s v="Prosciuttog_0"/>
        <s v="Paccherifrischg-(V)_0"/>
        <s v="PlantedveganeFiletstueckenHaehnchen-ArtKraeuter-Zitroneg_0"/>
        <s v="Eierspaetzlefrisch(%)g_0"/>
        <s v="BaconStreifeng-QS_0"/>
        <s v="Wirsinggeschnitteng_0"/>
        <s v="Gnocchifrischvorgekochtg-(V)_0"/>
        <s v="Kraeuterbutterg_0"/>
        <s v="ThueringerRostbratwurstgStueck--QS_0"/>
        <s v="Kartoffel-Schupfnudelng-(V)_0"/>
        <s v="HaehnchenbrustfiletStueckg-QS_0"/>
        <s v="JungerGoudageriebeng_1"/>
      </sharedItems>
    </cacheField>
    <cacheField name="SKU" numFmtId="0">
      <sharedItems>
        <s v="Box-S"/>
        <s v="Box-M"/>
        <s v="Box-L"/>
        <s v="Box-XL"/>
        <s v="Box-XS"/>
        <s v="paper_pouch-32-L"/>
        <s v="paper_pouch-32-S"/>
        <s v="paper_pouch-32-M"/>
        <s v="Addon Mealkit"/>
        <s v="Mealkit"/>
        <s v="PTN-11-101341-2"/>
        <s v="PTN-11-101342-2"/>
        <s v="DAI-11-116266-3"/>
        <s v="DAI-11-116265-3"/>
        <s v="DAI-00-10141-2"/>
        <s v="DAI-00-50213-2"/>
        <s v="PRO-00-90579-2"/>
        <s v="PTN-11-50463-2"/>
        <s v="PTN-11-50464-2"/>
        <s v="PTN-11-90558-2"/>
        <s v="PTN-11-90559-2"/>
        <s v="DRY-00-50447-2"/>
        <s v="DRY-00-50448-2"/>
        <s v="DRY-00-50449-2"/>
        <s v="DAI-00-115401-3"/>
        <s v="DAI-00-115403-3"/>
        <s v="DAI-00-115402-3"/>
        <s v="PTN-11-90502-2"/>
        <s v="PTN-11-90503-2"/>
        <s v="DAI-11-120510-3"/>
        <s v="DAI-11-120511-3"/>
        <s v="PTN-11-117378-2"/>
        <s v="PTN-11-117377-2"/>
        <s v="PTN-11-117379-2"/>
        <s v="BAK-00-102699-3"/>
        <s v="DAI-11-10039-2"/>
        <s v="DAI-11-116335-3"/>
        <s v="DAI-00-50291-2"/>
        <s v="DAI-00-119635-3"/>
        <s v="DAI-00-119636-3"/>
        <s v="DAI-00-119637-3"/>
        <s v="DAI-11-120514-3"/>
        <s v="DAI-11-120515-3"/>
        <s v="DAI-11-115404-3"/>
        <s v="DAI-00-115523-3"/>
        <s v="DAI-11-116264-3"/>
        <s v="PTN-11-50092-2"/>
        <s v="PTN-11-50081-2"/>
        <s v="DAI-11-13079-2"/>
        <s v="DAI-11-13080-2"/>
        <s v="DAI-00-100365-3"/>
        <s v="PTN-11-119517-2"/>
        <s v="PTN-11-119516-2"/>
        <s v="PTN-11-119515-2"/>
        <s v="DRY-00-50074-2"/>
        <s v="DRY-00-50075-2"/>
        <s v="DAI-00-50214-2"/>
        <s v="DAI-00-50215-2"/>
        <s v="PTN-11-003429-2"/>
        <s v="PTN-11-11323-2"/>
        <s v="PTN-11-11324-2"/>
        <s v="PTN-11-100591-2"/>
        <s v="PTN-11-115697-2"/>
        <s v="DAI-11-13075-2"/>
        <s v="PTN-11-50382-2"/>
        <s v="PTN-11-50431-2"/>
        <s v="PTN-11-50193-2"/>
        <s v="PTN-11-002893-2"/>
        <s v="PTN-11-002895-2"/>
        <s v="PTN-11-002894-2"/>
        <s v="PTN-11-10144-2"/>
        <s v="PTN-11-10145-2"/>
        <s v="PTN-11-10146-2"/>
        <s v="PTN-11-121079-2"/>
        <s v="PTN-11-121078-2"/>
        <s v="DRY-00-50103-2"/>
        <s v="DRY-00-50104-2"/>
        <s v="PTN-11-120370-3"/>
        <s v="PTN-11-120371-1"/>
        <s v="DRY-00-116334-3"/>
        <s v="DRY-00-116333-3"/>
        <s v="DRY-00-116332-3"/>
        <s v="PTN-11-90560-2"/>
        <s v="PTN-11-10001-2"/>
        <s v="PHF-11-90513-2"/>
        <s v="PHF-11-90514-2"/>
        <s v="PHF-11-90515-2"/>
        <s v="DRY-00-10072-3"/>
        <s v="DRY-00-10472-3"/>
        <s v="DRY-00-10074-3"/>
        <s v="DAI-00-004414-2"/>
        <s v="PTN-11-90545-2"/>
        <s v="PTN-11-90546-2"/>
        <s v="PTN-11-90566-2"/>
        <s v="DRY-00-50136-2"/>
        <s v="DRY-00-50137-2"/>
        <s v="DRY-00-50138-2"/>
        <s v="PTN-11-11336-2"/>
        <s v="DAI-11-120512-3"/>
      </sharedItems>
    </cacheField>
    <cacheField name="Line" numFmtId="0">
      <sharedItems>
        <s v="ASL1"/>
      </sharedItems>
    </cacheField>
    <cacheField name="FlowRackPosition" numFmtId="0">
      <sharedItems>
        <s v="F11"/>
        <s v="F08"/>
        <s v="F09"/>
        <s v="F01"/>
        <s v="F03"/>
        <s v="F04"/>
        <s v="F113"/>
        <s v="F118"/>
        <s v="F114"/>
        <s v="F119"/>
        <s v="F122"/>
        <s v="F120"/>
        <s v="F141"/>
        <s v="F103"/>
        <s v="F144"/>
        <s v="F121"/>
        <s v="F133"/>
        <s v="F107"/>
        <s v="F142"/>
        <s v="F143"/>
        <s v="F101"/>
        <s v="F116"/>
        <s v="F137"/>
        <s v="F109"/>
        <s v="F92"/>
        <s v="F100"/>
        <s v="F127"/>
        <s v="F105"/>
        <s v="F94"/>
        <s v="F126"/>
        <s v="F134"/>
        <s v="F138"/>
        <s v="F128"/>
        <s v="F140"/>
        <s v="F97"/>
        <s v="F112"/>
        <s v="F106"/>
        <s v="F123"/>
        <s v="F139"/>
        <s v="F98"/>
        <s v="F111"/>
        <s v="F110"/>
        <s v="F104"/>
        <s v="F124"/>
        <s v="F95"/>
        <s v="F108"/>
        <s v="F136"/>
        <s v="F135"/>
        <s v="F32"/>
        <s v="F26"/>
        <s v="F71"/>
        <s v="F42"/>
        <s v="F36"/>
        <s v="F63"/>
        <s v="F73"/>
        <s v="F67"/>
        <s v="F28"/>
        <s v="F47"/>
        <s v="F65"/>
        <s v="F14"/>
        <s v="F33"/>
        <s v="F62"/>
        <s v="F53"/>
        <s v="F59"/>
        <s v="F31"/>
        <s v="F35"/>
        <s v="F60"/>
        <s v="F76"/>
        <s v="F22"/>
        <s v="F56"/>
        <s v="F52"/>
        <s v="F78"/>
        <s v="F74"/>
        <s v="F20"/>
        <s v="F44"/>
        <s v="F58"/>
        <s v="F19"/>
        <s v="F30"/>
        <s v="F16"/>
        <s v="F55"/>
        <s v="F38"/>
        <s v="F27"/>
        <s v="F13"/>
        <s v="F49"/>
        <s v="F23"/>
        <s v="F57"/>
        <s v="F25"/>
        <s v="F43"/>
        <s v="F34"/>
        <s v="F61"/>
        <s v="F24"/>
        <s v="F29"/>
        <s v="F75"/>
        <s v="F70"/>
        <s v="F40"/>
        <s v="F64"/>
        <s v="F69"/>
      </sharedItems>
    </cacheField>
    <cacheField name="Quantity" numFmtId="0">
      <sharedItems containsSemiMixedTypes="0" containsString="0" containsNumber="1" containsInteger="1">
        <n v="1.0"/>
        <n v="2.0"/>
        <n v="3.0"/>
        <n v="4.0"/>
        <n v="5.0"/>
        <n v="6.0"/>
        <n v="7.0"/>
        <n v="8.0"/>
        <n v="9.0"/>
        <n v="10.0"/>
        <n v="12.0"/>
        <n v="14.0"/>
        <n v="16.0"/>
        <n v="18.0"/>
        <n v="20.0"/>
      </sharedItems>
    </cacheField>
    <cacheField name="ScanRegEx" numFmtId="0">
      <sharedItems>
        <s v=""/>
        <s v="^703.*"/>
        <s v="^703r.*"/>
        <s v="^301.*"/>
        <s v="^301r.*"/>
        <s v="^701.*"/>
        <s v="^701r.*"/>
        <s v="^702.*"/>
        <s v="^702r.*"/>
        <s v="^303.*"/>
        <s v="^303r.*"/>
        <s v="^401.*"/>
        <s v="^401r.*"/>
        <s v="^1r.*"/>
        <s v="^2r.*"/>
        <s v="^3r.*"/>
        <s v="^4r.*"/>
        <s v="^5r.*"/>
        <s v="^6r.*"/>
        <s v="^7r.*"/>
        <s v="^8r.*"/>
        <s v="^9r.*"/>
        <s v="^10r.*"/>
        <s v="^11r.*"/>
        <s v="^12r.*"/>
        <s v="^13r.*"/>
        <s v="^14r.*"/>
        <s v="^15r.*"/>
        <s v="^16r.*"/>
        <s v="^17r.*"/>
        <s v="^18r.*"/>
        <s v="^19r.*"/>
        <s v="^20r.*"/>
        <s v="^21r.*"/>
        <s v="^22r.*"/>
        <s v="^23r.*"/>
        <s v="^24r.*"/>
        <s v="^25r.*"/>
        <s v="^26r.*"/>
        <s v="^27r.*"/>
        <s v="^28r.*"/>
        <s v="^29r.*"/>
        <s v="^30r.*"/>
        <s v="^31r.*"/>
        <s v="^32r.*"/>
        <s v="^33r.*"/>
        <s v="^34r.*"/>
        <s v="^35r.*"/>
        <s v="^36r.*"/>
      </sharedItems>
    </cacheField>
    <cacheField name="StorageConditions" numFmtId="0">
      <sharedItems>
        <s v="Packaging"/>
        <s v="Kits"/>
        <s v="Chilled"/>
      </sharedItems>
    </cacheField>
    <cacheField name="station" numFmtId="0">
      <sharedItems containsSemiMixedTypes="0" containsString="0" containsNumber="1" containsInteger="1">
        <n v="2.0"/>
        <n v="1.0"/>
        <n v="15.0"/>
        <n v="16.0"/>
        <n v="18.0"/>
        <n v="14.0"/>
        <n v="17.0"/>
        <n v="13.0"/>
        <n v="5.0"/>
        <n v="4.0"/>
        <n v="9.0"/>
        <n v="6.0"/>
        <n v="8.0"/>
        <n v="10.0"/>
        <n v="7.0"/>
        <n v="3.0"/>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983" sheet="exportP2L_oldFormatForCheck"/>
  </cacheSource>
  <cacheFields>
    <cacheField name="Recipe" numFmtId="0">
      <sharedItems containsBlank="1">
        <s v="Factor Box Small"/>
        <s v="Factor Box Medium"/>
        <s v="Factor Box Large"/>
        <s v="Factor Liner Medium1"/>
        <s v="Factor Liner Medium2"/>
        <s v="Factor Liner Large1"/>
        <s v="Factor Liner Large2"/>
        <s v="Factor Liner Small1"/>
        <s v="Factor Liner Small2"/>
        <s v="WB1"/>
        <s v="FR1"/>
        <s v="Ice6"/>
        <s v="Ice9"/>
        <s v="Ice12"/>
        <s v="301_1p"/>
        <s v="302_1p"/>
        <s v="303_1p"/>
        <s v="304_1p"/>
        <s v="305_1p"/>
        <s v="306_1p"/>
        <s v="307_1p"/>
        <s v="308_1p"/>
        <s v="309_1p"/>
        <s v="310_1p"/>
        <s v="311_1p"/>
        <s v="312_1p"/>
        <s v="313_1p"/>
        <s v="314_1p"/>
        <s v="315_1p"/>
        <s v="316_1p"/>
        <s v="317_1p"/>
        <s v="318_1p"/>
        <s v="806_1p"/>
        <s v="805_1p"/>
        <s v="809_1p"/>
        <s v="810_1p"/>
        <m/>
      </sharedItems>
    </cacheField>
    <cacheField name="Ingredient" numFmtId="0">
      <sharedItems containsBlank="1">
        <s v="Factor Box Small"/>
        <s v="Factor Box Medium"/>
        <s v="Factor Box Large"/>
        <s v="Factor Liner Medium1"/>
        <s v="Factor Liner Medium2"/>
        <s v="Factor Liner Large1"/>
        <s v="Factor Liner Large2"/>
        <s v="Factor Liner Small1"/>
        <s v="Factor Liner Small2"/>
        <s v="FA-DE Welcome Booklet"/>
        <s v="FA-DE Freebies"/>
        <s v="IcePack1"/>
        <s v="IcePack2"/>
        <s v="IcePack3"/>
        <s v="301 - Gegrilltes Hähnchenfilet mit Kartoffel-Lauch-Püree"/>
        <s v="302 - Trottole Bolognese "/>
        <s v="303 - Indisches Butterhuhn"/>
        <s v="304 - Hähnchen in Schnittlauchcreme"/>
        <s v="305 - Hähnchen à la Florentine"/>
        <s v="306 - Rosmarin-Tomaten-Hähnchen"/>
        <s v="307 - Schweinefilet mit Artischocken und Spinat"/>
        <s v="308 - Lachs in cremiger Gochugaru-Sauce"/>
        <s v="309 - Cremiges Tomaten-Risotto"/>
        <s v="310 - Black Bean Bowl mit Enchiladasauce"/>
        <s v="311 - Geschmortes Rindfleisch in Kräuterjus"/>
        <s v="312 - Lachs auf Blumenkohlreis in Käsecreme"/>
        <s v="313 - Hähnchen in Basilikum-Paprika-Sauce"/>
        <s v="314 - Gegrilltes Hähnchenfilet mit Pesto"/>
        <s v="315 - Kohl in Hackfleisch-Käsesauce"/>
        <s v="316 - Hähnchen in Pilzsauce"/>
        <s v="317 - Schweinefilet in cremiger Knoblauch-Senf-Sauce"/>
        <s v="318 - Schweinefilet in Lauchcreme "/>
        <s v="806 - Gegrilltes Hähnchen mit Knoblauch-Kräutern"/>
        <s v="805 - FACTOR_ Ginger Lemon Apple Wellness Shot"/>
        <s v="809 - FACTOR_ Spirulina Ginger Lime Ginger Shot"/>
        <s v="810 - FACTOR_ Turmeric Cayenne Pineapple Ginger Shot"/>
        <m/>
      </sharedItems>
    </cacheField>
    <cacheField name="SKU" numFmtId="0">
      <sharedItems containsBlank="1">
        <s v="Factor Box Small"/>
        <s v="Factor Box Medium"/>
        <s v="Factor Box Large"/>
        <s v="Factor Liner Medium1"/>
        <s v="Factor Liner Medium2"/>
        <s v="Factor Liner Large1"/>
        <s v="Factor Liner Large2"/>
        <s v="Factor Liner Small1"/>
        <s v="Factor Liner Small2"/>
        <s v="Loyalties"/>
        <s v="IcePack"/>
        <s v="CON-00-136649-3"/>
        <s v="CON-00-136722-3"/>
        <s v="CON-00-136623-3"/>
        <s v="CON-00-136687-3"/>
        <s v="CON-00-136620-3"/>
        <s v="CON-00-138005-2"/>
        <s v="CON-00-139494-2"/>
        <s v="CON-00-137744-2"/>
        <s v="CON-00-136629-3"/>
        <s v="CON-00-136625-3"/>
        <s v="CON-00-136698-3"/>
        <s v="CON-00-136617-3"/>
        <s v="CON-00-136661-3"/>
        <s v="CON-00-136659-3"/>
        <s v="CON-00-136671-3"/>
        <s v="CON-00-136711-3"/>
        <s v="CON-00-136637-3"/>
        <s v="CON-00-138006-2"/>
        <s v="PTN-00-136930-3"/>
        <s v="BEV-00-136840-3"/>
        <s v="BEV-00-137951-2"/>
        <s v="BEV-00-137952-2"/>
        <m/>
      </sharedItems>
    </cacheField>
    <cacheField name="Line" numFmtId="0">
      <sharedItems containsBlank="1">
        <s v="ASL1"/>
        <m/>
      </sharedItems>
    </cacheField>
    <cacheField name="FlowRackPosition" numFmtId="0">
      <sharedItems containsBlank="1">
        <s v="F05"/>
        <s v="F03"/>
        <s v="F02"/>
        <s v="F08"/>
        <s v="F12"/>
        <s v="F07"/>
        <s v="F11"/>
        <s v="F06"/>
        <s v="F10"/>
        <s v="F143"/>
        <s v="F139"/>
        <s v="F29"/>
        <s v="F105"/>
        <s v="F137"/>
        <s v="F125"/>
        <s v="F89"/>
        <s v="F62"/>
        <s v="F100"/>
        <s v="F133"/>
        <s v="F59"/>
        <s v="F110"/>
        <s v="F86"/>
        <s v="F32"/>
        <s v="F109"/>
        <s v="F131"/>
        <s v="F107"/>
        <s v="F121"/>
        <s v="F135"/>
        <s v="F97"/>
        <s v="F144"/>
        <s v="F94"/>
        <s v="F85"/>
        <s v="F98"/>
        <s v="F108"/>
        <s v="F123"/>
        <s v="F134"/>
        <m/>
      </sharedItems>
    </cacheField>
    <cacheField name="Quantity" numFmtId="0">
      <sharedItems containsString="0" containsBlank="1" containsNumber="1" containsInteger="1">
        <n v="1.0"/>
        <n v="2.0"/>
        <n v="0.0"/>
        <m/>
      </sharedItems>
    </cacheField>
    <cacheField name="ScanRegEx" numFmtId="0">
      <sharedItems containsBlank="1">
        <s v=""/>
        <m/>
      </sharedItems>
    </cacheField>
    <cacheField name="StorageConditions" numFmtId="0">
      <sharedItems containsBlank="1">
        <s v="Packaging"/>
        <s v="Chilled"/>
        <m/>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000" sheet="exportP2L_oldFormatForCheck_Sep"/>
  </cacheSource>
  <cacheFields>
    <cacheField name="Recipe" numFmtId="0">
      <sharedItems containsBlank="1">
        <s v="Box-S"/>
        <s v="Box-M"/>
        <s v="Box-L"/>
        <s v="Box-XL"/>
        <s v="Box-XS"/>
        <s v="paper_pouch-32-L"/>
        <s v="paper_pouch-32-S"/>
        <s v="paper_pouch-32-M"/>
        <s v="703_1"/>
        <s v="703_2"/>
        <s v="703_3"/>
        <s v="703_4"/>
        <s v="703_5"/>
        <s v="703_6"/>
        <s v="703_7"/>
        <s v="703_8"/>
        <s v="703_9"/>
        <s v="703_10"/>
        <s v="703r_2p"/>
        <s v="703r_3p"/>
        <s v="703r_4p"/>
        <s v="301_1"/>
        <s v="301_2"/>
        <s v="301_3"/>
        <s v="301_4"/>
        <s v="301_5"/>
        <s v="301_6"/>
        <s v="301_7"/>
        <s v="301_8"/>
        <s v="301_9"/>
        <s v="301_10"/>
        <s v="301r_2p"/>
        <s v="301r_3p"/>
        <s v="301r_4p"/>
        <s v="701_1"/>
        <s v="701_2"/>
        <s v="701_3"/>
        <s v="701_4"/>
        <s v="701_5"/>
        <s v="701_6"/>
        <s v="701_7"/>
        <s v="701_8"/>
        <s v="701_9"/>
        <s v="701_10"/>
        <s v="701r_2p"/>
        <s v="701r_3p"/>
        <s v="701r_4p"/>
        <s v="702_1"/>
        <s v="702_2"/>
        <s v="702_3"/>
        <s v="702_4"/>
        <s v="702_5"/>
        <s v="702_6"/>
        <s v="702_7"/>
        <s v="702_8"/>
        <s v="702_9"/>
        <s v="702_10"/>
        <s v="702r_2p"/>
        <s v="702r_3p"/>
        <s v="702r_4p"/>
        <s v="303_1"/>
        <s v="303_2"/>
        <s v="303_3"/>
        <s v="303_4"/>
        <s v="303_5"/>
        <s v="303_6"/>
        <s v="303_7"/>
        <s v="303_8"/>
        <s v="303_9"/>
        <s v="303_10"/>
        <s v="303r_2p"/>
        <s v="303r_3p"/>
        <s v="303r_4p"/>
        <s v="401_1"/>
        <s v="401_2"/>
        <s v="401_3"/>
        <s v="401_4"/>
        <s v="401_5"/>
        <s v="401_6"/>
        <s v="401_7"/>
        <s v="401_8"/>
        <s v="401_9"/>
        <s v="401_10"/>
        <s v="401r_2p"/>
        <s v="401r_3p"/>
        <s v="401r_4p"/>
        <s v="1r_2p"/>
        <s v="1r_3p"/>
        <s v="1r_4p"/>
        <s v="2r_2p"/>
        <s v="2r_3p"/>
        <s v="2r_4p"/>
        <s v="3r_2p"/>
        <s v="3r_3p"/>
        <s v="3r_4p"/>
        <s v="4r_2p"/>
        <s v="4r_3p"/>
        <s v="4r_4p"/>
        <s v="5r_2p"/>
        <s v="5r_3p"/>
        <s v="5r_4p"/>
        <s v="6r_2p"/>
        <s v="6r_3p"/>
        <s v="6r_4p"/>
        <s v="7r_2p"/>
        <s v="7r_3p"/>
        <s v="7r_4p"/>
        <s v="8r_2p"/>
        <s v="8r_3p"/>
        <s v="8r_4p"/>
        <s v="9r_2p"/>
        <s v="9r_3p"/>
        <s v="9r_4p"/>
        <s v="10r_2p"/>
        <s v="10r_3p"/>
        <s v="10r_4p"/>
        <s v="11r_2p"/>
        <s v="11r_3p"/>
        <s v="11r_4p"/>
        <s v="12r_2p"/>
        <s v="12r_3p"/>
        <s v="12r_4p"/>
        <s v="13r_2p"/>
        <s v="13r_3p"/>
        <s v="13r_4p"/>
        <s v="14r_2p"/>
        <s v="14r_3p"/>
        <s v="14r_4p"/>
        <s v="15r_2p"/>
        <s v="15r_3p"/>
        <s v="15r_4p"/>
        <s v="16r_2p"/>
        <s v="16r_3p"/>
        <s v="16r_4p"/>
        <s v="17r_2p"/>
        <s v="17r_3p"/>
        <s v="17r_4p"/>
        <s v="18r_2p"/>
        <s v="18r_3p"/>
        <s v="18r_4p"/>
        <s v="19r_2p"/>
        <s v="19r_3p"/>
        <s v="19r_4p"/>
        <s v="20r_2p"/>
        <s v="20r_3p"/>
        <s v="20r_4p"/>
        <s v="21r_2p"/>
        <s v="21r_3p"/>
        <s v="21r_4p"/>
        <s v="22r_2p"/>
        <s v="22r_3p"/>
        <s v="22r_4p"/>
        <s v="23r_2p"/>
        <s v="23r_3p"/>
        <s v="23r_4p"/>
        <s v="24r_2p"/>
        <s v="24r_3p"/>
        <s v="24r_4p"/>
        <s v="25r_2p"/>
        <s v="25r_3p"/>
        <s v="25r_4p"/>
        <s v="26r_2p"/>
        <s v="26r_3p"/>
        <s v="26r_4p"/>
        <s v="27r_2p"/>
        <s v="27r_3p"/>
        <s v="27r_4p"/>
        <s v="28r_2p"/>
        <s v="28r_3p"/>
        <s v="28r_4p"/>
        <s v="29r_2p"/>
        <s v="29r_3p"/>
        <s v="29r_4p"/>
        <s v="30r_2p"/>
        <s v="30r_3p"/>
        <s v="30r_4p"/>
        <s v="31r_2p"/>
        <s v="31r_3p"/>
        <s v="31r_4p"/>
        <s v="32r_2p"/>
        <s v="32r_3p"/>
        <s v="32r_4p"/>
        <s v="33r_2p"/>
        <s v="33r_3p"/>
        <s v="33r_4p"/>
        <s v="34r_2p"/>
        <s v="34r_3p"/>
        <s v="34r_4p"/>
        <s v="35r_2p"/>
        <s v="35r_3p"/>
        <s v="35r_4p"/>
        <s v="36r_2p"/>
        <s v="36r_3p"/>
        <s v="36r_4p"/>
        <s v="702_2p"/>
        <s v="303_2p"/>
        <s v="Ice1"/>
        <s v="Ice2"/>
        <s v="Ice3"/>
        <s v="Ice4"/>
        <s v="Ice5"/>
        <s v="Ice6"/>
        <s v="Ice7"/>
        <s v="Ice8"/>
        <s v="paper_pouch-28-M"/>
        <s v="paper_pouch-28-L"/>
        <s v="paper_pouch-28-S"/>
        <s v="DEB"/>
        <s v="ATB"/>
        <s v="DC"/>
        <s v="9999_1"/>
        <s v="9998_1"/>
        <m/>
      </sharedItems>
    </cacheField>
    <cacheField name="Ingredient" numFmtId="0">
      <sharedItems containsBlank="1">
        <s v="Box-S"/>
        <s v="Box-M"/>
        <s v="Box-L"/>
        <s v="Box-XL"/>
        <s v="Box-XS"/>
        <s v="paper_pouch-32-L"/>
        <s v="paper_pouch-32-S"/>
        <s v="paper_pouch-32-M"/>
        <s v="703_MK"/>
        <s v="301_MK"/>
        <s v="701_MK"/>
        <s v="702_MK"/>
        <s v="303_MK"/>
        <s v="401_MK"/>
        <s v="1_MK"/>
        <s v="2_MK"/>
        <s v="3_MK"/>
        <s v="4_MK"/>
        <s v="5_MK"/>
        <s v="6_MK"/>
        <s v="7_MK"/>
        <s v="8_MK"/>
        <s v="9_MK"/>
        <s v="10_MK"/>
        <s v="11_MK"/>
        <s v="12_MK"/>
        <s v="13_MK"/>
        <s v="14_MK"/>
        <s v="15_MK"/>
        <s v="16_MK"/>
        <s v="17_MK"/>
        <s v="18_MK"/>
        <s v="19_MK"/>
        <s v="20_MK"/>
        <s v="21_MK"/>
        <s v="22_MK"/>
        <s v="23_MK"/>
        <s v="24_MK"/>
        <s v="25_MK"/>
        <s v="26_MK"/>
        <s v="27_MK"/>
        <s v="28_MK"/>
        <s v="29_MK"/>
        <s v="30_MK"/>
        <s v="31_MK"/>
        <s v="32_MK"/>
        <s v="33_MK"/>
        <s v="34_MK"/>
        <s v="35_MK"/>
        <s v="36_MK"/>
        <s v="HaehnchenbrustfiletinLakegStueck-QS_0"/>
        <s v="Naturjoghurtmind.%FettBiog_0"/>
        <s v="Naturjoghurtmind.%FettBiog_1"/>
        <s v="Hartkaeseital.Artgeriebeng__1"/>
        <s v="Hartkaeseital.Artgeriebeng__0"/>
        <s v="Buttermilch-ZitronenDressingml_0"/>
        <s v="Haehnchengeschnetzeltesmariniertg-QS_0"/>
        <s v="BaconScheibengScheiben-QS_0"/>
        <s v="Dinkelvorgekochtg-(V)_0"/>
        <s v="Hirtenkaeseg%Fett_1"/>
        <s v="Hirtenkaeseg%Fett_0"/>
        <s v="RinderhueftsteakgStueck-QS_0"/>
        <s v="JungerGoudageriebeng_0"/>
        <s v="GemischtesHackfleischg-QS_0"/>
        <s v="FrischerFlammkuchenTeigg-(V)_0"/>
        <s v="MozzarellaVeggieg_0"/>
        <s v="SaureSahneBiog_0"/>
        <s v="BueffelmozzarellaD.O.P.g__0"/>
        <s v="Frischecremeg_0"/>
        <s v="WuerzigerGoudageriebeng_1"/>
        <s v="WuerzigerGoudageriebeng_0"/>
        <s v="Cremefraicheg_0"/>
        <s v="GrillkaeseZypriotischerArtg_0"/>
        <s v="Naturjoghurtmind.%FettBiog_2"/>
        <s v="SeehechtgStueck_0"/>
        <s v="Sahnejoghurtmildg_0"/>
        <s v="VeganescremigesSojaproduktg_0"/>
        <s v="HaehncheninnenbrustfiletinLakeg_0"/>
        <s v="FrischeLinguinig-(V)_0"/>
        <s v="Hartkaeseital.Artgeraspeltg__0"/>
        <s v="Hartkaeseital.Artgeraspeltg__1"/>
        <s v="GarnelenohneSchaleg_0"/>
        <s v="Lachsfiletxgg_0"/>
        <s v="Butterg_1"/>
        <s v="SchweinefiletgStueck-QS_0"/>
        <s v="HaehnchenunterschenkelinPaprikamarinadegStueck-QS_0"/>
        <s v="Rinderhackfleischg-QS_0"/>
        <s v="Prosciuttog_0"/>
        <s v="Paccherifrischg-(V)_0"/>
        <s v="PlantedveganeFiletstueckenHaehnchen-ArtKraeuter-Zitroneg_0"/>
        <s v="Eierspaetzlefrisch(%)g_0"/>
        <s v="BaconStreifeng-QS_0"/>
        <s v="Wirsinggeschnitteng_0"/>
        <s v="Gnocchifrischvorgekochtg-(V)_0"/>
        <s v="Kraeuterbutterg_0"/>
        <s v="ThueringerRostbratwurstgStueck--QS_0"/>
        <s v="Kartoffel-Schupfnudelng-(V)_0"/>
        <s v="HaehnchenbrustfiletStueckg-QS_0"/>
        <s v="JungerGoudageriebeng_1"/>
        <s v="SaureSahneBiog_1"/>
        <s v="Kaminkaesemildg_0"/>
        <s v="FrischerButter-Blaetterteigg_0"/>
        <s v="Schmandg_0"/>
        <s v="Porreeg_0"/>
        <s v="VeganeBriocheBurgerBunserg-(V)_0"/>
        <s v="Blumenkohlg_0"/>
        <s v="Brokkolig_0"/>
        <s v="Steinofenbaguetteg-(V)_0"/>
        <s v="Ringbrotg-(V)_0"/>
        <s v="Butterg_0"/>
        <s v="IcePack1"/>
        <s v="IcePack2"/>
        <s v="IcePack3"/>
        <s v="paper_pouch-28-M"/>
        <s v="paper_pouch-28-L"/>
        <s v="paper_pouch-28-S"/>
        <s v="DEB"/>
        <s v="ATB"/>
        <s v="DC"/>
        <s v="Sample KerryGold"/>
        <s v="Sampe Garden Gourmet"/>
        <m/>
      </sharedItems>
    </cacheField>
    <cacheField name="SKU" numFmtId="0">
      <sharedItems containsBlank="1">
        <s v="Box-S"/>
        <s v="Box-M"/>
        <s v="Box-L"/>
        <s v="Box-XL"/>
        <s v="Box-XS"/>
        <s v="paper_pouch-32-L"/>
        <s v="paper_pouch-32-S"/>
        <s v="paper_pouch-32-M"/>
        <s v="Addon Mealkit"/>
        <s v="Mealkit"/>
        <s v="PTN-11-101341-2"/>
        <s v="PTN-11-101342-2"/>
        <s v="DAI-11-116266-3"/>
        <s v="DAI-11-116265-3"/>
        <s v="DAI-00-10141-2"/>
        <s v="DAI-00-50213-2"/>
        <s v="PRO-00-90579-2"/>
        <s v="PTN-11-50463-2"/>
        <s v="PTN-11-50464-2"/>
        <s v="PTN-11-90558-2"/>
        <s v="PTN-11-90559-2"/>
        <s v="DRY-00-50447-2"/>
        <s v="DRY-00-50448-2"/>
        <s v="DRY-00-50449-2"/>
        <s v="DAI-00-115401-3"/>
        <s v="DAI-00-115403-3"/>
        <s v="DAI-00-115402-3"/>
        <s v="PTN-11-90502-2"/>
        <s v="PTN-11-90503-2"/>
        <s v="DAI-11-120510-3"/>
        <s v="DAI-11-120511-3"/>
        <s v="PTN-11-117378-2"/>
        <s v="PTN-11-117377-2"/>
        <s v="PTN-11-117379-2"/>
        <s v="BAK-00-102699-3"/>
        <s v="DAI-11-10039-2"/>
        <s v="DAI-11-116335-3"/>
        <s v="DAI-00-50291-2"/>
        <s v="DAI-00-119635-3"/>
        <s v="DAI-00-119636-3"/>
        <s v="DAI-00-119637-3"/>
        <s v="DAI-11-120514-3"/>
        <s v="DAI-11-120515-3"/>
        <s v="DAI-11-115404-3"/>
        <s v="DAI-00-115523-3"/>
        <s v="DAI-11-116264-3"/>
        <s v="PTN-11-50092-2"/>
        <s v="PTN-11-50081-2"/>
        <s v="DAI-11-13079-2"/>
        <s v="DAI-11-13080-2"/>
        <s v="DAI-00-100365-3"/>
        <s v="PTN-11-119517-2"/>
        <s v="PTN-11-119516-2"/>
        <s v="PTN-11-119515-2"/>
        <s v="DRY-00-50074-2"/>
        <s v="DRY-00-50075-2"/>
        <s v="DAI-00-50214-2"/>
        <s v="DAI-00-50215-2"/>
        <s v="PTN-11-003429-2"/>
        <s v="PTN-11-11323-2"/>
        <s v="PTN-11-11324-2"/>
        <s v="PTN-11-100591-2"/>
        <s v="PTN-11-115697-2"/>
        <s v="DAI-11-13075-2"/>
        <s v="PTN-11-50382-2"/>
        <s v="PTN-11-50431-2"/>
        <s v="PTN-11-50193-2"/>
        <s v="PTN-11-002893-2"/>
        <s v="PTN-11-002895-2"/>
        <s v="PTN-11-002894-2"/>
        <s v="PTN-11-10144-2"/>
        <s v="PTN-11-10145-2"/>
        <s v="PTN-11-10146-2"/>
        <s v="PTN-11-121079-2"/>
        <s v="PTN-11-121078-2"/>
        <s v="DRY-00-50103-2"/>
        <s v="DRY-00-50104-2"/>
        <s v="PTN-11-120370-3"/>
        <s v="PTN-11-120371-1"/>
        <s v="DRY-00-116334-3"/>
        <s v="DRY-00-116333-3"/>
        <s v="DRY-00-116332-3"/>
        <s v="PTN-11-90560-2"/>
        <s v="PTN-11-10001-2"/>
        <s v="PHF-11-90513-2"/>
        <s v="PHF-11-90514-2"/>
        <s v="PHF-11-90515-2"/>
        <s v="DRY-00-10072-3"/>
        <s v="DRY-00-10472-3"/>
        <s v="DRY-00-10074-3"/>
        <s v="DAI-00-004414-2"/>
        <s v="PTN-11-90545-2"/>
        <s v="PTN-11-90546-2"/>
        <s v="PTN-11-90566-2"/>
        <s v="DRY-00-50136-2"/>
        <s v="DRY-00-50137-2"/>
        <s v="DRY-00-50138-2"/>
        <s v="PTN-11-11336-2"/>
        <s v="DAI-11-120512-3"/>
        <s v="DAI-11-116336-3"/>
        <s v="DAI-11-50354-2"/>
        <s v="BAK-00-000917-2"/>
        <s v="DAI-11-10146-3"/>
        <s v="PHF-11-50154-3"/>
        <s v="BAK-00-115694-5"/>
        <s v="BAK-00-115693-5"/>
        <s v="BAK-00-115695-5"/>
        <s v="PHF-11-10021-3"/>
        <s v="PHF-11-10022-3"/>
        <s v="PHF-11-10020-3"/>
        <s v="PHF-11-10023-3"/>
        <s v="BAK-00-10049-5"/>
        <s v="BAK-00-004037-5"/>
        <s v="DAI-11-13074-2"/>
        <s v="IcePack"/>
        <s v="paper_pouch-28-M"/>
        <s v="paper_pouch-28-L"/>
        <s v="paper_pouch-28-S"/>
        <s v="Loyalties"/>
        <s v="OTH-00-127317-3"/>
        <s v="OTH-00-004169-3"/>
        <m/>
      </sharedItems>
    </cacheField>
    <cacheField name="Line" numFmtId="0">
      <sharedItems containsBlank="1">
        <s v="ASL1"/>
        <m/>
      </sharedItems>
    </cacheField>
    <cacheField name="FlowRackPosition" numFmtId="0">
      <sharedItems containsBlank="1">
        <s v="F11"/>
        <s v="F08"/>
        <s v="F09"/>
        <s v="F01"/>
        <s v="F03"/>
        <s v="F04"/>
        <s v="F113"/>
        <s v="F118"/>
        <s v="F114"/>
        <s v="F119"/>
        <s v="F122"/>
        <s v="F120"/>
        <s v="F141"/>
        <s v="F103"/>
        <s v="F144"/>
        <s v="F121"/>
        <s v="F133"/>
        <s v="F107"/>
        <s v="F142"/>
        <s v="F143"/>
        <s v="F101"/>
        <s v="F116"/>
        <s v="F137"/>
        <s v="F109"/>
        <s v="F92"/>
        <s v="F100"/>
        <s v="F127"/>
        <s v="F105"/>
        <s v="F94"/>
        <s v="F126"/>
        <s v="F134"/>
        <s v="F138"/>
        <s v="F128"/>
        <s v="F140"/>
        <s v="F97"/>
        <s v="F112"/>
        <s v="F106"/>
        <s v="F123"/>
        <s v="F139"/>
        <s v="F98"/>
        <s v="F111"/>
        <s v="F110"/>
        <s v="F104"/>
        <s v="F124"/>
        <s v="F95"/>
        <s v="F108"/>
        <s v="F136"/>
        <s v="F135"/>
        <s v="F32"/>
        <s v="F26"/>
        <s v="F71"/>
        <s v="F42"/>
        <s v="F36"/>
        <s v="F63"/>
        <s v="F73"/>
        <s v="F67"/>
        <s v="F28"/>
        <s v="F47"/>
        <s v="F65"/>
        <s v="F14"/>
        <s v="F33"/>
        <s v="F62"/>
        <s v="F53"/>
        <s v="F59"/>
        <s v="F31"/>
        <s v="F35"/>
        <s v="F60"/>
        <s v="F76"/>
        <s v="F22"/>
        <s v="F56"/>
        <s v="F52"/>
        <s v="F78"/>
        <s v="F74"/>
        <s v="F20"/>
        <s v="F44"/>
        <s v="F58"/>
        <s v="F19"/>
        <s v="F30"/>
        <s v="F16"/>
        <s v="F55"/>
        <s v="F38"/>
        <s v="F27"/>
        <s v="F13"/>
        <s v="F49"/>
        <s v="F23"/>
        <s v="F57"/>
        <s v="F25"/>
        <s v="F43"/>
        <s v="F34"/>
        <s v="F61"/>
        <s v="F24"/>
        <s v="F29"/>
        <s v="F75"/>
        <s v="F70"/>
        <s v="F40"/>
        <s v="F64"/>
        <s v="F69"/>
        <s v="F37"/>
        <s v="F21"/>
        <s v="F45"/>
        <s v="F51"/>
        <s v="F125"/>
        <s v="F132"/>
        <s v="F91"/>
        <s v="F131"/>
        <s v="F130"/>
        <s v="F115"/>
        <s v="F66"/>
        <s v="F17"/>
        <s v="F41"/>
        <s v="F77"/>
        <s v="F02"/>
        <s v="F117"/>
        <s v="F129"/>
        <s v="F46"/>
        <s v="F50"/>
        <s v="F68"/>
        <m/>
      </sharedItems>
    </cacheField>
    <cacheField name="Quantity" numFmtId="0">
      <sharedItems containsString="0" containsBlank="1" containsNumber="1" containsInteger="1">
        <n v="1.0"/>
        <n v="2.0"/>
        <n v="3.0"/>
        <n v="4.0"/>
        <n v="5.0"/>
        <n v="6.0"/>
        <n v="7.0"/>
        <n v="8.0"/>
        <n v="9.0"/>
        <n v="10.0"/>
        <n v="12.0"/>
        <n v="14.0"/>
        <n v="16.0"/>
        <n v="18.0"/>
        <n v="20.0"/>
        <n v="0.0"/>
        <m/>
      </sharedItems>
    </cacheField>
    <cacheField name="ScanRegEx" numFmtId="0">
      <sharedItems containsBlank="1">
        <s v=""/>
        <s v="^703.*"/>
        <s v="^703r.*"/>
        <s v="^301.*"/>
        <s v="^301r.*"/>
        <s v="^701.*"/>
        <s v="^701r.*"/>
        <s v="^702.*"/>
        <s v="^702r.*"/>
        <s v="^303.*"/>
        <s v="^303r.*"/>
        <s v="^401.*"/>
        <s v="^401r.*"/>
        <s v="^1r.*"/>
        <s v="^2r.*"/>
        <s v="^3r.*"/>
        <s v="^4r.*"/>
        <s v="^5r.*"/>
        <s v="^6r.*"/>
        <s v="^7r.*"/>
        <s v="^8r.*"/>
        <s v="^9r.*"/>
        <s v="^10r.*"/>
        <s v="^11r.*"/>
        <s v="^12r.*"/>
        <s v="^13r.*"/>
        <s v="^14r.*"/>
        <s v="^15r.*"/>
        <s v="^16r.*"/>
        <s v="^17r.*"/>
        <s v="^18r.*"/>
        <s v="^19r.*"/>
        <s v="^20r.*"/>
        <s v="^21r.*"/>
        <s v="^22r.*"/>
        <s v="^23r.*"/>
        <s v="^24r.*"/>
        <s v="^25r.*"/>
        <s v="^26r.*"/>
        <s v="^27r.*"/>
        <s v="^28r.*"/>
        <s v="^29r.*"/>
        <s v="^30r.*"/>
        <s v="^31r.*"/>
        <s v="^32r.*"/>
        <s v="^33r.*"/>
        <s v="^34r.*"/>
        <s v="^35r.*"/>
        <s v="^36r.*"/>
        <m/>
      </sharedItems>
    </cacheField>
    <cacheField name="StorageConditions" numFmtId="0">
      <sharedItems containsBlank="1">
        <s v="Packaging"/>
        <s v="Kits"/>
        <s v="Chilled"/>
        <m/>
      </sharedItems>
    </cacheField>
    <cacheField name="station" numFmtId="0">
      <sharedItems containsString="0" containsBlank="1" containsNumber="1" containsInteger="1">
        <n v="2.0"/>
        <n v="1.0"/>
        <n v="15.0"/>
        <n v="16.0"/>
        <n v="18.0"/>
        <n v="14.0"/>
        <n v="17.0"/>
        <n v="13.0"/>
        <n v="5.0"/>
        <n v="4.0"/>
        <n v="9.0"/>
        <n v="6.0"/>
        <n v="8.0"/>
        <n v="10.0"/>
        <n v="7.0"/>
        <n v="3.0"/>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Stats Rackplan" cacheId="2" dataCaption="" rowGrandTotals="0" compact="0" compactData="0">
  <location ref="A29:C39" firstHeaderRow="0" firstDataRow="2" firstDataCol="0"/>
  <pivotFields>
    <pivotField name="market" compact="0" outline="0" multipleItemSelectionAllowed="1" showAll="0">
      <items>
        <item x="0"/>
        <item x="1"/>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line" compact="0" outline="0" multipleItemSelectionAllowed="1" showAll="0">
      <items>
        <item x="0"/>
        <item x="1"/>
        <item t="default"/>
      </items>
    </pivotField>
    <pivotField name="pickface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station" axis="axisRow" compact="0" outline="0" multipleItemSelectionAllowed="1" showAll="0" sortType="ascending" defaultSubtotal="0">
      <items>
        <item h="1" x="10"/>
        <item x="0"/>
        <item x="1"/>
        <item x="2"/>
        <item x="3"/>
        <item x="4"/>
        <item x="5"/>
        <item x="6"/>
        <item x="7"/>
        <item x="8"/>
        <item x="9"/>
      </items>
    </pivotField>
    <pivotField name="pickface" compact="0" outline="0" multipleItemSelectionAllowed="1" showAll="0">
      <items>
        <item x="0"/>
        <item x="1"/>
        <item x="2"/>
        <item x="3"/>
        <item x="4"/>
        <item t="default"/>
      </items>
    </pivotField>
    <pivotField name="level" compact="0" outline="0" multipleItemSelectionAllowed="1" showAll="0">
      <items>
        <item x="0"/>
        <item x="1"/>
        <item x="2"/>
        <item x="3"/>
        <item t="default"/>
      </items>
    </pivotField>
    <pivotField name="colum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type" axis="axisRow" compact="0" outline="0" multipleItemSelectionAllowed="1" showAll="0" sortType="ascending">
      <items>
        <item x="2"/>
        <item x="1"/>
        <item x="0"/>
        <item t="default"/>
      </items>
    </pivotField>
    <pivotField name="station_mapping" compact="0" outline="0" multipleItemSelectionAllowed="1" showAll="0">
      <items>
        <item x="0"/>
        <item x="1"/>
        <item x="2"/>
        <item x="3"/>
        <item x="4"/>
        <item x="5"/>
        <item x="6"/>
        <item x="7"/>
        <item x="8"/>
        <item x="9"/>
        <item x="10"/>
        <item t="default"/>
      </items>
    </pivotField>
    <pivotField name="demand_thursday"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demand_friday" compact="0" outline="0" multipleItemSelectionAllowed="1" showAll="0">
      <items>
        <item x="0"/>
        <item x="1"/>
        <item x="2"/>
        <item t="default"/>
      </items>
    </pivotField>
    <pivotField name="demand_saturday" compact="0" outline="0" multipleItemSelectionAllowed="1" showAll="0">
      <items>
        <item x="0"/>
        <item x="1"/>
        <item x="2"/>
        <item t="default"/>
      </items>
    </pivotField>
    <pivotField name="DemandTotal"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decvar0" compact="0" outline="0" multipleItemSelectionAllowed="1" showAll="0">
      <items>
        <item x="0"/>
        <item x="1"/>
        <item t="default"/>
      </items>
    </pivotField>
    <pivotField name="decvar_z_lower" compact="0" outline="0" multipleItemSelectionAllowed="1" showAll="0">
      <items>
        <item x="0"/>
        <item x="1"/>
        <item x="2"/>
        <item t="default"/>
      </items>
    </pivotField>
    <pivotField name="decvar_z_upper" compact="0" outline="0" multipleItemSelectionAllowed="1" showAll="0">
      <items>
        <item x="0"/>
        <item x="1"/>
        <item x="2"/>
        <item t="default"/>
      </items>
    </pivotField>
    <pivotField name="separate_constraint_new" compact="0" outline="0" multipleItemSelectionAllowed="1" showAll="0">
      <items>
        <item x="0"/>
        <item x="1"/>
        <item x="2"/>
        <item x="3"/>
        <item x="4"/>
        <item x="5"/>
        <item t="default"/>
      </items>
    </pivotField>
    <pivotField name="pickface_coordin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s>
  <rowFields>
    <field x="4"/>
    <field x="8"/>
  </rowFields>
  <dataFields>
    <dataField name="SUM of demand_thursday" fld="10" baseField="0"/>
  </dataFields>
</pivotTableDefinition>
</file>

<file path=xl/pivotTables/pivotTable2.xml><?xml version="1.0" encoding="utf-8"?>
<pivotTableDefinition xmlns="http://schemas.openxmlformats.org/spreadsheetml/2006/main" name="Stats Rackplan 2" cacheId="3" dataCaption="" rowGrandTotals="0" compact="0" compactData="0">
  <location ref="S29:U37" firstHeaderRow="0" firstDataRow="2" firstDataCol="0"/>
  <pivotFields>
    <pivotField name="market" compact="0" outline="0" multipleItemSelectionAllowed="1" showAll="0">
      <items>
        <item x="0"/>
        <item x="1"/>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line" compact="0" outline="0" multipleItemSelectionAllowed="1" showAll="0">
      <items>
        <item x="0"/>
        <item x="1"/>
        <item t="default"/>
      </items>
    </pivotField>
    <pivotField name="pickface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station" axis="axisRow" compact="0" outline="0" multipleItemSelectionAllowed="1" showAll="0" sortType="ascending" defaultSubtotal="0">
      <items>
        <item h="1" x="8"/>
        <item x="0"/>
        <item x="1"/>
        <item x="2"/>
        <item x="3"/>
        <item x="4"/>
        <item x="5"/>
        <item x="6"/>
        <item x="7"/>
      </items>
    </pivotField>
    <pivotField name="pickface" compact="0" outline="0" multipleItemSelectionAllowed="1" showAll="0">
      <items>
        <item x="0"/>
        <item x="1"/>
        <item x="2"/>
        <item x="3"/>
        <item x="4"/>
        <item t="default"/>
      </items>
    </pivotField>
    <pivotField name="level" compact="0" outline="0" multipleItemSelectionAllowed="1" showAll="0">
      <items>
        <item x="0"/>
        <item x="1"/>
        <item x="2"/>
        <item t="default"/>
      </items>
    </pivotField>
    <pivotField name="column"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ype" axis="axisRow" compact="0" outline="0" multipleItemSelectionAllowed="1" showAll="0" sortType="ascending">
      <items>
        <item x="2"/>
        <item x="1"/>
        <item x="0"/>
        <item t="default"/>
      </items>
    </pivotField>
    <pivotField name="station_mapping" compact="0" outline="0" multipleItemSelectionAllowed="1" showAll="0">
      <items>
        <item x="0"/>
        <item x="1"/>
        <item x="2"/>
        <item x="3"/>
        <item x="4"/>
        <item x="5"/>
        <item x="6"/>
        <item x="7"/>
        <item x="8"/>
        <item t="default"/>
      </items>
    </pivotField>
    <pivotField name="demand_thursday"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demand_friday" compact="0" outline="0" multipleItemSelectionAllowed="1" showAll="0">
      <items>
        <item x="0"/>
        <item x="1"/>
        <item t="default"/>
      </items>
    </pivotField>
    <pivotField name="demand_saturday" compact="0" outline="0" multipleItemSelectionAllowed="1" showAll="0">
      <items>
        <item x="0"/>
        <item x="1"/>
        <item t="default"/>
      </items>
    </pivotField>
    <pivotField name="DemandTotal"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decvar0" compact="0" outline="0" multipleItemSelectionAllowed="1" showAll="0">
      <items>
        <item x="0"/>
        <item x="1"/>
        <item t="default"/>
      </items>
    </pivotField>
    <pivotField name="decvar_z_lower" compact="0" outline="0" multipleItemSelectionAllowed="1" showAll="0">
      <items>
        <item x="0"/>
        <item x="1"/>
        <item x="2"/>
        <item t="default"/>
      </items>
    </pivotField>
    <pivotField name="decvar_z_upper" compact="0" outline="0" multipleItemSelectionAllowed="1" showAll="0">
      <items>
        <item x="0"/>
        <item x="1"/>
        <item x="2"/>
        <item t="default"/>
      </items>
    </pivotField>
    <pivotField name="separate_constraint_new" compact="0" outline="0" multipleItemSelectionAllowed="1" showAll="0">
      <items>
        <item x="0"/>
        <item x="1"/>
        <item x="2"/>
        <item x="3"/>
        <item x="4"/>
        <item t="default"/>
      </items>
    </pivotField>
    <pivotField name="pickface_coordin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s>
  <rowFields>
    <field x="4"/>
    <field x="8"/>
  </rowFields>
  <dataFields>
    <dataField name="SUM of demand_thursday" fld="10"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9" dT="2025-07-04T08:18:49.00" personId="{13a0038e-b902-426e-81a3-da0d2d0ce911}" id="{30ab2251-25c4-4d58-a0c9-da9c0b789eb0}" done="1">
    <x18tc:text xml:space="preserve">W29, verbesserungsvorschlag
ASL 5 = SE
ASL 1 = DK</x18tc:text>
  </x18tc:threadedComment>
  <x18tc:threadedComment ref="C12" dT="2025-09-01T10:28:56.00" personId="{13a0038e-b902-426e-81a3-da0d2d0ce911}" id="{bac2f70c-80c1-4889-a18f-756f44766717}" done="1">
    <x18tc:text xml:space="preserve">WAITING FOR DL1 PDL CODE</x18tc:text>
  </x18tc:threadedComment>
  <x18tc:threadedComment ref="A1" dT="2025-06-25T17:41:56.00" personId="{13a0038e-b902-426e-81a3-da0d2d0ce911}" id="{ed483da7-340c-4b6a-aa31-d09be8142f90}" done="0">
    <x18tc:text xml:space="preserve">@bilge.berber@hellofresh.com , so i havea  question. i allocated F06 to F12 to the liners but i closed them in the layout. The halo should have had ran into a problem right?
Assigned to bilge.berber@hellofresh.com</x18tc:text>
    <x18tc:mentions>
      <x18tc:mention mentionpersonId="{43788b58-43f8-433c-9437-560cca6b01af}" mentionId="{4495b125-1708-4504-9de4-ccef6dbccc79}" startIndex="0" length="28"/>
    </x18tc:mentions>
  </x18tc:threadedComment>
  <x18tc:threadedComment ref="A1" dT="2025-06-25T17:54:24.00" personId="{8a8b2ab8-2287-451b-bef0-6731de9d4544}" id="{bba45ec0-e347-440a-9a2e-6952f38b25d5}" parentId="{ed483da7-340c-4b6a-aa31-d09be8142f90}">
    <x18tc:text xml:space="preserve">good question, I don't know 100% now. My guess is, that SKU would still be on the line. But since that pickface is blocked, it would be assigned to another pickface.</x18tc:text>
  </x18tc:threadedComment>
  <x18tc:threadedComment ref="A1" dT="2025-06-25T18:13:22.00" personId="{13a0038e-b902-426e-81a3-da0d2d0ce911}" id="{698871e0-b720-49c8-803b-3b3dab4f8ff6}" parentId="{ed483da7-340c-4b6a-aa31-d09be8142f90}">
    <x18tc:text xml:space="preserve">So they where no assigned to another pickface. No hurry...so hard and fast, i though it will go in infeas...</x18tc:text>
    <x18tc:extLst>
      <ext uri="{F7C98A9C-CBB3-438F-8F68-D28B6AF4A901}">
        <xltc2:checksum/>
        <xltc2:hyperlink startIndex="50" length="10" url="http://hurry...so"/>
      </ext>
    </x18tc:extLst>
  </x18tc:threadedComment>
  <x18tc:threadedComment ref="A1" dT="2025-06-19T13:28:11.00" personId="{8a8b2ab8-2287-451b-bef0-6731de9d4544}" id="{31041c0b-1f0d-4f51-b6c5-638f53eee1b2}" done="0">
    <x18tc:text xml:space="preserve">@shaurya.jadhav@hellofresh.de added market column
Assigned to shaurya.jadhav@hellofresh.de</x18tc:text>
    <x18tc:mentions>
      <x18tc:mention mentionpersonId="{9928731f-7db5-4d5f-964d-6ad316bc6a16}" mentionId="{0f217d20-35ca-4e77-adac-043bb5d89e07}" startIndex="0" length="29"/>
    </x18tc:mentions>
  </x18tc:threadedComment>
  <x18tc:threadedComment ref="A1" dT="2025-07-10T08:55:31.00" personId="{13a0038e-b902-426e-81a3-da0d2d0ce911}" id="{3cdb588c-e907-436f-a061-b51649a9cf1b}" done="0">
    <x18tc:text xml:space="preserve">manuel zu addiert</x18tc:text>
  </x18tc:threadedComment>
  <x18tc:threadedComment ref="K13" dT="2025-06-20T15:41:21.00" personId="{13a0038e-b902-426e-81a3-da0d2d0ce911}" id="{e4959bfe-80df-4297-a051-9f20587fc0c5}" done="1">
    <x18tc:text xml:space="preserve">@bilge.berber@hellofresh.com , just noticed, we will have to duplicate this below for Nordics too.... a check would be mega helpful here .....Thank you :)
Assigned to bilge.berber@hellofresh.com</x18tc:text>
    <x18tc:mentions>
      <x18tc:mention mentionpersonId="{43788b58-43f8-433c-9437-560cca6b01af}" mentionId="{641542a9-1ea0-469b-8bb9-adfb5b0d1925}" startIndex="0" length="28"/>
    </x18tc:mentions>
  </x18tc:threadedComment>
  <x18tc:threadedComment ref="K13" dT="2025-06-20T15:42:17.00" personId="{13a0038e-b902-426e-81a3-da0d2d0ce911}" id="{4c11fdd6-759a-4b27-bf3d-f78bf8420344}" parentId="{e4959bfe-80df-4297-a051-9f20587fc0c5}">
    <x18tc:text xml:space="preserve">maybe instead of chilled and Kits we have DACH and Nordics? Factoer does not have a chilled or kits differentiation.then we wont have two tables</x18tc:text>
  </x18tc:threadedComment>
  <x18tc:threadedComment ref="K13" dT="2025-07-01T18:18:20.00" personId="{13a0038e-b902-426e-81a3-da0d2d0ce911}" id="{06d2c868-c73d-419c-b560-b6a0e1dbd517}" parentId="{e4959bfe-80df-4297-a051-9f20587fc0c5}">
    <x18tc:text xml:space="preserve">Hi</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 dT="2025-06-19T14:27:07.00" personId="{8a8b2ab8-2287-451b-bef0-6731de9d4544}" id="{ad63d82b-86e4-42dc-9fc5-69352709def6}" done="1">
    <x18tc:text xml:space="preserve">@shaurya.jadhav@hellofresh.de added market column here</x18tc:text>
    <x18tc:mentions>
      <x18tc:mention mentionpersonId="{9928731f-7db5-4d5f-964d-6ad316bc6a16}" mentionId="{cab6ca52-257a-4107-b712-41d14e5f6cc9}" startIndex="0" length="29"/>
    </x18tc:mentions>
  </x18tc:threadedComment>
  <x18tc:threadedComment ref="K1" dT="2025-06-20T15:35:23.00" personId="{13a0038e-b902-426e-81a3-da0d2d0ce911}" id="{b102ef15-e86e-427f-90fb-be0851827f8c}" parentId="{ad63d82b-86e4-42dc-9fc5-69352709def6}">
    <x18tc:text xml:space="preserve">Hey Hey, so i define it directly over here and HALO input takes it automatically?</x18tc:text>
  </x18tc:threadedComment>
  <x18tc:threadedComment ref="K1" dT="2025-06-20T15:40:04.00" personId="{13a0038e-b902-426e-81a3-da0d2d0ce911}" id="{43479ff2-237e-4062-a377-f48ed3b8d3a4}" parentId="{ad63d82b-86e4-42dc-9fc5-69352709def6}">
    <x18tc:text xml:space="preserve">Question answered when i added Nordics here :P Thanks</x18tc:text>
  </x18tc:threadedComment>
  <x18tc:threadedComment ref="A64" dT="2025-06-23T17:15:35.00" personId="{8a8b2ab8-2287-451b-bef0-6731de9d4544}" id="{e62f730c-ea48-46f8-953d-8adf42d8ea2f}" done="1">
    <x18tc:text xml:space="preserve">@shaurya.jadhav@hellofresh.de changing these 3 box sizes to proper name instead of S,M,L. They need to match with the rackfile_combined tab to get correct types</x18tc:text>
    <x18tc:mentions>
      <x18tc:mention mentionpersonId="{9928731f-7db5-4d5f-964d-6ad316bc6a16}" mentionId="{d7a313b1-8a61-4d91-85c4-551adb969968}" startIndex="0" length="29"/>
    </x18tc:mentions>
  </x18tc:threadedComment>
  <x18tc:threadedComment ref="A64" dT="2025-06-23T18:27:38.00" personId="{13a0038e-b902-426e-81a3-da0d2d0ce911}" id="{3f7cae0f-ecd9-477b-abee-bde80437b11d}" parentId="{e62f730c-ea48-46f8-953d-8adf42d8ea2f}">
    <x18tc:text xml:space="preserve">Hey Bilge, oh i understood where i missed to change it. Then we need to convert the Nordics boxes to S,M,L as they will be names S,M,L in the boxfile for Nordics, but DE will remain the same.</x18tc:text>
  </x18tc:threadedComment>
  <x18tc:threadedComment ref="A11" dT="2026-03-26T08:00:32.00" personId="{14aa8177-6ea9-4bf8-ae21-439d795f6d94}" id="{aaa5fa56-decf-432c-8c63-d8bb6c806d7a}" done="1">
    <x18tc:text xml:space="preserve">Hier auch @benjamin.von-strauch@hellofresh.de @kodzo.tozoun@hellofresh.de 
Hier müssen wir die retention gifts hinzufügen. für W15, - W19 . In W19 sollten es 9 weitere Pickplätze dafür sein und dann auch bleiben
Assigned to benjamin.von-strauch@hellofresh.de</x18tc:text>
    <x18tc:mentions>
      <x18tc:mention mentionpersonId="{557ee7c8-4420-44c4-9413-7c8608a3d0c0}" mentionId="{a2919cba-b522-4e5f-bc93-b857137bbac0}" startIndex="10" length="35"/>
      <x18tc:mention mentionpersonId="{878599c3-d03d-46d2-9730-6f164c353511}" mentionId="{53081652-db38-43f6-a34f-986a5a2bfdde}" startIndex="46" length="27"/>
    </x18tc:mentions>
  </x18tc:threadedComment>
  <x18tc:threadedComment ref="A11" dT="2026-03-31T07:51:34.00" personId="{9b83dd34-efdd-4824-a30d-c90fae7780dc}" id="{c3579d5f-a116-4420-a575-8a6511942da9}" parentId="{aaa5fa56-decf-432c-8c63-d8bb6c806d7a}">
    <x18tc:text xml:space="preserve">Hi @moritz.ochs@factor75.eu, können wir nicht den Flyer mit dem Artikel zusammen in die Box packen?  Also so wie, als wenn wir ein Sample haben!</x18tc:text>
    <x18tc:mentions>
      <x18tc:mention mentionpersonId="{3241cf7a-90d8-426e-a46f-0ff0c1d0ab34}" mentionId="{aea41c37-836e-4ed0-9f84-04ea0ce1c931}" startIndex="3" length="24"/>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 dT="2026-03-26T07:57:54.00" personId="{14aa8177-6ea9-4bf8-ae21-439d795f6d94}" id="{32e7a361-101d-4a76-b281-353e1760da57}" done="1">
    <x18tc:text xml:space="preserve">@benjamin.von-strauch@hellofresh.de @kodzo.tozoun@hellofresh.de 
Hier müssen wir die retention gifts hinzufügen. für W15, - W19 . In W19 sollten es 9 weitere Pickplätze dafür sein und dann auch bleiben
Assigned to benjamin.von-strauch@hellofresh.de</x18tc:text>
    <x18tc:mentions>
      <x18tc:mention mentionpersonId="{557ee7c8-4420-44c4-9413-7c8608a3d0c0}" mentionId="{63e795e0-7a3a-49cd-9b57-90c7183abd01}" startIndex="0" length="35"/>
      <x18tc:mention mentionpersonId="{878599c3-d03d-46d2-9730-6f164c353511}" mentionId="{3fb2647f-666d-4468-9e47-7df972f96d0a}" startIndex="36" length="27"/>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 dT="2025-06-26T12:07:16.00" personId="{13a0038e-b902-426e-81a3-da0d2d0ce911}" id="{83832805-7db7-4e78-b288-b69524d6caf6}" done="1">
    <x18tc:text xml:space="preserve">@bilge.berber@hellofresh.com , is it imp to maintain thsi column if i have more SKU anytime in the future?
Assigned to bilge.berber@hellofresh.com</x18tc:text>
    <x18tc:mentions>
      <x18tc:mention mentionpersonId="{43788b58-43f8-433c-9437-560cca6b01af}" mentionId="{09f86f05-82e4-4b2a-b62f-b9a6207b6679}" startIndex="0" length="28"/>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2" dT="2026-03-26T08:01:43.00" personId="{14aa8177-6ea9-4bf8-ae21-439d795f6d94}" id="{6e15ac8e-41fd-4c77-ba3d-12baa162bd5a}" done="1">
    <x18tc:text xml:space="preserve">Hier auch @benjamin.von-strauch@hellofresh.de @kodzo.tozoun@hellofresh.de
Hier müssen wir die retention gifts hinzufügen. für W15, - W19 . In W19 sollten es 9 weitere Pickplätze dafür sein und dann auch bleiben
Assigned to benjamin.von-strauch@hellofresh.de</x18tc:text>
    <x18tc:mentions>
      <x18tc:mention mentionpersonId="{557ee7c8-4420-44c4-9413-7c8608a3d0c0}" mentionId="{868e9274-8bb4-4d2e-9581-ed8de6242009}" startIndex="10" length="35"/>
      <x18tc:mention mentionpersonId="{878599c3-d03d-46d2-9730-6f164c353511}" mentionId="{90d3b019-88af-4dec-b45a-6d29a8d3da56}" startIndex="46" length="27"/>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 dT="2025-06-26T12:13:01.00" personId="{13a0038e-b902-426e-81a3-da0d2d0ce911}" id="{3fec36a6-053e-4a3b-86ca-7a6d15ac0928}" done="1">
    <x18tc:text xml:space="preserve">@bilge.berber@hellofresh.com , so if i run only Nordics HALO will delete DACH? Oi! this might pose in issue in the situation where my output "ExportP2L" is linked to other gsheets, it will go blank as there will be output anymore.
another dilemma, if i keep DACH "checked" while made changes only to NORDICS, i understand that HALO will also redistribute DACH too? is that right? but if i have already fixed DACH and only want to meddle with NORDICS and vice a versa,
can we have the checkmark keep the previously run result be it DACH or NORDICS as it is here and in output? and no delete it? is it possible?
Assigned to bilge.berber@hellofresh.com</x18tc:text>
    <x18tc:mentions>
      <x18tc:mention mentionpersonId="{43788b58-43f8-433c-9437-560cca6b01af}" mentionId="{fe0ab655-6fd5-40f4-9111-067c386f94b3}" startIndex="0" length="28"/>
    </x18tc:mentions>
  </x18tc:threadedComment>
  <x18tc:threadedComment ref="E9" dT="2025-06-27T07:14:08.00" personId="{8a8b2ab8-2287-451b-bef0-6731de9d4544}" id="{c27ad1fb-99f9-45a1-bc7c-20e7b0b5ca55}" parentId="{3fec36a6-053e-4a3b-86ca-7a6d15ac0928}">
    <x18tc:text xml:space="preserve">hmm I need to think about this. I will get back to you on Monday/Tuesday</x18tc:text>
  </x18tc:threadedComment>
  <x18tc:threadedComment ref="E9" dT="2025-06-27T09:29:12.00" personId="{13a0038e-b902-426e-81a3-da0d2d0ce911}" id="{b1a6817f-febe-46bc-8b76-0e67cceaca95}" parentId="{3fec36a6-053e-4a3b-86ca-7a6d15ac0928}">
    <x18tc:text xml:space="preserve">Thank you very much. until then please lets keep the current F_ HALO alive :)</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 dT="2025-06-25T17:40:02.00" personId="{13a0038e-b902-426e-81a3-da0d2d0ce911}" id="{2eadec40-499a-4f38-9c83-d6c9ad41c8c2}" done="1">
    <x18tc:text xml:space="preserve">@steven.ender@hellofresh.de , lass uns das morgen einmal besprechen. wir müssen noch liner bestimmen, ice bestimmen, und flyer bestimmen.... können wir dannach Rackfile finalizieren, ESL, Klebe labels, der linie können wir auch ein art rackfile check machen lassen. müssen aber ein boxfile benötigen, wer mit ILP matcht, damit wir paar boxen test am freitag fahren können.....
cc. @tobias.lausch@hellofresh.de
Assigned to steven.ender@hellofresh.de</x18tc:text>
    <x18tc:mentions>
      <x18tc:mention mentionpersonId="{454333ee-e808-47cc-ada5-e9317852bf64}" mentionId="{c6028ba7-6c61-4d5f-a435-0f8459c78d39}" startIndex="0" length="27"/>
      <x18tc:mention mentionpersonId="{8ba90d46-c051-4dea-810f-e35e9dd812c1}" mentionId="{06f91d50-6d27-43e4-91fa-22cc752ef802}" startIndex="382" length="28"/>
    </x18tc:mentions>
  </x18tc:threadedComment>
  <x18tc:threadedComment ref="BC19" dT="2025-07-04T08:19:09.00" personId="{13a0038e-b902-426e-81a3-da0d2d0ce911}" id="{299fd28d-54ad-447d-bd02-8c10aca3d70b}" done="1">
    <x18tc:text xml:space="preserve">Phasenweise zu viel zu tun....</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7-01T18:11:00.00" personId="{13a0038e-b902-426e-81a3-da0d2d0ce911}" id="{42906b85-a23d-46c3-9dda-6f72c810f438}" done="1">
    <x18tc:text xml:space="preserve">hey, I now have 3 tabs of Export P2L, this one is now moot right?
@bilge.berber@hellofresh.com
Assigned to bilge.berber@hellofresh.com</x18tc:text>
    <x18tc:mentions>
      <x18tc:mention mentionpersonId="{43788b58-43f8-433c-9437-560cca6b01af}" mentionId="{b2fee808-7c21-4ef1-96b4-5cb056a5f948}" startIndex="66" length="28"/>
    </x18tc:mentions>
  </x18tc:threadedComment>
  <x18tc:threadedComment ref="A1" dT="2025-07-02T06:59:31.00" personId="{8a8b2ab8-2287-451b-bef0-6731de9d4544}" id="{e8c96285-eebc-40e1-a2db-37576984cbc1}" parentId="{42906b85-a23d-46c3-9dda-6f72c810f438}">
    <x18tc:text xml:space="preserve">this tab is where HALO exports the full output. Then I split into DACH and DKSE with formula. Then if you click on the button, it is copied to the static tabs.</x18tc:text>
  </x18tc:threadedComment>
  <x18tc:threadedComment ref="A1" dT="2025-07-02T07:00:06.00" personId="{8a8b2ab8-2287-451b-bef0-6731de9d4544}" id="{72a25cd5-375f-46d1-9593-b41714e0d098}" parentId="{42906b85-a23d-46c3-9dda-6f72c810f438}">
    <x18tc:text xml:space="preserve">But I can actually delete DACH and Nordics tabs. They are just filtered for each country. I think you can check it from here and then fix it if needed. What do you think?</x18tc:text>
  </x18tc:threadedComment>
  <x18tc:threadedComment ref="A1" dT="2025-07-02T16:57:13.00" personId="{13a0038e-b902-426e-81a3-da0d2d0ce911}" id="{bc57940c-7c32-4361-888c-9f4bcac2f112}" parentId="{42906b85-a23d-46c3-9dda-6f72c810f438}">
    <x18tc:text xml:space="preserve">Hey, just checked you message... yes i think we can then delete those tabs if this essentially splits them in static....</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8.xml"/><Relationship Id="rId5"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9.xml"/><Relationship Id="rId5"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0.xml"/><Relationship Id="rId5"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5.xml"/><Relationship Id="rId5" Type="http://schemas.openxmlformats.org/officeDocument/2006/relationships/vmlDrawing" Target="../drawings/vmlDrawing6.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9.xml"/><Relationship Id="rId5" Type="http://schemas.openxmlformats.org/officeDocument/2006/relationships/vmlDrawing" Target="../drawings/vmlDrawing7.v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22.xml"/><Relationship Id="rId5" Type="http://schemas.openxmlformats.org/officeDocument/2006/relationships/vmlDrawing" Target="../drawings/vmlDrawing8.v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14.75"/>
    <col customWidth="1" min="4" max="4" width="40.0"/>
    <col customWidth="1" min="8" max="8" width="3.88"/>
    <col customWidth="1" min="9" max="9" width="4.38"/>
    <col min="10" max="12" width="12.63" outlineLevel="1"/>
    <col customWidth="1" min="13" max="13" width="36.75"/>
    <col customWidth="1" min="19" max="19" width="14.0"/>
    <col customWidth="1" min="22" max="22" width="15.63"/>
    <col customWidth="1" min="25" max="25" width="44.25"/>
    <col customWidth="1" min="35" max="35" width="44.25"/>
  </cols>
  <sheetData>
    <row r="1">
      <c r="A1" s="1" t="str">
        <f>IFERROR(__xludf.DUMMYFUNCTION("IMPORTRANGE(""https://docs.google.com/spreadsheets/d/1YscgiuKYVI2pGcMJ3RcJwWGQEkG46RnVnji8q8a4AeE/edit?gid=1935731438#gid=1935731438"",""Produktionsvorbereitung_v2!A1:G100"")"),"#REF!")</f>
        <v>#REF!</v>
      </c>
      <c r="B1" s="2"/>
      <c r="C1" s="3"/>
      <c r="D1" s="3"/>
      <c r="E1" s="4"/>
      <c r="F1" s="4"/>
      <c r="G1" s="4"/>
      <c r="H1" s="5"/>
      <c r="I1" s="5"/>
      <c r="J1" s="5"/>
      <c r="K1" s="5"/>
      <c r="L1" s="5"/>
    </row>
    <row r="2" ht="20.25" customHeight="1">
      <c r="A2" s="6"/>
      <c r="B2" s="7"/>
      <c r="C2" s="8"/>
      <c r="D2" s="8"/>
      <c r="E2" s="8"/>
      <c r="F2" s="8"/>
      <c r="G2" s="8"/>
      <c r="H2" s="8"/>
      <c r="I2" s="8"/>
      <c r="J2" s="8"/>
      <c r="K2" s="8"/>
      <c r="L2" s="8"/>
    </row>
    <row r="3" ht="19.5" customHeight="1">
      <c r="A3" s="6"/>
      <c r="B3" s="7"/>
      <c r="C3" s="8"/>
      <c r="D3" s="8"/>
      <c r="E3" s="8"/>
      <c r="F3" s="8"/>
      <c r="G3" s="8"/>
      <c r="H3" s="8"/>
      <c r="I3" s="8"/>
      <c r="J3" s="8"/>
      <c r="K3" s="8"/>
      <c r="L3" s="8"/>
      <c r="M3" s="9" t="s">
        <v>0</v>
      </c>
    </row>
    <row r="4">
      <c r="A4" s="10"/>
      <c r="B4" s="10"/>
      <c r="C4" s="10"/>
      <c r="D4" s="10"/>
      <c r="E4" s="10"/>
      <c r="F4" s="10"/>
      <c r="G4" s="10"/>
      <c r="H4" s="11"/>
      <c r="I4" s="11"/>
      <c r="J4" s="11"/>
      <c r="K4" s="11"/>
      <c r="L4" s="11"/>
      <c r="W4" s="12"/>
    </row>
    <row r="5">
      <c r="A5" s="8"/>
      <c r="B5" s="8"/>
      <c r="C5" s="8"/>
      <c r="D5" s="8"/>
      <c r="E5" s="8"/>
      <c r="F5" s="8"/>
      <c r="G5" s="8"/>
      <c r="H5" s="8"/>
      <c r="I5" s="8"/>
      <c r="J5" s="8"/>
      <c r="K5" s="8"/>
      <c r="L5" s="8"/>
      <c r="M5" s="13" t="s">
        <v>1</v>
      </c>
      <c r="N5" s="13" t="s">
        <v>2</v>
      </c>
      <c r="O5" s="13" t="s">
        <v>3</v>
      </c>
      <c r="P5" s="13" t="s">
        <v>4</v>
      </c>
      <c r="Q5" s="13" t="s">
        <v>5</v>
      </c>
      <c r="R5" s="13" t="s">
        <v>6</v>
      </c>
      <c r="S5" s="13" t="s">
        <v>7</v>
      </c>
      <c r="T5" s="13" t="s">
        <v>8</v>
      </c>
      <c r="U5" s="13" t="s">
        <v>9</v>
      </c>
      <c r="V5" s="13" t="s">
        <v>10</v>
      </c>
      <c r="W5" s="12"/>
    </row>
    <row r="6">
      <c r="A6" s="14"/>
      <c r="B6" s="15"/>
      <c r="C6" s="8"/>
      <c r="D6" s="8"/>
      <c r="E6" s="8"/>
      <c r="F6" s="8"/>
      <c r="G6" s="8"/>
      <c r="H6" s="8"/>
      <c r="I6" s="8"/>
      <c r="J6" s="8"/>
      <c r="K6" s="8"/>
      <c r="L6" s="8"/>
      <c r="M6" s="16" t="s">
        <v>11</v>
      </c>
      <c r="N6" s="16">
        <f t="shared" ref="N6:N33" si="1">IFERROR( XLOOKUP(M6,J:J,L:L),"")</f>
        <v>5138</v>
      </c>
      <c r="O6" s="16">
        <v>0.0</v>
      </c>
      <c r="P6" s="16">
        <v>0.0</v>
      </c>
      <c r="Q6" s="16">
        <v>0.0</v>
      </c>
      <c r="R6" s="16">
        <v>0.0</v>
      </c>
      <c r="S6" s="16"/>
      <c r="T6" s="17"/>
      <c r="U6" s="16" t="s">
        <v>12</v>
      </c>
      <c r="W6" s="12"/>
      <c r="X6" s="18" t="s">
        <v>13</v>
      </c>
      <c r="AG6" s="19" t="s">
        <v>14</v>
      </c>
    </row>
    <row r="7">
      <c r="A7" s="20"/>
      <c r="B7" s="21"/>
      <c r="C7" s="21"/>
      <c r="D7" s="20"/>
      <c r="E7" s="21"/>
      <c r="F7" s="21"/>
      <c r="G7" s="21"/>
      <c r="H7" s="22"/>
      <c r="I7" s="22"/>
      <c r="J7" s="23" t="s">
        <v>15</v>
      </c>
      <c r="M7" s="16" t="s">
        <v>16</v>
      </c>
      <c r="N7" s="16">
        <f t="shared" si="1"/>
        <v>422</v>
      </c>
      <c r="O7" s="16">
        <v>0.0</v>
      </c>
      <c r="P7" s="16">
        <v>0.0</v>
      </c>
      <c r="Q7" s="16">
        <v>0.0</v>
      </c>
      <c r="R7" s="16">
        <v>0.0</v>
      </c>
      <c r="S7" s="17"/>
      <c r="T7" s="17"/>
      <c r="U7" s="16" t="s">
        <v>17</v>
      </c>
      <c r="W7" s="12"/>
      <c r="AP7" s="12" t="s">
        <v>18</v>
      </c>
    </row>
    <row r="8">
      <c r="A8" s="24"/>
      <c r="B8" s="25"/>
      <c r="C8" s="25"/>
      <c r="D8" s="25"/>
      <c r="E8" s="25"/>
      <c r="F8" s="25"/>
      <c r="G8" s="25"/>
      <c r="H8" s="6"/>
      <c r="I8" s="8"/>
      <c r="J8" s="8" t="str">
        <f t="shared" ref="J8:J40" si="2">IF(B9="","",B9&amp;" - "&amp;D9)</f>
        <v/>
      </c>
      <c r="K8" s="8" t="str">
        <f t="shared" ref="K8:K37" si="3">IFERROR(C9,"")</f>
        <v/>
      </c>
      <c r="L8" s="8" t="str">
        <f t="array" ref="L8">IFERROR(XLOOKUP(K8,C:C,G:G),"")</f>
        <v/>
      </c>
      <c r="M8" s="16" t="s">
        <v>19</v>
      </c>
      <c r="N8" s="16">
        <f t="shared" si="1"/>
        <v>5138</v>
      </c>
      <c r="O8" s="16">
        <v>0.0</v>
      </c>
      <c r="P8" s="16">
        <v>0.0</v>
      </c>
      <c r="Q8" s="16">
        <v>0.0</v>
      </c>
      <c r="R8" s="16">
        <v>0.0</v>
      </c>
      <c r="S8" s="17"/>
      <c r="T8" s="17"/>
      <c r="U8" s="16" t="s">
        <v>20</v>
      </c>
      <c r="W8" s="12"/>
      <c r="X8" s="26" t="s">
        <v>21</v>
      </c>
      <c r="Y8" s="26" t="s">
        <v>22</v>
      </c>
      <c r="Z8" s="26" t="s">
        <v>23</v>
      </c>
      <c r="AA8" s="26" t="s">
        <v>24</v>
      </c>
      <c r="AB8" s="26" t="s">
        <v>25</v>
      </c>
      <c r="AC8" s="26" t="s">
        <v>26</v>
      </c>
      <c r="AD8" s="26" t="s">
        <v>27</v>
      </c>
      <c r="AE8" s="26" t="s">
        <v>28</v>
      </c>
      <c r="AG8" s="27" t="s">
        <v>29</v>
      </c>
      <c r="AH8" s="28" t="s">
        <v>30</v>
      </c>
      <c r="AI8" s="28" t="s">
        <v>31</v>
      </c>
      <c r="AJ8" s="28" t="s">
        <v>32</v>
      </c>
      <c r="AK8" s="28" t="s">
        <v>33</v>
      </c>
      <c r="AL8" s="28" t="s">
        <v>34</v>
      </c>
      <c r="AM8" s="28" t="s">
        <v>35</v>
      </c>
      <c r="AP8" s="12" t="s">
        <v>1</v>
      </c>
      <c r="AQ8" s="12" t="s">
        <v>2</v>
      </c>
      <c r="AR8" s="12" t="s">
        <v>3</v>
      </c>
      <c r="AS8" s="12" t="s">
        <v>4</v>
      </c>
      <c r="AT8" s="12" t="s">
        <v>5</v>
      </c>
      <c r="AU8" s="12" t="s">
        <v>6</v>
      </c>
      <c r="AV8" s="12" t="s">
        <v>7</v>
      </c>
      <c r="AW8" s="12" t="s">
        <v>8</v>
      </c>
      <c r="AX8" s="12" t="s">
        <v>9</v>
      </c>
      <c r="AY8" s="12" t="s">
        <v>10</v>
      </c>
    </row>
    <row r="9">
      <c r="A9" s="8"/>
      <c r="B9" s="8"/>
      <c r="C9" s="8"/>
      <c r="D9" s="8"/>
      <c r="E9" s="8"/>
      <c r="F9" s="8"/>
      <c r="G9" s="8"/>
      <c r="H9" s="8"/>
      <c r="I9" s="8"/>
      <c r="J9" s="8" t="str">
        <f t="shared" si="2"/>
        <v/>
      </c>
      <c r="K9" s="8" t="str">
        <f t="shared" si="3"/>
        <v/>
      </c>
      <c r="L9" s="29">
        <v>2314.0</v>
      </c>
      <c r="M9" s="30" t="str">
        <f t="shared" ref="M9:M34" si="6">IFERROR(J9,"")</f>
        <v/>
      </c>
      <c r="N9" s="31" t="str">
        <f t="shared" si="1"/>
        <v/>
      </c>
      <c r="O9" s="32" t="str">
        <f t="shared" ref="O9:R9" si="4">IF($N9="","","0")</f>
        <v/>
      </c>
      <c r="P9" s="32" t="str">
        <f t="shared" si="4"/>
        <v/>
      </c>
      <c r="Q9" s="32" t="str">
        <f t="shared" si="4"/>
        <v/>
      </c>
      <c r="R9" s="32" t="str">
        <f t="shared" si="4"/>
        <v/>
      </c>
      <c r="S9" s="30"/>
      <c r="T9" s="30"/>
      <c r="U9" s="33"/>
      <c r="V9" s="30"/>
      <c r="W9" s="12"/>
      <c r="X9" s="34" t="str">
        <f t="shared" ref="X9:X38" si="8">IF($J9="","", LEFT($J9,3)&amp;"_1p")</f>
        <v/>
      </c>
      <c r="Y9" s="34" t="str">
        <f t="shared" ref="Y9:Y53" si="9">IFERROR(M9,"")</f>
        <v/>
      </c>
      <c r="Z9" s="34" t="str">
        <f t="shared" ref="Z9:Z38" si="10">XLOOKUP(Y9,J:J,K:K)</f>
        <v/>
      </c>
      <c r="AA9" s="26" t="str">
        <f t="shared" ref="AA9:AA53" si="11">IF(Z9="","","ASL1")</f>
        <v/>
      </c>
      <c r="AB9" s="34"/>
      <c r="AC9" s="26" t="str">
        <f t="shared" ref="AC9:AC53" si="12">IF(X9="","","1")</f>
        <v/>
      </c>
      <c r="AD9" s="34"/>
      <c r="AE9" s="26" t="str">
        <f t="shared" ref="AE9:AE53" si="13">IF(X9="","","Chilled")</f>
        <v/>
      </c>
      <c r="AG9" s="35" t="str">
        <f t="shared" ref="AG9:AG36" si="14">B10</f>
        <v/>
      </c>
      <c r="AH9" s="35" t="str">
        <f t="shared" ref="AH9:AH36" si="15">IFERROR( XLOOKUP(AG9,B:B,C:C),"")</f>
        <v/>
      </c>
      <c r="AI9" s="35" t="str">
        <f t="shared" ref="AI9:AI36" si="16">IFERROR(XLOOKUP(AH9,K:K,J:J),"")</f>
        <v/>
      </c>
      <c r="AJ9" s="35" t="str">
        <f t="shared" ref="AJ9:AJ36" si="17">AI9</f>
        <v/>
      </c>
      <c r="AK9" s="35" t="str">
        <f t="shared" ref="AK9:AK36" si="18">IF(AJ9="","","1")</f>
        <v/>
      </c>
      <c r="AL9" s="35" t="str">
        <f t="shared" ref="AL9:AM9" si="5">IF(AK9="","","0")</f>
        <v/>
      </c>
      <c r="AM9" s="35" t="str">
        <f t="shared" si="5"/>
        <v/>
      </c>
      <c r="AP9" s="12" t="s">
        <v>36</v>
      </c>
      <c r="AQ9" s="12">
        <v>301.0</v>
      </c>
      <c r="AR9" s="36" t="s">
        <v>37</v>
      </c>
      <c r="AS9" s="12" t="s">
        <v>38</v>
      </c>
      <c r="AT9" s="36">
        <v>2010.0</v>
      </c>
    </row>
    <row r="10">
      <c r="A10" s="8"/>
      <c r="B10" s="8"/>
      <c r="C10" s="8"/>
      <c r="D10" s="8"/>
      <c r="E10" s="8"/>
      <c r="F10" s="8"/>
      <c r="G10" s="8"/>
      <c r="H10" s="8"/>
      <c r="I10" s="8"/>
      <c r="J10" s="8" t="str">
        <f t="shared" si="2"/>
        <v/>
      </c>
      <c r="K10" s="8" t="str">
        <f t="shared" si="3"/>
        <v/>
      </c>
      <c r="L10" s="29">
        <v>1850.0</v>
      </c>
      <c r="M10" s="30" t="str">
        <f t="shared" si="6"/>
        <v/>
      </c>
      <c r="N10" s="31" t="str">
        <f t="shared" si="1"/>
        <v/>
      </c>
      <c r="O10" s="32" t="str">
        <f t="shared" ref="O10:R10" si="7">IF($N10="","","0")</f>
        <v/>
      </c>
      <c r="P10" s="32" t="str">
        <f t="shared" si="7"/>
        <v/>
      </c>
      <c r="Q10" s="32" t="str">
        <f t="shared" si="7"/>
        <v/>
      </c>
      <c r="R10" s="32" t="str">
        <f t="shared" si="7"/>
        <v/>
      </c>
      <c r="S10" s="30"/>
      <c r="T10" s="30"/>
      <c r="U10" s="33"/>
      <c r="V10" s="30"/>
      <c r="W10" s="12"/>
      <c r="X10" s="34" t="str">
        <f t="shared" si="8"/>
        <v/>
      </c>
      <c r="Y10" s="34" t="str">
        <f t="shared" si="9"/>
        <v/>
      </c>
      <c r="Z10" s="34" t="str">
        <f t="shared" si="10"/>
        <v/>
      </c>
      <c r="AA10" s="26" t="str">
        <f t="shared" si="11"/>
        <v/>
      </c>
      <c r="AB10" s="34"/>
      <c r="AC10" s="26" t="str">
        <f t="shared" si="12"/>
        <v/>
      </c>
      <c r="AD10" s="34"/>
      <c r="AE10" s="26" t="str">
        <f t="shared" si="13"/>
        <v/>
      </c>
      <c r="AG10" s="35" t="str">
        <f t="shared" si="14"/>
        <v/>
      </c>
      <c r="AH10" s="35" t="str">
        <f t="shared" si="15"/>
        <v/>
      </c>
      <c r="AI10" s="35" t="str">
        <f t="shared" si="16"/>
        <v/>
      </c>
      <c r="AJ10" s="35" t="str">
        <f t="shared" si="17"/>
        <v/>
      </c>
      <c r="AK10" s="35" t="str">
        <f t="shared" si="18"/>
        <v/>
      </c>
      <c r="AL10" s="35" t="str">
        <f t="shared" ref="AL10:AM10" si="19">IF(AK10="","","0")</f>
        <v/>
      </c>
      <c r="AM10" s="35" t="str">
        <f t="shared" si="19"/>
        <v/>
      </c>
      <c r="AP10" s="12" t="s">
        <v>36</v>
      </c>
      <c r="AQ10" s="12">
        <v>302.0</v>
      </c>
      <c r="AR10" s="36" t="s">
        <v>39</v>
      </c>
      <c r="AS10" s="12" t="s">
        <v>40</v>
      </c>
      <c r="AT10" s="36">
        <v>1622.0</v>
      </c>
    </row>
    <row r="11">
      <c r="A11" s="8"/>
      <c r="B11" s="8"/>
      <c r="C11" s="8"/>
      <c r="D11" s="8"/>
      <c r="E11" s="8"/>
      <c r="F11" s="8"/>
      <c r="G11" s="8"/>
      <c r="H11" s="8"/>
      <c r="I11" s="8"/>
      <c r="J11" s="8" t="str">
        <f t="shared" si="2"/>
        <v/>
      </c>
      <c r="K11" s="8" t="str">
        <f t="shared" si="3"/>
        <v/>
      </c>
      <c r="L11" s="29">
        <v>2104.0</v>
      </c>
      <c r="M11" s="30" t="str">
        <f t="shared" si="6"/>
        <v/>
      </c>
      <c r="N11" s="31" t="str">
        <f t="shared" si="1"/>
        <v/>
      </c>
      <c r="O11" s="32" t="str">
        <f t="shared" ref="O11:R11" si="20">IF($N11="","","0")</f>
        <v/>
      </c>
      <c r="P11" s="32" t="str">
        <f t="shared" si="20"/>
        <v/>
      </c>
      <c r="Q11" s="32" t="str">
        <f t="shared" si="20"/>
        <v/>
      </c>
      <c r="R11" s="32" t="str">
        <f t="shared" si="20"/>
        <v/>
      </c>
      <c r="S11" s="30"/>
      <c r="T11" s="30"/>
      <c r="U11" s="33"/>
      <c r="V11" s="30"/>
      <c r="W11" s="12"/>
      <c r="X11" s="34" t="str">
        <f t="shared" si="8"/>
        <v/>
      </c>
      <c r="Y11" s="34" t="str">
        <f t="shared" si="9"/>
        <v/>
      </c>
      <c r="Z11" s="34" t="str">
        <f t="shared" si="10"/>
        <v/>
      </c>
      <c r="AA11" s="26" t="str">
        <f t="shared" si="11"/>
        <v/>
      </c>
      <c r="AB11" s="34"/>
      <c r="AC11" s="26" t="str">
        <f t="shared" si="12"/>
        <v/>
      </c>
      <c r="AD11" s="34"/>
      <c r="AE11" s="26" t="str">
        <f t="shared" si="13"/>
        <v/>
      </c>
      <c r="AG11" s="35" t="str">
        <f t="shared" si="14"/>
        <v/>
      </c>
      <c r="AH11" s="35" t="str">
        <f t="shared" si="15"/>
        <v/>
      </c>
      <c r="AI11" s="35" t="str">
        <f t="shared" si="16"/>
        <v/>
      </c>
      <c r="AJ11" s="35" t="str">
        <f t="shared" si="17"/>
        <v/>
      </c>
      <c r="AK11" s="35" t="str">
        <f t="shared" si="18"/>
        <v/>
      </c>
      <c r="AL11" s="35" t="str">
        <f t="shared" ref="AL11:AM11" si="21">IF(AK11="","","0")</f>
        <v/>
      </c>
      <c r="AM11" s="35" t="str">
        <f t="shared" si="21"/>
        <v/>
      </c>
      <c r="AP11" s="12" t="s">
        <v>36</v>
      </c>
      <c r="AQ11" s="12">
        <v>303.0</v>
      </c>
      <c r="AR11" s="36" t="s">
        <v>41</v>
      </c>
      <c r="AS11" s="12" t="s">
        <v>42</v>
      </c>
      <c r="AT11" s="36">
        <v>1990.0</v>
      </c>
    </row>
    <row r="12">
      <c r="A12" s="8"/>
      <c r="B12" s="8"/>
      <c r="C12" s="8"/>
      <c r="D12" s="8"/>
      <c r="E12" s="8"/>
      <c r="F12" s="8"/>
      <c r="G12" s="8"/>
      <c r="H12" s="8"/>
      <c r="I12" s="8"/>
      <c r="J12" s="8" t="str">
        <f t="shared" si="2"/>
        <v/>
      </c>
      <c r="K12" s="8" t="str">
        <f t="shared" si="3"/>
        <v/>
      </c>
      <c r="L12" s="29">
        <v>2313.0</v>
      </c>
      <c r="M12" s="30" t="str">
        <f t="shared" si="6"/>
        <v/>
      </c>
      <c r="N12" s="31" t="str">
        <f t="shared" si="1"/>
        <v/>
      </c>
      <c r="O12" s="32" t="str">
        <f t="shared" ref="O12:R12" si="22">IF($N12="","","0")</f>
        <v/>
      </c>
      <c r="P12" s="32" t="str">
        <f t="shared" si="22"/>
        <v/>
      </c>
      <c r="Q12" s="32" t="str">
        <f t="shared" si="22"/>
        <v/>
      </c>
      <c r="R12" s="32" t="str">
        <f t="shared" si="22"/>
        <v/>
      </c>
      <c r="S12" s="30"/>
      <c r="T12" s="30"/>
      <c r="U12" s="33"/>
      <c r="V12" s="30"/>
      <c r="W12" s="12"/>
      <c r="X12" s="34" t="str">
        <f t="shared" si="8"/>
        <v/>
      </c>
      <c r="Y12" s="34" t="str">
        <f t="shared" si="9"/>
        <v/>
      </c>
      <c r="Z12" s="34" t="str">
        <f t="shared" si="10"/>
        <v/>
      </c>
      <c r="AA12" s="26" t="str">
        <f t="shared" si="11"/>
        <v/>
      </c>
      <c r="AB12" s="34"/>
      <c r="AC12" s="26" t="str">
        <f t="shared" si="12"/>
        <v/>
      </c>
      <c r="AD12" s="34"/>
      <c r="AE12" s="26" t="str">
        <f t="shared" si="13"/>
        <v/>
      </c>
      <c r="AG12" s="35" t="str">
        <f t="shared" si="14"/>
        <v/>
      </c>
      <c r="AH12" s="35" t="str">
        <f t="shared" si="15"/>
        <v/>
      </c>
      <c r="AI12" s="35" t="str">
        <f t="shared" si="16"/>
        <v/>
      </c>
      <c r="AJ12" s="35" t="str">
        <f t="shared" si="17"/>
        <v/>
      </c>
      <c r="AK12" s="35" t="str">
        <f t="shared" si="18"/>
        <v/>
      </c>
      <c r="AL12" s="35" t="str">
        <f t="shared" ref="AL12:AM12" si="23">IF(AK12="","","0")</f>
        <v/>
      </c>
      <c r="AM12" s="35" t="str">
        <f t="shared" si="23"/>
        <v/>
      </c>
      <c r="AP12" s="12" t="s">
        <v>36</v>
      </c>
      <c r="AQ12" s="12">
        <v>304.0</v>
      </c>
      <c r="AR12" s="36" t="s">
        <v>43</v>
      </c>
      <c r="AS12" s="12" t="s">
        <v>44</v>
      </c>
      <c r="AT12" s="36">
        <v>2319.0</v>
      </c>
    </row>
    <row r="13">
      <c r="A13" s="8"/>
      <c r="B13" s="8"/>
      <c r="C13" s="8"/>
      <c r="D13" s="8"/>
      <c r="E13" s="8"/>
      <c r="F13" s="8"/>
      <c r="G13" s="8"/>
      <c r="H13" s="8"/>
      <c r="I13" s="8"/>
      <c r="J13" s="8" t="str">
        <f t="shared" si="2"/>
        <v/>
      </c>
      <c r="K13" s="8" t="str">
        <f t="shared" si="3"/>
        <v/>
      </c>
      <c r="L13" s="29">
        <v>1993.0</v>
      </c>
      <c r="M13" s="30" t="str">
        <f t="shared" si="6"/>
        <v/>
      </c>
      <c r="N13" s="31" t="str">
        <f t="shared" si="1"/>
        <v/>
      </c>
      <c r="O13" s="32" t="str">
        <f t="shared" ref="O13:R13" si="24">IF($N13="","","0")</f>
        <v/>
      </c>
      <c r="P13" s="32" t="str">
        <f t="shared" si="24"/>
        <v/>
      </c>
      <c r="Q13" s="32" t="str">
        <f t="shared" si="24"/>
        <v/>
      </c>
      <c r="R13" s="32" t="str">
        <f t="shared" si="24"/>
        <v/>
      </c>
      <c r="S13" s="30"/>
      <c r="T13" s="30"/>
      <c r="U13" s="33"/>
      <c r="V13" s="30"/>
      <c r="W13" s="12"/>
      <c r="X13" s="34" t="str">
        <f t="shared" si="8"/>
        <v/>
      </c>
      <c r="Y13" s="34" t="str">
        <f t="shared" si="9"/>
        <v/>
      </c>
      <c r="Z13" s="34" t="str">
        <f t="shared" si="10"/>
        <v/>
      </c>
      <c r="AA13" s="26" t="str">
        <f t="shared" si="11"/>
        <v/>
      </c>
      <c r="AB13" s="34"/>
      <c r="AC13" s="26" t="str">
        <f t="shared" si="12"/>
        <v/>
      </c>
      <c r="AD13" s="34"/>
      <c r="AE13" s="26" t="str">
        <f t="shared" si="13"/>
        <v/>
      </c>
      <c r="AG13" s="35" t="str">
        <f t="shared" si="14"/>
        <v/>
      </c>
      <c r="AH13" s="35" t="str">
        <f t="shared" si="15"/>
        <v/>
      </c>
      <c r="AI13" s="35" t="str">
        <f t="shared" si="16"/>
        <v/>
      </c>
      <c r="AJ13" s="35" t="str">
        <f t="shared" si="17"/>
        <v/>
      </c>
      <c r="AK13" s="35" t="str">
        <f t="shared" si="18"/>
        <v/>
      </c>
      <c r="AL13" s="35" t="str">
        <f t="shared" ref="AL13:AM13" si="25">IF(AK13="","","0")</f>
        <v/>
      </c>
      <c r="AM13" s="35" t="str">
        <f t="shared" si="25"/>
        <v/>
      </c>
      <c r="AP13" s="12" t="s">
        <v>36</v>
      </c>
      <c r="AQ13" s="12">
        <v>305.0</v>
      </c>
      <c r="AR13" s="36" t="s">
        <v>45</v>
      </c>
      <c r="AS13" s="12" t="s">
        <v>46</v>
      </c>
      <c r="AT13" s="36">
        <v>1898.0</v>
      </c>
    </row>
    <row r="14">
      <c r="A14" s="8"/>
      <c r="B14" s="8"/>
      <c r="C14" s="8"/>
      <c r="D14" s="8"/>
      <c r="E14" s="8"/>
      <c r="F14" s="8"/>
      <c r="G14" s="8"/>
      <c r="H14" s="8"/>
      <c r="I14" s="8"/>
      <c r="J14" s="8" t="str">
        <f t="shared" si="2"/>
        <v/>
      </c>
      <c r="K14" s="8" t="str">
        <f t="shared" si="3"/>
        <v/>
      </c>
      <c r="L14" s="29">
        <v>1705.0</v>
      </c>
      <c r="M14" s="30" t="str">
        <f t="shared" si="6"/>
        <v/>
      </c>
      <c r="N14" s="31" t="str">
        <f t="shared" si="1"/>
        <v/>
      </c>
      <c r="O14" s="32" t="str">
        <f t="shared" ref="O14:R14" si="26">IF($N14="","","0")</f>
        <v/>
      </c>
      <c r="P14" s="32" t="str">
        <f t="shared" si="26"/>
        <v/>
      </c>
      <c r="Q14" s="32" t="str">
        <f t="shared" si="26"/>
        <v/>
      </c>
      <c r="R14" s="32" t="str">
        <f t="shared" si="26"/>
        <v/>
      </c>
      <c r="S14" s="30"/>
      <c r="T14" s="30"/>
      <c r="U14" s="33"/>
      <c r="V14" s="30"/>
      <c r="W14" s="12"/>
      <c r="X14" s="34" t="str">
        <f t="shared" si="8"/>
        <v/>
      </c>
      <c r="Y14" s="34" t="str">
        <f t="shared" si="9"/>
        <v/>
      </c>
      <c r="Z14" s="34" t="str">
        <f t="shared" si="10"/>
        <v/>
      </c>
      <c r="AA14" s="26" t="str">
        <f t="shared" si="11"/>
        <v/>
      </c>
      <c r="AB14" s="34"/>
      <c r="AC14" s="26" t="str">
        <f t="shared" si="12"/>
        <v/>
      </c>
      <c r="AD14" s="34"/>
      <c r="AE14" s="26" t="str">
        <f t="shared" si="13"/>
        <v/>
      </c>
      <c r="AG14" s="35" t="str">
        <f t="shared" si="14"/>
        <v/>
      </c>
      <c r="AH14" s="35" t="str">
        <f t="shared" si="15"/>
        <v/>
      </c>
      <c r="AI14" s="35" t="str">
        <f t="shared" si="16"/>
        <v/>
      </c>
      <c r="AJ14" s="35" t="str">
        <f t="shared" si="17"/>
        <v/>
      </c>
      <c r="AK14" s="35" t="str">
        <f t="shared" si="18"/>
        <v/>
      </c>
      <c r="AL14" s="35" t="str">
        <f t="shared" ref="AL14:AM14" si="27">IF(AK14="","","0")</f>
        <v/>
      </c>
      <c r="AM14" s="35" t="str">
        <f t="shared" si="27"/>
        <v/>
      </c>
      <c r="AP14" s="12" t="s">
        <v>36</v>
      </c>
      <c r="AQ14" s="12">
        <v>306.0</v>
      </c>
      <c r="AR14" s="36" t="s">
        <v>47</v>
      </c>
      <c r="AS14" s="12" t="s">
        <v>48</v>
      </c>
      <c r="AT14" s="36">
        <v>1492.0</v>
      </c>
    </row>
    <row r="15">
      <c r="A15" s="8"/>
      <c r="B15" s="8"/>
      <c r="C15" s="8"/>
      <c r="D15" s="8"/>
      <c r="E15" s="8"/>
      <c r="F15" s="8"/>
      <c r="G15" s="8"/>
      <c r="H15" s="8"/>
      <c r="I15" s="8"/>
      <c r="J15" s="8" t="str">
        <f t="shared" si="2"/>
        <v/>
      </c>
      <c r="K15" s="8" t="str">
        <f t="shared" si="3"/>
        <v/>
      </c>
      <c r="L15" s="29">
        <v>1062.0</v>
      </c>
      <c r="M15" s="30" t="str">
        <f t="shared" si="6"/>
        <v/>
      </c>
      <c r="N15" s="31" t="str">
        <f t="shared" si="1"/>
        <v/>
      </c>
      <c r="O15" s="32" t="str">
        <f t="shared" ref="O15:R15" si="28">IF($N15="","","0")</f>
        <v/>
      </c>
      <c r="P15" s="32" t="str">
        <f t="shared" si="28"/>
        <v/>
      </c>
      <c r="Q15" s="32" t="str">
        <f t="shared" si="28"/>
        <v/>
      </c>
      <c r="R15" s="32" t="str">
        <f t="shared" si="28"/>
        <v/>
      </c>
      <c r="S15" s="30"/>
      <c r="T15" s="30"/>
      <c r="U15" s="33"/>
      <c r="V15" s="30"/>
      <c r="W15" s="12"/>
      <c r="X15" s="34" t="str">
        <f t="shared" si="8"/>
        <v/>
      </c>
      <c r="Y15" s="34" t="str">
        <f t="shared" si="9"/>
        <v/>
      </c>
      <c r="Z15" s="34" t="str">
        <f t="shared" si="10"/>
        <v/>
      </c>
      <c r="AA15" s="26" t="str">
        <f t="shared" si="11"/>
        <v/>
      </c>
      <c r="AB15" s="34"/>
      <c r="AC15" s="26" t="str">
        <f t="shared" si="12"/>
        <v/>
      </c>
      <c r="AD15" s="34"/>
      <c r="AE15" s="26" t="str">
        <f t="shared" si="13"/>
        <v/>
      </c>
      <c r="AG15" s="35" t="str">
        <f t="shared" si="14"/>
        <v/>
      </c>
      <c r="AH15" s="35" t="str">
        <f t="shared" si="15"/>
        <v/>
      </c>
      <c r="AI15" s="35" t="str">
        <f t="shared" si="16"/>
        <v/>
      </c>
      <c r="AJ15" s="35" t="str">
        <f t="shared" si="17"/>
        <v/>
      </c>
      <c r="AK15" s="35" t="str">
        <f t="shared" si="18"/>
        <v/>
      </c>
      <c r="AL15" s="35" t="str">
        <f t="shared" ref="AL15:AM15" si="29">IF(AK15="","","0")</f>
        <v/>
      </c>
      <c r="AM15" s="35" t="str">
        <f t="shared" si="29"/>
        <v/>
      </c>
      <c r="AP15" s="12" t="s">
        <v>36</v>
      </c>
      <c r="AQ15" s="12">
        <v>307.0</v>
      </c>
      <c r="AR15" s="36" t="s">
        <v>49</v>
      </c>
      <c r="AS15" s="12" t="s">
        <v>50</v>
      </c>
      <c r="AT15" s="36">
        <v>1307.0</v>
      </c>
    </row>
    <row r="16">
      <c r="A16" s="8"/>
      <c r="B16" s="8"/>
      <c r="C16" s="8"/>
      <c r="D16" s="8"/>
      <c r="E16" s="8"/>
      <c r="F16" s="8"/>
      <c r="G16" s="8"/>
      <c r="H16" s="8"/>
      <c r="I16" s="8"/>
      <c r="J16" s="8" t="str">
        <f t="shared" si="2"/>
        <v/>
      </c>
      <c r="K16" s="8" t="str">
        <f t="shared" si="3"/>
        <v/>
      </c>
      <c r="L16" s="29">
        <v>1356.0</v>
      </c>
      <c r="M16" s="30" t="str">
        <f t="shared" si="6"/>
        <v/>
      </c>
      <c r="N16" s="31" t="str">
        <f t="shared" si="1"/>
        <v/>
      </c>
      <c r="O16" s="32" t="str">
        <f t="shared" ref="O16:R16" si="30">IF($N16="","","0")</f>
        <v/>
      </c>
      <c r="P16" s="32" t="str">
        <f t="shared" si="30"/>
        <v/>
      </c>
      <c r="Q16" s="32" t="str">
        <f t="shared" si="30"/>
        <v/>
      </c>
      <c r="R16" s="32" t="str">
        <f t="shared" si="30"/>
        <v/>
      </c>
      <c r="S16" s="30"/>
      <c r="T16" s="30"/>
      <c r="U16" s="33"/>
      <c r="V16" s="30"/>
      <c r="W16" s="12"/>
      <c r="X16" s="34" t="str">
        <f t="shared" si="8"/>
        <v/>
      </c>
      <c r="Y16" s="34" t="str">
        <f t="shared" si="9"/>
        <v/>
      </c>
      <c r="Z16" s="34" t="str">
        <f t="shared" si="10"/>
        <v/>
      </c>
      <c r="AA16" s="26" t="str">
        <f t="shared" si="11"/>
        <v/>
      </c>
      <c r="AB16" s="34"/>
      <c r="AC16" s="26" t="str">
        <f t="shared" si="12"/>
        <v/>
      </c>
      <c r="AD16" s="34"/>
      <c r="AE16" s="26" t="str">
        <f t="shared" si="13"/>
        <v/>
      </c>
      <c r="AG16" s="35" t="str">
        <f t="shared" si="14"/>
        <v/>
      </c>
      <c r="AH16" s="35" t="str">
        <f t="shared" si="15"/>
        <v/>
      </c>
      <c r="AI16" s="35" t="str">
        <f t="shared" si="16"/>
        <v/>
      </c>
      <c r="AJ16" s="35" t="str">
        <f t="shared" si="17"/>
        <v/>
      </c>
      <c r="AK16" s="35" t="str">
        <f t="shared" si="18"/>
        <v/>
      </c>
      <c r="AL16" s="35" t="str">
        <f t="shared" ref="AL16:AM16" si="31">IF(AK16="","","0")</f>
        <v/>
      </c>
      <c r="AM16" s="35" t="str">
        <f t="shared" si="31"/>
        <v/>
      </c>
      <c r="AP16" s="12" t="s">
        <v>36</v>
      </c>
      <c r="AQ16" s="12">
        <v>308.0</v>
      </c>
      <c r="AR16" s="36" t="s">
        <v>51</v>
      </c>
      <c r="AS16" s="12" t="s">
        <v>52</v>
      </c>
      <c r="AT16" s="36">
        <v>1722.0</v>
      </c>
    </row>
    <row r="17">
      <c r="A17" s="8"/>
      <c r="B17" s="8"/>
      <c r="C17" s="8"/>
      <c r="D17" s="8"/>
      <c r="E17" s="8"/>
      <c r="F17" s="8"/>
      <c r="G17" s="8"/>
      <c r="H17" s="8"/>
      <c r="I17" s="8"/>
      <c r="J17" s="8" t="str">
        <f t="shared" si="2"/>
        <v/>
      </c>
      <c r="K17" s="8" t="str">
        <f t="shared" si="3"/>
        <v/>
      </c>
      <c r="L17" s="37">
        <v>393.0</v>
      </c>
      <c r="M17" s="30" t="str">
        <f t="shared" si="6"/>
        <v/>
      </c>
      <c r="N17" s="31" t="str">
        <f t="shared" si="1"/>
        <v/>
      </c>
      <c r="O17" s="32" t="str">
        <f t="shared" ref="O17:R17" si="32">IF($N17="","","0")</f>
        <v/>
      </c>
      <c r="P17" s="32" t="str">
        <f t="shared" si="32"/>
        <v/>
      </c>
      <c r="Q17" s="32" t="str">
        <f t="shared" si="32"/>
        <v/>
      </c>
      <c r="R17" s="32" t="str">
        <f t="shared" si="32"/>
        <v/>
      </c>
      <c r="S17" s="30"/>
      <c r="T17" s="30"/>
      <c r="U17" s="33"/>
      <c r="V17" s="30"/>
      <c r="W17" s="12"/>
      <c r="X17" s="34" t="str">
        <f t="shared" si="8"/>
        <v/>
      </c>
      <c r="Y17" s="34" t="str">
        <f t="shared" si="9"/>
        <v/>
      </c>
      <c r="Z17" s="34" t="str">
        <f t="shared" si="10"/>
        <v/>
      </c>
      <c r="AA17" s="26" t="str">
        <f t="shared" si="11"/>
        <v/>
      </c>
      <c r="AB17" s="34"/>
      <c r="AC17" s="26" t="str">
        <f t="shared" si="12"/>
        <v/>
      </c>
      <c r="AD17" s="34"/>
      <c r="AE17" s="26" t="str">
        <f t="shared" si="13"/>
        <v/>
      </c>
      <c r="AG17" s="35" t="str">
        <f t="shared" si="14"/>
        <v/>
      </c>
      <c r="AH17" s="35" t="str">
        <f t="shared" si="15"/>
        <v/>
      </c>
      <c r="AI17" s="35" t="str">
        <f t="shared" si="16"/>
        <v/>
      </c>
      <c r="AJ17" s="35" t="str">
        <f t="shared" si="17"/>
        <v/>
      </c>
      <c r="AK17" s="35" t="str">
        <f t="shared" si="18"/>
        <v/>
      </c>
      <c r="AL17" s="35" t="str">
        <f t="shared" ref="AL17:AM17" si="33">IF(AK17="","","0")</f>
        <v/>
      </c>
      <c r="AM17" s="35" t="str">
        <f t="shared" si="33"/>
        <v/>
      </c>
      <c r="AP17" s="12" t="s">
        <v>36</v>
      </c>
      <c r="AQ17" s="12">
        <v>309.0</v>
      </c>
      <c r="AR17" s="12" t="s">
        <v>53</v>
      </c>
      <c r="AS17" s="12" t="s">
        <v>54</v>
      </c>
      <c r="AT17" s="12">
        <v>404.0</v>
      </c>
    </row>
    <row r="18">
      <c r="A18" s="8"/>
      <c r="B18" s="8"/>
      <c r="C18" s="8"/>
      <c r="D18" s="8"/>
      <c r="E18" s="8"/>
      <c r="F18" s="8"/>
      <c r="G18" s="8"/>
      <c r="H18" s="8"/>
      <c r="I18" s="8"/>
      <c r="J18" s="8" t="str">
        <f t="shared" si="2"/>
        <v/>
      </c>
      <c r="K18" s="8" t="str">
        <f t="shared" si="3"/>
        <v/>
      </c>
      <c r="L18" s="37">
        <v>529.0</v>
      </c>
      <c r="M18" s="30" t="str">
        <f t="shared" si="6"/>
        <v/>
      </c>
      <c r="N18" s="31" t="str">
        <f t="shared" si="1"/>
        <v/>
      </c>
      <c r="O18" s="32" t="str">
        <f t="shared" ref="O18:R18" si="34">IF($N18="","","0")</f>
        <v/>
      </c>
      <c r="P18" s="32" t="str">
        <f t="shared" si="34"/>
        <v/>
      </c>
      <c r="Q18" s="32" t="str">
        <f t="shared" si="34"/>
        <v/>
      </c>
      <c r="R18" s="32" t="str">
        <f t="shared" si="34"/>
        <v/>
      </c>
      <c r="S18" s="30"/>
      <c r="T18" s="30"/>
      <c r="U18" s="33"/>
      <c r="V18" s="30"/>
      <c r="W18" s="12"/>
      <c r="X18" s="34" t="str">
        <f t="shared" si="8"/>
        <v/>
      </c>
      <c r="Y18" s="34" t="str">
        <f t="shared" si="9"/>
        <v/>
      </c>
      <c r="Z18" s="34" t="str">
        <f t="shared" si="10"/>
        <v/>
      </c>
      <c r="AA18" s="26" t="str">
        <f t="shared" si="11"/>
        <v/>
      </c>
      <c r="AB18" s="34"/>
      <c r="AC18" s="26" t="str">
        <f t="shared" si="12"/>
        <v/>
      </c>
      <c r="AD18" s="34"/>
      <c r="AE18" s="26" t="str">
        <f t="shared" si="13"/>
        <v/>
      </c>
      <c r="AG18" s="35" t="str">
        <f t="shared" si="14"/>
        <v/>
      </c>
      <c r="AH18" s="35" t="str">
        <f t="shared" si="15"/>
        <v/>
      </c>
      <c r="AI18" s="35" t="str">
        <f t="shared" si="16"/>
        <v/>
      </c>
      <c r="AJ18" s="35" t="str">
        <f t="shared" si="17"/>
        <v/>
      </c>
      <c r="AK18" s="35" t="str">
        <f t="shared" si="18"/>
        <v/>
      </c>
      <c r="AL18" s="35" t="str">
        <f t="shared" ref="AL18:AM18" si="35">IF(AK18="","","0")</f>
        <v/>
      </c>
      <c r="AM18" s="35" t="str">
        <f t="shared" si="35"/>
        <v/>
      </c>
      <c r="AP18" s="12" t="s">
        <v>36</v>
      </c>
      <c r="AQ18" s="12">
        <v>310.0</v>
      </c>
      <c r="AR18" s="12" t="s">
        <v>55</v>
      </c>
      <c r="AS18" s="12" t="s">
        <v>56</v>
      </c>
      <c r="AT18" s="12">
        <v>315.0</v>
      </c>
    </row>
    <row r="19">
      <c r="A19" s="8"/>
      <c r="B19" s="8"/>
      <c r="C19" s="8"/>
      <c r="D19" s="8"/>
      <c r="E19" s="8"/>
      <c r="F19" s="8"/>
      <c r="G19" s="8"/>
      <c r="H19" s="8"/>
      <c r="I19" s="8"/>
      <c r="J19" s="8" t="str">
        <f t="shared" si="2"/>
        <v/>
      </c>
      <c r="K19" s="8" t="str">
        <f t="shared" si="3"/>
        <v/>
      </c>
      <c r="L19" s="37">
        <v>434.0</v>
      </c>
      <c r="M19" s="30" t="str">
        <f t="shared" si="6"/>
        <v/>
      </c>
      <c r="N19" s="31" t="str">
        <f t="shared" si="1"/>
        <v/>
      </c>
      <c r="O19" s="32" t="str">
        <f t="shared" ref="O19:R19" si="36">IF($N19="","","0")</f>
        <v/>
      </c>
      <c r="P19" s="32" t="str">
        <f t="shared" si="36"/>
        <v/>
      </c>
      <c r="Q19" s="32" t="str">
        <f t="shared" si="36"/>
        <v/>
      </c>
      <c r="R19" s="32" t="str">
        <f t="shared" si="36"/>
        <v/>
      </c>
      <c r="S19" s="30"/>
      <c r="T19" s="30"/>
      <c r="U19" s="33"/>
      <c r="V19" s="30"/>
      <c r="W19" s="12"/>
      <c r="X19" s="34" t="str">
        <f t="shared" si="8"/>
        <v/>
      </c>
      <c r="Y19" s="34" t="str">
        <f t="shared" si="9"/>
        <v/>
      </c>
      <c r="Z19" s="34" t="str">
        <f t="shared" si="10"/>
        <v/>
      </c>
      <c r="AA19" s="26" t="str">
        <f t="shared" si="11"/>
        <v/>
      </c>
      <c r="AB19" s="34"/>
      <c r="AC19" s="26" t="str">
        <f t="shared" si="12"/>
        <v/>
      </c>
      <c r="AD19" s="34"/>
      <c r="AE19" s="26" t="str">
        <f t="shared" si="13"/>
        <v/>
      </c>
      <c r="AG19" s="35" t="str">
        <f t="shared" si="14"/>
        <v/>
      </c>
      <c r="AH19" s="35" t="str">
        <f t="shared" si="15"/>
        <v/>
      </c>
      <c r="AI19" s="35" t="str">
        <f t="shared" si="16"/>
        <v/>
      </c>
      <c r="AJ19" s="35" t="str">
        <f t="shared" si="17"/>
        <v/>
      </c>
      <c r="AK19" s="35" t="str">
        <f t="shared" si="18"/>
        <v/>
      </c>
      <c r="AL19" s="35" t="str">
        <f t="shared" ref="AL19:AM19" si="37">IF(AK19="","","0")</f>
        <v/>
      </c>
      <c r="AM19" s="35" t="str">
        <f t="shared" si="37"/>
        <v/>
      </c>
      <c r="AP19" s="12" t="s">
        <v>36</v>
      </c>
      <c r="AQ19" s="12">
        <v>311.0</v>
      </c>
      <c r="AR19" s="12" t="s">
        <v>57</v>
      </c>
      <c r="AS19" s="12" t="s">
        <v>58</v>
      </c>
      <c r="AT19" s="12">
        <v>516.0</v>
      </c>
    </row>
    <row r="20">
      <c r="A20" s="8"/>
      <c r="B20" s="8"/>
      <c r="C20" s="8"/>
      <c r="D20" s="8"/>
      <c r="E20" s="8"/>
      <c r="F20" s="8"/>
      <c r="G20" s="8"/>
      <c r="H20" s="8"/>
      <c r="I20" s="8"/>
      <c r="J20" s="8" t="str">
        <f t="shared" si="2"/>
        <v/>
      </c>
      <c r="K20" s="8" t="str">
        <f t="shared" si="3"/>
        <v/>
      </c>
      <c r="L20" s="29">
        <v>952.0</v>
      </c>
      <c r="M20" s="30" t="str">
        <f t="shared" si="6"/>
        <v/>
      </c>
      <c r="N20" s="31" t="str">
        <f t="shared" si="1"/>
        <v/>
      </c>
      <c r="O20" s="32" t="str">
        <f t="shared" ref="O20:R20" si="38">IF($N20="","","0")</f>
        <v/>
      </c>
      <c r="P20" s="32" t="str">
        <f t="shared" si="38"/>
        <v/>
      </c>
      <c r="Q20" s="32" t="str">
        <f t="shared" si="38"/>
        <v/>
      </c>
      <c r="R20" s="32" t="str">
        <f t="shared" si="38"/>
        <v/>
      </c>
      <c r="S20" s="30"/>
      <c r="T20" s="30"/>
      <c r="U20" s="33"/>
      <c r="V20" s="30"/>
      <c r="W20" s="12"/>
      <c r="X20" s="34" t="str">
        <f t="shared" si="8"/>
        <v/>
      </c>
      <c r="Y20" s="34" t="str">
        <f t="shared" si="9"/>
        <v/>
      </c>
      <c r="Z20" s="34" t="str">
        <f t="shared" si="10"/>
        <v/>
      </c>
      <c r="AA20" s="26" t="str">
        <f t="shared" si="11"/>
        <v/>
      </c>
      <c r="AB20" s="34"/>
      <c r="AC20" s="26" t="str">
        <f t="shared" si="12"/>
        <v/>
      </c>
      <c r="AD20" s="34"/>
      <c r="AE20" s="26" t="str">
        <f t="shared" si="13"/>
        <v/>
      </c>
      <c r="AG20" s="35" t="str">
        <f t="shared" si="14"/>
        <v/>
      </c>
      <c r="AH20" s="35" t="str">
        <f t="shared" si="15"/>
        <v/>
      </c>
      <c r="AI20" s="35" t="str">
        <f t="shared" si="16"/>
        <v/>
      </c>
      <c r="AJ20" s="35" t="str">
        <f t="shared" si="17"/>
        <v/>
      </c>
      <c r="AK20" s="35" t="str">
        <f t="shared" si="18"/>
        <v/>
      </c>
      <c r="AL20" s="35" t="str">
        <f t="shared" ref="AL20:AM20" si="39">IF(AK20="","","0")</f>
        <v/>
      </c>
      <c r="AM20" s="35" t="str">
        <f t="shared" si="39"/>
        <v/>
      </c>
      <c r="AP20" s="12" t="s">
        <v>36</v>
      </c>
      <c r="AQ20" s="12">
        <v>312.0</v>
      </c>
      <c r="AR20" s="36" t="s">
        <v>59</v>
      </c>
      <c r="AS20" s="12" t="s">
        <v>60</v>
      </c>
      <c r="AT20" s="36">
        <v>1094.0</v>
      </c>
    </row>
    <row r="21">
      <c r="A21" s="8"/>
      <c r="B21" s="8"/>
      <c r="C21" s="8"/>
      <c r="D21" s="8"/>
      <c r="E21" s="8"/>
      <c r="F21" s="8"/>
      <c r="G21" s="8"/>
      <c r="H21" s="8"/>
      <c r="I21" s="8"/>
      <c r="J21" s="8" t="str">
        <f t="shared" si="2"/>
        <v/>
      </c>
      <c r="K21" s="8" t="str">
        <f t="shared" si="3"/>
        <v/>
      </c>
      <c r="L21" s="29">
        <v>1096.0</v>
      </c>
      <c r="M21" s="30" t="str">
        <f t="shared" si="6"/>
        <v/>
      </c>
      <c r="N21" s="31" t="str">
        <f t="shared" si="1"/>
        <v/>
      </c>
      <c r="O21" s="32" t="str">
        <f t="shared" ref="O21:R21" si="40">IF($N21="","","0")</f>
        <v/>
      </c>
      <c r="P21" s="32" t="str">
        <f t="shared" si="40"/>
        <v/>
      </c>
      <c r="Q21" s="32" t="str">
        <f t="shared" si="40"/>
        <v/>
      </c>
      <c r="R21" s="32" t="str">
        <f t="shared" si="40"/>
        <v/>
      </c>
      <c r="S21" s="30"/>
      <c r="T21" s="30"/>
      <c r="U21" s="33"/>
      <c r="V21" s="30"/>
      <c r="W21" s="12"/>
      <c r="X21" s="34" t="str">
        <f t="shared" si="8"/>
        <v/>
      </c>
      <c r="Y21" s="34" t="str">
        <f t="shared" si="9"/>
        <v/>
      </c>
      <c r="Z21" s="34" t="str">
        <f t="shared" si="10"/>
        <v/>
      </c>
      <c r="AA21" s="26" t="str">
        <f t="shared" si="11"/>
        <v/>
      </c>
      <c r="AB21" s="34"/>
      <c r="AC21" s="26" t="str">
        <f t="shared" si="12"/>
        <v/>
      </c>
      <c r="AD21" s="34"/>
      <c r="AE21" s="26" t="str">
        <f t="shared" si="13"/>
        <v/>
      </c>
      <c r="AG21" s="35" t="str">
        <f t="shared" si="14"/>
        <v/>
      </c>
      <c r="AH21" s="35" t="str">
        <f t="shared" si="15"/>
        <v/>
      </c>
      <c r="AI21" s="35" t="str">
        <f t="shared" si="16"/>
        <v/>
      </c>
      <c r="AJ21" s="35" t="str">
        <f t="shared" si="17"/>
        <v/>
      </c>
      <c r="AK21" s="35" t="str">
        <f t="shared" si="18"/>
        <v/>
      </c>
      <c r="AL21" s="35" t="str">
        <f t="shared" ref="AL21:AM21" si="41">IF(AK21="","","0")</f>
        <v/>
      </c>
      <c r="AM21" s="35" t="str">
        <f t="shared" si="41"/>
        <v/>
      </c>
      <c r="AP21" s="12" t="s">
        <v>36</v>
      </c>
      <c r="AQ21" s="12">
        <v>313.0</v>
      </c>
      <c r="AR21" s="36" t="s">
        <v>61</v>
      </c>
      <c r="AS21" s="12" t="s">
        <v>62</v>
      </c>
      <c r="AT21" s="36">
        <v>1062.0</v>
      </c>
    </row>
    <row r="22">
      <c r="A22" s="8"/>
      <c r="B22" s="8"/>
      <c r="C22" s="8"/>
      <c r="D22" s="8"/>
      <c r="E22" s="8"/>
      <c r="F22" s="8"/>
      <c r="G22" s="8"/>
      <c r="H22" s="8"/>
      <c r="I22" s="8"/>
      <c r="J22" s="8" t="str">
        <f t="shared" si="2"/>
        <v/>
      </c>
      <c r="K22" s="8" t="str">
        <f t="shared" si="3"/>
        <v/>
      </c>
      <c r="L22" s="29">
        <v>1035.0</v>
      </c>
      <c r="M22" s="30" t="str">
        <f t="shared" si="6"/>
        <v/>
      </c>
      <c r="N22" s="31" t="str">
        <f t="shared" si="1"/>
        <v/>
      </c>
      <c r="O22" s="32" t="str">
        <f t="shared" ref="O22:R22" si="42">IF($N22="","","0")</f>
        <v/>
      </c>
      <c r="P22" s="32" t="str">
        <f t="shared" si="42"/>
        <v/>
      </c>
      <c r="Q22" s="32" t="str">
        <f t="shared" si="42"/>
        <v/>
      </c>
      <c r="R22" s="32" t="str">
        <f t="shared" si="42"/>
        <v/>
      </c>
      <c r="S22" s="30"/>
      <c r="T22" s="30"/>
      <c r="U22" s="33"/>
      <c r="V22" s="30"/>
      <c r="W22" s="12"/>
      <c r="X22" s="34" t="str">
        <f t="shared" si="8"/>
        <v/>
      </c>
      <c r="Y22" s="34" t="str">
        <f t="shared" si="9"/>
        <v/>
      </c>
      <c r="Z22" s="34" t="str">
        <f t="shared" si="10"/>
        <v/>
      </c>
      <c r="AA22" s="26" t="str">
        <f t="shared" si="11"/>
        <v/>
      </c>
      <c r="AB22" s="34"/>
      <c r="AC22" s="26" t="str">
        <f t="shared" si="12"/>
        <v/>
      </c>
      <c r="AD22" s="34"/>
      <c r="AE22" s="26" t="str">
        <f t="shared" si="13"/>
        <v/>
      </c>
      <c r="AG22" s="35" t="str">
        <f t="shared" si="14"/>
        <v/>
      </c>
      <c r="AH22" s="35" t="str">
        <f t="shared" si="15"/>
        <v/>
      </c>
      <c r="AI22" s="35" t="str">
        <f t="shared" si="16"/>
        <v/>
      </c>
      <c r="AJ22" s="35" t="str">
        <f t="shared" si="17"/>
        <v/>
      </c>
      <c r="AK22" s="35" t="str">
        <f t="shared" si="18"/>
        <v/>
      </c>
      <c r="AL22" s="35" t="str">
        <f t="shared" ref="AL22:AM22" si="43">IF(AK22="","","0")</f>
        <v/>
      </c>
      <c r="AM22" s="35" t="str">
        <f t="shared" si="43"/>
        <v/>
      </c>
      <c r="AP22" s="12" t="s">
        <v>36</v>
      </c>
      <c r="AQ22" s="12">
        <v>314.0</v>
      </c>
      <c r="AR22" s="12" t="s">
        <v>63</v>
      </c>
      <c r="AS22" s="12" t="s">
        <v>64</v>
      </c>
      <c r="AT22" s="12">
        <v>737.0</v>
      </c>
    </row>
    <row r="23">
      <c r="A23" s="8"/>
      <c r="B23" s="8"/>
      <c r="C23" s="8"/>
      <c r="D23" s="8"/>
      <c r="E23" s="8"/>
      <c r="F23" s="8"/>
      <c r="G23" s="8"/>
      <c r="H23" s="8"/>
      <c r="I23" s="8"/>
      <c r="J23" s="8" t="str">
        <f t="shared" si="2"/>
        <v/>
      </c>
      <c r="K23" s="8" t="str">
        <f t="shared" si="3"/>
        <v/>
      </c>
      <c r="L23" s="37">
        <v>558.0</v>
      </c>
      <c r="M23" s="30" t="str">
        <f t="shared" si="6"/>
        <v/>
      </c>
      <c r="N23" s="31" t="str">
        <f t="shared" si="1"/>
        <v/>
      </c>
      <c r="O23" s="32" t="str">
        <f t="shared" ref="O23:R23" si="44">IF($N23="","","0")</f>
        <v/>
      </c>
      <c r="P23" s="32" t="str">
        <f t="shared" si="44"/>
        <v/>
      </c>
      <c r="Q23" s="32" t="str">
        <f t="shared" si="44"/>
        <v/>
      </c>
      <c r="R23" s="32" t="str">
        <f t="shared" si="44"/>
        <v/>
      </c>
      <c r="S23" s="30"/>
      <c r="T23" s="30"/>
      <c r="U23" s="33"/>
      <c r="V23" s="30"/>
      <c r="X23" s="34" t="str">
        <f t="shared" si="8"/>
        <v/>
      </c>
      <c r="Y23" s="34" t="str">
        <f t="shared" si="9"/>
        <v/>
      </c>
      <c r="Z23" s="34" t="str">
        <f t="shared" si="10"/>
        <v/>
      </c>
      <c r="AA23" s="26" t="str">
        <f t="shared" si="11"/>
        <v/>
      </c>
      <c r="AB23" s="34"/>
      <c r="AC23" s="26" t="str">
        <f t="shared" si="12"/>
        <v/>
      </c>
      <c r="AD23" s="34"/>
      <c r="AE23" s="26" t="str">
        <f t="shared" si="13"/>
        <v/>
      </c>
      <c r="AG23" s="35" t="str">
        <f t="shared" si="14"/>
        <v/>
      </c>
      <c r="AH23" s="35" t="str">
        <f t="shared" si="15"/>
        <v/>
      </c>
      <c r="AI23" s="35" t="str">
        <f t="shared" si="16"/>
        <v/>
      </c>
      <c r="AJ23" s="35" t="str">
        <f t="shared" si="17"/>
        <v/>
      </c>
      <c r="AK23" s="35" t="str">
        <f t="shared" si="18"/>
        <v/>
      </c>
      <c r="AL23" s="35" t="str">
        <f t="shared" ref="AL23:AM23" si="45">IF(AK23="","","0")</f>
        <v/>
      </c>
      <c r="AM23" s="35" t="str">
        <f t="shared" si="45"/>
        <v/>
      </c>
      <c r="AP23" s="12" t="s">
        <v>36</v>
      </c>
      <c r="AQ23" s="12">
        <v>315.0</v>
      </c>
      <c r="AR23" s="12" t="s">
        <v>65</v>
      </c>
      <c r="AS23" s="12" t="s">
        <v>66</v>
      </c>
      <c r="AT23" s="12">
        <v>432.0</v>
      </c>
    </row>
    <row r="24">
      <c r="A24" s="4"/>
      <c r="B24" s="4"/>
      <c r="C24" s="4"/>
      <c r="D24" s="4"/>
      <c r="E24" s="4"/>
      <c r="F24" s="4"/>
      <c r="G24" s="4"/>
      <c r="H24" s="4"/>
      <c r="I24" s="8"/>
      <c r="J24" s="8" t="str">
        <f t="shared" si="2"/>
        <v/>
      </c>
      <c r="K24" s="8" t="str">
        <f t="shared" si="3"/>
        <v/>
      </c>
      <c r="L24" s="37">
        <v>640.0</v>
      </c>
      <c r="M24" s="30" t="str">
        <f t="shared" si="6"/>
        <v/>
      </c>
      <c r="N24" s="31" t="str">
        <f t="shared" si="1"/>
        <v/>
      </c>
      <c r="O24" s="32" t="str">
        <f t="shared" ref="O24:R24" si="46">IF($N24="","","0")</f>
        <v/>
      </c>
      <c r="P24" s="32" t="str">
        <f t="shared" si="46"/>
        <v/>
      </c>
      <c r="Q24" s="32" t="str">
        <f t="shared" si="46"/>
        <v/>
      </c>
      <c r="R24" s="32" t="str">
        <f t="shared" si="46"/>
        <v/>
      </c>
      <c r="S24" s="30"/>
      <c r="T24" s="30"/>
      <c r="U24" s="33"/>
      <c r="V24" s="30"/>
      <c r="X24" s="34" t="str">
        <f t="shared" si="8"/>
        <v/>
      </c>
      <c r="Y24" s="34" t="str">
        <f t="shared" si="9"/>
        <v/>
      </c>
      <c r="Z24" s="34" t="str">
        <f t="shared" si="10"/>
        <v/>
      </c>
      <c r="AA24" s="26" t="str">
        <f t="shared" si="11"/>
        <v/>
      </c>
      <c r="AB24" s="34"/>
      <c r="AC24" s="26" t="str">
        <f t="shared" si="12"/>
        <v/>
      </c>
      <c r="AD24" s="34"/>
      <c r="AE24" s="26" t="str">
        <f t="shared" si="13"/>
        <v/>
      </c>
      <c r="AG24" s="35" t="str">
        <f t="shared" si="14"/>
        <v/>
      </c>
      <c r="AH24" s="35" t="str">
        <f t="shared" si="15"/>
        <v/>
      </c>
      <c r="AI24" s="35" t="str">
        <f t="shared" si="16"/>
        <v/>
      </c>
      <c r="AJ24" s="35" t="str">
        <f t="shared" si="17"/>
        <v/>
      </c>
      <c r="AK24" s="35" t="str">
        <f t="shared" si="18"/>
        <v/>
      </c>
      <c r="AL24" s="35" t="str">
        <f t="shared" ref="AL24:AM24" si="47">IF(AK24="","","0")</f>
        <v/>
      </c>
      <c r="AM24" s="35" t="str">
        <f t="shared" si="47"/>
        <v/>
      </c>
      <c r="AP24" s="12" t="s">
        <v>36</v>
      </c>
      <c r="AQ24" s="12">
        <v>316.0</v>
      </c>
      <c r="AR24" s="12" t="s">
        <v>67</v>
      </c>
      <c r="AS24" s="12" t="s">
        <v>68</v>
      </c>
      <c r="AT24" s="12">
        <v>568.0</v>
      </c>
    </row>
    <row r="25">
      <c r="A25" s="4"/>
      <c r="B25" s="4"/>
      <c r="C25" s="4"/>
      <c r="D25" s="4"/>
      <c r="E25" s="4"/>
      <c r="F25" s="4"/>
      <c r="G25" s="4"/>
      <c r="H25" s="4"/>
      <c r="I25" s="8"/>
      <c r="J25" s="8" t="str">
        <f t="shared" si="2"/>
        <v/>
      </c>
      <c r="K25" s="8" t="str">
        <f t="shared" si="3"/>
        <v/>
      </c>
      <c r="L25" s="37">
        <v>473.0</v>
      </c>
      <c r="M25" s="30" t="str">
        <f t="shared" si="6"/>
        <v/>
      </c>
      <c r="N25" s="31" t="str">
        <f t="shared" si="1"/>
        <v/>
      </c>
      <c r="O25" s="32" t="str">
        <f t="shared" ref="O25:R25" si="48">IF($N25="","","0")</f>
        <v/>
      </c>
      <c r="P25" s="32" t="str">
        <f t="shared" si="48"/>
        <v/>
      </c>
      <c r="Q25" s="32" t="str">
        <f t="shared" si="48"/>
        <v/>
      </c>
      <c r="R25" s="32" t="str">
        <f t="shared" si="48"/>
        <v/>
      </c>
      <c r="S25" s="30"/>
      <c r="T25" s="30"/>
      <c r="U25" s="33"/>
      <c r="V25" s="30"/>
      <c r="X25" s="34" t="str">
        <f t="shared" si="8"/>
        <v/>
      </c>
      <c r="Y25" s="34" t="str">
        <f t="shared" si="9"/>
        <v/>
      </c>
      <c r="Z25" s="34" t="str">
        <f t="shared" si="10"/>
        <v/>
      </c>
      <c r="AA25" s="26" t="str">
        <f t="shared" si="11"/>
        <v/>
      </c>
      <c r="AB25" s="34"/>
      <c r="AC25" s="26" t="str">
        <f t="shared" si="12"/>
        <v/>
      </c>
      <c r="AD25" s="34"/>
      <c r="AE25" s="26" t="str">
        <f t="shared" si="13"/>
        <v/>
      </c>
      <c r="AG25" s="35" t="str">
        <f t="shared" si="14"/>
        <v/>
      </c>
      <c r="AH25" s="35" t="str">
        <f t="shared" si="15"/>
        <v/>
      </c>
      <c r="AI25" s="35" t="str">
        <f t="shared" si="16"/>
        <v/>
      </c>
      <c r="AJ25" s="35" t="str">
        <f t="shared" si="17"/>
        <v/>
      </c>
      <c r="AK25" s="35" t="str">
        <f t="shared" si="18"/>
        <v/>
      </c>
      <c r="AL25" s="35" t="str">
        <f t="shared" ref="AL25:AM25" si="49">IF(AK25="","","0")</f>
        <v/>
      </c>
      <c r="AM25" s="35" t="str">
        <f t="shared" si="49"/>
        <v/>
      </c>
      <c r="AP25" s="12" t="s">
        <v>36</v>
      </c>
      <c r="AQ25" s="12">
        <v>317.0</v>
      </c>
      <c r="AR25" s="12" t="s">
        <v>69</v>
      </c>
      <c r="AS25" s="12" t="s">
        <v>70</v>
      </c>
      <c r="AT25" s="12">
        <v>393.0</v>
      </c>
    </row>
    <row r="26">
      <c r="A26" s="4"/>
      <c r="B26" s="4"/>
      <c r="C26" s="4"/>
      <c r="D26" s="4"/>
      <c r="E26" s="4"/>
      <c r="F26" s="4"/>
      <c r="G26" s="4"/>
      <c r="H26" s="4"/>
      <c r="I26" s="8"/>
      <c r="J26" s="8" t="str">
        <f t="shared" si="2"/>
        <v/>
      </c>
      <c r="K26" s="8" t="str">
        <f t="shared" si="3"/>
        <v/>
      </c>
      <c r="L26" s="37">
        <v>292.0</v>
      </c>
      <c r="M26" s="30" t="str">
        <f t="shared" si="6"/>
        <v/>
      </c>
      <c r="N26" s="31" t="str">
        <f t="shared" si="1"/>
        <v/>
      </c>
      <c r="O26" s="32" t="str">
        <f t="shared" ref="O26:R26" si="50">IF($N26="","","0")</f>
        <v/>
      </c>
      <c r="P26" s="32" t="str">
        <f t="shared" si="50"/>
        <v/>
      </c>
      <c r="Q26" s="32" t="str">
        <f t="shared" si="50"/>
        <v/>
      </c>
      <c r="R26" s="32" t="str">
        <f t="shared" si="50"/>
        <v/>
      </c>
      <c r="S26" s="30"/>
      <c r="T26" s="30"/>
      <c r="U26" s="33" t="s">
        <v>71</v>
      </c>
      <c r="V26" s="30"/>
      <c r="X26" s="34" t="str">
        <f t="shared" si="8"/>
        <v/>
      </c>
      <c r="Y26" s="34" t="str">
        <f t="shared" si="9"/>
        <v/>
      </c>
      <c r="Z26" s="34" t="str">
        <f t="shared" si="10"/>
        <v/>
      </c>
      <c r="AA26" s="26" t="str">
        <f t="shared" si="11"/>
        <v/>
      </c>
      <c r="AB26" s="34"/>
      <c r="AC26" s="26" t="str">
        <f t="shared" si="12"/>
        <v/>
      </c>
      <c r="AD26" s="34"/>
      <c r="AE26" s="26" t="str">
        <f t="shared" si="13"/>
        <v/>
      </c>
      <c r="AG26" s="35" t="str">
        <f t="shared" si="14"/>
        <v/>
      </c>
      <c r="AH26" s="35" t="str">
        <f t="shared" si="15"/>
        <v/>
      </c>
      <c r="AI26" s="35" t="str">
        <f t="shared" si="16"/>
        <v/>
      </c>
      <c r="AJ26" s="35" t="str">
        <f t="shared" si="17"/>
        <v/>
      </c>
      <c r="AK26" s="35" t="str">
        <f t="shared" si="18"/>
        <v/>
      </c>
      <c r="AL26" s="35" t="str">
        <f t="shared" ref="AL26:AM26" si="51">IF(AK26="","","0")</f>
        <v/>
      </c>
      <c r="AM26" s="35" t="str">
        <f t="shared" si="51"/>
        <v/>
      </c>
      <c r="AP26" s="12" t="s">
        <v>36</v>
      </c>
      <c r="AQ26" s="12">
        <v>318.0</v>
      </c>
      <c r="AR26" s="12" t="s">
        <v>72</v>
      </c>
      <c r="AS26" s="12" t="s">
        <v>73</v>
      </c>
      <c r="AT26" s="12">
        <v>394.0</v>
      </c>
    </row>
    <row r="27">
      <c r="A27" s="4"/>
      <c r="B27" s="4"/>
      <c r="C27" s="4"/>
      <c r="D27" s="4"/>
      <c r="E27" s="4"/>
      <c r="F27" s="4"/>
      <c r="G27" s="4"/>
      <c r="H27" s="38"/>
      <c r="I27" s="8"/>
      <c r="J27" s="8" t="str">
        <f t="shared" si="2"/>
        <v/>
      </c>
      <c r="K27" s="8" t="str">
        <f t="shared" si="3"/>
        <v/>
      </c>
      <c r="L27" s="39"/>
      <c r="M27" s="30" t="str">
        <f t="shared" si="6"/>
        <v/>
      </c>
      <c r="N27" s="31" t="str">
        <f t="shared" si="1"/>
        <v/>
      </c>
      <c r="O27" s="32" t="str">
        <f t="shared" ref="O27:R27" si="52">IF($N27="","","0")</f>
        <v/>
      </c>
      <c r="P27" s="32" t="str">
        <f t="shared" si="52"/>
        <v/>
      </c>
      <c r="Q27" s="32" t="str">
        <f t="shared" si="52"/>
        <v/>
      </c>
      <c r="R27" s="32" t="str">
        <f t="shared" si="52"/>
        <v/>
      </c>
      <c r="S27" s="30"/>
      <c r="T27" s="30"/>
      <c r="U27" s="30"/>
      <c r="V27" s="30"/>
      <c r="X27" s="34" t="str">
        <f t="shared" si="8"/>
        <v/>
      </c>
      <c r="Y27" s="34" t="str">
        <f t="shared" si="9"/>
        <v/>
      </c>
      <c r="Z27" s="34" t="str">
        <f t="shared" si="10"/>
        <v/>
      </c>
      <c r="AA27" s="26" t="str">
        <f t="shared" si="11"/>
        <v/>
      </c>
      <c r="AB27" s="34"/>
      <c r="AC27" s="26" t="str">
        <f t="shared" si="12"/>
        <v/>
      </c>
      <c r="AD27" s="34"/>
      <c r="AE27" s="26" t="str">
        <f t="shared" si="13"/>
        <v/>
      </c>
      <c r="AG27" s="35" t="str">
        <f t="shared" si="14"/>
        <v/>
      </c>
      <c r="AH27" s="35" t="str">
        <f t="shared" si="15"/>
        <v/>
      </c>
      <c r="AI27" s="35" t="str">
        <f t="shared" si="16"/>
        <v/>
      </c>
      <c r="AJ27" s="35" t="str">
        <f t="shared" si="17"/>
        <v/>
      </c>
      <c r="AK27" s="35" t="str">
        <f t="shared" si="18"/>
        <v/>
      </c>
      <c r="AL27" s="35" t="str">
        <f t="shared" ref="AL27:AM27" si="53">IF(AK27="","","0")</f>
        <v/>
      </c>
      <c r="AM27" s="35" t="str">
        <f t="shared" si="53"/>
        <v/>
      </c>
      <c r="AP27" s="12" t="s">
        <v>36</v>
      </c>
      <c r="AQ27" s="12">
        <v>806.0</v>
      </c>
      <c r="AR27" s="12" t="s">
        <v>74</v>
      </c>
      <c r="AS27" s="12" t="s">
        <v>75</v>
      </c>
      <c r="AT27" s="12">
        <v>67.0</v>
      </c>
    </row>
    <row r="28">
      <c r="A28" s="40"/>
      <c r="B28" s="41"/>
      <c r="C28" s="41"/>
      <c r="D28" s="41"/>
      <c r="E28" s="42"/>
      <c r="F28" s="42"/>
      <c r="G28" s="42"/>
      <c r="H28" s="4"/>
      <c r="I28" s="8"/>
      <c r="J28" s="8" t="str">
        <f t="shared" si="2"/>
        <v/>
      </c>
      <c r="K28" s="8" t="str">
        <f t="shared" si="3"/>
        <v/>
      </c>
      <c r="L28" s="8" t="str">
        <f t="array" ref="L28">IFERROR(XLOOKUP(K28,C:C,G:G),"")</f>
        <v/>
      </c>
      <c r="M28" s="30" t="str">
        <f t="shared" si="6"/>
        <v/>
      </c>
      <c r="N28" s="31" t="str">
        <f t="shared" si="1"/>
        <v/>
      </c>
      <c r="O28" s="32" t="str">
        <f t="shared" ref="O28:R28" si="54">IF($N28="","","0")</f>
        <v/>
      </c>
      <c r="P28" s="32" t="str">
        <f t="shared" si="54"/>
        <v/>
      </c>
      <c r="Q28" s="32" t="str">
        <f t="shared" si="54"/>
        <v/>
      </c>
      <c r="R28" s="32" t="str">
        <f t="shared" si="54"/>
        <v/>
      </c>
      <c r="S28" s="30"/>
      <c r="T28" s="30"/>
      <c r="U28" s="30"/>
      <c r="V28" s="30"/>
      <c r="X28" s="34" t="str">
        <f t="shared" si="8"/>
        <v/>
      </c>
      <c r="Y28" s="34" t="str">
        <f t="shared" si="9"/>
        <v/>
      </c>
      <c r="Z28" s="34" t="str">
        <f t="shared" si="10"/>
        <v/>
      </c>
      <c r="AA28" s="26" t="str">
        <f t="shared" si="11"/>
        <v/>
      </c>
      <c r="AB28" s="34"/>
      <c r="AC28" s="26" t="str">
        <f t="shared" si="12"/>
        <v/>
      </c>
      <c r="AD28" s="34"/>
      <c r="AE28" s="26" t="str">
        <f t="shared" si="13"/>
        <v/>
      </c>
      <c r="AG28" s="35" t="str">
        <f t="shared" si="14"/>
        <v/>
      </c>
      <c r="AH28" s="35" t="str">
        <f t="shared" si="15"/>
        <v/>
      </c>
      <c r="AI28" s="35" t="str">
        <f t="shared" si="16"/>
        <v/>
      </c>
      <c r="AJ28" s="35" t="str">
        <f t="shared" si="17"/>
        <v/>
      </c>
      <c r="AK28" s="35" t="str">
        <f t="shared" si="18"/>
        <v/>
      </c>
      <c r="AL28" s="35" t="str">
        <f t="shared" ref="AL28:AM28" si="55">IF(AK28="","","0")</f>
        <v/>
      </c>
      <c r="AM28" s="35" t="str">
        <f t="shared" si="55"/>
        <v/>
      </c>
    </row>
    <row r="29">
      <c r="A29" s="4"/>
      <c r="B29" s="4"/>
      <c r="C29" s="4"/>
      <c r="D29" s="4"/>
      <c r="E29" s="4"/>
      <c r="F29" s="4"/>
      <c r="G29" s="4"/>
      <c r="H29" s="4"/>
      <c r="I29" s="8"/>
      <c r="J29" s="8" t="str">
        <f t="shared" si="2"/>
        <v/>
      </c>
      <c r="K29" s="8" t="str">
        <f t="shared" si="3"/>
        <v/>
      </c>
      <c r="L29" s="37">
        <v>66.0</v>
      </c>
      <c r="M29" s="30" t="str">
        <f t="shared" si="6"/>
        <v/>
      </c>
      <c r="N29" s="31" t="str">
        <f t="shared" si="1"/>
        <v/>
      </c>
      <c r="O29" s="32" t="str">
        <f t="shared" ref="O29:R29" si="56">IF($N29="","","0")</f>
        <v/>
      </c>
      <c r="P29" s="32" t="str">
        <f t="shared" si="56"/>
        <v/>
      </c>
      <c r="Q29" s="32" t="str">
        <f t="shared" si="56"/>
        <v/>
      </c>
      <c r="R29" s="32" t="str">
        <f t="shared" si="56"/>
        <v/>
      </c>
      <c r="S29" s="30"/>
      <c r="T29" s="30"/>
      <c r="U29" s="13" t="s">
        <v>76</v>
      </c>
      <c r="V29" s="30"/>
      <c r="X29" s="34" t="str">
        <f t="shared" si="8"/>
        <v/>
      </c>
      <c r="Y29" s="34" t="str">
        <f t="shared" si="9"/>
        <v/>
      </c>
      <c r="Z29" s="34" t="str">
        <f t="shared" si="10"/>
        <v/>
      </c>
      <c r="AA29" s="26" t="str">
        <f t="shared" si="11"/>
        <v/>
      </c>
      <c r="AB29" s="34"/>
      <c r="AC29" s="26" t="str">
        <f t="shared" si="12"/>
        <v/>
      </c>
      <c r="AD29" s="34"/>
      <c r="AE29" s="26" t="str">
        <f t="shared" si="13"/>
        <v/>
      </c>
      <c r="AG29" s="35" t="str">
        <f t="shared" si="14"/>
        <v/>
      </c>
      <c r="AH29" s="35" t="str">
        <f t="shared" si="15"/>
        <v/>
      </c>
      <c r="AI29" s="35" t="str">
        <f t="shared" si="16"/>
        <v/>
      </c>
      <c r="AJ29" s="35" t="str">
        <f t="shared" si="17"/>
        <v/>
      </c>
      <c r="AK29" s="35" t="str">
        <f t="shared" si="18"/>
        <v/>
      </c>
      <c r="AL29" s="35" t="str">
        <f t="shared" ref="AL29:AM29" si="57">IF(AK29="","","0")</f>
        <v/>
      </c>
      <c r="AM29" s="35" t="str">
        <f t="shared" si="57"/>
        <v/>
      </c>
    </row>
    <row r="30">
      <c r="A30" s="4"/>
      <c r="B30" s="4"/>
      <c r="C30" s="4"/>
      <c r="D30" s="4"/>
      <c r="E30" s="4"/>
      <c r="F30" s="4"/>
      <c r="G30" s="4"/>
      <c r="H30" s="4"/>
      <c r="I30" s="8"/>
      <c r="J30" s="8" t="str">
        <f t="shared" si="2"/>
        <v/>
      </c>
      <c r="K30" s="8" t="str">
        <f t="shared" si="3"/>
        <v/>
      </c>
      <c r="L30" s="37">
        <v>120.0</v>
      </c>
      <c r="M30" s="30" t="str">
        <f t="shared" si="6"/>
        <v/>
      </c>
      <c r="N30" s="31" t="str">
        <f t="shared" si="1"/>
        <v/>
      </c>
      <c r="O30" s="32" t="str">
        <f t="shared" ref="O30:R30" si="58">IF($N30="","","0")</f>
        <v/>
      </c>
      <c r="P30" s="32" t="str">
        <f t="shared" si="58"/>
        <v/>
      </c>
      <c r="Q30" s="32" t="str">
        <f t="shared" si="58"/>
        <v/>
      </c>
      <c r="R30" s="32" t="str">
        <f t="shared" si="58"/>
        <v/>
      </c>
      <c r="S30" s="30"/>
      <c r="T30" s="30"/>
      <c r="U30" s="13" t="s">
        <v>77</v>
      </c>
      <c r="V30" s="30"/>
      <c r="X30" s="34" t="str">
        <f t="shared" si="8"/>
        <v/>
      </c>
      <c r="Y30" s="34" t="str">
        <f t="shared" si="9"/>
        <v/>
      </c>
      <c r="Z30" s="34" t="str">
        <f t="shared" si="10"/>
        <v/>
      </c>
      <c r="AA30" s="26" t="str">
        <f t="shared" si="11"/>
        <v/>
      </c>
      <c r="AB30" s="34"/>
      <c r="AC30" s="26" t="str">
        <f t="shared" si="12"/>
        <v/>
      </c>
      <c r="AD30" s="34"/>
      <c r="AE30" s="26" t="str">
        <f t="shared" si="13"/>
        <v/>
      </c>
      <c r="AG30" s="35" t="str">
        <f t="shared" si="14"/>
        <v/>
      </c>
      <c r="AH30" s="35" t="str">
        <f t="shared" si="15"/>
        <v/>
      </c>
      <c r="AI30" s="35" t="str">
        <f t="shared" si="16"/>
        <v/>
      </c>
      <c r="AJ30" s="35" t="str">
        <f t="shared" si="17"/>
        <v/>
      </c>
      <c r="AK30" s="35" t="str">
        <f t="shared" si="18"/>
        <v/>
      </c>
      <c r="AL30" s="35" t="str">
        <f t="shared" ref="AL30:AM30" si="59">IF(AK30="","","0")</f>
        <v/>
      </c>
      <c r="AM30" s="35" t="str">
        <f t="shared" si="59"/>
        <v/>
      </c>
    </row>
    <row r="31">
      <c r="A31" s="4"/>
      <c r="B31" s="4"/>
      <c r="C31" s="4"/>
      <c r="D31" s="4"/>
      <c r="E31" s="4"/>
      <c r="F31" s="4"/>
      <c r="G31" s="4"/>
      <c r="H31" s="4"/>
      <c r="I31" s="8"/>
      <c r="J31" s="8" t="str">
        <f t="shared" si="2"/>
        <v/>
      </c>
      <c r="K31" s="8" t="str">
        <f t="shared" si="3"/>
        <v/>
      </c>
      <c r="L31" s="37">
        <v>58.0</v>
      </c>
      <c r="M31" s="30" t="str">
        <f t="shared" si="6"/>
        <v/>
      </c>
      <c r="N31" s="31" t="str">
        <f t="shared" si="1"/>
        <v/>
      </c>
      <c r="O31" s="32" t="str">
        <f t="shared" ref="O31:R31" si="60">IF($N31="","","0")</f>
        <v/>
      </c>
      <c r="P31" s="32" t="str">
        <f t="shared" si="60"/>
        <v/>
      </c>
      <c r="Q31" s="32" t="str">
        <f t="shared" si="60"/>
        <v/>
      </c>
      <c r="R31" s="32" t="str">
        <f t="shared" si="60"/>
        <v/>
      </c>
      <c r="S31" s="30"/>
      <c r="T31" s="30"/>
      <c r="U31" s="13" t="s">
        <v>78</v>
      </c>
      <c r="V31" s="30"/>
      <c r="X31" s="34" t="str">
        <f t="shared" si="8"/>
        <v/>
      </c>
      <c r="Y31" s="34" t="str">
        <f t="shared" si="9"/>
        <v/>
      </c>
      <c r="Z31" s="34" t="str">
        <f t="shared" si="10"/>
        <v/>
      </c>
      <c r="AA31" s="26" t="str">
        <f t="shared" si="11"/>
        <v/>
      </c>
      <c r="AB31" s="34"/>
      <c r="AC31" s="26" t="str">
        <f t="shared" si="12"/>
        <v/>
      </c>
      <c r="AD31" s="34"/>
      <c r="AE31" s="26" t="str">
        <f t="shared" si="13"/>
        <v/>
      </c>
      <c r="AG31" s="35" t="str">
        <f t="shared" si="14"/>
        <v/>
      </c>
      <c r="AH31" s="35" t="str">
        <f t="shared" si="15"/>
        <v/>
      </c>
      <c r="AI31" s="35" t="str">
        <f t="shared" si="16"/>
        <v/>
      </c>
      <c r="AJ31" s="35" t="str">
        <f t="shared" si="17"/>
        <v/>
      </c>
      <c r="AK31" s="35" t="str">
        <f t="shared" si="18"/>
        <v/>
      </c>
      <c r="AL31" s="35" t="str">
        <f t="shared" ref="AL31:AM31" si="61">IF(AK31="","","0")</f>
        <v/>
      </c>
      <c r="AM31" s="35" t="str">
        <f t="shared" si="61"/>
        <v/>
      </c>
    </row>
    <row r="32">
      <c r="A32" s="4"/>
      <c r="B32" s="4"/>
      <c r="C32" s="4"/>
      <c r="D32" s="4"/>
      <c r="E32" s="4"/>
      <c r="F32" s="4"/>
      <c r="G32" s="4"/>
      <c r="H32" s="4"/>
      <c r="I32" s="8"/>
      <c r="J32" s="8" t="str">
        <f t="shared" si="2"/>
        <v/>
      </c>
      <c r="K32" s="8" t="str">
        <f t="shared" si="3"/>
        <v/>
      </c>
      <c r="L32" s="37">
        <v>58.0</v>
      </c>
      <c r="M32" s="30" t="str">
        <f t="shared" si="6"/>
        <v/>
      </c>
      <c r="N32" s="31" t="str">
        <f t="shared" si="1"/>
        <v/>
      </c>
      <c r="O32" s="32" t="str">
        <f t="shared" ref="O32:R32" si="62">IF($N32="","","0")</f>
        <v/>
      </c>
      <c r="P32" s="32" t="str">
        <f t="shared" si="62"/>
        <v/>
      </c>
      <c r="Q32" s="32" t="str">
        <f t="shared" si="62"/>
        <v/>
      </c>
      <c r="R32" s="32" t="str">
        <f t="shared" si="62"/>
        <v/>
      </c>
      <c r="S32" s="13"/>
      <c r="T32" s="30"/>
      <c r="U32" s="13" t="s">
        <v>79</v>
      </c>
      <c r="V32" s="30"/>
      <c r="X32" s="34" t="str">
        <f t="shared" si="8"/>
        <v/>
      </c>
      <c r="Y32" s="34" t="str">
        <f t="shared" si="9"/>
        <v/>
      </c>
      <c r="Z32" s="34" t="str">
        <f t="shared" si="10"/>
        <v/>
      </c>
      <c r="AA32" s="26" t="str">
        <f t="shared" si="11"/>
        <v/>
      </c>
      <c r="AB32" s="34"/>
      <c r="AC32" s="26" t="str">
        <f t="shared" si="12"/>
        <v/>
      </c>
      <c r="AD32" s="34"/>
      <c r="AE32" s="26" t="str">
        <f t="shared" si="13"/>
        <v/>
      </c>
      <c r="AG32" s="35" t="str">
        <f t="shared" si="14"/>
        <v/>
      </c>
      <c r="AH32" s="35" t="str">
        <f t="shared" si="15"/>
        <v/>
      </c>
      <c r="AI32" s="35" t="str">
        <f t="shared" si="16"/>
        <v/>
      </c>
      <c r="AJ32" s="35" t="str">
        <f t="shared" si="17"/>
        <v/>
      </c>
      <c r="AK32" s="35" t="str">
        <f t="shared" si="18"/>
        <v/>
      </c>
      <c r="AL32" s="35" t="str">
        <f t="shared" ref="AL32:AM32" si="63">IF(AK32="","","0")</f>
        <v/>
      </c>
      <c r="AM32" s="35" t="str">
        <f t="shared" si="63"/>
        <v/>
      </c>
    </row>
    <row r="33">
      <c r="A33" s="4"/>
      <c r="B33" s="4"/>
      <c r="C33" s="4"/>
      <c r="D33" s="4"/>
      <c r="E33" s="4"/>
      <c r="F33" s="4"/>
      <c r="G33" s="4"/>
      <c r="H33" s="4"/>
      <c r="I33" s="8"/>
      <c r="J33" s="8" t="str">
        <f t="shared" si="2"/>
        <v/>
      </c>
      <c r="K33" s="8" t="str">
        <f t="shared" si="3"/>
        <v/>
      </c>
      <c r="L33" s="8" t="str">
        <f t="array" ref="L33">IFERROR(XLOOKUP(K33,C:C,G:G),"")</f>
        <v/>
      </c>
      <c r="M33" s="30" t="str">
        <f t="shared" si="6"/>
        <v/>
      </c>
      <c r="N33" s="31" t="str">
        <f t="shared" si="1"/>
        <v/>
      </c>
      <c r="O33" s="13" t="str">
        <f t="shared" ref="O33:R33" si="64">IF($N33="","","0")</f>
        <v/>
      </c>
      <c r="P33" s="13" t="str">
        <f t="shared" si="64"/>
        <v/>
      </c>
      <c r="Q33" s="13" t="str">
        <f t="shared" si="64"/>
        <v/>
      </c>
      <c r="R33" s="13" t="str">
        <f t="shared" si="64"/>
        <v/>
      </c>
      <c r="S33" s="30"/>
      <c r="T33" s="30"/>
      <c r="U33" s="30"/>
      <c r="V33" s="30"/>
      <c r="X33" s="34" t="str">
        <f t="shared" si="8"/>
        <v/>
      </c>
      <c r="Y33" s="34" t="str">
        <f t="shared" si="9"/>
        <v/>
      </c>
      <c r="Z33" s="34" t="str">
        <f t="shared" si="10"/>
        <v/>
      </c>
      <c r="AA33" s="26" t="str">
        <f t="shared" si="11"/>
        <v/>
      </c>
      <c r="AB33" s="34"/>
      <c r="AC33" s="26" t="str">
        <f t="shared" si="12"/>
        <v/>
      </c>
      <c r="AD33" s="34"/>
      <c r="AE33" s="26" t="str">
        <f t="shared" si="13"/>
        <v/>
      </c>
      <c r="AG33" s="35" t="str">
        <f t="shared" si="14"/>
        <v/>
      </c>
      <c r="AH33" s="35" t="str">
        <f t="shared" si="15"/>
        <v/>
      </c>
      <c r="AI33" s="35" t="str">
        <f t="shared" si="16"/>
        <v/>
      </c>
      <c r="AJ33" s="35" t="str">
        <f t="shared" si="17"/>
        <v/>
      </c>
      <c r="AK33" s="35" t="str">
        <f t="shared" si="18"/>
        <v/>
      </c>
      <c r="AL33" s="35" t="str">
        <f t="shared" ref="AL33:AM33" si="65">IF(AK33="","","0")</f>
        <v/>
      </c>
      <c r="AM33" s="35" t="str">
        <f t="shared" si="65"/>
        <v/>
      </c>
    </row>
    <row r="34">
      <c r="A34" s="40"/>
      <c r="B34" s="41"/>
      <c r="C34" s="41"/>
      <c r="D34" s="41"/>
      <c r="E34" s="42"/>
      <c r="F34" s="42"/>
      <c r="G34" s="42"/>
      <c r="H34" s="38"/>
      <c r="I34" s="8"/>
      <c r="J34" s="8" t="str">
        <f t="shared" si="2"/>
        <v/>
      </c>
      <c r="K34" s="8" t="str">
        <f t="shared" si="3"/>
        <v/>
      </c>
      <c r="L34" s="4"/>
      <c r="M34" s="30" t="str">
        <f t="shared" si="6"/>
        <v/>
      </c>
      <c r="N34" s="30"/>
      <c r="O34" s="13" t="str">
        <f t="shared" ref="O34:R34" si="66">IF($N34="","","0")</f>
        <v/>
      </c>
      <c r="P34" s="13" t="str">
        <f t="shared" si="66"/>
        <v/>
      </c>
      <c r="Q34" s="13" t="str">
        <f t="shared" si="66"/>
        <v/>
      </c>
      <c r="R34" s="13" t="str">
        <f t="shared" si="66"/>
        <v/>
      </c>
      <c r="S34" s="30"/>
      <c r="T34" s="30"/>
      <c r="U34" s="30"/>
      <c r="V34" s="30"/>
      <c r="X34" s="34" t="str">
        <f t="shared" si="8"/>
        <v/>
      </c>
      <c r="Y34" s="34" t="str">
        <f t="shared" si="9"/>
        <v/>
      </c>
      <c r="Z34" s="34" t="str">
        <f t="shared" si="10"/>
        <v/>
      </c>
      <c r="AA34" s="26" t="str">
        <f t="shared" si="11"/>
        <v/>
      </c>
      <c r="AB34" s="34"/>
      <c r="AC34" s="26" t="str">
        <f t="shared" si="12"/>
        <v/>
      </c>
      <c r="AD34" s="34"/>
      <c r="AE34" s="26" t="str">
        <f t="shared" si="13"/>
        <v/>
      </c>
      <c r="AG34" s="35" t="str">
        <f t="shared" si="14"/>
        <v/>
      </c>
      <c r="AH34" s="35" t="str">
        <f t="shared" si="15"/>
        <v/>
      </c>
      <c r="AI34" s="35" t="str">
        <f t="shared" si="16"/>
        <v/>
      </c>
      <c r="AJ34" s="35" t="str">
        <f t="shared" si="17"/>
        <v/>
      </c>
      <c r="AK34" s="35" t="str">
        <f t="shared" si="18"/>
        <v/>
      </c>
      <c r="AL34" s="35" t="str">
        <f t="shared" ref="AL34:AM34" si="67">IF(AK34="","","0")</f>
        <v/>
      </c>
      <c r="AM34" s="35" t="str">
        <f t="shared" si="67"/>
        <v/>
      </c>
    </row>
    <row r="35">
      <c r="A35" s="4"/>
      <c r="B35" s="4"/>
      <c r="C35" s="4"/>
      <c r="D35" s="4"/>
      <c r="E35" s="4"/>
      <c r="F35" s="4"/>
      <c r="G35" s="4"/>
      <c r="H35" s="4"/>
      <c r="I35" s="8"/>
      <c r="J35" s="8" t="str">
        <f t="shared" si="2"/>
        <v/>
      </c>
      <c r="K35" s="8" t="str">
        <f t="shared" si="3"/>
        <v/>
      </c>
      <c r="L35" s="4"/>
      <c r="M35" s="30" t="str">
        <f t="shared" ref="M35:M38" si="70">IFERROR(J34,"")</f>
        <v/>
      </c>
      <c r="N35" s="30"/>
      <c r="O35" s="13" t="str">
        <f t="shared" ref="O35:R35" si="68">IF($N35="","","0")</f>
        <v/>
      </c>
      <c r="P35" s="13" t="str">
        <f t="shared" si="68"/>
        <v/>
      </c>
      <c r="Q35" s="13" t="str">
        <f t="shared" si="68"/>
        <v/>
      </c>
      <c r="R35" s="13" t="str">
        <f t="shared" si="68"/>
        <v/>
      </c>
      <c r="S35" s="30"/>
      <c r="T35" s="30"/>
      <c r="U35" s="30"/>
      <c r="V35" s="30"/>
      <c r="X35" s="34" t="str">
        <f t="shared" si="8"/>
        <v/>
      </c>
      <c r="Y35" s="34" t="str">
        <f t="shared" si="9"/>
        <v/>
      </c>
      <c r="Z35" s="34" t="str">
        <f t="shared" si="10"/>
        <v/>
      </c>
      <c r="AA35" s="26" t="str">
        <f t="shared" si="11"/>
        <v/>
      </c>
      <c r="AB35" s="34"/>
      <c r="AC35" s="26" t="str">
        <f t="shared" si="12"/>
        <v/>
      </c>
      <c r="AD35" s="34"/>
      <c r="AE35" s="26" t="str">
        <f t="shared" si="13"/>
        <v/>
      </c>
      <c r="AG35" s="35" t="str">
        <f t="shared" si="14"/>
        <v/>
      </c>
      <c r="AH35" s="35" t="str">
        <f t="shared" si="15"/>
        <v/>
      </c>
      <c r="AI35" s="35" t="str">
        <f t="shared" si="16"/>
        <v/>
      </c>
      <c r="AJ35" s="35" t="str">
        <f t="shared" si="17"/>
        <v/>
      </c>
      <c r="AK35" s="35" t="str">
        <f t="shared" si="18"/>
        <v/>
      </c>
      <c r="AL35" s="35" t="str">
        <f t="shared" ref="AL35:AM35" si="69">IF(AK35="","","0")</f>
        <v/>
      </c>
      <c r="AM35" s="35" t="str">
        <f t="shared" si="69"/>
        <v/>
      </c>
    </row>
    <row r="36">
      <c r="A36" s="4"/>
      <c r="B36" s="4"/>
      <c r="C36" s="4"/>
      <c r="D36" s="4"/>
      <c r="E36" s="4"/>
      <c r="F36" s="4"/>
      <c r="G36" s="4"/>
      <c r="H36" s="4"/>
      <c r="I36" s="8"/>
      <c r="J36" s="8" t="str">
        <f t="shared" si="2"/>
        <v/>
      </c>
      <c r="K36" s="8" t="str">
        <f t="shared" si="3"/>
        <v/>
      </c>
      <c r="L36" s="43"/>
      <c r="M36" s="30" t="str">
        <f t="shared" si="70"/>
        <v/>
      </c>
      <c r="N36" s="30"/>
      <c r="O36" s="13" t="str">
        <f t="shared" ref="O36:R36" si="71">IF($N36="","","0")</f>
        <v/>
      </c>
      <c r="P36" s="13" t="str">
        <f t="shared" si="71"/>
        <v/>
      </c>
      <c r="Q36" s="13" t="str">
        <f t="shared" si="71"/>
        <v/>
      </c>
      <c r="R36" s="13" t="str">
        <f t="shared" si="71"/>
        <v/>
      </c>
      <c r="S36" s="30"/>
      <c r="T36" s="30"/>
      <c r="U36" s="30"/>
      <c r="V36" s="30"/>
      <c r="X36" s="34" t="str">
        <f t="shared" si="8"/>
        <v/>
      </c>
      <c r="Y36" s="34" t="str">
        <f t="shared" si="9"/>
        <v/>
      </c>
      <c r="Z36" s="34" t="str">
        <f t="shared" si="10"/>
        <v/>
      </c>
      <c r="AA36" s="26" t="str">
        <f t="shared" si="11"/>
        <v/>
      </c>
      <c r="AB36" s="34"/>
      <c r="AC36" s="26" t="str">
        <f t="shared" si="12"/>
        <v/>
      </c>
      <c r="AD36" s="34"/>
      <c r="AE36" s="26" t="str">
        <f t="shared" si="13"/>
        <v/>
      </c>
      <c r="AG36" s="35" t="str">
        <f t="shared" si="14"/>
        <v/>
      </c>
      <c r="AH36" s="35" t="str">
        <f t="shared" si="15"/>
        <v/>
      </c>
      <c r="AI36" s="35" t="str">
        <f t="shared" si="16"/>
        <v/>
      </c>
      <c r="AJ36" s="35" t="str">
        <f t="shared" si="17"/>
        <v/>
      </c>
      <c r="AK36" s="35" t="str">
        <f t="shared" si="18"/>
        <v/>
      </c>
      <c r="AL36" s="35" t="str">
        <f t="shared" ref="AL36:AM36" si="72">IF(AK36="","","0")</f>
        <v/>
      </c>
      <c r="AM36" s="35" t="str">
        <f t="shared" si="72"/>
        <v/>
      </c>
    </row>
    <row r="37">
      <c r="A37" s="44"/>
      <c r="H37" s="43"/>
      <c r="I37" s="8"/>
      <c r="J37" s="8" t="str">
        <f t="shared" si="2"/>
        <v/>
      </c>
      <c r="K37" s="8" t="str">
        <f t="shared" si="3"/>
        <v/>
      </c>
      <c r="L37" s="4"/>
      <c r="M37" s="30" t="str">
        <f t="shared" si="70"/>
        <v/>
      </c>
      <c r="N37" s="30"/>
      <c r="O37" s="13" t="str">
        <f t="shared" ref="O37:R37" si="73">IF($N37="","","0")</f>
        <v/>
      </c>
      <c r="P37" s="13" t="str">
        <f t="shared" si="73"/>
        <v/>
      </c>
      <c r="Q37" s="13" t="str">
        <f t="shared" si="73"/>
        <v/>
      </c>
      <c r="R37" s="13" t="str">
        <f t="shared" si="73"/>
        <v/>
      </c>
      <c r="S37" s="30"/>
      <c r="T37" s="30"/>
      <c r="U37" s="30"/>
      <c r="V37" s="30"/>
      <c r="X37" s="34" t="str">
        <f t="shared" si="8"/>
        <v/>
      </c>
      <c r="Y37" s="34" t="str">
        <f t="shared" si="9"/>
        <v/>
      </c>
      <c r="Z37" s="34" t="str">
        <f t="shared" si="10"/>
        <v/>
      </c>
      <c r="AA37" s="26" t="str">
        <f t="shared" si="11"/>
        <v/>
      </c>
      <c r="AB37" s="34"/>
      <c r="AC37" s="26" t="str">
        <f t="shared" si="12"/>
        <v/>
      </c>
      <c r="AD37" s="34"/>
      <c r="AE37" s="26" t="str">
        <f t="shared" si="13"/>
        <v/>
      </c>
      <c r="AP37" s="45" t="s">
        <v>80</v>
      </c>
      <c r="AQ37" s="46" t="s">
        <v>81</v>
      </c>
      <c r="AR37" s="47" t="s">
        <v>82</v>
      </c>
      <c r="AS37" s="48"/>
    </row>
    <row r="38">
      <c r="A38" s="4"/>
      <c r="B38" s="4"/>
      <c r="C38" s="4"/>
      <c r="D38" s="4"/>
      <c r="E38" s="4"/>
      <c r="F38" s="4"/>
      <c r="G38" s="4"/>
      <c r="H38" s="4"/>
      <c r="I38" s="8"/>
      <c r="J38" s="8" t="str">
        <f t="shared" si="2"/>
        <v/>
      </c>
      <c r="K38" s="49"/>
      <c r="L38" s="49"/>
      <c r="M38" s="30" t="str">
        <f t="shared" si="70"/>
        <v/>
      </c>
      <c r="N38" s="30"/>
      <c r="O38" s="13" t="str">
        <f t="shared" ref="O38:R38" si="74">IF($N38="","","0")</f>
        <v/>
      </c>
      <c r="P38" s="13" t="str">
        <f t="shared" si="74"/>
        <v/>
      </c>
      <c r="Q38" s="13" t="str">
        <f t="shared" si="74"/>
        <v/>
      </c>
      <c r="R38" s="13" t="str">
        <f t="shared" si="74"/>
        <v/>
      </c>
      <c r="S38" s="30"/>
      <c r="T38" s="30"/>
      <c r="U38" s="30"/>
      <c r="V38" s="30"/>
      <c r="X38" s="34" t="str">
        <f t="shared" si="8"/>
        <v/>
      </c>
      <c r="Y38" s="34" t="str">
        <f t="shared" si="9"/>
        <v/>
      </c>
      <c r="Z38" s="34" t="str">
        <f t="shared" si="10"/>
        <v/>
      </c>
      <c r="AA38" s="26" t="str">
        <f t="shared" si="11"/>
        <v/>
      </c>
      <c r="AB38" s="34"/>
      <c r="AC38" s="26" t="str">
        <f t="shared" si="12"/>
        <v/>
      </c>
      <c r="AD38" s="34"/>
      <c r="AE38" s="26" t="str">
        <f t="shared" si="13"/>
        <v/>
      </c>
      <c r="AP38" s="50">
        <v>6.0</v>
      </c>
      <c r="AQ38" s="51">
        <v>1963.0</v>
      </c>
      <c r="AR38" s="52">
        <v>5138.0</v>
      </c>
      <c r="AS38" s="53">
        <v>1.0</v>
      </c>
    </row>
    <row r="39">
      <c r="A39" s="54"/>
      <c r="B39" s="55"/>
      <c r="C39" s="55"/>
      <c r="D39" s="55"/>
      <c r="E39" s="55"/>
      <c r="F39" s="55"/>
      <c r="G39" s="55"/>
      <c r="H39" s="49"/>
      <c r="I39" s="8"/>
      <c r="J39" s="8" t="str">
        <f t="shared" si="2"/>
        <v/>
      </c>
      <c r="K39" s="1"/>
      <c r="L39" s="1"/>
      <c r="M39" s="30"/>
      <c r="N39" s="30"/>
      <c r="O39" s="13" t="str">
        <f t="shared" ref="O39:R39" si="75">IF($N39="","","0")</f>
        <v/>
      </c>
      <c r="P39" s="13" t="str">
        <f t="shared" si="75"/>
        <v/>
      </c>
      <c r="Q39" s="13" t="str">
        <f t="shared" si="75"/>
        <v/>
      </c>
      <c r="R39" s="13" t="str">
        <f t="shared" si="75"/>
        <v/>
      </c>
      <c r="S39" s="30"/>
      <c r="T39" s="30"/>
      <c r="U39" s="30"/>
      <c r="V39" s="30"/>
      <c r="X39" s="34" t="str">
        <f t="shared" ref="X39:X41" si="77">IF($J38="","", LEFT($J38,3)&amp;"_1p")</f>
        <v/>
      </c>
      <c r="Y39" s="34" t="str">
        <f t="shared" si="9"/>
        <v/>
      </c>
      <c r="Z39" s="34"/>
      <c r="AA39" s="26" t="str">
        <f t="shared" si="11"/>
        <v/>
      </c>
      <c r="AB39" s="34"/>
      <c r="AC39" s="26" t="str">
        <f t="shared" si="12"/>
        <v/>
      </c>
      <c r="AD39" s="34"/>
      <c r="AE39" s="26" t="str">
        <f t="shared" si="13"/>
        <v/>
      </c>
      <c r="AP39" s="50">
        <v>9.0</v>
      </c>
      <c r="AQ39" s="51">
        <v>422.0</v>
      </c>
      <c r="AR39" s="52">
        <v>422.0</v>
      </c>
      <c r="AS39" s="53">
        <v>2.0</v>
      </c>
    </row>
    <row r="40">
      <c r="A40" s="56"/>
      <c r="B40" s="57"/>
      <c r="C40" s="56"/>
      <c r="D40" s="56"/>
      <c r="E40" s="56"/>
      <c r="F40" s="56"/>
      <c r="G40" s="56"/>
      <c r="H40" s="1"/>
      <c r="I40" s="8"/>
      <c r="J40" s="8" t="str">
        <f t="shared" si="2"/>
        <v/>
      </c>
      <c r="K40" s="58"/>
      <c r="L40" s="58"/>
      <c r="M40" s="30"/>
      <c r="N40" s="30"/>
      <c r="O40" s="13" t="str">
        <f t="shared" ref="O40:R40" si="76">IF($N40="","","0")</f>
        <v/>
      </c>
      <c r="P40" s="13" t="str">
        <f t="shared" si="76"/>
        <v/>
      </c>
      <c r="Q40" s="13" t="str">
        <f t="shared" si="76"/>
        <v/>
      </c>
      <c r="R40" s="13" t="str">
        <f t="shared" si="76"/>
        <v/>
      </c>
      <c r="S40" s="30"/>
      <c r="T40" s="30"/>
      <c r="U40" s="30"/>
      <c r="V40" s="30"/>
      <c r="X40" s="34" t="str">
        <f t="shared" si="77"/>
        <v/>
      </c>
      <c r="Y40" s="34" t="str">
        <f t="shared" si="9"/>
        <v/>
      </c>
      <c r="Z40" s="34"/>
      <c r="AA40" s="26" t="str">
        <f t="shared" si="11"/>
        <v/>
      </c>
      <c r="AB40" s="34"/>
      <c r="AC40" s="26" t="str">
        <f t="shared" si="12"/>
        <v/>
      </c>
      <c r="AD40" s="34"/>
      <c r="AE40" s="26" t="str">
        <f t="shared" si="13"/>
        <v/>
      </c>
      <c r="AP40" s="59">
        <v>12.0</v>
      </c>
      <c r="AQ40" s="60">
        <v>184.0</v>
      </c>
      <c r="AR40" s="61">
        <v>5138.0</v>
      </c>
      <c r="AS40" s="62">
        <v>3.0</v>
      </c>
    </row>
    <row r="41">
      <c r="A41" s="4"/>
      <c r="B41" s="4"/>
      <c r="C41" s="4"/>
      <c r="D41" s="63"/>
      <c r="E41" s="58"/>
      <c r="F41" s="58"/>
      <c r="G41" s="58"/>
      <c r="H41" s="58"/>
      <c r="M41" s="30"/>
      <c r="N41" s="30"/>
      <c r="O41" s="13" t="str">
        <f t="shared" ref="O41:R41" si="78">IF($N41="","","0")</f>
        <v/>
      </c>
      <c r="P41" s="13" t="str">
        <f t="shared" si="78"/>
        <v/>
      </c>
      <c r="Q41" s="13" t="str">
        <f t="shared" si="78"/>
        <v/>
      </c>
      <c r="R41" s="13" t="str">
        <f t="shared" si="78"/>
        <v/>
      </c>
      <c r="S41" s="30"/>
      <c r="T41" s="30"/>
      <c r="U41" s="30"/>
      <c r="V41" s="30"/>
      <c r="X41" s="34" t="str">
        <f t="shared" si="77"/>
        <v/>
      </c>
      <c r="Y41" s="34" t="str">
        <f t="shared" si="9"/>
        <v/>
      </c>
      <c r="Z41" s="34"/>
      <c r="AA41" s="26" t="str">
        <f t="shared" si="11"/>
        <v/>
      </c>
      <c r="AB41" s="34"/>
      <c r="AC41" s="26" t="str">
        <f t="shared" si="12"/>
        <v/>
      </c>
      <c r="AD41" s="34"/>
      <c r="AE41" s="26" t="str">
        <f t="shared" si="13"/>
        <v/>
      </c>
    </row>
    <row r="42">
      <c r="A42" s="4"/>
      <c r="B42" s="4"/>
      <c r="C42" s="4"/>
      <c r="D42" s="63"/>
      <c r="E42" s="58"/>
      <c r="F42" s="58"/>
      <c r="G42" s="58"/>
      <c r="H42" s="58"/>
      <c r="I42" s="58"/>
      <c r="J42" s="58"/>
      <c r="K42" s="58"/>
      <c r="L42" s="58"/>
      <c r="M42" s="30"/>
      <c r="N42" s="30"/>
      <c r="O42" s="13" t="str">
        <f t="shared" ref="O42:R42" si="79">IF($N42="","","0")</f>
        <v/>
      </c>
      <c r="P42" s="13" t="str">
        <f t="shared" si="79"/>
        <v/>
      </c>
      <c r="Q42" s="13" t="str">
        <f t="shared" si="79"/>
        <v/>
      </c>
      <c r="R42" s="13" t="str">
        <f t="shared" si="79"/>
        <v/>
      </c>
      <c r="S42" s="30"/>
      <c r="T42" s="30"/>
      <c r="U42" s="30"/>
      <c r="V42" s="30"/>
      <c r="X42" s="34" t="str">
        <f t="shared" ref="X42:X53" si="81">IF($J42="","", LEFT($J42,3)&amp;"_1p")</f>
        <v/>
      </c>
      <c r="Y42" s="34" t="str">
        <f t="shared" si="9"/>
        <v/>
      </c>
      <c r="Z42" s="34"/>
      <c r="AA42" s="26" t="str">
        <f t="shared" si="11"/>
        <v/>
      </c>
      <c r="AB42" s="34"/>
      <c r="AC42" s="26" t="str">
        <f t="shared" si="12"/>
        <v/>
      </c>
      <c r="AD42" s="34"/>
      <c r="AE42" s="26" t="str">
        <f t="shared" si="13"/>
        <v/>
      </c>
    </row>
    <row r="43">
      <c r="A43" s="4"/>
      <c r="B43" s="4"/>
      <c r="C43" s="4"/>
      <c r="D43" s="63"/>
      <c r="E43" s="58"/>
      <c r="F43" s="58"/>
      <c r="G43" s="58"/>
      <c r="H43" s="58"/>
      <c r="I43" s="58"/>
      <c r="J43" s="58"/>
      <c r="K43" s="58"/>
      <c r="L43" s="58"/>
      <c r="M43" s="30"/>
      <c r="N43" s="30"/>
      <c r="O43" s="13" t="str">
        <f t="shared" ref="O43:R43" si="80">IF($N43="","","0")</f>
        <v/>
      </c>
      <c r="P43" s="13" t="str">
        <f t="shared" si="80"/>
        <v/>
      </c>
      <c r="Q43" s="13" t="str">
        <f t="shared" si="80"/>
        <v/>
      </c>
      <c r="R43" s="13" t="str">
        <f t="shared" si="80"/>
        <v/>
      </c>
      <c r="S43" s="30"/>
      <c r="T43" s="30"/>
      <c r="U43" s="30"/>
      <c r="V43" s="30"/>
      <c r="X43" s="34" t="str">
        <f t="shared" si="81"/>
        <v/>
      </c>
      <c r="Y43" s="34" t="str">
        <f t="shared" si="9"/>
        <v/>
      </c>
      <c r="Z43" s="34"/>
      <c r="AA43" s="26" t="str">
        <f t="shared" si="11"/>
        <v/>
      </c>
      <c r="AB43" s="34"/>
      <c r="AC43" s="26" t="str">
        <f t="shared" si="12"/>
        <v/>
      </c>
      <c r="AD43" s="34"/>
      <c r="AE43" s="26" t="str">
        <f t="shared" si="13"/>
        <v/>
      </c>
    </row>
    <row r="44">
      <c r="A44" s="4"/>
      <c r="B44" s="4"/>
      <c r="C44" s="4"/>
      <c r="D44" s="63"/>
      <c r="E44" s="58"/>
      <c r="F44" s="58"/>
      <c r="G44" s="58"/>
      <c r="H44" s="58"/>
      <c r="I44" s="58"/>
      <c r="J44" s="58"/>
      <c r="K44" s="58"/>
      <c r="L44" s="58"/>
      <c r="M44" s="30"/>
      <c r="N44" s="30"/>
      <c r="O44" s="13" t="str">
        <f t="shared" ref="O44:R44" si="82">IF($N44="","","0")</f>
        <v/>
      </c>
      <c r="P44" s="13" t="str">
        <f t="shared" si="82"/>
        <v/>
      </c>
      <c r="Q44" s="13" t="str">
        <f t="shared" si="82"/>
        <v/>
      </c>
      <c r="R44" s="13" t="str">
        <f t="shared" si="82"/>
        <v/>
      </c>
      <c r="S44" s="30"/>
      <c r="T44" s="30"/>
      <c r="U44" s="30"/>
      <c r="V44" s="30"/>
      <c r="X44" s="34" t="str">
        <f t="shared" si="81"/>
        <v/>
      </c>
      <c r="Y44" s="34" t="str">
        <f t="shared" si="9"/>
        <v/>
      </c>
      <c r="Z44" s="34"/>
      <c r="AA44" s="26" t="str">
        <f t="shared" si="11"/>
        <v/>
      </c>
      <c r="AB44" s="34"/>
      <c r="AC44" s="26" t="str">
        <f t="shared" si="12"/>
        <v/>
      </c>
      <c r="AD44" s="34"/>
      <c r="AE44" s="26" t="str">
        <f t="shared" si="13"/>
        <v/>
      </c>
    </row>
    <row r="45">
      <c r="A45" s="4"/>
      <c r="B45" s="4"/>
      <c r="C45" s="4"/>
      <c r="D45" s="63"/>
      <c r="E45" s="58"/>
      <c r="F45" s="58"/>
      <c r="G45" s="58"/>
      <c r="H45" s="58"/>
      <c r="I45" s="58"/>
      <c r="J45" s="58"/>
      <c r="K45" s="58"/>
      <c r="L45" s="58"/>
      <c r="M45" s="30"/>
      <c r="N45" s="30"/>
      <c r="O45" s="13" t="str">
        <f t="shared" ref="O45:R45" si="83">IF($N45="","","0")</f>
        <v/>
      </c>
      <c r="P45" s="13" t="str">
        <f t="shared" si="83"/>
        <v/>
      </c>
      <c r="Q45" s="13" t="str">
        <f t="shared" si="83"/>
        <v/>
      </c>
      <c r="R45" s="13" t="str">
        <f t="shared" si="83"/>
        <v/>
      </c>
      <c r="S45" s="30"/>
      <c r="T45" s="30"/>
      <c r="U45" s="30"/>
      <c r="V45" s="30"/>
      <c r="X45" s="34" t="str">
        <f t="shared" si="81"/>
        <v/>
      </c>
      <c r="Y45" s="34" t="str">
        <f t="shared" si="9"/>
        <v/>
      </c>
      <c r="Z45" s="34"/>
      <c r="AA45" s="26" t="str">
        <f t="shared" si="11"/>
        <v/>
      </c>
      <c r="AB45" s="34"/>
      <c r="AC45" s="26" t="str">
        <f t="shared" si="12"/>
        <v/>
      </c>
      <c r="AD45" s="34"/>
      <c r="AE45" s="26" t="str">
        <f t="shared" si="13"/>
        <v/>
      </c>
    </row>
    <row r="46">
      <c r="A46" s="4"/>
      <c r="B46" s="4"/>
      <c r="C46" s="4"/>
      <c r="D46" s="63"/>
      <c r="E46" s="58"/>
      <c r="F46" s="58"/>
      <c r="G46" s="58"/>
      <c r="H46" s="58"/>
      <c r="I46" s="58"/>
      <c r="J46" s="58"/>
      <c r="K46" s="58"/>
      <c r="L46" s="58"/>
      <c r="M46" s="30"/>
      <c r="N46" s="30"/>
      <c r="O46" s="13" t="str">
        <f t="shared" ref="O46:R46" si="84">IF($N46="","","0")</f>
        <v/>
      </c>
      <c r="P46" s="13" t="str">
        <f t="shared" si="84"/>
        <v/>
      </c>
      <c r="Q46" s="13" t="str">
        <f t="shared" si="84"/>
        <v/>
      </c>
      <c r="R46" s="13" t="str">
        <f t="shared" si="84"/>
        <v/>
      </c>
      <c r="S46" s="30"/>
      <c r="T46" s="30"/>
      <c r="U46" s="30"/>
      <c r="V46" s="30"/>
      <c r="X46" s="34" t="str">
        <f t="shared" si="81"/>
        <v/>
      </c>
      <c r="Y46" s="34" t="str">
        <f t="shared" si="9"/>
        <v/>
      </c>
      <c r="Z46" s="34"/>
      <c r="AA46" s="26" t="str">
        <f t="shared" si="11"/>
        <v/>
      </c>
      <c r="AB46" s="34"/>
      <c r="AC46" s="26" t="str">
        <f t="shared" si="12"/>
        <v/>
      </c>
      <c r="AD46" s="34"/>
      <c r="AE46" s="26" t="str">
        <f t="shared" si="13"/>
        <v/>
      </c>
    </row>
    <row r="47">
      <c r="A47" s="4"/>
      <c r="B47" s="4"/>
      <c r="C47" s="4"/>
      <c r="D47" s="63"/>
      <c r="E47" s="58"/>
      <c r="F47" s="58"/>
      <c r="G47" s="58"/>
      <c r="H47" s="58"/>
      <c r="I47" s="58"/>
      <c r="J47" s="58"/>
      <c r="K47" s="58"/>
      <c r="L47" s="58"/>
      <c r="M47" s="30"/>
      <c r="N47" s="30"/>
      <c r="O47" s="13" t="str">
        <f t="shared" ref="O47:R47" si="85">IF($N47="","","0")</f>
        <v/>
      </c>
      <c r="P47" s="13" t="str">
        <f t="shared" si="85"/>
        <v/>
      </c>
      <c r="Q47" s="13" t="str">
        <f t="shared" si="85"/>
        <v/>
      </c>
      <c r="R47" s="13" t="str">
        <f t="shared" si="85"/>
        <v/>
      </c>
      <c r="S47" s="30"/>
      <c r="T47" s="30"/>
      <c r="U47" s="30"/>
      <c r="V47" s="30"/>
      <c r="X47" s="34" t="str">
        <f t="shared" si="81"/>
        <v/>
      </c>
      <c r="Y47" s="34" t="str">
        <f t="shared" si="9"/>
        <v/>
      </c>
      <c r="Z47" s="34"/>
      <c r="AA47" s="26" t="str">
        <f t="shared" si="11"/>
        <v/>
      </c>
      <c r="AB47" s="34"/>
      <c r="AC47" s="26" t="str">
        <f t="shared" si="12"/>
        <v/>
      </c>
      <c r="AD47" s="34"/>
      <c r="AE47" s="26" t="str">
        <f t="shared" si="13"/>
        <v/>
      </c>
    </row>
    <row r="48">
      <c r="A48" s="4"/>
      <c r="B48" s="4"/>
      <c r="C48" s="4"/>
      <c r="D48" s="63"/>
      <c r="E48" s="58"/>
      <c r="F48" s="58"/>
      <c r="G48" s="58"/>
      <c r="H48" s="58"/>
      <c r="I48" s="58"/>
      <c r="J48" s="58"/>
      <c r="K48" s="58"/>
      <c r="L48" s="58"/>
      <c r="M48" s="30"/>
      <c r="N48" s="30"/>
      <c r="O48" s="13" t="str">
        <f t="shared" ref="O48:R48" si="86">IF($N48="","","0")</f>
        <v/>
      </c>
      <c r="P48" s="13" t="str">
        <f t="shared" si="86"/>
        <v/>
      </c>
      <c r="Q48" s="13" t="str">
        <f t="shared" si="86"/>
        <v/>
      </c>
      <c r="R48" s="13" t="str">
        <f t="shared" si="86"/>
        <v/>
      </c>
      <c r="S48" s="30"/>
      <c r="T48" s="30"/>
      <c r="U48" s="30"/>
      <c r="V48" s="30"/>
      <c r="X48" s="34" t="str">
        <f t="shared" si="81"/>
        <v/>
      </c>
      <c r="Y48" s="34" t="str">
        <f t="shared" si="9"/>
        <v/>
      </c>
      <c r="Z48" s="34"/>
      <c r="AA48" s="26" t="str">
        <f t="shared" si="11"/>
        <v/>
      </c>
      <c r="AB48" s="34"/>
      <c r="AC48" s="26" t="str">
        <f t="shared" si="12"/>
        <v/>
      </c>
      <c r="AD48" s="34"/>
      <c r="AE48" s="26" t="str">
        <f t="shared" si="13"/>
        <v/>
      </c>
    </row>
    <row r="49">
      <c r="A49" s="4"/>
      <c r="B49" s="4"/>
      <c r="C49" s="4"/>
      <c r="D49" s="4"/>
      <c r="E49" s="58"/>
      <c r="F49" s="58"/>
      <c r="G49" s="58"/>
      <c r="H49" s="58"/>
      <c r="I49" s="58"/>
      <c r="J49" s="58"/>
      <c r="K49" s="58"/>
      <c r="L49" s="58"/>
      <c r="M49" s="30"/>
      <c r="N49" s="30"/>
      <c r="O49" s="13" t="str">
        <f t="shared" ref="O49:R49" si="87">IF($N49="","","0")</f>
        <v/>
      </c>
      <c r="P49" s="13" t="str">
        <f t="shared" si="87"/>
        <v/>
      </c>
      <c r="Q49" s="13" t="str">
        <f t="shared" si="87"/>
        <v/>
      </c>
      <c r="R49" s="13" t="str">
        <f t="shared" si="87"/>
        <v/>
      </c>
      <c r="S49" s="30"/>
      <c r="T49" s="30"/>
      <c r="U49" s="30"/>
      <c r="V49" s="30"/>
      <c r="X49" s="34" t="str">
        <f t="shared" si="81"/>
        <v/>
      </c>
      <c r="Y49" s="34" t="str">
        <f t="shared" si="9"/>
        <v/>
      </c>
      <c r="Z49" s="34"/>
      <c r="AA49" s="26" t="str">
        <f t="shared" si="11"/>
        <v/>
      </c>
      <c r="AB49" s="34"/>
      <c r="AC49" s="26" t="str">
        <f t="shared" si="12"/>
        <v/>
      </c>
      <c r="AD49" s="34"/>
      <c r="AE49" s="26" t="str">
        <f t="shared" si="13"/>
        <v/>
      </c>
    </row>
    <row r="50">
      <c r="A50" s="4"/>
      <c r="B50" s="4"/>
      <c r="C50" s="4"/>
      <c r="D50" s="4"/>
      <c r="E50" s="58"/>
      <c r="F50" s="58"/>
      <c r="G50" s="58"/>
      <c r="H50" s="58"/>
      <c r="I50" s="58"/>
      <c r="J50" s="58"/>
      <c r="K50" s="58"/>
      <c r="L50" s="58"/>
      <c r="M50" s="30"/>
      <c r="N50" s="30"/>
      <c r="O50" s="13" t="str">
        <f t="shared" ref="O50:O60" si="89">IF(N50="","","0")</f>
        <v/>
      </c>
      <c r="P50" s="13" t="str">
        <f t="shared" ref="P50:R50" si="88">IF($N50="","","0")</f>
        <v/>
      </c>
      <c r="Q50" s="13" t="str">
        <f t="shared" si="88"/>
        <v/>
      </c>
      <c r="R50" s="13" t="str">
        <f t="shared" si="88"/>
        <v/>
      </c>
      <c r="S50" s="30"/>
      <c r="T50" s="30"/>
      <c r="U50" s="30"/>
      <c r="V50" s="30"/>
      <c r="X50" s="34" t="str">
        <f t="shared" si="81"/>
        <v/>
      </c>
      <c r="Y50" s="34" t="str">
        <f t="shared" si="9"/>
        <v/>
      </c>
      <c r="Z50" s="34"/>
      <c r="AA50" s="26" t="str">
        <f t="shared" si="11"/>
        <v/>
      </c>
      <c r="AB50" s="34"/>
      <c r="AC50" s="26" t="str">
        <f t="shared" si="12"/>
        <v/>
      </c>
      <c r="AD50" s="34"/>
      <c r="AE50" s="26" t="str">
        <f t="shared" si="13"/>
        <v/>
      </c>
    </row>
    <row r="51">
      <c r="A51" s="4"/>
      <c r="B51" s="4"/>
      <c r="C51" s="4"/>
      <c r="D51" s="4"/>
      <c r="E51" s="58"/>
      <c r="F51" s="58"/>
      <c r="G51" s="58"/>
      <c r="H51" s="58"/>
      <c r="I51" s="58"/>
      <c r="J51" s="58"/>
      <c r="K51" s="58"/>
      <c r="L51" s="58"/>
      <c r="M51" s="30"/>
      <c r="N51" s="30"/>
      <c r="O51" s="13" t="str">
        <f t="shared" si="89"/>
        <v/>
      </c>
      <c r="P51" s="13" t="str">
        <f t="shared" ref="P51:R51" si="90">IF($N51="","","0")</f>
        <v/>
      </c>
      <c r="Q51" s="13" t="str">
        <f t="shared" si="90"/>
        <v/>
      </c>
      <c r="R51" s="13" t="str">
        <f t="shared" si="90"/>
        <v/>
      </c>
      <c r="S51" s="30"/>
      <c r="T51" s="30"/>
      <c r="U51" s="30"/>
      <c r="V51" s="30"/>
      <c r="X51" s="34" t="str">
        <f t="shared" si="81"/>
        <v/>
      </c>
      <c r="Y51" s="34" t="str">
        <f t="shared" si="9"/>
        <v/>
      </c>
      <c r="Z51" s="34"/>
      <c r="AA51" s="26" t="str">
        <f t="shared" si="11"/>
        <v/>
      </c>
      <c r="AB51" s="34"/>
      <c r="AC51" s="26" t="str">
        <f t="shared" si="12"/>
        <v/>
      </c>
      <c r="AD51" s="34"/>
      <c r="AE51" s="26" t="str">
        <f t="shared" si="13"/>
        <v/>
      </c>
    </row>
    <row r="52">
      <c r="A52" s="64"/>
      <c r="B52" s="65"/>
      <c r="C52" s="66"/>
      <c r="D52" s="67"/>
      <c r="E52" s="68"/>
      <c r="F52" s="68"/>
      <c r="G52" s="69"/>
      <c r="H52" s="58"/>
      <c r="I52" s="70"/>
      <c r="J52" s="70"/>
      <c r="K52" s="70"/>
      <c r="L52" s="70"/>
      <c r="M52" s="30"/>
      <c r="N52" s="30"/>
      <c r="O52" s="13" t="str">
        <f t="shared" si="89"/>
        <v/>
      </c>
      <c r="P52" s="13" t="str">
        <f t="shared" ref="P52:R52" si="91">IF($N52="","","0")</f>
        <v/>
      </c>
      <c r="Q52" s="13" t="str">
        <f t="shared" si="91"/>
        <v/>
      </c>
      <c r="R52" s="13" t="str">
        <f t="shared" si="91"/>
        <v/>
      </c>
      <c r="S52" s="30"/>
      <c r="T52" s="30"/>
      <c r="U52" s="30"/>
      <c r="V52" s="30"/>
      <c r="X52" s="34" t="str">
        <f t="shared" si="81"/>
        <v/>
      </c>
      <c r="Y52" s="34" t="str">
        <f t="shared" si="9"/>
        <v/>
      </c>
      <c r="Z52" s="34"/>
      <c r="AA52" s="26" t="str">
        <f t="shared" si="11"/>
        <v/>
      </c>
      <c r="AB52" s="34"/>
      <c r="AC52" s="26" t="str">
        <f t="shared" si="12"/>
        <v/>
      </c>
      <c r="AD52" s="34"/>
      <c r="AE52" s="26" t="str">
        <f t="shared" si="13"/>
        <v/>
      </c>
    </row>
    <row r="53">
      <c r="A53" s="64"/>
      <c r="B53" s="65"/>
      <c r="C53" s="66"/>
      <c r="D53" s="67"/>
      <c r="E53" s="68"/>
      <c r="F53" s="68"/>
      <c r="G53" s="69"/>
      <c r="H53" s="58"/>
      <c r="I53" s="70"/>
      <c r="J53" s="70"/>
      <c r="K53" s="70"/>
      <c r="L53" s="70"/>
      <c r="M53" s="30"/>
      <c r="N53" s="30"/>
      <c r="O53" s="13" t="str">
        <f t="shared" si="89"/>
        <v/>
      </c>
      <c r="P53" s="13" t="str">
        <f t="shared" ref="P53:R53" si="92">IF($N53="","","0")</f>
        <v/>
      </c>
      <c r="Q53" s="13" t="str">
        <f t="shared" si="92"/>
        <v/>
      </c>
      <c r="R53" s="13" t="str">
        <f t="shared" si="92"/>
        <v/>
      </c>
      <c r="S53" s="30"/>
      <c r="T53" s="30"/>
      <c r="U53" s="30"/>
      <c r="V53" s="30"/>
      <c r="X53" s="34" t="str">
        <f t="shared" si="81"/>
        <v/>
      </c>
      <c r="Y53" s="34" t="str">
        <f t="shared" si="9"/>
        <v/>
      </c>
      <c r="Z53" s="34"/>
      <c r="AA53" s="26" t="str">
        <f t="shared" si="11"/>
        <v/>
      </c>
      <c r="AB53" s="34"/>
      <c r="AC53" s="26" t="str">
        <f t="shared" si="12"/>
        <v/>
      </c>
      <c r="AD53" s="34"/>
      <c r="AE53" s="26" t="str">
        <f t="shared" si="13"/>
        <v/>
      </c>
    </row>
    <row r="54">
      <c r="A54" s="64"/>
      <c r="B54" s="65"/>
      <c r="C54" s="66"/>
      <c r="D54" s="67"/>
      <c r="E54" s="68"/>
      <c r="F54" s="71"/>
      <c r="G54" s="15"/>
      <c r="H54" s="58"/>
      <c r="I54" s="70"/>
      <c r="J54" s="72" t="s">
        <v>11</v>
      </c>
      <c r="K54" s="70"/>
      <c r="L54" s="72">
        <v>5138.0</v>
      </c>
      <c r="M54" s="30"/>
      <c r="N54" s="30"/>
      <c r="O54" s="13" t="str">
        <f t="shared" si="89"/>
        <v/>
      </c>
      <c r="P54" s="13" t="str">
        <f t="shared" ref="P54:R54" si="93">IF($N54="","","0")</f>
        <v/>
      </c>
      <c r="Q54" s="13" t="str">
        <f t="shared" si="93"/>
        <v/>
      </c>
      <c r="R54" s="13" t="str">
        <f t="shared" si="93"/>
        <v/>
      </c>
      <c r="S54" s="30"/>
      <c r="T54" s="30"/>
      <c r="U54" s="30"/>
      <c r="V54" s="30"/>
      <c r="X54" s="34"/>
      <c r="Y54" s="34"/>
      <c r="Z54" s="34"/>
      <c r="AA54" s="26"/>
      <c r="AB54" s="34"/>
      <c r="AC54" s="26"/>
      <c r="AD54" s="34"/>
      <c r="AE54" s="26"/>
    </row>
    <row r="55">
      <c r="A55" s="64"/>
      <c r="B55" s="65"/>
      <c r="C55" s="66"/>
      <c r="D55" s="67"/>
      <c r="E55" s="68"/>
      <c r="F55" s="73"/>
      <c r="G55" s="74"/>
      <c r="H55" s="70"/>
      <c r="I55" s="70"/>
      <c r="J55" s="72" t="s">
        <v>16</v>
      </c>
      <c r="K55" s="70"/>
      <c r="L55" s="72">
        <v>422.0</v>
      </c>
      <c r="M55" s="30"/>
      <c r="N55" s="30"/>
      <c r="O55" s="13" t="str">
        <f t="shared" si="89"/>
        <v/>
      </c>
      <c r="P55" s="13" t="str">
        <f t="shared" ref="P55:R55" si="94">IF($N55="","","0")</f>
        <v/>
      </c>
      <c r="Q55" s="13" t="str">
        <f t="shared" si="94"/>
        <v/>
      </c>
      <c r="R55" s="13" t="str">
        <f t="shared" si="94"/>
        <v/>
      </c>
      <c r="S55" s="30"/>
      <c r="T55" s="30"/>
      <c r="U55" s="30"/>
      <c r="V55" s="30"/>
      <c r="X55" s="34"/>
      <c r="Y55" s="34"/>
      <c r="Z55" s="34"/>
      <c r="AA55" s="26"/>
      <c r="AB55" s="34"/>
      <c r="AC55" s="26"/>
      <c r="AD55" s="34"/>
      <c r="AE55" s="26"/>
    </row>
    <row r="56">
      <c r="A56" s="64"/>
      <c r="B56" s="65"/>
      <c r="C56" s="66"/>
      <c r="D56" s="67"/>
      <c r="E56" s="68"/>
      <c r="F56" s="73"/>
      <c r="G56" s="74"/>
      <c r="H56" s="70"/>
      <c r="I56" s="70"/>
      <c r="J56" s="72" t="s">
        <v>19</v>
      </c>
      <c r="K56" s="70"/>
      <c r="L56" s="72">
        <v>5138.0</v>
      </c>
      <c r="M56" s="30"/>
      <c r="N56" s="30"/>
      <c r="O56" s="13" t="str">
        <f t="shared" si="89"/>
        <v/>
      </c>
      <c r="P56" s="13" t="str">
        <f t="shared" ref="P56:R56" si="95">IF($N56="","","0")</f>
        <v/>
      </c>
      <c r="Q56" s="13" t="str">
        <f t="shared" si="95"/>
        <v/>
      </c>
      <c r="R56" s="13" t="str">
        <f t="shared" si="95"/>
        <v/>
      </c>
      <c r="S56" s="30"/>
      <c r="T56" s="30"/>
      <c r="U56" s="30"/>
      <c r="V56" s="30"/>
      <c r="X56" s="34"/>
      <c r="Y56" s="34"/>
      <c r="Z56" s="34"/>
      <c r="AA56" s="26"/>
      <c r="AB56" s="34"/>
      <c r="AC56" s="26"/>
      <c r="AD56" s="34"/>
      <c r="AE56" s="26"/>
    </row>
    <row r="57">
      <c r="A57" s="64"/>
      <c r="B57" s="65"/>
      <c r="C57" s="66"/>
      <c r="D57" s="67"/>
      <c r="E57" s="68"/>
      <c r="F57" s="73"/>
      <c r="G57" s="74"/>
      <c r="H57" s="70"/>
      <c r="I57" s="70"/>
      <c r="J57" s="70"/>
      <c r="K57" s="70"/>
      <c r="L57" s="70"/>
      <c r="M57" s="30"/>
      <c r="N57" s="30"/>
      <c r="O57" s="13" t="str">
        <f t="shared" si="89"/>
        <v/>
      </c>
      <c r="P57" s="13" t="str">
        <f t="shared" ref="P57:R57" si="96">IF($N57="","","0")</f>
        <v/>
      </c>
      <c r="Q57" s="13" t="str">
        <f t="shared" si="96"/>
        <v/>
      </c>
      <c r="R57" s="13" t="str">
        <f t="shared" si="96"/>
        <v/>
      </c>
      <c r="S57" s="30"/>
      <c r="T57" s="30"/>
      <c r="U57" s="30"/>
      <c r="V57" s="30"/>
      <c r="X57" s="34"/>
      <c r="Y57" s="34"/>
      <c r="Z57" s="34"/>
      <c r="AA57" s="26"/>
      <c r="AB57" s="34"/>
      <c r="AC57" s="26"/>
      <c r="AD57" s="34"/>
      <c r="AE57" s="26"/>
    </row>
    <row r="58">
      <c r="A58" s="64"/>
      <c r="B58" s="65"/>
      <c r="C58" s="66"/>
      <c r="D58" s="67"/>
      <c r="E58" s="68"/>
      <c r="F58" s="68"/>
      <c r="G58" s="69"/>
      <c r="H58" s="70"/>
      <c r="I58" s="70"/>
      <c r="J58" s="70"/>
      <c r="K58" s="70"/>
      <c r="L58" s="70"/>
      <c r="M58" s="30"/>
      <c r="N58" s="30"/>
      <c r="O58" s="13" t="str">
        <f t="shared" si="89"/>
        <v/>
      </c>
      <c r="P58" s="13" t="str">
        <f t="shared" ref="P58:P59" si="97">IF($N58="","","0")</f>
        <v/>
      </c>
      <c r="Q58" s="30"/>
      <c r="R58" s="30"/>
      <c r="S58" s="30"/>
      <c r="T58" s="30"/>
      <c r="U58" s="30"/>
      <c r="V58" s="30"/>
      <c r="X58" s="34"/>
      <c r="Y58" s="34"/>
      <c r="Z58" s="34"/>
      <c r="AA58" s="26"/>
      <c r="AB58" s="34"/>
      <c r="AC58" s="26"/>
      <c r="AD58" s="34"/>
      <c r="AE58" s="26"/>
    </row>
    <row r="59">
      <c r="A59" s="64"/>
      <c r="B59" s="65"/>
      <c r="C59" s="66"/>
      <c r="D59" s="67"/>
      <c r="E59" s="68"/>
      <c r="F59" s="68"/>
      <c r="G59" s="69"/>
      <c r="H59" s="70"/>
      <c r="I59" s="70"/>
      <c r="J59" s="70"/>
      <c r="K59" s="70"/>
      <c r="L59" s="70"/>
      <c r="M59" s="30"/>
      <c r="N59" s="30"/>
      <c r="O59" s="13" t="str">
        <f t="shared" si="89"/>
        <v/>
      </c>
      <c r="P59" s="13" t="str">
        <f t="shared" si="97"/>
        <v/>
      </c>
      <c r="Q59" s="30"/>
      <c r="R59" s="30"/>
      <c r="S59" s="30"/>
      <c r="T59" s="30"/>
      <c r="U59" s="30"/>
      <c r="V59" s="30"/>
      <c r="X59" s="34" t="str">
        <f t="shared" ref="X59:X87" si="98">IF($J59="","", LEFT($J59,3)&amp;"_1p")</f>
        <v/>
      </c>
      <c r="Y59" s="34" t="str">
        <f t="shared" ref="Y59:Y86" si="99">IFERROR(M59,"")</f>
        <v/>
      </c>
      <c r="Z59" s="34"/>
      <c r="AA59" s="26" t="str">
        <f t="shared" ref="AA59:AA88" si="100">IF(Z59="","","ASL1")</f>
        <v/>
      </c>
      <c r="AB59" s="34"/>
      <c r="AC59" s="26" t="str">
        <f t="shared" ref="AC59:AC86" si="101">IF(X59="","","1")</f>
        <v/>
      </c>
      <c r="AD59" s="34"/>
      <c r="AE59" s="26" t="str">
        <f t="shared" ref="AE59:AE94" si="102">IF(X59="","","Chilled")</f>
        <v/>
      </c>
    </row>
    <row r="60">
      <c r="A60" s="64"/>
      <c r="B60" s="65"/>
      <c r="C60" s="66"/>
      <c r="D60" s="67"/>
      <c r="E60" s="68"/>
      <c r="F60" s="68"/>
      <c r="G60" s="69"/>
      <c r="H60" s="70"/>
      <c r="I60" s="70"/>
      <c r="J60" s="70"/>
      <c r="K60" s="70"/>
      <c r="L60" s="70"/>
      <c r="M60" s="30"/>
      <c r="N60" s="30"/>
      <c r="O60" s="13" t="str">
        <f t="shared" si="89"/>
        <v/>
      </c>
      <c r="P60" s="30"/>
      <c r="Q60" s="30"/>
      <c r="R60" s="30"/>
      <c r="S60" s="30"/>
      <c r="T60" s="30"/>
      <c r="U60" s="30"/>
      <c r="V60" s="30"/>
      <c r="X60" s="34" t="str">
        <f t="shared" si="98"/>
        <v/>
      </c>
      <c r="Y60" s="34" t="str">
        <f t="shared" si="99"/>
        <v/>
      </c>
      <c r="Z60" s="34"/>
      <c r="AA60" s="26" t="str">
        <f t="shared" si="100"/>
        <v/>
      </c>
      <c r="AB60" s="34"/>
      <c r="AC60" s="26" t="str">
        <f t="shared" si="101"/>
        <v/>
      </c>
      <c r="AD60" s="34"/>
      <c r="AE60" s="26" t="str">
        <f t="shared" si="102"/>
        <v/>
      </c>
    </row>
    <row r="61">
      <c r="A61" s="64"/>
      <c r="B61" s="65"/>
      <c r="C61" s="66"/>
      <c r="D61" s="67"/>
      <c r="E61" s="68"/>
      <c r="F61" s="68"/>
      <c r="G61" s="69"/>
      <c r="H61" s="4"/>
      <c r="I61" s="4"/>
      <c r="J61" s="4"/>
      <c r="K61" s="4"/>
      <c r="L61" s="4"/>
      <c r="M61" s="30"/>
      <c r="N61" s="30"/>
      <c r="O61" s="30"/>
      <c r="P61" s="30"/>
      <c r="Q61" s="30"/>
      <c r="R61" s="30"/>
      <c r="S61" s="30"/>
      <c r="T61" s="30"/>
      <c r="U61" s="30"/>
      <c r="V61" s="30"/>
      <c r="X61" s="34" t="str">
        <f t="shared" si="98"/>
        <v/>
      </c>
      <c r="Y61" s="34" t="str">
        <f t="shared" si="99"/>
        <v/>
      </c>
      <c r="Z61" s="34"/>
      <c r="AA61" s="26" t="str">
        <f t="shared" si="100"/>
        <v/>
      </c>
      <c r="AB61" s="34"/>
      <c r="AC61" s="26" t="str">
        <f t="shared" si="101"/>
        <v/>
      </c>
      <c r="AD61" s="34"/>
      <c r="AE61" s="26" t="str">
        <f t="shared" si="102"/>
        <v/>
      </c>
    </row>
    <row r="62">
      <c r="A62" s="64"/>
      <c r="B62" s="75"/>
      <c r="C62" s="68"/>
      <c r="D62" s="68"/>
      <c r="E62" s="68"/>
      <c r="F62" s="68"/>
      <c r="G62" s="57"/>
      <c r="H62" s="4"/>
      <c r="I62" s="4"/>
      <c r="J62" s="4"/>
      <c r="K62" s="4"/>
      <c r="L62" s="4"/>
      <c r="M62" s="30"/>
      <c r="N62" s="30"/>
      <c r="O62" s="30"/>
      <c r="P62" s="30"/>
      <c r="Q62" s="30"/>
      <c r="R62" s="30"/>
      <c r="S62" s="30"/>
      <c r="T62" s="30"/>
      <c r="U62" s="30"/>
      <c r="V62" s="30"/>
      <c r="X62" s="34" t="str">
        <f t="shared" si="98"/>
        <v/>
      </c>
      <c r="Y62" s="34" t="str">
        <f t="shared" si="99"/>
        <v/>
      </c>
      <c r="Z62" s="34"/>
      <c r="AA62" s="26" t="str">
        <f t="shared" si="100"/>
        <v/>
      </c>
      <c r="AB62" s="34"/>
      <c r="AC62" s="26" t="str">
        <f t="shared" si="101"/>
        <v/>
      </c>
      <c r="AD62" s="34"/>
      <c r="AE62" s="26" t="str">
        <f t="shared" si="102"/>
        <v/>
      </c>
    </row>
    <row r="63">
      <c r="A63" s="64"/>
      <c r="B63" s="65"/>
      <c r="C63" s="66"/>
      <c r="D63" s="67"/>
      <c r="E63" s="68"/>
      <c r="F63" s="68"/>
      <c r="G63" s="69"/>
      <c r="H63" s="70"/>
      <c r="I63" s="70"/>
      <c r="J63" s="70"/>
      <c r="K63" s="70"/>
      <c r="L63" s="70"/>
      <c r="M63" s="30"/>
      <c r="N63" s="30"/>
      <c r="O63" s="30"/>
      <c r="P63" s="30"/>
      <c r="Q63" s="30"/>
      <c r="R63" s="30"/>
      <c r="S63" s="30"/>
      <c r="T63" s="30"/>
      <c r="U63" s="30"/>
      <c r="V63" s="30"/>
      <c r="X63" s="34" t="str">
        <f t="shared" si="98"/>
        <v/>
      </c>
      <c r="Y63" s="34" t="str">
        <f t="shared" si="99"/>
        <v/>
      </c>
      <c r="Z63" s="34"/>
      <c r="AA63" s="26" t="str">
        <f t="shared" si="100"/>
        <v/>
      </c>
      <c r="AB63" s="34"/>
      <c r="AC63" s="26" t="str">
        <f t="shared" si="101"/>
        <v/>
      </c>
      <c r="AD63" s="34"/>
      <c r="AE63" s="26" t="str">
        <f t="shared" si="102"/>
        <v/>
      </c>
    </row>
    <row r="64">
      <c r="A64" s="64"/>
      <c r="B64" s="65"/>
      <c r="C64" s="66"/>
      <c r="D64" s="67"/>
      <c r="E64" s="68"/>
      <c r="F64" s="68"/>
      <c r="G64" s="69"/>
      <c r="H64" s="70"/>
      <c r="I64" s="70"/>
      <c r="J64" s="70"/>
      <c r="K64" s="70"/>
      <c r="L64" s="70"/>
      <c r="M64" s="30"/>
      <c r="N64" s="30"/>
      <c r="O64" s="30"/>
      <c r="P64" s="30"/>
      <c r="Q64" s="30"/>
      <c r="R64" s="30"/>
      <c r="S64" s="30"/>
      <c r="T64" s="30"/>
      <c r="U64" s="30"/>
      <c r="V64" s="30"/>
      <c r="X64" s="34" t="str">
        <f t="shared" si="98"/>
        <v/>
      </c>
      <c r="Y64" s="34" t="str">
        <f t="shared" si="99"/>
        <v/>
      </c>
      <c r="Z64" s="34"/>
      <c r="AA64" s="26" t="str">
        <f t="shared" si="100"/>
        <v/>
      </c>
      <c r="AB64" s="34"/>
      <c r="AC64" s="26" t="str">
        <f t="shared" si="101"/>
        <v/>
      </c>
      <c r="AD64" s="34"/>
      <c r="AE64" s="26" t="str">
        <f t="shared" si="102"/>
        <v/>
      </c>
    </row>
    <row r="65">
      <c r="A65" s="64"/>
      <c r="B65" s="65"/>
      <c r="C65" s="66"/>
      <c r="D65" s="67"/>
      <c r="E65" s="68"/>
      <c r="F65" s="68"/>
      <c r="G65" s="69"/>
      <c r="H65" s="70"/>
      <c r="I65" s="70"/>
      <c r="J65" s="70"/>
      <c r="K65" s="70"/>
      <c r="L65" s="70"/>
      <c r="M65" s="30"/>
      <c r="N65" s="30"/>
      <c r="O65" s="30"/>
      <c r="P65" s="30"/>
      <c r="Q65" s="30"/>
      <c r="R65" s="30"/>
      <c r="S65" s="30"/>
      <c r="T65" s="30"/>
      <c r="U65" s="30"/>
      <c r="V65" s="30"/>
      <c r="X65" s="34" t="str">
        <f t="shared" si="98"/>
        <v/>
      </c>
      <c r="Y65" s="34" t="str">
        <f t="shared" si="99"/>
        <v/>
      </c>
      <c r="Z65" s="34"/>
      <c r="AA65" s="26" t="str">
        <f t="shared" si="100"/>
        <v/>
      </c>
      <c r="AB65" s="34"/>
      <c r="AC65" s="26" t="str">
        <f t="shared" si="101"/>
        <v/>
      </c>
      <c r="AD65" s="34"/>
      <c r="AE65" s="26" t="str">
        <f t="shared" si="102"/>
        <v/>
      </c>
    </row>
    <row r="66">
      <c r="A66" s="64"/>
      <c r="B66" s="65"/>
      <c r="C66" s="66"/>
      <c r="D66" s="67"/>
      <c r="E66" s="68"/>
      <c r="F66" s="68"/>
      <c r="G66" s="69"/>
      <c r="H66" s="70"/>
      <c r="I66" s="70"/>
      <c r="J66" s="70"/>
      <c r="K66" s="70"/>
      <c r="L66" s="70"/>
      <c r="M66" s="30"/>
      <c r="N66" s="30"/>
      <c r="O66" s="30"/>
      <c r="P66" s="30"/>
      <c r="Q66" s="30"/>
      <c r="R66" s="30"/>
      <c r="S66" s="30"/>
      <c r="T66" s="30"/>
      <c r="U66" s="30"/>
      <c r="V66" s="30"/>
      <c r="X66" s="34" t="str">
        <f t="shared" si="98"/>
        <v/>
      </c>
      <c r="Y66" s="34" t="str">
        <f t="shared" si="99"/>
        <v/>
      </c>
      <c r="Z66" s="34"/>
      <c r="AA66" s="26" t="str">
        <f t="shared" si="100"/>
        <v/>
      </c>
      <c r="AB66" s="34"/>
      <c r="AC66" s="26" t="str">
        <f t="shared" si="101"/>
        <v/>
      </c>
      <c r="AD66" s="34"/>
      <c r="AE66" s="26" t="str">
        <f t="shared" si="102"/>
        <v/>
      </c>
    </row>
    <row r="67">
      <c r="A67" s="64"/>
      <c r="B67" s="65"/>
      <c r="C67" s="66"/>
      <c r="D67" s="67"/>
      <c r="E67" s="68"/>
      <c r="F67" s="68"/>
      <c r="G67" s="69"/>
      <c r="H67" s="70"/>
      <c r="I67" s="70"/>
      <c r="J67" s="70"/>
      <c r="K67" s="70"/>
      <c r="L67" s="70"/>
      <c r="M67" s="30"/>
      <c r="N67" s="30"/>
      <c r="O67" s="30"/>
      <c r="P67" s="30"/>
      <c r="Q67" s="30"/>
      <c r="R67" s="30"/>
      <c r="S67" s="30"/>
      <c r="T67" s="30"/>
      <c r="U67" s="30"/>
      <c r="V67" s="30"/>
      <c r="X67" s="34" t="str">
        <f t="shared" si="98"/>
        <v/>
      </c>
      <c r="Y67" s="34" t="str">
        <f t="shared" si="99"/>
        <v/>
      </c>
      <c r="Z67" s="34"/>
      <c r="AA67" s="26" t="str">
        <f t="shared" si="100"/>
        <v/>
      </c>
      <c r="AB67" s="34"/>
      <c r="AC67" s="26" t="str">
        <f t="shared" si="101"/>
        <v/>
      </c>
      <c r="AD67" s="34"/>
      <c r="AE67" s="26" t="str">
        <f t="shared" si="102"/>
        <v/>
      </c>
    </row>
    <row r="68">
      <c r="A68" s="64"/>
      <c r="B68" s="65"/>
      <c r="C68" s="66"/>
      <c r="D68" s="67"/>
      <c r="E68" s="68"/>
      <c r="F68" s="68"/>
      <c r="G68" s="69"/>
      <c r="H68" s="70"/>
      <c r="I68" s="70"/>
      <c r="J68" s="70"/>
      <c r="K68" s="70"/>
      <c r="L68" s="70"/>
      <c r="M68" s="30"/>
      <c r="N68" s="30"/>
      <c r="O68" s="30"/>
      <c r="P68" s="30"/>
      <c r="Q68" s="30"/>
      <c r="R68" s="30"/>
      <c r="S68" s="30"/>
      <c r="T68" s="30"/>
      <c r="U68" s="30"/>
      <c r="V68" s="30"/>
      <c r="X68" s="34" t="str">
        <f t="shared" si="98"/>
        <v/>
      </c>
      <c r="Y68" s="34" t="str">
        <f t="shared" si="99"/>
        <v/>
      </c>
      <c r="Z68" s="34"/>
      <c r="AA68" s="26" t="str">
        <f t="shared" si="100"/>
        <v/>
      </c>
      <c r="AB68" s="34"/>
      <c r="AC68" s="26" t="str">
        <f t="shared" si="101"/>
        <v/>
      </c>
      <c r="AD68" s="34"/>
      <c r="AE68" s="26" t="str">
        <f t="shared" si="102"/>
        <v/>
      </c>
    </row>
    <row r="69">
      <c r="A69" s="64"/>
      <c r="B69" s="65"/>
      <c r="C69" s="66"/>
      <c r="D69" s="67"/>
      <c r="E69" s="68"/>
      <c r="F69" s="68"/>
      <c r="G69" s="69"/>
      <c r="H69" s="70"/>
      <c r="I69" s="70"/>
      <c r="J69" s="70"/>
      <c r="K69" s="70"/>
      <c r="L69" s="70"/>
      <c r="M69" s="30"/>
      <c r="N69" s="30"/>
      <c r="O69" s="30"/>
      <c r="P69" s="30"/>
      <c r="Q69" s="30"/>
      <c r="R69" s="30"/>
      <c r="S69" s="30"/>
      <c r="T69" s="30"/>
      <c r="U69" s="30"/>
      <c r="V69" s="30"/>
      <c r="X69" s="34" t="str">
        <f t="shared" si="98"/>
        <v/>
      </c>
      <c r="Y69" s="34" t="str">
        <f t="shared" si="99"/>
        <v/>
      </c>
      <c r="Z69" s="34"/>
      <c r="AA69" s="26" t="str">
        <f t="shared" si="100"/>
        <v/>
      </c>
      <c r="AB69" s="34"/>
      <c r="AC69" s="26" t="str">
        <f t="shared" si="101"/>
        <v/>
      </c>
      <c r="AD69" s="34"/>
      <c r="AE69" s="26" t="str">
        <f t="shared" si="102"/>
        <v/>
      </c>
    </row>
    <row r="70">
      <c r="A70" s="64"/>
      <c r="B70" s="65"/>
      <c r="C70" s="66"/>
      <c r="D70" s="67"/>
      <c r="E70" s="68"/>
      <c r="F70" s="68"/>
      <c r="G70" s="69"/>
      <c r="H70" s="70"/>
      <c r="I70" s="70"/>
      <c r="J70" s="70"/>
      <c r="K70" s="70"/>
      <c r="L70" s="70"/>
      <c r="M70" s="30"/>
      <c r="N70" s="30"/>
      <c r="O70" s="30"/>
      <c r="P70" s="30"/>
      <c r="Q70" s="30"/>
      <c r="R70" s="30"/>
      <c r="S70" s="30"/>
      <c r="T70" s="30"/>
      <c r="U70" s="30"/>
      <c r="V70" s="30"/>
      <c r="X70" s="34" t="str">
        <f t="shared" si="98"/>
        <v/>
      </c>
      <c r="Y70" s="34" t="str">
        <f t="shared" si="99"/>
        <v/>
      </c>
      <c r="Z70" s="34"/>
      <c r="AA70" s="26" t="str">
        <f t="shared" si="100"/>
        <v/>
      </c>
      <c r="AB70" s="34"/>
      <c r="AC70" s="26" t="str">
        <f t="shared" si="101"/>
        <v/>
      </c>
      <c r="AD70" s="34"/>
      <c r="AE70" s="26" t="str">
        <f t="shared" si="102"/>
        <v/>
      </c>
    </row>
    <row r="71">
      <c r="A71" s="64"/>
      <c r="B71" s="65"/>
      <c r="C71" s="66"/>
      <c r="D71" s="67"/>
      <c r="E71" s="68"/>
      <c r="F71" s="68"/>
      <c r="G71" s="69"/>
      <c r="H71" s="70"/>
      <c r="I71" s="70"/>
      <c r="J71" s="70"/>
      <c r="K71" s="70"/>
      <c r="L71" s="70"/>
      <c r="M71" s="30"/>
      <c r="N71" s="30"/>
      <c r="O71" s="30"/>
      <c r="P71" s="30"/>
      <c r="Q71" s="30"/>
      <c r="R71" s="30"/>
      <c r="S71" s="30"/>
      <c r="T71" s="30"/>
      <c r="U71" s="30"/>
      <c r="V71" s="30"/>
      <c r="X71" s="34" t="str">
        <f t="shared" si="98"/>
        <v/>
      </c>
      <c r="Y71" s="34" t="str">
        <f t="shared" si="99"/>
        <v/>
      </c>
      <c r="Z71" s="34"/>
      <c r="AA71" s="26" t="str">
        <f t="shared" si="100"/>
        <v/>
      </c>
      <c r="AB71" s="34"/>
      <c r="AC71" s="26" t="str">
        <f t="shared" si="101"/>
        <v/>
      </c>
      <c r="AD71" s="34"/>
      <c r="AE71" s="26" t="str">
        <f t="shared" si="102"/>
        <v/>
      </c>
    </row>
    <row r="72">
      <c r="A72" s="64"/>
      <c r="B72" s="65"/>
      <c r="C72" s="66"/>
      <c r="D72" s="67"/>
      <c r="E72" s="68"/>
      <c r="F72" s="68"/>
      <c r="G72" s="69"/>
      <c r="H72" s="70"/>
      <c r="I72" s="70"/>
      <c r="J72" s="70"/>
      <c r="K72" s="70"/>
      <c r="L72" s="70"/>
      <c r="M72" s="30"/>
      <c r="N72" s="30"/>
      <c r="O72" s="30"/>
      <c r="P72" s="30"/>
      <c r="Q72" s="30"/>
      <c r="R72" s="30"/>
      <c r="S72" s="30"/>
      <c r="T72" s="30"/>
      <c r="U72" s="30"/>
      <c r="V72" s="30"/>
      <c r="X72" s="34" t="str">
        <f t="shared" si="98"/>
        <v/>
      </c>
      <c r="Y72" s="34" t="str">
        <f t="shared" si="99"/>
        <v/>
      </c>
      <c r="Z72" s="34"/>
      <c r="AA72" s="26" t="str">
        <f t="shared" si="100"/>
        <v/>
      </c>
      <c r="AB72" s="34"/>
      <c r="AC72" s="26" t="str">
        <f t="shared" si="101"/>
        <v/>
      </c>
      <c r="AD72" s="34"/>
      <c r="AE72" s="26" t="str">
        <f t="shared" si="102"/>
        <v/>
      </c>
    </row>
    <row r="73">
      <c r="A73" s="64"/>
      <c r="B73" s="65"/>
      <c r="C73" s="66"/>
      <c r="D73" s="67"/>
      <c r="E73" s="68"/>
      <c r="F73" s="68"/>
      <c r="G73" s="69"/>
      <c r="H73" s="70"/>
      <c r="I73" s="70"/>
      <c r="J73" s="70"/>
      <c r="K73" s="70"/>
      <c r="L73" s="70"/>
      <c r="M73" s="30"/>
      <c r="N73" s="30"/>
      <c r="O73" s="30"/>
      <c r="P73" s="30"/>
      <c r="Q73" s="30"/>
      <c r="R73" s="30"/>
      <c r="S73" s="30"/>
      <c r="T73" s="30"/>
      <c r="U73" s="30"/>
      <c r="V73" s="30"/>
      <c r="X73" s="34" t="str">
        <f t="shared" si="98"/>
        <v/>
      </c>
      <c r="Y73" s="34" t="str">
        <f t="shared" si="99"/>
        <v/>
      </c>
      <c r="Z73" s="34"/>
      <c r="AA73" s="26" t="str">
        <f t="shared" si="100"/>
        <v/>
      </c>
      <c r="AB73" s="34"/>
      <c r="AC73" s="26" t="str">
        <f t="shared" si="101"/>
        <v/>
      </c>
      <c r="AD73" s="34"/>
      <c r="AE73" s="26" t="str">
        <f t="shared" si="102"/>
        <v/>
      </c>
    </row>
    <row r="74">
      <c r="A74" s="64"/>
      <c r="B74" s="65"/>
      <c r="C74" s="66"/>
      <c r="D74" s="67"/>
      <c r="E74" s="68"/>
      <c r="F74" s="68"/>
      <c r="G74" s="69"/>
      <c r="H74" s="70"/>
      <c r="I74" s="70"/>
      <c r="J74" s="70"/>
      <c r="K74" s="70"/>
      <c r="L74" s="70"/>
      <c r="M74" s="30"/>
      <c r="N74" s="30"/>
      <c r="O74" s="30"/>
      <c r="P74" s="30"/>
      <c r="Q74" s="30"/>
      <c r="R74" s="30"/>
      <c r="S74" s="30"/>
      <c r="T74" s="30"/>
      <c r="U74" s="30"/>
      <c r="V74" s="30"/>
      <c r="X74" s="34" t="str">
        <f t="shared" si="98"/>
        <v/>
      </c>
      <c r="Y74" s="34" t="str">
        <f t="shared" si="99"/>
        <v/>
      </c>
      <c r="Z74" s="34"/>
      <c r="AA74" s="26" t="str">
        <f t="shared" si="100"/>
        <v/>
      </c>
      <c r="AB74" s="34"/>
      <c r="AC74" s="26" t="str">
        <f t="shared" si="101"/>
        <v/>
      </c>
      <c r="AD74" s="34"/>
      <c r="AE74" s="26" t="str">
        <f t="shared" si="102"/>
        <v/>
      </c>
    </row>
    <row r="75">
      <c r="A75" s="64"/>
      <c r="B75" s="65"/>
      <c r="C75" s="66"/>
      <c r="D75" s="67"/>
      <c r="E75" s="68"/>
      <c r="F75" s="68"/>
      <c r="G75" s="69"/>
      <c r="H75" s="70"/>
      <c r="I75" s="70"/>
      <c r="J75" s="70"/>
      <c r="K75" s="70"/>
      <c r="L75" s="70"/>
      <c r="M75" s="30"/>
      <c r="N75" s="30"/>
      <c r="O75" s="30"/>
      <c r="P75" s="30"/>
      <c r="Q75" s="30"/>
      <c r="R75" s="30"/>
      <c r="S75" s="30"/>
      <c r="T75" s="30"/>
      <c r="U75" s="30"/>
      <c r="V75" s="30"/>
      <c r="X75" s="34" t="str">
        <f t="shared" si="98"/>
        <v/>
      </c>
      <c r="Y75" s="34" t="str">
        <f t="shared" si="99"/>
        <v/>
      </c>
      <c r="Z75" s="34"/>
      <c r="AA75" s="26" t="str">
        <f t="shared" si="100"/>
        <v/>
      </c>
      <c r="AB75" s="34"/>
      <c r="AC75" s="26" t="str">
        <f t="shared" si="101"/>
        <v/>
      </c>
      <c r="AD75" s="34"/>
      <c r="AE75" s="26" t="str">
        <f t="shared" si="102"/>
        <v/>
      </c>
    </row>
    <row r="76">
      <c r="A76" s="64"/>
      <c r="B76" s="65"/>
      <c r="C76" s="66"/>
      <c r="D76" s="67"/>
      <c r="E76" s="68"/>
      <c r="F76" s="68"/>
      <c r="G76" s="69"/>
      <c r="H76" s="70"/>
      <c r="I76" s="70"/>
      <c r="J76" s="70"/>
      <c r="K76" s="70"/>
      <c r="L76" s="70"/>
      <c r="M76" s="30"/>
      <c r="N76" s="30"/>
      <c r="O76" s="30"/>
      <c r="P76" s="30"/>
      <c r="Q76" s="30"/>
      <c r="R76" s="30"/>
      <c r="S76" s="30"/>
      <c r="T76" s="30"/>
      <c r="U76" s="30"/>
      <c r="V76" s="30"/>
      <c r="X76" s="34" t="str">
        <f t="shared" si="98"/>
        <v/>
      </c>
      <c r="Y76" s="34" t="str">
        <f t="shared" si="99"/>
        <v/>
      </c>
      <c r="Z76" s="34"/>
      <c r="AA76" s="26" t="str">
        <f t="shared" si="100"/>
        <v/>
      </c>
      <c r="AB76" s="34"/>
      <c r="AC76" s="26" t="str">
        <f t="shared" si="101"/>
        <v/>
      </c>
      <c r="AD76" s="34"/>
      <c r="AE76" s="26" t="str">
        <f t="shared" si="102"/>
        <v/>
      </c>
    </row>
    <row r="77">
      <c r="A77" s="64"/>
      <c r="B77" s="65"/>
      <c r="C77" s="66"/>
      <c r="D77" s="67"/>
      <c r="E77" s="68"/>
      <c r="F77" s="68"/>
      <c r="G77" s="69"/>
      <c r="H77" s="70"/>
      <c r="I77" s="70"/>
      <c r="J77" s="70"/>
      <c r="K77" s="70"/>
      <c r="L77" s="70"/>
      <c r="M77" s="30"/>
      <c r="N77" s="30"/>
      <c r="O77" s="30"/>
      <c r="P77" s="30"/>
      <c r="Q77" s="30"/>
      <c r="R77" s="30"/>
      <c r="S77" s="30"/>
      <c r="T77" s="30"/>
      <c r="U77" s="30"/>
      <c r="V77" s="30"/>
      <c r="X77" s="34" t="str">
        <f t="shared" si="98"/>
        <v/>
      </c>
      <c r="Y77" s="34" t="str">
        <f t="shared" si="99"/>
        <v/>
      </c>
      <c r="Z77" s="34"/>
      <c r="AA77" s="26" t="str">
        <f t="shared" si="100"/>
        <v/>
      </c>
      <c r="AB77" s="34"/>
      <c r="AC77" s="26" t="str">
        <f t="shared" si="101"/>
        <v/>
      </c>
      <c r="AD77" s="34"/>
      <c r="AE77" s="26" t="str">
        <f t="shared" si="102"/>
        <v/>
      </c>
    </row>
    <row r="78">
      <c r="A78" s="64"/>
      <c r="B78" s="65"/>
      <c r="C78" s="66"/>
      <c r="D78" s="67"/>
      <c r="E78" s="68"/>
      <c r="F78" s="68"/>
      <c r="G78" s="69"/>
      <c r="H78" s="70"/>
      <c r="I78" s="70"/>
      <c r="J78" s="70"/>
      <c r="K78" s="70"/>
      <c r="L78" s="70"/>
      <c r="M78" s="30"/>
      <c r="N78" s="30"/>
      <c r="O78" s="30"/>
      <c r="P78" s="30"/>
      <c r="Q78" s="30"/>
      <c r="R78" s="30"/>
      <c r="S78" s="30"/>
      <c r="T78" s="30"/>
      <c r="U78" s="30"/>
      <c r="V78" s="30"/>
      <c r="X78" s="34" t="str">
        <f t="shared" si="98"/>
        <v/>
      </c>
      <c r="Y78" s="34" t="str">
        <f t="shared" si="99"/>
        <v/>
      </c>
      <c r="Z78" s="34"/>
      <c r="AA78" s="26" t="str">
        <f t="shared" si="100"/>
        <v/>
      </c>
      <c r="AB78" s="34"/>
      <c r="AC78" s="26" t="str">
        <f t="shared" si="101"/>
        <v/>
      </c>
      <c r="AD78" s="34"/>
      <c r="AE78" s="26" t="str">
        <f t="shared" si="102"/>
        <v/>
      </c>
    </row>
    <row r="79">
      <c r="A79" s="64"/>
      <c r="B79" s="65"/>
      <c r="C79" s="66"/>
      <c r="D79" s="67"/>
      <c r="E79" s="68"/>
      <c r="F79" s="68"/>
      <c r="G79" s="69"/>
      <c r="H79" s="70"/>
      <c r="I79" s="70"/>
      <c r="J79" s="70"/>
      <c r="K79" s="70"/>
      <c r="L79" s="70"/>
      <c r="M79" s="30"/>
      <c r="N79" s="30"/>
      <c r="O79" s="30"/>
      <c r="P79" s="30"/>
      <c r="Q79" s="30"/>
      <c r="R79" s="30"/>
      <c r="S79" s="30"/>
      <c r="T79" s="30"/>
      <c r="U79" s="30"/>
      <c r="V79" s="30"/>
      <c r="X79" s="34" t="str">
        <f t="shared" si="98"/>
        <v/>
      </c>
      <c r="Y79" s="34" t="str">
        <f t="shared" si="99"/>
        <v/>
      </c>
      <c r="Z79" s="34"/>
      <c r="AA79" s="26" t="str">
        <f t="shared" si="100"/>
        <v/>
      </c>
      <c r="AB79" s="34"/>
      <c r="AC79" s="26" t="str">
        <f t="shared" si="101"/>
        <v/>
      </c>
      <c r="AD79" s="34"/>
      <c r="AE79" s="26" t="str">
        <f t="shared" si="102"/>
        <v/>
      </c>
    </row>
    <row r="80">
      <c r="A80" s="64"/>
      <c r="B80" s="65"/>
      <c r="C80" s="66"/>
      <c r="D80" s="67"/>
      <c r="E80" s="68"/>
      <c r="F80" s="68"/>
      <c r="G80" s="69"/>
      <c r="H80" s="70"/>
      <c r="I80" s="70"/>
      <c r="J80" s="70"/>
      <c r="K80" s="70"/>
      <c r="L80" s="70"/>
      <c r="M80" s="30"/>
      <c r="N80" s="30"/>
      <c r="O80" s="30"/>
      <c r="P80" s="30"/>
      <c r="Q80" s="30"/>
      <c r="R80" s="30"/>
      <c r="S80" s="30"/>
      <c r="T80" s="30"/>
      <c r="U80" s="30"/>
      <c r="V80" s="30"/>
      <c r="X80" s="34" t="str">
        <f t="shared" si="98"/>
        <v/>
      </c>
      <c r="Y80" s="34" t="str">
        <f t="shared" si="99"/>
        <v/>
      </c>
      <c r="Z80" s="34"/>
      <c r="AA80" s="26" t="str">
        <f t="shared" si="100"/>
        <v/>
      </c>
      <c r="AB80" s="34"/>
      <c r="AC80" s="26" t="str">
        <f t="shared" si="101"/>
        <v/>
      </c>
      <c r="AD80" s="34"/>
      <c r="AE80" s="26" t="str">
        <f t="shared" si="102"/>
        <v/>
      </c>
    </row>
    <row r="81">
      <c r="A81" s="64"/>
      <c r="B81" s="65"/>
      <c r="C81" s="66"/>
      <c r="D81" s="67"/>
      <c r="E81" s="68"/>
      <c r="F81" s="68"/>
      <c r="G81" s="69"/>
      <c r="H81" s="4"/>
      <c r="I81" s="4"/>
      <c r="J81" s="4"/>
      <c r="K81" s="4"/>
      <c r="L81" s="4"/>
      <c r="M81" s="30"/>
      <c r="N81" s="30"/>
      <c r="O81" s="30"/>
      <c r="P81" s="30"/>
      <c r="Q81" s="30"/>
      <c r="R81" s="30"/>
      <c r="S81" s="30"/>
      <c r="T81" s="30"/>
      <c r="U81" s="30"/>
      <c r="V81" s="30"/>
      <c r="X81" s="34" t="str">
        <f t="shared" si="98"/>
        <v/>
      </c>
      <c r="Y81" s="34" t="str">
        <f t="shared" si="99"/>
        <v/>
      </c>
      <c r="Z81" s="34"/>
      <c r="AA81" s="26" t="str">
        <f t="shared" si="100"/>
        <v/>
      </c>
      <c r="AB81" s="34"/>
      <c r="AC81" s="26" t="str">
        <f t="shared" si="101"/>
        <v/>
      </c>
      <c r="AD81" s="34"/>
      <c r="AE81" s="26" t="str">
        <f t="shared" si="102"/>
        <v/>
      </c>
    </row>
    <row r="82">
      <c r="A82" s="64"/>
      <c r="B82" s="75"/>
      <c r="C82" s="68"/>
      <c r="D82" s="68"/>
      <c r="E82" s="68"/>
      <c r="F82" s="68"/>
      <c r="G82" s="57"/>
      <c r="H82" s="4"/>
      <c r="I82" s="4"/>
      <c r="J82" s="4"/>
      <c r="K82" s="4"/>
      <c r="L82" s="4"/>
      <c r="M82" s="30"/>
      <c r="N82" s="30"/>
      <c r="O82" s="30"/>
      <c r="P82" s="30"/>
      <c r="Q82" s="30"/>
      <c r="R82" s="30"/>
      <c r="S82" s="30"/>
      <c r="T82" s="30"/>
      <c r="U82" s="30"/>
      <c r="V82" s="30"/>
      <c r="X82" s="34" t="str">
        <f t="shared" si="98"/>
        <v/>
      </c>
      <c r="Y82" s="34" t="str">
        <f t="shared" si="99"/>
        <v/>
      </c>
      <c r="Z82" s="34"/>
      <c r="AA82" s="26" t="str">
        <f t="shared" si="100"/>
        <v/>
      </c>
      <c r="AB82" s="34"/>
      <c r="AC82" s="26" t="str">
        <f t="shared" si="101"/>
        <v/>
      </c>
      <c r="AD82" s="34"/>
      <c r="AE82" s="26" t="str">
        <f t="shared" si="102"/>
        <v/>
      </c>
    </row>
    <row r="83">
      <c r="A83" s="64"/>
      <c r="B83" s="65"/>
      <c r="C83" s="66"/>
      <c r="D83" s="67"/>
      <c r="E83" s="68"/>
      <c r="F83" s="68"/>
      <c r="G83" s="69"/>
      <c r="H83" s="70"/>
      <c r="I83" s="70"/>
      <c r="J83" s="70"/>
      <c r="K83" s="70"/>
      <c r="L83" s="70"/>
      <c r="X83" s="34" t="str">
        <f t="shared" si="98"/>
        <v/>
      </c>
      <c r="Y83" s="34" t="str">
        <f t="shared" si="99"/>
        <v/>
      </c>
      <c r="Z83" s="34"/>
      <c r="AA83" s="26" t="str">
        <f t="shared" si="100"/>
        <v/>
      </c>
      <c r="AB83" s="34"/>
      <c r="AC83" s="26" t="str">
        <f t="shared" si="101"/>
        <v/>
      </c>
      <c r="AD83" s="34"/>
      <c r="AE83" s="26" t="str">
        <f t="shared" si="102"/>
        <v/>
      </c>
    </row>
    <row r="84">
      <c r="A84" s="64"/>
      <c r="B84" s="65"/>
      <c r="C84" s="66"/>
      <c r="D84" s="67"/>
      <c r="E84" s="68"/>
      <c r="F84" s="68"/>
      <c r="G84" s="69"/>
      <c r="H84" s="70"/>
      <c r="I84" s="70"/>
      <c r="J84" s="70"/>
      <c r="K84" s="70"/>
      <c r="L84" s="70"/>
      <c r="X84" s="34" t="str">
        <f t="shared" si="98"/>
        <v/>
      </c>
      <c r="Y84" s="34" t="str">
        <f t="shared" si="99"/>
        <v/>
      </c>
      <c r="Z84" s="34"/>
      <c r="AA84" s="26" t="str">
        <f t="shared" si="100"/>
        <v/>
      </c>
      <c r="AB84" s="34"/>
      <c r="AC84" s="26" t="str">
        <f t="shared" si="101"/>
        <v/>
      </c>
      <c r="AD84" s="34"/>
      <c r="AE84" s="26" t="str">
        <f t="shared" si="102"/>
        <v/>
      </c>
    </row>
    <row r="85">
      <c r="A85" s="64"/>
      <c r="B85" s="65"/>
      <c r="C85" s="66"/>
      <c r="D85" s="67"/>
      <c r="E85" s="68"/>
      <c r="F85" s="68"/>
      <c r="G85" s="69"/>
      <c r="H85" s="70"/>
      <c r="I85" s="70"/>
      <c r="J85" s="70"/>
      <c r="K85" s="70"/>
      <c r="L85" s="70"/>
      <c r="X85" s="34" t="str">
        <f t="shared" si="98"/>
        <v/>
      </c>
      <c r="Y85" s="34" t="str">
        <f t="shared" si="99"/>
        <v/>
      </c>
      <c r="Z85" s="34"/>
      <c r="AA85" s="26" t="str">
        <f t="shared" si="100"/>
        <v/>
      </c>
      <c r="AB85" s="34"/>
      <c r="AC85" s="26" t="str">
        <f t="shared" si="101"/>
        <v/>
      </c>
      <c r="AD85" s="34"/>
      <c r="AE85" s="26" t="str">
        <f t="shared" si="102"/>
        <v/>
      </c>
    </row>
    <row r="86">
      <c r="A86" s="64"/>
      <c r="B86" s="65"/>
      <c r="C86" s="66"/>
      <c r="D86" s="67"/>
      <c r="E86" s="68"/>
      <c r="F86" s="68"/>
      <c r="G86" s="69"/>
      <c r="H86" s="70"/>
      <c r="I86" s="70"/>
      <c r="J86" s="70"/>
      <c r="K86" s="70"/>
      <c r="L86" s="70"/>
      <c r="X86" s="34" t="str">
        <f t="shared" si="98"/>
        <v/>
      </c>
      <c r="Y86" s="34" t="str">
        <f t="shared" si="99"/>
        <v/>
      </c>
      <c r="Z86" s="34"/>
      <c r="AA86" s="26" t="str">
        <f t="shared" si="100"/>
        <v/>
      </c>
      <c r="AB86" s="34"/>
      <c r="AC86" s="26" t="str">
        <f t="shared" si="101"/>
        <v/>
      </c>
      <c r="AD86" s="34"/>
      <c r="AE86" s="26" t="str">
        <f t="shared" si="102"/>
        <v/>
      </c>
    </row>
    <row r="87">
      <c r="A87" s="64"/>
      <c r="B87" s="65"/>
      <c r="C87" s="66"/>
      <c r="D87" s="67"/>
      <c r="E87" s="68"/>
      <c r="F87" s="68"/>
      <c r="G87" s="69"/>
      <c r="H87" s="70"/>
      <c r="I87" s="70"/>
      <c r="J87" s="70"/>
      <c r="K87" s="70"/>
      <c r="L87" s="70"/>
      <c r="X87" s="34" t="str">
        <f t="shared" si="98"/>
        <v/>
      </c>
      <c r="AA87" s="26" t="str">
        <f t="shared" si="100"/>
        <v/>
      </c>
      <c r="AD87" s="34"/>
      <c r="AE87" s="26" t="str">
        <f t="shared" si="102"/>
        <v/>
      </c>
    </row>
    <row r="88">
      <c r="A88" s="64"/>
      <c r="B88" s="65"/>
      <c r="C88" s="66"/>
      <c r="D88" s="67"/>
      <c r="E88" s="68"/>
      <c r="F88" s="68"/>
      <c r="G88" s="69"/>
      <c r="H88" s="70"/>
      <c r="I88" s="70"/>
      <c r="J88" s="70"/>
      <c r="K88" s="70"/>
      <c r="L88" s="70"/>
      <c r="AA88" s="26" t="str">
        <f t="shared" si="100"/>
        <v/>
      </c>
      <c r="AD88" s="34"/>
      <c r="AE88" s="26" t="str">
        <f t="shared" si="102"/>
        <v/>
      </c>
    </row>
    <row r="89">
      <c r="A89" s="64"/>
      <c r="B89" s="65"/>
      <c r="C89" s="66"/>
      <c r="D89" s="67"/>
      <c r="E89" s="68"/>
      <c r="F89" s="68"/>
      <c r="G89" s="69"/>
      <c r="H89" s="70"/>
      <c r="I89" s="70"/>
      <c r="J89" s="70"/>
      <c r="K89" s="70"/>
      <c r="L89" s="70"/>
      <c r="AD89" s="34"/>
      <c r="AE89" s="26" t="str">
        <f t="shared" si="102"/>
        <v/>
      </c>
    </row>
    <row r="90">
      <c r="A90" s="64"/>
      <c r="B90" s="65"/>
      <c r="C90" s="66"/>
      <c r="D90" s="67"/>
      <c r="E90" s="68"/>
      <c r="F90" s="68"/>
      <c r="G90" s="69"/>
      <c r="H90" s="70"/>
      <c r="I90" s="70"/>
      <c r="J90" s="70"/>
      <c r="K90" s="70"/>
      <c r="L90" s="70"/>
      <c r="AD90" s="34"/>
      <c r="AE90" s="26" t="str">
        <f t="shared" si="102"/>
        <v/>
      </c>
    </row>
    <row r="91">
      <c r="A91" s="64"/>
      <c r="B91" s="65"/>
      <c r="C91" s="66"/>
      <c r="D91" s="67"/>
      <c r="E91" s="68"/>
      <c r="F91" s="68"/>
      <c r="G91" s="69"/>
      <c r="H91" s="70"/>
      <c r="I91" s="70"/>
      <c r="J91" s="70"/>
      <c r="K91" s="70"/>
      <c r="L91" s="70"/>
      <c r="AD91" s="34"/>
      <c r="AE91" s="26" t="str">
        <f t="shared" si="102"/>
        <v/>
      </c>
    </row>
    <row r="92">
      <c r="A92" s="64"/>
      <c r="B92" s="65"/>
      <c r="C92" s="66"/>
      <c r="D92" s="67"/>
      <c r="E92" s="68"/>
      <c r="F92" s="68"/>
      <c r="G92" s="69"/>
      <c r="H92" s="70"/>
      <c r="I92" s="70"/>
      <c r="J92" s="70"/>
      <c r="K92" s="70"/>
      <c r="L92" s="70"/>
      <c r="AD92" s="34"/>
      <c r="AE92" s="26" t="str">
        <f t="shared" si="102"/>
        <v/>
      </c>
    </row>
    <row r="93">
      <c r="A93" s="64"/>
      <c r="B93" s="65"/>
      <c r="C93" s="66"/>
      <c r="D93" s="67"/>
      <c r="E93" s="68"/>
      <c r="F93" s="68"/>
      <c r="G93" s="69"/>
      <c r="H93" s="70"/>
      <c r="I93" s="70"/>
      <c r="J93" s="70"/>
      <c r="K93" s="70"/>
      <c r="L93" s="70"/>
      <c r="AD93" s="34"/>
      <c r="AE93" s="26" t="str">
        <f t="shared" si="102"/>
        <v/>
      </c>
    </row>
    <row r="94">
      <c r="A94" s="64"/>
      <c r="B94" s="65"/>
      <c r="C94" s="66"/>
      <c r="D94" s="67"/>
      <c r="E94" s="68"/>
      <c r="F94" s="68"/>
      <c r="G94" s="69"/>
      <c r="H94" s="70"/>
      <c r="I94" s="70"/>
      <c r="J94" s="70"/>
      <c r="K94" s="70"/>
      <c r="L94" s="70"/>
      <c r="AD94" s="34"/>
      <c r="AE94" s="26" t="str">
        <f t="shared" si="102"/>
        <v/>
      </c>
    </row>
    <row r="95">
      <c r="A95" s="64"/>
      <c r="B95" s="65"/>
      <c r="C95" s="66"/>
      <c r="D95" s="67"/>
      <c r="E95" s="68"/>
      <c r="F95" s="68"/>
      <c r="G95" s="69"/>
      <c r="H95" s="70"/>
      <c r="I95" s="70"/>
      <c r="J95" s="70"/>
      <c r="K95" s="70"/>
      <c r="L95" s="70"/>
      <c r="AD95" s="34"/>
    </row>
    <row r="96">
      <c r="A96" s="64"/>
      <c r="B96" s="65"/>
      <c r="C96" s="66"/>
      <c r="D96" s="67"/>
      <c r="E96" s="68"/>
      <c r="F96" s="68"/>
      <c r="G96" s="69"/>
      <c r="H96" s="70"/>
      <c r="I96" s="70"/>
      <c r="J96" s="70"/>
      <c r="K96" s="70"/>
      <c r="L96" s="70"/>
      <c r="AD96" s="34"/>
    </row>
    <row r="97">
      <c r="A97" s="64"/>
      <c r="B97" s="65"/>
      <c r="C97" s="66"/>
      <c r="D97" s="67"/>
      <c r="E97" s="68"/>
      <c r="F97" s="68"/>
      <c r="G97" s="69"/>
      <c r="H97" s="70"/>
      <c r="I97" s="70"/>
      <c r="J97" s="70"/>
      <c r="K97" s="70"/>
      <c r="L97" s="70"/>
      <c r="AD97" s="34"/>
    </row>
    <row r="98">
      <c r="A98" s="64"/>
      <c r="B98" s="65"/>
      <c r="C98" s="66"/>
      <c r="D98" s="68"/>
      <c r="E98" s="68"/>
      <c r="F98" s="68"/>
      <c r="G98" s="69"/>
      <c r="H98" s="4"/>
      <c r="I98" s="4"/>
      <c r="J98" s="4"/>
      <c r="K98" s="4"/>
      <c r="L98" s="4"/>
    </row>
    <row r="99">
      <c r="A99" s="64"/>
      <c r="B99" s="65"/>
      <c r="C99" s="66"/>
      <c r="D99" s="67"/>
      <c r="E99" s="68"/>
      <c r="F99" s="68"/>
      <c r="G99" s="69"/>
      <c r="H99" s="70"/>
      <c r="I99" s="70"/>
      <c r="J99" s="70"/>
      <c r="K99" s="70"/>
      <c r="L99" s="70"/>
    </row>
    <row r="100">
      <c r="A100" s="64"/>
      <c r="B100" s="65"/>
      <c r="C100" s="66"/>
      <c r="D100" s="67"/>
      <c r="E100" s="68"/>
      <c r="F100" s="68"/>
      <c r="G100" s="69"/>
      <c r="H100" s="70"/>
      <c r="I100" s="70"/>
      <c r="J100" s="70"/>
      <c r="K100" s="70"/>
      <c r="L100" s="70"/>
    </row>
    <row r="101">
      <c r="A101" s="64"/>
      <c r="B101" s="65"/>
      <c r="C101" s="66"/>
      <c r="D101" s="67"/>
      <c r="E101" s="68"/>
      <c r="F101" s="68"/>
      <c r="G101" s="69"/>
      <c r="H101" s="4"/>
      <c r="I101" s="4"/>
      <c r="J101" s="4"/>
      <c r="K101" s="4"/>
      <c r="L101" s="4"/>
    </row>
    <row r="102">
      <c r="A102" s="64"/>
      <c r="B102" s="75"/>
      <c r="C102" s="68"/>
      <c r="D102" s="68"/>
      <c r="E102" s="68"/>
      <c r="F102" s="68"/>
      <c r="G102" s="57"/>
      <c r="H102" s="4"/>
      <c r="I102" s="4"/>
      <c r="J102" s="4"/>
      <c r="K102" s="4"/>
      <c r="L102" s="4"/>
    </row>
    <row r="103">
      <c r="A103" s="64"/>
      <c r="B103" s="65"/>
      <c r="C103" s="66"/>
      <c r="D103" s="67"/>
      <c r="E103" s="68"/>
      <c r="F103" s="68"/>
      <c r="G103" s="69"/>
      <c r="H103" s="70"/>
      <c r="I103" s="70"/>
      <c r="J103" s="70"/>
      <c r="K103" s="70"/>
      <c r="L103" s="70"/>
    </row>
    <row r="104">
      <c r="A104" s="64"/>
      <c r="B104" s="65"/>
      <c r="C104" s="66"/>
      <c r="D104" s="67"/>
      <c r="E104" s="68"/>
      <c r="F104" s="68"/>
      <c r="G104" s="69"/>
      <c r="H104" s="70"/>
      <c r="I104" s="70"/>
      <c r="J104" s="70"/>
      <c r="K104" s="70"/>
      <c r="L104" s="70"/>
    </row>
    <row r="105">
      <c r="A105" s="64"/>
      <c r="B105" s="65"/>
      <c r="C105" s="66"/>
      <c r="D105" s="67"/>
      <c r="E105" s="68"/>
      <c r="F105" s="68"/>
      <c r="G105" s="69"/>
      <c r="H105" s="70"/>
      <c r="I105" s="70"/>
      <c r="J105" s="70"/>
      <c r="K105" s="70"/>
      <c r="L105" s="70"/>
    </row>
    <row r="106">
      <c r="A106" s="64"/>
      <c r="B106" s="65"/>
      <c r="C106" s="66"/>
      <c r="D106" s="67"/>
      <c r="E106" s="68"/>
      <c r="F106" s="68"/>
      <c r="G106" s="69"/>
      <c r="H106" s="70"/>
      <c r="I106" s="70"/>
      <c r="J106" s="70"/>
      <c r="K106" s="70"/>
      <c r="L106" s="70"/>
    </row>
    <row r="107">
      <c r="A107" s="64"/>
      <c r="B107" s="65"/>
      <c r="C107" s="66"/>
      <c r="D107" s="67"/>
      <c r="E107" s="68"/>
      <c r="F107" s="68"/>
      <c r="G107" s="69"/>
      <c r="H107" s="70"/>
      <c r="I107" s="70"/>
      <c r="J107" s="70"/>
      <c r="K107" s="70"/>
      <c r="L107" s="70"/>
    </row>
    <row r="108">
      <c r="A108" s="64"/>
      <c r="B108" s="65"/>
      <c r="C108" s="66"/>
      <c r="D108" s="67"/>
      <c r="E108" s="68"/>
      <c r="F108" s="68"/>
      <c r="G108" s="69"/>
      <c r="H108" s="70"/>
      <c r="I108" s="70"/>
      <c r="J108" s="70"/>
      <c r="K108" s="70"/>
      <c r="L108" s="70"/>
    </row>
    <row r="109">
      <c r="A109" s="64"/>
      <c r="B109" s="65"/>
      <c r="C109" s="66"/>
      <c r="D109" s="67"/>
      <c r="E109" s="68"/>
      <c r="F109" s="68"/>
      <c r="G109" s="69"/>
      <c r="H109" s="70"/>
      <c r="I109" s="70"/>
      <c r="J109" s="70"/>
      <c r="K109" s="70"/>
      <c r="L109" s="70"/>
    </row>
    <row r="110">
      <c r="A110" s="64"/>
      <c r="B110" s="65"/>
      <c r="C110" s="66"/>
      <c r="D110" s="67"/>
      <c r="E110" s="68"/>
      <c r="F110" s="68"/>
      <c r="G110" s="69"/>
      <c r="H110" s="70"/>
      <c r="I110" s="70"/>
      <c r="J110" s="70"/>
      <c r="K110" s="70"/>
      <c r="L110" s="70"/>
    </row>
    <row r="111">
      <c r="A111" s="64"/>
      <c r="B111" s="65"/>
      <c r="C111" s="66"/>
      <c r="D111" s="67"/>
      <c r="E111" s="68"/>
      <c r="F111" s="68"/>
      <c r="G111" s="69"/>
      <c r="H111" s="70"/>
      <c r="I111" s="70"/>
      <c r="J111" s="70"/>
      <c r="K111" s="70"/>
      <c r="L111" s="70"/>
    </row>
    <row r="112">
      <c r="A112" s="64"/>
      <c r="B112" s="65"/>
      <c r="C112" s="66"/>
      <c r="D112" s="67"/>
      <c r="E112" s="68"/>
      <c r="F112" s="68"/>
      <c r="G112" s="69"/>
      <c r="H112" s="70"/>
      <c r="I112" s="70"/>
      <c r="J112" s="70"/>
      <c r="K112" s="70"/>
      <c r="L112" s="70"/>
    </row>
    <row r="113">
      <c r="A113" s="64"/>
      <c r="B113" s="65"/>
      <c r="C113" s="66"/>
      <c r="D113" s="67"/>
      <c r="E113" s="68"/>
      <c r="F113" s="68"/>
      <c r="G113" s="69"/>
      <c r="H113" s="70"/>
      <c r="I113" s="70"/>
      <c r="J113" s="70"/>
      <c r="K113" s="70"/>
      <c r="L113" s="70"/>
    </row>
    <row r="114">
      <c r="A114" s="64"/>
      <c r="B114" s="65"/>
      <c r="C114" s="66"/>
      <c r="D114" s="67"/>
      <c r="E114" s="68"/>
      <c r="F114" s="68"/>
      <c r="G114" s="69"/>
      <c r="H114" s="70"/>
      <c r="I114" s="70"/>
      <c r="J114" s="70"/>
      <c r="K114" s="70"/>
      <c r="L114" s="70"/>
    </row>
    <row r="115">
      <c r="A115" s="64"/>
      <c r="B115" s="65"/>
      <c r="C115" s="66"/>
      <c r="D115" s="67"/>
      <c r="E115" s="68"/>
      <c r="F115" s="68"/>
      <c r="G115" s="69"/>
      <c r="H115" s="70"/>
      <c r="I115" s="70"/>
      <c r="J115" s="70"/>
      <c r="K115" s="70"/>
      <c r="L115" s="70"/>
    </row>
    <row r="116">
      <c r="A116" s="64"/>
      <c r="B116" s="65"/>
      <c r="C116" s="66"/>
      <c r="D116" s="67"/>
      <c r="E116" s="68"/>
      <c r="F116" s="68"/>
      <c r="G116" s="69"/>
      <c r="H116" s="70"/>
      <c r="I116" s="70"/>
      <c r="J116" s="70"/>
      <c r="K116" s="70"/>
      <c r="L116" s="70"/>
    </row>
    <row r="117">
      <c r="A117" s="64"/>
      <c r="B117" s="65"/>
      <c r="C117" s="66"/>
      <c r="D117" s="67"/>
      <c r="E117" s="68"/>
      <c r="F117" s="68"/>
      <c r="G117" s="69"/>
      <c r="H117" s="70"/>
      <c r="I117" s="70"/>
      <c r="J117" s="70"/>
      <c r="K117" s="70"/>
      <c r="L117" s="70"/>
    </row>
    <row r="118">
      <c r="A118" s="64"/>
      <c r="B118" s="65"/>
      <c r="C118" s="66"/>
      <c r="D118" s="67"/>
      <c r="E118" s="68"/>
      <c r="F118" s="68"/>
      <c r="G118" s="69"/>
      <c r="H118" s="70"/>
      <c r="I118" s="70"/>
      <c r="J118" s="70"/>
      <c r="K118" s="70"/>
      <c r="L118" s="70"/>
    </row>
    <row r="119">
      <c r="A119" s="64"/>
      <c r="B119" s="65"/>
      <c r="C119" s="66"/>
      <c r="D119" s="67"/>
      <c r="E119" s="68"/>
      <c r="F119" s="68"/>
      <c r="G119" s="69"/>
      <c r="H119" s="70"/>
      <c r="I119" s="70"/>
      <c r="J119" s="70"/>
      <c r="K119" s="70"/>
      <c r="L119" s="70"/>
    </row>
    <row r="120">
      <c r="A120" s="64"/>
      <c r="B120" s="65"/>
      <c r="C120" s="66"/>
      <c r="D120" s="67"/>
      <c r="E120" s="68"/>
      <c r="F120" s="68"/>
      <c r="G120" s="69"/>
      <c r="H120" s="70"/>
      <c r="I120" s="70"/>
      <c r="J120" s="70"/>
      <c r="K120" s="70"/>
      <c r="L120" s="70"/>
    </row>
    <row r="121">
      <c r="A121" s="64"/>
      <c r="B121" s="65"/>
      <c r="C121" s="66"/>
      <c r="D121" s="67"/>
      <c r="E121" s="68"/>
      <c r="F121" s="68"/>
      <c r="G121" s="69"/>
      <c r="H121" s="4"/>
      <c r="I121" s="4"/>
      <c r="J121" s="4"/>
      <c r="K121" s="4"/>
      <c r="L121" s="4"/>
    </row>
    <row r="122">
      <c r="A122" s="64"/>
      <c r="B122" s="75"/>
      <c r="C122" s="68"/>
      <c r="D122" s="68"/>
      <c r="E122" s="68"/>
      <c r="F122" s="68"/>
      <c r="G122" s="57"/>
      <c r="H122" s="4"/>
      <c r="I122" s="4"/>
      <c r="J122" s="4"/>
      <c r="K122" s="4"/>
      <c r="L122" s="4"/>
    </row>
  </sheetData>
  <mergeCells count="8">
    <mergeCell ref="M3:V4"/>
    <mergeCell ref="A6:B6"/>
    <mergeCell ref="X6:AE7"/>
    <mergeCell ref="AG6:AM7"/>
    <mergeCell ref="J7:L7"/>
    <mergeCell ref="A37:G37"/>
    <mergeCell ref="A39:G39"/>
    <mergeCell ref="F54:G5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cols>
    <col customWidth="1" min="1" max="1" width="4.38"/>
    <col customWidth="1" min="2" max="2" width="5.38"/>
    <col customWidth="1" min="3" max="3" width="41.5"/>
    <col customWidth="1" min="5" max="5" width="19.13"/>
    <col customWidth="1" min="6" max="6" width="42.75"/>
    <col customWidth="1" min="7" max="7" width="14.13"/>
    <col customWidth="1" min="10" max="10" width="17.25"/>
    <col customWidth="1" min="11" max="11" width="8.63"/>
    <col customWidth="1" min="12" max="12" width="13.75"/>
    <col customWidth="1" min="13" max="13" width="16.5"/>
    <col customWidth="1" min="14" max="14" width="2.75"/>
  </cols>
  <sheetData>
    <row r="1">
      <c r="A1" s="76"/>
      <c r="B1" s="76"/>
      <c r="C1" s="76"/>
      <c r="D1" s="76"/>
      <c r="E1" s="76"/>
      <c r="F1" s="76"/>
      <c r="G1" s="76"/>
      <c r="H1" s="76"/>
      <c r="I1" s="77"/>
      <c r="J1" s="76"/>
      <c r="K1" s="76"/>
      <c r="L1" s="76"/>
      <c r="M1" s="76"/>
      <c r="N1" s="76"/>
      <c r="O1" s="76"/>
      <c r="P1" s="76"/>
      <c r="Q1" s="76"/>
      <c r="R1" s="76"/>
      <c r="S1" s="76"/>
      <c r="T1" s="76"/>
      <c r="U1" s="76"/>
      <c r="V1" s="76"/>
      <c r="W1" s="76"/>
      <c r="X1" s="76"/>
      <c r="Y1" s="76"/>
    </row>
    <row r="2" ht="42.0" customHeight="1">
      <c r="A2" s="76"/>
      <c r="B2" s="78" t="s">
        <v>83</v>
      </c>
      <c r="C2" s="79"/>
      <c r="D2" s="79"/>
      <c r="E2" s="79"/>
      <c r="F2" s="79"/>
      <c r="G2" s="79"/>
      <c r="H2" s="80"/>
      <c r="I2" s="77"/>
      <c r="J2" s="81" t="s">
        <v>84</v>
      </c>
      <c r="K2" s="76"/>
      <c r="L2" s="76"/>
      <c r="M2" s="76"/>
      <c r="N2" s="76"/>
      <c r="O2" s="76"/>
      <c r="P2" s="76"/>
      <c r="Q2" s="76"/>
      <c r="R2" s="76"/>
      <c r="S2" s="76"/>
      <c r="T2" s="76"/>
      <c r="U2" s="76"/>
      <c r="V2" s="76"/>
      <c r="W2" s="76"/>
      <c r="X2" s="76"/>
      <c r="Y2" s="76"/>
    </row>
    <row r="3" ht="26.25" customHeight="1">
      <c r="A3" s="76"/>
      <c r="B3" s="82"/>
      <c r="C3" s="83"/>
      <c r="D3" s="83"/>
      <c r="E3" s="83"/>
      <c r="F3" s="83"/>
      <c r="G3" s="83"/>
      <c r="H3" s="84"/>
      <c r="I3" s="77"/>
      <c r="J3" s="85" t="s">
        <v>85</v>
      </c>
      <c r="K3" s="76"/>
      <c r="L3" s="76"/>
      <c r="M3" s="76"/>
      <c r="N3" s="76"/>
      <c r="O3" s="76"/>
      <c r="P3" s="76"/>
      <c r="Q3" s="76"/>
      <c r="R3" s="76"/>
      <c r="S3" s="76"/>
      <c r="T3" s="76"/>
      <c r="U3" s="76"/>
      <c r="V3" s="76"/>
      <c r="W3" s="76"/>
      <c r="X3" s="76"/>
      <c r="Y3" s="76"/>
    </row>
    <row r="4">
      <c r="A4" s="76"/>
      <c r="B4" s="86"/>
      <c r="C4" s="76"/>
      <c r="D4" s="76"/>
      <c r="E4" s="87"/>
      <c r="H4" s="88"/>
      <c r="I4" s="77"/>
      <c r="J4" s="76"/>
      <c r="K4" s="76"/>
      <c r="L4" s="76"/>
      <c r="M4" s="76"/>
      <c r="N4" s="76"/>
      <c r="O4" s="76"/>
      <c r="P4" s="76"/>
      <c r="Q4" s="76"/>
      <c r="R4" s="76"/>
      <c r="S4" s="76"/>
      <c r="T4" s="76"/>
      <c r="U4" s="76"/>
      <c r="V4" s="76"/>
      <c r="W4" s="76"/>
      <c r="X4" s="76"/>
      <c r="Y4" s="76"/>
    </row>
    <row r="5">
      <c r="A5" s="76"/>
      <c r="B5" s="86"/>
      <c r="C5" s="76"/>
      <c r="D5" s="76"/>
      <c r="E5" s="89" t="s">
        <v>86</v>
      </c>
      <c r="F5" s="90"/>
      <c r="G5" s="91"/>
      <c r="H5" s="88"/>
      <c r="I5" s="77"/>
      <c r="J5" s="92" t="s">
        <v>87</v>
      </c>
      <c r="K5" s="93"/>
      <c r="L5" s="94"/>
      <c r="O5" s="76"/>
      <c r="P5" s="76"/>
      <c r="Q5" s="76"/>
      <c r="R5" s="76"/>
      <c r="S5" s="76"/>
      <c r="T5" s="76"/>
      <c r="U5" s="76"/>
      <c r="V5" s="76"/>
      <c r="W5" s="76"/>
      <c r="X5" s="76"/>
      <c r="Y5" s="76"/>
    </row>
    <row r="6">
      <c r="A6" s="76"/>
      <c r="B6" s="86"/>
      <c r="C6" s="76"/>
      <c r="D6" s="76"/>
      <c r="E6" s="95" t="s">
        <v>88</v>
      </c>
      <c r="F6" s="96">
        <v>46141.400358796294</v>
      </c>
      <c r="G6" s="97" t="s">
        <v>89</v>
      </c>
      <c r="H6" s="88"/>
      <c r="I6" s="76"/>
      <c r="J6" s="98"/>
      <c r="K6" s="99"/>
      <c r="L6" s="100"/>
      <c r="O6" s="76"/>
      <c r="P6" s="76"/>
      <c r="Q6" s="76"/>
      <c r="R6" s="76"/>
      <c r="S6" s="76"/>
      <c r="T6" s="76"/>
      <c r="U6" s="76"/>
      <c r="V6" s="76"/>
      <c r="W6" s="76"/>
      <c r="X6" s="76"/>
      <c r="Y6" s="76"/>
    </row>
    <row r="7">
      <c r="A7" s="76"/>
      <c r="B7" s="86"/>
      <c r="C7" s="76"/>
      <c r="D7" s="76"/>
      <c r="E7" s="101" t="s">
        <v>90</v>
      </c>
      <c r="F7" s="102" t="s">
        <v>91</v>
      </c>
      <c r="G7" s="103"/>
      <c r="H7" s="104"/>
      <c r="I7" s="76"/>
      <c r="J7" s="105" t="s">
        <v>24</v>
      </c>
      <c r="K7" s="105" t="s">
        <v>92</v>
      </c>
      <c r="L7" s="106" t="s">
        <v>93</v>
      </c>
      <c r="O7" s="76"/>
      <c r="P7" s="76"/>
      <c r="Q7" s="76"/>
      <c r="R7" s="76"/>
      <c r="S7" s="76"/>
      <c r="T7" s="76"/>
      <c r="U7" s="76"/>
      <c r="V7" s="76"/>
      <c r="W7" s="76"/>
      <c r="X7" s="76"/>
      <c r="Y7" s="76"/>
    </row>
    <row r="8">
      <c r="A8" s="76"/>
      <c r="B8" s="86"/>
      <c r="C8" s="76"/>
      <c r="D8" s="76"/>
      <c r="E8" s="101" t="s">
        <v>94</v>
      </c>
      <c r="F8" s="102" t="s">
        <v>95</v>
      </c>
      <c r="G8" s="103"/>
      <c r="H8" s="104"/>
      <c r="I8" s="76"/>
      <c r="J8" s="107" t="s">
        <v>96</v>
      </c>
      <c r="K8" s="107" t="s">
        <v>97</v>
      </c>
      <c r="L8" s="108" t="b">
        <v>1</v>
      </c>
      <c r="M8" s="76"/>
      <c r="N8" s="76"/>
      <c r="O8" s="76"/>
      <c r="P8" s="76"/>
      <c r="Q8" s="76"/>
      <c r="R8" s="76"/>
      <c r="S8" s="76"/>
      <c r="T8" s="76"/>
      <c r="U8" s="76"/>
      <c r="V8" s="76"/>
      <c r="W8" s="76"/>
      <c r="X8" s="76"/>
      <c r="Y8" s="76"/>
    </row>
    <row r="9">
      <c r="A9" s="76"/>
      <c r="B9" s="86"/>
      <c r="C9" s="76"/>
      <c r="D9" s="76"/>
      <c r="E9" s="109" t="s">
        <v>98</v>
      </c>
      <c r="F9" s="110" t="str">
        <f>IF(ISBLANK(F6), "Start a new job by pressing the button",  IFERROR(IF(Text(VLOOKUP("start_time",result_solver_stats!A:B,2,false), "YYYY-MM-DD HH:MM:SS") - Text(F6, "YYYY-MM-DD HH:MM:SS")  &gt; 0, VLOOKUP("problem_status",result_solver_stats!A:B,2,false), "Job started, please wait"), "Job started, please wait"))</f>
        <v>done</v>
      </c>
      <c r="G9" s="111" t="str">
        <f>IF(ISBLANK(F9), "", IF(F9 = "FEASIBLE", round((VLOOKUP("final_mip_gap", matching_solver_stats!A:B,2,false) - VLOOKUP("max_mip_gap", matching_solver_stats!A:B,2,false)) * 100,0) &amp; "% deviation", ""))</f>
        <v/>
      </c>
      <c r="H9" s="104"/>
      <c r="I9" s="76"/>
      <c r="J9" s="107" t="s">
        <v>99</v>
      </c>
      <c r="K9" s="107" t="s">
        <v>100</v>
      </c>
      <c r="L9" s="108" t="b">
        <v>1</v>
      </c>
      <c r="M9" s="76"/>
      <c r="N9" s="76"/>
      <c r="O9" s="76"/>
      <c r="P9" s="76"/>
      <c r="Q9" s="76"/>
      <c r="R9" s="76"/>
      <c r="S9" s="76"/>
      <c r="T9" s="76"/>
      <c r="U9" s="76"/>
      <c r="V9" s="76"/>
      <c r="W9" s="76"/>
      <c r="X9" s="76"/>
      <c r="Y9" s="76"/>
    </row>
    <row r="10">
      <c r="A10" s="76"/>
      <c r="B10" s="86"/>
      <c r="D10" s="76"/>
      <c r="E10" s="112"/>
      <c r="F10" s="112"/>
      <c r="G10" s="112"/>
      <c r="H10" s="104"/>
      <c r="I10" s="76"/>
      <c r="J10" s="76"/>
      <c r="K10" s="76"/>
      <c r="L10" s="76"/>
      <c r="M10" s="76"/>
      <c r="N10" s="76"/>
      <c r="O10" s="76"/>
      <c r="P10" s="76"/>
      <c r="Q10" s="76"/>
      <c r="R10" s="76"/>
      <c r="S10" s="76"/>
      <c r="T10" s="76"/>
      <c r="U10" s="76"/>
      <c r="V10" s="76"/>
      <c r="W10" s="76"/>
      <c r="X10" s="76"/>
      <c r="Y10" s="76"/>
    </row>
    <row r="11">
      <c r="A11" s="76"/>
      <c r="B11" s="86"/>
      <c r="C11" s="113" t="s">
        <v>101</v>
      </c>
      <c r="D11" s="76"/>
      <c r="E11" s="112"/>
      <c r="F11" s="112"/>
      <c r="G11" s="112"/>
      <c r="H11" s="104"/>
      <c r="I11" s="76"/>
      <c r="M11" s="76"/>
      <c r="N11" s="76"/>
      <c r="O11" s="76"/>
      <c r="P11" s="76"/>
      <c r="Q11" s="76"/>
      <c r="R11" s="76"/>
      <c r="S11" s="76"/>
      <c r="T11" s="76"/>
      <c r="U11" s="76"/>
      <c r="V11" s="76"/>
      <c r="W11" s="76"/>
      <c r="X11" s="76"/>
      <c r="Y11" s="76"/>
    </row>
    <row r="12">
      <c r="A12" s="76"/>
      <c r="B12" s="86"/>
      <c r="C12" s="114" t="s">
        <v>102</v>
      </c>
      <c r="D12" s="76"/>
      <c r="E12" s="115"/>
      <c r="F12" s="115"/>
      <c r="G12" s="115"/>
      <c r="H12" s="104"/>
      <c r="I12" s="76"/>
      <c r="M12" s="76"/>
      <c r="N12" s="76"/>
      <c r="O12" s="76"/>
      <c r="P12" s="76"/>
      <c r="Q12" s="76"/>
      <c r="R12" s="76"/>
      <c r="S12" s="76"/>
      <c r="T12" s="76"/>
      <c r="U12" s="76"/>
      <c r="V12" s="76"/>
      <c r="W12" s="76"/>
      <c r="X12" s="76"/>
      <c r="Y12" s="76"/>
    </row>
    <row r="13">
      <c r="A13" s="76"/>
      <c r="B13" s="86"/>
      <c r="D13" s="76"/>
      <c r="E13" s="116" t="s">
        <v>103</v>
      </c>
      <c r="F13" s="112"/>
      <c r="G13" s="117"/>
      <c r="H13" s="104"/>
      <c r="I13" s="76"/>
      <c r="K13" s="118" t="s">
        <v>104</v>
      </c>
      <c r="L13" s="118" t="s">
        <v>105</v>
      </c>
      <c r="M13" s="76"/>
      <c r="N13" s="119" t="s">
        <v>106</v>
      </c>
      <c r="O13" s="76"/>
      <c r="P13" s="76"/>
      <c r="Q13" s="76"/>
      <c r="R13" s="76"/>
      <c r="S13" s="76"/>
      <c r="T13" s="76"/>
      <c r="U13" s="76"/>
      <c r="V13" s="76"/>
      <c r="W13" s="76"/>
      <c r="X13" s="76"/>
      <c r="Y13" s="76"/>
    </row>
    <row r="14">
      <c r="A14" s="76"/>
      <c r="B14" s="86"/>
      <c r="C14" s="76"/>
      <c r="D14" s="76"/>
      <c r="E14" s="120" t="str">
        <f>IFERROR(IF(F9 = "infeas", VLOOKUP("infeasibility_info", result_solver_stats!A:B,2,FALSE), VLOOKUP("error_reporting", result_solver_stats!A:B,2,FALSE)),"")</f>
        <v/>
      </c>
      <c r="G14" s="121"/>
      <c r="H14" s="104"/>
      <c r="I14" s="76"/>
      <c r="J14" s="122" t="s">
        <v>107</v>
      </c>
      <c r="K14" s="123">
        <f>COUNTIF('HALO input'!N:N,"DACH")</f>
        <v>61</v>
      </c>
      <c r="L14" s="123">
        <f>COUNTIFS(layout!I:I,TRUE,layout!B:B,"ASL1")</f>
        <v>62</v>
      </c>
      <c r="M14" s="124" t="str">
        <f t="shared" ref="M14:M15" si="1">IF(K14&lt;=L14,":) thank you Shaurya",":( I am sad Shaurya")</f>
        <v>:) thank you Shaurya</v>
      </c>
      <c r="N14" s="76">
        <f t="shared" ref="N14:N15" si="2">L14-K14</f>
        <v>1</v>
      </c>
      <c r="O14" s="76"/>
      <c r="P14" s="76"/>
      <c r="Q14" s="76"/>
      <c r="R14" s="76"/>
      <c r="S14" s="76"/>
      <c r="T14" s="76"/>
      <c r="U14" s="76"/>
      <c r="V14" s="76"/>
      <c r="W14" s="76"/>
      <c r="X14" s="76"/>
      <c r="Y14" s="76"/>
    </row>
    <row r="15">
      <c r="A15" s="76"/>
      <c r="B15" s="86"/>
      <c r="C15" s="76"/>
      <c r="D15" s="76"/>
      <c r="E15" s="120"/>
      <c r="F15" s="112"/>
      <c r="G15" s="125"/>
      <c r="H15" s="104"/>
      <c r="I15" s="76"/>
      <c r="J15" s="122" t="s">
        <v>108</v>
      </c>
      <c r="K15" s="123">
        <f>COUNTIF('HALO input'!N:N,"Nordics")</f>
        <v>43</v>
      </c>
      <c r="L15" s="123">
        <f>COUNTIFS(layout!I:I,TRUE,layout!B:B,"ASL2")</f>
        <v>44</v>
      </c>
      <c r="M15" s="124" t="str">
        <f t="shared" si="1"/>
        <v>:) thank you Shaurya</v>
      </c>
      <c r="N15" s="76">
        <f t="shared" si="2"/>
        <v>1</v>
      </c>
      <c r="O15" s="76"/>
      <c r="P15" s="76"/>
      <c r="Q15" s="76"/>
      <c r="R15" s="76"/>
      <c r="S15" s="76"/>
      <c r="T15" s="76"/>
      <c r="U15" s="76"/>
      <c r="V15" s="76"/>
      <c r="W15" s="76"/>
      <c r="X15" s="76"/>
      <c r="Y15" s="76"/>
    </row>
    <row r="16">
      <c r="A16" s="76"/>
      <c r="B16" s="86"/>
      <c r="C16" s="76"/>
      <c r="D16" s="76"/>
      <c r="E16" s="126"/>
      <c r="F16" s="127"/>
      <c r="G16" s="128"/>
      <c r="H16" s="104"/>
      <c r="I16" s="76"/>
      <c r="L16" s="76"/>
      <c r="M16" s="76"/>
      <c r="N16" s="76"/>
      <c r="O16" s="76"/>
      <c r="P16" s="76"/>
      <c r="Q16" s="76"/>
      <c r="R16" s="76"/>
      <c r="S16" s="76"/>
      <c r="T16" s="76"/>
      <c r="U16" s="76"/>
      <c r="V16" s="76"/>
      <c r="W16" s="76"/>
      <c r="X16" s="76"/>
      <c r="Y16" s="76"/>
    </row>
    <row r="17">
      <c r="A17" s="76"/>
      <c r="B17" s="86"/>
      <c r="C17" s="76"/>
      <c r="D17" s="76"/>
      <c r="E17" s="76"/>
      <c r="F17" s="76"/>
      <c r="G17" s="76"/>
      <c r="H17" s="104"/>
      <c r="I17" s="76"/>
      <c r="J17" s="76"/>
      <c r="K17" s="76"/>
      <c r="L17" s="76"/>
      <c r="M17" s="76"/>
      <c r="N17" s="76"/>
      <c r="O17" s="76"/>
      <c r="P17" s="76"/>
      <c r="Q17" s="76"/>
      <c r="R17" s="76"/>
      <c r="S17" s="76"/>
      <c r="T17" s="76"/>
      <c r="U17" s="76"/>
      <c r="V17" s="76"/>
      <c r="W17" s="76"/>
      <c r="X17" s="76"/>
      <c r="Y17" s="76"/>
    </row>
    <row r="18">
      <c r="A18" s="76"/>
      <c r="B18" s="86"/>
      <c r="C18" s="76"/>
      <c r="D18" s="76"/>
      <c r="E18" s="76"/>
      <c r="F18" s="76"/>
      <c r="G18" s="76"/>
      <c r="H18" s="104"/>
      <c r="I18" s="76"/>
      <c r="O18" s="76"/>
      <c r="P18" s="76"/>
      <c r="Q18" s="76"/>
      <c r="R18" s="76"/>
      <c r="S18" s="76"/>
      <c r="T18" s="76"/>
      <c r="U18" s="76"/>
      <c r="V18" s="76"/>
      <c r="W18" s="76"/>
      <c r="X18" s="76"/>
      <c r="Y18" s="76"/>
    </row>
    <row r="19">
      <c r="A19" s="76"/>
      <c r="B19" s="86"/>
      <c r="C19" s="76"/>
      <c r="D19" s="76"/>
      <c r="E19" s="76"/>
      <c r="F19" s="76"/>
      <c r="G19" s="76"/>
      <c r="H19" s="104"/>
      <c r="I19" s="76"/>
      <c r="O19" s="76"/>
      <c r="P19" s="76"/>
      <c r="Q19" s="76"/>
      <c r="R19" s="76"/>
      <c r="S19" s="76"/>
      <c r="T19" s="76"/>
      <c r="U19" s="76"/>
      <c r="V19" s="76"/>
      <c r="W19" s="76"/>
      <c r="X19" s="76"/>
      <c r="Y19" s="76"/>
    </row>
    <row r="20">
      <c r="A20" s="76"/>
      <c r="B20" s="86"/>
      <c r="C20" s="129" t="s">
        <v>109</v>
      </c>
      <c r="D20" s="130"/>
      <c r="E20" s="131" t="b">
        <f>IFERROR(__xludf.DUMMYFUNCTION("IF(COUNTUNIQUE('HALO input'!A:A)=COUNTUNIQUE(Output_HALO!B:B), True, False)"),FALSE)</f>
        <v>0</v>
      </c>
      <c r="F20" s="132" t="s">
        <v>110</v>
      </c>
      <c r="G20" s="133"/>
      <c r="H20" s="104"/>
      <c r="I20" s="124"/>
      <c r="O20" s="76"/>
      <c r="P20" s="76"/>
      <c r="Q20" s="76"/>
      <c r="R20" s="76"/>
      <c r="S20" s="76"/>
      <c r="T20" s="76"/>
      <c r="U20" s="76"/>
      <c r="V20" s="76"/>
      <c r="W20" s="76"/>
      <c r="X20" s="76"/>
      <c r="Y20" s="76"/>
    </row>
    <row r="21">
      <c r="A21" s="76"/>
      <c r="B21" s="86"/>
      <c r="C21" s="134"/>
      <c r="D21" s="135"/>
      <c r="E21" s="131" t="b">
        <f>COUNTA(Rackfile_combined!A:A)=COUNTA(exportP2L!A:A)</f>
        <v>0</v>
      </c>
      <c r="F21" s="132" t="s">
        <v>111</v>
      </c>
      <c r="G21" s="133"/>
      <c r="H21" s="104"/>
      <c r="I21" s="124"/>
      <c r="J21" s="136" t="s">
        <v>112</v>
      </c>
      <c r="K21" s="137">
        <v>2.0</v>
      </c>
      <c r="L21" s="137">
        <v>3.0</v>
      </c>
      <c r="M21" s="137">
        <v>4.0</v>
      </c>
      <c r="N21" s="76"/>
      <c r="O21" s="76"/>
      <c r="P21" s="76"/>
      <c r="Q21" s="76"/>
      <c r="R21" s="76"/>
      <c r="S21" s="76"/>
      <c r="T21" s="76"/>
      <c r="U21" s="76"/>
      <c r="V21" s="76"/>
      <c r="W21" s="76"/>
      <c r="X21" s="76"/>
      <c r="Y21" s="76"/>
    </row>
    <row r="22">
      <c r="A22" s="76"/>
      <c r="B22" s="86"/>
      <c r="C22" s="138"/>
      <c r="D22" s="139"/>
      <c r="E22" s="131" t="b">
        <f>COUNTIF(PivotCheck__exportP2L!B:B,"&gt;1")=0</f>
        <v>1</v>
      </c>
      <c r="F22" s="132" t="s">
        <v>113</v>
      </c>
      <c r="G22" s="133"/>
      <c r="H22" s="104"/>
      <c r="I22" s="76"/>
      <c r="J22" s="137" t="s">
        <v>114</v>
      </c>
      <c r="K22" s="137">
        <v>5.0</v>
      </c>
      <c r="L22" s="137">
        <v>6.0</v>
      </c>
      <c r="M22" s="137">
        <v>7.0</v>
      </c>
      <c r="N22" s="76"/>
      <c r="O22" s="76"/>
      <c r="P22" s="76"/>
      <c r="Q22" s="76"/>
      <c r="R22" s="76"/>
      <c r="S22" s="76"/>
      <c r="T22" s="76"/>
      <c r="U22" s="76"/>
      <c r="V22" s="76"/>
      <c r="W22" s="76"/>
      <c r="X22" s="76"/>
      <c r="Y22" s="76"/>
    </row>
    <row r="23">
      <c r="A23" s="76"/>
      <c r="B23" s="86"/>
      <c r="C23" s="140"/>
      <c r="D23" s="140"/>
      <c r="E23" s="140"/>
      <c r="F23" s="140"/>
      <c r="G23" s="76"/>
      <c r="H23" s="104"/>
      <c r="I23" s="124"/>
      <c r="J23" s="136" t="s">
        <v>112</v>
      </c>
      <c r="K23" s="137">
        <v>8.0</v>
      </c>
      <c r="L23" s="137">
        <v>9.0</v>
      </c>
      <c r="M23" s="137">
        <v>10.0</v>
      </c>
      <c r="N23" s="76"/>
      <c r="O23" s="76"/>
      <c r="P23" s="76"/>
      <c r="Q23" s="76"/>
      <c r="R23" s="76"/>
      <c r="S23" s="76"/>
      <c r="T23" s="76"/>
      <c r="U23" s="76"/>
      <c r="V23" s="76"/>
      <c r="W23" s="76"/>
      <c r="X23" s="76"/>
      <c r="Y23" s="76"/>
    </row>
    <row r="24">
      <c r="A24" s="76"/>
      <c r="B24" s="141"/>
      <c r="C24" s="142"/>
      <c r="D24" s="142"/>
      <c r="E24" s="142"/>
      <c r="F24" s="142"/>
      <c r="G24" s="143"/>
      <c r="H24" s="144"/>
      <c r="I24" s="124"/>
      <c r="J24" s="137" t="s">
        <v>114</v>
      </c>
      <c r="K24" s="137">
        <v>11.0</v>
      </c>
      <c r="L24" s="137">
        <v>12.0</v>
      </c>
      <c r="M24" s="137">
        <v>13.0</v>
      </c>
      <c r="N24" s="76"/>
      <c r="O24" s="76"/>
      <c r="P24" s="76"/>
      <c r="Q24" s="76"/>
      <c r="R24" s="76"/>
      <c r="S24" s="76"/>
      <c r="T24" s="76"/>
      <c r="U24" s="76"/>
      <c r="V24" s="76"/>
      <c r="W24" s="76"/>
      <c r="X24" s="76"/>
      <c r="Y24" s="76"/>
    </row>
    <row r="25">
      <c r="A25" s="76"/>
      <c r="B25" s="76"/>
      <c r="C25" s="76"/>
      <c r="D25" s="76"/>
      <c r="E25" s="76"/>
      <c r="F25" s="76"/>
      <c r="G25" s="76"/>
      <c r="H25" s="76"/>
      <c r="I25" s="76"/>
      <c r="J25" s="136" t="s">
        <v>112</v>
      </c>
      <c r="K25" s="137">
        <v>14.0</v>
      </c>
      <c r="L25" s="137">
        <v>15.0</v>
      </c>
      <c r="M25" s="137">
        <v>16.0</v>
      </c>
      <c r="N25" s="76"/>
      <c r="O25" s="76"/>
      <c r="P25" s="76"/>
      <c r="Q25" s="76"/>
      <c r="R25" s="76"/>
      <c r="S25" s="76"/>
      <c r="T25" s="76"/>
      <c r="U25" s="76"/>
      <c r="V25" s="76"/>
      <c r="W25" s="76"/>
      <c r="X25" s="76"/>
      <c r="Y25" s="76"/>
    </row>
    <row r="26">
      <c r="A26" s="76"/>
      <c r="B26" s="76"/>
      <c r="C26" s="76"/>
      <c r="D26" s="76"/>
      <c r="E26" s="76"/>
      <c r="F26" s="76"/>
      <c r="G26" s="76"/>
      <c r="H26" s="76"/>
      <c r="I26" s="76"/>
      <c r="J26" s="137" t="s">
        <v>114</v>
      </c>
      <c r="K26" s="137">
        <v>17.0</v>
      </c>
      <c r="L26" s="137">
        <v>18.0</v>
      </c>
      <c r="M26" s="137">
        <v>19.0</v>
      </c>
      <c r="N26" s="76"/>
      <c r="O26" s="76"/>
      <c r="P26" s="76"/>
      <c r="Q26" s="76"/>
      <c r="R26" s="76"/>
      <c r="S26" s="76"/>
      <c r="T26" s="76"/>
      <c r="U26" s="76"/>
      <c r="V26" s="76"/>
      <c r="W26" s="76"/>
      <c r="X26" s="76"/>
      <c r="Y26" s="76"/>
    </row>
    <row r="27">
      <c r="A27" s="76"/>
      <c r="B27" s="76"/>
      <c r="C27" s="76"/>
      <c r="D27" s="76"/>
      <c r="H27" s="76"/>
      <c r="I27" s="76"/>
      <c r="J27" s="76"/>
      <c r="K27" s="76"/>
      <c r="L27" s="76"/>
      <c r="M27" s="76"/>
      <c r="N27" s="76"/>
      <c r="P27" s="76"/>
      <c r="Q27" s="76"/>
      <c r="R27" s="76"/>
      <c r="S27" s="76"/>
      <c r="T27" s="76"/>
      <c r="U27" s="76"/>
      <c r="V27" s="76"/>
      <c r="W27" s="76"/>
      <c r="X27" s="76"/>
      <c r="Y27" s="76"/>
    </row>
    <row r="28">
      <c r="A28" s="76"/>
      <c r="B28" s="145" t="s">
        <v>115</v>
      </c>
      <c r="C28" s="146"/>
      <c r="D28" s="76"/>
      <c r="H28" s="76"/>
      <c r="I28" s="76"/>
      <c r="J28" s="76"/>
      <c r="K28" s="76"/>
      <c r="L28" s="76"/>
      <c r="M28" s="76"/>
      <c r="N28" s="76"/>
      <c r="O28" s="76"/>
      <c r="P28" s="76"/>
      <c r="Q28" s="76"/>
      <c r="R28" s="76"/>
      <c r="S28" s="76"/>
      <c r="T28" s="76"/>
      <c r="U28" s="76"/>
      <c r="V28" s="76"/>
      <c r="W28" s="76"/>
      <c r="X28" s="76"/>
      <c r="Y28" s="76"/>
    </row>
    <row r="29">
      <c r="A29" s="76"/>
      <c r="B29" s="147" t="s">
        <v>116</v>
      </c>
      <c r="C29" s="148" t="s">
        <v>117</v>
      </c>
      <c r="D29" s="76"/>
      <c r="H29" s="76"/>
      <c r="I29" s="76"/>
      <c r="J29" s="76"/>
      <c r="K29" s="76"/>
      <c r="L29" s="76"/>
      <c r="M29" s="76"/>
      <c r="N29" s="76"/>
      <c r="O29" s="76"/>
      <c r="P29" s="76"/>
      <c r="Q29" s="76"/>
      <c r="R29" s="76"/>
      <c r="S29" s="76"/>
      <c r="T29" s="76"/>
      <c r="U29" s="76"/>
      <c r="V29" s="76"/>
      <c r="W29" s="76"/>
      <c r="X29" s="76"/>
      <c r="Y29" s="76"/>
    </row>
    <row r="30">
      <c r="A30" s="76"/>
      <c r="B30" s="149" t="s">
        <v>118</v>
      </c>
      <c r="C30" s="150" t="s">
        <v>119</v>
      </c>
      <c r="D30" s="76"/>
      <c r="H30" s="76"/>
      <c r="I30" s="76"/>
      <c r="J30" s="76"/>
      <c r="K30" s="76"/>
      <c r="L30" s="76"/>
      <c r="M30" s="76"/>
      <c r="N30" s="76"/>
      <c r="O30" s="76"/>
      <c r="P30" s="76"/>
      <c r="Q30" s="76"/>
      <c r="R30" s="76"/>
      <c r="S30" s="76"/>
      <c r="T30" s="76"/>
      <c r="U30" s="76"/>
      <c r="V30" s="76"/>
      <c r="W30" s="76"/>
      <c r="X30" s="76"/>
      <c r="Y30" s="76"/>
    </row>
    <row r="31">
      <c r="A31" s="76"/>
      <c r="B31" s="151" t="s">
        <v>118</v>
      </c>
      <c r="C31" s="152" t="s">
        <v>120</v>
      </c>
      <c r="D31" s="76"/>
      <c r="H31" s="76"/>
      <c r="I31" s="76"/>
      <c r="J31" s="76"/>
      <c r="K31" s="76"/>
      <c r="L31" s="76"/>
      <c r="M31" s="76"/>
      <c r="N31" s="76"/>
      <c r="O31" s="76"/>
      <c r="P31" s="76"/>
      <c r="Q31" s="76"/>
      <c r="R31" s="76"/>
      <c r="S31" s="76"/>
      <c r="T31" s="76"/>
      <c r="U31" s="76"/>
      <c r="V31" s="76"/>
      <c r="W31" s="76"/>
      <c r="X31" s="76"/>
      <c r="Y31" s="76"/>
    </row>
    <row r="32">
      <c r="A32" s="76"/>
      <c r="B32" s="153" t="s">
        <v>121</v>
      </c>
      <c r="C32" s="154"/>
      <c r="D32" s="76"/>
      <c r="E32" s="76"/>
      <c r="F32" s="76"/>
      <c r="G32" s="76"/>
      <c r="H32" s="76"/>
      <c r="I32" s="76"/>
      <c r="J32" s="76"/>
      <c r="K32" s="76"/>
      <c r="L32" s="76"/>
      <c r="M32" s="76"/>
      <c r="N32" s="76"/>
      <c r="O32" s="76"/>
      <c r="P32" s="76"/>
      <c r="Q32" s="76"/>
      <c r="R32" s="76"/>
      <c r="S32" s="76"/>
      <c r="T32" s="76"/>
      <c r="U32" s="76"/>
      <c r="V32" s="76"/>
      <c r="W32" s="76"/>
      <c r="X32" s="76"/>
      <c r="Y32" s="76"/>
    </row>
    <row r="33">
      <c r="A33" s="76"/>
      <c r="B33" s="155" t="s">
        <v>122</v>
      </c>
      <c r="C33" s="156" t="s">
        <v>117</v>
      </c>
      <c r="D33" s="76"/>
      <c r="E33" s="76"/>
      <c r="F33" s="76"/>
      <c r="G33" s="76"/>
      <c r="H33" s="76"/>
      <c r="I33" s="76"/>
      <c r="J33" s="76"/>
      <c r="K33" s="76"/>
      <c r="L33" s="76"/>
      <c r="M33" s="76"/>
      <c r="N33" s="76"/>
      <c r="O33" s="76"/>
      <c r="P33" s="76"/>
      <c r="Q33" s="76"/>
      <c r="R33" s="76"/>
      <c r="S33" s="76"/>
      <c r="T33" s="76"/>
      <c r="U33" s="76"/>
      <c r="V33" s="76"/>
      <c r="W33" s="76"/>
      <c r="X33" s="76"/>
      <c r="Y33" s="76"/>
    </row>
    <row r="34">
      <c r="A34" s="76"/>
      <c r="B34" s="157" t="s">
        <v>123</v>
      </c>
      <c r="C34" s="158" t="s">
        <v>119</v>
      </c>
      <c r="D34" s="76"/>
      <c r="E34" s="76"/>
      <c r="F34" s="76"/>
      <c r="G34" s="76"/>
      <c r="H34" s="76"/>
      <c r="I34" s="76"/>
      <c r="J34" s="76"/>
      <c r="K34" s="76"/>
      <c r="L34" s="76"/>
      <c r="M34" s="76"/>
      <c r="N34" s="76"/>
      <c r="O34" s="76"/>
      <c r="P34" s="76"/>
      <c r="Q34" s="76"/>
      <c r="R34" s="76"/>
      <c r="S34" s="76"/>
      <c r="T34" s="76"/>
      <c r="U34" s="76"/>
      <c r="V34" s="76"/>
      <c r="W34" s="76"/>
      <c r="X34" s="76"/>
      <c r="Y34" s="76"/>
    </row>
    <row r="35">
      <c r="A35" s="76"/>
      <c r="B35" s="159" t="s">
        <v>124</v>
      </c>
      <c r="C35" s="160"/>
      <c r="D35" s="76"/>
      <c r="E35" s="76"/>
      <c r="F35" s="76"/>
      <c r="G35" s="76"/>
      <c r="H35" s="76"/>
      <c r="I35" s="76"/>
      <c r="J35" s="76"/>
      <c r="K35" s="76"/>
      <c r="L35" s="76"/>
      <c r="M35" s="76"/>
      <c r="N35" s="76"/>
      <c r="O35" s="76"/>
      <c r="P35" s="76"/>
      <c r="Q35" s="76"/>
      <c r="R35" s="76"/>
      <c r="S35" s="76"/>
      <c r="T35" s="76"/>
      <c r="U35" s="76"/>
      <c r="V35" s="76"/>
      <c r="W35" s="76"/>
      <c r="X35" s="76"/>
      <c r="Y35" s="76"/>
    </row>
    <row r="36">
      <c r="A36" s="76"/>
      <c r="B36" s="161" t="s">
        <v>125</v>
      </c>
      <c r="C36" s="162" t="s">
        <v>117</v>
      </c>
      <c r="D36" s="76"/>
      <c r="E36" s="76"/>
      <c r="F36" s="76"/>
      <c r="G36" s="76"/>
      <c r="H36" s="76"/>
      <c r="I36" s="76"/>
      <c r="J36" s="76"/>
      <c r="K36" s="76"/>
      <c r="L36" s="76"/>
      <c r="M36" s="76"/>
      <c r="N36" s="76"/>
      <c r="O36" s="76"/>
      <c r="P36" s="76"/>
      <c r="Q36" s="76"/>
      <c r="R36" s="76"/>
      <c r="S36" s="76"/>
      <c r="T36" s="76"/>
      <c r="U36" s="76"/>
      <c r="V36" s="76"/>
      <c r="W36" s="76"/>
      <c r="X36" s="76"/>
      <c r="Y36" s="76"/>
    </row>
    <row r="37">
      <c r="A37" s="76"/>
      <c r="B37" s="163" t="s">
        <v>126</v>
      </c>
      <c r="C37" s="164" t="s">
        <v>119</v>
      </c>
      <c r="D37" s="76"/>
      <c r="E37" s="76"/>
      <c r="F37" s="76"/>
      <c r="G37" s="76"/>
      <c r="H37" s="76"/>
      <c r="I37" s="76"/>
      <c r="J37" s="76"/>
      <c r="K37" s="76"/>
      <c r="L37" s="76"/>
      <c r="M37" s="76"/>
      <c r="N37" s="76"/>
      <c r="O37" s="76"/>
      <c r="P37" s="76"/>
      <c r="Q37" s="76"/>
      <c r="R37" s="76"/>
      <c r="S37" s="76"/>
      <c r="T37" s="76"/>
      <c r="U37" s="76"/>
      <c r="V37" s="76"/>
      <c r="W37" s="76"/>
      <c r="X37" s="76"/>
      <c r="Y37" s="76"/>
    </row>
    <row r="38">
      <c r="A38" s="76"/>
      <c r="B38" s="76"/>
      <c r="C38" s="76"/>
      <c r="D38" s="76"/>
      <c r="E38" s="76"/>
      <c r="F38" s="76"/>
      <c r="G38" s="76"/>
      <c r="H38" s="76"/>
      <c r="I38" s="76"/>
      <c r="J38" s="76"/>
      <c r="K38" s="76"/>
      <c r="L38" s="76"/>
      <c r="M38" s="76"/>
      <c r="N38" s="76"/>
      <c r="O38" s="76"/>
      <c r="P38" s="76"/>
      <c r="Q38" s="76"/>
      <c r="R38" s="76"/>
      <c r="S38" s="76"/>
      <c r="T38" s="76"/>
      <c r="U38" s="76"/>
      <c r="V38" s="76"/>
      <c r="W38" s="76"/>
      <c r="X38" s="76"/>
      <c r="Y38" s="76"/>
    </row>
    <row r="39">
      <c r="A39" s="76"/>
      <c r="B39" s="76"/>
      <c r="C39" s="76"/>
      <c r="D39" s="76"/>
      <c r="E39" s="76"/>
      <c r="F39" s="76"/>
      <c r="G39" s="76"/>
      <c r="H39" s="76"/>
      <c r="I39" s="76"/>
      <c r="J39" s="76"/>
      <c r="K39" s="76"/>
      <c r="L39" s="76"/>
      <c r="M39" s="76"/>
      <c r="N39" s="76"/>
      <c r="O39" s="76"/>
      <c r="P39" s="76"/>
      <c r="Q39" s="76"/>
      <c r="R39" s="76"/>
      <c r="S39" s="76"/>
      <c r="T39" s="76"/>
      <c r="U39" s="76"/>
      <c r="V39" s="76"/>
      <c r="W39" s="76"/>
      <c r="X39" s="76"/>
      <c r="Y39" s="76"/>
    </row>
    <row r="40">
      <c r="A40" s="76"/>
      <c r="B40" s="76"/>
      <c r="C40" s="76"/>
      <c r="D40" s="76"/>
      <c r="E40" s="76"/>
      <c r="F40" s="76"/>
      <c r="G40" s="76"/>
      <c r="H40" s="76"/>
      <c r="I40" s="76"/>
      <c r="J40" s="76"/>
      <c r="K40" s="76"/>
      <c r="L40" s="76"/>
      <c r="M40" s="76"/>
      <c r="N40" s="76"/>
      <c r="O40" s="76"/>
      <c r="P40" s="76"/>
      <c r="Q40" s="76"/>
      <c r="R40" s="76"/>
      <c r="S40" s="76"/>
      <c r="T40" s="76"/>
      <c r="U40" s="76"/>
      <c r="V40" s="76"/>
      <c r="W40" s="76"/>
      <c r="X40" s="76"/>
      <c r="Y40" s="76"/>
    </row>
    <row r="41">
      <c r="A41" s="76"/>
      <c r="B41" s="76"/>
      <c r="C41" s="76"/>
      <c r="D41" s="76"/>
      <c r="E41" s="76"/>
      <c r="F41" s="76"/>
      <c r="G41" s="76"/>
      <c r="H41" s="76"/>
      <c r="I41" s="76"/>
      <c r="J41" s="76"/>
      <c r="K41" s="76"/>
      <c r="L41" s="76"/>
      <c r="M41" s="76"/>
      <c r="N41" s="76"/>
      <c r="O41" s="76"/>
      <c r="P41" s="76"/>
      <c r="Q41" s="76"/>
      <c r="R41" s="76"/>
      <c r="S41" s="76"/>
      <c r="T41" s="76"/>
      <c r="U41" s="76"/>
      <c r="V41" s="76"/>
      <c r="W41" s="76"/>
      <c r="X41" s="76"/>
      <c r="Y41" s="76"/>
    </row>
    <row r="42">
      <c r="A42" s="76"/>
      <c r="B42" s="76"/>
      <c r="C42" s="76"/>
      <c r="D42" s="76"/>
      <c r="E42" s="76"/>
      <c r="F42" s="76"/>
      <c r="G42" s="76"/>
      <c r="H42" s="76"/>
      <c r="I42" s="76"/>
      <c r="J42" s="76"/>
      <c r="K42" s="76"/>
      <c r="L42" s="76"/>
      <c r="M42" s="76"/>
      <c r="N42" s="76"/>
      <c r="O42" s="76"/>
      <c r="P42" s="76"/>
      <c r="Q42" s="76"/>
      <c r="R42" s="76"/>
      <c r="S42" s="76"/>
      <c r="T42" s="76"/>
      <c r="U42" s="76"/>
      <c r="V42" s="76"/>
      <c r="W42" s="76"/>
      <c r="X42" s="76"/>
      <c r="Y42" s="76"/>
    </row>
    <row r="43">
      <c r="A43" s="76"/>
      <c r="B43" s="76"/>
      <c r="C43" s="76"/>
      <c r="D43" s="76"/>
      <c r="E43" s="76"/>
      <c r="F43" s="76"/>
      <c r="G43" s="76"/>
      <c r="H43" s="76"/>
      <c r="I43" s="76"/>
      <c r="J43" s="76"/>
      <c r="K43" s="76"/>
      <c r="L43" s="76"/>
      <c r="M43" s="76"/>
      <c r="N43" s="76"/>
      <c r="O43" s="76"/>
      <c r="P43" s="76"/>
      <c r="Q43" s="76"/>
      <c r="R43" s="76"/>
      <c r="S43" s="76"/>
      <c r="T43" s="76"/>
      <c r="U43" s="76"/>
      <c r="V43" s="76"/>
      <c r="W43" s="76"/>
      <c r="X43" s="76"/>
      <c r="Y43" s="76"/>
    </row>
    <row r="44">
      <c r="A44" s="76"/>
      <c r="B44" s="76"/>
      <c r="C44" s="76"/>
      <c r="D44" s="76"/>
      <c r="E44" s="76"/>
      <c r="F44" s="76"/>
      <c r="G44" s="76"/>
      <c r="H44" s="76"/>
      <c r="I44" s="76"/>
      <c r="J44" s="76"/>
      <c r="K44" s="76"/>
      <c r="L44" s="76"/>
      <c r="M44" s="76"/>
      <c r="N44" s="76"/>
      <c r="O44" s="76"/>
      <c r="P44" s="76"/>
      <c r="Q44" s="76"/>
      <c r="R44" s="76"/>
      <c r="S44" s="76"/>
      <c r="T44" s="76"/>
      <c r="U44" s="76"/>
      <c r="V44" s="76"/>
      <c r="W44" s="76"/>
      <c r="X44" s="76"/>
      <c r="Y44" s="76"/>
    </row>
    <row r="45">
      <c r="A45" s="76"/>
      <c r="B45" s="76"/>
      <c r="C45" s="76"/>
      <c r="D45" s="76"/>
      <c r="E45" s="76"/>
      <c r="F45" s="76"/>
      <c r="G45" s="76"/>
      <c r="H45" s="76"/>
      <c r="I45" s="76"/>
      <c r="J45" s="76"/>
      <c r="K45" s="76"/>
      <c r="L45" s="76"/>
      <c r="M45" s="76"/>
      <c r="N45" s="76"/>
      <c r="O45" s="76"/>
      <c r="P45" s="76"/>
      <c r="Q45" s="76"/>
      <c r="R45" s="76"/>
      <c r="S45" s="76"/>
      <c r="T45" s="76"/>
      <c r="U45" s="76"/>
      <c r="V45" s="76"/>
      <c r="W45" s="76"/>
      <c r="X45" s="76"/>
      <c r="Y45" s="76"/>
    </row>
    <row r="46">
      <c r="A46" s="76"/>
      <c r="B46" s="76"/>
      <c r="C46" s="76"/>
      <c r="D46" s="76"/>
      <c r="E46" s="76"/>
      <c r="F46" s="76"/>
      <c r="G46" s="76"/>
      <c r="H46" s="76"/>
      <c r="I46" s="76"/>
      <c r="J46" s="76"/>
      <c r="K46" s="76"/>
      <c r="L46" s="76"/>
      <c r="M46" s="76"/>
      <c r="N46" s="76"/>
      <c r="O46" s="76"/>
      <c r="P46" s="76"/>
      <c r="Q46" s="76"/>
      <c r="R46" s="76"/>
      <c r="S46" s="76"/>
      <c r="T46" s="76"/>
      <c r="U46" s="76"/>
      <c r="V46" s="76"/>
      <c r="W46" s="76"/>
      <c r="X46" s="76"/>
      <c r="Y46" s="76"/>
    </row>
    <row r="47">
      <c r="A47" s="76"/>
      <c r="B47" s="76"/>
      <c r="C47" s="76"/>
      <c r="D47" s="76"/>
      <c r="E47" s="76"/>
      <c r="F47" s="76"/>
      <c r="G47" s="76"/>
      <c r="H47" s="76"/>
      <c r="I47" s="76"/>
      <c r="J47" s="76"/>
      <c r="K47" s="76"/>
      <c r="L47" s="76"/>
      <c r="M47" s="76"/>
      <c r="N47" s="76"/>
      <c r="O47" s="76"/>
      <c r="P47" s="76"/>
      <c r="Q47" s="76"/>
      <c r="R47" s="76"/>
      <c r="S47" s="76"/>
      <c r="T47" s="76"/>
      <c r="U47" s="76"/>
      <c r="V47" s="76"/>
      <c r="W47" s="76"/>
      <c r="X47" s="76"/>
      <c r="Y47" s="76"/>
    </row>
    <row r="48">
      <c r="A48" s="76"/>
      <c r="B48" s="76"/>
      <c r="C48" s="76"/>
      <c r="D48" s="76"/>
      <c r="E48" s="76"/>
      <c r="F48" s="76"/>
      <c r="G48" s="76"/>
      <c r="H48" s="76"/>
      <c r="I48" s="76"/>
      <c r="J48" s="76"/>
      <c r="K48" s="76"/>
      <c r="L48" s="76"/>
      <c r="M48" s="76"/>
      <c r="N48" s="76"/>
      <c r="O48" s="76"/>
      <c r="P48" s="76"/>
      <c r="Q48" s="76"/>
      <c r="R48" s="76"/>
      <c r="S48" s="76"/>
      <c r="T48" s="76"/>
      <c r="U48" s="76"/>
      <c r="V48" s="76"/>
      <c r="W48" s="76"/>
      <c r="X48" s="76"/>
      <c r="Y48" s="76"/>
    </row>
    <row r="49">
      <c r="A49" s="76"/>
      <c r="B49" s="76"/>
      <c r="C49" s="76"/>
      <c r="D49" s="76"/>
      <c r="E49" s="76"/>
      <c r="F49" s="76"/>
      <c r="G49" s="76"/>
      <c r="H49" s="76"/>
      <c r="I49" s="76"/>
      <c r="J49" s="76"/>
      <c r="K49" s="76"/>
      <c r="L49" s="76"/>
      <c r="M49" s="76"/>
      <c r="N49" s="76"/>
      <c r="O49" s="76"/>
      <c r="P49" s="76"/>
      <c r="Q49" s="76"/>
      <c r="R49" s="76"/>
      <c r="S49" s="76"/>
      <c r="T49" s="76"/>
      <c r="U49" s="76"/>
      <c r="V49" s="76"/>
      <c r="W49" s="76"/>
      <c r="X49" s="76"/>
      <c r="Y49" s="76"/>
    </row>
    <row r="50">
      <c r="A50" s="76"/>
      <c r="B50" s="76"/>
      <c r="C50" s="76"/>
      <c r="D50" s="76"/>
      <c r="E50" s="76"/>
      <c r="F50" s="76"/>
      <c r="G50" s="76"/>
      <c r="H50" s="76"/>
      <c r="I50" s="76"/>
      <c r="J50" s="76"/>
      <c r="K50" s="76"/>
      <c r="L50" s="76"/>
      <c r="M50" s="76"/>
      <c r="N50" s="76"/>
      <c r="O50" s="76"/>
      <c r="P50" s="76"/>
      <c r="Q50" s="76"/>
      <c r="R50" s="76"/>
      <c r="S50" s="76"/>
      <c r="T50" s="76"/>
      <c r="U50" s="76"/>
      <c r="V50" s="76"/>
      <c r="W50" s="76"/>
      <c r="X50" s="76"/>
      <c r="Y50" s="76"/>
    </row>
    <row r="51">
      <c r="A51" s="76"/>
      <c r="B51" s="76"/>
      <c r="C51" s="76"/>
      <c r="D51" s="76"/>
      <c r="E51" s="76"/>
      <c r="F51" s="76"/>
      <c r="G51" s="76"/>
      <c r="H51" s="76"/>
      <c r="I51" s="76"/>
      <c r="J51" s="76"/>
      <c r="K51" s="76"/>
      <c r="L51" s="76"/>
      <c r="M51" s="76"/>
      <c r="N51" s="76"/>
      <c r="O51" s="76"/>
      <c r="P51" s="76"/>
      <c r="Q51" s="76"/>
      <c r="R51" s="76"/>
      <c r="S51" s="76"/>
      <c r="T51" s="76"/>
      <c r="U51" s="76"/>
      <c r="V51" s="76"/>
      <c r="W51" s="76"/>
      <c r="X51" s="76"/>
      <c r="Y51" s="76"/>
    </row>
    <row r="52">
      <c r="A52" s="76"/>
      <c r="B52" s="76"/>
      <c r="C52" s="76"/>
      <c r="D52" s="76"/>
      <c r="E52" s="76"/>
      <c r="F52" s="76"/>
      <c r="G52" s="76"/>
      <c r="H52" s="76"/>
      <c r="I52" s="76"/>
      <c r="J52" s="76"/>
      <c r="K52" s="76"/>
      <c r="L52" s="76"/>
      <c r="M52" s="76"/>
      <c r="N52" s="76"/>
      <c r="O52" s="76"/>
      <c r="P52" s="76"/>
      <c r="Q52" s="76"/>
      <c r="R52" s="76"/>
      <c r="S52" s="76"/>
      <c r="T52" s="76"/>
      <c r="U52" s="76"/>
      <c r="V52" s="76"/>
      <c r="W52" s="76"/>
      <c r="X52" s="76"/>
      <c r="Y52" s="76"/>
    </row>
    <row r="53">
      <c r="A53" s="76"/>
      <c r="B53" s="76"/>
      <c r="C53" s="76"/>
      <c r="D53" s="76"/>
      <c r="E53" s="76"/>
      <c r="F53" s="76"/>
      <c r="G53" s="76"/>
      <c r="H53" s="76"/>
      <c r="I53" s="76"/>
      <c r="J53" s="76"/>
      <c r="K53" s="76"/>
      <c r="L53" s="76"/>
      <c r="M53" s="76"/>
      <c r="N53" s="76"/>
      <c r="O53" s="76"/>
      <c r="P53" s="76"/>
      <c r="Q53" s="76"/>
      <c r="R53" s="76"/>
      <c r="S53" s="76"/>
      <c r="T53" s="76"/>
      <c r="U53" s="76"/>
      <c r="V53" s="76"/>
      <c r="W53" s="76"/>
      <c r="X53" s="76"/>
      <c r="Y53" s="76"/>
    </row>
    <row r="54">
      <c r="A54" s="76"/>
      <c r="B54" s="76"/>
      <c r="C54" s="76"/>
      <c r="D54" s="76"/>
      <c r="E54" s="76"/>
      <c r="F54" s="76"/>
      <c r="G54" s="76"/>
      <c r="H54" s="76"/>
      <c r="I54" s="76"/>
      <c r="J54" s="76"/>
      <c r="K54" s="76"/>
      <c r="L54" s="76"/>
      <c r="M54" s="76"/>
      <c r="N54" s="76"/>
      <c r="O54" s="76"/>
      <c r="P54" s="76"/>
      <c r="Q54" s="76"/>
      <c r="R54" s="76"/>
      <c r="S54" s="76"/>
      <c r="T54" s="76"/>
      <c r="U54" s="76"/>
      <c r="V54" s="76"/>
      <c r="W54" s="76"/>
      <c r="X54" s="76"/>
      <c r="Y54" s="76"/>
    </row>
    <row r="55">
      <c r="A55" s="76"/>
      <c r="B55" s="76"/>
      <c r="C55" s="76"/>
      <c r="D55" s="76"/>
      <c r="E55" s="76"/>
      <c r="F55" s="76"/>
      <c r="G55" s="76"/>
      <c r="H55" s="76"/>
      <c r="I55" s="76"/>
      <c r="J55" s="76"/>
      <c r="K55" s="76"/>
      <c r="L55" s="76"/>
      <c r="M55" s="76"/>
      <c r="N55" s="76"/>
      <c r="O55" s="76"/>
      <c r="P55" s="76"/>
      <c r="Q55" s="76"/>
      <c r="R55" s="76"/>
      <c r="S55" s="76"/>
      <c r="T55" s="76"/>
      <c r="U55" s="76"/>
      <c r="V55" s="76"/>
      <c r="W55" s="76"/>
      <c r="X55" s="76"/>
      <c r="Y55" s="76"/>
    </row>
    <row r="56">
      <c r="A56" s="76"/>
      <c r="B56" s="76"/>
      <c r="C56" s="76"/>
      <c r="D56" s="76"/>
      <c r="E56" s="76"/>
      <c r="F56" s="76"/>
      <c r="G56" s="76"/>
      <c r="H56" s="76"/>
      <c r="I56" s="76"/>
      <c r="J56" s="76"/>
      <c r="K56" s="76"/>
      <c r="L56" s="76"/>
      <c r="M56" s="76"/>
      <c r="N56" s="76"/>
      <c r="O56" s="76"/>
      <c r="P56" s="76"/>
      <c r="Q56" s="76"/>
      <c r="R56" s="76"/>
      <c r="S56" s="76"/>
      <c r="T56" s="76"/>
      <c r="U56" s="76"/>
      <c r="V56" s="76"/>
      <c r="W56" s="76"/>
      <c r="X56" s="76"/>
      <c r="Y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row>
  </sheetData>
  <mergeCells count="7">
    <mergeCell ref="B2:H3"/>
    <mergeCell ref="J5:L6"/>
    <mergeCell ref="E14:G14"/>
    <mergeCell ref="C20:D22"/>
    <mergeCell ref="F20:G20"/>
    <mergeCell ref="F21:G21"/>
    <mergeCell ref="F22:G22"/>
  </mergeCells>
  <conditionalFormatting sqref="E20:E22">
    <cfRule type="containsText" dxfId="0" priority="1" operator="containsText" text="TRUE">
      <formula>NOT(ISERROR(SEARCH(("TRUE"),(E20))))</formula>
    </cfRule>
  </conditionalFormatting>
  <conditionalFormatting sqref="E20:E22">
    <cfRule type="containsText" dxfId="1" priority="2" operator="containsText" text="FALSE">
      <formula>NOT(ISERROR(SEARCH(("FALSE"),(E20))))</formula>
    </cfRule>
  </conditionalFormatting>
  <conditionalFormatting sqref="F8">
    <cfRule type="containsText" dxfId="2" priority="3" operator="containsText" text="done">
      <formula>NOT(ISERROR(SEARCH(("done"),(F8))))</formula>
    </cfRule>
  </conditionalFormatting>
  <conditionalFormatting sqref="F8">
    <cfRule type="containsText" dxfId="3" priority="4" operator="containsText" text="infea">
      <formula>NOT(ISERROR(SEARCH(("infea"),(F8))))</formula>
    </cfRule>
  </conditionalFormatting>
  <conditionalFormatting sqref="F8">
    <cfRule type="containsText" dxfId="3" priority="5" operator="containsText" text="dead">
      <formula>NOT(ISERROR(SEARCH(("dead"),(F8))))</formula>
    </cfRule>
  </conditionalFormatting>
  <conditionalFormatting sqref="F9">
    <cfRule type="containsText" dxfId="2" priority="6" operator="containsText" text="done">
      <formula>NOT(ISERROR(SEARCH(("done"),(F9))))</formula>
    </cfRule>
  </conditionalFormatting>
  <conditionalFormatting sqref="F9">
    <cfRule type="containsText" dxfId="3" priority="7" operator="containsText" text="infeas">
      <formula>NOT(ISERROR(SEARCH(("infeas"),(F9))))</formula>
    </cfRule>
  </conditionalFormatting>
  <conditionalFormatting sqref="F9">
    <cfRule type="containsText" dxfId="4" priority="8" operator="containsText" text="error">
      <formula>NOT(ISERROR(SEARCH(("error"),(F9))))</formula>
    </cfRule>
  </conditionalFormatting>
  <conditionalFormatting sqref="M14:M15">
    <cfRule type="containsText" dxfId="0" priority="9" operator="containsText" text=":)">
      <formula>NOT(ISERROR(SEARCH((":)"),(M14))))</formula>
    </cfRule>
  </conditionalFormatting>
  <conditionalFormatting sqref="M14:M15">
    <cfRule type="containsText" dxfId="5" priority="10" operator="containsText" text=":(">
      <formula>NOT(ISERROR(SEARCH((":("),(M14))))</formula>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14.75"/>
    <col customWidth="1" min="4" max="4" width="13.25"/>
    <col customWidth="1" min="5" max="5" width="40.0"/>
    <col customWidth="1" min="6" max="6" width="10.38"/>
    <col customWidth="1" min="8" max="15" width="9.13"/>
    <col customWidth="1" min="16" max="16" width="6.5"/>
    <col min="17" max="17" width="12.63" outlineLevel="1"/>
    <col customWidth="1" min="18" max="18" width="18.5" outlineLevel="1"/>
    <col customWidth="1" min="19" max="19" width="8.75" outlineLevel="1"/>
    <col customWidth="1" min="20" max="20" width="50.5"/>
    <col customWidth="1" min="26" max="26" width="14.0"/>
    <col customWidth="1" min="29" max="29" width="15.63"/>
    <col customWidth="1" min="32" max="32" width="44.25"/>
  </cols>
  <sheetData>
    <row r="1">
      <c r="A1" s="165" t="s">
        <v>127</v>
      </c>
      <c r="B1" s="166" t="s">
        <v>128</v>
      </c>
      <c r="C1" s="167"/>
      <c r="D1" s="167"/>
      <c r="E1" s="167"/>
      <c r="F1" s="4"/>
      <c r="G1" s="4"/>
      <c r="H1" s="4"/>
      <c r="I1" s="5"/>
      <c r="J1" s="5"/>
      <c r="K1" s="5"/>
      <c r="L1" s="5"/>
      <c r="M1" s="5"/>
      <c r="N1" s="5"/>
      <c r="O1" s="5"/>
      <c r="P1" s="5"/>
      <c r="Q1" s="5"/>
      <c r="R1" s="5"/>
      <c r="S1" s="5"/>
    </row>
    <row r="2" ht="20.25" customHeight="1">
      <c r="A2" s="6"/>
      <c r="B2" s="168"/>
      <c r="C2" s="8"/>
      <c r="D2" s="8"/>
      <c r="E2" s="8"/>
      <c r="F2" s="8"/>
      <c r="G2" s="8"/>
      <c r="H2" s="8"/>
      <c r="I2" s="8"/>
      <c r="J2" s="8"/>
      <c r="K2" s="8"/>
      <c r="L2" s="8"/>
      <c r="M2" s="8"/>
      <c r="N2" s="8"/>
      <c r="O2" s="8"/>
      <c r="P2" s="8"/>
      <c r="Q2" s="8"/>
      <c r="R2" s="8"/>
      <c r="S2" s="8"/>
    </row>
    <row r="3" ht="19.5" customHeight="1">
      <c r="A3" s="6"/>
      <c r="B3" s="168"/>
      <c r="C3" s="8"/>
      <c r="D3" s="8"/>
      <c r="E3" s="8"/>
      <c r="F3" s="8"/>
      <c r="G3" s="8"/>
      <c r="H3" s="8"/>
      <c r="I3" s="8"/>
      <c r="J3" s="8"/>
      <c r="K3" s="8"/>
      <c r="L3" s="8"/>
      <c r="M3" s="8"/>
      <c r="N3" s="8"/>
      <c r="O3" s="8"/>
      <c r="P3" s="8"/>
      <c r="Q3" s="8"/>
      <c r="R3" s="8"/>
      <c r="S3" s="8"/>
      <c r="T3" s="9" t="s">
        <v>0</v>
      </c>
    </row>
    <row r="4">
      <c r="A4" s="11"/>
      <c r="B4" s="169"/>
      <c r="C4" s="11"/>
      <c r="D4" s="11"/>
      <c r="E4" s="11"/>
      <c r="F4" s="11"/>
      <c r="G4" s="11"/>
      <c r="H4" s="11"/>
      <c r="I4" s="11"/>
      <c r="J4" s="11"/>
      <c r="K4" s="11"/>
      <c r="L4" s="11"/>
      <c r="M4" s="11"/>
      <c r="N4" s="11"/>
      <c r="O4" s="11"/>
      <c r="P4" s="11"/>
      <c r="Q4" s="11"/>
      <c r="R4" s="11"/>
      <c r="S4" s="11"/>
      <c r="AD4" s="12"/>
    </row>
    <row r="5">
      <c r="A5" s="8"/>
      <c r="B5" s="170"/>
      <c r="C5" s="8"/>
      <c r="D5" s="8"/>
      <c r="E5" s="8"/>
      <c r="F5" s="8"/>
      <c r="G5" s="8"/>
      <c r="H5" s="8"/>
      <c r="I5" s="8"/>
      <c r="J5" s="8"/>
      <c r="K5" s="8"/>
      <c r="L5" s="8"/>
      <c r="M5" s="8"/>
      <c r="N5" s="8"/>
      <c r="O5" s="8"/>
      <c r="P5" s="8"/>
      <c r="Q5" s="8"/>
      <c r="R5" s="8"/>
      <c r="S5" s="8"/>
      <c r="T5" s="13" t="s">
        <v>1</v>
      </c>
      <c r="U5" s="13" t="s">
        <v>2</v>
      </c>
      <c r="V5" s="13" t="s">
        <v>3</v>
      </c>
      <c r="W5" s="13" t="s">
        <v>4</v>
      </c>
      <c r="X5" s="13" t="s">
        <v>5</v>
      </c>
      <c r="Y5" s="13" t="s">
        <v>6</v>
      </c>
      <c r="Z5" s="13" t="s">
        <v>7</v>
      </c>
      <c r="AA5" s="13" t="s">
        <v>8</v>
      </c>
      <c r="AB5" s="13" t="s">
        <v>9</v>
      </c>
      <c r="AC5" s="13" t="s">
        <v>10</v>
      </c>
      <c r="AD5" s="12"/>
    </row>
    <row r="6">
      <c r="A6" s="171"/>
      <c r="B6" s="172"/>
      <c r="C6" s="171"/>
      <c r="D6" s="171"/>
      <c r="E6" s="171"/>
      <c r="F6" s="171"/>
      <c r="G6" s="171"/>
      <c r="H6" s="171"/>
      <c r="I6" s="8"/>
      <c r="J6" s="8"/>
      <c r="K6" s="8"/>
      <c r="L6" s="8"/>
      <c r="M6" s="8"/>
      <c r="N6" s="8"/>
      <c r="O6" s="8"/>
      <c r="P6" s="8"/>
      <c r="Q6" s="8"/>
      <c r="R6" s="8"/>
      <c r="S6" s="8"/>
      <c r="T6" s="16" t="s">
        <v>11</v>
      </c>
      <c r="U6" s="16">
        <f t="shared" ref="U6:U27" si="1">IFERROR(ROUNDUP( XLOOKUP(T6,Q:Q,S:S),0.1),"")</f>
        <v>2194</v>
      </c>
      <c r="V6" s="16">
        <v>0.0</v>
      </c>
      <c r="W6" s="16">
        <v>0.0</v>
      </c>
      <c r="X6" s="16">
        <v>0.0</v>
      </c>
      <c r="Y6" s="16">
        <v>0.0</v>
      </c>
      <c r="Z6" s="16"/>
      <c r="AA6" s="17"/>
      <c r="AB6" s="16" t="s">
        <v>129</v>
      </c>
      <c r="AC6" s="30"/>
      <c r="AD6" s="12"/>
      <c r="AE6" s="18" t="s">
        <v>13</v>
      </c>
    </row>
    <row r="7">
      <c r="A7" s="171"/>
      <c r="B7" s="172"/>
      <c r="C7" s="171"/>
      <c r="D7" s="171"/>
      <c r="E7" s="171"/>
      <c r="F7" s="171"/>
      <c r="G7" s="171"/>
      <c r="H7" s="171"/>
      <c r="I7" s="22"/>
      <c r="J7" s="22"/>
      <c r="K7" s="22"/>
      <c r="L7" s="22"/>
      <c r="M7" s="22"/>
      <c r="N7" s="22"/>
      <c r="O7" s="22"/>
      <c r="P7" s="22"/>
      <c r="Q7" s="173" t="s">
        <v>15</v>
      </c>
      <c r="R7" s="174"/>
      <c r="S7" s="175"/>
      <c r="T7" s="16" t="s">
        <v>16</v>
      </c>
      <c r="U7" s="16">
        <f t="shared" si="1"/>
        <v>1887</v>
      </c>
      <c r="V7" s="16">
        <v>0.0</v>
      </c>
      <c r="W7" s="16">
        <v>0.0</v>
      </c>
      <c r="X7" s="16">
        <v>0.0</v>
      </c>
      <c r="Y7" s="16">
        <v>0.0</v>
      </c>
      <c r="Z7" s="17"/>
      <c r="AA7" s="17"/>
      <c r="AB7" s="16" t="s">
        <v>17</v>
      </c>
      <c r="AC7" s="30"/>
      <c r="AD7" s="12"/>
    </row>
    <row r="8">
      <c r="A8" s="176" t="s">
        <v>130</v>
      </c>
      <c r="B8" s="177" t="s">
        <v>131</v>
      </c>
      <c r="C8" s="178" t="s">
        <v>23</v>
      </c>
      <c r="D8" s="179" t="s">
        <v>132</v>
      </c>
      <c r="E8" s="178" t="s">
        <v>133</v>
      </c>
      <c r="F8" s="178" t="s">
        <v>134</v>
      </c>
      <c r="G8" s="178" t="s">
        <v>135</v>
      </c>
      <c r="H8" s="178" t="s">
        <v>136</v>
      </c>
      <c r="I8" s="178" t="s">
        <v>137</v>
      </c>
      <c r="J8" s="178" t="s">
        <v>138</v>
      </c>
      <c r="K8" s="178" t="s">
        <v>139</v>
      </c>
      <c r="L8" s="178" t="s">
        <v>140</v>
      </c>
      <c r="M8" s="178" t="s">
        <v>141</v>
      </c>
      <c r="N8" s="178" t="s">
        <v>142</v>
      </c>
      <c r="O8" s="180" t="s">
        <v>143</v>
      </c>
      <c r="P8" s="8"/>
      <c r="Q8" s="181" t="str">
        <f>IF(B8="","",B8&amp;" - "&amp;E8)</f>
        <v>Rezept - Artikel</v>
      </c>
      <c r="R8" s="182" t="s">
        <v>23</v>
      </c>
      <c r="S8" s="183" t="s">
        <v>144</v>
      </c>
      <c r="T8" s="16" t="s">
        <v>19</v>
      </c>
      <c r="U8" s="16">
        <f t="shared" si="1"/>
        <v>2194</v>
      </c>
      <c r="V8" s="16">
        <v>0.0</v>
      </c>
      <c r="W8" s="16">
        <v>0.0</v>
      </c>
      <c r="X8" s="16">
        <v>0.0</v>
      </c>
      <c r="Y8" s="16">
        <v>0.0</v>
      </c>
      <c r="Z8" s="17"/>
      <c r="AA8" s="17"/>
      <c r="AB8" s="16" t="s">
        <v>145</v>
      </c>
      <c r="AC8" s="30"/>
      <c r="AD8" s="12"/>
      <c r="AE8" s="26" t="s">
        <v>21</v>
      </c>
      <c r="AF8" s="26" t="s">
        <v>22</v>
      </c>
      <c r="AG8" s="26" t="s">
        <v>23</v>
      </c>
      <c r="AH8" s="26" t="s">
        <v>24</v>
      </c>
      <c r="AI8" s="26" t="s">
        <v>25</v>
      </c>
      <c r="AJ8" s="26" t="s">
        <v>26</v>
      </c>
      <c r="AK8" s="26" t="s">
        <v>27</v>
      </c>
      <c r="AL8" s="26" t="s">
        <v>28</v>
      </c>
    </row>
    <row r="9">
      <c r="A9" s="184" t="str">
        <f>IFERROR(__xludf.DUMMYFUNCTION("FILTER('Maitre Inputs DENO_Stamm'!$B:$D,'Maitre Inputs DENO_Stamm'!$B:$B=""W""&amp;CONTROL_CENTER!$J$3,'Maitre Inputs DENO_Stamm'!A:A=""DE"")"),"W19")</f>
        <v>W19</v>
      </c>
      <c r="B9" s="185">
        <f>IFERROR(__xludf.DUMMYFUNCTION("""COMPUTED_VALUE"""),301.0)</f>
        <v>301</v>
      </c>
      <c r="C9" s="186" t="str">
        <f>IFERROR(__xludf.DUMMYFUNCTION("""COMPUTED_VALUE"""),"CON-00-136674-3")</f>
        <v>CON-00-136674-3</v>
      </c>
      <c r="D9" s="187" t="str">
        <f>IFERROR(__xludf.DUMMYFUNCTION("FILTER(RIGHT('Maitre Inputs DENO_Stamm'!$H:$H,6),'Maitre Inputs DENO_Stamm'!$B:$B=""W""&amp;CONTROL_CENTER!$J$3,'Maitre Inputs DENO_Stamm'!A:A=""DE"")"),"565072")</f>
        <v>565072</v>
      </c>
      <c r="E9" s="30" t="str">
        <f>IFERROR(__xludf.DUMMYFUNCTION("FILTER('Maitre Inputs DENO_Stamm'!F:F,'Maitre Inputs DENO_Stamm'!$B:$B=""W""&amp;CONTROL_CENTER!$J$3,'Maitre Inputs DENO_Stamm'!A:A=""DE"")"),"Gegrilltes Hähnchen mit Ratatouille")</f>
        <v>Gegrilltes Hähnchen mit Ratatouille</v>
      </c>
      <c r="F9" s="188">
        <f>IFERROR(__xludf.DUMMYFUNCTION("FILTER('Maitre Inputs DENO_Stamm'!J:S,'Maitre Inputs DENO_Stamm'!$B:$B=""W""&amp;CONTROL_CENTER!$J$3,'Maitre Inputs DENO_Stamm'!A:A=""DE"")"),2603.0)</f>
        <v>2603</v>
      </c>
      <c r="G9" s="189">
        <f>IFERROR(__xludf.DUMMYFUNCTION("""COMPUTED_VALUE"""),2473.0)</f>
        <v>2473</v>
      </c>
      <c r="H9" s="189">
        <f>IFERROR(__xludf.DUMMYFUNCTION("""COMPUTED_VALUE"""),2722.0)</f>
        <v>2722</v>
      </c>
      <c r="I9" s="190">
        <f>IFERROR(__xludf.DUMMYFUNCTION("""COMPUTED_VALUE"""),2659.0)</f>
        <v>2659</v>
      </c>
      <c r="J9" s="190">
        <f>IFERROR(__xludf.DUMMYFUNCTION("""COMPUTED_VALUE"""),3014.0)</f>
        <v>3014</v>
      </c>
      <c r="K9" s="8"/>
      <c r="L9" s="190">
        <f>IFERROR(__xludf.DUMMYFUNCTION("""COMPUTED_VALUE"""),2993.0)</f>
        <v>2993</v>
      </c>
      <c r="M9" s="190">
        <f>IFERROR(__xludf.DUMMYFUNCTION("""COMPUTED_VALUE"""),2993.0)</f>
        <v>2993</v>
      </c>
      <c r="N9" s="8"/>
      <c r="O9" s="191">
        <f>IFERROR(__xludf.DUMMYFUNCTION("""COMPUTED_VALUE"""),2982.0)</f>
        <v>2982</v>
      </c>
      <c r="P9" s="8"/>
      <c r="Q9" s="192" t="str">
        <f t="shared" ref="Q9:Q47" si="3">IF(D9="","",D9&amp;" - "&amp;E9)</f>
        <v>565072 - Gegrilltes Hähnchen mit Ratatouille</v>
      </c>
      <c r="R9" s="8" t="str">
        <f t="shared" ref="R9:R47" si="4">IFERROR(C9,"")</f>
        <v>CON-00-136674-3</v>
      </c>
      <c r="S9" s="193">
        <f t="shared" ref="S9:S47" si="5">IFS(O9&lt;&gt;"",O9,AND(O9="",N9="",M9="",L9="",K9="",J9="",I9="",H9="",G9=""),F9,AND(O9="",N9="",M9="",L9="",K9="",J9="",I9="",H9=""),G9,AND(O9="",N9="",M9="",L9="",K9="",J9="",I9=""),H9,AND(O9="",N9="",M9="",L9="",K9="",J9=""), I9,AND(O9="",N9="",M9="",L9="",K9=""),J9,AND(O9="",N9="",M9="",L9=""), K9, AND(O9="",N9="",M9=""), L9,AND(O9="",N9=""), M9, AND(O9=""), N9)</f>
        <v>2982</v>
      </c>
      <c r="T9" s="30" t="str">
        <f t="shared" ref="T9:T47" si="6">IFERROR(Q9,"")</f>
        <v>565072 - Gegrilltes Hähnchen mit Ratatouille</v>
      </c>
      <c r="U9" s="31">
        <f t="shared" si="1"/>
        <v>2982</v>
      </c>
      <c r="V9" s="32" t="str">
        <f t="shared" ref="V9:Y9" si="2">IF($U9="","","0")</f>
        <v>0</v>
      </c>
      <c r="W9" s="32" t="str">
        <f t="shared" si="2"/>
        <v>0</v>
      </c>
      <c r="X9" s="32" t="str">
        <f t="shared" si="2"/>
        <v>0</v>
      </c>
      <c r="Y9" s="32" t="str">
        <f t="shared" si="2"/>
        <v>0</v>
      </c>
      <c r="Z9" s="30"/>
      <c r="AA9" s="30"/>
      <c r="AB9" s="33"/>
      <c r="AC9" s="30"/>
      <c r="AD9" s="12"/>
      <c r="AE9" s="194" t="str">
        <f t="shared" ref="AE9:AE42" si="8">IF($B9="","", LEFT($B9,3)&amp;"_1p")</f>
        <v>301_1p</v>
      </c>
      <c r="AF9" s="34" t="str">
        <f t="shared" ref="AF9:AF30" si="9">IFERROR(T9,"")</f>
        <v>565072 - Gegrilltes Hähnchen mit Ratatouille</v>
      </c>
      <c r="AG9" s="34" t="str">
        <f t="shared" ref="AG9:AG30" si="10">XLOOKUP(AF9,Q:Q,R:R)</f>
        <v>CON-00-136674-3</v>
      </c>
      <c r="AH9" s="26" t="str">
        <f t="shared" ref="AH9:AH30" si="11">IF(AF9="","","ASL1")</f>
        <v>ASL1</v>
      </c>
      <c r="AI9" s="34"/>
      <c r="AJ9" s="26" t="str">
        <f t="shared" ref="AJ9:AJ30" si="12">IF(AE9="","","1")</f>
        <v>1</v>
      </c>
      <c r="AK9" s="34"/>
      <c r="AL9" s="26" t="str">
        <f t="shared" ref="AL9:AL30" si="13">IF(AE9="","","Chilled")</f>
        <v>Chilled</v>
      </c>
    </row>
    <row r="10">
      <c r="A10" s="195" t="str">
        <f>IFERROR(__xludf.DUMMYFUNCTION("""COMPUTED_VALUE"""),"W19")</f>
        <v>W19</v>
      </c>
      <c r="B10" s="185">
        <f>IFERROR(__xludf.DUMMYFUNCTION("""COMPUTED_VALUE"""),302.0)</f>
        <v>302</v>
      </c>
      <c r="C10" s="8" t="str">
        <f>IFERROR(__xludf.DUMMYFUNCTION("""COMPUTED_VALUE"""),"CON-00-152205-2")</f>
        <v>CON-00-152205-2</v>
      </c>
      <c r="D10" s="171" t="str">
        <f>IFERROR(__xludf.DUMMYFUNCTION("""COMPUTED_VALUE"""),"565209")</f>
        <v>565209</v>
      </c>
      <c r="E10" s="8" t="str">
        <f>IFERROR(__xludf.DUMMYFUNCTION("""COMPUTED_VALUE"""),"Grünes Chili-Hähnchen mit Quinoa-Salsa")</f>
        <v>Grünes Chili-Hähnchen mit Quinoa-Salsa</v>
      </c>
      <c r="F10" s="190">
        <f>IFERROR(__xludf.DUMMYFUNCTION("""COMPUTED_VALUE"""),1564.0)</f>
        <v>1564</v>
      </c>
      <c r="G10" s="190">
        <f>IFERROR(__xludf.DUMMYFUNCTION("""COMPUTED_VALUE"""),1510.0)</f>
        <v>1510</v>
      </c>
      <c r="H10" s="190">
        <f>IFERROR(__xludf.DUMMYFUNCTION("""COMPUTED_VALUE"""),1661.0)</f>
        <v>1661</v>
      </c>
      <c r="I10" s="190">
        <f>IFERROR(__xludf.DUMMYFUNCTION("""COMPUTED_VALUE"""),1690.0)</f>
        <v>1690</v>
      </c>
      <c r="J10" s="190">
        <f>IFERROR(__xludf.DUMMYFUNCTION("""COMPUTED_VALUE"""),1931.0)</f>
        <v>1931</v>
      </c>
      <c r="K10" s="8"/>
      <c r="L10" s="190">
        <f>IFERROR(__xludf.DUMMYFUNCTION("""COMPUTED_VALUE"""),1863.0)</f>
        <v>1863</v>
      </c>
      <c r="M10" s="190">
        <f>IFERROR(__xludf.DUMMYFUNCTION("""COMPUTED_VALUE"""),1860.0)</f>
        <v>1860</v>
      </c>
      <c r="N10" s="8"/>
      <c r="O10" s="191">
        <f>IFERROR(__xludf.DUMMYFUNCTION("""COMPUTED_VALUE"""),1852.0)</f>
        <v>1852</v>
      </c>
      <c r="P10" s="8"/>
      <c r="Q10" s="195" t="str">
        <f t="shared" si="3"/>
        <v>565209 - Grünes Chili-Hähnchen mit Quinoa-Salsa</v>
      </c>
      <c r="R10" s="8" t="str">
        <f t="shared" si="4"/>
        <v>CON-00-152205-2</v>
      </c>
      <c r="S10" s="193">
        <f t="shared" si="5"/>
        <v>1852</v>
      </c>
      <c r="T10" s="30" t="str">
        <f t="shared" si="6"/>
        <v>565209 - Grünes Chili-Hähnchen mit Quinoa-Salsa</v>
      </c>
      <c r="U10" s="31">
        <f t="shared" si="1"/>
        <v>1852</v>
      </c>
      <c r="V10" s="32" t="str">
        <f t="shared" ref="V10:Y10" si="7">IF($U10="","","0")</f>
        <v>0</v>
      </c>
      <c r="W10" s="32" t="str">
        <f t="shared" si="7"/>
        <v>0</v>
      </c>
      <c r="X10" s="32" t="str">
        <f t="shared" si="7"/>
        <v>0</v>
      </c>
      <c r="Y10" s="32" t="str">
        <f t="shared" si="7"/>
        <v>0</v>
      </c>
      <c r="Z10" s="30"/>
      <c r="AA10" s="30"/>
      <c r="AB10" s="33"/>
      <c r="AC10" s="30"/>
      <c r="AD10" s="12"/>
      <c r="AE10" s="34" t="str">
        <f t="shared" si="8"/>
        <v>302_1p</v>
      </c>
      <c r="AF10" s="34" t="str">
        <f t="shared" si="9"/>
        <v>565209 - Grünes Chili-Hähnchen mit Quinoa-Salsa</v>
      </c>
      <c r="AG10" s="34" t="str">
        <f t="shared" si="10"/>
        <v>CON-00-152205-2</v>
      </c>
      <c r="AH10" s="26" t="str">
        <f t="shared" si="11"/>
        <v>ASL1</v>
      </c>
      <c r="AI10" s="34"/>
      <c r="AJ10" s="26" t="str">
        <f t="shared" si="12"/>
        <v>1</v>
      </c>
      <c r="AK10" s="34"/>
      <c r="AL10" s="26" t="str">
        <f t="shared" si="13"/>
        <v>Chilled</v>
      </c>
    </row>
    <row r="11">
      <c r="A11" s="195" t="str">
        <f>IFERROR(__xludf.DUMMYFUNCTION("""COMPUTED_VALUE"""),"W19")</f>
        <v>W19</v>
      </c>
      <c r="B11" s="185">
        <f>IFERROR(__xludf.DUMMYFUNCTION("""COMPUTED_VALUE"""),303.0)</f>
        <v>303</v>
      </c>
      <c r="C11" s="8" t="str">
        <f>IFERROR(__xludf.DUMMYFUNCTION("""COMPUTED_VALUE"""),"CON-00-136698-3")</f>
        <v>CON-00-136698-3</v>
      </c>
      <c r="D11" s="171" t="str">
        <f>IFERROR(__xludf.DUMMYFUNCTION("""COMPUTED_VALUE"""),"565309")</f>
        <v>565309</v>
      </c>
      <c r="E11" s="8" t="str">
        <f>IFERROR(__xludf.DUMMYFUNCTION("""COMPUTED_VALUE"""),"Geschmortes Rind in Kräuterjus")</f>
        <v>Geschmortes Rind in Kräuterjus</v>
      </c>
      <c r="F11" s="190">
        <f>IFERROR(__xludf.DUMMYFUNCTION("""COMPUTED_VALUE"""),0.0)</f>
        <v>0</v>
      </c>
      <c r="G11" s="190">
        <f>IFERROR(__xludf.DUMMYFUNCTION("""COMPUTED_VALUE"""),0.0)</f>
        <v>0</v>
      </c>
      <c r="H11" s="190">
        <f>IFERROR(__xludf.DUMMYFUNCTION("""COMPUTED_VALUE"""),0.0)</f>
        <v>0</v>
      </c>
      <c r="I11" s="190">
        <f>IFERROR(__xludf.DUMMYFUNCTION("""COMPUTED_VALUE"""),1930.0)</f>
        <v>1930</v>
      </c>
      <c r="J11" s="190">
        <f>IFERROR(__xludf.DUMMYFUNCTION("""COMPUTED_VALUE"""),2105.0)</f>
        <v>2105</v>
      </c>
      <c r="K11" s="8"/>
      <c r="L11" s="190">
        <f>IFERROR(__xludf.DUMMYFUNCTION("""COMPUTED_VALUE"""),2052.0)</f>
        <v>2052</v>
      </c>
      <c r="M11" s="190">
        <f>IFERROR(__xludf.DUMMYFUNCTION("""COMPUTED_VALUE"""),2060.0)</f>
        <v>2060</v>
      </c>
      <c r="N11" s="8"/>
      <c r="O11" s="191">
        <f>IFERROR(__xludf.DUMMYFUNCTION("""COMPUTED_VALUE"""),2002.0)</f>
        <v>2002</v>
      </c>
      <c r="P11" s="8"/>
      <c r="Q11" s="195" t="str">
        <f t="shared" si="3"/>
        <v>565309 - Geschmortes Rind in Kräuterjus</v>
      </c>
      <c r="R11" s="8" t="str">
        <f t="shared" si="4"/>
        <v>CON-00-136698-3</v>
      </c>
      <c r="S11" s="193">
        <f t="shared" si="5"/>
        <v>2002</v>
      </c>
      <c r="T11" s="30" t="str">
        <f t="shared" si="6"/>
        <v>565309 - Geschmortes Rind in Kräuterjus</v>
      </c>
      <c r="U11" s="31">
        <f t="shared" si="1"/>
        <v>2002</v>
      </c>
      <c r="V11" s="32" t="str">
        <f t="shared" ref="V11:Y11" si="14">IF($U11="","","0")</f>
        <v>0</v>
      </c>
      <c r="W11" s="32" t="str">
        <f t="shared" si="14"/>
        <v>0</v>
      </c>
      <c r="X11" s="32" t="str">
        <f t="shared" si="14"/>
        <v>0</v>
      </c>
      <c r="Y11" s="32" t="str">
        <f t="shared" si="14"/>
        <v>0</v>
      </c>
      <c r="Z11" s="30"/>
      <c r="AA11" s="30"/>
      <c r="AB11" s="33"/>
      <c r="AC11" s="30"/>
      <c r="AD11" s="12"/>
      <c r="AE11" s="34" t="str">
        <f t="shared" si="8"/>
        <v>303_1p</v>
      </c>
      <c r="AF11" s="34" t="str">
        <f t="shared" si="9"/>
        <v>565309 - Geschmortes Rind in Kräuterjus</v>
      </c>
      <c r="AG11" s="34" t="str">
        <f t="shared" si="10"/>
        <v>CON-00-136698-3</v>
      </c>
      <c r="AH11" s="26" t="str">
        <f t="shared" si="11"/>
        <v>ASL1</v>
      </c>
      <c r="AI11" s="34"/>
      <c r="AJ11" s="26" t="str">
        <f t="shared" si="12"/>
        <v>1</v>
      </c>
      <c r="AK11" s="34"/>
      <c r="AL11" s="26" t="str">
        <f t="shared" si="13"/>
        <v>Chilled</v>
      </c>
    </row>
    <row r="12">
      <c r="A12" s="195" t="str">
        <f>IFERROR(__xludf.DUMMYFUNCTION("""COMPUTED_VALUE"""),"W19")</f>
        <v>W19</v>
      </c>
      <c r="B12" s="185">
        <f>IFERROR(__xludf.DUMMYFUNCTION("""COMPUTED_VALUE"""),304.0)</f>
        <v>304</v>
      </c>
      <c r="C12" s="8" t="str">
        <f>IFERROR(__xludf.DUMMYFUNCTION("""COMPUTED_VALUE"""),"CON-00-137745-2")</f>
        <v>CON-00-137745-2</v>
      </c>
      <c r="D12" s="171" t="str">
        <f>IFERROR(__xludf.DUMMYFUNCTION("""COMPUTED_VALUE"""),"565064")</f>
        <v>565064</v>
      </c>
      <c r="E12" s="8" t="str">
        <f>IFERROR(__xludf.DUMMYFUNCTION("""COMPUTED_VALUE"""),"Lachs in Senf-Dill-Sauce")</f>
        <v>Lachs in Senf-Dill-Sauce</v>
      </c>
      <c r="F12" s="190">
        <f>IFERROR(__xludf.DUMMYFUNCTION("""COMPUTED_VALUE"""),0.0)</f>
        <v>0</v>
      </c>
      <c r="G12" s="190">
        <f>IFERROR(__xludf.DUMMYFUNCTION("""COMPUTED_VALUE"""),0.0)</f>
        <v>0</v>
      </c>
      <c r="H12" s="190">
        <f>IFERROR(__xludf.DUMMYFUNCTION("""COMPUTED_VALUE"""),0.0)</f>
        <v>0</v>
      </c>
      <c r="I12" s="190">
        <f>IFERROR(__xludf.DUMMYFUNCTION("""COMPUTED_VALUE"""),0.0)</f>
        <v>0</v>
      </c>
      <c r="J12" s="190">
        <f>IFERROR(__xludf.DUMMYFUNCTION("""COMPUTED_VALUE"""),0.0)</f>
        <v>0</v>
      </c>
      <c r="K12" s="8"/>
      <c r="L12" s="190">
        <f>IFERROR(__xludf.DUMMYFUNCTION("""COMPUTED_VALUE"""),0.0)</f>
        <v>0</v>
      </c>
      <c r="M12" s="190">
        <f>IFERROR(__xludf.DUMMYFUNCTION("""COMPUTED_VALUE"""),0.0)</f>
        <v>0</v>
      </c>
      <c r="N12" s="8"/>
      <c r="O12" s="191">
        <f>IFERROR(__xludf.DUMMYFUNCTION("""COMPUTED_VALUE"""),10.0)</f>
        <v>10</v>
      </c>
      <c r="P12" s="8"/>
      <c r="Q12" s="195" t="str">
        <f t="shared" si="3"/>
        <v>565064 - Lachs in Senf-Dill-Sauce</v>
      </c>
      <c r="R12" s="8" t="str">
        <f t="shared" si="4"/>
        <v>CON-00-137745-2</v>
      </c>
      <c r="S12" s="193">
        <f t="shared" si="5"/>
        <v>10</v>
      </c>
      <c r="T12" s="30" t="str">
        <f t="shared" si="6"/>
        <v>565064 - Lachs in Senf-Dill-Sauce</v>
      </c>
      <c r="U12" s="31">
        <f t="shared" si="1"/>
        <v>10</v>
      </c>
      <c r="V12" s="32" t="str">
        <f t="shared" ref="V12:Y12" si="15">IF($U12="","","0")</f>
        <v>0</v>
      </c>
      <c r="W12" s="32" t="str">
        <f t="shared" si="15"/>
        <v>0</v>
      </c>
      <c r="X12" s="32" t="str">
        <f t="shared" si="15"/>
        <v>0</v>
      </c>
      <c r="Y12" s="32" t="str">
        <f t="shared" si="15"/>
        <v>0</v>
      </c>
      <c r="Z12" s="30"/>
      <c r="AA12" s="30"/>
      <c r="AB12" s="33"/>
      <c r="AC12" s="30"/>
      <c r="AD12" s="12"/>
      <c r="AE12" s="34" t="str">
        <f t="shared" si="8"/>
        <v>304_1p</v>
      </c>
      <c r="AF12" s="34" t="str">
        <f t="shared" si="9"/>
        <v>565064 - Lachs in Senf-Dill-Sauce</v>
      </c>
      <c r="AG12" s="34" t="str">
        <f t="shared" si="10"/>
        <v>CON-00-137745-2</v>
      </c>
      <c r="AH12" s="26" t="str">
        <f t="shared" si="11"/>
        <v>ASL1</v>
      </c>
      <c r="AI12" s="34"/>
      <c r="AJ12" s="26" t="str">
        <f t="shared" si="12"/>
        <v>1</v>
      </c>
      <c r="AK12" s="34"/>
      <c r="AL12" s="26" t="str">
        <f t="shared" si="13"/>
        <v>Chilled</v>
      </c>
    </row>
    <row r="13">
      <c r="A13" s="195" t="str">
        <f>IFERROR(__xludf.DUMMYFUNCTION("""COMPUTED_VALUE"""),"W19")</f>
        <v>W19</v>
      </c>
      <c r="B13" s="185">
        <f>IFERROR(__xludf.DUMMYFUNCTION("""COMPUTED_VALUE"""),305.0)</f>
        <v>305</v>
      </c>
      <c r="C13" s="8" t="str">
        <f>IFERROR(__xludf.DUMMYFUNCTION("""COMPUTED_VALUE"""),"CON-00-150748-2")</f>
        <v>CON-00-150748-2</v>
      </c>
      <c r="D13" s="171" t="str">
        <f>IFERROR(__xludf.DUMMYFUNCTION("""COMPUTED_VALUE"""),"565178")</f>
        <v>565178</v>
      </c>
      <c r="E13" s="8" t="str">
        <f>IFERROR(__xludf.DUMMYFUNCTION("""COMPUTED_VALUE"""),"Westafrikanisches Hähnchen-Erdnuss-Curry")</f>
        <v>Westafrikanisches Hähnchen-Erdnuss-Curry</v>
      </c>
      <c r="F13" s="190">
        <f>IFERROR(__xludf.DUMMYFUNCTION("""COMPUTED_VALUE"""),1434.0)</f>
        <v>1434</v>
      </c>
      <c r="G13" s="190">
        <f>IFERROR(__xludf.DUMMYFUNCTION("""COMPUTED_VALUE"""),1356.0)</f>
        <v>1356</v>
      </c>
      <c r="H13" s="190">
        <f>IFERROR(__xludf.DUMMYFUNCTION("""COMPUTED_VALUE"""),1498.0)</f>
        <v>1498</v>
      </c>
      <c r="I13" s="190">
        <f>IFERROR(__xludf.DUMMYFUNCTION("""COMPUTED_VALUE"""),2091.0)</f>
        <v>2091</v>
      </c>
      <c r="J13" s="190">
        <f>IFERROR(__xludf.DUMMYFUNCTION("""COMPUTED_VALUE"""),2233.0)</f>
        <v>2233</v>
      </c>
      <c r="K13" s="8"/>
      <c r="L13" s="190">
        <f>IFERROR(__xludf.DUMMYFUNCTION("""COMPUTED_VALUE"""),2180.0)</f>
        <v>2180</v>
      </c>
      <c r="M13" s="190">
        <f>IFERROR(__xludf.DUMMYFUNCTION("""COMPUTED_VALUE"""),2144.0)</f>
        <v>2144</v>
      </c>
      <c r="N13" s="8"/>
      <c r="O13" s="191">
        <f>IFERROR(__xludf.DUMMYFUNCTION("""COMPUTED_VALUE"""),2006.0)</f>
        <v>2006</v>
      </c>
      <c r="P13" s="8"/>
      <c r="Q13" s="195" t="str">
        <f t="shared" si="3"/>
        <v>565178 - Westafrikanisches Hähnchen-Erdnuss-Curry</v>
      </c>
      <c r="R13" s="8" t="str">
        <f t="shared" si="4"/>
        <v>CON-00-150748-2</v>
      </c>
      <c r="S13" s="193">
        <f t="shared" si="5"/>
        <v>2006</v>
      </c>
      <c r="T13" s="30" t="str">
        <f t="shared" si="6"/>
        <v>565178 - Westafrikanisches Hähnchen-Erdnuss-Curry</v>
      </c>
      <c r="U13" s="31">
        <f t="shared" si="1"/>
        <v>2006</v>
      </c>
      <c r="V13" s="32" t="str">
        <f t="shared" ref="V13:Y13" si="16">IF($U13="","","0")</f>
        <v>0</v>
      </c>
      <c r="W13" s="32" t="str">
        <f t="shared" si="16"/>
        <v>0</v>
      </c>
      <c r="X13" s="32" t="str">
        <f t="shared" si="16"/>
        <v>0</v>
      </c>
      <c r="Y13" s="32" t="str">
        <f t="shared" si="16"/>
        <v>0</v>
      </c>
      <c r="Z13" s="30"/>
      <c r="AA13" s="30"/>
      <c r="AB13" s="33"/>
      <c r="AC13" s="30"/>
      <c r="AD13" s="12"/>
      <c r="AE13" s="34" t="str">
        <f t="shared" si="8"/>
        <v>305_1p</v>
      </c>
      <c r="AF13" s="34" t="str">
        <f t="shared" si="9"/>
        <v>565178 - Westafrikanisches Hähnchen-Erdnuss-Curry</v>
      </c>
      <c r="AG13" s="34" t="str">
        <f t="shared" si="10"/>
        <v>CON-00-150748-2</v>
      </c>
      <c r="AH13" s="26" t="str">
        <f t="shared" si="11"/>
        <v>ASL1</v>
      </c>
      <c r="AI13" s="34"/>
      <c r="AJ13" s="26" t="str">
        <f t="shared" si="12"/>
        <v>1</v>
      </c>
      <c r="AK13" s="34"/>
      <c r="AL13" s="26" t="str">
        <f t="shared" si="13"/>
        <v>Chilled</v>
      </c>
    </row>
    <row r="14">
      <c r="A14" s="195" t="str">
        <f>IFERROR(__xludf.DUMMYFUNCTION("""COMPUTED_VALUE"""),"W19")</f>
        <v>W19</v>
      </c>
      <c r="B14" s="185">
        <f>IFERROR(__xludf.DUMMYFUNCTION("""COMPUTED_VALUE"""),306.0)</f>
        <v>306</v>
      </c>
      <c r="C14" s="8" t="str">
        <f>IFERROR(__xludf.DUMMYFUNCTION("""COMPUTED_VALUE"""),"CON-00-152025-2")</f>
        <v>CON-00-152025-2</v>
      </c>
      <c r="D14" s="171" t="str">
        <f>IFERROR(__xludf.DUMMYFUNCTION("""COMPUTED_VALUE"""),"565189")</f>
        <v>565189</v>
      </c>
      <c r="E14" s="8" t="str">
        <f>IFERROR(__xludf.DUMMYFUNCTION("""COMPUTED_VALUE"""),"Lachs Piccata")</f>
        <v>Lachs Piccata</v>
      </c>
      <c r="F14" s="190">
        <f>IFERROR(__xludf.DUMMYFUNCTION("""COMPUTED_VALUE"""),0.0)</f>
        <v>0</v>
      </c>
      <c r="G14" s="190">
        <f>IFERROR(__xludf.DUMMYFUNCTION("""COMPUTED_VALUE"""),0.0)</f>
        <v>0</v>
      </c>
      <c r="H14" s="190">
        <f>IFERROR(__xludf.DUMMYFUNCTION("""COMPUTED_VALUE"""),0.0)</f>
        <v>0</v>
      </c>
      <c r="I14" s="190">
        <f>IFERROR(__xludf.DUMMYFUNCTION("""COMPUTED_VALUE"""),0.0)</f>
        <v>0</v>
      </c>
      <c r="J14" s="190">
        <f>IFERROR(__xludf.DUMMYFUNCTION("""COMPUTED_VALUE"""),0.0)</f>
        <v>0</v>
      </c>
      <c r="K14" s="8"/>
      <c r="L14" s="190">
        <f>IFERROR(__xludf.DUMMYFUNCTION("""COMPUTED_VALUE"""),0.0)</f>
        <v>0</v>
      </c>
      <c r="M14" s="190">
        <f>IFERROR(__xludf.DUMMYFUNCTION("""COMPUTED_VALUE"""),0.0)</f>
        <v>0</v>
      </c>
      <c r="N14" s="8"/>
      <c r="O14" s="191">
        <f>IFERROR(__xludf.DUMMYFUNCTION("""COMPUTED_VALUE"""),10.0)</f>
        <v>10</v>
      </c>
      <c r="P14" s="8"/>
      <c r="Q14" s="195" t="str">
        <f t="shared" si="3"/>
        <v>565189 - Lachs Piccata</v>
      </c>
      <c r="R14" s="8" t="str">
        <f t="shared" si="4"/>
        <v>CON-00-152025-2</v>
      </c>
      <c r="S14" s="193">
        <f t="shared" si="5"/>
        <v>10</v>
      </c>
      <c r="T14" s="30" t="str">
        <f t="shared" si="6"/>
        <v>565189 - Lachs Piccata</v>
      </c>
      <c r="U14" s="31">
        <f t="shared" si="1"/>
        <v>10</v>
      </c>
      <c r="V14" s="32" t="str">
        <f t="shared" ref="V14:Y14" si="17">IF($U14="","","0")</f>
        <v>0</v>
      </c>
      <c r="W14" s="32" t="str">
        <f t="shared" si="17"/>
        <v>0</v>
      </c>
      <c r="X14" s="32" t="str">
        <f t="shared" si="17"/>
        <v>0</v>
      </c>
      <c r="Y14" s="32" t="str">
        <f t="shared" si="17"/>
        <v>0</v>
      </c>
      <c r="Z14" s="30"/>
      <c r="AA14" s="30"/>
      <c r="AB14" s="33"/>
      <c r="AC14" s="30"/>
      <c r="AD14" s="12"/>
      <c r="AE14" s="34" t="str">
        <f t="shared" si="8"/>
        <v>306_1p</v>
      </c>
      <c r="AF14" s="34" t="str">
        <f t="shared" si="9"/>
        <v>565189 - Lachs Piccata</v>
      </c>
      <c r="AG14" s="34" t="str">
        <f t="shared" si="10"/>
        <v>CON-00-152025-2</v>
      </c>
      <c r="AH14" s="26" t="str">
        <f t="shared" si="11"/>
        <v>ASL1</v>
      </c>
      <c r="AI14" s="34"/>
      <c r="AJ14" s="26" t="str">
        <f t="shared" si="12"/>
        <v>1</v>
      </c>
      <c r="AK14" s="34"/>
      <c r="AL14" s="26" t="str">
        <f t="shared" si="13"/>
        <v>Chilled</v>
      </c>
    </row>
    <row r="15">
      <c r="A15" s="195" t="str">
        <f>IFERROR(__xludf.DUMMYFUNCTION("""COMPUTED_VALUE"""),"W19")</f>
        <v>W19</v>
      </c>
      <c r="B15" s="185">
        <f>IFERROR(__xludf.DUMMYFUNCTION("""COMPUTED_VALUE"""),307.0)</f>
        <v>307</v>
      </c>
      <c r="C15" s="8" t="str">
        <f>IFERROR(__xludf.DUMMYFUNCTION("""COMPUTED_VALUE"""),"CON-00-148220-2")</f>
        <v>CON-00-148220-2</v>
      </c>
      <c r="D15" s="171" t="str">
        <f>IFERROR(__xludf.DUMMYFUNCTION("""COMPUTED_VALUE"""),"565164")</f>
        <v>565164</v>
      </c>
      <c r="E15" s="8" t="str">
        <f>IFERROR(__xludf.DUMMYFUNCTION("""COMPUTED_VALUE"""),"Hähnchen mit karamellisierten Zwiebeln &amp; Emmentaler-Fondue")</f>
        <v>Hähnchen mit karamellisierten Zwiebeln &amp; Emmentaler-Fondue</v>
      </c>
      <c r="F15" s="190">
        <f>IFERROR(__xludf.DUMMYFUNCTION("""COMPUTED_VALUE"""),0.0)</f>
        <v>0</v>
      </c>
      <c r="G15" s="190">
        <f>IFERROR(__xludf.DUMMYFUNCTION("""COMPUTED_VALUE"""),0.0)</f>
        <v>0</v>
      </c>
      <c r="H15" s="190">
        <f>IFERROR(__xludf.DUMMYFUNCTION("""COMPUTED_VALUE"""),0.0)</f>
        <v>0</v>
      </c>
      <c r="I15" s="190">
        <f>IFERROR(__xludf.DUMMYFUNCTION("""COMPUTED_VALUE"""),0.0)</f>
        <v>0</v>
      </c>
      <c r="J15" s="190">
        <f>IFERROR(__xludf.DUMMYFUNCTION("""COMPUTED_VALUE"""),0.0)</f>
        <v>0</v>
      </c>
      <c r="K15" s="8"/>
      <c r="L15" s="190">
        <f>IFERROR(__xludf.DUMMYFUNCTION("""COMPUTED_VALUE"""),0.0)</f>
        <v>0</v>
      </c>
      <c r="M15" s="190">
        <f>IFERROR(__xludf.DUMMYFUNCTION("""COMPUTED_VALUE"""),0.0)</f>
        <v>0</v>
      </c>
      <c r="N15" s="8"/>
      <c r="O15" s="191">
        <f>IFERROR(__xludf.DUMMYFUNCTION("""COMPUTED_VALUE"""),61.0)</f>
        <v>61</v>
      </c>
      <c r="P15" s="8"/>
      <c r="Q15" s="195" t="str">
        <f t="shared" si="3"/>
        <v>565164 - Hähnchen mit karamellisierten Zwiebeln &amp; Emmentaler-Fondue</v>
      </c>
      <c r="R15" s="8" t="str">
        <f t="shared" si="4"/>
        <v>CON-00-148220-2</v>
      </c>
      <c r="S15" s="193">
        <f t="shared" si="5"/>
        <v>61</v>
      </c>
      <c r="T15" s="30" t="str">
        <f t="shared" si="6"/>
        <v>565164 - Hähnchen mit karamellisierten Zwiebeln &amp; Emmentaler-Fondue</v>
      </c>
      <c r="U15" s="31">
        <f t="shared" si="1"/>
        <v>61</v>
      </c>
      <c r="V15" s="32" t="str">
        <f t="shared" ref="V15:Y15" si="18">IF($U15="","","0")</f>
        <v>0</v>
      </c>
      <c r="W15" s="32" t="str">
        <f t="shared" si="18"/>
        <v>0</v>
      </c>
      <c r="X15" s="32" t="str">
        <f t="shared" si="18"/>
        <v>0</v>
      </c>
      <c r="Y15" s="32" t="str">
        <f t="shared" si="18"/>
        <v>0</v>
      </c>
      <c r="Z15" s="30"/>
      <c r="AA15" s="30"/>
      <c r="AB15" s="33"/>
      <c r="AC15" s="30"/>
      <c r="AD15" s="12"/>
      <c r="AE15" s="34" t="str">
        <f t="shared" si="8"/>
        <v>307_1p</v>
      </c>
      <c r="AF15" s="34" t="str">
        <f t="shared" si="9"/>
        <v>565164 - Hähnchen mit karamellisierten Zwiebeln &amp; Emmentaler-Fondue</v>
      </c>
      <c r="AG15" s="34" t="str">
        <f t="shared" si="10"/>
        <v>CON-00-148220-2</v>
      </c>
      <c r="AH15" s="26" t="str">
        <f t="shared" si="11"/>
        <v>ASL1</v>
      </c>
      <c r="AI15" s="34"/>
      <c r="AJ15" s="26" t="str">
        <f t="shared" si="12"/>
        <v>1</v>
      </c>
      <c r="AK15" s="34"/>
      <c r="AL15" s="26" t="str">
        <f t="shared" si="13"/>
        <v>Chilled</v>
      </c>
    </row>
    <row r="16">
      <c r="A16" s="195" t="str">
        <f>IFERROR(__xludf.DUMMYFUNCTION("""COMPUTED_VALUE"""),"W19")</f>
        <v>W19</v>
      </c>
      <c r="B16" s="185">
        <f>IFERROR(__xludf.DUMMYFUNCTION("""COMPUTED_VALUE"""),308.0)</f>
        <v>308</v>
      </c>
      <c r="C16" s="8" t="str">
        <f>IFERROR(__xludf.DUMMYFUNCTION("""COMPUTED_VALUE"""),"CON-00-136638-3")</f>
        <v>CON-00-136638-3</v>
      </c>
      <c r="D16" s="171" t="str">
        <f>IFERROR(__xludf.DUMMYFUNCTION("""COMPUTED_VALUE"""),"565043")</f>
        <v>565043</v>
      </c>
      <c r="E16" s="8" t="str">
        <f>IFERROR(__xludf.DUMMYFUNCTION("""COMPUTED_VALUE"""),"Würziges Hähnchen mit Jalapeño, Limette und Cheddar")</f>
        <v>Würziges Hähnchen mit Jalapeño, Limette und Cheddar</v>
      </c>
      <c r="F16" s="190">
        <f>IFERROR(__xludf.DUMMYFUNCTION("""COMPUTED_VALUE"""),1067.0)</f>
        <v>1067</v>
      </c>
      <c r="G16" s="190">
        <f>IFERROR(__xludf.DUMMYFUNCTION("""COMPUTED_VALUE"""),997.0)</f>
        <v>997</v>
      </c>
      <c r="H16" s="190">
        <f>IFERROR(__xludf.DUMMYFUNCTION("""COMPUTED_VALUE"""),1102.0)</f>
        <v>1102</v>
      </c>
      <c r="I16" s="190">
        <f>IFERROR(__xludf.DUMMYFUNCTION("""COMPUTED_VALUE"""),1268.0)</f>
        <v>1268</v>
      </c>
      <c r="J16" s="190">
        <f>IFERROR(__xludf.DUMMYFUNCTION("""COMPUTED_VALUE"""),1331.0)</f>
        <v>1331</v>
      </c>
      <c r="K16" s="8"/>
      <c r="L16" s="190">
        <f>IFERROR(__xludf.DUMMYFUNCTION("""COMPUTED_VALUE"""),1246.0)</f>
        <v>1246</v>
      </c>
      <c r="M16" s="190">
        <f>IFERROR(__xludf.DUMMYFUNCTION("""COMPUTED_VALUE"""),1263.0)</f>
        <v>1263</v>
      </c>
      <c r="N16" s="8"/>
      <c r="O16" s="191">
        <f>IFERROR(__xludf.DUMMYFUNCTION("""COMPUTED_VALUE"""),1133.0)</f>
        <v>1133</v>
      </c>
      <c r="P16" s="8"/>
      <c r="Q16" s="195" t="str">
        <f t="shared" si="3"/>
        <v>565043 - Würziges Hähnchen mit Jalapeño, Limette und Cheddar</v>
      </c>
      <c r="R16" s="8" t="str">
        <f t="shared" si="4"/>
        <v>CON-00-136638-3</v>
      </c>
      <c r="S16" s="193">
        <f t="shared" si="5"/>
        <v>1133</v>
      </c>
      <c r="T16" s="30" t="str">
        <f t="shared" si="6"/>
        <v>565043 - Würziges Hähnchen mit Jalapeño, Limette und Cheddar</v>
      </c>
      <c r="U16" s="31">
        <f t="shared" si="1"/>
        <v>1133</v>
      </c>
      <c r="V16" s="32" t="str">
        <f t="shared" ref="V16:Y16" si="19">IF($U16="","","0")</f>
        <v>0</v>
      </c>
      <c r="W16" s="32" t="str">
        <f t="shared" si="19"/>
        <v>0</v>
      </c>
      <c r="X16" s="32" t="str">
        <f t="shared" si="19"/>
        <v>0</v>
      </c>
      <c r="Y16" s="32" t="str">
        <f t="shared" si="19"/>
        <v>0</v>
      </c>
      <c r="Z16" s="30"/>
      <c r="AA16" s="30"/>
      <c r="AB16" s="33"/>
      <c r="AC16" s="30"/>
      <c r="AD16" s="12"/>
      <c r="AE16" s="34" t="str">
        <f t="shared" si="8"/>
        <v>308_1p</v>
      </c>
      <c r="AF16" s="34" t="str">
        <f t="shared" si="9"/>
        <v>565043 - Würziges Hähnchen mit Jalapeño, Limette und Cheddar</v>
      </c>
      <c r="AG16" s="34" t="str">
        <f t="shared" si="10"/>
        <v>CON-00-136638-3</v>
      </c>
      <c r="AH16" s="26" t="str">
        <f t="shared" si="11"/>
        <v>ASL1</v>
      </c>
      <c r="AI16" s="34"/>
      <c r="AJ16" s="26" t="str">
        <f t="shared" si="12"/>
        <v>1</v>
      </c>
      <c r="AK16" s="34"/>
      <c r="AL16" s="26" t="str">
        <f t="shared" si="13"/>
        <v>Chilled</v>
      </c>
    </row>
    <row r="17">
      <c r="A17" s="195" t="str">
        <f>IFERROR(__xludf.DUMMYFUNCTION("""COMPUTED_VALUE"""),"W19")</f>
        <v>W19</v>
      </c>
      <c r="B17" s="185">
        <f>IFERROR(__xludf.DUMMYFUNCTION("""COMPUTED_VALUE"""),309.0)</f>
        <v>309</v>
      </c>
      <c r="C17" s="8" t="str">
        <f>IFERROR(__xludf.DUMMYFUNCTION("""COMPUTED_VALUE"""),"CON-00-136629-3")</f>
        <v>CON-00-136629-3</v>
      </c>
      <c r="D17" s="171" t="str">
        <f>IFERROR(__xludf.DUMMYFUNCTION("""COMPUTED_VALUE"""),"565244")</f>
        <v>565244</v>
      </c>
      <c r="E17" s="8" t="str">
        <f>IFERROR(__xludf.DUMMYFUNCTION("""COMPUTED_VALUE"""),"Cremiges Tomaten-Risotto")</f>
        <v>Cremiges Tomaten-Risotto</v>
      </c>
      <c r="F17" s="190">
        <f>IFERROR(__xludf.DUMMYFUNCTION("""COMPUTED_VALUE"""),279.0)</f>
        <v>279</v>
      </c>
      <c r="G17" s="190">
        <f>IFERROR(__xludf.DUMMYFUNCTION("""COMPUTED_VALUE"""),272.0)</f>
        <v>272</v>
      </c>
      <c r="H17" s="190">
        <f>IFERROR(__xludf.DUMMYFUNCTION("""COMPUTED_VALUE"""),296.0)</f>
        <v>296</v>
      </c>
      <c r="I17" s="190">
        <f>IFERROR(__xludf.DUMMYFUNCTION("""COMPUTED_VALUE"""),317.0)</f>
        <v>317</v>
      </c>
      <c r="J17" s="190">
        <f>IFERROR(__xludf.DUMMYFUNCTION("""COMPUTED_VALUE"""),333.0)</f>
        <v>333</v>
      </c>
      <c r="K17" s="8"/>
      <c r="L17" s="190">
        <f>IFERROR(__xludf.DUMMYFUNCTION("""COMPUTED_VALUE"""),326.0)</f>
        <v>326</v>
      </c>
      <c r="M17" s="190">
        <f>IFERROR(__xludf.DUMMYFUNCTION("""COMPUTED_VALUE"""),330.0)</f>
        <v>330</v>
      </c>
      <c r="N17" s="8"/>
      <c r="O17" s="191">
        <f>IFERROR(__xludf.DUMMYFUNCTION("""COMPUTED_VALUE"""),368.0)</f>
        <v>368</v>
      </c>
      <c r="P17" s="8"/>
      <c r="Q17" s="195" t="str">
        <f t="shared" si="3"/>
        <v>565244 - Cremiges Tomaten-Risotto</v>
      </c>
      <c r="R17" s="8" t="str">
        <f t="shared" si="4"/>
        <v>CON-00-136629-3</v>
      </c>
      <c r="S17" s="193">
        <f t="shared" si="5"/>
        <v>368</v>
      </c>
      <c r="T17" s="30" t="str">
        <f t="shared" si="6"/>
        <v>565244 - Cremiges Tomaten-Risotto</v>
      </c>
      <c r="U17" s="31">
        <f t="shared" si="1"/>
        <v>368</v>
      </c>
      <c r="V17" s="32" t="str">
        <f t="shared" ref="V17:Y17" si="20">IF($U17="","","0")</f>
        <v>0</v>
      </c>
      <c r="W17" s="32" t="str">
        <f t="shared" si="20"/>
        <v>0</v>
      </c>
      <c r="X17" s="32" t="str">
        <f t="shared" si="20"/>
        <v>0</v>
      </c>
      <c r="Y17" s="32" t="str">
        <f t="shared" si="20"/>
        <v>0</v>
      </c>
      <c r="Z17" s="30"/>
      <c r="AA17" s="30"/>
      <c r="AB17" s="33"/>
      <c r="AC17" s="30"/>
      <c r="AD17" s="12"/>
      <c r="AE17" s="34" t="str">
        <f t="shared" si="8"/>
        <v>309_1p</v>
      </c>
      <c r="AF17" s="34" t="str">
        <f t="shared" si="9"/>
        <v>565244 - Cremiges Tomaten-Risotto</v>
      </c>
      <c r="AG17" s="34" t="str">
        <f t="shared" si="10"/>
        <v>CON-00-136629-3</v>
      </c>
      <c r="AH17" s="26" t="str">
        <f t="shared" si="11"/>
        <v>ASL1</v>
      </c>
      <c r="AI17" s="34"/>
      <c r="AJ17" s="26" t="str">
        <f t="shared" si="12"/>
        <v>1</v>
      </c>
      <c r="AK17" s="34"/>
      <c r="AL17" s="26" t="str">
        <f t="shared" si="13"/>
        <v>Chilled</v>
      </c>
    </row>
    <row r="18">
      <c r="A18" s="195" t="str">
        <f>IFERROR(__xludf.DUMMYFUNCTION("""COMPUTED_VALUE"""),"W19")</f>
        <v>W19</v>
      </c>
      <c r="B18" s="185">
        <f>IFERROR(__xludf.DUMMYFUNCTION("""COMPUTED_VALUE"""),310.0)</f>
        <v>310</v>
      </c>
      <c r="C18" s="8" t="str">
        <f>IFERROR(__xludf.DUMMYFUNCTION("""COMPUTED_VALUE"""),"CON-00-136634-3")</f>
        <v>CON-00-136634-3</v>
      </c>
      <c r="D18" s="171" t="str">
        <f>IFERROR(__xludf.DUMMYFUNCTION("""COMPUTED_VALUE"""),"565141")</f>
        <v>565141</v>
      </c>
      <c r="E18" s="8" t="str">
        <f>IFERROR(__xludf.DUMMYFUNCTION("""COMPUTED_VALUE"""),"Zucchini-Paprika-Ratatouille")</f>
        <v>Zucchini-Paprika-Ratatouille</v>
      </c>
      <c r="F18" s="190">
        <f>IFERROR(__xludf.DUMMYFUNCTION("""COMPUTED_VALUE"""),317.0)</f>
        <v>317</v>
      </c>
      <c r="G18" s="190">
        <f>IFERROR(__xludf.DUMMYFUNCTION("""COMPUTED_VALUE"""),292.0)</f>
        <v>292</v>
      </c>
      <c r="H18" s="190">
        <f>IFERROR(__xludf.DUMMYFUNCTION("""COMPUTED_VALUE"""),316.0)</f>
        <v>316</v>
      </c>
      <c r="I18" s="190">
        <f>IFERROR(__xludf.DUMMYFUNCTION("""COMPUTED_VALUE"""),280.0)</f>
        <v>280</v>
      </c>
      <c r="J18" s="190">
        <f>IFERROR(__xludf.DUMMYFUNCTION("""COMPUTED_VALUE"""),314.0)</f>
        <v>314</v>
      </c>
      <c r="K18" s="8"/>
      <c r="L18" s="190">
        <f>IFERROR(__xludf.DUMMYFUNCTION("""COMPUTED_VALUE"""),293.0)</f>
        <v>293</v>
      </c>
      <c r="M18" s="190">
        <f>IFERROR(__xludf.DUMMYFUNCTION("""COMPUTED_VALUE"""),282.0)</f>
        <v>282</v>
      </c>
      <c r="N18" s="8"/>
      <c r="O18" s="191">
        <f>IFERROR(__xludf.DUMMYFUNCTION("""COMPUTED_VALUE"""),298.0)</f>
        <v>298</v>
      </c>
      <c r="P18" s="8"/>
      <c r="Q18" s="195" t="str">
        <f t="shared" si="3"/>
        <v>565141 - Zucchini-Paprika-Ratatouille</v>
      </c>
      <c r="R18" s="8" t="str">
        <f t="shared" si="4"/>
        <v>CON-00-136634-3</v>
      </c>
      <c r="S18" s="193">
        <f t="shared" si="5"/>
        <v>298</v>
      </c>
      <c r="T18" s="30" t="str">
        <f t="shared" si="6"/>
        <v>565141 - Zucchini-Paprika-Ratatouille</v>
      </c>
      <c r="U18" s="31">
        <f t="shared" si="1"/>
        <v>298</v>
      </c>
      <c r="V18" s="32" t="str">
        <f t="shared" ref="V18:Y18" si="21">IF($U18="","","0")</f>
        <v>0</v>
      </c>
      <c r="W18" s="32" t="str">
        <f t="shared" si="21"/>
        <v>0</v>
      </c>
      <c r="X18" s="32" t="str">
        <f t="shared" si="21"/>
        <v>0</v>
      </c>
      <c r="Y18" s="32" t="str">
        <f t="shared" si="21"/>
        <v>0</v>
      </c>
      <c r="Z18" s="30"/>
      <c r="AA18" s="30"/>
      <c r="AB18" s="33"/>
      <c r="AC18" s="30"/>
      <c r="AD18" s="12"/>
      <c r="AE18" s="34" t="str">
        <f t="shared" si="8"/>
        <v>310_1p</v>
      </c>
      <c r="AF18" s="34" t="str">
        <f t="shared" si="9"/>
        <v>565141 - Zucchini-Paprika-Ratatouille</v>
      </c>
      <c r="AG18" s="34" t="str">
        <f t="shared" si="10"/>
        <v>CON-00-136634-3</v>
      </c>
      <c r="AH18" s="26" t="str">
        <f t="shared" si="11"/>
        <v>ASL1</v>
      </c>
      <c r="AI18" s="34"/>
      <c r="AJ18" s="26" t="str">
        <f t="shared" si="12"/>
        <v>1</v>
      </c>
      <c r="AK18" s="34"/>
      <c r="AL18" s="26" t="str">
        <f t="shared" si="13"/>
        <v>Chilled</v>
      </c>
    </row>
    <row r="19">
      <c r="A19" s="195" t="str">
        <f>IFERROR(__xludf.DUMMYFUNCTION("""COMPUTED_VALUE"""),"W19")</f>
        <v>W19</v>
      </c>
      <c r="B19" s="185">
        <f>IFERROR(__xludf.DUMMYFUNCTION("""COMPUTED_VALUE"""),311.0)</f>
        <v>311</v>
      </c>
      <c r="C19" s="8" t="str">
        <f>IFERROR(__xludf.DUMMYFUNCTION("""COMPUTED_VALUE"""),"CON-00-136637-3")</f>
        <v>CON-00-136637-3</v>
      </c>
      <c r="D19" s="171" t="str">
        <f>IFERROR(__xludf.DUMMYFUNCTION("""COMPUTED_VALUE"""),"565143")</f>
        <v>565143</v>
      </c>
      <c r="E19" s="8" t="str">
        <f>IFERROR(__xludf.DUMMYFUNCTION("""COMPUTED_VALUE"""),"Schweinefilet in cremiger Knoblauch-Senf-Sauce")</f>
        <v>Schweinefilet in cremiger Knoblauch-Senf-Sauce</v>
      </c>
      <c r="F19" s="190">
        <f>IFERROR(__xludf.DUMMYFUNCTION("""COMPUTED_VALUE"""),419.0)</f>
        <v>419</v>
      </c>
      <c r="G19" s="190">
        <f>IFERROR(__xludf.DUMMYFUNCTION("""COMPUTED_VALUE"""),315.0)</f>
        <v>315</v>
      </c>
      <c r="H19" s="190">
        <f>IFERROR(__xludf.DUMMYFUNCTION("""COMPUTED_VALUE"""),344.0)</f>
        <v>344</v>
      </c>
      <c r="I19" s="190">
        <f>IFERROR(__xludf.DUMMYFUNCTION("""COMPUTED_VALUE"""),464.0)</f>
        <v>464</v>
      </c>
      <c r="J19" s="190">
        <f>IFERROR(__xludf.DUMMYFUNCTION("""COMPUTED_VALUE"""),606.0)</f>
        <v>606</v>
      </c>
      <c r="K19" s="8"/>
      <c r="L19" s="190">
        <f>IFERROR(__xludf.DUMMYFUNCTION("""COMPUTED_VALUE"""),598.0)</f>
        <v>598</v>
      </c>
      <c r="M19" s="190">
        <f>IFERROR(__xludf.DUMMYFUNCTION("""COMPUTED_VALUE"""),626.0)</f>
        <v>626</v>
      </c>
      <c r="N19" s="8"/>
      <c r="O19" s="191">
        <f>IFERROR(__xludf.DUMMYFUNCTION("""COMPUTED_VALUE"""),517.0)</f>
        <v>517</v>
      </c>
      <c r="P19" s="8"/>
      <c r="Q19" s="195" t="str">
        <f t="shared" si="3"/>
        <v>565143 - Schweinefilet in cremiger Knoblauch-Senf-Sauce</v>
      </c>
      <c r="R19" s="8" t="str">
        <f t="shared" si="4"/>
        <v>CON-00-136637-3</v>
      </c>
      <c r="S19" s="193">
        <f t="shared" si="5"/>
        <v>517</v>
      </c>
      <c r="T19" s="30" t="str">
        <f t="shared" si="6"/>
        <v>565143 - Schweinefilet in cremiger Knoblauch-Senf-Sauce</v>
      </c>
      <c r="U19" s="31">
        <f t="shared" si="1"/>
        <v>517</v>
      </c>
      <c r="V19" s="32" t="str">
        <f t="shared" ref="V19:Y19" si="22">IF($U19="","","0")</f>
        <v>0</v>
      </c>
      <c r="W19" s="32" t="str">
        <f t="shared" si="22"/>
        <v>0</v>
      </c>
      <c r="X19" s="32" t="str">
        <f t="shared" si="22"/>
        <v>0</v>
      </c>
      <c r="Y19" s="32" t="str">
        <f t="shared" si="22"/>
        <v>0</v>
      </c>
      <c r="Z19" s="30"/>
      <c r="AA19" s="30"/>
      <c r="AB19" s="33"/>
      <c r="AC19" s="30"/>
      <c r="AD19" s="12"/>
      <c r="AE19" s="34" t="str">
        <f t="shared" si="8"/>
        <v>311_1p</v>
      </c>
      <c r="AF19" s="34" t="str">
        <f t="shared" si="9"/>
        <v>565143 - Schweinefilet in cremiger Knoblauch-Senf-Sauce</v>
      </c>
      <c r="AG19" s="34" t="str">
        <f t="shared" si="10"/>
        <v>CON-00-136637-3</v>
      </c>
      <c r="AH19" s="26" t="str">
        <f t="shared" si="11"/>
        <v>ASL1</v>
      </c>
      <c r="AI19" s="34"/>
      <c r="AJ19" s="26" t="str">
        <f t="shared" si="12"/>
        <v>1</v>
      </c>
      <c r="AK19" s="34"/>
      <c r="AL19" s="26" t="str">
        <f t="shared" si="13"/>
        <v>Chilled</v>
      </c>
    </row>
    <row r="20">
      <c r="A20" s="195" t="str">
        <f>IFERROR(__xludf.DUMMYFUNCTION("""COMPUTED_VALUE"""),"W19")</f>
        <v>W19</v>
      </c>
      <c r="B20" s="185">
        <f>IFERROR(__xludf.DUMMYFUNCTION("""COMPUTED_VALUE"""),312.0)</f>
        <v>312</v>
      </c>
      <c r="C20" s="8" t="str">
        <f>IFERROR(__xludf.DUMMYFUNCTION("""COMPUTED_VALUE"""),"CON-00-151278-2")</f>
        <v>CON-00-151278-2</v>
      </c>
      <c r="D20" s="171" t="str">
        <f>IFERROR(__xludf.DUMMYFUNCTION("""COMPUTED_VALUE"""),"565196")</f>
        <v>565196</v>
      </c>
      <c r="E20" s="8" t="str">
        <f>IFERROR(__xludf.DUMMYFUNCTION("""COMPUTED_VALUE"""),"Ají Verde Lachs")</f>
        <v>Ají Verde Lachs</v>
      </c>
      <c r="F20" s="190">
        <f>IFERROR(__xludf.DUMMYFUNCTION("""COMPUTED_VALUE"""),0.0)</f>
        <v>0</v>
      </c>
      <c r="G20" s="190">
        <f>IFERROR(__xludf.DUMMYFUNCTION("""COMPUTED_VALUE"""),1272.0)</f>
        <v>1272</v>
      </c>
      <c r="H20" s="190">
        <f>IFERROR(__xludf.DUMMYFUNCTION("""COMPUTED_VALUE"""),1396.0)</f>
        <v>1396</v>
      </c>
      <c r="I20" s="190">
        <f>IFERROR(__xludf.DUMMYFUNCTION("""COMPUTED_VALUE"""),1217.0)</f>
        <v>1217</v>
      </c>
      <c r="J20" s="190">
        <f>IFERROR(__xludf.DUMMYFUNCTION("""COMPUTED_VALUE"""),1282.0)</f>
        <v>1282</v>
      </c>
      <c r="K20" s="8"/>
      <c r="L20" s="190">
        <f>IFERROR(__xludf.DUMMYFUNCTION("""COMPUTED_VALUE"""),1282.0)</f>
        <v>1282</v>
      </c>
      <c r="M20" s="190">
        <f>IFERROR(__xludf.DUMMYFUNCTION("""COMPUTED_VALUE"""),1238.0)</f>
        <v>1238</v>
      </c>
      <c r="N20" s="8"/>
      <c r="O20" s="191">
        <f>IFERROR(__xludf.DUMMYFUNCTION("""COMPUTED_VALUE"""),1180.0)</f>
        <v>1180</v>
      </c>
      <c r="P20" s="8"/>
      <c r="Q20" s="195" t="str">
        <f t="shared" si="3"/>
        <v>565196 - Ají Verde Lachs</v>
      </c>
      <c r="R20" s="8" t="str">
        <f t="shared" si="4"/>
        <v>CON-00-151278-2</v>
      </c>
      <c r="S20" s="193">
        <f t="shared" si="5"/>
        <v>1180</v>
      </c>
      <c r="T20" s="30" t="str">
        <f t="shared" si="6"/>
        <v>565196 - Ají Verde Lachs</v>
      </c>
      <c r="U20" s="31">
        <f t="shared" si="1"/>
        <v>1180</v>
      </c>
      <c r="V20" s="32" t="str">
        <f t="shared" ref="V20:Y20" si="23">IF($U20="","","0")</f>
        <v>0</v>
      </c>
      <c r="W20" s="32" t="str">
        <f t="shared" si="23"/>
        <v>0</v>
      </c>
      <c r="X20" s="32" t="str">
        <f t="shared" si="23"/>
        <v>0</v>
      </c>
      <c r="Y20" s="32" t="str">
        <f t="shared" si="23"/>
        <v>0</v>
      </c>
      <c r="Z20" s="30"/>
      <c r="AA20" s="30"/>
      <c r="AB20" s="33"/>
      <c r="AC20" s="30"/>
      <c r="AD20" s="12"/>
      <c r="AE20" s="34" t="str">
        <f t="shared" si="8"/>
        <v>312_1p</v>
      </c>
      <c r="AF20" s="34" t="str">
        <f t="shared" si="9"/>
        <v>565196 - Ají Verde Lachs</v>
      </c>
      <c r="AG20" s="34" t="str">
        <f t="shared" si="10"/>
        <v>CON-00-151278-2</v>
      </c>
      <c r="AH20" s="26" t="str">
        <f t="shared" si="11"/>
        <v>ASL1</v>
      </c>
      <c r="AI20" s="34"/>
      <c r="AJ20" s="26" t="str">
        <f t="shared" si="12"/>
        <v>1</v>
      </c>
      <c r="AK20" s="34"/>
      <c r="AL20" s="26" t="str">
        <f t="shared" si="13"/>
        <v>Chilled</v>
      </c>
    </row>
    <row r="21">
      <c r="A21" s="195" t="str">
        <f>IFERROR(__xludf.DUMMYFUNCTION("""COMPUTED_VALUE"""),"W19")</f>
        <v>W19</v>
      </c>
      <c r="B21" s="185">
        <f>IFERROR(__xludf.DUMMYFUNCTION("""COMPUTED_VALUE"""),313.0)</f>
        <v>313</v>
      </c>
      <c r="C21" s="8" t="str">
        <f>IFERROR(__xludf.DUMMYFUNCTION("""COMPUTED_VALUE"""),"CON-00-138152-2")</f>
        <v>CON-00-138152-2</v>
      </c>
      <c r="D21" s="171" t="str">
        <f>IFERROR(__xludf.DUMMYFUNCTION("""COMPUTED_VALUE"""),"565130")</f>
        <v>565130</v>
      </c>
      <c r="E21" s="8" t="str">
        <f>IFERROR(__xludf.DUMMYFUNCTION("""COMPUTED_VALUE"""),"Pulled Pork mit roter Chilisauce")</f>
        <v>Pulled Pork mit roter Chilisauce</v>
      </c>
      <c r="F21" s="8"/>
      <c r="G21" s="8"/>
      <c r="H21" s="190">
        <f>IFERROR(__xludf.DUMMYFUNCTION("""COMPUTED_VALUE"""),1536.0)</f>
        <v>1536</v>
      </c>
      <c r="I21" s="190">
        <f>IFERROR(__xludf.DUMMYFUNCTION("""COMPUTED_VALUE"""),1163.0)</f>
        <v>1163</v>
      </c>
      <c r="J21" s="190">
        <f>IFERROR(__xludf.DUMMYFUNCTION("""COMPUTED_VALUE"""),1313.0)</f>
        <v>1313</v>
      </c>
      <c r="K21" s="8"/>
      <c r="L21" s="190">
        <f>IFERROR(__xludf.DUMMYFUNCTION("""COMPUTED_VALUE"""),1276.0)</f>
        <v>1276</v>
      </c>
      <c r="M21" s="190">
        <f>IFERROR(__xludf.DUMMYFUNCTION("""COMPUTED_VALUE"""),1272.0)</f>
        <v>1272</v>
      </c>
      <c r="N21" s="8"/>
      <c r="O21" s="191">
        <f>IFERROR(__xludf.DUMMYFUNCTION("""COMPUTED_VALUE"""),1195.0)</f>
        <v>1195</v>
      </c>
      <c r="P21" s="8"/>
      <c r="Q21" s="195" t="str">
        <f t="shared" si="3"/>
        <v>565130 - Pulled Pork mit roter Chilisauce</v>
      </c>
      <c r="R21" s="8" t="str">
        <f t="shared" si="4"/>
        <v>CON-00-138152-2</v>
      </c>
      <c r="S21" s="193">
        <f t="shared" si="5"/>
        <v>1195</v>
      </c>
      <c r="T21" s="30" t="str">
        <f t="shared" si="6"/>
        <v>565130 - Pulled Pork mit roter Chilisauce</v>
      </c>
      <c r="U21" s="31">
        <f t="shared" si="1"/>
        <v>1195</v>
      </c>
      <c r="V21" s="32" t="str">
        <f t="shared" ref="V21:Y21" si="24">IF($U21="","","0")</f>
        <v>0</v>
      </c>
      <c r="W21" s="32" t="str">
        <f t="shared" si="24"/>
        <v>0</v>
      </c>
      <c r="X21" s="32" t="str">
        <f t="shared" si="24"/>
        <v>0</v>
      </c>
      <c r="Y21" s="32" t="str">
        <f t="shared" si="24"/>
        <v>0</v>
      </c>
      <c r="Z21" s="30"/>
      <c r="AA21" s="30"/>
      <c r="AB21" s="33"/>
      <c r="AC21" s="30"/>
      <c r="AD21" s="12"/>
      <c r="AE21" s="34" t="str">
        <f t="shared" si="8"/>
        <v>313_1p</v>
      </c>
      <c r="AF21" s="34" t="str">
        <f t="shared" si="9"/>
        <v>565130 - Pulled Pork mit roter Chilisauce</v>
      </c>
      <c r="AG21" s="34" t="str">
        <f t="shared" si="10"/>
        <v>CON-00-138152-2</v>
      </c>
      <c r="AH21" s="26" t="str">
        <f t="shared" si="11"/>
        <v>ASL1</v>
      </c>
      <c r="AI21" s="34"/>
      <c r="AJ21" s="26" t="str">
        <f t="shared" si="12"/>
        <v>1</v>
      </c>
      <c r="AK21" s="34"/>
      <c r="AL21" s="26" t="str">
        <f t="shared" si="13"/>
        <v>Chilled</v>
      </c>
    </row>
    <row r="22">
      <c r="A22" s="195" t="str">
        <f>IFERROR(__xludf.DUMMYFUNCTION("""COMPUTED_VALUE"""),"W19")</f>
        <v>W19</v>
      </c>
      <c r="B22" s="185">
        <f>IFERROR(__xludf.DUMMYFUNCTION("""COMPUTED_VALUE"""),314.0)</f>
        <v>314</v>
      </c>
      <c r="C22" s="8" t="str">
        <f>IFERROR(__xludf.DUMMYFUNCTION("""COMPUTED_VALUE"""),"CON-00-152024-2")</f>
        <v>CON-00-152024-2</v>
      </c>
      <c r="D22" s="171" t="str">
        <f>IFERROR(__xludf.DUMMYFUNCTION("""COMPUTED_VALUE"""),"565211")</f>
        <v>565211</v>
      </c>
      <c r="E22" s="8" t="str">
        <f>IFERROR(__xludf.DUMMYFUNCTION("""COMPUTED_VALUE"""),"Gegrilltes Hähnchen in Ingwer-Knoblauch-Marinade")</f>
        <v>Gegrilltes Hähnchen in Ingwer-Knoblauch-Marinade</v>
      </c>
      <c r="F22" s="8"/>
      <c r="G22" s="8"/>
      <c r="H22" s="190">
        <f>IFERROR(__xludf.DUMMYFUNCTION("""COMPUTED_VALUE"""),749.0)</f>
        <v>749</v>
      </c>
      <c r="I22" s="190">
        <f>IFERROR(__xludf.DUMMYFUNCTION("""COMPUTED_VALUE"""),547.0)</f>
        <v>547</v>
      </c>
      <c r="J22" s="190">
        <f>IFERROR(__xludf.DUMMYFUNCTION("""COMPUTED_VALUE"""),668.0)</f>
        <v>668</v>
      </c>
      <c r="K22" s="8"/>
      <c r="L22" s="190">
        <f>IFERROR(__xludf.DUMMYFUNCTION("""COMPUTED_VALUE"""),670.0)</f>
        <v>670</v>
      </c>
      <c r="M22" s="190">
        <f>IFERROR(__xludf.DUMMYFUNCTION("""COMPUTED_VALUE"""),694.0)</f>
        <v>694</v>
      </c>
      <c r="N22" s="8"/>
      <c r="O22" s="191">
        <f>IFERROR(__xludf.DUMMYFUNCTION("""COMPUTED_VALUE"""),627.0)</f>
        <v>627</v>
      </c>
      <c r="P22" s="8"/>
      <c r="Q22" s="195" t="str">
        <f t="shared" si="3"/>
        <v>565211 - Gegrilltes Hähnchen in Ingwer-Knoblauch-Marinade</v>
      </c>
      <c r="R22" s="8" t="str">
        <f t="shared" si="4"/>
        <v>CON-00-152024-2</v>
      </c>
      <c r="S22" s="193">
        <f t="shared" si="5"/>
        <v>627</v>
      </c>
      <c r="T22" s="30" t="str">
        <f t="shared" si="6"/>
        <v>565211 - Gegrilltes Hähnchen in Ingwer-Knoblauch-Marinade</v>
      </c>
      <c r="U22" s="31">
        <f t="shared" si="1"/>
        <v>627</v>
      </c>
      <c r="V22" s="32" t="str">
        <f t="shared" ref="V22:Y22" si="25">IF($U22="","","0")</f>
        <v>0</v>
      </c>
      <c r="W22" s="32" t="str">
        <f t="shared" si="25"/>
        <v>0</v>
      </c>
      <c r="X22" s="32" t="str">
        <f t="shared" si="25"/>
        <v>0</v>
      </c>
      <c r="Y22" s="32" t="str">
        <f t="shared" si="25"/>
        <v>0</v>
      </c>
      <c r="Z22" s="30"/>
      <c r="AA22" s="30"/>
      <c r="AB22" s="33"/>
      <c r="AC22" s="30"/>
      <c r="AD22" s="12"/>
      <c r="AE22" s="34" t="str">
        <f t="shared" si="8"/>
        <v>314_1p</v>
      </c>
      <c r="AF22" s="34" t="str">
        <f t="shared" si="9"/>
        <v>565211 - Gegrilltes Hähnchen in Ingwer-Knoblauch-Marinade</v>
      </c>
      <c r="AG22" s="34" t="str">
        <f t="shared" si="10"/>
        <v>CON-00-152024-2</v>
      </c>
      <c r="AH22" s="26" t="str">
        <f t="shared" si="11"/>
        <v>ASL1</v>
      </c>
      <c r="AI22" s="34"/>
      <c r="AJ22" s="26" t="str">
        <f t="shared" si="12"/>
        <v>1</v>
      </c>
      <c r="AK22" s="34"/>
      <c r="AL22" s="26" t="str">
        <f t="shared" si="13"/>
        <v>Chilled</v>
      </c>
    </row>
    <row r="23">
      <c r="A23" s="195" t="str">
        <f>IFERROR(__xludf.DUMMYFUNCTION("""COMPUTED_VALUE"""),"W19")</f>
        <v>W19</v>
      </c>
      <c r="B23" s="185">
        <f>IFERROR(__xludf.DUMMYFUNCTION("""COMPUTED_VALUE"""),315.0)</f>
        <v>315</v>
      </c>
      <c r="C23" s="8" t="str">
        <f>IFERROR(__xludf.DUMMYFUNCTION("""COMPUTED_VALUE"""),"CON-00-136694-3")</f>
        <v>CON-00-136694-3</v>
      </c>
      <c r="D23" s="171" t="str">
        <f>IFERROR(__xludf.DUMMYFUNCTION("""COMPUTED_VALUE"""),"565091")</f>
        <v>565091</v>
      </c>
      <c r="E23" s="8" t="str">
        <f>IFERROR(__xludf.DUMMYFUNCTION("""COMPUTED_VALUE"""),"Scharfes Rinderhack mit Jalapeños")</f>
        <v>Scharfes Rinderhack mit Jalapeños</v>
      </c>
      <c r="F23" s="190">
        <f>IFERROR(__xludf.DUMMYFUNCTION("""COMPUTED_VALUE"""),759.0)</f>
        <v>759</v>
      </c>
      <c r="G23" s="190">
        <f>IFERROR(__xludf.DUMMYFUNCTION("""COMPUTED_VALUE"""),763.0)</f>
        <v>763</v>
      </c>
      <c r="H23" s="190">
        <f>IFERROR(__xludf.DUMMYFUNCTION("""COMPUTED_VALUE"""),836.0)</f>
        <v>836</v>
      </c>
      <c r="I23" s="190">
        <f>IFERROR(__xludf.DUMMYFUNCTION("""COMPUTED_VALUE"""),538.0)</f>
        <v>538</v>
      </c>
      <c r="J23" s="190">
        <f>IFERROR(__xludf.DUMMYFUNCTION("""COMPUTED_VALUE"""),644.0)</f>
        <v>644</v>
      </c>
      <c r="K23" s="8"/>
      <c r="L23" s="190">
        <f>IFERROR(__xludf.DUMMYFUNCTION("""COMPUTED_VALUE"""),678.0)</f>
        <v>678</v>
      </c>
      <c r="M23" s="190">
        <f>IFERROR(__xludf.DUMMYFUNCTION("""COMPUTED_VALUE"""),693.0)</f>
        <v>693</v>
      </c>
      <c r="N23" s="8"/>
      <c r="O23" s="191">
        <f>IFERROR(__xludf.DUMMYFUNCTION("""COMPUTED_VALUE"""),561.0)</f>
        <v>561</v>
      </c>
      <c r="P23" s="8"/>
      <c r="Q23" s="195" t="str">
        <f t="shared" si="3"/>
        <v>565091 - Scharfes Rinderhack mit Jalapeños</v>
      </c>
      <c r="R23" s="8" t="str">
        <f t="shared" si="4"/>
        <v>CON-00-136694-3</v>
      </c>
      <c r="S23" s="193">
        <f t="shared" si="5"/>
        <v>561</v>
      </c>
      <c r="T23" s="30" t="str">
        <f t="shared" si="6"/>
        <v>565091 - Scharfes Rinderhack mit Jalapeños</v>
      </c>
      <c r="U23" s="31">
        <f t="shared" si="1"/>
        <v>561</v>
      </c>
      <c r="V23" s="32" t="str">
        <f t="shared" ref="V23:Y23" si="26">IF($U23="","","0")</f>
        <v>0</v>
      </c>
      <c r="W23" s="32" t="str">
        <f t="shared" si="26"/>
        <v>0</v>
      </c>
      <c r="X23" s="32" t="str">
        <f t="shared" si="26"/>
        <v>0</v>
      </c>
      <c r="Y23" s="32" t="str">
        <f t="shared" si="26"/>
        <v>0</v>
      </c>
      <c r="Z23" s="30"/>
      <c r="AA23" s="30"/>
      <c r="AB23" s="33"/>
      <c r="AC23" s="30"/>
      <c r="AE23" s="34" t="str">
        <f t="shared" si="8"/>
        <v>315_1p</v>
      </c>
      <c r="AF23" s="34" t="str">
        <f t="shared" si="9"/>
        <v>565091 - Scharfes Rinderhack mit Jalapeños</v>
      </c>
      <c r="AG23" s="34" t="str">
        <f t="shared" si="10"/>
        <v>CON-00-136694-3</v>
      </c>
      <c r="AH23" s="26" t="str">
        <f t="shared" si="11"/>
        <v>ASL1</v>
      </c>
      <c r="AI23" s="34"/>
      <c r="AJ23" s="26" t="str">
        <f t="shared" si="12"/>
        <v>1</v>
      </c>
      <c r="AK23" s="34"/>
      <c r="AL23" s="26" t="str">
        <f t="shared" si="13"/>
        <v>Chilled</v>
      </c>
    </row>
    <row r="24">
      <c r="A24" s="196" t="str">
        <f>IFERROR(__xludf.DUMMYFUNCTION("""COMPUTED_VALUE"""),"W19")</f>
        <v>W19</v>
      </c>
      <c r="B24" s="185">
        <f>IFERROR(__xludf.DUMMYFUNCTION("""COMPUTED_VALUE"""),316.0)</f>
        <v>316</v>
      </c>
      <c r="C24" s="4" t="str">
        <f>IFERROR(__xludf.DUMMYFUNCTION("""COMPUTED_VALUE"""),"CON-00-154547-2")</f>
        <v>CON-00-154547-2</v>
      </c>
      <c r="D24" s="70" t="str">
        <f>IFERROR(__xludf.DUMMYFUNCTION("""COMPUTED_VALUE"""),"565221")</f>
        <v>565221</v>
      </c>
      <c r="E24" s="4" t="str">
        <f>IFERROR(__xludf.DUMMYFUNCTION("""COMPUTED_VALUE"""),"Lachs-Bowl mit Zitrus-Miso")</f>
        <v>Lachs-Bowl mit Zitrus-Miso</v>
      </c>
      <c r="F24" s="4"/>
      <c r="G24" s="4"/>
      <c r="H24" s="190">
        <f>IFERROR(__xludf.DUMMYFUNCTION("""COMPUTED_VALUE"""),533.0)</f>
        <v>533</v>
      </c>
      <c r="I24" s="190">
        <f>IFERROR(__xludf.DUMMYFUNCTION("""COMPUTED_VALUE"""),727.0)</f>
        <v>727</v>
      </c>
      <c r="J24" s="190">
        <f>IFERROR(__xludf.DUMMYFUNCTION("""COMPUTED_VALUE"""),810.0)</f>
        <v>810</v>
      </c>
      <c r="K24" s="4"/>
      <c r="L24" s="190">
        <f>IFERROR(__xludf.DUMMYFUNCTION("""COMPUTED_VALUE"""),773.0)</f>
        <v>773</v>
      </c>
      <c r="M24" s="190">
        <f>IFERROR(__xludf.DUMMYFUNCTION("""COMPUTED_VALUE"""),773.0)</f>
        <v>773</v>
      </c>
      <c r="N24" s="4"/>
      <c r="O24" s="191">
        <f>IFERROR(__xludf.DUMMYFUNCTION("""COMPUTED_VALUE"""),695.0)</f>
        <v>695</v>
      </c>
      <c r="P24" s="8"/>
      <c r="Q24" s="195" t="str">
        <f t="shared" si="3"/>
        <v>565221 - Lachs-Bowl mit Zitrus-Miso</v>
      </c>
      <c r="R24" s="8" t="str">
        <f t="shared" si="4"/>
        <v>CON-00-154547-2</v>
      </c>
      <c r="S24" s="193">
        <f t="shared" si="5"/>
        <v>695</v>
      </c>
      <c r="T24" s="30" t="str">
        <f t="shared" si="6"/>
        <v>565221 - Lachs-Bowl mit Zitrus-Miso</v>
      </c>
      <c r="U24" s="31">
        <f t="shared" si="1"/>
        <v>695</v>
      </c>
      <c r="V24" s="32" t="str">
        <f t="shared" ref="V24:Y24" si="27">IF($U24="","","0")</f>
        <v>0</v>
      </c>
      <c r="W24" s="32" t="str">
        <f t="shared" si="27"/>
        <v>0</v>
      </c>
      <c r="X24" s="32" t="str">
        <f t="shared" si="27"/>
        <v>0</v>
      </c>
      <c r="Y24" s="32" t="str">
        <f t="shared" si="27"/>
        <v>0</v>
      </c>
      <c r="Z24" s="30"/>
      <c r="AA24" s="30"/>
      <c r="AB24" s="33"/>
      <c r="AC24" s="30"/>
      <c r="AE24" s="34" t="str">
        <f t="shared" si="8"/>
        <v>316_1p</v>
      </c>
      <c r="AF24" s="34" t="str">
        <f t="shared" si="9"/>
        <v>565221 - Lachs-Bowl mit Zitrus-Miso</v>
      </c>
      <c r="AG24" s="34" t="str">
        <f t="shared" si="10"/>
        <v>CON-00-154547-2</v>
      </c>
      <c r="AH24" s="26" t="str">
        <f t="shared" si="11"/>
        <v>ASL1</v>
      </c>
      <c r="AI24" s="34"/>
      <c r="AJ24" s="26" t="str">
        <f t="shared" si="12"/>
        <v>1</v>
      </c>
      <c r="AK24" s="34"/>
      <c r="AL24" s="26" t="str">
        <f t="shared" si="13"/>
        <v>Chilled</v>
      </c>
    </row>
    <row r="25">
      <c r="A25" s="196" t="str">
        <f>IFERROR(__xludf.DUMMYFUNCTION("""COMPUTED_VALUE"""),"W19")</f>
        <v>W19</v>
      </c>
      <c r="B25" s="185">
        <f>IFERROR(__xludf.DUMMYFUNCTION("""COMPUTED_VALUE"""),317.0)</f>
        <v>317</v>
      </c>
      <c r="C25" s="4" t="str">
        <f>IFERROR(__xludf.DUMMYFUNCTION("""COMPUTED_VALUE"""),"CON-00-155185-3")</f>
        <v>CON-00-155185-3</v>
      </c>
      <c r="D25" s="70" t="str">
        <f>IFERROR(__xludf.DUMMYFUNCTION("""COMPUTED_VALUE"""),"565252")</f>
        <v>565252</v>
      </c>
      <c r="E25" s="4" t="str">
        <f>IFERROR(__xludf.DUMMYFUNCTION("""COMPUTED_VALUE"""),"Rinderragù mit sonnengetrockneten Tomaten und Pasta")</f>
        <v>Rinderragù mit sonnengetrockneten Tomaten und Pasta</v>
      </c>
      <c r="F25" s="190">
        <f>IFERROR(__xludf.DUMMYFUNCTION("""COMPUTED_VALUE"""),841.0)</f>
        <v>841</v>
      </c>
      <c r="G25" s="190">
        <f>IFERROR(__xludf.DUMMYFUNCTION("""COMPUTED_VALUE"""),803.0)</f>
        <v>803</v>
      </c>
      <c r="H25" s="190">
        <f>IFERROR(__xludf.DUMMYFUNCTION("""COMPUTED_VALUE"""),890.0)</f>
        <v>890</v>
      </c>
      <c r="I25" s="190">
        <f>IFERROR(__xludf.DUMMYFUNCTION("""COMPUTED_VALUE"""),1633.0)</f>
        <v>1633</v>
      </c>
      <c r="J25" s="190">
        <f>IFERROR(__xludf.DUMMYFUNCTION("""COMPUTED_VALUE"""),1788.0)</f>
        <v>1788</v>
      </c>
      <c r="K25" s="4"/>
      <c r="L25" s="190">
        <f>IFERROR(__xludf.DUMMYFUNCTION("""COMPUTED_VALUE"""),1733.0)</f>
        <v>1733</v>
      </c>
      <c r="M25" s="190">
        <f>IFERROR(__xludf.DUMMYFUNCTION("""COMPUTED_VALUE"""),1712.0)</f>
        <v>1712</v>
      </c>
      <c r="N25" s="4"/>
      <c r="O25" s="191">
        <f>IFERROR(__xludf.DUMMYFUNCTION("""COMPUTED_VALUE"""),1552.0)</f>
        <v>1552</v>
      </c>
      <c r="P25" s="8"/>
      <c r="Q25" s="195" t="str">
        <f t="shared" si="3"/>
        <v>565252 - Rinderragù mit sonnengetrockneten Tomaten und Pasta</v>
      </c>
      <c r="R25" s="8" t="str">
        <f t="shared" si="4"/>
        <v>CON-00-155185-3</v>
      </c>
      <c r="S25" s="193">
        <f t="shared" si="5"/>
        <v>1552</v>
      </c>
      <c r="T25" s="30" t="str">
        <f t="shared" si="6"/>
        <v>565252 - Rinderragù mit sonnengetrockneten Tomaten und Pasta</v>
      </c>
      <c r="U25" s="31">
        <f t="shared" si="1"/>
        <v>1552</v>
      </c>
      <c r="V25" s="32" t="str">
        <f t="shared" ref="V25:Y25" si="28">IF($U25="","","0")</f>
        <v>0</v>
      </c>
      <c r="W25" s="32" t="str">
        <f t="shared" si="28"/>
        <v>0</v>
      </c>
      <c r="X25" s="32" t="str">
        <f t="shared" si="28"/>
        <v>0</v>
      </c>
      <c r="Y25" s="32" t="str">
        <f t="shared" si="28"/>
        <v>0</v>
      </c>
      <c r="Z25" s="30"/>
      <c r="AA25" s="30"/>
      <c r="AB25" s="33"/>
      <c r="AC25" s="30"/>
      <c r="AE25" s="34" t="str">
        <f t="shared" si="8"/>
        <v>317_1p</v>
      </c>
      <c r="AF25" s="34" t="str">
        <f t="shared" si="9"/>
        <v>565252 - Rinderragù mit sonnengetrockneten Tomaten und Pasta</v>
      </c>
      <c r="AG25" s="34" t="str">
        <f t="shared" si="10"/>
        <v>CON-00-155185-3</v>
      </c>
      <c r="AH25" s="26" t="str">
        <f t="shared" si="11"/>
        <v>ASL1</v>
      </c>
      <c r="AI25" s="34"/>
      <c r="AJ25" s="26" t="str">
        <f t="shared" si="12"/>
        <v>1</v>
      </c>
      <c r="AK25" s="34"/>
      <c r="AL25" s="26" t="str">
        <f t="shared" si="13"/>
        <v>Chilled</v>
      </c>
    </row>
    <row r="26">
      <c r="A26" s="196" t="str">
        <f>IFERROR(__xludf.DUMMYFUNCTION("""COMPUTED_VALUE"""),"W19")</f>
        <v>W19</v>
      </c>
      <c r="B26" s="185">
        <f>IFERROR(__xludf.DUMMYFUNCTION("""COMPUTED_VALUE"""),318.0)</f>
        <v>318</v>
      </c>
      <c r="C26" s="4" t="str">
        <f>IFERROR(__xludf.DUMMYFUNCTION("""COMPUTED_VALUE"""),"CON-00-136696-3")</f>
        <v>CON-00-136696-3</v>
      </c>
      <c r="D26" s="70" t="str">
        <f>IFERROR(__xludf.DUMMYFUNCTION("""COMPUTED_VALUE"""),"565095")</f>
        <v>565095</v>
      </c>
      <c r="E26" s="4" t="str">
        <f>IFERROR(__xludf.DUMMYFUNCTION("""COMPUTED_VALUE"""),"Schweinefilet in würziger Ancho-Chili-Sauce")</f>
        <v>Schweinefilet in würziger Ancho-Chili-Sauce</v>
      </c>
      <c r="F26" s="190">
        <f>IFERROR(__xludf.DUMMYFUNCTION("""COMPUTED_VALUE"""),440.0)</f>
        <v>440</v>
      </c>
      <c r="G26" s="190">
        <f>IFERROR(__xludf.DUMMYFUNCTION("""COMPUTED_VALUE"""),392.0)</f>
        <v>392</v>
      </c>
      <c r="H26" s="190">
        <f>IFERROR(__xludf.DUMMYFUNCTION("""COMPUTED_VALUE"""),433.0)</f>
        <v>433</v>
      </c>
      <c r="I26" s="190">
        <f>IFERROR(__xludf.DUMMYFUNCTION("""COMPUTED_VALUE"""),436.0)</f>
        <v>436</v>
      </c>
      <c r="J26" s="190">
        <f>IFERROR(__xludf.DUMMYFUNCTION("""COMPUTED_VALUE"""),497.0)</f>
        <v>497</v>
      </c>
      <c r="K26" s="4"/>
      <c r="L26" s="190">
        <f>IFERROR(__xludf.DUMMYFUNCTION("""COMPUTED_VALUE"""),504.0)</f>
        <v>504</v>
      </c>
      <c r="M26" s="190">
        <f>IFERROR(__xludf.DUMMYFUNCTION("""COMPUTED_VALUE"""),525.0)</f>
        <v>525</v>
      </c>
      <c r="N26" s="4"/>
      <c r="O26" s="191">
        <f>IFERROR(__xludf.DUMMYFUNCTION("""COMPUTED_VALUE"""),457.0)</f>
        <v>457</v>
      </c>
      <c r="P26" s="8"/>
      <c r="Q26" s="195" t="str">
        <f t="shared" si="3"/>
        <v>565095 - Schweinefilet in würziger Ancho-Chili-Sauce</v>
      </c>
      <c r="R26" s="8" t="str">
        <f t="shared" si="4"/>
        <v>CON-00-136696-3</v>
      </c>
      <c r="S26" s="193">
        <f t="shared" si="5"/>
        <v>457</v>
      </c>
      <c r="T26" s="30" t="str">
        <f t="shared" si="6"/>
        <v>565095 - Schweinefilet in würziger Ancho-Chili-Sauce</v>
      </c>
      <c r="U26" s="31">
        <f t="shared" si="1"/>
        <v>457</v>
      </c>
      <c r="V26" s="32" t="str">
        <f t="shared" ref="V26:Y26" si="29">IF($U26="","","0")</f>
        <v>0</v>
      </c>
      <c r="W26" s="32" t="str">
        <f t="shared" si="29"/>
        <v>0</v>
      </c>
      <c r="X26" s="32" t="str">
        <f t="shared" si="29"/>
        <v>0</v>
      </c>
      <c r="Y26" s="32" t="str">
        <f t="shared" si="29"/>
        <v>0</v>
      </c>
      <c r="Z26" s="30"/>
      <c r="AA26" s="30"/>
      <c r="AB26" s="33"/>
      <c r="AC26" s="30"/>
      <c r="AE26" s="34" t="str">
        <f t="shared" si="8"/>
        <v>318_1p</v>
      </c>
      <c r="AF26" s="34" t="str">
        <f t="shared" si="9"/>
        <v>565095 - Schweinefilet in würziger Ancho-Chili-Sauce</v>
      </c>
      <c r="AG26" s="34" t="str">
        <f t="shared" si="10"/>
        <v>CON-00-136696-3</v>
      </c>
      <c r="AH26" s="26" t="str">
        <f t="shared" si="11"/>
        <v>ASL1</v>
      </c>
      <c r="AI26" s="34"/>
      <c r="AJ26" s="26" t="str">
        <f t="shared" si="12"/>
        <v>1</v>
      </c>
      <c r="AK26" s="34"/>
      <c r="AL26" s="26" t="str">
        <f t="shared" si="13"/>
        <v>Chilled</v>
      </c>
    </row>
    <row r="27">
      <c r="A27" s="196" t="str">
        <f>IFERROR(__xludf.DUMMYFUNCTION("""COMPUTED_VALUE"""),"W19")</f>
        <v>W19</v>
      </c>
      <c r="B27" s="185">
        <f>IFERROR(__xludf.DUMMYFUNCTION("""COMPUTED_VALUE"""),206.0)</f>
        <v>206</v>
      </c>
      <c r="C27" s="4" t="str">
        <f>IFERROR(__xludf.DUMMYFUNCTION("""COMPUTED_VALUE"""),"PTN-00-136930-3")</f>
        <v>PTN-00-136930-3</v>
      </c>
      <c r="D27" s="70" t="str">
        <f>IFERROR(__xludf.DUMMYFUNCTION("""COMPUTED_VALUE"""),"565119")</f>
        <v>565119</v>
      </c>
      <c r="E27" s="4" t="str">
        <f>IFERROR(__xludf.DUMMYFUNCTION("""COMPUTED_VALUE"""),"Gegrilltes Hähnchen mit Knoblauch-Kräutern")</f>
        <v>Gegrilltes Hähnchen mit Knoblauch-Kräutern</v>
      </c>
      <c r="F27" s="190">
        <f>IFERROR(__xludf.DUMMYFUNCTION("""COMPUTED_VALUE"""),67.0)</f>
        <v>67</v>
      </c>
      <c r="G27" s="190">
        <f>IFERROR(__xludf.DUMMYFUNCTION("""COMPUTED_VALUE"""),67.0)</f>
        <v>67</v>
      </c>
      <c r="H27" s="190">
        <f>IFERROR(__xludf.DUMMYFUNCTION("""COMPUTED_VALUE"""),67.0)</f>
        <v>67</v>
      </c>
      <c r="I27" s="197">
        <f>IFERROR(__xludf.DUMMYFUNCTION("""COMPUTED_VALUE"""),67.0)</f>
        <v>67</v>
      </c>
      <c r="J27" s="197">
        <f>IFERROR(__xludf.DUMMYFUNCTION("""COMPUTED_VALUE"""),67.0)</f>
        <v>67</v>
      </c>
      <c r="K27" s="38"/>
      <c r="L27" s="197">
        <f>IFERROR(__xludf.DUMMYFUNCTION("""COMPUTED_VALUE"""),67.0)</f>
        <v>67</v>
      </c>
      <c r="M27" s="197">
        <f>IFERROR(__xludf.DUMMYFUNCTION("""COMPUTED_VALUE"""),67.0)</f>
        <v>67</v>
      </c>
      <c r="N27" s="38"/>
      <c r="O27" s="198">
        <f>IFERROR(__xludf.DUMMYFUNCTION("""COMPUTED_VALUE"""),40.0)</f>
        <v>40</v>
      </c>
      <c r="P27" s="8"/>
      <c r="Q27" s="195" t="str">
        <f t="shared" si="3"/>
        <v>565119 - Gegrilltes Hähnchen mit Knoblauch-Kräutern</v>
      </c>
      <c r="R27" s="8" t="str">
        <f t="shared" si="4"/>
        <v>PTN-00-136930-3</v>
      </c>
      <c r="S27" s="193">
        <f t="shared" si="5"/>
        <v>40</v>
      </c>
      <c r="T27" s="30" t="str">
        <f t="shared" si="6"/>
        <v>565119 - Gegrilltes Hähnchen mit Knoblauch-Kräutern</v>
      </c>
      <c r="U27" s="31">
        <f t="shared" si="1"/>
        <v>40</v>
      </c>
      <c r="V27" s="32" t="str">
        <f t="shared" ref="V27:Y27" si="30">IF($U27="","","0")</f>
        <v>0</v>
      </c>
      <c r="W27" s="32" t="str">
        <f t="shared" si="30"/>
        <v>0</v>
      </c>
      <c r="X27" s="32" t="str">
        <f t="shared" si="30"/>
        <v>0</v>
      </c>
      <c r="Y27" s="32" t="str">
        <f t="shared" si="30"/>
        <v>0</v>
      </c>
      <c r="Z27" s="30"/>
      <c r="AA27" s="30"/>
      <c r="AB27" s="13" t="s">
        <v>146</v>
      </c>
      <c r="AC27" s="30"/>
      <c r="AE27" s="34" t="str">
        <f t="shared" si="8"/>
        <v>206_1p</v>
      </c>
      <c r="AF27" s="34" t="str">
        <f t="shared" si="9"/>
        <v>565119 - Gegrilltes Hähnchen mit Knoblauch-Kräutern</v>
      </c>
      <c r="AG27" s="34" t="str">
        <f t="shared" si="10"/>
        <v>PTN-00-136930-3</v>
      </c>
      <c r="AH27" s="26" t="str">
        <f t="shared" si="11"/>
        <v>ASL1</v>
      </c>
      <c r="AI27" s="34"/>
      <c r="AJ27" s="26" t="str">
        <f t="shared" si="12"/>
        <v>1</v>
      </c>
      <c r="AK27" s="34"/>
      <c r="AL27" s="26" t="str">
        <f t="shared" si="13"/>
        <v>Chilled</v>
      </c>
    </row>
    <row r="28">
      <c r="A28" s="199" t="str">
        <f>IFERROR(__xludf.DUMMYFUNCTION("""COMPUTED_VALUE"""),"W19")</f>
        <v>W19</v>
      </c>
      <c r="B28" s="170"/>
      <c r="C28" s="4"/>
      <c r="D28" s="4" t="str">
        <f>IFERROR(__xludf.DUMMYFUNCTION("""COMPUTED_VALUE"""),"")</f>
        <v/>
      </c>
      <c r="E28" s="4"/>
      <c r="F28" s="197">
        <f>IFERROR(__xludf.DUMMYFUNCTION("""COMPUTED_VALUE"""),9790.0)</f>
        <v>9790</v>
      </c>
      <c r="G28" s="197">
        <f>IFERROR(__xludf.DUMMYFUNCTION("""COMPUTED_VALUE"""),10512.0)</f>
        <v>10512</v>
      </c>
      <c r="H28" s="197">
        <f>IFERROR(__xludf.DUMMYFUNCTION("""COMPUTED_VALUE"""),14379.0)</f>
        <v>14379</v>
      </c>
      <c r="I28" s="190">
        <f>IFERROR(__xludf.DUMMYFUNCTION("""COMPUTED_VALUE"""),17027.0)</f>
        <v>17027</v>
      </c>
      <c r="J28" s="190">
        <f>IFERROR(__xludf.DUMMYFUNCTION("""COMPUTED_VALUE"""),18936.0)</f>
        <v>18936</v>
      </c>
      <c r="K28" s="4"/>
      <c r="L28" s="190">
        <f>IFERROR(__xludf.DUMMYFUNCTION("""COMPUTED_VALUE"""),18534.0)</f>
        <v>18534</v>
      </c>
      <c r="M28" s="190">
        <f>IFERROR(__xludf.DUMMYFUNCTION("""COMPUTED_VALUE"""),18532.0)</f>
        <v>18532</v>
      </c>
      <c r="N28" s="190">
        <f>IFERROR(__xludf.DUMMYFUNCTION("""COMPUTED_VALUE"""),0.0)</f>
        <v>0</v>
      </c>
      <c r="O28" s="191">
        <f>IFERROR(__xludf.DUMMYFUNCTION("""COMPUTED_VALUE"""),17546.0)</f>
        <v>17546</v>
      </c>
      <c r="P28" s="8"/>
      <c r="Q28" s="195" t="str">
        <f t="shared" si="3"/>
        <v/>
      </c>
      <c r="R28" s="8" t="str">
        <f t="shared" si="4"/>
        <v/>
      </c>
      <c r="S28" s="193">
        <f t="shared" si="5"/>
        <v>17546</v>
      </c>
      <c r="T28" s="30" t="str">
        <f t="shared" si="6"/>
        <v/>
      </c>
      <c r="U28" s="31"/>
      <c r="V28" s="32"/>
      <c r="W28" s="32"/>
      <c r="X28" s="32"/>
      <c r="Y28" s="32"/>
      <c r="Z28" s="30"/>
      <c r="AA28" s="30"/>
      <c r="AB28" s="30"/>
      <c r="AC28" s="30"/>
      <c r="AE28" s="34" t="str">
        <f t="shared" si="8"/>
        <v/>
      </c>
      <c r="AF28" s="34" t="str">
        <f t="shared" si="9"/>
        <v/>
      </c>
      <c r="AG28" s="34" t="str">
        <f t="shared" si="10"/>
        <v/>
      </c>
      <c r="AH28" s="26" t="str">
        <f t="shared" si="11"/>
        <v/>
      </c>
      <c r="AI28" s="34"/>
      <c r="AJ28" s="26" t="str">
        <f t="shared" si="12"/>
        <v/>
      </c>
      <c r="AK28" s="34"/>
      <c r="AL28" s="26" t="str">
        <f t="shared" si="13"/>
        <v/>
      </c>
    </row>
    <row r="29">
      <c r="A29" s="199"/>
      <c r="B29" s="170"/>
      <c r="C29" s="4"/>
      <c r="D29" s="4"/>
      <c r="E29" s="4"/>
      <c r="F29" s="38"/>
      <c r="G29" s="38"/>
      <c r="H29" s="38"/>
      <c r="I29" s="4"/>
      <c r="J29" s="4"/>
      <c r="K29" s="4"/>
      <c r="L29" s="4"/>
      <c r="M29" s="4"/>
      <c r="N29" s="4"/>
      <c r="O29" s="200"/>
      <c r="P29" s="8"/>
      <c r="Q29" s="195" t="str">
        <f t="shared" si="3"/>
        <v/>
      </c>
      <c r="R29" s="8" t="str">
        <f t="shared" si="4"/>
        <v/>
      </c>
      <c r="S29" s="193" t="str">
        <f t="shared" si="5"/>
        <v/>
      </c>
      <c r="T29" s="30" t="str">
        <f t="shared" si="6"/>
        <v/>
      </c>
      <c r="U29" s="31"/>
      <c r="V29" s="32"/>
      <c r="W29" s="32"/>
      <c r="X29" s="32"/>
      <c r="Y29" s="32"/>
      <c r="Z29" s="30"/>
      <c r="AA29" s="30"/>
      <c r="AB29" s="30"/>
      <c r="AC29" s="30"/>
      <c r="AE29" s="34" t="str">
        <f t="shared" si="8"/>
        <v/>
      </c>
      <c r="AF29" s="34" t="str">
        <f t="shared" si="9"/>
        <v/>
      </c>
      <c r="AG29" s="34" t="str">
        <f t="shared" si="10"/>
        <v/>
      </c>
      <c r="AH29" s="26" t="str">
        <f t="shared" si="11"/>
        <v/>
      </c>
      <c r="AI29" s="34"/>
      <c r="AJ29" s="26" t="str">
        <f t="shared" si="12"/>
        <v/>
      </c>
      <c r="AK29" s="34"/>
      <c r="AL29" s="26" t="str">
        <f t="shared" si="13"/>
        <v/>
      </c>
    </row>
    <row r="30">
      <c r="A30" s="199"/>
      <c r="B30" s="170"/>
      <c r="C30" s="4"/>
      <c r="D30" s="4"/>
      <c r="E30" s="4"/>
      <c r="F30" s="38"/>
      <c r="G30" s="38"/>
      <c r="H30" s="38"/>
      <c r="I30" s="4"/>
      <c r="J30" s="4"/>
      <c r="K30" s="4"/>
      <c r="L30" s="4"/>
      <c r="M30" s="4"/>
      <c r="N30" s="4"/>
      <c r="O30" s="200"/>
      <c r="P30" s="8"/>
      <c r="Q30" s="195" t="str">
        <f t="shared" si="3"/>
        <v/>
      </c>
      <c r="R30" s="8" t="str">
        <f t="shared" si="4"/>
        <v/>
      </c>
      <c r="S30" s="193" t="str">
        <f t="shared" si="5"/>
        <v/>
      </c>
      <c r="T30" s="30" t="str">
        <f t="shared" si="6"/>
        <v/>
      </c>
      <c r="U30" s="31"/>
      <c r="V30" s="32"/>
      <c r="W30" s="32"/>
      <c r="X30" s="32"/>
      <c r="Y30" s="32"/>
      <c r="Z30" s="30"/>
      <c r="AA30" s="30"/>
      <c r="AB30" s="30"/>
      <c r="AC30" s="30"/>
      <c r="AE30" s="34" t="str">
        <f t="shared" si="8"/>
        <v/>
      </c>
      <c r="AF30" s="34" t="str">
        <f t="shared" si="9"/>
        <v/>
      </c>
      <c r="AG30" s="34" t="str">
        <f t="shared" si="10"/>
        <v/>
      </c>
      <c r="AH30" s="26" t="str">
        <f t="shared" si="11"/>
        <v/>
      </c>
      <c r="AI30" s="34"/>
      <c r="AJ30" s="26" t="str">
        <f t="shared" si="12"/>
        <v/>
      </c>
      <c r="AK30" s="34"/>
      <c r="AL30" s="26" t="str">
        <f t="shared" si="13"/>
        <v/>
      </c>
    </row>
    <row r="31">
      <c r="A31" s="199"/>
      <c r="B31" s="170"/>
      <c r="C31" s="4"/>
      <c r="D31" s="4"/>
      <c r="E31" s="4"/>
      <c r="F31" s="38"/>
      <c r="G31" s="38"/>
      <c r="H31" s="38"/>
      <c r="I31" s="4"/>
      <c r="J31" s="4"/>
      <c r="K31" s="4"/>
      <c r="L31" s="4"/>
      <c r="M31" s="4"/>
      <c r="N31" s="4"/>
      <c r="O31" s="200"/>
      <c r="P31" s="8"/>
      <c r="Q31" s="195" t="str">
        <f t="shared" si="3"/>
        <v/>
      </c>
      <c r="R31" s="8" t="str">
        <f t="shared" si="4"/>
        <v/>
      </c>
      <c r="S31" s="193" t="str">
        <f t="shared" si="5"/>
        <v/>
      </c>
      <c r="T31" s="30" t="str">
        <f t="shared" si="6"/>
        <v/>
      </c>
      <c r="U31" s="31"/>
      <c r="V31" s="32"/>
      <c r="W31" s="32"/>
      <c r="X31" s="32"/>
      <c r="Y31" s="32"/>
      <c r="Z31" s="30"/>
      <c r="AA31" s="30"/>
      <c r="AB31" s="30"/>
      <c r="AC31" s="30"/>
      <c r="AE31" s="34" t="str">
        <f t="shared" si="8"/>
        <v/>
      </c>
      <c r="AF31" s="34"/>
      <c r="AG31" s="34"/>
      <c r="AH31" s="26"/>
      <c r="AI31" s="34"/>
      <c r="AJ31" s="26"/>
      <c r="AK31" s="34"/>
      <c r="AL31" s="26"/>
    </row>
    <row r="32">
      <c r="A32" s="199"/>
      <c r="B32" s="170"/>
      <c r="C32" s="4"/>
      <c r="D32" s="4"/>
      <c r="E32" s="4"/>
      <c r="F32" s="38"/>
      <c r="G32" s="38"/>
      <c r="H32" s="38"/>
      <c r="I32" s="4"/>
      <c r="J32" s="4"/>
      <c r="K32" s="4"/>
      <c r="L32" s="4"/>
      <c r="M32" s="4"/>
      <c r="N32" s="4"/>
      <c r="O32" s="200"/>
      <c r="P32" s="8"/>
      <c r="Q32" s="195" t="str">
        <f t="shared" si="3"/>
        <v/>
      </c>
      <c r="R32" s="8" t="str">
        <f t="shared" si="4"/>
        <v/>
      </c>
      <c r="S32" s="193" t="str">
        <f t="shared" si="5"/>
        <v/>
      </c>
      <c r="T32" s="30" t="str">
        <f t="shared" si="6"/>
        <v/>
      </c>
      <c r="U32" s="31"/>
      <c r="V32" s="32"/>
      <c r="W32" s="32"/>
      <c r="X32" s="32"/>
      <c r="Y32" s="32"/>
      <c r="Z32" s="30"/>
      <c r="AA32" s="30"/>
      <c r="AB32" s="30"/>
      <c r="AC32" s="30"/>
      <c r="AE32" s="34" t="str">
        <f t="shared" si="8"/>
        <v/>
      </c>
      <c r="AF32" s="34"/>
      <c r="AG32" s="34"/>
      <c r="AH32" s="26"/>
      <c r="AI32" s="34"/>
      <c r="AJ32" s="26"/>
      <c r="AK32" s="34"/>
      <c r="AL32" s="26"/>
    </row>
    <row r="33">
      <c r="A33" s="199"/>
      <c r="B33" s="170"/>
      <c r="C33" s="4"/>
      <c r="D33" s="4"/>
      <c r="E33" s="4"/>
      <c r="F33" s="38"/>
      <c r="G33" s="38"/>
      <c r="H33" s="38"/>
      <c r="I33" s="4"/>
      <c r="J33" s="4"/>
      <c r="K33" s="4"/>
      <c r="L33" s="4"/>
      <c r="M33" s="4"/>
      <c r="N33" s="4"/>
      <c r="O33" s="200"/>
      <c r="P33" s="8"/>
      <c r="Q33" s="195" t="str">
        <f t="shared" si="3"/>
        <v/>
      </c>
      <c r="R33" s="8" t="str">
        <f t="shared" si="4"/>
        <v/>
      </c>
      <c r="S33" s="193" t="str">
        <f t="shared" si="5"/>
        <v/>
      </c>
      <c r="T33" s="30" t="str">
        <f t="shared" si="6"/>
        <v/>
      </c>
      <c r="U33" s="31"/>
      <c r="V33" s="32"/>
      <c r="W33" s="32"/>
      <c r="X33" s="32"/>
      <c r="Y33" s="32"/>
      <c r="Z33" s="30"/>
      <c r="AA33" s="30"/>
      <c r="AB33" s="30"/>
      <c r="AC33" s="30"/>
      <c r="AE33" s="34" t="str">
        <f t="shared" si="8"/>
        <v/>
      </c>
      <c r="AF33" s="34"/>
      <c r="AG33" s="34"/>
      <c r="AH33" s="26"/>
      <c r="AI33" s="34"/>
      <c r="AJ33" s="26"/>
      <c r="AK33" s="34"/>
      <c r="AL33" s="26"/>
    </row>
    <row r="34">
      <c r="A34" s="199"/>
      <c r="B34" s="170"/>
      <c r="C34" s="4"/>
      <c r="D34" s="4"/>
      <c r="E34" s="4"/>
      <c r="F34" s="38"/>
      <c r="G34" s="38"/>
      <c r="H34" s="38"/>
      <c r="I34" s="4"/>
      <c r="J34" s="4"/>
      <c r="K34" s="4"/>
      <c r="L34" s="4"/>
      <c r="M34" s="4"/>
      <c r="N34" s="4"/>
      <c r="O34" s="200"/>
      <c r="P34" s="8"/>
      <c r="Q34" s="195" t="str">
        <f t="shared" si="3"/>
        <v/>
      </c>
      <c r="R34" s="8" t="str">
        <f t="shared" si="4"/>
        <v/>
      </c>
      <c r="S34" s="193" t="str">
        <f t="shared" si="5"/>
        <v/>
      </c>
      <c r="T34" s="30" t="str">
        <f t="shared" si="6"/>
        <v/>
      </c>
      <c r="U34" s="31"/>
      <c r="V34" s="32"/>
      <c r="W34" s="32"/>
      <c r="X34" s="32"/>
      <c r="Y34" s="32"/>
      <c r="Z34" s="30"/>
      <c r="AA34" s="30"/>
      <c r="AB34" s="30"/>
      <c r="AC34" s="30"/>
      <c r="AE34" s="34" t="str">
        <f t="shared" si="8"/>
        <v/>
      </c>
      <c r="AF34" s="34"/>
      <c r="AG34" s="34"/>
      <c r="AH34" s="26"/>
      <c r="AI34" s="34"/>
      <c r="AJ34" s="26"/>
      <c r="AK34" s="34"/>
      <c r="AL34" s="26"/>
    </row>
    <row r="35">
      <c r="A35" s="199"/>
      <c r="B35" s="170"/>
      <c r="C35" s="4"/>
      <c r="D35" s="4"/>
      <c r="E35" s="4"/>
      <c r="F35" s="38"/>
      <c r="G35" s="38"/>
      <c r="H35" s="38"/>
      <c r="I35" s="4"/>
      <c r="J35" s="4"/>
      <c r="K35" s="4"/>
      <c r="L35" s="4"/>
      <c r="M35" s="4"/>
      <c r="N35" s="4"/>
      <c r="O35" s="200"/>
      <c r="P35" s="8"/>
      <c r="Q35" s="195" t="str">
        <f t="shared" si="3"/>
        <v/>
      </c>
      <c r="R35" s="8" t="str">
        <f t="shared" si="4"/>
        <v/>
      </c>
      <c r="S35" s="193" t="str">
        <f t="shared" si="5"/>
        <v/>
      </c>
      <c r="T35" s="30" t="str">
        <f t="shared" si="6"/>
        <v/>
      </c>
      <c r="U35" s="31"/>
      <c r="V35" s="32"/>
      <c r="W35" s="32"/>
      <c r="X35" s="32"/>
      <c r="Y35" s="32"/>
      <c r="Z35" s="30"/>
      <c r="AA35" s="30"/>
      <c r="AB35" s="30"/>
      <c r="AC35" s="30"/>
      <c r="AE35" s="34" t="str">
        <f t="shared" si="8"/>
        <v/>
      </c>
      <c r="AF35" s="34"/>
      <c r="AG35" s="34"/>
      <c r="AH35" s="26"/>
      <c r="AI35" s="34"/>
      <c r="AJ35" s="26"/>
      <c r="AK35" s="34"/>
      <c r="AL35" s="26"/>
    </row>
    <row r="36">
      <c r="A36" s="199"/>
      <c r="B36" s="170"/>
      <c r="C36" s="4"/>
      <c r="D36" s="4"/>
      <c r="E36" s="4"/>
      <c r="F36" s="38"/>
      <c r="G36" s="38"/>
      <c r="H36" s="38"/>
      <c r="I36" s="4"/>
      <c r="J36" s="4"/>
      <c r="K36" s="4"/>
      <c r="L36" s="4"/>
      <c r="M36" s="4"/>
      <c r="N36" s="4"/>
      <c r="O36" s="200"/>
      <c r="P36" s="8"/>
      <c r="Q36" s="195" t="str">
        <f t="shared" si="3"/>
        <v/>
      </c>
      <c r="R36" s="8" t="str">
        <f t="shared" si="4"/>
        <v/>
      </c>
      <c r="S36" s="193" t="str">
        <f t="shared" si="5"/>
        <v/>
      </c>
      <c r="T36" s="30" t="str">
        <f t="shared" si="6"/>
        <v/>
      </c>
      <c r="U36" s="31"/>
      <c r="V36" s="32"/>
      <c r="W36" s="32"/>
      <c r="X36" s="32"/>
      <c r="Y36" s="32"/>
      <c r="Z36" s="30"/>
      <c r="AA36" s="30"/>
      <c r="AB36" s="30"/>
      <c r="AC36" s="30"/>
      <c r="AE36" s="34" t="str">
        <f t="shared" si="8"/>
        <v/>
      </c>
      <c r="AF36" s="34"/>
      <c r="AG36" s="34"/>
      <c r="AH36" s="26"/>
      <c r="AI36" s="34"/>
      <c r="AJ36" s="26"/>
      <c r="AK36" s="34"/>
      <c r="AL36" s="26"/>
    </row>
    <row r="37">
      <c r="A37" s="199"/>
      <c r="B37" s="170"/>
      <c r="C37" s="4"/>
      <c r="D37" s="4"/>
      <c r="E37" s="4"/>
      <c r="F37" s="38"/>
      <c r="G37" s="38"/>
      <c r="H37" s="38"/>
      <c r="I37" s="4"/>
      <c r="J37" s="4"/>
      <c r="K37" s="4"/>
      <c r="L37" s="4"/>
      <c r="M37" s="4"/>
      <c r="N37" s="4"/>
      <c r="O37" s="200"/>
      <c r="P37" s="8"/>
      <c r="Q37" s="195" t="str">
        <f t="shared" si="3"/>
        <v/>
      </c>
      <c r="R37" s="8" t="str">
        <f t="shared" si="4"/>
        <v/>
      </c>
      <c r="S37" s="193" t="str">
        <f t="shared" si="5"/>
        <v/>
      </c>
      <c r="T37" s="30" t="str">
        <f t="shared" si="6"/>
        <v/>
      </c>
      <c r="U37" s="31"/>
      <c r="V37" s="32"/>
      <c r="W37" s="32"/>
      <c r="X37" s="32"/>
      <c r="Y37" s="32"/>
      <c r="Z37" s="30"/>
      <c r="AA37" s="30"/>
      <c r="AB37" s="30"/>
      <c r="AC37" s="30"/>
      <c r="AE37" s="34" t="str">
        <f t="shared" si="8"/>
        <v/>
      </c>
      <c r="AF37" s="34"/>
      <c r="AG37" s="34"/>
      <c r="AH37" s="26"/>
      <c r="AI37" s="34"/>
      <c r="AJ37" s="26"/>
      <c r="AK37" s="34"/>
      <c r="AL37" s="26"/>
    </row>
    <row r="38">
      <c r="A38" s="199"/>
      <c r="B38" s="170"/>
      <c r="C38" s="4"/>
      <c r="D38" s="4"/>
      <c r="E38" s="4"/>
      <c r="F38" s="38"/>
      <c r="G38" s="38"/>
      <c r="H38" s="38"/>
      <c r="I38" s="4"/>
      <c r="J38" s="4"/>
      <c r="K38" s="4"/>
      <c r="L38" s="4"/>
      <c r="M38" s="4"/>
      <c r="N38" s="4"/>
      <c r="O38" s="200"/>
      <c r="P38" s="8"/>
      <c r="Q38" s="195" t="str">
        <f t="shared" si="3"/>
        <v/>
      </c>
      <c r="R38" s="8" t="str">
        <f t="shared" si="4"/>
        <v/>
      </c>
      <c r="S38" s="193" t="str">
        <f t="shared" si="5"/>
        <v/>
      </c>
      <c r="T38" s="30" t="str">
        <f t="shared" si="6"/>
        <v/>
      </c>
      <c r="U38" s="31"/>
      <c r="V38" s="32"/>
      <c r="W38" s="32"/>
      <c r="X38" s="32"/>
      <c r="Y38" s="32"/>
      <c r="Z38" s="30"/>
      <c r="AA38" s="30"/>
      <c r="AB38" s="30"/>
      <c r="AC38" s="30"/>
      <c r="AE38" s="34" t="str">
        <f t="shared" si="8"/>
        <v/>
      </c>
      <c r="AF38" s="34"/>
      <c r="AG38" s="34"/>
      <c r="AH38" s="26"/>
      <c r="AI38" s="34"/>
      <c r="AJ38" s="26"/>
      <c r="AK38" s="34"/>
      <c r="AL38" s="26"/>
    </row>
    <row r="39">
      <c r="A39" s="199"/>
      <c r="B39" s="170"/>
      <c r="C39" s="4"/>
      <c r="D39" s="4"/>
      <c r="E39" s="4"/>
      <c r="F39" s="38"/>
      <c r="G39" s="38"/>
      <c r="H39" s="38"/>
      <c r="I39" s="4"/>
      <c r="J39" s="4"/>
      <c r="K39" s="4"/>
      <c r="L39" s="4"/>
      <c r="M39" s="4"/>
      <c r="N39" s="4"/>
      <c r="O39" s="200"/>
      <c r="P39" s="8"/>
      <c r="Q39" s="195" t="str">
        <f t="shared" si="3"/>
        <v/>
      </c>
      <c r="R39" s="8" t="str">
        <f t="shared" si="4"/>
        <v/>
      </c>
      <c r="S39" s="193" t="str">
        <f t="shared" si="5"/>
        <v/>
      </c>
      <c r="T39" s="30" t="str">
        <f t="shared" si="6"/>
        <v/>
      </c>
      <c r="U39" s="31"/>
      <c r="V39" s="32"/>
      <c r="W39" s="32"/>
      <c r="X39" s="32"/>
      <c r="Y39" s="32"/>
      <c r="Z39" s="30"/>
      <c r="AA39" s="30"/>
      <c r="AB39" s="30"/>
      <c r="AC39" s="30"/>
      <c r="AE39" s="34" t="str">
        <f t="shared" si="8"/>
        <v/>
      </c>
      <c r="AF39" s="34"/>
      <c r="AG39" s="34"/>
      <c r="AH39" s="26"/>
      <c r="AI39" s="34"/>
      <c r="AJ39" s="26"/>
      <c r="AK39" s="34"/>
      <c r="AL39" s="26"/>
    </row>
    <row r="40">
      <c r="A40" s="199"/>
      <c r="B40" s="170"/>
      <c r="C40" s="4"/>
      <c r="D40" s="4"/>
      <c r="E40" s="4"/>
      <c r="F40" s="38"/>
      <c r="G40" s="38"/>
      <c r="H40" s="38"/>
      <c r="I40" s="4"/>
      <c r="J40" s="4"/>
      <c r="K40" s="4"/>
      <c r="L40" s="4"/>
      <c r="M40" s="4"/>
      <c r="N40" s="4"/>
      <c r="O40" s="200"/>
      <c r="P40" s="8"/>
      <c r="Q40" s="195" t="str">
        <f t="shared" si="3"/>
        <v/>
      </c>
      <c r="R40" s="8" t="str">
        <f t="shared" si="4"/>
        <v/>
      </c>
      <c r="S40" s="193" t="str">
        <f t="shared" si="5"/>
        <v/>
      </c>
      <c r="T40" s="30" t="str">
        <f t="shared" si="6"/>
        <v/>
      </c>
      <c r="U40" s="31"/>
      <c r="V40" s="32"/>
      <c r="W40" s="32"/>
      <c r="X40" s="32"/>
      <c r="Y40" s="32"/>
      <c r="Z40" s="30"/>
      <c r="AA40" s="30"/>
      <c r="AB40" s="30"/>
      <c r="AC40" s="30"/>
      <c r="AE40" s="34" t="str">
        <f t="shared" si="8"/>
        <v/>
      </c>
      <c r="AF40" s="34"/>
      <c r="AG40" s="34"/>
      <c r="AH40" s="26"/>
      <c r="AI40" s="34"/>
      <c r="AJ40" s="26"/>
      <c r="AK40" s="34"/>
      <c r="AL40" s="26"/>
    </row>
    <row r="41">
      <c r="A41" s="201"/>
      <c r="B41" s="202"/>
      <c r="C41" s="203"/>
      <c r="D41" s="203"/>
      <c r="E41" s="203"/>
      <c r="F41" s="204"/>
      <c r="G41" s="204"/>
      <c r="H41" s="204"/>
      <c r="I41" s="203"/>
      <c r="J41" s="203"/>
      <c r="K41" s="203"/>
      <c r="L41" s="203"/>
      <c r="M41" s="203"/>
      <c r="N41" s="203"/>
      <c r="O41" s="205"/>
      <c r="P41" s="8"/>
      <c r="Q41" s="195" t="str">
        <f t="shared" si="3"/>
        <v/>
      </c>
      <c r="R41" s="8" t="str">
        <f t="shared" si="4"/>
        <v/>
      </c>
      <c r="S41" s="193" t="str">
        <f t="shared" si="5"/>
        <v/>
      </c>
      <c r="T41" s="30" t="str">
        <f t="shared" si="6"/>
        <v/>
      </c>
      <c r="U41" s="31">
        <f t="array" ref="U41">IFERROR(ROUNDUP( XLOOKUP(T41,Q:Q,S:S),0.1),"")</f>
        <v>17546</v>
      </c>
      <c r="V41" s="32" t="str">
        <f t="shared" ref="V41:Y41" si="31">IF($U41="","","0")</f>
        <v>0</v>
      </c>
      <c r="W41" s="32" t="str">
        <f t="shared" si="31"/>
        <v>0</v>
      </c>
      <c r="X41" s="32" t="str">
        <f t="shared" si="31"/>
        <v>0</v>
      </c>
      <c r="Y41" s="32" t="str">
        <f t="shared" si="31"/>
        <v>0</v>
      </c>
      <c r="Z41" s="30"/>
      <c r="AA41" s="30"/>
      <c r="AB41" s="30"/>
      <c r="AC41" s="30"/>
      <c r="AE41" s="34" t="str">
        <f t="shared" si="8"/>
        <v/>
      </c>
      <c r="AF41" s="34"/>
      <c r="AG41" s="34" t="str">
        <f t="array" ref="AG41">IFERROR( XLOOKUP(AF41,Q:Q,R:R),"")</f>
        <v/>
      </c>
      <c r="AH41" s="26" t="str">
        <f>IF(AF41="","","ASL1")</f>
        <v/>
      </c>
      <c r="AI41" s="34"/>
      <c r="AJ41" s="26" t="str">
        <f>IF(AE41="","","1")</f>
        <v/>
      </c>
      <c r="AK41" s="34"/>
      <c r="AL41" s="26" t="str">
        <f>IF(AE41="","","Chilled")</f>
        <v/>
      </c>
    </row>
    <row r="42">
      <c r="A42" s="206"/>
      <c r="B42" s="170"/>
      <c r="C42" s="4"/>
      <c r="D42" s="4"/>
      <c r="E42" s="4"/>
      <c r="F42" s="4"/>
      <c r="G42" s="4"/>
      <c r="H42" s="4"/>
      <c r="I42" s="4"/>
      <c r="J42" s="4"/>
      <c r="K42" s="4"/>
      <c r="L42" s="4"/>
      <c r="M42" s="4"/>
      <c r="N42" s="4"/>
      <c r="O42" s="200"/>
      <c r="P42" s="207"/>
      <c r="Q42" s="195" t="str">
        <f t="shared" si="3"/>
        <v/>
      </c>
      <c r="R42" s="8" t="str">
        <f t="shared" si="4"/>
        <v/>
      </c>
      <c r="S42" s="193" t="str">
        <f t="shared" si="5"/>
        <v/>
      </c>
      <c r="T42" s="30" t="str">
        <f t="shared" si="6"/>
        <v/>
      </c>
      <c r="U42" s="31"/>
      <c r="V42" s="32"/>
      <c r="W42" s="32"/>
      <c r="X42" s="32"/>
      <c r="Y42" s="32"/>
      <c r="Z42" s="30"/>
      <c r="AA42" s="30"/>
      <c r="AB42" s="13"/>
      <c r="AC42" s="30"/>
      <c r="AE42" s="34" t="str">
        <f t="shared" si="8"/>
        <v/>
      </c>
      <c r="AF42" s="34"/>
      <c r="AG42" s="34"/>
      <c r="AH42" s="26"/>
      <c r="AI42" s="34"/>
      <c r="AJ42" s="26"/>
      <c r="AK42" s="34"/>
      <c r="AL42" s="26"/>
    </row>
    <row r="43">
      <c r="A43" s="208" t="s">
        <v>147</v>
      </c>
      <c r="B43" s="209"/>
      <c r="C43" s="210"/>
      <c r="D43" s="210"/>
      <c r="E43" s="210"/>
      <c r="F43" s="210">
        <f t="shared" ref="F43:O43" si="32">F28/8</f>
        <v>1223.75</v>
      </c>
      <c r="G43" s="210">
        <f t="shared" si="32"/>
        <v>1314</v>
      </c>
      <c r="H43" s="210">
        <f t="shared" si="32"/>
        <v>1797.375</v>
      </c>
      <c r="I43" s="210">
        <f t="shared" si="32"/>
        <v>2128.375</v>
      </c>
      <c r="J43" s="210">
        <f t="shared" si="32"/>
        <v>2367</v>
      </c>
      <c r="K43" s="210">
        <f t="shared" si="32"/>
        <v>0</v>
      </c>
      <c r="L43" s="210">
        <f t="shared" si="32"/>
        <v>2316.75</v>
      </c>
      <c r="M43" s="210">
        <f t="shared" si="32"/>
        <v>2316.5</v>
      </c>
      <c r="N43" s="210">
        <f t="shared" si="32"/>
        <v>0</v>
      </c>
      <c r="O43" s="211">
        <f t="shared" si="32"/>
        <v>2193.25</v>
      </c>
      <c r="P43" s="207" t="s">
        <v>148</v>
      </c>
      <c r="Q43" s="195" t="str">
        <f t="shared" si="3"/>
        <v/>
      </c>
      <c r="R43" s="8" t="str">
        <f t="shared" si="4"/>
        <v/>
      </c>
      <c r="S43" s="193">
        <f t="shared" si="5"/>
        <v>2193.25</v>
      </c>
      <c r="T43" s="30" t="str">
        <f t="shared" si="6"/>
        <v/>
      </c>
      <c r="U43" s="31">
        <f t="shared" ref="U43:U46" si="34">IFERROR(ROUNDUP( XLOOKUP(T43,Q:Q,S:S),0.1),"")</f>
        <v>17546</v>
      </c>
      <c r="V43" s="32" t="str">
        <f t="shared" ref="V43:Y43" si="33">IF($U43="","","0")</f>
        <v>0</v>
      </c>
      <c r="W43" s="32" t="str">
        <f t="shared" si="33"/>
        <v>0</v>
      </c>
      <c r="X43" s="32" t="str">
        <f t="shared" si="33"/>
        <v>0</v>
      </c>
      <c r="Y43" s="32" t="str">
        <f t="shared" si="33"/>
        <v>0</v>
      </c>
      <c r="Z43" s="30"/>
      <c r="AA43" s="30"/>
      <c r="AB43" s="13" t="s">
        <v>149</v>
      </c>
      <c r="AC43" s="30"/>
      <c r="AE43" s="34" t="str">
        <f t="shared" ref="AE43:AE49" si="36">IF($Q43="","", LEFT($Q43,3)&amp;"_1p")</f>
        <v/>
      </c>
      <c r="AF43" s="34" t="str">
        <f t="shared" ref="AF43:AF49" si="37">IFERROR(T43,"")</f>
        <v/>
      </c>
      <c r="AG43" s="34" t="str">
        <f t="array" ref="AG43">IFERROR( XLOOKUP(AF43,Q:Q,R:R),"")</f>
        <v/>
      </c>
      <c r="AH43" s="26" t="str">
        <f t="shared" ref="AH43:AH45" si="38">IF(AF43="","","ASL1")</f>
        <v/>
      </c>
      <c r="AI43" s="34"/>
      <c r="AJ43" s="26" t="str">
        <f t="shared" ref="AJ43:AJ49" si="39">IF(AE43="","","1")</f>
        <v/>
      </c>
      <c r="AK43" s="34"/>
      <c r="AL43" s="26" t="str">
        <f t="shared" ref="AL43:AL49" si="40">IF(AE43="","","Chilled")</f>
        <v/>
      </c>
    </row>
    <row r="44">
      <c r="A44" s="203"/>
      <c r="B44" s="202"/>
      <c r="C44" s="203"/>
      <c r="D44" s="203"/>
      <c r="E44" s="203"/>
      <c r="F44" s="203"/>
      <c r="G44" s="203"/>
      <c r="H44" s="203"/>
      <c r="I44" s="203"/>
      <c r="J44" s="203"/>
      <c r="K44" s="203"/>
      <c r="L44" s="203"/>
      <c r="M44" s="203"/>
      <c r="N44" s="203"/>
      <c r="O44" s="203"/>
      <c r="P44" s="8"/>
      <c r="Q44" s="195" t="str">
        <f t="shared" si="3"/>
        <v/>
      </c>
      <c r="R44" s="8" t="str">
        <f t="shared" si="4"/>
        <v/>
      </c>
      <c r="S44" s="193" t="str">
        <f t="shared" si="5"/>
        <v/>
      </c>
      <c r="T44" s="30" t="str">
        <f t="shared" si="6"/>
        <v/>
      </c>
      <c r="U44" s="31">
        <f t="shared" si="34"/>
        <v>17546</v>
      </c>
      <c r="V44" s="32" t="str">
        <f t="shared" ref="V44:Y44" si="35">IF($U44="","","0")</f>
        <v>0</v>
      </c>
      <c r="W44" s="32" t="str">
        <f t="shared" si="35"/>
        <v>0</v>
      </c>
      <c r="X44" s="32" t="str">
        <f t="shared" si="35"/>
        <v>0</v>
      </c>
      <c r="Y44" s="32" t="str">
        <f t="shared" si="35"/>
        <v>0</v>
      </c>
      <c r="Z44" s="30"/>
      <c r="AA44" s="30"/>
      <c r="AB44" s="13" t="s">
        <v>150</v>
      </c>
      <c r="AC44" s="30"/>
      <c r="AE44" s="34" t="str">
        <f t="shared" si="36"/>
        <v/>
      </c>
      <c r="AF44" s="34" t="str">
        <f t="shared" si="37"/>
        <v/>
      </c>
      <c r="AG44" s="34" t="str">
        <f t="shared" ref="AG44:AG45" si="42">XLOOKUP(AF44,Q:Q,R:R)</f>
        <v/>
      </c>
      <c r="AH44" s="26" t="str">
        <f t="shared" si="38"/>
        <v/>
      </c>
      <c r="AI44" s="34"/>
      <c r="AJ44" s="26" t="str">
        <f t="shared" si="39"/>
        <v/>
      </c>
      <c r="AK44" s="34"/>
      <c r="AL44" s="26" t="str">
        <f t="shared" si="40"/>
        <v/>
      </c>
    </row>
    <row r="45">
      <c r="A45" s="212" t="str">
        <f>A27</f>
        <v>W19</v>
      </c>
      <c r="B45" s="213">
        <v>205.0</v>
      </c>
      <c r="C45" s="214" t="s">
        <v>151</v>
      </c>
      <c r="D45" s="213">
        <f t="shared" ref="D45:D47" si="43">B45</f>
        <v>205</v>
      </c>
      <c r="E45" s="213" t="s">
        <v>152</v>
      </c>
      <c r="F45" s="215">
        <v>48.0</v>
      </c>
      <c r="G45" s="216"/>
      <c r="H45" s="216"/>
      <c r="I45" s="216"/>
      <c r="J45" s="216"/>
      <c r="K45" s="216"/>
      <c r="L45" s="216"/>
      <c r="M45" s="216"/>
      <c r="N45" s="216"/>
      <c r="O45" s="217"/>
      <c r="P45" s="8"/>
      <c r="Q45" s="195" t="str">
        <f t="shared" si="3"/>
        <v>205 - FACTOR_ Ginger Lemon Apple Wellness Shot</v>
      </c>
      <c r="R45" s="8" t="str">
        <f t="shared" si="4"/>
        <v>BEV-00-136840-3</v>
      </c>
      <c r="S45" s="193">
        <f t="shared" si="5"/>
        <v>48</v>
      </c>
      <c r="T45" s="30" t="str">
        <f t="shared" si="6"/>
        <v>205 - FACTOR_ Ginger Lemon Apple Wellness Shot</v>
      </c>
      <c r="U45" s="31">
        <f t="shared" si="34"/>
        <v>48</v>
      </c>
      <c r="V45" s="32" t="str">
        <f t="shared" ref="V45:Y45" si="41">IF($U45="","","0")</f>
        <v>0</v>
      </c>
      <c r="W45" s="32" t="str">
        <f t="shared" si="41"/>
        <v>0</v>
      </c>
      <c r="X45" s="32" t="str">
        <f t="shared" si="41"/>
        <v>0</v>
      </c>
      <c r="Y45" s="32" t="str">
        <f t="shared" si="41"/>
        <v>0</v>
      </c>
      <c r="Z45" s="13"/>
      <c r="AA45" s="30"/>
      <c r="AB45" s="13" t="s">
        <v>153</v>
      </c>
      <c r="AC45" s="30"/>
      <c r="AE45" s="34" t="str">
        <f t="shared" si="36"/>
        <v>205_1p</v>
      </c>
      <c r="AF45" s="34" t="str">
        <f t="shared" si="37"/>
        <v>205 - FACTOR_ Ginger Lemon Apple Wellness Shot</v>
      </c>
      <c r="AG45" s="34" t="str">
        <f t="shared" si="42"/>
        <v>BEV-00-136840-3</v>
      </c>
      <c r="AH45" s="26" t="str">
        <f t="shared" si="38"/>
        <v>ASL1</v>
      </c>
      <c r="AI45" s="34"/>
      <c r="AJ45" s="26" t="str">
        <f t="shared" si="39"/>
        <v>1</v>
      </c>
      <c r="AK45" s="34"/>
      <c r="AL45" s="26" t="str">
        <f t="shared" si="40"/>
        <v>Chilled</v>
      </c>
    </row>
    <row r="46">
      <c r="A46" s="196" t="str">
        <f t="shared" ref="A46:A47" si="45">A45</f>
        <v>W19</v>
      </c>
      <c r="B46" s="12">
        <v>209.0</v>
      </c>
      <c r="C46" s="8" t="s">
        <v>154</v>
      </c>
      <c r="D46" s="12">
        <f t="shared" si="43"/>
        <v>209</v>
      </c>
      <c r="E46" s="39" t="s">
        <v>155</v>
      </c>
      <c r="F46" s="33">
        <v>56.0</v>
      </c>
      <c r="G46" s="4"/>
      <c r="H46" s="4"/>
      <c r="I46" s="4"/>
      <c r="J46" s="4"/>
      <c r="K46" s="4"/>
      <c r="L46" s="4"/>
      <c r="M46" s="4"/>
      <c r="N46" s="4"/>
      <c r="O46" s="200"/>
      <c r="P46" s="8"/>
      <c r="Q46" s="195" t="str">
        <f t="shared" si="3"/>
        <v>209 - FACTOR_ Spirulina Ginger Lime Ginger Shot</v>
      </c>
      <c r="R46" s="8" t="str">
        <f t="shared" si="4"/>
        <v>BEV-00-137951-2</v>
      </c>
      <c r="S46" s="193">
        <f t="shared" si="5"/>
        <v>56</v>
      </c>
      <c r="T46" s="30" t="str">
        <f t="shared" si="6"/>
        <v>209 - FACTOR_ Spirulina Ginger Lime Ginger Shot</v>
      </c>
      <c r="U46" s="31">
        <f t="shared" si="34"/>
        <v>56</v>
      </c>
      <c r="V46" s="32" t="str">
        <f t="shared" ref="V46:Y46" si="44">IF($U46="","","0")</f>
        <v>0</v>
      </c>
      <c r="W46" s="32" t="str">
        <f t="shared" si="44"/>
        <v>0</v>
      </c>
      <c r="X46" s="32" t="str">
        <f t="shared" si="44"/>
        <v>0</v>
      </c>
      <c r="Y46" s="32" t="str">
        <f t="shared" si="44"/>
        <v>0</v>
      </c>
      <c r="Z46" s="13"/>
      <c r="AA46" s="30"/>
      <c r="AB46" s="13"/>
      <c r="AC46" s="30"/>
      <c r="AE46" s="34" t="str">
        <f t="shared" si="36"/>
        <v>209_1p</v>
      </c>
      <c r="AF46" s="34" t="str">
        <f t="shared" si="37"/>
        <v>209 - FACTOR_ Spirulina Ginger Lime Ginger Shot</v>
      </c>
      <c r="AG46" s="34" t="str">
        <f t="shared" ref="AG46:AG49" si="47">IFERROR( XLOOKUP(AF46,Q:Q,R:R),"")</f>
        <v>BEV-00-137951-2</v>
      </c>
      <c r="AH46" s="26" t="str">
        <f t="shared" ref="AH46:AH49" si="48">IF(AG46="","","ASL1")</f>
        <v>ASL1</v>
      </c>
      <c r="AI46" s="34"/>
      <c r="AJ46" s="26" t="str">
        <f t="shared" si="39"/>
        <v>1</v>
      </c>
      <c r="AK46" s="34"/>
      <c r="AL46" s="26" t="str">
        <f t="shared" si="40"/>
        <v>Chilled</v>
      </c>
    </row>
    <row r="47">
      <c r="A47" s="218" t="str">
        <f t="shared" si="45"/>
        <v>W19</v>
      </c>
      <c r="B47" s="219">
        <v>210.0</v>
      </c>
      <c r="C47" s="220" t="s">
        <v>156</v>
      </c>
      <c r="D47" s="219">
        <f t="shared" si="43"/>
        <v>210</v>
      </c>
      <c r="E47" s="221" t="s">
        <v>157</v>
      </c>
      <c r="F47" s="222">
        <v>36.0</v>
      </c>
      <c r="G47" s="210"/>
      <c r="H47" s="210"/>
      <c r="I47" s="210"/>
      <c r="J47" s="210"/>
      <c r="K47" s="210"/>
      <c r="L47" s="210"/>
      <c r="M47" s="210"/>
      <c r="N47" s="210"/>
      <c r="O47" s="211"/>
      <c r="P47" s="8"/>
      <c r="Q47" s="195" t="str">
        <f t="shared" si="3"/>
        <v>210 - FACTOR_ Turmeric Cayenne Pineapple Ginger Shot</v>
      </c>
      <c r="R47" s="8" t="str">
        <f t="shared" si="4"/>
        <v>BEV-00-137952-2</v>
      </c>
      <c r="S47" s="193">
        <f t="shared" si="5"/>
        <v>36</v>
      </c>
      <c r="T47" s="30" t="str">
        <f t="shared" si="6"/>
        <v>210 - FACTOR_ Turmeric Cayenne Pineapple Ginger Shot</v>
      </c>
      <c r="U47" s="31">
        <f t="array" ref="U47">IFERROR( XLOOKUP(T47,Q:Q,S:S),"")</f>
        <v>36</v>
      </c>
      <c r="V47" s="13" t="str">
        <f t="shared" ref="V47:Y47" si="46">IF($U47="","","0")</f>
        <v>0</v>
      </c>
      <c r="W47" s="13" t="str">
        <f t="shared" si="46"/>
        <v>0</v>
      </c>
      <c r="X47" s="13" t="str">
        <f t="shared" si="46"/>
        <v>0</v>
      </c>
      <c r="Y47" s="13" t="str">
        <f t="shared" si="46"/>
        <v>0</v>
      </c>
      <c r="Z47" s="30"/>
      <c r="AA47" s="30"/>
      <c r="AB47" s="30"/>
      <c r="AC47" s="30"/>
      <c r="AE47" s="34" t="str">
        <f t="shared" si="36"/>
        <v>210_1p</v>
      </c>
      <c r="AF47" s="34" t="str">
        <f t="shared" si="37"/>
        <v>210 - FACTOR_ Turmeric Cayenne Pineapple Ginger Shot</v>
      </c>
      <c r="AG47" s="34" t="str">
        <f t="shared" si="47"/>
        <v>BEV-00-137952-2</v>
      </c>
      <c r="AH47" s="26" t="str">
        <f t="shared" si="48"/>
        <v>ASL1</v>
      </c>
      <c r="AI47" s="34"/>
      <c r="AJ47" s="26" t="str">
        <f t="shared" si="39"/>
        <v>1</v>
      </c>
      <c r="AK47" s="34"/>
      <c r="AL47" s="26" t="str">
        <f t="shared" si="40"/>
        <v>Chilled</v>
      </c>
    </row>
    <row r="48">
      <c r="A48" s="223"/>
      <c r="B48" s="170"/>
      <c r="C48" s="4"/>
      <c r="D48" s="4"/>
      <c r="E48" s="4"/>
      <c r="F48" s="38"/>
      <c r="G48" s="38"/>
      <c r="H48" s="38"/>
      <c r="I48" s="38"/>
      <c r="J48" s="38"/>
      <c r="K48" s="38"/>
      <c r="L48" s="38"/>
      <c r="M48" s="38"/>
      <c r="N48" s="38"/>
      <c r="O48" s="38"/>
      <c r="P48" s="8"/>
      <c r="Q48" s="39"/>
      <c r="R48" s="8"/>
      <c r="S48" s="4"/>
      <c r="T48" s="30"/>
      <c r="U48" s="30"/>
      <c r="V48" s="13" t="str">
        <f t="shared" ref="V48:Y48" si="49">IF($U48="","","0")</f>
        <v/>
      </c>
      <c r="W48" s="13" t="str">
        <f t="shared" si="49"/>
        <v/>
      </c>
      <c r="X48" s="13" t="str">
        <f t="shared" si="49"/>
        <v/>
      </c>
      <c r="Y48" s="13" t="str">
        <f t="shared" si="49"/>
        <v/>
      </c>
      <c r="Z48" s="30"/>
      <c r="AA48" s="30"/>
      <c r="AB48" s="30"/>
      <c r="AC48" s="30"/>
      <c r="AE48" s="34" t="str">
        <f t="shared" si="36"/>
        <v/>
      </c>
      <c r="AF48" s="34" t="str">
        <f t="shared" si="37"/>
        <v/>
      </c>
      <c r="AG48" s="34" t="str">
        <f t="shared" si="47"/>
        <v/>
      </c>
      <c r="AH48" s="26" t="str">
        <f t="shared" si="48"/>
        <v/>
      </c>
      <c r="AI48" s="34"/>
      <c r="AJ48" s="26" t="str">
        <f t="shared" si="39"/>
        <v/>
      </c>
      <c r="AK48" s="34"/>
      <c r="AL48" s="26" t="str">
        <f t="shared" si="40"/>
        <v/>
      </c>
    </row>
    <row r="49">
      <c r="A49" s="4"/>
      <c r="B49" s="170"/>
      <c r="C49" s="4"/>
      <c r="D49" s="4"/>
      <c r="E49" s="4"/>
      <c r="F49" s="4"/>
      <c r="G49" s="4"/>
      <c r="H49" s="4"/>
      <c r="I49" s="4"/>
      <c r="J49" s="4"/>
      <c r="K49" s="4"/>
      <c r="L49" s="4"/>
      <c r="M49" s="4"/>
      <c r="N49" s="4"/>
      <c r="O49" s="4"/>
      <c r="P49" s="8"/>
      <c r="Q49" s="8"/>
      <c r="R49" s="8"/>
      <c r="S49" s="4"/>
      <c r="T49" s="30"/>
      <c r="U49" s="30"/>
      <c r="V49" s="13" t="str">
        <f t="shared" ref="V49:Y49" si="50">IF($U49="","","0")</f>
        <v/>
      </c>
      <c r="W49" s="13" t="str">
        <f t="shared" si="50"/>
        <v/>
      </c>
      <c r="X49" s="13" t="str">
        <f t="shared" si="50"/>
        <v/>
      </c>
      <c r="Y49" s="13" t="str">
        <f t="shared" si="50"/>
        <v/>
      </c>
      <c r="Z49" s="30"/>
      <c r="AA49" s="30"/>
      <c r="AB49" s="30"/>
      <c r="AC49" s="30"/>
      <c r="AE49" s="34" t="str">
        <f t="shared" si="36"/>
        <v/>
      </c>
      <c r="AF49" s="34" t="str">
        <f t="shared" si="37"/>
        <v/>
      </c>
      <c r="AG49" s="34" t="str">
        <f t="shared" si="47"/>
        <v/>
      </c>
      <c r="AH49" s="26" t="str">
        <f t="shared" si="48"/>
        <v/>
      </c>
      <c r="AI49" s="34"/>
      <c r="AJ49" s="26" t="str">
        <f t="shared" si="39"/>
        <v/>
      </c>
      <c r="AK49" s="34"/>
      <c r="AL49" s="26" t="str">
        <f t="shared" si="40"/>
        <v/>
      </c>
    </row>
    <row r="50">
      <c r="A50" s="224" t="s">
        <v>158</v>
      </c>
      <c r="B50" s="225"/>
      <c r="C50" s="4"/>
      <c r="D50" s="4"/>
      <c r="E50" s="4"/>
      <c r="F50" s="4"/>
      <c r="G50" s="4"/>
      <c r="H50" s="4"/>
      <c r="I50" s="4"/>
      <c r="J50" s="4"/>
      <c r="K50" s="4"/>
      <c r="L50" s="4"/>
      <c r="M50" s="4"/>
      <c r="N50" s="4"/>
      <c r="O50" s="4"/>
      <c r="P50" s="8"/>
      <c r="Q50" s="8"/>
      <c r="R50" s="8" t="str">
        <f t="shared" ref="R50:R51" si="52">IFERROR(C51,"")</f>
        <v/>
      </c>
      <c r="S50" s="43"/>
      <c r="T50" s="30"/>
      <c r="U50" s="30"/>
      <c r="V50" s="13" t="str">
        <f t="shared" ref="V50:Y50" si="51">IF($U50="","","0")</f>
        <v/>
      </c>
      <c r="W50" s="13" t="str">
        <f t="shared" si="51"/>
        <v/>
      </c>
      <c r="X50" s="13" t="str">
        <f t="shared" si="51"/>
        <v/>
      </c>
      <c r="Y50" s="13" t="str">
        <f t="shared" si="51"/>
        <v/>
      </c>
      <c r="Z50" s="30"/>
      <c r="AA50" s="30"/>
      <c r="AB50" s="30"/>
      <c r="AC50" s="30"/>
    </row>
    <row r="51">
      <c r="A51" s="206" t="s">
        <v>159</v>
      </c>
      <c r="B51" s="226" t="s">
        <v>160</v>
      </c>
      <c r="C51" s="43"/>
      <c r="D51" s="43"/>
      <c r="E51" s="43"/>
      <c r="F51" s="43"/>
      <c r="G51" s="43"/>
      <c r="H51" s="43"/>
      <c r="I51" s="43"/>
      <c r="J51" s="227"/>
      <c r="K51" s="43"/>
      <c r="L51" s="43"/>
      <c r="M51" s="43"/>
      <c r="N51" s="43"/>
      <c r="O51" s="228" t="s">
        <v>161</v>
      </c>
      <c r="Q51" s="8"/>
      <c r="R51" s="8" t="str">
        <f t="shared" si="52"/>
        <v/>
      </c>
      <c r="S51" s="4"/>
      <c r="T51" s="30"/>
      <c r="U51" s="30"/>
      <c r="V51" s="13" t="str">
        <f t="shared" ref="V51:Y51" si="53">IF($U51="","","0")</f>
        <v/>
      </c>
      <c r="W51" s="13" t="str">
        <f t="shared" si="53"/>
        <v/>
      </c>
      <c r="X51" s="13" t="str">
        <f t="shared" si="53"/>
        <v/>
      </c>
      <c r="Y51" s="13" t="str">
        <f t="shared" si="53"/>
        <v/>
      </c>
      <c r="Z51" s="30"/>
      <c r="AA51" s="30"/>
      <c r="AB51" s="30"/>
      <c r="AC51" s="30"/>
    </row>
    <row r="52">
      <c r="A52" s="206" t="s">
        <v>162</v>
      </c>
      <c r="B52" s="226" t="s">
        <v>163</v>
      </c>
      <c r="C52" s="43"/>
      <c r="D52" s="43"/>
      <c r="E52" s="43"/>
      <c r="F52" s="43"/>
      <c r="G52" s="43"/>
      <c r="H52" s="43"/>
      <c r="I52" s="4"/>
      <c r="J52" s="4"/>
      <c r="K52" s="4"/>
      <c r="L52" s="4"/>
      <c r="M52" s="4"/>
      <c r="N52" s="4"/>
      <c r="O52" s="4"/>
      <c r="P52" s="229">
        <v>0.3801053247513166</v>
      </c>
      <c r="Q52" s="72" t="s">
        <v>11</v>
      </c>
      <c r="R52" s="70"/>
      <c r="S52" s="72">
        <f> ROUNDUP( IFS(O$43&lt;&gt;0,O$43,AND(O$43=0,N$43=0,M$43=0,L$43=0,K$43=0,J$43=0,I$43=0,H$43=0,G$43=0),F$43,AND(O$43=0,N$43=0,M$43=0,L$43=0,K$43=0,J$43=0,I$43=0,H$43=0),G$43,AND(O$43=0,N$43=0,M$43=0,L$43=0,K$43=0,J$43=0,I$43=0),H$43,AND(O$43=0,N$43=0,M$43=0,L$43=0,K$43=0,J$43=0), I$43,AND(O$43=0,N$43=0,M$43=0,L$43=0,K$43=0),J$43,AND(O$43=0,N$43=0,M$43=0,L$43=0), K$43, AND(O$43=0,N$43=0,M$43=0), L$43,AND(O$43=0,N$43=0), M$43, AND(O$43=0), N$43),0.1)</f>
        <v>2194</v>
      </c>
      <c r="T52" s="30"/>
      <c r="U52" s="30"/>
      <c r="V52" s="13" t="str">
        <f t="shared" ref="V52:Y52" si="54">IF($U52="","","0")</f>
        <v/>
      </c>
      <c r="W52" s="13" t="str">
        <f t="shared" si="54"/>
        <v/>
      </c>
      <c r="X52" s="13" t="str">
        <f t="shared" si="54"/>
        <v/>
      </c>
      <c r="Y52" s="13" t="str">
        <f t="shared" si="54"/>
        <v/>
      </c>
      <c r="Z52" s="30"/>
      <c r="AA52" s="30"/>
      <c r="AB52" s="30"/>
      <c r="AC52" s="30"/>
    </row>
    <row r="53">
      <c r="A53" s="208" t="s">
        <v>164</v>
      </c>
      <c r="B53" s="230" t="s">
        <v>165</v>
      </c>
      <c r="C53" s="43"/>
      <c r="D53" s="43"/>
      <c r="E53" s="43"/>
      <c r="F53" s="43"/>
      <c r="G53" s="43"/>
      <c r="H53" s="43"/>
      <c r="I53" s="49"/>
      <c r="J53" s="49"/>
      <c r="K53" s="49"/>
      <c r="L53" s="49"/>
      <c r="M53" s="49"/>
      <c r="N53" s="49"/>
      <c r="O53" s="231">
        <f>P52-P54</f>
        <v>0.1403159743</v>
      </c>
      <c r="Q53" s="72" t="s">
        <v>16</v>
      </c>
      <c r="R53" s="70"/>
      <c r="S53" s="232">
        <f>S52-(0.14*S52)</f>
        <v>1886.84</v>
      </c>
      <c r="T53" s="30"/>
      <c r="U53" s="30"/>
      <c r="V53" s="13" t="str">
        <f t="shared" ref="V53:Y53" si="55">IF($U53="","","0")</f>
        <v/>
      </c>
      <c r="W53" s="13" t="str">
        <f t="shared" si="55"/>
        <v/>
      </c>
      <c r="X53" s="13" t="str">
        <f t="shared" si="55"/>
        <v/>
      </c>
      <c r="Y53" s="13" t="str">
        <f t="shared" si="55"/>
        <v/>
      </c>
      <c r="Z53" s="30"/>
      <c r="AA53" s="30"/>
      <c r="AB53" s="30"/>
      <c r="AC53" s="30"/>
    </row>
    <row r="54">
      <c r="A54" s="43"/>
      <c r="B54" s="169"/>
      <c r="C54" s="43"/>
      <c r="D54" s="43"/>
      <c r="E54" s="43"/>
      <c r="F54" s="43"/>
      <c r="G54" s="43"/>
      <c r="H54" s="43"/>
      <c r="I54" s="1"/>
      <c r="J54" s="1"/>
      <c r="K54" s="1"/>
      <c r="L54" s="1"/>
      <c r="M54" s="1"/>
      <c r="N54" s="1"/>
      <c r="O54" s="1"/>
      <c r="P54" s="229">
        <v>0.23978935049736688</v>
      </c>
      <c r="Q54" s="72" t="s">
        <v>19</v>
      </c>
      <c r="R54" s="70"/>
      <c r="S54" s="72">
        <f> ROUNDUP( IFS(O$43&lt;&gt;0,O$43,AND(O$43=0,N$43=0,M$43=0,L$43=0,K$43=0,J$43=0,I$43=0,H$43=0,G$43=0),F$43,AND(O$43=0,N$43=0,M$43=0,L$43=0,K$43=0,J$43=0,I$43=0,H$43=0),G$43,AND(O$43=0,N$43=0,M$43=0,L$43=0,K$43=0,J$43=0,I$43=0),H$43,AND(O$43=0,N$43=0,M$43=0,L$43=0,K$43=0,J$43=0), I$43,AND(O$43=0,N$43=0,M$43=0,L$43=0,K$43=0),J$43,AND(O$43=0,N$43=0,M$43=0,L$43=0), K$43, AND(O$43=0,N$43=0,M$43=0), L$43,AND(O$43=0,N$43=0), M$43, AND(O$43=0), N$43),0.1)</f>
        <v>2194</v>
      </c>
      <c r="T54" s="30"/>
      <c r="U54" s="30"/>
      <c r="V54" s="13" t="str">
        <f t="shared" ref="V54:Y54" si="56">IF($U54="","","0")</f>
        <v/>
      </c>
      <c r="W54" s="13" t="str">
        <f t="shared" si="56"/>
        <v/>
      </c>
      <c r="X54" s="13" t="str">
        <f t="shared" si="56"/>
        <v/>
      </c>
      <c r="Y54" s="13" t="str">
        <f t="shared" si="56"/>
        <v/>
      </c>
      <c r="Z54" s="30"/>
      <c r="AA54" s="30"/>
      <c r="AB54" s="30"/>
      <c r="AC54" s="30"/>
    </row>
    <row r="55">
      <c r="A55" s="43"/>
      <c r="B55" s="169"/>
      <c r="C55" s="43"/>
      <c r="D55" s="43"/>
      <c r="E55" s="43"/>
      <c r="F55" s="43"/>
      <c r="G55" s="43"/>
      <c r="H55" s="43"/>
      <c r="I55" s="58"/>
      <c r="J55" s="58"/>
      <c r="K55" s="58"/>
      <c r="L55" s="58"/>
      <c r="M55" s="58"/>
      <c r="N55" s="58"/>
      <c r="O55" s="58"/>
      <c r="P55" s="70"/>
      <c r="V55" s="12" t="str">
        <f t="shared" ref="V55:V61" si="58">IF(U55="","","0")</f>
        <v/>
      </c>
      <c r="W55" s="12" t="str">
        <f t="shared" ref="W55:Y55" si="57">IF($U55="","","0")</f>
        <v/>
      </c>
      <c r="X55" s="12" t="str">
        <f t="shared" si="57"/>
        <v/>
      </c>
      <c r="Y55" s="12" t="str">
        <f t="shared" si="57"/>
        <v/>
      </c>
    </row>
    <row r="56">
      <c r="A56" s="233"/>
      <c r="B56" s="234"/>
      <c r="C56" s="235"/>
      <c r="D56" s="70"/>
      <c r="E56" s="70"/>
      <c r="F56" s="4"/>
      <c r="G56" s="4"/>
      <c r="H56" s="70"/>
      <c r="I56" s="70"/>
      <c r="J56" s="70"/>
      <c r="K56" s="70"/>
      <c r="L56" s="70"/>
      <c r="M56" s="72"/>
      <c r="N56" s="70"/>
      <c r="O56" s="70"/>
      <c r="P56" s="70"/>
      <c r="V56" s="12" t="str">
        <f t="shared" si="58"/>
        <v/>
      </c>
      <c r="W56" s="12" t="str">
        <f t="shared" ref="W56:Y56" si="59">IF($U56="","","0")</f>
        <v/>
      </c>
      <c r="X56" s="12" t="str">
        <f t="shared" si="59"/>
        <v/>
      </c>
      <c r="Y56" s="12" t="str">
        <f t="shared" si="59"/>
        <v/>
      </c>
    </row>
    <row r="57">
      <c r="A57" s="233"/>
      <c r="B57" s="234"/>
      <c r="C57" s="235"/>
      <c r="D57" s="70"/>
      <c r="E57" s="70"/>
      <c r="F57" s="4"/>
      <c r="G57" s="4"/>
      <c r="H57" s="70"/>
      <c r="I57" s="70"/>
      <c r="J57" s="70"/>
      <c r="K57" s="70"/>
      <c r="L57" s="70"/>
      <c r="M57" s="70"/>
      <c r="N57" s="70"/>
      <c r="O57" s="70"/>
      <c r="P57" s="70"/>
      <c r="V57" s="12" t="str">
        <f t="shared" si="58"/>
        <v/>
      </c>
      <c r="W57" s="12" t="str">
        <f t="shared" ref="W57:Y57" si="60">IF($U57="","","0")</f>
        <v/>
      </c>
      <c r="X57" s="12" t="str">
        <f t="shared" si="60"/>
        <v/>
      </c>
      <c r="Y57" s="12" t="str">
        <f t="shared" si="60"/>
        <v/>
      </c>
    </row>
    <row r="58">
      <c r="A58" s="233"/>
      <c r="B58" s="234"/>
      <c r="C58" s="235"/>
      <c r="D58" s="70"/>
      <c r="E58" s="70"/>
      <c r="F58" s="4"/>
      <c r="G58" s="4"/>
      <c r="H58" s="70"/>
      <c r="I58" s="70"/>
      <c r="J58" s="70"/>
      <c r="K58" s="70"/>
      <c r="L58" s="70"/>
      <c r="M58" s="70"/>
      <c r="N58" s="70"/>
      <c r="O58" s="70"/>
      <c r="P58" s="70"/>
      <c r="Q58" s="70"/>
      <c r="R58" s="70"/>
      <c r="S58" s="70"/>
      <c r="V58" s="12" t="str">
        <f t="shared" si="58"/>
        <v/>
      </c>
      <c r="W58" s="12" t="str">
        <f t="shared" ref="W58:Y58" si="61">IF($U58="","","0")</f>
        <v/>
      </c>
      <c r="X58" s="12" t="str">
        <f t="shared" si="61"/>
        <v/>
      </c>
      <c r="Y58" s="12" t="str">
        <f t="shared" si="61"/>
        <v/>
      </c>
    </row>
    <row r="59">
      <c r="A59" s="233"/>
      <c r="B59" s="234"/>
      <c r="C59" s="235"/>
      <c r="D59" s="70"/>
      <c r="E59" s="70"/>
      <c r="F59" s="4"/>
      <c r="G59" s="4"/>
      <c r="H59" s="70"/>
      <c r="I59" s="70"/>
      <c r="J59" s="70"/>
      <c r="K59" s="70"/>
      <c r="L59" s="70"/>
      <c r="M59" s="70"/>
      <c r="N59" s="70"/>
      <c r="O59" s="70"/>
      <c r="P59" s="70"/>
      <c r="Q59" s="70"/>
      <c r="R59" s="70"/>
      <c r="S59" s="70"/>
      <c r="V59" s="12" t="str">
        <f t="shared" si="58"/>
        <v/>
      </c>
      <c r="W59" s="12" t="str">
        <f t="shared" ref="W59:W60" si="62">IF($U59="","","0")</f>
        <v/>
      </c>
    </row>
    <row r="60">
      <c r="A60" s="233"/>
      <c r="B60" s="234"/>
      <c r="C60" s="235"/>
      <c r="D60" s="70"/>
      <c r="E60" s="70"/>
      <c r="F60" s="4"/>
      <c r="G60" s="4"/>
      <c r="H60" s="70"/>
      <c r="I60" s="70"/>
      <c r="J60" s="70"/>
      <c r="K60" s="70"/>
      <c r="L60" s="70"/>
      <c r="M60" s="70"/>
      <c r="N60" s="70"/>
      <c r="O60" s="70"/>
      <c r="P60" s="70"/>
      <c r="Q60" s="70"/>
      <c r="R60" s="70"/>
      <c r="S60" s="70"/>
      <c r="V60" s="12" t="str">
        <f t="shared" si="58"/>
        <v/>
      </c>
      <c r="W60" s="12" t="str">
        <f t="shared" si="62"/>
        <v/>
      </c>
    </row>
    <row r="61">
      <c r="A61" s="233"/>
      <c r="B61" s="234"/>
      <c r="C61" s="235"/>
      <c r="D61" s="70"/>
      <c r="E61" s="70"/>
      <c r="F61" s="4"/>
      <c r="G61" s="4"/>
      <c r="H61" s="70"/>
      <c r="I61" s="70"/>
      <c r="J61" s="70"/>
      <c r="K61" s="70"/>
      <c r="L61" s="70"/>
      <c r="M61" s="70"/>
      <c r="N61" s="70"/>
      <c r="O61" s="70"/>
      <c r="P61" s="70"/>
      <c r="Q61" s="70"/>
      <c r="R61" s="70"/>
      <c r="S61" s="70"/>
      <c r="V61" s="12" t="str">
        <f t="shared" si="58"/>
        <v/>
      </c>
    </row>
    <row r="62">
      <c r="A62" s="233"/>
      <c r="B62" s="234"/>
      <c r="C62" s="235"/>
      <c r="D62" s="70"/>
      <c r="E62" s="70"/>
      <c r="F62" s="4"/>
      <c r="G62" s="4"/>
      <c r="H62" s="70"/>
      <c r="I62" s="4"/>
      <c r="J62" s="4"/>
      <c r="K62" s="4"/>
      <c r="L62" s="4"/>
      <c r="M62" s="4"/>
      <c r="N62" s="4"/>
      <c r="O62" s="4"/>
      <c r="P62" s="4"/>
      <c r="Q62" s="4"/>
      <c r="R62" s="4"/>
      <c r="S62" s="4"/>
    </row>
    <row r="63">
      <c r="A63" s="233"/>
      <c r="B63" s="236"/>
      <c r="C63" s="4"/>
      <c r="D63" s="4"/>
      <c r="E63" s="4"/>
      <c r="F63" s="4"/>
      <c r="G63" s="4"/>
      <c r="H63" s="4"/>
      <c r="I63" s="4"/>
      <c r="J63" s="4"/>
      <c r="K63" s="4"/>
      <c r="L63" s="4"/>
      <c r="M63" s="4"/>
      <c r="N63" s="4"/>
      <c r="O63" s="4"/>
      <c r="P63" s="4"/>
      <c r="Q63" s="4"/>
      <c r="R63" s="4"/>
      <c r="S63" s="4"/>
    </row>
    <row r="64">
      <c r="A64" s="233"/>
      <c r="B64" s="234"/>
      <c r="C64" s="235"/>
      <c r="D64" s="70"/>
      <c r="E64" s="70"/>
      <c r="F64" s="4"/>
      <c r="G64" s="4"/>
      <c r="H64" s="70"/>
      <c r="I64" s="70"/>
      <c r="J64" s="70"/>
      <c r="K64" s="70"/>
      <c r="L64" s="70"/>
      <c r="M64" s="70"/>
      <c r="N64" s="70"/>
      <c r="O64" s="70"/>
      <c r="P64" s="70"/>
      <c r="Q64" s="70"/>
      <c r="R64" s="70"/>
      <c r="S64" s="70"/>
    </row>
    <row r="65">
      <c r="A65" s="233"/>
      <c r="B65" s="234"/>
      <c r="C65" s="235"/>
      <c r="D65" s="70"/>
      <c r="E65" s="70"/>
      <c r="F65" s="4"/>
      <c r="G65" s="4"/>
      <c r="H65" s="70"/>
      <c r="I65" s="70"/>
      <c r="J65" s="70"/>
      <c r="K65" s="70"/>
      <c r="L65" s="70"/>
      <c r="M65" s="70"/>
      <c r="N65" s="70"/>
      <c r="O65" s="70"/>
      <c r="P65" s="70"/>
      <c r="Q65" s="70"/>
      <c r="R65" s="70"/>
      <c r="S65" s="70"/>
    </row>
    <row r="66">
      <c r="A66" s="233"/>
      <c r="B66" s="234"/>
      <c r="C66" s="235"/>
      <c r="D66" s="70"/>
      <c r="E66" s="70"/>
      <c r="F66" s="4"/>
      <c r="G66" s="4"/>
      <c r="H66" s="70"/>
      <c r="I66" s="70"/>
      <c r="J66" s="70"/>
      <c r="K66" s="70"/>
      <c r="L66" s="70"/>
      <c r="M66" s="70"/>
      <c r="N66" s="70"/>
      <c r="O66" s="70"/>
      <c r="P66" s="70"/>
      <c r="Q66" s="70"/>
      <c r="R66" s="70"/>
      <c r="S66" s="70"/>
    </row>
    <row r="67">
      <c r="A67" s="233"/>
      <c r="B67" s="234"/>
      <c r="C67" s="235"/>
      <c r="D67" s="70"/>
      <c r="E67" s="70"/>
      <c r="F67" s="4"/>
      <c r="G67" s="4"/>
      <c r="H67" s="70"/>
      <c r="I67" s="70"/>
      <c r="J67" s="70"/>
      <c r="K67" s="70"/>
      <c r="L67" s="70"/>
      <c r="M67" s="70"/>
      <c r="N67" s="70"/>
      <c r="O67" s="70"/>
      <c r="P67" s="70"/>
      <c r="Q67" s="70"/>
      <c r="R67" s="70"/>
      <c r="S67" s="70"/>
    </row>
    <row r="68">
      <c r="A68" s="233"/>
      <c r="B68" s="234"/>
      <c r="C68" s="235"/>
      <c r="D68" s="70"/>
      <c r="E68" s="70"/>
      <c r="F68" s="4"/>
      <c r="G68" s="4"/>
      <c r="H68" s="70"/>
      <c r="I68" s="70"/>
      <c r="J68" s="70"/>
      <c r="K68" s="70"/>
      <c r="L68" s="70"/>
      <c r="M68" s="70"/>
      <c r="N68" s="70"/>
      <c r="O68" s="70"/>
      <c r="P68" s="70"/>
      <c r="Q68" s="70"/>
      <c r="R68" s="70"/>
      <c r="S68" s="70"/>
    </row>
    <row r="69">
      <c r="A69" s="233"/>
      <c r="B69" s="234"/>
      <c r="C69" s="235"/>
      <c r="D69" s="70"/>
      <c r="E69" s="70"/>
      <c r="F69" s="4"/>
      <c r="G69" s="4"/>
      <c r="H69" s="70"/>
      <c r="I69" s="70"/>
      <c r="J69" s="70"/>
      <c r="K69" s="70"/>
      <c r="L69" s="70"/>
      <c r="M69" s="70"/>
      <c r="N69" s="70"/>
      <c r="O69" s="70"/>
      <c r="P69" s="70"/>
      <c r="Q69" s="70"/>
      <c r="R69" s="70"/>
      <c r="S69" s="70"/>
    </row>
    <row r="70">
      <c r="A70" s="233"/>
      <c r="B70" s="234"/>
      <c r="C70" s="235"/>
      <c r="D70" s="70"/>
      <c r="E70" s="70"/>
      <c r="F70" s="4"/>
      <c r="G70" s="4"/>
      <c r="H70" s="70"/>
      <c r="I70" s="70"/>
      <c r="J70" s="70"/>
      <c r="K70" s="70"/>
      <c r="L70" s="70"/>
      <c r="M70" s="70"/>
      <c r="N70" s="70"/>
      <c r="O70" s="70"/>
      <c r="P70" s="70"/>
      <c r="Q70" s="70"/>
      <c r="R70" s="70"/>
      <c r="S70" s="70"/>
    </row>
    <row r="71">
      <c r="A71" s="233"/>
      <c r="B71" s="234"/>
      <c r="C71" s="235"/>
      <c r="D71" s="70"/>
      <c r="E71" s="70"/>
      <c r="F71" s="4"/>
      <c r="G71" s="4"/>
      <c r="H71" s="70"/>
      <c r="I71" s="70"/>
      <c r="J71" s="70"/>
      <c r="K71" s="70"/>
      <c r="L71" s="70"/>
      <c r="M71" s="70"/>
      <c r="N71" s="70"/>
      <c r="O71" s="70"/>
      <c r="P71" s="70"/>
      <c r="Q71" s="70"/>
      <c r="R71" s="70"/>
      <c r="S71" s="70"/>
    </row>
    <row r="72">
      <c r="A72" s="233"/>
      <c r="B72" s="234"/>
      <c r="C72" s="235"/>
      <c r="D72" s="70"/>
      <c r="E72" s="70"/>
      <c r="F72" s="4"/>
      <c r="G72" s="4"/>
      <c r="H72" s="70"/>
      <c r="I72" s="70"/>
      <c r="J72" s="70"/>
      <c r="K72" s="70"/>
      <c r="L72" s="70"/>
      <c r="M72" s="70"/>
      <c r="N72" s="70"/>
      <c r="O72" s="70"/>
      <c r="P72" s="70"/>
      <c r="Q72" s="70"/>
      <c r="R72" s="70"/>
      <c r="S72" s="70"/>
    </row>
    <row r="73">
      <c r="A73" s="233"/>
      <c r="B73" s="234"/>
      <c r="C73" s="235"/>
      <c r="D73" s="70"/>
      <c r="E73" s="70"/>
      <c r="F73" s="4"/>
      <c r="G73" s="4"/>
      <c r="H73" s="70"/>
      <c r="I73" s="70"/>
      <c r="J73" s="70"/>
      <c r="K73" s="70"/>
      <c r="L73" s="70"/>
      <c r="M73" s="70"/>
      <c r="N73" s="70"/>
      <c r="O73" s="70"/>
      <c r="P73" s="70"/>
      <c r="Q73" s="70"/>
      <c r="R73" s="70"/>
      <c r="S73" s="70"/>
    </row>
    <row r="74">
      <c r="A74" s="233"/>
      <c r="B74" s="234"/>
      <c r="C74" s="235"/>
      <c r="D74" s="70"/>
      <c r="E74" s="70"/>
      <c r="F74" s="4"/>
      <c r="G74" s="4"/>
      <c r="H74" s="70"/>
      <c r="I74" s="70"/>
      <c r="J74" s="70"/>
      <c r="K74" s="70"/>
      <c r="L74" s="70"/>
      <c r="M74" s="70"/>
      <c r="N74" s="70"/>
      <c r="O74" s="70"/>
      <c r="P74" s="70"/>
      <c r="Q74" s="70"/>
      <c r="R74" s="70"/>
      <c r="S74" s="70"/>
    </row>
    <row r="75">
      <c r="A75" s="233"/>
      <c r="B75" s="234"/>
      <c r="C75" s="235"/>
      <c r="D75" s="70"/>
      <c r="E75" s="70"/>
      <c r="F75" s="4"/>
      <c r="G75" s="4"/>
      <c r="H75" s="70"/>
      <c r="I75" s="70"/>
      <c r="J75" s="70"/>
      <c r="K75" s="70"/>
      <c r="L75" s="70"/>
      <c r="M75" s="70"/>
      <c r="N75" s="70"/>
      <c r="O75" s="70"/>
      <c r="P75" s="70"/>
      <c r="Q75" s="70"/>
      <c r="R75" s="70"/>
      <c r="S75" s="70"/>
    </row>
    <row r="76">
      <c r="A76" s="233"/>
      <c r="B76" s="234"/>
      <c r="C76" s="235"/>
      <c r="D76" s="70"/>
      <c r="E76" s="70"/>
      <c r="F76" s="4"/>
      <c r="G76" s="4"/>
      <c r="H76" s="70"/>
      <c r="I76" s="70"/>
      <c r="J76" s="70"/>
      <c r="K76" s="70"/>
      <c r="L76" s="70"/>
      <c r="M76" s="70"/>
      <c r="N76" s="70"/>
      <c r="O76" s="70"/>
      <c r="P76" s="70"/>
      <c r="Q76" s="70"/>
      <c r="R76" s="70"/>
      <c r="S76" s="70"/>
    </row>
    <row r="77">
      <c r="A77" s="233"/>
      <c r="B77" s="234"/>
      <c r="C77" s="235"/>
      <c r="D77" s="70"/>
      <c r="E77" s="70"/>
      <c r="F77" s="4"/>
      <c r="G77" s="4"/>
      <c r="H77" s="70"/>
      <c r="I77" s="70"/>
      <c r="J77" s="70"/>
      <c r="K77" s="70"/>
      <c r="L77" s="70"/>
      <c r="M77" s="70"/>
      <c r="N77" s="70"/>
      <c r="O77" s="70"/>
      <c r="P77" s="70"/>
      <c r="Q77" s="70"/>
      <c r="R77" s="70"/>
      <c r="S77" s="70"/>
    </row>
    <row r="78">
      <c r="A78" s="233"/>
      <c r="B78" s="234"/>
      <c r="C78" s="235"/>
      <c r="D78" s="70"/>
      <c r="E78" s="70"/>
      <c r="F78" s="4"/>
      <c r="G78" s="4"/>
      <c r="H78" s="70"/>
      <c r="I78" s="70"/>
      <c r="J78" s="70"/>
      <c r="K78" s="70"/>
      <c r="L78" s="70"/>
      <c r="M78" s="70"/>
      <c r="N78" s="70"/>
      <c r="O78" s="70"/>
      <c r="P78" s="70"/>
      <c r="Q78" s="70"/>
      <c r="R78" s="70"/>
      <c r="S78" s="70"/>
    </row>
    <row r="79">
      <c r="A79" s="233"/>
      <c r="B79" s="234"/>
      <c r="C79" s="235"/>
      <c r="D79" s="70"/>
      <c r="E79" s="70"/>
      <c r="F79" s="4"/>
      <c r="G79" s="4"/>
      <c r="H79" s="70"/>
      <c r="I79" s="70"/>
      <c r="J79" s="70"/>
      <c r="K79" s="70"/>
      <c r="L79" s="70"/>
      <c r="M79" s="70"/>
      <c r="N79" s="70"/>
      <c r="O79" s="70"/>
      <c r="P79" s="70"/>
      <c r="Q79" s="70"/>
      <c r="R79" s="70"/>
      <c r="S79" s="70"/>
    </row>
    <row r="80">
      <c r="A80" s="233"/>
      <c r="B80" s="234"/>
      <c r="C80" s="235"/>
      <c r="D80" s="70"/>
      <c r="E80" s="70"/>
      <c r="F80" s="4"/>
      <c r="G80" s="4"/>
      <c r="H80" s="70"/>
      <c r="I80" s="70"/>
      <c r="J80" s="70"/>
      <c r="K80" s="70"/>
      <c r="L80" s="70"/>
      <c r="M80" s="70"/>
      <c r="N80" s="70"/>
      <c r="O80" s="70"/>
      <c r="P80" s="70"/>
      <c r="Q80" s="70"/>
      <c r="R80" s="70"/>
      <c r="S80" s="70"/>
    </row>
    <row r="81">
      <c r="A81" s="233"/>
      <c r="B81" s="234"/>
      <c r="C81" s="235"/>
      <c r="D81" s="70"/>
      <c r="E81" s="70"/>
      <c r="F81" s="4"/>
      <c r="G81" s="4"/>
      <c r="H81" s="70"/>
      <c r="I81" s="70"/>
      <c r="J81" s="70"/>
      <c r="K81" s="70"/>
      <c r="L81" s="70"/>
      <c r="M81" s="70"/>
      <c r="N81" s="70"/>
      <c r="O81" s="70"/>
      <c r="P81" s="70"/>
      <c r="Q81" s="70"/>
      <c r="R81" s="70"/>
      <c r="S81" s="70"/>
    </row>
    <row r="82">
      <c r="A82" s="233"/>
      <c r="B82" s="234"/>
      <c r="C82" s="235"/>
      <c r="D82" s="70"/>
      <c r="E82" s="70"/>
      <c r="F82" s="4"/>
      <c r="G82" s="4"/>
      <c r="H82" s="70"/>
      <c r="I82" s="4"/>
      <c r="J82" s="4"/>
      <c r="K82" s="4"/>
      <c r="L82" s="4"/>
      <c r="M82" s="4"/>
      <c r="N82" s="4"/>
      <c r="O82" s="4"/>
      <c r="P82" s="4"/>
      <c r="Q82" s="4"/>
      <c r="R82" s="4"/>
      <c r="S82" s="4"/>
    </row>
    <row r="83">
      <c r="A83" s="233"/>
      <c r="B83" s="236"/>
      <c r="C83" s="4"/>
      <c r="D83" s="4"/>
      <c r="E83" s="4"/>
      <c r="F83" s="4"/>
      <c r="G83" s="4"/>
      <c r="H83" s="4"/>
      <c r="I83" s="4"/>
      <c r="J83" s="4"/>
      <c r="K83" s="4"/>
      <c r="L83" s="4"/>
      <c r="M83" s="4"/>
      <c r="N83" s="4"/>
      <c r="O83" s="4"/>
      <c r="P83" s="4"/>
      <c r="Q83" s="4"/>
      <c r="R83" s="4"/>
      <c r="S83" s="4"/>
    </row>
    <row r="84">
      <c r="A84" s="233"/>
      <c r="B84" s="234"/>
      <c r="C84" s="235"/>
      <c r="D84" s="70"/>
      <c r="E84" s="70"/>
      <c r="F84" s="4"/>
      <c r="G84" s="4"/>
      <c r="H84" s="70"/>
      <c r="I84" s="70"/>
      <c r="J84" s="70"/>
      <c r="K84" s="70"/>
      <c r="L84" s="70"/>
      <c r="M84" s="70"/>
      <c r="N84" s="70"/>
      <c r="O84" s="70"/>
      <c r="P84" s="70"/>
      <c r="Q84" s="70"/>
      <c r="R84" s="70"/>
      <c r="S84" s="70"/>
    </row>
    <row r="85">
      <c r="A85" s="233"/>
      <c r="B85" s="234"/>
      <c r="C85" s="235"/>
      <c r="D85" s="70"/>
      <c r="E85" s="70"/>
      <c r="F85" s="4"/>
      <c r="G85" s="4"/>
      <c r="H85" s="70"/>
      <c r="I85" s="70"/>
      <c r="J85" s="70"/>
      <c r="K85" s="70"/>
      <c r="L85" s="70"/>
      <c r="M85" s="70"/>
      <c r="N85" s="70"/>
      <c r="O85" s="70"/>
      <c r="P85" s="70"/>
      <c r="Q85" s="70"/>
      <c r="R85" s="70"/>
      <c r="S85" s="70"/>
    </row>
    <row r="86">
      <c r="A86" s="233"/>
      <c r="B86" s="234"/>
      <c r="C86" s="235"/>
      <c r="D86" s="70"/>
      <c r="E86" s="70"/>
      <c r="F86" s="4"/>
      <c r="G86" s="4"/>
      <c r="H86" s="70"/>
      <c r="I86" s="70"/>
      <c r="J86" s="70"/>
      <c r="K86" s="70"/>
      <c r="L86" s="70"/>
      <c r="M86" s="70"/>
      <c r="N86" s="70"/>
      <c r="O86" s="70"/>
      <c r="P86" s="70"/>
      <c r="Q86" s="70"/>
      <c r="R86" s="70"/>
      <c r="S86" s="70"/>
    </row>
    <row r="87">
      <c r="A87" s="233"/>
      <c r="B87" s="234"/>
      <c r="C87" s="235"/>
      <c r="D87" s="70"/>
      <c r="E87" s="70"/>
      <c r="F87" s="4"/>
      <c r="G87" s="4"/>
      <c r="H87" s="70"/>
      <c r="I87" s="70"/>
      <c r="J87" s="70"/>
      <c r="K87" s="70"/>
      <c r="L87" s="70"/>
      <c r="M87" s="70"/>
      <c r="N87" s="70"/>
      <c r="O87" s="70"/>
      <c r="P87" s="70"/>
      <c r="Q87" s="70"/>
      <c r="R87" s="70"/>
      <c r="S87" s="70"/>
    </row>
    <row r="88">
      <c r="A88" s="233"/>
      <c r="B88" s="234"/>
      <c r="C88" s="235"/>
      <c r="D88" s="70"/>
      <c r="E88" s="70"/>
      <c r="F88" s="4"/>
      <c r="G88" s="4"/>
      <c r="H88" s="70"/>
      <c r="I88" s="70"/>
      <c r="J88" s="70"/>
      <c r="K88" s="70"/>
      <c r="L88" s="70"/>
      <c r="M88" s="70"/>
      <c r="N88" s="70"/>
      <c r="O88" s="70"/>
      <c r="P88" s="70"/>
      <c r="Q88" s="70"/>
      <c r="R88" s="70"/>
      <c r="S88" s="70"/>
    </row>
    <row r="89">
      <c r="A89" s="233"/>
      <c r="B89" s="234"/>
      <c r="C89" s="235"/>
      <c r="D89" s="70"/>
      <c r="E89" s="70"/>
      <c r="F89" s="4"/>
      <c r="G89" s="4"/>
      <c r="H89" s="70"/>
      <c r="I89" s="70"/>
      <c r="J89" s="70"/>
      <c r="K89" s="70"/>
      <c r="L89" s="70"/>
      <c r="M89" s="70"/>
      <c r="N89" s="70"/>
      <c r="O89" s="70"/>
      <c r="P89" s="70"/>
      <c r="Q89" s="70"/>
      <c r="R89" s="70"/>
      <c r="S89" s="70"/>
    </row>
    <row r="90">
      <c r="A90" s="233"/>
      <c r="B90" s="234"/>
      <c r="C90" s="235"/>
      <c r="D90" s="70"/>
      <c r="E90" s="70"/>
      <c r="F90" s="4"/>
      <c r="G90" s="4"/>
      <c r="H90" s="70"/>
      <c r="I90" s="70"/>
      <c r="J90" s="70"/>
      <c r="K90" s="70"/>
      <c r="L90" s="70"/>
      <c r="M90" s="70"/>
      <c r="N90" s="70"/>
      <c r="O90" s="70"/>
      <c r="P90" s="70"/>
      <c r="Q90" s="70"/>
      <c r="R90" s="70"/>
      <c r="S90" s="70"/>
    </row>
    <row r="91">
      <c r="A91" s="233"/>
      <c r="B91" s="234"/>
      <c r="C91" s="235"/>
      <c r="D91" s="70"/>
      <c r="E91" s="70"/>
      <c r="F91" s="4"/>
      <c r="G91" s="4"/>
      <c r="H91" s="70"/>
      <c r="I91" s="70"/>
      <c r="J91" s="70"/>
      <c r="K91" s="70"/>
      <c r="L91" s="70"/>
      <c r="M91" s="70"/>
      <c r="N91" s="70"/>
      <c r="O91" s="70"/>
      <c r="P91" s="70"/>
      <c r="Q91" s="70"/>
      <c r="R91" s="70"/>
      <c r="S91" s="70"/>
    </row>
    <row r="92">
      <c r="A92" s="233"/>
      <c r="B92" s="234"/>
      <c r="C92" s="235"/>
      <c r="D92" s="70"/>
      <c r="E92" s="70"/>
      <c r="F92" s="4"/>
      <c r="G92" s="4"/>
      <c r="H92" s="70"/>
      <c r="I92" s="70"/>
      <c r="J92" s="70"/>
      <c r="K92" s="70"/>
      <c r="L92" s="70"/>
      <c r="M92" s="70"/>
      <c r="N92" s="70"/>
      <c r="O92" s="70"/>
      <c r="P92" s="70"/>
      <c r="Q92" s="70"/>
      <c r="R92" s="70"/>
      <c r="S92" s="70"/>
    </row>
    <row r="93">
      <c r="A93" s="233"/>
      <c r="B93" s="234"/>
      <c r="C93" s="235"/>
      <c r="D93" s="70"/>
      <c r="E93" s="70"/>
      <c r="F93" s="4"/>
      <c r="G93" s="4"/>
      <c r="H93" s="70"/>
      <c r="I93" s="70"/>
      <c r="J93" s="70"/>
      <c r="K93" s="70"/>
      <c r="L93" s="70"/>
      <c r="M93" s="70"/>
      <c r="N93" s="70"/>
      <c r="O93" s="70"/>
      <c r="P93" s="70"/>
      <c r="Q93" s="70"/>
      <c r="R93" s="70"/>
      <c r="S93" s="70"/>
    </row>
    <row r="94">
      <c r="A94" s="233"/>
      <c r="B94" s="234"/>
      <c r="C94" s="235"/>
      <c r="D94" s="70"/>
      <c r="E94" s="70"/>
      <c r="F94" s="4"/>
      <c r="G94" s="4"/>
      <c r="H94" s="70"/>
      <c r="I94" s="70"/>
      <c r="J94" s="70"/>
      <c r="K94" s="70"/>
      <c r="L94" s="70"/>
      <c r="M94" s="70"/>
      <c r="N94" s="70"/>
      <c r="O94" s="70"/>
      <c r="P94" s="70"/>
      <c r="Q94" s="70"/>
      <c r="R94" s="70"/>
      <c r="S94" s="70"/>
    </row>
    <row r="95">
      <c r="A95" s="233"/>
      <c r="B95" s="234"/>
      <c r="C95" s="235"/>
      <c r="D95" s="70"/>
      <c r="E95" s="70"/>
      <c r="F95" s="4"/>
      <c r="G95" s="4"/>
      <c r="H95" s="70"/>
      <c r="I95" s="70"/>
      <c r="J95" s="70"/>
      <c r="K95" s="70"/>
      <c r="L95" s="70"/>
      <c r="M95" s="70"/>
      <c r="N95" s="70"/>
      <c r="O95" s="70"/>
      <c r="P95" s="70"/>
      <c r="Q95" s="70"/>
      <c r="R95" s="70"/>
      <c r="S95" s="70"/>
    </row>
    <row r="96">
      <c r="A96" s="233"/>
      <c r="B96" s="234"/>
      <c r="C96" s="235"/>
      <c r="D96" s="70"/>
      <c r="E96" s="70"/>
      <c r="F96" s="4"/>
      <c r="G96" s="4"/>
      <c r="H96" s="70"/>
      <c r="I96" s="70"/>
      <c r="J96" s="70"/>
      <c r="K96" s="70"/>
      <c r="L96" s="70"/>
      <c r="M96" s="70"/>
      <c r="N96" s="70"/>
      <c r="O96" s="70"/>
      <c r="P96" s="70"/>
      <c r="Q96" s="70"/>
      <c r="R96" s="70"/>
      <c r="S96" s="70"/>
    </row>
    <row r="97">
      <c r="A97" s="233"/>
      <c r="B97" s="234"/>
      <c r="C97" s="235"/>
      <c r="D97" s="70"/>
      <c r="E97" s="70"/>
      <c r="F97" s="4"/>
      <c r="G97" s="4"/>
      <c r="H97" s="70"/>
      <c r="I97" s="70"/>
      <c r="J97" s="70"/>
      <c r="K97" s="70"/>
      <c r="L97" s="70"/>
      <c r="M97" s="70"/>
      <c r="N97" s="70"/>
      <c r="O97" s="70"/>
      <c r="P97" s="70"/>
      <c r="Q97" s="70"/>
      <c r="R97" s="70"/>
      <c r="S97" s="70"/>
    </row>
    <row r="98">
      <c r="A98" s="233"/>
      <c r="B98" s="234"/>
      <c r="C98" s="235"/>
      <c r="D98" s="70"/>
      <c r="E98" s="70"/>
      <c r="F98" s="4"/>
      <c r="G98" s="4"/>
      <c r="H98" s="70"/>
      <c r="I98" s="70"/>
      <c r="J98" s="70"/>
      <c r="K98" s="70"/>
      <c r="L98" s="70"/>
      <c r="M98" s="70"/>
      <c r="N98" s="70"/>
      <c r="O98" s="70"/>
      <c r="P98" s="70"/>
      <c r="Q98" s="70"/>
      <c r="R98" s="70"/>
      <c r="S98" s="70"/>
    </row>
    <row r="99">
      <c r="A99" s="233"/>
      <c r="B99" s="234"/>
      <c r="C99" s="235"/>
      <c r="D99" s="4"/>
      <c r="E99" s="4"/>
      <c r="F99" s="4"/>
      <c r="G99" s="4"/>
      <c r="H99" s="70"/>
      <c r="I99" s="4"/>
      <c r="J99" s="4"/>
      <c r="K99" s="4"/>
      <c r="L99" s="4"/>
      <c r="M99" s="4"/>
      <c r="N99" s="4"/>
      <c r="O99" s="4"/>
      <c r="P99" s="4"/>
      <c r="Q99" s="4"/>
      <c r="R99" s="4"/>
      <c r="S99" s="4"/>
    </row>
    <row r="100">
      <c r="A100" s="233"/>
      <c r="B100" s="234"/>
      <c r="C100" s="235"/>
      <c r="D100" s="70"/>
      <c r="E100" s="70"/>
      <c r="F100" s="4"/>
      <c r="G100" s="4"/>
      <c r="H100" s="70"/>
      <c r="I100" s="70"/>
      <c r="J100" s="70"/>
      <c r="K100" s="70"/>
      <c r="L100" s="70"/>
      <c r="M100" s="70"/>
      <c r="N100" s="70"/>
      <c r="O100" s="70"/>
      <c r="P100" s="70"/>
      <c r="Q100" s="70"/>
      <c r="R100" s="70"/>
      <c r="S100" s="70"/>
    </row>
    <row r="101">
      <c r="A101" s="233"/>
      <c r="B101" s="234"/>
      <c r="C101" s="235"/>
      <c r="D101" s="70"/>
      <c r="E101" s="70"/>
      <c r="F101" s="4"/>
      <c r="G101" s="4"/>
      <c r="H101" s="70"/>
      <c r="I101" s="70"/>
      <c r="J101" s="70"/>
      <c r="K101" s="70"/>
      <c r="L101" s="70"/>
      <c r="M101" s="70"/>
      <c r="N101" s="70"/>
      <c r="O101" s="70"/>
      <c r="P101" s="70"/>
      <c r="Q101" s="70"/>
      <c r="R101" s="70"/>
      <c r="S101" s="70"/>
    </row>
    <row r="102">
      <c r="A102" s="233"/>
      <c r="B102" s="234"/>
      <c r="C102" s="235"/>
      <c r="D102" s="70"/>
      <c r="E102" s="70"/>
      <c r="F102" s="4"/>
      <c r="G102" s="4"/>
      <c r="H102" s="70"/>
      <c r="I102" s="4"/>
      <c r="J102" s="4"/>
      <c r="K102" s="4"/>
      <c r="L102" s="4"/>
      <c r="M102" s="4"/>
      <c r="N102" s="4"/>
      <c r="O102" s="4"/>
      <c r="P102" s="4"/>
      <c r="Q102" s="4"/>
      <c r="R102" s="4"/>
      <c r="S102" s="4"/>
    </row>
    <row r="103">
      <c r="A103" s="233"/>
      <c r="B103" s="236"/>
      <c r="C103" s="4"/>
      <c r="D103" s="4"/>
      <c r="E103" s="4"/>
      <c r="F103" s="4"/>
      <c r="G103" s="4"/>
      <c r="H103" s="4"/>
      <c r="I103" s="4"/>
      <c r="J103" s="4"/>
      <c r="K103" s="4"/>
      <c r="L103" s="4"/>
      <c r="M103" s="4"/>
      <c r="N103" s="4"/>
      <c r="O103" s="4"/>
      <c r="P103" s="4"/>
      <c r="Q103" s="4"/>
      <c r="R103" s="4"/>
      <c r="S103" s="4"/>
    </row>
    <row r="104">
      <c r="A104" s="233"/>
      <c r="B104" s="234"/>
      <c r="C104" s="235"/>
      <c r="D104" s="70"/>
      <c r="E104" s="70"/>
      <c r="F104" s="4"/>
      <c r="G104" s="4"/>
      <c r="H104" s="70"/>
      <c r="I104" s="70"/>
      <c r="J104" s="70"/>
      <c r="K104" s="70"/>
      <c r="L104" s="70"/>
      <c r="M104" s="70"/>
      <c r="N104" s="70"/>
      <c r="O104" s="70"/>
      <c r="P104" s="70"/>
      <c r="Q104" s="70"/>
      <c r="R104" s="70"/>
      <c r="S104" s="70"/>
    </row>
    <row r="105">
      <c r="A105" s="233"/>
      <c r="B105" s="234"/>
      <c r="C105" s="235"/>
      <c r="D105" s="70"/>
      <c r="E105" s="70"/>
      <c r="F105" s="4"/>
      <c r="G105" s="4"/>
      <c r="H105" s="70"/>
      <c r="I105" s="70"/>
      <c r="J105" s="70"/>
      <c r="K105" s="70"/>
      <c r="L105" s="70"/>
      <c r="M105" s="70"/>
      <c r="N105" s="70"/>
      <c r="O105" s="70"/>
      <c r="P105" s="70"/>
      <c r="Q105" s="70"/>
      <c r="R105" s="70"/>
      <c r="S105" s="70"/>
    </row>
    <row r="106">
      <c r="A106" s="233"/>
      <c r="B106" s="234"/>
      <c r="C106" s="235"/>
      <c r="D106" s="70"/>
      <c r="E106" s="70"/>
      <c r="F106" s="4"/>
      <c r="G106" s="4"/>
      <c r="H106" s="70"/>
      <c r="I106" s="70"/>
      <c r="J106" s="70"/>
      <c r="K106" s="70"/>
      <c r="L106" s="70"/>
      <c r="M106" s="70"/>
      <c r="N106" s="70"/>
      <c r="O106" s="70"/>
      <c r="P106" s="70"/>
      <c r="Q106" s="70"/>
      <c r="R106" s="70"/>
      <c r="S106" s="70"/>
    </row>
    <row r="107">
      <c r="A107" s="233"/>
      <c r="B107" s="234"/>
      <c r="C107" s="235"/>
      <c r="D107" s="70"/>
      <c r="E107" s="70"/>
      <c r="F107" s="4"/>
      <c r="G107" s="4"/>
      <c r="H107" s="70"/>
      <c r="I107" s="70"/>
      <c r="J107" s="70"/>
      <c r="K107" s="70"/>
      <c r="L107" s="70"/>
      <c r="M107" s="70"/>
      <c r="N107" s="70"/>
      <c r="O107" s="70"/>
      <c r="P107" s="70"/>
      <c r="Q107" s="70"/>
      <c r="R107" s="70"/>
      <c r="S107" s="70"/>
    </row>
    <row r="108">
      <c r="A108" s="233"/>
      <c r="B108" s="234"/>
      <c r="C108" s="235"/>
      <c r="D108" s="70"/>
      <c r="E108" s="70"/>
      <c r="F108" s="4"/>
      <c r="G108" s="4"/>
      <c r="H108" s="70"/>
      <c r="I108" s="70"/>
      <c r="J108" s="70"/>
      <c r="K108" s="70"/>
      <c r="L108" s="70"/>
      <c r="M108" s="70"/>
      <c r="N108" s="70"/>
      <c r="O108" s="70"/>
      <c r="P108" s="70"/>
      <c r="Q108" s="70"/>
      <c r="R108" s="70"/>
      <c r="S108" s="70"/>
    </row>
    <row r="109">
      <c r="A109" s="233"/>
      <c r="B109" s="234"/>
      <c r="C109" s="235"/>
      <c r="D109" s="70"/>
      <c r="E109" s="70"/>
      <c r="F109" s="4"/>
      <c r="G109" s="4"/>
      <c r="H109" s="70"/>
      <c r="I109" s="70"/>
      <c r="J109" s="70"/>
      <c r="K109" s="70"/>
      <c r="L109" s="70"/>
      <c r="M109" s="70"/>
      <c r="N109" s="70"/>
      <c r="O109" s="70"/>
      <c r="P109" s="70"/>
      <c r="Q109" s="70"/>
      <c r="R109" s="70"/>
      <c r="S109" s="70"/>
    </row>
    <row r="110">
      <c r="A110" s="233"/>
      <c r="B110" s="234"/>
      <c r="C110" s="235"/>
      <c r="D110" s="70"/>
      <c r="E110" s="70"/>
      <c r="F110" s="4"/>
      <c r="G110" s="4"/>
      <c r="H110" s="70"/>
      <c r="I110" s="70"/>
      <c r="J110" s="70"/>
      <c r="K110" s="70"/>
      <c r="L110" s="70"/>
      <c r="M110" s="70"/>
      <c r="N110" s="70"/>
      <c r="O110" s="70"/>
      <c r="P110" s="70"/>
      <c r="Q110" s="70"/>
      <c r="R110" s="70"/>
      <c r="S110" s="70"/>
    </row>
    <row r="111">
      <c r="A111" s="233"/>
      <c r="B111" s="234"/>
      <c r="C111" s="235"/>
      <c r="D111" s="70"/>
      <c r="E111" s="70"/>
      <c r="F111" s="4"/>
      <c r="G111" s="4"/>
      <c r="H111" s="70"/>
      <c r="I111" s="70"/>
      <c r="J111" s="70"/>
      <c r="K111" s="70"/>
      <c r="L111" s="70"/>
      <c r="M111" s="70"/>
      <c r="N111" s="70"/>
      <c r="O111" s="70"/>
      <c r="P111" s="70"/>
      <c r="Q111" s="70"/>
      <c r="R111" s="70"/>
      <c r="S111" s="70"/>
    </row>
    <row r="112">
      <c r="A112" s="233"/>
      <c r="B112" s="234"/>
      <c r="C112" s="235"/>
      <c r="D112" s="70"/>
      <c r="E112" s="70"/>
      <c r="F112" s="4"/>
      <c r="G112" s="4"/>
      <c r="H112" s="70"/>
      <c r="I112" s="70"/>
      <c r="J112" s="70"/>
      <c r="K112" s="70"/>
      <c r="L112" s="70"/>
      <c r="M112" s="70"/>
      <c r="N112" s="70"/>
      <c r="O112" s="70"/>
      <c r="P112" s="70"/>
      <c r="Q112" s="70"/>
      <c r="R112" s="70"/>
      <c r="S112" s="70"/>
    </row>
    <row r="113">
      <c r="A113" s="233"/>
      <c r="B113" s="234"/>
      <c r="C113" s="235"/>
      <c r="D113" s="70"/>
      <c r="E113" s="70"/>
      <c r="F113" s="4"/>
      <c r="G113" s="4"/>
      <c r="H113" s="70"/>
      <c r="I113" s="70"/>
      <c r="J113" s="70"/>
      <c r="K113" s="70"/>
      <c r="L113" s="70"/>
      <c r="M113" s="70"/>
      <c r="N113" s="70"/>
      <c r="O113" s="70"/>
      <c r="P113" s="70"/>
      <c r="Q113" s="70"/>
      <c r="R113" s="70"/>
      <c r="S113" s="70"/>
    </row>
    <row r="114">
      <c r="A114" s="233"/>
      <c r="B114" s="234"/>
      <c r="C114" s="235"/>
      <c r="D114" s="70"/>
      <c r="E114" s="70"/>
      <c r="F114" s="4"/>
      <c r="G114" s="4"/>
      <c r="H114" s="70"/>
      <c r="I114" s="70"/>
      <c r="J114" s="70"/>
      <c r="K114" s="70"/>
      <c r="L114" s="70"/>
      <c r="M114" s="70"/>
      <c r="N114" s="70"/>
      <c r="O114" s="70"/>
      <c r="P114" s="70"/>
      <c r="Q114" s="70"/>
      <c r="R114" s="70"/>
      <c r="S114" s="70"/>
    </row>
    <row r="115">
      <c r="A115" s="233"/>
      <c r="B115" s="234"/>
      <c r="C115" s="235"/>
      <c r="D115" s="70"/>
      <c r="E115" s="70"/>
      <c r="F115" s="4"/>
      <c r="G115" s="4"/>
      <c r="H115" s="70"/>
      <c r="I115" s="70"/>
      <c r="J115" s="70"/>
      <c r="K115" s="70"/>
      <c r="L115" s="70"/>
      <c r="M115" s="70"/>
      <c r="N115" s="70"/>
      <c r="O115" s="70"/>
      <c r="P115" s="70"/>
      <c r="Q115" s="70"/>
      <c r="R115" s="70"/>
      <c r="S115" s="70"/>
    </row>
    <row r="116">
      <c r="A116" s="233"/>
      <c r="B116" s="234"/>
      <c r="C116" s="235"/>
      <c r="D116" s="70"/>
      <c r="E116" s="70"/>
      <c r="F116" s="4"/>
      <c r="G116" s="4"/>
      <c r="H116" s="70"/>
      <c r="I116" s="70"/>
      <c r="J116" s="70"/>
      <c r="K116" s="70"/>
      <c r="L116" s="70"/>
      <c r="M116" s="70"/>
      <c r="N116" s="70"/>
      <c r="O116" s="70"/>
      <c r="P116" s="70"/>
      <c r="Q116" s="70"/>
      <c r="R116" s="70"/>
      <c r="S116" s="70"/>
    </row>
    <row r="117">
      <c r="A117" s="233"/>
      <c r="B117" s="234"/>
      <c r="C117" s="235"/>
      <c r="D117" s="70"/>
      <c r="E117" s="70"/>
      <c r="F117" s="4"/>
      <c r="G117" s="4"/>
      <c r="H117" s="70"/>
      <c r="I117" s="70"/>
      <c r="J117" s="70"/>
      <c r="K117" s="70"/>
      <c r="L117" s="70"/>
      <c r="M117" s="70"/>
      <c r="N117" s="70"/>
      <c r="O117" s="70"/>
      <c r="P117" s="70"/>
      <c r="Q117" s="70"/>
      <c r="R117" s="70"/>
      <c r="S117" s="70"/>
    </row>
    <row r="118">
      <c r="A118" s="233"/>
      <c r="B118" s="234"/>
      <c r="C118" s="235"/>
      <c r="D118" s="70"/>
      <c r="E118" s="70"/>
      <c r="F118" s="4"/>
      <c r="G118" s="4"/>
      <c r="H118" s="70"/>
      <c r="I118" s="70"/>
      <c r="J118" s="70"/>
      <c r="K118" s="70"/>
      <c r="L118" s="70"/>
      <c r="M118" s="70"/>
      <c r="N118" s="70"/>
      <c r="O118" s="70"/>
      <c r="P118" s="70"/>
      <c r="Q118" s="70"/>
      <c r="R118" s="70"/>
      <c r="S118" s="70"/>
    </row>
    <row r="119">
      <c r="A119" s="233"/>
      <c r="B119" s="234"/>
      <c r="C119" s="235"/>
      <c r="D119" s="70"/>
      <c r="E119" s="70"/>
      <c r="F119" s="4"/>
      <c r="G119" s="4"/>
      <c r="H119" s="70"/>
      <c r="I119" s="70"/>
      <c r="J119" s="70"/>
      <c r="K119" s="70"/>
      <c r="L119" s="70"/>
      <c r="M119" s="70"/>
      <c r="N119" s="70"/>
      <c r="O119" s="70"/>
      <c r="P119" s="70"/>
      <c r="Q119" s="70"/>
      <c r="R119" s="70"/>
      <c r="S119" s="70"/>
    </row>
    <row r="120">
      <c r="A120" s="233"/>
      <c r="B120" s="234"/>
      <c r="C120" s="235"/>
      <c r="D120" s="70"/>
      <c r="E120" s="70"/>
      <c r="F120" s="4"/>
      <c r="G120" s="4"/>
      <c r="H120" s="70"/>
      <c r="I120" s="70"/>
      <c r="J120" s="70"/>
      <c r="K120" s="70"/>
      <c r="L120" s="70"/>
      <c r="M120" s="70"/>
      <c r="N120" s="70"/>
      <c r="O120" s="70"/>
      <c r="P120" s="70"/>
      <c r="Q120" s="70"/>
      <c r="R120" s="70"/>
      <c r="S120" s="70"/>
    </row>
    <row r="121">
      <c r="A121" s="233"/>
      <c r="B121" s="234"/>
      <c r="C121" s="235"/>
      <c r="D121" s="70"/>
      <c r="E121" s="70"/>
      <c r="F121" s="4"/>
      <c r="G121" s="4"/>
      <c r="H121" s="70"/>
      <c r="I121" s="70"/>
      <c r="J121" s="70"/>
      <c r="K121" s="70"/>
      <c r="L121" s="70"/>
      <c r="M121" s="70"/>
      <c r="N121" s="70"/>
      <c r="O121" s="70"/>
      <c r="P121" s="70"/>
      <c r="Q121" s="70"/>
      <c r="R121" s="70"/>
      <c r="S121" s="70"/>
    </row>
    <row r="122">
      <c r="A122" s="233"/>
      <c r="B122" s="234"/>
      <c r="C122" s="235"/>
      <c r="D122" s="70"/>
      <c r="E122" s="70"/>
      <c r="F122" s="4"/>
      <c r="G122" s="4"/>
      <c r="H122" s="70"/>
      <c r="I122" s="4"/>
      <c r="J122" s="4"/>
      <c r="K122" s="4"/>
      <c r="L122" s="4"/>
      <c r="M122" s="4"/>
      <c r="N122" s="4"/>
      <c r="O122" s="4"/>
      <c r="P122" s="4"/>
      <c r="Q122" s="4"/>
      <c r="R122" s="4"/>
      <c r="S122" s="4"/>
    </row>
    <row r="123">
      <c r="A123" s="233"/>
      <c r="B123" s="236"/>
      <c r="C123" s="4"/>
      <c r="D123" s="4"/>
      <c r="E123" s="4"/>
      <c r="F123" s="4"/>
      <c r="G123" s="4"/>
      <c r="H123" s="4"/>
      <c r="I123" s="4"/>
      <c r="J123" s="4"/>
      <c r="K123" s="4"/>
      <c r="L123" s="4"/>
      <c r="M123" s="4"/>
      <c r="N123" s="4"/>
      <c r="O123" s="4"/>
      <c r="P123" s="4"/>
      <c r="Q123" s="4"/>
      <c r="R123" s="4"/>
      <c r="S123" s="4"/>
    </row>
    <row r="124">
      <c r="B124" s="185"/>
    </row>
    <row r="125">
      <c r="B125" s="185"/>
    </row>
    <row r="126">
      <c r="B126" s="185"/>
    </row>
    <row r="127">
      <c r="B127" s="185"/>
    </row>
    <row r="128">
      <c r="B128" s="185"/>
    </row>
    <row r="129">
      <c r="B129" s="185"/>
    </row>
    <row r="130">
      <c r="B130" s="185"/>
    </row>
    <row r="131">
      <c r="B131" s="185"/>
    </row>
    <row r="132">
      <c r="B132" s="185"/>
    </row>
    <row r="133">
      <c r="B133" s="185"/>
    </row>
    <row r="134">
      <c r="B134" s="185"/>
    </row>
    <row r="135">
      <c r="B135" s="185"/>
    </row>
    <row r="136">
      <c r="B136" s="185"/>
    </row>
    <row r="137">
      <c r="B137" s="185"/>
    </row>
    <row r="138">
      <c r="B138" s="185"/>
    </row>
    <row r="139">
      <c r="B139" s="185"/>
    </row>
    <row r="140">
      <c r="B140" s="185"/>
    </row>
    <row r="141">
      <c r="B141" s="185"/>
    </row>
    <row r="142">
      <c r="B142" s="185"/>
    </row>
    <row r="143">
      <c r="B143" s="185"/>
    </row>
    <row r="144">
      <c r="B144" s="185"/>
    </row>
    <row r="145">
      <c r="B145" s="185"/>
    </row>
    <row r="146">
      <c r="B146" s="185"/>
    </row>
    <row r="147">
      <c r="B147" s="185"/>
    </row>
    <row r="148">
      <c r="B148" s="185"/>
    </row>
    <row r="149">
      <c r="B149" s="185"/>
    </row>
    <row r="150">
      <c r="B150" s="185"/>
    </row>
    <row r="151">
      <c r="B151" s="185"/>
    </row>
    <row r="152">
      <c r="B152" s="185"/>
    </row>
    <row r="153">
      <c r="B153" s="185"/>
    </row>
    <row r="154">
      <c r="B154" s="185"/>
    </row>
    <row r="155">
      <c r="B155" s="185"/>
    </row>
    <row r="156">
      <c r="B156" s="185"/>
    </row>
    <row r="157">
      <c r="B157" s="185"/>
    </row>
    <row r="158">
      <c r="B158" s="185"/>
    </row>
    <row r="159">
      <c r="B159" s="185"/>
    </row>
    <row r="160">
      <c r="B160" s="185"/>
    </row>
    <row r="161">
      <c r="B161" s="185"/>
    </row>
    <row r="162">
      <c r="B162" s="185"/>
    </row>
    <row r="163">
      <c r="B163" s="185"/>
    </row>
    <row r="164">
      <c r="B164" s="185"/>
    </row>
    <row r="165">
      <c r="B165" s="185"/>
    </row>
    <row r="166">
      <c r="B166" s="185"/>
    </row>
    <row r="167">
      <c r="B167" s="185"/>
    </row>
    <row r="168">
      <c r="B168" s="185"/>
    </row>
    <row r="169">
      <c r="B169" s="185"/>
    </row>
    <row r="170">
      <c r="B170" s="185"/>
    </row>
    <row r="171">
      <c r="B171" s="185"/>
    </row>
    <row r="172">
      <c r="B172" s="185"/>
    </row>
    <row r="173">
      <c r="B173" s="185"/>
    </row>
    <row r="174">
      <c r="B174" s="185"/>
    </row>
    <row r="175">
      <c r="B175" s="185"/>
    </row>
    <row r="176">
      <c r="B176" s="185"/>
    </row>
    <row r="177">
      <c r="B177" s="185"/>
    </row>
    <row r="178">
      <c r="B178" s="185"/>
    </row>
    <row r="179">
      <c r="B179" s="185"/>
    </row>
    <row r="180">
      <c r="B180" s="185"/>
    </row>
    <row r="181">
      <c r="B181" s="185"/>
    </row>
    <row r="182">
      <c r="B182" s="185"/>
    </row>
    <row r="183">
      <c r="B183" s="185"/>
    </row>
    <row r="184">
      <c r="B184" s="185"/>
    </row>
    <row r="185">
      <c r="B185" s="185"/>
    </row>
    <row r="186">
      <c r="B186" s="185"/>
    </row>
    <row r="187">
      <c r="B187" s="185"/>
    </row>
    <row r="188">
      <c r="B188" s="185"/>
    </row>
    <row r="189">
      <c r="B189" s="185"/>
    </row>
    <row r="190">
      <c r="B190" s="185"/>
    </row>
    <row r="191">
      <c r="B191" s="185"/>
    </row>
    <row r="192">
      <c r="B192" s="185"/>
    </row>
    <row r="193">
      <c r="B193" s="185"/>
    </row>
    <row r="194">
      <c r="B194" s="185"/>
    </row>
    <row r="195">
      <c r="B195" s="185"/>
    </row>
    <row r="196">
      <c r="B196" s="185"/>
    </row>
    <row r="197">
      <c r="B197" s="185"/>
    </row>
    <row r="198">
      <c r="B198" s="185"/>
    </row>
    <row r="199">
      <c r="B199" s="185"/>
    </row>
    <row r="200">
      <c r="B200" s="185"/>
    </row>
    <row r="201">
      <c r="B201" s="185"/>
    </row>
    <row r="202">
      <c r="B202" s="185"/>
    </row>
    <row r="203">
      <c r="B203" s="185"/>
    </row>
    <row r="204">
      <c r="B204" s="185"/>
    </row>
    <row r="205">
      <c r="B205" s="185"/>
    </row>
    <row r="206">
      <c r="B206" s="185"/>
    </row>
    <row r="207">
      <c r="B207" s="185"/>
    </row>
    <row r="208">
      <c r="B208" s="185"/>
    </row>
    <row r="209">
      <c r="B209" s="185"/>
    </row>
    <row r="210">
      <c r="B210" s="185"/>
    </row>
    <row r="211">
      <c r="B211" s="185"/>
    </row>
    <row r="212">
      <c r="B212" s="185"/>
    </row>
    <row r="213">
      <c r="B213" s="185"/>
    </row>
    <row r="214">
      <c r="B214" s="185"/>
    </row>
    <row r="215">
      <c r="B215" s="185"/>
    </row>
    <row r="216">
      <c r="B216" s="185"/>
    </row>
    <row r="217">
      <c r="B217" s="185"/>
    </row>
    <row r="218">
      <c r="B218" s="185"/>
    </row>
    <row r="219">
      <c r="B219" s="185"/>
    </row>
    <row r="220">
      <c r="B220" s="185"/>
    </row>
    <row r="221">
      <c r="B221" s="185"/>
    </row>
    <row r="222">
      <c r="B222" s="185"/>
    </row>
    <row r="223">
      <c r="B223" s="185"/>
    </row>
    <row r="224">
      <c r="B224" s="185"/>
    </row>
    <row r="225">
      <c r="B225" s="185"/>
    </row>
    <row r="226">
      <c r="B226" s="185"/>
    </row>
    <row r="227">
      <c r="B227" s="185"/>
    </row>
    <row r="228">
      <c r="B228" s="185"/>
    </row>
    <row r="229">
      <c r="B229" s="185"/>
    </row>
    <row r="230">
      <c r="B230" s="185"/>
    </row>
    <row r="231">
      <c r="B231" s="185"/>
    </row>
    <row r="232">
      <c r="B232" s="185"/>
    </row>
    <row r="233">
      <c r="B233" s="185"/>
    </row>
    <row r="234">
      <c r="B234" s="185"/>
    </row>
    <row r="235">
      <c r="B235" s="185"/>
    </row>
    <row r="236">
      <c r="B236" s="185"/>
    </row>
    <row r="237">
      <c r="B237" s="185"/>
    </row>
    <row r="238">
      <c r="B238" s="185"/>
    </row>
    <row r="239">
      <c r="B239" s="185"/>
    </row>
    <row r="240">
      <c r="B240" s="185"/>
    </row>
    <row r="241">
      <c r="B241" s="185"/>
    </row>
    <row r="242">
      <c r="B242" s="185"/>
    </row>
    <row r="243">
      <c r="B243" s="185"/>
    </row>
    <row r="244">
      <c r="B244" s="185"/>
    </row>
    <row r="245">
      <c r="B245" s="185"/>
    </row>
    <row r="246">
      <c r="B246" s="185"/>
    </row>
    <row r="247">
      <c r="B247" s="185"/>
    </row>
    <row r="248">
      <c r="B248" s="185"/>
    </row>
    <row r="249">
      <c r="B249" s="185"/>
    </row>
    <row r="250">
      <c r="B250" s="185"/>
    </row>
    <row r="251">
      <c r="B251" s="185"/>
    </row>
    <row r="252">
      <c r="B252" s="185"/>
    </row>
    <row r="253">
      <c r="B253" s="185"/>
    </row>
    <row r="254">
      <c r="B254" s="185"/>
    </row>
    <row r="255">
      <c r="B255" s="185"/>
    </row>
    <row r="256">
      <c r="B256" s="185"/>
    </row>
    <row r="257">
      <c r="B257" s="185"/>
    </row>
    <row r="258">
      <c r="B258" s="185"/>
    </row>
    <row r="259">
      <c r="B259" s="185"/>
    </row>
    <row r="260">
      <c r="B260" s="185"/>
    </row>
    <row r="261">
      <c r="B261" s="185"/>
    </row>
    <row r="262">
      <c r="B262" s="185"/>
    </row>
    <row r="263">
      <c r="B263" s="185"/>
    </row>
    <row r="264">
      <c r="B264" s="185"/>
    </row>
    <row r="265">
      <c r="B265" s="185"/>
    </row>
    <row r="266">
      <c r="B266" s="185"/>
    </row>
    <row r="267">
      <c r="B267" s="185"/>
    </row>
    <row r="268">
      <c r="B268" s="185"/>
    </row>
    <row r="269">
      <c r="B269" s="185"/>
    </row>
    <row r="270">
      <c r="B270" s="185"/>
    </row>
    <row r="271">
      <c r="B271" s="185"/>
    </row>
    <row r="272">
      <c r="B272" s="185"/>
    </row>
    <row r="273">
      <c r="B273" s="185"/>
    </row>
    <row r="274">
      <c r="B274" s="185"/>
    </row>
    <row r="275">
      <c r="B275" s="185"/>
    </row>
    <row r="276">
      <c r="B276" s="185"/>
    </row>
    <row r="277">
      <c r="B277" s="185"/>
    </row>
    <row r="278">
      <c r="B278" s="185"/>
    </row>
    <row r="279">
      <c r="B279" s="185"/>
    </row>
    <row r="280">
      <c r="B280" s="185"/>
    </row>
    <row r="281">
      <c r="B281" s="185"/>
    </row>
    <row r="282">
      <c r="B282" s="185"/>
    </row>
    <row r="283">
      <c r="B283" s="185"/>
    </row>
    <row r="284">
      <c r="B284" s="185"/>
    </row>
    <row r="285">
      <c r="B285" s="185"/>
    </row>
    <row r="286">
      <c r="B286" s="185"/>
    </row>
    <row r="287">
      <c r="B287" s="185"/>
    </row>
    <row r="288">
      <c r="B288" s="185"/>
    </row>
    <row r="289">
      <c r="B289" s="185"/>
    </row>
    <row r="290">
      <c r="B290" s="185"/>
    </row>
    <row r="291">
      <c r="B291" s="185"/>
    </row>
    <row r="292">
      <c r="B292" s="185"/>
    </row>
    <row r="293">
      <c r="B293" s="185"/>
    </row>
    <row r="294">
      <c r="B294" s="185"/>
    </row>
    <row r="295">
      <c r="B295" s="185"/>
    </row>
    <row r="296">
      <c r="B296" s="185"/>
    </row>
    <row r="297">
      <c r="B297" s="185"/>
    </row>
    <row r="298">
      <c r="B298" s="185"/>
    </row>
    <row r="299">
      <c r="B299" s="185"/>
    </row>
    <row r="300">
      <c r="B300" s="185"/>
    </row>
    <row r="301">
      <c r="B301" s="185"/>
    </row>
    <row r="302">
      <c r="B302" s="185"/>
    </row>
    <row r="303">
      <c r="B303" s="185"/>
    </row>
    <row r="304">
      <c r="B304" s="185"/>
    </row>
    <row r="305">
      <c r="B305" s="185"/>
    </row>
    <row r="306">
      <c r="B306" s="185"/>
    </row>
    <row r="307">
      <c r="B307" s="185"/>
    </row>
    <row r="308">
      <c r="B308" s="185"/>
    </row>
    <row r="309">
      <c r="B309" s="185"/>
    </row>
    <row r="310">
      <c r="B310" s="185"/>
    </row>
    <row r="311">
      <c r="B311" s="185"/>
    </row>
    <row r="312">
      <c r="B312" s="185"/>
    </row>
    <row r="313">
      <c r="B313" s="185"/>
    </row>
    <row r="314">
      <c r="B314" s="185"/>
    </row>
    <row r="315">
      <c r="B315" s="185"/>
    </row>
    <row r="316">
      <c r="B316" s="185"/>
    </row>
    <row r="317">
      <c r="B317" s="185"/>
    </row>
    <row r="318">
      <c r="B318" s="185"/>
    </row>
    <row r="319">
      <c r="B319" s="185"/>
    </row>
    <row r="320">
      <c r="B320" s="185"/>
    </row>
    <row r="321">
      <c r="B321" s="185"/>
    </row>
    <row r="322">
      <c r="B322" s="185"/>
    </row>
    <row r="323">
      <c r="B323" s="185"/>
    </row>
    <row r="324">
      <c r="B324" s="185"/>
    </row>
    <row r="325">
      <c r="B325" s="185"/>
    </row>
    <row r="326">
      <c r="B326" s="185"/>
    </row>
    <row r="327">
      <c r="B327" s="185"/>
    </row>
    <row r="328">
      <c r="B328" s="185"/>
    </row>
    <row r="329">
      <c r="B329" s="185"/>
    </row>
    <row r="330">
      <c r="B330" s="185"/>
    </row>
    <row r="331">
      <c r="B331" s="185"/>
    </row>
    <row r="332">
      <c r="B332" s="185"/>
    </row>
    <row r="333">
      <c r="B333" s="185"/>
    </row>
    <row r="334">
      <c r="B334" s="185"/>
    </row>
    <row r="335">
      <c r="B335" s="185"/>
    </row>
    <row r="336">
      <c r="B336" s="185"/>
    </row>
    <row r="337">
      <c r="B337" s="185"/>
    </row>
    <row r="338">
      <c r="B338" s="185"/>
    </row>
    <row r="339">
      <c r="B339" s="185"/>
    </row>
    <row r="340">
      <c r="B340" s="185"/>
    </row>
    <row r="341">
      <c r="B341" s="185"/>
    </row>
    <row r="342">
      <c r="B342" s="185"/>
    </row>
    <row r="343">
      <c r="B343" s="185"/>
    </row>
    <row r="344">
      <c r="B344" s="185"/>
    </row>
    <row r="345">
      <c r="B345" s="185"/>
    </row>
    <row r="346">
      <c r="B346" s="185"/>
    </row>
    <row r="347">
      <c r="B347" s="185"/>
    </row>
    <row r="348">
      <c r="B348" s="185"/>
    </row>
    <row r="349">
      <c r="B349" s="185"/>
    </row>
    <row r="350">
      <c r="B350" s="185"/>
    </row>
    <row r="351">
      <c r="B351" s="185"/>
    </row>
    <row r="352">
      <c r="B352" s="185"/>
    </row>
    <row r="353">
      <c r="B353" s="185"/>
    </row>
    <row r="354">
      <c r="B354" s="185"/>
    </row>
    <row r="355">
      <c r="B355" s="185"/>
    </row>
    <row r="356">
      <c r="B356" s="185"/>
    </row>
    <row r="357">
      <c r="B357" s="185"/>
    </row>
    <row r="358">
      <c r="B358" s="185"/>
    </row>
    <row r="359">
      <c r="B359" s="185"/>
    </row>
    <row r="360">
      <c r="B360" s="185"/>
    </row>
    <row r="361">
      <c r="B361" s="185"/>
    </row>
    <row r="362">
      <c r="B362" s="185"/>
    </row>
    <row r="363">
      <c r="B363" s="185"/>
    </row>
    <row r="364">
      <c r="B364" s="185"/>
    </row>
    <row r="365">
      <c r="B365" s="185"/>
    </row>
    <row r="366">
      <c r="B366" s="185"/>
    </row>
    <row r="367">
      <c r="B367" s="185"/>
    </row>
    <row r="368">
      <c r="B368" s="185"/>
    </row>
    <row r="369">
      <c r="B369" s="185"/>
    </row>
    <row r="370">
      <c r="B370" s="185"/>
    </row>
    <row r="371">
      <c r="B371" s="185"/>
    </row>
    <row r="372">
      <c r="B372" s="185"/>
    </row>
    <row r="373">
      <c r="B373" s="185"/>
    </row>
    <row r="374">
      <c r="B374" s="185"/>
    </row>
    <row r="375">
      <c r="B375" s="185"/>
    </row>
    <row r="376">
      <c r="B376" s="185"/>
    </row>
    <row r="377">
      <c r="B377" s="185"/>
    </row>
    <row r="378">
      <c r="B378" s="185"/>
    </row>
    <row r="379">
      <c r="B379" s="185"/>
    </row>
    <row r="380">
      <c r="B380" s="185"/>
    </row>
    <row r="381">
      <c r="B381" s="185"/>
    </row>
    <row r="382">
      <c r="B382" s="185"/>
    </row>
    <row r="383">
      <c r="B383" s="185"/>
    </row>
    <row r="384">
      <c r="B384" s="185"/>
    </row>
    <row r="385">
      <c r="B385" s="185"/>
    </row>
    <row r="386">
      <c r="B386" s="185"/>
    </row>
    <row r="387">
      <c r="B387" s="185"/>
    </row>
    <row r="388">
      <c r="B388" s="185"/>
    </row>
    <row r="389">
      <c r="B389" s="185"/>
    </row>
    <row r="390">
      <c r="B390" s="185"/>
    </row>
    <row r="391">
      <c r="B391" s="185"/>
    </row>
    <row r="392">
      <c r="B392" s="185"/>
    </row>
    <row r="393">
      <c r="B393" s="185"/>
    </row>
    <row r="394">
      <c r="B394" s="185"/>
    </row>
    <row r="395">
      <c r="B395" s="185"/>
    </row>
    <row r="396">
      <c r="B396" s="185"/>
    </row>
    <row r="397">
      <c r="B397" s="185"/>
    </row>
    <row r="398">
      <c r="B398" s="185"/>
    </row>
    <row r="399">
      <c r="B399" s="185"/>
    </row>
    <row r="400">
      <c r="B400" s="185"/>
    </row>
    <row r="401">
      <c r="B401" s="185"/>
    </row>
    <row r="402">
      <c r="B402" s="185"/>
    </row>
    <row r="403">
      <c r="B403" s="185"/>
    </row>
    <row r="404">
      <c r="B404" s="185"/>
    </row>
    <row r="405">
      <c r="B405" s="185"/>
    </row>
    <row r="406">
      <c r="B406" s="185"/>
    </row>
    <row r="407">
      <c r="B407" s="185"/>
    </row>
    <row r="408">
      <c r="B408" s="185"/>
    </row>
    <row r="409">
      <c r="B409" s="185"/>
    </row>
    <row r="410">
      <c r="B410" s="185"/>
    </row>
    <row r="411">
      <c r="B411" s="185"/>
    </row>
    <row r="412">
      <c r="B412" s="185"/>
    </row>
    <row r="413">
      <c r="B413" s="185"/>
    </row>
    <row r="414">
      <c r="B414" s="185"/>
    </row>
    <row r="415">
      <c r="B415" s="185"/>
    </row>
    <row r="416">
      <c r="B416" s="185"/>
    </row>
    <row r="417">
      <c r="B417" s="185"/>
    </row>
    <row r="418">
      <c r="B418" s="185"/>
    </row>
    <row r="419">
      <c r="B419" s="185"/>
    </row>
    <row r="420">
      <c r="B420" s="185"/>
    </row>
    <row r="421">
      <c r="B421" s="185"/>
    </row>
    <row r="422">
      <c r="B422" s="185"/>
    </row>
    <row r="423">
      <c r="B423" s="185"/>
    </row>
    <row r="424">
      <c r="B424" s="185"/>
    </row>
    <row r="425">
      <c r="B425" s="185"/>
    </row>
    <row r="426">
      <c r="B426" s="185"/>
    </row>
    <row r="427">
      <c r="B427" s="185"/>
    </row>
    <row r="428">
      <c r="B428" s="185"/>
    </row>
    <row r="429">
      <c r="B429" s="185"/>
    </row>
    <row r="430">
      <c r="B430" s="185"/>
    </row>
    <row r="431">
      <c r="B431" s="185"/>
    </row>
    <row r="432">
      <c r="B432" s="185"/>
    </row>
    <row r="433">
      <c r="B433" s="185"/>
    </row>
    <row r="434">
      <c r="B434" s="185"/>
    </row>
    <row r="435">
      <c r="B435" s="185"/>
    </row>
    <row r="436">
      <c r="B436" s="185"/>
    </row>
    <row r="437">
      <c r="B437" s="185"/>
    </row>
    <row r="438">
      <c r="B438" s="185"/>
    </row>
    <row r="439">
      <c r="B439" s="185"/>
    </row>
    <row r="440">
      <c r="B440" s="185"/>
    </row>
    <row r="441">
      <c r="B441" s="185"/>
    </row>
    <row r="442">
      <c r="B442" s="185"/>
    </row>
    <row r="443">
      <c r="B443" s="185"/>
    </row>
    <row r="444">
      <c r="B444" s="185"/>
    </row>
    <row r="445">
      <c r="B445" s="185"/>
    </row>
    <row r="446">
      <c r="B446" s="185"/>
    </row>
    <row r="447">
      <c r="B447" s="185"/>
    </row>
    <row r="448">
      <c r="B448" s="185"/>
    </row>
    <row r="449">
      <c r="B449" s="185"/>
    </row>
    <row r="450">
      <c r="B450" s="185"/>
    </row>
    <row r="451">
      <c r="B451" s="185"/>
    </row>
    <row r="452">
      <c r="B452" s="185"/>
    </row>
    <row r="453">
      <c r="B453" s="185"/>
    </row>
    <row r="454">
      <c r="B454" s="185"/>
    </row>
    <row r="455">
      <c r="B455" s="185"/>
    </row>
    <row r="456">
      <c r="B456" s="185"/>
    </row>
    <row r="457">
      <c r="B457" s="185"/>
    </row>
    <row r="458">
      <c r="B458" s="185"/>
    </row>
    <row r="459">
      <c r="B459" s="185"/>
    </row>
    <row r="460">
      <c r="B460" s="185"/>
    </row>
    <row r="461">
      <c r="B461" s="185"/>
    </row>
    <row r="462">
      <c r="B462" s="185"/>
    </row>
    <row r="463">
      <c r="B463" s="185"/>
    </row>
    <row r="464">
      <c r="B464" s="185"/>
    </row>
    <row r="465">
      <c r="B465" s="185"/>
    </row>
    <row r="466">
      <c r="B466" s="185"/>
    </row>
    <row r="467">
      <c r="B467" s="185"/>
    </row>
    <row r="468">
      <c r="B468" s="185"/>
    </row>
    <row r="469">
      <c r="B469" s="185"/>
    </row>
    <row r="470">
      <c r="B470" s="185"/>
    </row>
    <row r="471">
      <c r="B471" s="185"/>
    </row>
    <row r="472">
      <c r="B472" s="185"/>
    </row>
    <row r="473">
      <c r="B473" s="185"/>
    </row>
    <row r="474">
      <c r="B474" s="185"/>
    </row>
    <row r="475">
      <c r="B475" s="185"/>
    </row>
    <row r="476">
      <c r="B476" s="185"/>
    </row>
    <row r="477">
      <c r="B477" s="185"/>
    </row>
    <row r="478">
      <c r="B478" s="185"/>
    </row>
    <row r="479">
      <c r="B479" s="185"/>
    </row>
    <row r="480">
      <c r="B480" s="185"/>
    </row>
    <row r="481">
      <c r="B481" s="185"/>
    </row>
    <row r="482">
      <c r="B482" s="185"/>
    </row>
    <row r="483">
      <c r="B483" s="185"/>
    </row>
    <row r="484">
      <c r="B484" s="185"/>
    </row>
    <row r="485">
      <c r="B485" s="185"/>
    </row>
    <row r="486">
      <c r="B486" s="185"/>
    </row>
    <row r="487">
      <c r="B487" s="185"/>
    </row>
    <row r="488">
      <c r="B488" s="185"/>
    </row>
    <row r="489">
      <c r="B489" s="185"/>
    </row>
    <row r="490">
      <c r="B490" s="185"/>
    </row>
    <row r="491">
      <c r="B491" s="185"/>
    </row>
    <row r="492">
      <c r="B492" s="185"/>
    </row>
    <row r="493">
      <c r="B493" s="185"/>
    </row>
    <row r="494">
      <c r="B494" s="185"/>
    </row>
    <row r="495">
      <c r="B495" s="185"/>
    </row>
    <row r="496">
      <c r="B496" s="185"/>
    </row>
    <row r="497">
      <c r="B497" s="185"/>
    </row>
    <row r="498">
      <c r="B498" s="185"/>
    </row>
    <row r="499">
      <c r="B499" s="185"/>
    </row>
    <row r="500">
      <c r="B500" s="185"/>
    </row>
    <row r="501">
      <c r="B501" s="185"/>
    </row>
    <row r="502">
      <c r="B502" s="185"/>
    </row>
    <row r="503">
      <c r="B503" s="185"/>
    </row>
    <row r="504">
      <c r="B504" s="185"/>
    </row>
    <row r="505">
      <c r="B505" s="185"/>
    </row>
    <row r="506">
      <c r="B506" s="185"/>
    </row>
    <row r="507">
      <c r="B507" s="185"/>
    </row>
    <row r="508">
      <c r="B508" s="185"/>
    </row>
    <row r="509">
      <c r="B509" s="185"/>
    </row>
    <row r="510">
      <c r="B510" s="185"/>
    </row>
    <row r="511">
      <c r="B511" s="185"/>
    </row>
    <row r="512">
      <c r="B512" s="185"/>
    </row>
    <row r="513">
      <c r="B513" s="185"/>
    </row>
    <row r="514">
      <c r="B514" s="185"/>
    </row>
    <row r="515">
      <c r="B515" s="185"/>
    </row>
    <row r="516">
      <c r="B516" s="185"/>
    </row>
    <row r="517">
      <c r="B517" s="185"/>
    </row>
    <row r="518">
      <c r="B518" s="185"/>
    </row>
    <row r="519">
      <c r="B519" s="185"/>
    </row>
    <row r="520">
      <c r="B520" s="185"/>
    </row>
    <row r="521">
      <c r="B521" s="185"/>
    </row>
    <row r="522">
      <c r="B522" s="185"/>
    </row>
    <row r="523">
      <c r="B523" s="185"/>
    </row>
    <row r="524">
      <c r="B524" s="185"/>
    </row>
    <row r="525">
      <c r="B525" s="185"/>
    </row>
    <row r="526">
      <c r="B526" s="185"/>
    </row>
    <row r="527">
      <c r="B527" s="185"/>
    </row>
    <row r="528">
      <c r="B528" s="185"/>
    </row>
    <row r="529">
      <c r="B529" s="185"/>
    </row>
    <row r="530">
      <c r="B530" s="185"/>
    </row>
    <row r="531">
      <c r="B531" s="185"/>
    </row>
    <row r="532">
      <c r="B532" s="185"/>
    </row>
    <row r="533">
      <c r="B533" s="185"/>
    </row>
    <row r="534">
      <c r="B534" s="185"/>
    </row>
    <row r="535">
      <c r="B535" s="185"/>
    </row>
    <row r="536">
      <c r="B536" s="185"/>
    </row>
    <row r="537">
      <c r="B537" s="185"/>
    </row>
    <row r="538">
      <c r="B538" s="185"/>
    </row>
    <row r="539">
      <c r="B539" s="185"/>
    </row>
    <row r="540">
      <c r="B540" s="185"/>
    </row>
    <row r="541">
      <c r="B541" s="185"/>
    </row>
    <row r="542">
      <c r="B542" s="185"/>
    </row>
    <row r="543">
      <c r="B543" s="185"/>
    </row>
    <row r="544">
      <c r="B544" s="185"/>
    </row>
    <row r="545">
      <c r="B545" s="185"/>
    </row>
    <row r="546">
      <c r="B546" s="185"/>
    </row>
    <row r="547">
      <c r="B547" s="185"/>
    </row>
    <row r="548">
      <c r="B548" s="185"/>
    </row>
    <row r="549">
      <c r="B549" s="185"/>
    </row>
    <row r="550">
      <c r="B550" s="185"/>
    </row>
    <row r="551">
      <c r="B551" s="185"/>
    </row>
    <row r="552">
      <c r="B552" s="185"/>
    </row>
    <row r="553">
      <c r="B553" s="185"/>
    </row>
    <row r="554">
      <c r="B554" s="185"/>
    </row>
    <row r="555">
      <c r="B555" s="185"/>
    </row>
    <row r="556">
      <c r="B556" s="185"/>
    </row>
    <row r="557">
      <c r="B557" s="185"/>
    </row>
    <row r="558">
      <c r="B558" s="185"/>
    </row>
    <row r="559">
      <c r="B559" s="185"/>
    </row>
    <row r="560">
      <c r="B560" s="185"/>
    </row>
    <row r="561">
      <c r="B561" s="185"/>
    </row>
    <row r="562">
      <c r="B562" s="185"/>
    </row>
    <row r="563">
      <c r="B563" s="185"/>
    </row>
    <row r="564">
      <c r="B564" s="185"/>
    </row>
    <row r="565">
      <c r="B565" s="185"/>
    </row>
    <row r="566">
      <c r="B566" s="185"/>
    </row>
    <row r="567">
      <c r="B567" s="185"/>
    </row>
    <row r="568">
      <c r="B568" s="185"/>
    </row>
    <row r="569">
      <c r="B569" s="185"/>
    </row>
    <row r="570">
      <c r="B570" s="185"/>
    </row>
    <row r="571">
      <c r="B571" s="185"/>
    </row>
    <row r="572">
      <c r="B572" s="185"/>
    </row>
    <row r="573">
      <c r="B573" s="185"/>
    </row>
    <row r="574">
      <c r="B574" s="185"/>
    </row>
    <row r="575">
      <c r="B575" s="185"/>
    </row>
    <row r="576">
      <c r="B576" s="185"/>
    </row>
    <row r="577">
      <c r="B577" s="185"/>
    </row>
    <row r="578">
      <c r="B578" s="185"/>
    </row>
    <row r="579">
      <c r="B579" s="185"/>
    </row>
    <row r="580">
      <c r="B580" s="185"/>
    </row>
    <row r="581">
      <c r="B581" s="185"/>
    </row>
    <row r="582">
      <c r="B582" s="185"/>
    </row>
    <row r="583">
      <c r="B583" s="185"/>
    </row>
    <row r="584">
      <c r="B584" s="185"/>
    </row>
    <row r="585">
      <c r="B585" s="185"/>
    </row>
    <row r="586">
      <c r="B586" s="185"/>
    </row>
    <row r="587">
      <c r="B587" s="185"/>
    </row>
    <row r="588">
      <c r="B588" s="185"/>
    </row>
    <row r="589">
      <c r="B589" s="185"/>
    </row>
    <row r="590">
      <c r="B590" s="185"/>
    </row>
    <row r="591">
      <c r="B591" s="185"/>
    </row>
    <row r="592">
      <c r="B592" s="185"/>
    </row>
    <row r="593">
      <c r="B593" s="185"/>
    </row>
    <row r="594">
      <c r="B594" s="185"/>
    </row>
    <row r="595">
      <c r="B595" s="185"/>
    </row>
    <row r="596">
      <c r="B596" s="185"/>
    </row>
    <row r="597">
      <c r="B597" s="185"/>
    </row>
    <row r="598">
      <c r="B598" s="185"/>
    </row>
    <row r="599">
      <c r="B599" s="185"/>
    </row>
    <row r="600">
      <c r="B600" s="185"/>
    </row>
    <row r="601">
      <c r="B601" s="185"/>
    </row>
    <row r="602">
      <c r="B602" s="185"/>
    </row>
    <row r="603">
      <c r="B603" s="185"/>
    </row>
    <row r="604">
      <c r="B604" s="185"/>
    </row>
    <row r="605">
      <c r="B605" s="185"/>
    </row>
    <row r="606">
      <c r="B606" s="185"/>
    </row>
    <row r="607">
      <c r="B607" s="185"/>
    </row>
    <row r="608">
      <c r="B608" s="185"/>
    </row>
    <row r="609">
      <c r="B609" s="185"/>
    </row>
    <row r="610">
      <c r="B610" s="185"/>
    </row>
    <row r="611">
      <c r="B611" s="185"/>
    </row>
    <row r="612">
      <c r="B612" s="185"/>
    </row>
    <row r="613">
      <c r="B613" s="185"/>
    </row>
    <row r="614">
      <c r="B614" s="185"/>
    </row>
    <row r="615">
      <c r="B615" s="185"/>
    </row>
    <row r="616">
      <c r="B616" s="185"/>
    </row>
    <row r="617">
      <c r="B617" s="185"/>
    </row>
    <row r="618">
      <c r="B618" s="185"/>
    </row>
    <row r="619">
      <c r="B619" s="185"/>
    </row>
    <row r="620">
      <c r="B620" s="185"/>
    </row>
    <row r="621">
      <c r="B621" s="185"/>
    </row>
    <row r="622">
      <c r="B622" s="185"/>
    </row>
    <row r="623">
      <c r="B623" s="185"/>
    </row>
    <row r="624">
      <c r="B624" s="185"/>
    </row>
    <row r="625">
      <c r="B625" s="185"/>
    </row>
    <row r="626">
      <c r="B626" s="185"/>
    </row>
    <row r="627">
      <c r="B627" s="185"/>
    </row>
    <row r="628">
      <c r="B628" s="185"/>
    </row>
    <row r="629">
      <c r="B629" s="185"/>
    </row>
    <row r="630">
      <c r="B630" s="185"/>
    </row>
    <row r="631">
      <c r="B631" s="185"/>
    </row>
    <row r="632">
      <c r="B632" s="185"/>
    </row>
    <row r="633">
      <c r="B633" s="185"/>
    </row>
    <row r="634">
      <c r="B634" s="185"/>
    </row>
    <row r="635">
      <c r="B635" s="185"/>
    </row>
    <row r="636">
      <c r="B636" s="185"/>
    </row>
    <row r="637">
      <c r="B637" s="185"/>
    </row>
    <row r="638">
      <c r="B638" s="185"/>
    </row>
    <row r="639">
      <c r="B639" s="185"/>
    </row>
    <row r="640">
      <c r="B640" s="185"/>
    </row>
    <row r="641">
      <c r="B641" s="185"/>
    </row>
    <row r="642">
      <c r="B642" s="185"/>
    </row>
    <row r="643">
      <c r="B643" s="185"/>
    </row>
    <row r="644">
      <c r="B644" s="185"/>
    </row>
    <row r="645">
      <c r="B645" s="185"/>
    </row>
    <row r="646">
      <c r="B646" s="185"/>
    </row>
    <row r="647">
      <c r="B647" s="185"/>
    </row>
    <row r="648">
      <c r="B648" s="185"/>
    </row>
    <row r="649">
      <c r="B649" s="185"/>
    </row>
    <row r="650">
      <c r="B650" s="185"/>
    </row>
    <row r="651">
      <c r="B651" s="185"/>
    </row>
    <row r="652">
      <c r="B652" s="185"/>
    </row>
    <row r="653">
      <c r="B653" s="185"/>
    </row>
    <row r="654">
      <c r="B654" s="185"/>
    </row>
    <row r="655">
      <c r="B655" s="185"/>
    </row>
    <row r="656">
      <c r="B656" s="185"/>
    </row>
    <row r="657">
      <c r="B657" s="185"/>
    </row>
    <row r="658">
      <c r="B658" s="185"/>
    </row>
    <row r="659">
      <c r="B659" s="185"/>
    </row>
    <row r="660">
      <c r="B660" s="185"/>
    </row>
    <row r="661">
      <c r="B661" s="185"/>
    </row>
    <row r="662">
      <c r="B662" s="185"/>
    </row>
    <row r="663">
      <c r="B663" s="185"/>
    </row>
    <row r="664">
      <c r="B664" s="185"/>
    </row>
    <row r="665">
      <c r="B665" s="185"/>
    </row>
    <row r="666">
      <c r="B666" s="185"/>
    </row>
    <row r="667">
      <c r="B667" s="185"/>
    </row>
    <row r="668">
      <c r="B668" s="185"/>
    </row>
    <row r="669">
      <c r="B669" s="185"/>
    </row>
    <row r="670">
      <c r="B670" s="185"/>
    </row>
    <row r="671">
      <c r="B671" s="185"/>
    </row>
    <row r="672">
      <c r="B672" s="185"/>
    </row>
    <row r="673">
      <c r="B673" s="185"/>
    </row>
    <row r="674">
      <c r="B674" s="185"/>
    </row>
    <row r="675">
      <c r="B675" s="185"/>
    </row>
    <row r="676">
      <c r="B676" s="185"/>
    </row>
    <row r="677">
      <c r="B677" s="185"/>
    </row>
    <row r="678">
      <c r="B678" s="185"/>
    </row>
    <row r="679">
      <c r="B679" s="185"/>
    </row>
    <row r="680">
      <c r="B680" s="185"/>
    </row>
    <row r="681">
      <c r="B681" s="185"/>
    </row>
    <row r="682">
      <c r="B682" s="185"/>
    </row>
    <row r="683">
      <c r="B683" s="185"/>
    </row>
    <row r="684">
      <c r="B684" s="185"/>
    </row>
    <row r="685">
      <c r="B685" s="185"/>
    </row>
    <row r="686">
      <c r="B686" s="185"/>
    </row>
    <row r="687">
      <c r="B687" s="185"/>
    </row>
    <row r="688">
      <c r="B688" s="185"/>
    </row>
    <row r="689">
      <c r="B689" s="185"/>
    </row>
    <row r="690">
      <c r="B690" s="185"/>
    </row>
    <row r="691">
      <c r="B691" s="185"/>
    </row>
    <row r="692">
      <c r="B692" s="185"/>
    </row>
    <row r="693">
      <c r="B693" s="185"/>
    </row>
    <row r="694">
      <c r="B694" s="185"/>
    </row>
    <row r="695">
      <c r="B695" s="185"/>
    </row>
    <row r="696">
      <c r="B696" s="185"/>
    </row>
    <row r="697">
      <c r="B697" s="185"/>
    </row>
    <row r="698">
      <c r="B698" s="185"/>
    </row>
    <row r="699">
      <c r="B699" s="185"/>
    </row>
    <row r="700">
      <c r="B700" s="185"/>
    </row>
    <row r="701">
      <c r="B701" s="185"/>
    </row>
    <row r="702">
      <c r="B702" s="185"/>
    </row>
    <row r="703">
      <c r="B703" s="185"/>
    </row>
    <row r="704">
      <c r="B704" s="185"/>
    </row>
    <row r="705">
      <c r="B705" s="185"/>
    </row>
    <row r="706">
      <c r="B706" s="185"/>
    </row>
    <row r="707">
      <c r="B707" s="185"/>
    </row>
    <row r="708">
      <c r="B708" s="185"/>
    </row>
    <row r="709">
      <c r="B709" s="185"/>
    </row>
    <row r="710">
      <c r="B710" s="185"/>
    </row>
    <row r="711">
      <c r="B711" s="185"/>
    </row>
    <row r="712">
      <c r="B712" s="185"/>
    </row>
    <row r="713">
      <c r="B713" s="185"/>
    </row>
    <row r="714">
      <c r="B714" s="185"/>
    </row>
    <row r="715">
      <c r="B715" s="185"/>
    </row>
    <row r="716">
      <c r="B716" s="185"/>
    </row>
    <row r="717">
      <c r="B717" s="185"/>
    </row>
    <row r="718">
      <c r="B718" s="185"/>
    </row>
    <row r="719">
      <c r="B719" s="185"/>
    </row>
    <row r="720">
      <c r="B720" s="185"/>
    </row>
    <row r="721">
      <c r="B721" s="185"/>
    </row>
    <row r="722">
      <c r="B722" s="185"/>
    </row>
    <row r="723">
      <c r="B723" s="185"/>
    </row>
    <row r="724">
      <c r="B724" s="185"/>
    </row>
    <row r="725">
      <c r="B725" s="185"/>
    </row>
    <row r="726">
      <c r="B726" s="185"/>
    </row>
    <row r="727">
      <c r="B727" s="185"/>
    </row>
    <row r="728">
      <c r="B728" s="185"/>
    </row>
    <row r="729">
      <c r="B729" s="185"/>
    </row>
    <row r="730">
      <c r="B730" s="185"/>
    </row>
    <row r="731">
      <c r="B731" s="185"/>
    </row>
    <row r="732">
      <c r="B732" s="185"/>
    </row>
    <row r="733">
      <c r="B733" s="185"/>
    </row>
    <row r="734">
      <c r="B734" s="185"/>
    </row>
    <row r="735">
      <c r="B735" s="185"/>
    </row>
    <row r="736">
      <c r="B736" s="185"/>
    </row>
    <row r="737">
      <c r="B737" s="185"/>
    </row>
    <row r="738">
      <c r="B738" s="185"/>
    </row>
    <row r="739">
      <c r="B739" s="185"/>
    </row>
    <row r="740">
      <c r="B740" s="185"/>
    </row>
    <row r="741">
      <c r="B741" s="185"/>
    </row>
    <row r="742">
      <c r="B742" s="185"/>
    </row>
    <row r="743">
      <c r="B743" s="185"/>
    </row>
    <row r="744">
      <c r="B744" s="185"/>
    </row>
    <row r="745">
      <c r="B745" s="185"/>
    </row>
    <row r="746">
      <c r="B746" s="185"/>
    </row>
    <row r="747">
      <c r="B747" s="185"/>
    </row>
    <row r="748">
      <c r="B748" s="185"/>
    </row>
    <row r="749">
      <c r="B749" s="185"/>
    </row>
    <row r="750">
      <c r="B750" s="185"/>
    </row>
    <row r="751">
      <c r="B751" s="185"/>
    </row>
    <row r="752">
      <c r="B752" s="185"/>
    </row>
    <row r="753">
      <c r="B753" s="185"/>
    </row>
    <row r="754">
      <c r="B754" s="185"/>
    </row>
    <row r="755">
      <c r="B755" s="185"/>
    </row>
    <row r="756">
      <c r="B756" s="185"/>
    </row>
    <row r="757">
      <c r="B757" s="185"/>
    </row>
    <row r="758">
      <c r="B758" s="185"/>
    </row>
    <row r="759">
      <c r="B759" s="185"/>
    </row>
    <row r="760">
      <c r="B760" s="185"/>
    </row>
    <row r="761">
      <c r="B761" s="185"/>
    </row>
    <row r="762">
      <c r="B762" s="185"/>
    </row>
    <row r="763">
      <c r="B763" s="185"/>
    </row>
    <row r="764">
      <c r="B764" s="185"/>
    </row>
    <row r="765">
      <c r="B765" s="185"/>
    </row>
    <row r="766">
      <c r="B766" s="185"/>
    </row>
    <row r="767">
      <c r="B767" s="185"/>
    </row>
    <row r="768">
      <c r="B768" s="185"/>
    </row>
    <row r="769">
      <c r="B769" s="185"/>
    </row>
    <row r="770">
      <c r="B770" s="185"/>
    </row>
    <row r="771">
      <c r="B771" s="185"/>
    </row>
    <row r="772">
      <c r="B772" s="185"/>
    </row>
    <row r="773">
      <c r="B773" s="185"/>
    </row>
    <row r="774">
      <c r="B774" s="185"/>
    </row>
    <row r="775">
      <c r="B775" s="185"/>
    </row>
    <row r="776">
      <c r="B776" s="185"/>
    </row>
    <row r="777">
      <c r="B777" s="185"/>
    </row>
    <row r="778">
      <c r="B778" s="185"/>
    </row>
    <row r="779">
      <c r="B779" s="185"/>
    </row>
    <row r="780">
      <c r="B780" s="185"/>
    </row>
    <row r="781">
      <c r="B781" s="185"/>
    </row>
    <row r="782">
      <c r="B782" s="185"/>
    </row>
    <row r="783">
      <c r="B783" s="185"/>
    </row>
    <row r="784">
      <c r="B784" s="185"/>
    </row>
    <row r="785">
      <c r="B785" s="185"/>
    </row>
    <row r="786">
      <c r="B786" s="185"/>
    </row>
    <row r="787">
      <c r="B787" s="185"/>
    </row>
    <row r="788">
      <c r="B788" s="185"/>
    </row>
    <row r="789">
      <c r="B789" s="185"/>
    </row>
    <row r="790">
      <c r="B790" s="185"/>
    </row>
    <row r="791">
      <c r="B791" s="185"/>
    </row>
    <row r="792">
      <c r="B792" s="185"/>
    </row>
    <row r="793">
      <c r="B793" s="185"/>
    </row>
    <row r="794">
      <c r="B794" s="185"/>
    </row>
    <row r="795">
      <c r="B795" s="185"/>
    </row>
    <row r="796">
      <c r="B796" s="185"/>
    </row>
    <row r="797">
      <c r="B797" s="185"/>
    </row>
    <row r="798">
      <c r="B798" s="185"/>
    </row>
    <row r="799">
      <c r="B799" s="185"/>
    </row>
    <row r="800">
      <c r="B800" s="185"/>
    </row>
    <row r="801">
      <c r="B801" s="185"/>
    </row>
    <row r="802">
      <c r="B802" s="185"/>
    </row>
    <row r="803">
      <c r="B803" s="185"/>
    </row>
    <row r="804">
      <c r="B804" s="185"/>
    </row>
    <row r="805">
      <c r="B805" s="185"/>
    </row>
    <row r="806">
      <c r="B806" s="185"/>
    </row>
    <row r="807">
      <c r="B807" s="185"/>
    </row>
    <row r="808">
      <c r="B808" s="185"/>
    </row>
    <row r="809">
      <c r="B809" s="185"/>
    </row>
    <row r="810">
      <c r="B810" s="185"/>
    </row>
    <row r="811">
      <c r="B811" s="185"/>
    </row>
    <row r="812">
      <c r="B812" s="185"/>
    </row>
    <row r="813">
      <c r="B813" s="185"/>
    </row>
    <row r="814">
      <c r="B814" s="185"/>
    </row>
    <row r="815">
      <c r="B815" s="185"/>
    </row>
    <row r="816">
      <c r="B816" s="185"/>
    </row>
    <row r="817">
      <c r="B817" s="185"/>
    </row>
    <row r="818">
      <c r="B818" s="185"/>
    </row>
    <row r="819">
      <c r="B819" s="185"/>
    </row>
    <row r="820">
      <c r="B820" s="185"/>
    </row>
    <row r="821">
      <c r="B821" s="185"/>
    </row>
    <row r="822">
      <c r="B822" s="185"/>
    </row>
    <row r="823">
      <c r="B823" s="185"/>
    </row>
    <row r="824">
      <c r="B824" s="185"/>
    </row>
    <row r="825">
      <c r="B825" s="185"/>
    </row>
    <row r="826">
      <c r="B826" s="185"/>
    </row>
    <row r="827">
      <c r="B827" s="185"/>
    </row>
    <row r="828">
      <c r="B828" s="185"/>
    </row>
    <row r="829">
      <c r="B829" s="185"/>
    </row>
    <row r="830">
      <c r="B830" s="185"/>
    </row>
    <row r="831">
      <c r="B831" s="185"/>
    </row>
    <row r="832">
      <c r="B832" s="185"/>
    </row>
    <row r="833">
      <c r="B833" s="185"/>
    </row>
    <row r="834">
      <c r="B834" s="185"/>
    </row>
    <row r="835">
      <c r="B835" s="185"/>
    </row>
    <row r="836">
      <c r="B836" s="185"/>
    </row>
    <row r="837">
      <c r="B837" s="185"/>
    </row>
    <row r="838">
      <c r="B838" s="185"/>
    </row>
    <row r="839">
      <c r="B839" s="185"/>
    </row>
    <row r="840">
      <c r="B840" s="185"/>
    </row>
    <row r="841">
      <c r="B841" s="185"/>
    </row>
    <row r="842">
      <c r="B842" s="185"/>
    </row>
    <row r="843">
      <c r="B843" s="185"/>
    </row>
    <row r="844">
      <c r="B844" s="185"/>
    </row>
    <row r="845">
      <c r="B845" s="185"/>
    </row>
    <row r="846">
      <c r="B846" s="185"/>
    </row>
    <row r="847">
      <c r="B847" s="185"/>
    </row>
    <row r="848">
      <c r="B848" s="185"/>
    </row>
    <row r="849">
      <c r="B849" s="185"/>
    </row>
    <row r="850">
      <c r="B850" s="185"/>
    </row>
    <row r="851">
      <c r="B851" s="185"/>
    </row>
    <row r="852">
      <c r="B852" s="185"/>
    </row>
    <row r="853">
      <c r="B853" s="185"/>
    </row>
    <row r="854">
      <c r="B854" s="185"/>
    </row>
    <row r="855">
      <c r="B855" s="185"/>
    </row>
    <row r="856">
      <c r="B856" s="185"/>
    </row>
    <row r="857">
      <c r="B857" s="185"/>
    </row>
    <row r="858">
      <c r="B858" s="185"/>
    </row>
    <row r="859">
      <c r="B859" s="185"/>
    </row>
    <row r="860">
      <c r="B860" s="185"/>
    </row>
    <row r="861">
      <c r="B861" s="185"/>
    </row>
    <row r="862">
      <c r="B862" s="185"/>
    </row>
    <row r="863">
      <c r="B863" s="185"/>
    </row>
    <row r="864">
      <c r="B864" s="185"/>
    </row>
    <row r="865">
      <c r="B865" s="185"/>
    </row>
    <row r="866">
      <c r="B866" s="185"/>
    </row>
    <row r="867">
      <c r="B867" s="185"/>
    </row>
    <row r="868">
      <c r="B868" s="185"/>
    </row>
    <row r="869">
      <c r="B869" s="185"/>
    </row>
    <row r="870">
      <c r="B870" s="185"/>
    </row>
    <row r="871">
      <c r="B871" s="185"/>
    </row>
    <row r="872">
      <c r="B872" s="185"/>
    </row>
    <row r="873">
      <c r="B873" s="185"/>
    </row>
    <row r="874">
      <c r="B874" s="185"/>
    </row>
    <row r="875">
      <c r="B875" s="185"/>
    </row>
    <row r="876">
      <c r="B876" s="185"/>
    </row>
    <row r="877">
      <c r="B877" s="185"/>
    </row>
    <row r="878">
      <c r="B878" s="185"/>
    </row>
    <row r="879">
      <c r="B879" s="185"/>
    </row>
    <row r="880">
      <c r="B880" s="185"/>
    </row>
    <row r="881">
      <c r="B881" s="185"/>
    </row>
    <row r="882">
      <c r="B882" s="185"/>
    </row>
    <row r="883">
      <c r="B883" s="185"/>
    </row>
    <row r="884">
      <c r="B884" s="185"/>
    </row>
    <row r="885">
      <c r="B885" s="185"/>
    </row>
    <row r="886">
      <c r="B886" s="185"/>
    </row>
    <row r="887">
      <c r="B887" s="185"/>
    </row>
    <row r="888">
      <c r="B888" s="185"/>
    </row>
    <row r="889">
      <c r="B889" s="185"/>
    </row>
    <row r="890">
      <c r="B890" s="185"/>
    </row>
    <row r="891">
      <c r="B891" s="185"/>
    </row>
    <row r="892">
      <c r="B892" s="185"/>
    </row>
    <row r="893">
      <c r="B893" s="185"/>
    </row>
    <row r="894">
      <c r="B894" s="185"/>
    </row>
    <row r="895">
      <c r="B895" s="185"/>
    </row>
    <row r="896">
      <c r="B896" s="185"/>
    </row>
    <row r="897">
      <c r="B897" s="185"/>
    </row>
    <row r="898">
      <c r="B898" s="185"/>
    </row>
    <row r="899">
      <c r="B899" s="185"/>
    </row>
    <row r="900">
      <c r="B900" s="185"/>
    </row>
    <row r="901">
      <c r="B901" s="185"/>
    </row>
    <row r="902">
      <c r="B902" s="185"/>
    </row>
    <row r="903">
      <c r="B903" s="185"/>
    </row>
    <row r="904">
      <c r="B904" s="185"/>
    </row>
    <row r="905">
      <c r="B905" s="185"/>
    </row>
    <row r="906">
      <c r="B906" s="185"/>
    </row>
    <row r="907">
      <c r="B907" s="185"/>
    </row>
    <row r="908">
      <c r="B908" s="185"/>
    </row>
    <row r="909">
      <c r="B909" s="185"/>
    </row>
    <row r="910">
      <c r="B910" s="185"/>
    </row>
    <row r="911">
      <c r="B911" s="185"/>
    </row>
    <row r="912">
      <c r="B912" s="185"/>
    </row>
    <row r="913">
      <c r="B913" s="185"/>
    </row>
    <row r="914">
      <c r="B914" s="185"/>
    </row>
    <row r="915">
      <c r="B915" s="185"/>
    </row>
    <row r="916">
      <c r="B916" s="185"/>
    </row>
    <row r="917">
      <c r="B917" s="185"/>
    </row>
    <row r="918">
      <c r="B918" s="185"/>
    </row>
    <row r="919">
      <c r="B919" s="185"/>
    </row>
    <row r="920">
      <c r="B920" s="185"/>
    </row>
    <row r="921">
      <c r="B921" s="185"/>
    </row>
    <row r="922">
      <c r="B922" s="185"/>
    </row>
    <row r="923">
      <c r="B923" s="185"/>
    </row>
    <row r="924">
      <c r="B924" s="185"/>
    </row>
    <row r="925">
      <c r="B925" s="185"/>
    </row>
    <row r="926">
      <c r="B926" s="185"/>
    </row>
    <row r="927">
      <c r="B927" s="185"/>
    </row>
    <row r="928">
      <c r="B928" s="185"/>
    </row>
    <row r="929">
      <c r="B929" s="185"/>
    </row>
    <row r="930">
      <c r="B930" s="185"/>
    </row>
    <row r="931">
      <c r="B931" s="185"/>
    </row>
    <row r="932">
      <c r="B932" s="185"/>
    </row>
    <row r="933">
      <c r="B933" s="185"/>
    </row>
    <row r="934">
      <c r="B934" s="185"/>
    </row>
    <row r="935">
      <c r="B935" s="185"/>
    </row>
    <row r="936">
      <c r="B936" s="185"/>
    </row>
    <row r="937">
      <c r="B937" s="185"/>
    </row>
    <row r="938">
      <c r="B938" s="185"/>
    </row>
    <row r="939">
      <c r="B939" s="185"/>
    </row>
    <row r="940">
      <c r="B940" s="185"/>
    </row>
    <row r="941">
      <c r="B941" s="185"/>
    </row>
    <row r="942">
      <c r="B942" s="185"/>
    </row>
    <row r="943">
      <c r="B943" s="185"/>
    </row>
    <row r="944">
      <c r="B944" s="185"/>
    </row>
    <row r="945">
      <c r="B945" s="185"/>
    </row>
    <row r="946">
      <c r="B946" s="185"/>
    </row>
    <row r="947">
      <c r="B947" s="185"/>
    </row>
    <row r="948">
      <c r="B948" s="185"/>
    </row>
    <row r="949">
      <c r="B949" s="185"/>
    </row>
    <row r="950">
      <c r="B950" s="185"/>
    </row>
    <row r="951">
      <c r="B951" s="185"/>
    </row>
    <row r="952">
      <c r="B952" s="185"/>
    </row>
    <row r="953">
      <c r="B953" s="185"/>
    </row>
    <row r="954">
      <c r="B954" s="185"/>
    </row>
    <row r="955">
      <c r="B955" s="185"/>
    </row>
    <row r="956">
      <c r="B956" s="185"/>
    </row>
    <row r="957">
      <c r="B957" s="185"/>
    </row>
    <row r="958">
      <c r="B958" s="185"/>
    </row>
    <row r="959">
      <c r="B959" s="185"/>
    </row>
    <row r="960">
      <c r="B960" s="185"/>
    </row>
    <row r="961">
      <c r="B961" s="185"/>
    </row>
    <row r="962">
      <c r="B962" s="185"/>
    </row>
    <row r="963">
      <c r="B963" s="185"/>
    </row>
    <row r="964">
      <c r="B964" s="185"/>
    </row>
    <row r="965">
      <c r="B965" s="185"/>
    </row>
    <row r="966">
      <c r="B966" s="185"/>
    </row>
    <row r="967">
      <c r="B967" s="185"/>
    </row>
    <row r="968">
      <c r="B968" s="185"/>
    </row>
    <row r="969">
      <c r="B969" s="185"/>
    </row>
    <row r="970">
      <c r="B970" s="185"/>
    </row>
    <row r="971">
      <c r="B971" s="185"/>
    </row>
    <row r="972">
      <c r="B972" s="185"/>
    </row>
    <row r="973">
      <c r="B973" s="185"/>
    </row>
    <row r="974">
      <c r="B974" s="185"/>
    </row>
    <row r="975">
      <c r="B975" s="185"/>
    </row>
    <row r="976">
      <c r="B976" s="185"/>
    </row>
    <row r="977">
      <c r="B977" s="185"/>
    </row>
    <row r="978">
      <c r="B978" s="185"/>
    </row>
    <row r="979">
      <c r="B979" s="185"/>
    </row>
    <row r="980">
      <c r="B980" s="185"/>
    </row>
    <row r="981">
      <c r="B981" s="185"/>
    </row>
    <row r="982">
      <c r="B982" s="185"/>
    </row>
    <row r="983">
      <c r="B983" s="185"/>
    </row>
    <row r="984">
      <c r="B984" s="185"/>
    </row>
    <row r="985">
      <c r="B985" s="185"/>
    </row>
    <row r="986">
      <c r="B986" s="185"/>
    </row>
    <row r="987">
      <c r="B987" s="185"/>
    </row>
    <row r="988">
      <c r="B988" s="185"/>
    </row>
    <row r="989">
      <c r="B989" s="185"/>
    </row>
    <row r="990">
      <c r="B990" s="185"/>
    </row>
    <row r="991">
      <c r="B991" s="185"/>
    </row>
    <row r="992">
      <c r="B992" s="185"/>
    </row>
    <row r="993">
      <c r="B993" s="185"/>
    </row>
    <row r="994">
      <c r="B994" s="185"/>
    </row>
    <row r="995">
      <c r="B995" s="185"/>
    </row>
    <row r="996">
      <c r="B996" s="185"/>
    </row>
    <row r="997">
      <c r="B997" s="185"/>
    </row>
    <row r="998">
      <c r="B998" s="185"/>
    </row>
    <row r="999">
      <c r="B999" s="185"/>
    </row>
    <row r="1000">
      <c r="B1000" s="185"/>
    </row>
    <row r="1001">
      <c r="B1001" s="185"/>
    </row>
  </sheetData>
  <mergeCells count="4">
    <mergeCell ref="T3:AC4"/>
    <mergeCell ref="AE6:AL7"/>
    <mergeCell ref="Q7:S7"/>
    <mergeCell ref="O51:P5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3" max="3" width="14.75"/>
    <col customWidth="1" min="4" max="4" width="13.63"/>
    <col customWidth="1" min="5" max="5" width="40.0"/>
    <col customWidth="1" min="6" max="6" width="10.38"/>
    <col customWidth="1" min="8" max="15" width="9.13"/>
    <col customWidth="1" min="16" max="16" width="6.5"/>
    <col min="17" max="17" width="12.63" outlineLevel="1"/>
    <col customWidth="1" min="18" max="18" width="18.5" outlineLevel="1"/>
    <col customWidth="1" min="19" max="19" width="8.75" outlineLevel="1"/>
    <col customWidth="1" min="20" max="20" width="44.25"/>
    <col customWidth="1" min="26" max="26" width="14.0"/>
    <col customWidth="1" min="29" max="29" width="15.63"/>
    <col customWidth="1" min="32" max="32" width="44.25"/>
    <col customWidth="1" min="33" max="33" width="14.75"/>
    <col customWidth="1" min="38" max="38" width="14.88"/>
  </cols>
  <sheetData>
    <row r="1">
      <c r="A1" s="165" t="s">
        <v>127</v>
      </c>
      <c r="B1" s="166" t="s">
        <v>128</v>
      </c>
      <c r="C1" s="167"/>
      <c r="D1" s="167"/>
      <c r="E1" s="167"/>
      <c r="F1" s="4"/>
      <c r="G1" s="4"/>
      <c r="H1" s="4"/>
      <c r="I1" s="5"/>
      <c r="J1" s="5"/>
      <c r="K1" s="5"/>
      <c r="L1" s="5"/>
      <c r="M1" s="5"/>
      <c r="N1" s="5"/>
      <c r="O1" s="5"/>
      <c r="P1" s="5"/>
      <c r="Q1" s="5"/>
      <c r="R1" s="5"/>
      <c r="S1" s="5"/>
    </row>
    <row r="2" ht="20.25" customHeight="1">
      <c r="A2" s="6"/>
      <c r="B2" s="168"/>
      <c r="C2" s="8"/>
      <c r="D2" s="8"/>
      <c r="E2" s="8"/>
      <c r="F2" s="8"/>
      <c r="G2" s="8"/>
      <c r="H2" s="8"/>
      <c r="I2" s="8"/>
      <c r="J2" s="8"/>
      <c r="K2" s="8"/>
      <c r="L2" s="8"/>
      <c r="M2" s="8"/>
      <c r="N2" s="8"/>
      <c r="O2" s="8"/>
      <c r="P2" s="8"/>
      <c r="Q2" s="8"/>
      <c r="R2" s="8"/>
      <c r="S2" s="8"/>
    </row>
    <row r="3" ht="19.5" customHeight="1">
      <c r="A3" s="6"/>
      <c r="B3" s="168"/>
      <c r="C3" s="8"/>
      <c r="D3" s="8"/>
      <c r="E3" s="8"/>
      <c r="F3" s="8"/>
      <c r="G3" s="8"/>
      <c r="H3" s="8"/>
      <c r="I3" s="8"/>
      <c r="J3" s="8"/>
      <c r="K3" s="8"/>
      <c r="L3" s="8"/>
      <c r="M3" s="8"/>
      <c r="N3" s="8"/>
      <c r="O3" s="8"/>
      <c r="P3" s="8"/>
      <c r="Q3" s="8"/>
      <c r="R3" s="8"/>
      <c r="S3" s="8"/>
    </row>
    <row r="4">
      <c r="A4" s="11"/>
      <c r="B4" s="169"/>
      <c r="C4" s="11"/>
      <c r="D4" s="11"/>
      <c r="E4" s="11"/>
      <c r="F4" s="11"/>
      <c r="G4" s="11"/>
      <c r="H4" s="11"/>
      <c r="I4" s="11"/>
      <c r="J4" s="11"/>
      <c r="K4" s="11"/>
      <c r="L4" s="11"/>
      <c r="M4" s="11"/>
      <c r="N4" s="11"/>
      <c r="O4" s="11"/>
      <c r="P4" s="11"/>
      <c r="Q4" s="11"/>
      <c r="R4" s="11"/>
      <c r="S4" s="11"/>
      <c r="AD4" s="12"/>
    </row>
    <row r="5">
      <c r="A5" s="8"/>
      <c r="B5" s="170"/>
      <c r="C5" s="8"/>
      <c r="D5" s="8"/>
      <c r="E5" s="8"/>
      <c r="F5" s="8"/>
      <c r="G5" s="8"/>
      <c r="H5" s="8"/>
      <c r="I5" s="8"/>
      <c r="J5" s="8"/>
      <c r="K5" s="8"/>
      <c r="L5" s="8"/>
      <c r="M5" s="8"/>
      <c r="N5" s="8"/>
      <c r="O5" s="8"/>
      <c r="P5" s="8"/>
      <c r="Q5" s="8"/>
      <c r="R5" s="8"/>
      <c r="S5" s="8"/>
      <c r="T5" s="9" t="s">
        <v>0</v>
      </c>
      <c r="AD5" s="12"/>
    </row>
    <row r="6">
      <c r="A6" s="171"/>
      <c r="B6" s="172"/>
      <c r="C6" s="171"/>
      <c r="D6" s="171"/>
      <c r="E6" s="171"/>
      <c r="F6" s="171"/>
      <c r="G6" s="171"/>
      <c r="H6" s="171"/>
      <c r="I6" s="8"/>
      <c r="J6" s="8"/>
      <c r="K6" s="8"/>
      <c r="L6" s="8"/>
      <c r="M6" s="8"/>
      <c r="N6" s="8"/>
      <c r="O6" s="8"/>
      <c r="P6" s="8"/>
      <c r="Q6" s="8"/>
      <c r="R6" s="8"/>
      <c r="S6" s="8"/>
      <c r="AD6" s="12"/>
      <c r="AE6" s="18" t="s">
        <v>13</v>
      </c>
    </row>
    <row r="7">
      <c r="A7" s="171"/>
      <c r="B7" s="172"/>
      <c r="C7" s="171"/>
      <c r="D7" s="171"/>
      <c r="E7" s="171"/>
      <c r="F7" s="171"/>
      <c r="G7" s="171"/>
      <c r="H7" s="171"/>
      <c r="I7" s="22"/>
      <c r="J7" s="22"/>
      <c r="K7" s="22"/>
      <c r="L7" s="22"/>
      <c r="M7" s="22"/>
      <c r="N7" s="22"/>
      <c r="O7" s="22"/>
      <c r="P7" s="22"/>
      <c r="Q7" s="173" t="s">
        <v>15</v>
      </c>
      <c r="R7" s="174"/>
      <c r="S7" s="175"/>
      <c r="T7" s="13" t="s">
        <v>1</v>
      </c>
      <c r="U7" s="13" t="s">
        <v>2</v>
      </c>
      <c r="V7" s="13" t="s">
        <v>3</v>
      </c>
      <c r="W7" s="13" t="s">
        <v>4</v>
      </c>
      <c r="X7" s="13" t="s">
        <v>5</v>
      </c>
      <c r="Y7" s="13" t="s">
        <v>6</v>
      </c>
      <c r="Z7" s="13" t="s">
        <v>7</v>
      </c>
      <c r="AA7" s="13" t="s">
        <v>8</v>
      </c>
      <c r="AB7" s="13" t="s">
        <v>9</v>
      </c>
      <c r="AC7" s="13" t="s">
        <v>10</v>
      </c>
      <c r="AD7" s="12"/>
    </row>
    <row r="8">
      <c r="A8" s="176" t="s">
        <v>130</v>
      </c>
      <c r="B8" s="177" t="s">
        <v>131</v>
      </c>
      <c r="C8" s="178" t="s">
        <v>23</v>
      </c>
      <c r="D8" s="178" t="s">
        <v>132</v>
      </c>
      <c r="E8" s="178" t="s">
        <v>133</v>
      </c>
      <c r="F8" s="178" t="s">
        <v>134</v>
      </c>
      <c r="G8" s="178" t="s">
        <v>135</v>
      </c>
      <c r="H8" s="178" t="s">
        <v>136</v>
      </c>
      <c r="I8" s="178" t="s">
        <v>137</v>
      </c>
      <c r="J8" s="178" t="s">
        <v>138</v>
      </c>
      <c r="K8" s="178" t="s">
        <v>139</v>
      </c>
      <c r="L8" s="178" t="s">
        <v>140</v>
      </c>
      <c r="M8" s="178" t="s">
        <v>141</v>
      </c>
      <c r="N8" s="178" t="s">
        <v>142</v>
      </c>
      <c r="O8" s="180" t="s">
        <v>143</v>
      </c>
      <c r="P8" s="8"/>
      <c r="Q8" s="181" t="str">
        <f>IF(B8="","",B8&amp;" - "&amp;E8)</f>
        <v>Rezept - Artikel</v>
      </c>
      <c r="R8" s="182" t="s">
        <v>23</v>
      </c>
      <c r="S8" s="183" t="s">
        <v>144</v>
      </c>
      <c r="T8" s="16" t="s">
        <v>11</v>
      </c>
      <c r="U8" s="16">
        <f t="shared" ref="U8:U36" si="1">IFERROR(ROUNDUP( XLOOKUP(T8,Q:Q,S:S),0.1),"")</f>
        <v>5113</v>
      </c>
      <c r="V8" s="16">
        <v>0.0</v>
      </c>
      <c r="W8" s="16">
        <v>0.0</v>
      </c>
      <c r="X8" s="16">
        <v>0.0</v>
      </c>
      <c r="Y8" s="16">
        <v>0.0</v>
      </c>
      <c r="Z8" s="17"/>
      <c r="AA8" s="17"/>
      <c r="AB8" s="16" t="s">
        <v>20</v>
      </c>
      <c r="AC8" s="30"/>
      <c r="AD8" s="12"/>
      <c r="AE8" s="26" t="s">
        <v>21</v>
      </c>
      <c r="AF8" s="26" t="s">
        <v>22</v>
      </c>
      <c r="AG8" s="26" t="s">
        <v>23</v>
      </c>
      <c r="AH8" s="26" t="s">
        <v>24</v>
      </c>
      <c r="AI8" s="26" t="s">
        <v>25</v>
      </c>
      <c r="AJ8" s="26" t="s">
        <v>26</v>
      </c>
      <c r="AK8" s="26" t="s">
        <v>27</v>
      </c>
      <c r="AL8" s="26" t="s">
        <v>28</v>
      </c>
    </row>
    <row r="9">
      <c r="A9" s="184" t="str">
        <f>IFERROR(__xludf.DUMMYFUNCTION("FILTER('Maitre Inputs DENO_Stamm'!$B:$D,'Maitre Inputs DENO_Stamm'!$B:$B=""W""&amp;CONTROL_CENTER!$J$3,'Maitre Inputs DENO_Stamm'!A:A=""NORDICS"")"),"W19")</f>
        <v>W19</v>
      </c>
      <c r="B9" s="185">
        <f>IFERROR(__xludf.DUMMYFUNCTION("""COMPUTED_VALUE"""),601.0)</f>
        <v>601</v>
      </c>
      <c r="C9" s="186" t="str">
        <f>IFERROR(__xludf.DUMMYFUNCTION("""COMPUTED_VALUE"""),"CON-00-147878-2")</f>
        <v>CON-00-147878-2</v>
      </c>
      <c r="D9" s="187" t="str">
        <f>IFERROR(__xludf.DUMMYFUNCTION("FILTER(RIGHT('Maitre Inputs DENO_Stamm'!$H:$H,6),'Maitre Inputs DENO_Stamm'!$B:$B=""W""&amp;CONTROL_CENTER!$J$3,'Maitre Inputs DENO_Stamm'!A:A=""NORDICS"")"),"565072")</f>
        <v>565072</v>
      </c>
      <c r="E9" s="30" t="str">
        <f>IFERROR(__xludf.DUMMYFUNCTION("FILTER('Maitre Inputs DENO_Stamm'!F:F,'Maitre Inputs DENO_Stamm'!$B:$B=""W""&amp;CONTROL_CENTER!$J$3,'Maitre Inputs DENO_Stamm'!A:A=""NORDICS"")"),"Grillet kylling med ratatouille")</f>
        <v>Grillet kylling med ratatouille</v>
      </c>
      <c r="F9" s="188">
        <f>IFERROR(__xludf.DUMMYFUNCTION("FILTER('Maitre Inputs DENO_Stamm'!J:S,'Maitre Inputs DENO_Stamm'!$B:$B=""W""&amp;CONTROL_CENTER!$J$3,'Maitre Inputs DENO_Stamm'!A:A=""Nordics"")"),3554.0)</f>
        <v>3554</v>
      </c>
      <c r="G9" s="189">
        <f>IFERROR(__xludf.DUMMYFUNCTION("""COMPUTED_VALUE"""),3455.0)</f>
        <v>3455</v>
      </c>
      <c r="H9" s="189">
        <f>IFERROR(__xludf.DUMMYFUNCTION("""COMPUTED_VALUE"""),3765.0)</f>
        <v>3765</v>
      </c>
      <c r="I9" s="190">
        <f>IFERROR(__xludf.DUMMYFUNCTION("""COMPUTED_VALUE"""),3705.0)</f>
        <v>3705</v>
      </c>
      <c r="J9" s="190">
        <f>IFERROR(__xludf.DUMMYFUNCTION("""COMPUTED_VALUE"""),3774.0)</f>
        <v>3774</v>
      </c>
      <c r="K9" s="8"/>
      <c r="L9" s="190">
        <f>IFERROR(__xludf.DUMMYFUNCTION("""COMPUTED_VALUE"""),3769.0)</f>
        <v>3769</v>
      </c>
      <c r="M9" s="190">
        <f>IFERROR(__xludf.DUMMYFUNCTION("""COMPUTED_VALUE"""),3760.0)</f>
        <v>3760</v>
      </c>
      <c r="N9" s="8"/>
      <c r="O9" s="191">
        <f>IFERROR(__xludf.DUMMYFUNCTION("""COMPUTED_VALUE"""),3731.0)</f>
        <v>3731</v>
      </c>
      <c r="P9" s="8"/>
      <c r="Q9" s="195" t="str">
        <f t="shared" ref="Q9:Q27" si="3">IF(D9="","",D9&amp;" - "&amp;E9)</f>
        <v>565072 - Grillet kylling med ratatouille</v>
      </c>
      <c r="R9" s="8" t="str">
        <f t="shared" ref="R9:R34" si="4">IFERROR(C9,"")</f>
        <v>CON-00-147878-2</v>
      </c>
      <c r="S9" s="193">
        <f t="shared" ref="S9:S27" si="5">IFS(O9&lt;&gt;"",O9,AND(O9="",N9="",M9="",L9="",K9="",J9="",I9="",H9="",G9=""),F9,AND(O9="",N9="",M9="",L9="",K9="",J9="",I9="",H9=""),G9,AND(O9="",N9="",M9="",L9="",K9="",J9="",I9=""),H9,AND(O9="",N9="",M9="",L9="",K9="",J9=""), I9,AND(O9="",N9="",M9="",L9="",K9=""),J9,AND(O9="",N9="",M9="",L9=""), K9, AND(O9="",N9="",M9=""), L9,AND(O9="",N9=""), M9, AND(O9=""), N9)</f>
        <v>3731</v>
      </c>
      <c r="T9" s="30" t="str">
        <f t="shared" ref="T9:T37" si="6">IFERROR(Q9,"")</f>
        <v>565072 - Grillet kylling med ratatouille</v>
      </c>
      <c r="U9" s="31">
        <f t="shared" si="1"/>
        <v>3731</v>
      </c>
      <c r="V9" s="32" t="str">
        <f t="shared" ref="V9:Y9" si="2">IF($U9="","","0")</f>
        <v>0</v>
      </c>
      <c r="W9" s="32" t="str">
        <f t="shared" si="2"/>
        <v>0</v>
      </c>
      <c r="X9" s="32" t="str">
        <f t="shared" si="2"/>
        <v>0</v>
      </c>
      <c r="Y9" s="32" t="str">
        <f t="shared" si="2"/>
        <v>0</v>
      </c>
      <c r="Z9" s="30"/>
      <c r="AA9" s="30"/>
      <c r="AB9" s="33"/>
      <c r="AC9" s="30"/>
      <c r="AD9" s="12"/>
      <c r="AE9" s="34" t="str">
        <f t="shared" ref="AE9:AE27" si="8">IF($B9="","", LEFT($B9,3)&amp;"_1p")</f>
        <v>601_1p</v>
      </c>
      <c r="AF9" s="34" t="str">
        <f t="shared" ref="AF9:AF39" si="9">IFERROR(T9,"")</f>
        <v>565072 - Grillet kylling med ratatouille</v>
      </c>
      <c r="AG9" s="34" t="str">
        <f t="shared" ref="AG9:AG35" si="10">XLOOKUP(AF9,Q:Q,R:R)</f>
        <v>CON-00-147878-2</v>
      </c>
      <c r="AH9" s="26" t="str">
        <f t="shared" ref="AH9:AH39" si="11">IF(AF9="","","ASL2")</f>
        <v>ASL2</v>
      </c>
      <c r="AI9" s="34"/>
      <c r="AJ9" s="26" t="str">
        <f t="shared" ref="AJ9:AJ39" si="12">IF(AE9="","","1")</f>
        <v>1</v>
      </c>
      <c r="AK9" s="34"/>
      <c r="AL9" s="26" t="str">
        <f t="shared" ref="AL9:AL39" si="13">IF(AE9="","","Chilled")</f>
        <v>Chilled</v>
      </c>
    </row>
    <row r="10">
      <c r="A10" s="195" t="str">
        <f>IFERROR(__xludf.DUMMYFUNCTION("""COMPUTED_VALUE"""),"W19")</f>
        <v>W19</v>
      </c>
      <c r="B10" s="185">
        <f>IFERROR(__xludf.DUMMYFUNCTION("""COMPUTED_VALUE"""),602.0)</f>
        <v>602</v>
      </c>
      <c r="C10" s="8" t="str">
        <f>IFERROR(__xludf.DUMMYFUNCTION("""COMPUTED_VALUE"""),"CON-00-152208-2")</f>
        <v>CON-00-152208-2</v>
      </c>
      <c r="D10" s="171" t="str">
        <f>IFERROR(__xludf.DUMMYFUNCTION("""COMPUTED_VALUE"""),"565209")</f>
        <v>565209</v>
      </c>
      <c r="E10" s="8" t="str">
        <f>IFERROR(__xludf.DUMMYFUNCTION("""COMPUTED_VALUE"""),"Chilensk inspireret kylling med salsa-quinoa")</f>
        <v>Chilensk inspireret kylling med salsa-quinoa</v>
      </c>
      <c r="F10" s="190">
        <f>IFERROR(__xludf.DUMMYFUNCTION("""COMPUTED_VALUE"""),2290.0)</f>
        <v>2290</v>
      </c>
      <c r="G10" s="190">
        <f>IFERROR(__xludf.DUMMYFUNCTION("""COMPUTED_VALUE"""),2276.0)</f>
        <v>2276</v>
      </c>
      <c r="H10" s="190">
        <f>IFERROR(__xludf.DUMMYFUNCTION("""COMPUTED_VALUE"""),2488.0)</f>
        <v>2488</v>
      </c>
      <c r="I10" s="190">
        <f>IFERROR(__xludf.DUMMYFUNCTION("""COMPUTED_VALUE"""),2530.0)</f>
        <v>2530</v>
      </c>
      <c r="J10" s="190">
        <f>IFERROR(__xludf.DUMMYFUNCTION("""COMPUTED_VALUE"""),2568.0)</f>
        <v>2568</v>
      </c>
      <c r="K10" s="8"/>
      <c r="L10" s="190">
        <f>IFERROR(__xludf.DUMMYFUNCTION("""COMPUTED_VALUE"""),2570.0)</f>
        <v>2570</v>
      </c>
      <c r="M10" s="190">
        <f>IFERROR(__xludf.DUMMYFUNCTION("""COMPUTED_VALUE"""),2546.0)</f>
        <v>2546</v>
      </c>
      <c r="N10" s="8"/>
      <c r="O10" s="191">
        <f>IFERROR(__xludf.DUMMYFUNCTION("""COMPUTED_VALUE"""),2460.0)</f>
        <v>2460</v>
      </c>
      <c r="P10" s="8"/>
      <c r="Q10" s="195" t="str">
        <f t="shared" si="3"/>
        <v>565209 - Chilensk inspireret kylling med salsa-quinoa</v>
      </c>
      <c r="R10" s="8" t="str">
        <f t="shared" si="4"/>
        <v>CON-00-152208-2</v>
      </c>
      <c r="S10" s="193">
        <f t="shared" si="5"/>
        <v>2460</v>
      </c>
      <c r="T10" s="30" t="str">
        <f t="shared" si="6"/>
        <v>565209 - Chilensk inspireret kylling med salsa-quinoa</v>
      </c>
      <c r="U10" s="31">
        <f t="shared" si="1"/>
        <v>2460</v>
      </c>
      <c r="V10" s="32" t="str">
        <f t="shared" ref="V10:Y10" si="7">IF($U10="","","0")</f>
        <v>0</v>
      </c>
      <c r="W10" s="32" t="str">
        <f t="shared" si="7"/>
        <v>0</v>
      </c>
      <c r="X10" s="32" t="str">
        <f t="shared" si="7"/>
        <v>0</v>
      </c>
      <c r="Y10" s="32" t="str">
        <f t="shared" si="7"/>
        <v>0</v>
      </c>
      <c r="Z10" s="30"/>
      <c r="AA10" s="30"/>
      <c r="AB10" s="33"/>
      <c r="AC10" s="30"/>
      <c r="AD10" s="12"/>
      <c r="AE10" s="34" t="str">
        <f t="shared" si="8"/>
        <v>602_1p</v>
      </c>
      <c r="AF10" s="34" t="str">
        <f t="shared" si="9"/>
        <v>565209 - Chilensk inspireret kylling med salsa-quinoa</v>
      </c>
      <c r="AG10" s="34" t="str">
        <f t="shared" si="10"/>
        <v>CON-00-152208-2</v>
      </c>
      <c r="AH10" s="26" t="str">
        <f t="shared" si="11"/>
        <v>ASL2</v>
      </c>
      <c r="AI10" s="34"/>
      <c r="AJ10" s="26" t="str">
        <f t="shared" si="12"/>
        <v>1</v>
      </c>
      <c r="AK10" s="34"/>
      <c r="AL10" s="26" t="str">
        <f t="shared" si="13"/>
        <v>Chilled</v>
      </c>
    </row>
    <row r="11">
      <c r="A11" s="195" t="str">
        <f>IFERROR(__xludf.DUMMYFUNCTION("""COMPUTED_VALUE"""),"W19")</f>
        <v>W19</v>
      </c>
      <c r="B11" s="185">
        <f>IFERROR(__xludf.DUMMYFUNCTION("""COMPUTED_VALUE"""),603.0)</f>
        <v>603</v>
      </c>
      <c r="C11" s="8" t="str">
        <f>IFERROR(__xludf.DUMMYFUNCTION("""COMPUTED_VALUE"""),"CON-00-147839-2")</f>
        <v>CON-00-147839-2</v>
      </c>
      <c r="D11" s="171" t="str">
        <f>IFERROR(__xludf.DUMMYFUNCTION("""COMPUTED_VALUE"""),"565309")</f>
        <v>565309</v>
      </c>
      <c r="E11" s="8" t="str">
        <f>IFERROR(__xludf.DUMMYFUNCTION("""COMPUTED_VALUE"""),"Braiseret oksekød i urtesky")</f>
        <v>Braiseret oksekød i urtesky</v>
      </c>
      <c r="F11" s="190">
        <f>IFERROR(__xludf.DUMMYFUNCTION("""COMPUTED_VALUE"""),0.0)</f>
        <v>0</v>
      </c>
      <c r="G11" s="190">
        <f>IFERROR(__xludf.DUMMYFUNCTION("""COMPUTED_VALUE"""),0.0)</f>
        <v>0</v>
      </c>
      <c r="H11" s="190">
        <f>IFERROR(__xludf.DUMMYFUNCTION("""COMPUTED_VALUE"""),0.0)</f>
        <v>0</v>
      </c>
      <c r="I11" s="190">
        <f>IFERROR(__xludf.DUMMYFUNCTION("""COMPUTED_VALUE"""),2243.0)</f>
        <v>2243</v>
      </c>
      <c r="J11" s="190">
        <f>IFERROR(__xludf.DUMMYFUNCTION("""COMPUTED_VALUE"""),2365.0)</f>
        <v>2365</v>
      </c>
      <c r="K11" s="8"/>
      <c r="L11" s="190">
        <f>IFERROR(__xludf.DUMMYFUNCTION("""COMPUTED_VALUE"""),2354.0)</f>
        <v>2354</v>
      </c>
      <c r="M11" s="190">
        <f>IFERROR(__xludf.DUMMYFUNCTION("""COMPUTED_VALUE"""),2302.0)</f>
        <v>2302</v>
      </c>
      <c r="N11" s="8"/>
      <c r="O11" s="191">
        <f>IFERROR(__xludf.DUMMYFUNCTION("""COMPUTED_VALUE"""),2270.0)</f>
        <v>2270</v>
      </c>
      <c r="P11" s="8"/>
      <c r="Q11" s="195" t="str">
        <f t="shared" si="3"/>
        <v>565309 - Braiseret oksekød i urtesky</v>
      </c>
      <c r="R11" s="8" t="str">
        <f t="shared" si="4"/>
        <v>CON-00-147839-2</v>
      </c>
      <c r="S11" s="193">
        <f t="shared" si="5"/>
        <v>2270</v>
      </c>
      <c r="T11" s="30" t="str">
        <f t="shared" si="6"/>
        <v>565309 - Braiseret oksekød i urtesky</v>
      </c>
      <c r="U11" s="31">
        <f t="shared" si="1"/>
        <v>2270</v>
      </c>
      <c r="V11" s="32" t="str">
        <f t="shared" ref="V11:Y11" si="14">IF($U11="","","0")</f>
        <v>0</v>
      </c>
      <c r="W11" s="32" t="str">
        <f t="shared" si="14"/>
        <v>0</v>
      </c>
      <c r="X11" s="32" t="str">
        <f t="shared" si="14"/>
        <v>0</v>
      </c>
      <c r="Y11" s="32" t="str">
        <f t="shared" si="14"/>
        <v>0</v>
      </c>
      <c r="Z11" s="30"/>
      <c r="AA11" s="30"/>
      <c r="AB11" s="33"/>
      <c r="AC11" s="30"/>
      <c r="AD11" s="12"/>
      <c r="AE11" s="34" t="str">
        <f t="shared" si="8"/>
        <v>603_1p</v>
      </c>
      <c r="AF11" s="34" t="str">
        <f t="shared" si="9"/>
        <v>565309 - Braiseret oksekød i urtesky</v>
      </c>
      <c r="AG11" s="34" t="str">
        <f t="shared" si="10"/>
        <v>CON-00-147839-2</v>
      </c>
      <c r="AH11" s="26" t="str">
        <f t="shared" si="11"/>
        <v>ASL2</v>
      </c>
      <c r="AI11" s="34"/>
      <c r="AJ11" s="26" t="str">
        <f t="shared" si="12"/>
        <v>1</v>
      </c>
      <c r="AK11" s="34"/>
      <c r="AL11" s="26" t="str">
        <f t="shared" si="13"/>
        <v>Chilled</v>
      </c>
    </row>
    <row r="12">
      <c r="A12" s="195" t="str">
        <f>IFERROR(__xludf.DUMMYFUNCTION("""COMPUTED_VALUE"""),"W19")</f>
        <v>W19</v>
      </c>
      <c r="B12" s="185">
        <f>IFERROR(__xludf.DUMMYFUNCTION("""COMPUTED_VALUE"""),604.0)</f>
        <v>604</v>
      </c>
      <c r="C12" s="8" t="str">
        <f>IFERROR(__xludf.DUMMYFUNCTION("""COMPUTED_VALUE"""),"CON-00-147871-2")</f>
        <v>CON-00-147871-2</v>
      </c>
      <c r="D12" s="171" t="str">
        <f>IFERROR(__xludf.DUMMYFUNCTION("""COMPUTED_VALUE"""),"565064")</f>
        <v>565064</v>
      </c>
      <c r="E12" s="8" t="str">
        <f>IFERROR(__xludf.DUMMYFUNCTION("""COMPUTED_VALUE"""),"Laks i senneps-dild sauce")</f>
        <v>Laks i senneps-dild sauce</v>
      </c>
      <c r="F12" s="190">
        <f>IFERROR(__xludf.DUMMYFUNCTION("""COMPUTED_VALUE"""),0.0)</f>
        <v>0</v>
      </c>
      <c r="G12" s="190">
        <f>IFERROR(__xludf.DUMMYFUNCTION("""COMPUTED_VALUE"""),0.0)</f>
        <v>0</v>
      </c>
      <c r="H12" s="190">
        <f>IFERROR(__xludf.DUMMYFUNCTION("""COMPUTED_VALUE"""),0.0)</f>
        <v>0</v>
      </c>
      <c r="I12" s="190">
        <f>IFERROR(__xludf.DUMMYFUNCTION("""COMPUTED_VALUE"""),0.0)</f>
        <v>0</v>
      </c>
      <c r="J12" s="190">
        <f>IFERROR(__xludf.DUMMYFUNCTION("""COMPUTED_VALUE"""),0.0)</f>
        <v>0</v>
      </c>
      <c r="K12" s="8"/>
      <c r="L12" s="190">
        <f>IFERROR(__xludf.DUMMYFUNCTION("""COMPUTED_VALUE"""),0.0)</f>
        <v>0</v>
      </c>
      <c r="M12" s="190">
        <f>IFERROR(__xludf.DUMMYFUNCTION("""COMPUTED_VALUE"""),0.0)</f>
        <v>0</v>
      </c>
      <c r="N12" s="8"/>
      <c r="O12" s="191">
        <f>IFERROR(__xludf.DUMMYFUNCTION("""COMPUTED_VALUE"""),0.0)</f>
        <v>0</v>
      </c>
      <c r="P12" s="8"/>
      <c r="Q12" s="195" t="str">
        <f t="shared" si="3"/>
        <v>565064 - Laks i senneps-dild sauce</v>
      </c>
      <c r="R12" s="8" t="str">
        <f t="shared" si="4"/>
        <v>CON-00-147871-2</v>
      </c>
      <c r="S12" s="193">
        <f t="shared" si="5"/>
        <v>0</v>
      </c>
      <c r="T12" s="30" t="str">
        <f t="shared" si="6"/>
        <v>565064 - Laks i senneps-dild sauce</v>
      </c>
      <c r="U12" s="31">
        <f t="shared" si="1"/>
        <v>0</v>
      </c>
      <c r="V12" s="32" t="str">
        <f t="shared" ref="V12:Y12" si="15">IF($U12="","","0")</f>
        <v>0</v>
      </c>
      <c r="W12" s="32" t="str">
        <f t="shared" si="15"/>
        <v>0</v>
      </c>
      <c r="X12" s="32" t="str">
        <f t="shared" si="15"/>
        <v>0</v>
      </c>
      <c r="Y12" s="32" t="str">
        <f t="shared" si="15"/>
        <v>0</v>
      </c>
      <c r="Z12" s="30"/>
      <c r="AA12" s="30"/>
      <c r="AB12" s="33"/>
      <c r="AC12" s="30"/>
      <c r="AD12" s="12"/>
      <c r="AE12" s="34" t="str">
        <f t="shared" si="8"/>
        <v>604_1p</v>
      </c>
      <c r="AF12" s="34" t="str">
        <f t="shared" si="9"/>
        <v>565064 - Laks i senneps-dild sauce</v>
      </c>
      <c r="AG12" s="34" t="str">
        <f t="shared" si="10"/>
        <v>CON-00-147871-2</v>
      </c>
      <c r="AH12" s="26" t="str">
        <f t="shared" si="11"/>
        <v>ASL2</v>
      </c>
      <c r="AI12" s="34"/>
      <c r="AJ12" s="26" t="str">
        <f t="shared" si="12"/>
        <v>1</v>
      </c>
      <c r="AK12" s="34"/>
      <c r="AL12" s="26" t="str">
        <f t="shared" si="13"/>
        <v>Chilled</v>
      </c>
    </row>
    <row r="13">
      <c r="A13" s="195" t="str">
        <f>IFERROR(__xludf.DUMMYFUNCTION("""COMPUTED_VALUE"""),"W19")</f>
        <v>W19</v>
      </c>
      <c r="B13" s="185">
        <f>IFERROR(__xludf.DUMMYFUNCTION("""COMPUTED_VALUE"""),605.0)</f>
        <v>605</v>
      </c>
      <c r="C13" s="8" t="str">
        <f>IFERROR(__xludf.DUMMYFUNCTION("""COMPUTED_VALUE"""),"CON-00-150749-2")</f>
        <v>CON-00-150749-2</v>
      </c>
      <c r="D13" s="171" t="str">
        <f>IFERROR(__xludf.DUMMYFUNCTION("""COMPUTED_VALUE"""),"565178")</f>
        <v>565178</v>
      </c>
      <c r="E13" s="8" t="str">
        <f>IFERROR(__xludf.DUMMYFUNCTION("""COMPUTED_VALUE"""),"Vestfrikansk-inspireret peanut-kyllingecurry")</f>
        <v>Vestfrikansk-inspireret peanut-kyllingecurry</v>
      </c>
      <c r="F13" s="190">
        <f>IFERROR(__xludf.DUMMYFUNCTION("""COMPUTED_VALUE"""),1704.0)</f>
        <v>1704</v>
      </c>
      <c r="G13" s="190">
        <f>IFERROR(__xludf.DUMMYFUNCTION("""COMPUTED_VALUE"""),1680.0)</f>
        <v>1680</v>
      </c>
      <c r="H13" s="190">
        <f>IFERROR(__xludf.DUMMYFUNCTION("""COMPUTED_VALUE"""),1834.0)</f>
        <v>1834</v>
      </c>
      <c r="I13" s="190">
        <f>IFERROR(__xludf.DUMMYFUNCTION("""COMPUTED_VALUE"""),2287.0)</f>
        <v>2287</v>
      </c>
      <c r="J13" s="190">
        <f>IFERROR(__xludf.DUMMYFUNCTION("""COMPUTED_VALUE"""),2347.0)</f>
        <v>2347</v>
      </c>
      <c r="K13" s="8"/>
      <c r="L13" s="190">
        <f>IFERROR(__xludf.DUMMYFUNCTION("""COMPUTED_VALUE"""),2382.0)</f>
        <v>2382</v>
      </c>
      <c r="M13" s="190">
        <f>IFERROR(__xludf.DUMMYFUNCTION("""COMPUTED_VALUE"""),2328.0)</f>
        <v>2328</v>
      </c>
      <c r="N13" s="8"/>
      <c r="O13" s="191">
        <f>IFERROR(__xludf.DUMMYFUNCTION("""COMPUTED_VALUE"""),2236.0)</f>
        <v>2236</v>
      </c>
      <c r="P13" s="8"/>
      <c r="Q13" s="195" t="str">
        <f t="shared" si="3"/>
        <v>565178 - Vestfrikansk-inspireret peanut-kyllingecurry</v>
      </c>
      <c r="R13" s="8" t="str">
        <f t="shared" si="4"/>
        <v>CON-00-150749-2</v>
      </c>
      <c r="S13" s="193">
        <f t="shared" si="5"/>
        <v>2236</v>
      </c>
      <c r="T13" s="30" t="str">
        <f t="shared" si="6"/>
        <v>565178 - Vestfrikansk-inspireret peanut-kyllingecurry</v>
      </c>
      <c r="U13" s="31">
        <f t="shared" si="1"/>
        <v>2236</v>
      </c>
      <c r="V13" s="32" t="str">
        <f t="shared" ref="V13:Y13" si="16">IF($U13="","","0")</f>
        <v>0</v>
      </c>
      <c r="W13" s="32" t="str">
        <f t="shared" si="16"/>
        <v>0</v>
      </c>
      <c r="X13" s="32" t="str">
        <f t="shared" si="16"/>
        <v>0</v>
      </c>
      <c r="Y13" s="32" t="str">
        <f t="shared" si="16"/>
        <v>0</v>
      </c>
      <c r="Z13" s="30"/>
      <c r="AA13" s="30"/>
      <c r="AB13" s="33"/>
      <c r="AC13" s="30"/>
      <c r="AD13" s="12"/>
      <c r="AE13" s="34" t="str">
        <f t="shared" si="8"/>
        <v>605_1p</v>
      </c>
      <c r="AF13" s="34" t="str">
        <f t="shared" si="9"/>
        <v>565178 - Vestfrikansk-inspireret peanut-kyllingecurry</v>
      </c>
      <c r="AG13" s="34" t="str">
        <f t="shared" si="10"/>
        <v>CON-00-150749-2</v>
      </c>
      <c r="AH13" s="26" t="str">
        <f t="shared" si="11"/>
        <v>ASL2</v>
      </c>
      <c r="AI13" s="34"/>
      <c r="AJ13" s="26" t="str">
        <f t="shared" si="12"/>
        <v>1</v>
      </c>
      <c r="AK13" s="34"/>
      <c r="AL13" s="26" t="str">
        <f t="shared" si="13"/>
        <v>Chilled</v>
      </c>
    </row>
    <row r="14">
      <c r="A14" s="195" t="str">
        <f>IFERROR(__xludf.DUMMYFUNCTION("""COMPUTED_VALUE"""),"W19")</f>
        <v>W19</v>
      </c>
      <c r="B14" s="185">
        <f>IFERROR(__xludf.DUMMYFUNCTION("""COMPUTED_VALUE"""),606.0)</f>
        <v>606</v>
      </c>
      <c r="C14" s="8" t="str">
        <f>IFERROR(__xludf.DUMMYFUNCTION("""COMPUTED_VALUE"""),"CON-00-152023-2")</f>
        <v>CON-00-152023-2</v>
      </c>
      <c r="D14" s="171" t="str">
        <f>IFERROR(__xludf.DUMMYFUNCTION("""COMPUTED_VALUE"""),"565189")</f>
        <v>565189</v>
      </c>
      <c r="E14" s="8" t="str">
        <f>IFERROR(__xludf.DUMMYFUNCTION("""COMPUTED_VALUE"""),"Laks Piccata ")</f>
        <v>Laks Piccata </v>
      </c>
      <c r="F14" s="190">
        <f>IFERROR(__xludf.DUMMYFUNCTION("""COMPUTED_VALUE"""),0.0)</f>
        <v>0</v>
      </c>
      <c r="G14" s="190">
        <f>IFERROR(__xludf.DUMMYFUNCTION("""COMPUTED_VALUE"""),0.0)</f>
        <v>0</v>
      </c>
      <c r="H14" s="190">
        <f>IFERROR(__xludf.DUMMYFUNCTION("""COMPUTED_VALUE"""),0.0)</f>
        <v>0</v>
      </c>
      <c r="I14" s="190">
        <f>IFERROR(__xludf.DUMMYFUNCTION("""COMPUTED_VALUE"""),0.0)</f>
        <v>0</v>
      </c>
      <c r="J14" s="190">
        <f>IFERROR(__xludf.DUMMYFUNCTION("""COMPUTED_VALUE"""),0.0)</f>
        <v>0</v>
      </c>
      <c r="K14" s="8"/>
      <c r="L14" s="190">
        <f>IFERROR(__xludf.DUMMYFUNCTION("""COMPUTED_VALUE"""),0.0)</f>
        <v>0</v>
      </c>
      <c r="M14" s="190">
        <f>IFERROR(__xludf.DUMMYFUNCTION("""COMPUTED_VALUE"""),0.0)</f>
        <v>0</v>
      </c>
      <c r="N14" s="8"/>
      <c r="O14" s="191">
        <f>IFERROR(__xludf.DUMMYFUNCTION("""COMPUTED_VALUE"""),0.0)</f>
        <v>0</v>
      </c>
      <c r="P14" s="8"/>
      <c r="Q14" s="195" t="str">
        <f t="shared" si="3"/>
        <v>565189 - Laks Piccata </v>
      </c>
      <c r="R14" s="8" t="str">
        <f t="shared" si="4"/>
        <v>CON-00-152023-2</v>
      </c>
      <c r="S14" s="193">
        <f t="shared" si="5"/>
        <v>0</v>
      </c>
      <c r="T14" s="30" t="str">
        <f t="shared" si="6"/>
        <v>565189 - Laks Piccata </v>
      </c>
      <c r="U14" s="31">
        <f t="shared" si="1"/>
        <v>0</v>
      </c>
      <c r="V14" s="32" t="str">
        <f t="shared" ref="V14:Y14" si="17">IF($U14="","","0")</f>
        <v>0</v>
      </c>
      <c r="W14" s="32" t="str">
        <f t="shared" si="17"/>
        <v>0</v>
      </c>
      <c r="X14" s="32" t="str">
        <f t="shared" si="17"/>
        <v>0</v>
      </c>
      <c r="Y14" s="32" t="str">
        <f t="shared" si="17"/>
        <v>0</v>
      </c>
      <c r="Z14" s="30"/>
      <c r="AA14" s="30"/>
      <c r="AB14" s="33"/>
      <c r="AC14" s="30"/>
      <c r="AD14" s="12"/>
      <c r="AE14" s="34" t="str">
        <f t="shared" si="8"/>
        <v>606_1p</v>
      </c>
      <c r="AF14" s="34" t="str">
        <f t="shared" si="9"/>
        <v>565189 - Laks Piccata </v>
      </c>
      <c r="AG14" s="34" t="str">
        <f t="shared" si="10"/>
        <v>CON-00-152023-2</v>
      </c>
      <c r="AH14" s="26" t="str">
        <f t="shared" si="11"/>
        <v>ASL2</v>
      </c>
      <c r="AI14" s="34"/>
      <c r="AJ14" s="26" t="str">
        <f t="shared" si="12"/>
        <v>1</v>
      </c>
      <c r="AK14" s="34"/>
      <c r="AL14" s="26" t="str">
        <f t="shared" si="13"/>
        <v>Chilled</v>
      </c>
    </row>
    <row r="15">
      <c r="A15" s="195" t="str">
        <f>IFERROR(__xludf.DUMMYFUNCTION("""COMPUTED_VALUE"""),"W19")</f>
        <v>W19</v>
      </c>
      <c r="B15" s="185">
        <f>IFERROR(__xludf.DUMMYFUNCTION("""COMPUTED_VALUE"""),607.0)</f>
        <v>607</v>
      </c>
      <c r="C15" s="8" t="str">
        <f>IFERROR(__xludf.DUMMYFUNCTION("""COMPUTED_VALUE"""),"CON-00-148196-2")</f>
        <v>CON-00-148196-2</v>
      </c>
      <c r="D15" s="171" t="str">
        <f>IFERROR(__xludf.DUMMYFUNCTION("""COMPUTED_VALUE"""),"565164")</f>
        <v>565164</v>
      </c>
      <c r="E15" s="8" t="str">
        <f>IFERROR(__xludf.DUMMYFUNCTION("""COMPUTED_VALUE"""),"Kylling i Emmental-fondue med karamelliseret løg")</f>
        <v>Kylling i Emmental-fondue med karamelliseret løg</v>
      </c>
      <c r="F15" s="190">
        <f>IFERROR(__xludf.DUMMYFUNCTION("""COMPUTED_VALUE"""),0.0)</f>
        <v>0</v>
      </c>
      <c r="G15" s="190">
        <f>IFERROR(__xludf.DUMMYFUNCTION("""COMPUTED_VALUE"""),0.0)</f>
        <v>0</v>
      </c>
      <c r="H15" s="190">
        <f>IFERROR(__xludf.DUMMYFUNCTION("""COMPUTED_VALUE"""),0.0)</f>
        <v>0</v>
      </c>
      <c r="I15" s="190">
        <f>IFERROR(__xludf.DUMMYFUNCTION("""COMPUTED_VALUE"""),0.0)</f>
        <v>0</v>
      </c>
      <c r="J15" s="190">
        <f>IFERROR(__xludf.DUMMYFUNCTION("""COMPUTED_VALUE"""),0.0)</f>
        <v>0</v>
      </c>
      <c r="K15" s="8"/>
      <c r="L15" s="190">
        <f>IFERROR(__xludf.DUMMYFUNCTION("""COMPUTED_VALUE"""),0.0)</f>
        <v>0</v>
      </c>
      <c r="M15" s="190">
        <f>IFERROR(__xludf.DUMMYFUNCTION("""COMPUTED_VALUE"""),0.0)</f>
        <v>0</v>
      </c>
      <c r="N15" s="8"/>
      <c r="O15" s="191">
        <f>IFERROR(__xludf.DUMMYFUNCTION("""COMPUTED_VALUE"""),0.0)</f>
        <v>0</v>
      </c>
      <c r="P15" s="8"/>
      <c r="Q15" s="195" t="str">
        <f t="shared" si="3"/>
        <v>565164 - Kylling i Emmental-fondue med karamelliseret løg</v>
      </c>
      <c r="R15" s="8" t="str">
        <f t="shared" si="4"/>
        <v>CON-00-148196-2</v>
      </c>
      <c r="S15" s="193">
        <f t="shared" si="5"/>
        <v>0</v>
      </c>
      <c r="T15" s="30" t="str">
        <f t="shared" si="6"/>
        <v>565164 - Kylling i Emmental-fondue med karamelliseret løg</v>
      </c>
      <c r="U15" s="31">
        <f t="shared" si="1"/>
        <v>0</v>
      </c>
      <c r="V15" s="32" t="str">
        <f t="shared" ref="V15:Y15" si="18">IF($U15="","","0")</f>
        <v>0</v>
      </c>
      <c r="W15" s="32" t="str">
        <f t="shared" si="18"/>
        <v>0</v>
      </c>
      <c r="X15" s="32" t="str">
        <f t="shared" si="18"/>
        <v>0</v>
      </c>
      <c r="Y15" s="32" t="str">
        <f t="shared" si="18"/>
        <v>0</v>
      </c>
      <c r="Z15" s="30"/>
      <c r="AA15" s="30"/>
      <c r="AB15" s="33"/>
      <c r="AC15" s="30"/>
      <c r="AD15" s="12"/>
      <c r="AE15" s="34" t="str">
        <f t="shared" si="8"/>
        <v>607_1p</v>
      </c>
      <c r="AF15" s="34" t="str">
        <f t="shared" si="9"/>
        <v>565164 - Kylling i Emmental-fondue med karamelliseret løg</v>
      </c>
      <c r="AG15" s="34" t="str">
        <f t="shared" si="10"/>
        <v>CON-00-148196-2</v>
      </c>
      <c r="AH15" s="26" t="str">
        <f t="shared" si="11"/>
        <v>ASL2</v>
      </c>
      <c r="AI15" s="34"/>
      <c r="AJ15" s="26" t="str">
        <f t="shared" si="12"/>
        <v>1</v>
      </c>
      <c r="AK15" s="34"/>
      <c r="AL15" s="26" t="str">
        <f t="shared" si="13"/>
        <v>Chilled</v>
      </c>
    </row>
    <row r="16">
      <c r="A16" s="195" t="str">
        <f>IFERROR(__xludf.DUMMYFUNCTION("""COMPUTED_VALUE"""),"W19")</f>
        <v>W19</v>
      </c>
      <c r="B16" s="185">
        <f>IFERROR(__xludf.DUMMYFUNCTION("""COMPUTED_VALUE"""),608.0)</f>
        <v>608</v>
      </c>
      <c r="C16" s="8" t="str">
        <f>IFERROR(__xludf.DUMMYFUNCTION("""COMPUTED_VALUE"""),"CON-00-147826-2")</f>
        <v>CON-00-147826-2</v>
      </c>
      <c r="D16" s="171" t="str">
        <f>IFERROR(__xludf.DUMMYFUNCTION("""COMPUTED_VALUE"""),"565043")</f>
        <v>565043</v>
      </c>
      <c r="E16" s="8" t="str">
        <f>IFERROR(__xludf.DUMMYFUNCTION("""COMPUTED_VALUE"""),"Spicy kylling med jalapeño, lime og cheddar")</f>
        <v>Spicy kylling med jalapeño, lime og cheddar</v>
      </c>
      <c r="F16" s="190">
        <f>IFERROR(__xludf.DUMMYFUNCTION("""COMPUTED_VALUE"""),1207.0)</f>
        <v>1207</v>
      </c>
      <c r="G16" s="190">
        <f>IFERROR(__xludf.DUMMYFUNCTION("""COMPUTED_VALUE"""),1112.0)</f>
        <v>1112</v>
      </c>
      <c r="H16" s="190">
        <f>IFERROR(__xludf.DUMMYFUNCTION("""COMPUTED_VALUE"""),1210.0)</f>
        <v>1210</v>
      </c>
      <c r="I16" s="190">
        <f>IFERROR(__xludf.DUMMYFUNCTION("""COMPUTED_VALUE"""),1277.0)</f>
        <v>1277</v>
      </c>
      <c r="J16" s="190">
        <f>IFERROR(__xludf.DUMMYFUNCTION("""COMPUTED_VALUE"""),1340.0)</f>
        <v>1340</v>
      </c>
      <c r="K16" s="8"/>
      <c r="L16" s="190">
        <f>IFERROR(__xludf.DUMMYFUNCTION("""COMPUTED_VALUE"""),1291.0)</f>
        <v>1291</v>
      </c>
      <c r="M16" s="190">
        <f>IFERROR(__xludf.DUMMYFUNCTION("""COMPUTED_VALUE"""),1216.0)</f>
        <v>1216</v>
      </c>
      <c r="N16" s="8"/>
      <c r="O16" s="191">
        <f>IFERROR(__xludf.DUMMYFUNCTION("""COMPUTED_VALUE"""),1193.0)</f>
        <v>1193</v>
      </c>
      <c r="P16" s="8"/>
      <c r="Q16" s="195" t="str">
        <f t="shared" si="3"/>
        <v>565043 - Spicy kylling med jalapeño, lime og cheddar</v>
      </c>
      <c r="R16" s="8" t="str">
        <f t="shared" si="4"/>
        <v>CON-00-147826-2</v>
      </c>
      <c r="S16" s="193">
        <f t="shared" si="5"/>
        <v>1193</v>
      </c>
      <c r="T16" s="30" t="str">
        <f t="shared" si="6"/>
        <v>565043 - Spicy kylling med jalapeño, lime og cheddar</v>
      </c>
      <c r="U16" s="31">
        <f t="shared" si="1"/>
        <v>1193</v>
      </c>
      <c r="V16" s="32" t="str">
        <f t="shared" ref="V16:Y16" si="19">IF($U16="","","0")</f>
        <v>0</v>
      </c>
      <c r="W16" s="32" t="str">
        <f t="shared" si="19"/>
        <v>0</v>
      </c>
      <c r="X16" s="32" t="str">
        <f t="shared" si="19"/>
        <v>0</v>
      </c>
      <c r="Y16" s="32" t="str">
        <f t="shared" si="19"/>
        <v>0</v>
      </c>
      <c r="Z16" s="30"/>
      <c r="AA16" s="30"/>
      <c r="AB16" s="33"/>
      <c r="AC16" s="30"/>
      <c r="AD16" s="12"/>
      <c r="AE16" s="34" t="str">
        <f t="shared" si="8"/>
        <v>608_1p</v>
      </c>
      <c r="AF16" s="34" t="str">
        <f t="shared" si="9"/>
        <v>565043 - Spicy kylling med jalapeño, lime og cheddar</v>
      </c>
      <c r="AG16" s="34" t="str">
        <f t="shared" si="10"/>
        <v>CON-00-147826-2</v>
      </c>
      <c r="AH16" s="26" t="str">
        <f t="shared" si="11"/>
        <v>ASL2</v>
      </c>
      <c r="AI16" s="34"/>
      <c r="AJ16" s="26" t="str">
        <f t="shared" si="12"/>
        <v>1</v>
      </c>
      <c r="AK16" s="34"/>
      <c r="AL16" s="26" t="str">
        <f t="shared" si="13"/>
        <v>Chilled</v>
      </c>
    </row>
    <row r="17">
      <c r="A17" s="195" t="str">
        <f>IFERROR(__xludf.DUMMYFUNCTION("""COMPUTED_VALUE"""),"W19")</f>
        <v>W19</v>
      </c>
      <c r="B17" s="185">
        <f>IFERROR(__xludf.DUMMYFUNCTION("""COMPUTED_VALUE"""),609.0)</f>
        <v>609</v>
      </c>
      <c r="C17" s="8" t="str">
        <f>IFERROR(__xludf.DUMMYFUNCTION("""COMPUTED_VALUE"""),"CON-00-147816-2")</f>
        <v>CON-00-147816-2</v>
      </c>
      <c r="D17" s="171" t="str">
        <f>IFERROR(__xludf.DUMMYFUNCTION("""COMPUTED_VALUE"""),"565244")</f>
        <v>565244</v>
      </c>
      <c r="E17" s="8" t="str">
        <f>IFERROR(__xludf.DUMMYFUNCTION("""COMPUTED_VALUE"""),"Cremet tomatrisotto")</f>
        <v>Cremet tomatrisotto</v>
      </c>
      <c r="F17" s="190">
        <f>IFERROR(__xludf.DUMMYFUNCTION("""COMPUTED_VALUE"""),253.0)</f>
        <v>253</v>
      </c>
      <c r="G17" s="190">
        <f>IFERROR(__xludf.DUMMYFUNCTION("""COMPUTED_VALUE"""),247.0)</f>
        <v>247</v>
      </c>
      <c r="H17" s="190">
        <f>IFERROR(__xludf.DUMMYFUNCTION("""COMPUTED_VALUE"""),265.0)</f>
        <v>265</v>
      </c>
      <c r="I17" s="190">
        <f>IFERROR(__xludf.DUMMYFUNCTION("""COMPUTED_VALUE"""),313.0)</f>
        <v>313</v>
      </c>
      <c r="J17" s="190">
        <f>IFERROR(__xludf.DUMMYFUNCTION("""COMPUTED_VALUE"""),302.0)</f>
        <v>302</v>
      </c>
      <c r="K17" s="8"/>
      <c r="L17" s="190">
        <f>IFERROR(__xludf.DUMMYFUNCTION("""COMPUTED_VALUE"""),310.0)</f>
        <v>310</v>
      </c>
      <c r="M17" s="190">
        <f>IFERROR(__xludf.DUMMYFUNCTION("""COMPUTED_VALUE"""),332.0)</f>
        <v>332</v>
      </c>
      <c r="N17" s="8"/>
      <c r="O17" s="191">
        <f>IFERROR(__xludf.DUMMYFUNCTION("""COMPUTED_VALUE"""),316.0)</f>
        <v>316</v>
      </c>
      <c r="P17" s="8"/>
      <c r="Q17" s="195" t="str">
        <f t="shared" si="3"/>
        <v>565244 - Cremet tomatrisotto</v>
      </c>
      <c r="R17" s="8" t="str">
        <f t="shared" si="4"/>
        <v>CON-00-147816-2</v>
      </c>
      <c r="S17" s="193">
        <f t="shared" si="5"/>
        <v>316</v>
      </c>
      <c r="T17" s="30" t="str">
        <f t="shared" si="6"/>
        <v>565244 - Cremet tomatrisotto</v>
      </c>
      <c r="U17" s="31">
        <f t="shared" si="1"/>
        <v>316</v>
      </c>
      <c r="V17" s="32" t="str">
        <f t="shared" ref="V17:Y17" si="20">IF($U17="","","0")</f>
        <v>0</v>
      </c>
      <c r="W17" s="32" t="str">
        <f t="shared" si="20"/>
        <v>0</v>
      </c>
      <c r="X17" s="32" t="str">
        <f t="shared" si="20"/>
        <v>0</v>
      </c>
      <c r="Y17" s="32" t="str">
        <f t="shared" si="20"/>
        <v>0</v>
      </c>
      <c r="Z17" s="30"/>
      <c r="AA17" s="30"/>
      <c r="AB17" s="33"/>
      <c r="AC17" s="30"/>
      <c r="AD17" s="12"/>
      <c r="AE17" s="34" t="str">
        <f t="shared" si="8"/>
        <v>609_1p</v>
      </c>
      <c r="AF17" s="34" t="str">
        <f t="shared" si="9"/>
        <v>565244 - Cremet tomatrisotto</v>
      </c>
      <c r="AG17" s="34" t="str">
        <f t="shared" si="10"/>
        <v>CON-00-147816-2</v>
      </c>
      <c r="AH17" s="26" t="str">
        <f t="shared" si="11"/>
        <v>ASL2</v>
      </c>
      <c r="AI17" s="34"/>
      <c r="AJ17" s="26" t="str">
        <f t="shared" si="12"/>
        <v>1</v>
      </c>
      <c r="AK17" s="34"/>
      <c r="AL17" s="26" t="str">
        <f t="shared" si="13"/>
        <v>Chilled</v>
      </c>
    </row>
    <row r="18">
      <c r="A18" s="195" t="str">
        <f>IFERROR(__xludf.DUMMYFUNCTION("""COMPUTED_VALUE"""),"W19")</f>
        <v>W19</v>
      </c>
      <c r="B18" s="185">
        <f>IFERROR(__xludf.DUMMYFUNCTION("""COMPUTED_VALUE"""),610.0)</f>
        <v>610</v>
      </c>
      <c r="C18" s="8" t="str">
        <f>IFERROR(__xludf.DUMMYFUNCTION("""COMPUTED_VALUE"""),"CON-00-147817-2")</f>
        <v>CON-00-147817-2</v>
      </c>
      <c r="D18" s="171" t="str">
        <f>IFERROR(__xludf.DUMMYFUNCTION("""COMPUTED_VALUE"""),"565141")</f>
        <v>565141</v>
      </c>
      <c r="E18" s="8" t="str">
        <f>IFERROR(__xludf.DUMMYFUNCTION("""COMPUTED_VALUE"""),"Squash- og peberfrugtsratatouille")</f>
        <v>Squash- og peberfrugtsratatouille</v>
      </c>
      <c r="F18" s="190">
        <f>IFERROR(__xludf.DUMMYFUNCTION("""COMPUTED_VALUE"""),283.0)</f>
        <v>283</v>
      </c>
      <c r="G18" s="190">
        <f>IFERROR(__xludf.DUMMYFUNCTION("""COMPUTED_VALUE"""),269.0)</f>
        <v>269</v>
      </c>
      <c r="H18" s="190">
        <f>IFERROR(__xludf.DUMMYFUNCTION("""COMPUTED_VALUE"""),288.0)</f>
        <v>288</v>
      </c>
      <c r="I18" s="190">
        <f>IFERROR(__xludf.DUMMYFUNCTION("""COMPUTED_VALUE"""),277.0)</f>
        <v>277</v>
      </c>
      <c r="J18" s="190">
        <f>IFERROR(__xludf.DUMMYFUNCTION("""COMPUTED_VALUE"""),260.0)</f>
        <v>260</v>
      </c>
      <c r="K18" s="8"/>
      <c r="L18" s="190">
        <f>IFERROR(__xludf.DUMMYFUNCTION("""COMPUTED_VALUE"""),260.0)</f>
        <v>260</v>
      </c>
      <c r="M18" s="190">
        <f>IFERROR(__xludf.DUMMYFUNCTION("""COMPUTED_VALUE"""),257.0)</f>
        <v>257</v>
      </c>
      <c r="N18" s="8"/>
      <c r="O18" s="191">
        <f>IFERROR(__xludf.DUMMYFUNCTION("""COMPUTED_VALUE"""),207.0)</f>
        <v>207</v>
      </c>
      <c r="P18" s="8"/>
      <c r="Q18" s="195" t="str">
        <f t="shared" si="3"/>
        <v>565141 - Squash- og peberfrugtsratatouille</v>
      </c>
      <c r="R18" s="8" t="str">
        <f t="shared" si="4"/>
        <v>CON-00-147817-2</v>
      </c>
      <c r="S18" s="193">
        <f t="shared" si="5"/>
        <v>207</v>
      </c>
      <c r="T18" s="30" t="str">
        <f t="shared" si="6"/>
        <v>565141 - Squash- og peberfrugtsratatouille</v>
      </c>
      <c r="U18" s="31">
        <f t="shared" si="1"/>
        <v>207</v>
      </c>
      <c r="V18" s="32" t="str">
        <f t="shared" ref="V18:Y18" si="21">IF($U18="","","0")</f>
        <v>0</v>
      </c>
      <c r="W18" s="32" t="str">
        <f t="shared" si="21"/>
        <v>0</v>
      </c>
      <c r="X18" s="32" t="str">
        <f t="shared" si="21"/>
        <v>0</v>
      </c>
      <c r="Y18" s="32" t="str">
        <f t="shared" si="21"/>
        <v>0</v>
      </c>
      <c r="Z18" s="30"/>
      <c r="AA18" s="30"/>
      <c r="AB18" s="33"/>
      <c r="AC18" s="30"/>
      <c r="AD18" s="12"/>
      <c r="AE18" s="34" t="str">
        <f t="shared" si="8"/>
        <v>610_1p</v>
      </c>
      <c r="AF18" s="34" t="str">
        <f t="shared" si="9"/>
        <v>565141 - Squash- og peberfrugtsratatouille</v>
      </c>
      <c r="AG18" s="34" t="str">
        <f t="shared" si="10"/>
        <v>CON-00-147817-2</v>
      </c>
      <c r="AH18" s="26" t="str">
        <f t="shared" si="11"/>
        <v>ASL2</v>
      </c>
      <c r="AI18" s="34"/>
      <c r="AJ18" s="26" t="str">
        <f t="shared" si="12"/>
        <v>1</v>
      </c>
      <c r="AK18" s="34"/>
      <c r="AL18" s="26" t="str">
        <f t="shared" si="13"/>
        <v>Chilled</v>
      </c>
    </row>
    <row r="19">
      <c r="A19" s="195" t="str">
        <f>IFERROR(__xludf.DUMMYFUNCTION("""COMPUTED_VALUE"""),"W19")</f>
        <v>W19</v>
      </c>
      <c r="B19" s="185">
        <f>IFERROR(__xludf.DUMMYFUNCTION("""COMPUTED_VALUE"""),611.0)</f>
        <v>611</v>
      </c>
      <c r="C19" s="8" t="str">
        <f>IFERROR(__xludf.DUMMYFUNCTION("""COMPUTED_VALUE"""),"CON-00-147824-2")</f>
        <v>CON-00-147824-2</v>
      </c>
      <c r="D19" s="171" t="str">
        <f>IFERROR(__xludf.DUMMYFUNCTION("""COMPUTED_VALUE"""),"565143")</f>
        <v>565143</v>
      </c>
      <c r="E19" s="8" t="str">
        <f>IFERROR(__xludf.DUMMYFUNCTION("""COMPUTED_VALUE"""),"Svinemørbrad i cremet hvidløgs- og sennepssauce")</f>
        <v>Svinemørbrad i cremet hvidløgs- og sennepssauce</v>
      </c>
      <c r="F19" s="190">
        <f>IFERROR(__xludf.DUMMYFUNCTION("""COMPUTED_VALUE"""),509.0)</f>
        <v>509</v>
      </c>
      <c r="G19" s="190">
        <f>IFERROR(__xludf.DUMMYFUNCTION("""COMPUTED_VALUE"""),438.0)</f>
        <v>438</v>
      </c>
      <c r="H19" s="190">
        <f>IFERROR(__xludf.DUMMYFUNCTION("""COMPUTED_VALUE"""),476.0)</f>
        <v>476</v>
      </c>
      <c r="I19" s="190">
        <f>IFERROR(__xludf.DUMMYFUNCTION("""COMPUTED_VALUE"""),624.0)</f>
        <v>624</v>
      </c>
      <c r="J19" s="190">
        <f>IFERROR(__xludf.DUMMYFUNCTION("""COMPUTED_VALUE"""),631.0)</f>
        <v>631</v>
      </c>
      <c r="K19" s="8"/>
      <c r="L19" s="190">
        <f>IFERROR(__xludf.DUMMYFUNCTION("""COMPUTED_VALUE"""),709.0)</f>
        <v>709</v>
      </c>
      <c r="M19" s="190">
        <f>IFERROR(__xludf.DUMMYFUNCTION("""COMPUTED_VALUE"""),719.0)</f>
        <v>719</v>
      </c>
      <c r="N19" s="8"/>
      <c r="O19" s="191">
        <f>IFERROR(__xludf.DUMMYFUNCTION("""COMPUTED_VALUE"""),650.0)</f>
        <v>650</v>
      </c>
      <c r="P19" s="8"/>
      <c r="Q19" s="195" t="str">
        <f t="shared" si="3"/>
        <v>565143 - Svinemørbrad i cremet hvidløgs- og sennepssauce</v>
      </c>
      <c r="R19" s="8" t="str">
        <f t="shared" si="4"/>
        <v>CON-00-147824-2</v>
      </c>
      <c r="S19" s="193">
        <f t="shared" si="5"/>
        <v>650</v>
      </c>
      <c r="T19" s="30" t="str">
        <f t="shared" si="6"/>
        <v>565143 - Svinemørbrad i cremet hvidløgs- og sennepssauce</v>
      </c>
      <c r="U19" s="31">
        <f t="shared" si="1"/>
        <v>650</v>
      </c>
      <c r="V19" s="32" t="str">
        <f t="shared" ref="V19:Y19" si="22">IF($U19="","","0")</f>
        <v>0</v>
      </c>
      <c r="W19" s="32" t="str">
        <f t="shared" si="22"/>
        <v>0</v>
      </c>
      <c r="X19" s="32" t="str">
        <f t="shared" si="22"/>
        <v>0</v>
      </c>
      <c r="Y19" s="32" t="str">
        <f t="shared" si="22"/>
        <v>0</v>
      </c>
      <c r="Z19" s="30"/>
      <c r="AA19" s="30"/>
      <c r="AB19" s="33"/>
      <c r="AC19" s="30"/>
      <c r="AD19" s="12"/>
      <c r="AE19" s="34" t="str">
        <f t="shared" si="8"/>
        <v>611_1p</v>
      </c>
      <c r="AF19" s="34" t="str">
        <f t="shared" si="9"/>
        <v>565143 - Svinemørbrad i cremet hvidløgs- og sennepssauce</v>
      </c>
      <c r="AG19" s="34" t="str">
        <f t="shared" si="10"/>
        <v>CON-00-147824-2</v>
      </c>
      <c r="AH19" s="26" t="str">
        <f t="shared" si="11"/>
        <v>ASL2</v>
      </c>
      <c r="AI19" s="34"/>
      <c r="AJ19" s="26" t="str">
        <f t="shared" si="12"/>
        <v>1</v>
      </c>
      <c r="AK19" s="34"/>
      <c r="AL19" s="26" t="str">
        <f t="shared" si="13"/>
        <v>Chilled</v>
      </c>
    </row>
    <row r="20">
      <c r="A20" s="195" t="str">
        <f>IFERROR(__xludf.DUMMYFUNCTION("""COMPUTED_VALUE"""),"W19")</f>
        <v>W19</v>
      </c>
      <c r="B20" s="185">
        <f>IFERROR(__xludf.DUMMYFUNCTION("""COMPUTED_VALUE"""),612.0)</f>
        <v>612</v>
      </c>
      <c r="C20" s="8" t="str">
        <f>IFERROR(__xludf.DUMMYFUNCTION("""COMPUTED_VALUE"""),"CON-00-151279-2")</f>
        <v>CON-00-151279-2</v>
      </c>
      <c r="D20" s="171" t="str">
        <f>IFERROR(__xludf.DUMMYFUNCTION("""COMPUTED_VALUE"""),"565196")</f>
        <v>565196</v>
      </c>
      <c r="E20" s="8" t="str">
        <f>IFERROR(__xludf.DUMMYFUNCTION("""COMPUTED_VALUE"""),"Laks med aji verde")</f>
        <v>Laks med aji verde</v>
      </c>
      <c r="F20" s="190">
        <f>IFERROR(__xludf.DUMMYFUNCTION("""COMPUTED_VALUE"""),0.0)</f>
        <v>0</v>
      </c>
      <c r="G20" s="190">
        <f>IFERROR(__xludf.DUMMYFUNCTION("""COMPUTED_VALUE"""),1551.0)</f>
        <v>1551</v>
      </c>
      <c r="H20" s="190">
        <f>IFERROR(__xludf.DUMMYFUNCTION("""COMPUTED_VALUE"""),1678.0)</f>
        <v>1678</v>
      </c>
      <c r="I20" s="190">
        <f>IFERROR(__xludf.DUMMYFUNCTION("""COMPUTED_VALUE"""),1334.0)</f>
        <v>1334</v>
      </c>
      <c r="J20" s="190">
        <f>IFERROR(__xludf.DUMMYFUNCTION("""COMPUTED_VALUE"""),1363.0)</f>
        <v>1363</v>
      </c>
      <c r="K20" s="8"/>
      <c r="L20" s="190">
        <f>IFERROR(__xludf.DUMMYFUNCTION("""COMPUTED_VALUE"""),1383.0)</f>
        <v>1383</v>
      </c>
      <c r="M20" s="190">
        <f>IFERROR(__xludf.DUMMYFUNCTION("""COMPUTED_VALUE"""),1396.0)</f>
        <v>1396</v>
      </c>
      <c r="N20" s="8"/>
      <c r="O20" s="191">
        <f>IFERROR(__xludf.DUMMYFUNCTION("""COMPUTED_VALUE"""),1316.0)</f>
        <v>1316</v>
      </c>
      <c r="P20" s="8"/>
      <c r="Q20" s="195" t="str">
        <f t="shared" si="3"/>
        <v>565196 - Laks med aji verde</v>
      </c>
      <c r="R20" s="8" t="str">
        <f t="shared" si="4"/>
        <v>CON-00-151279-2</v>
      </c>
      <c r="S20" s="193">
        <f t="shared" si="5"/>
        <v>1316</v>
      </c>
      <c r="T20" s="30" t="str">
        <f t="shared" si="6"/>
        <v>565196 - Laks med aji verde</v>
      </c>
      <c r="U20" s="31">
        <f t="shared" si="1"/>
        <v>1316</v>
      </c>
      <c r="V20" s="32" t="str">
        <f t="shared" ref="V20:Y20" si="23">IF($U20="","","0")</f>
        <v>0</v>
      </c>
      <c r="W20" s="32" t="str">
        <f t="shared" si="23"/>
        <v>0</v>
      </c>
      <c r="X20" s="32" t="str">
        <f t="shared" si="23"/>
        <v>0</v>
      </c>
      <c r="Y20" s="32" t="str">
        <f t="shared" si="23"/>
        <v>0</v>
      </c>
      <c r="Z20" s="30"/>
      <c r="AA20" s="30"/>
      <c r="AB20" s="33"/>
      <c r="AC20" s="30"/>
      <c r="AD20" s="12"/>
      <c r="AE20" s="34" t="str">
        <f t="shared" si="8"/>
        <v>612_1p</v>
      </c>
      <c r="AF20" s="34" t="str">
        <f t="shared" si="9"/>
        <v>565196 - Laks med aji verde</v>
      </c>
      <c r="AG20" s="34" t="str">
        <f t="shared" si="10"/>
        <v>CON-00-151279-2</v>
      </c>
      <c r="AH20" s="26" t="str">
        <f t="shared" si="11"/>
        <v>ASL2</v>
      </c>
      <c r="AI20" s="34"/>
      <c r="AJ20" s="26" t="str">
        <f t="shared" si="12"/>
        <v>1</v>
      </c>
      <c r="AK20" s="34"/>
      <c r="AL20" s="26" t="str">
        <f t="shared" si="13"/>
        <v>Chilled</v>
      </c>
    </row>
    <row r="21">
      <c r="A21" s="195" t="str">
        <f>IFERROR(__xludf.DUMMYFUNCTION("""COMPUTED_VALUE"""),"W19")</f>
        <v>W19</v>
      </c>
      <c r="B21" s="185">
        <f>IFERROR(__xludf.DUMMYFUNCTION("""COMPUTED_VALUE"""),613.0)</f>
        <v>613</v>
      </c>
      <c r="C21" s="8" t="str">
        <f>IFERROR(__xludf.DUMMYFUNCTION("""COMPUTED_VALUE"""),"CON-00-147901-2")</f>
        <v>CON-00-147901-2</v>
      </c>
      <c r="D21" s="171" t="str">
        <f>IFERROR(__xludf.DUMMYFUNCTION("""COMPUTED_VALUE"""),"565130")</f>
        <v>565130</v>
      </c>
      <c r="E21" s="8" t="str">
        <f>IFERROR(__xludf.DUMMYFUNCTION("""COMPUTED_VALUE"""),"Chilikryddet pulled pork")</f>
        <v>Chilikryddet pulled pork</v>
      </c>
      <c r="F21" s="190"/>
      <c r="G21" s="190"/>
      <c r="H21" s="190">
        <f>IFERROR(__xludf.DUMMYFUNCTION("""COMPUTED_VALUE"""),2056.0)</f>
        <v>2056</v>
      </c>
      <c r="I21" s="190">
        <f>IFERROR(__xludf.DUMMYFUNCTION("""COMPUTED_VALUE"""),1910.0)</f>
        <v>1910</v>
      </c>
      <c r="J21" s="190">
        <f>IFERROR(__xludf.DUMMYFUNCTION("""COMPUTED_VALUE"""),1960.0)</f>
        <v>1960</v>
      </c>
      <c r="K21" s="8"/>
      <c r="L21" s="190">
        <f>IFERROR(__xludf.DUMMYFUNCTION("""COMPUTED_VALUE"""),1996.0)</f>
        <v>1996</v>
      </c>
      <c r="M21" s="190">
        <f>IFERROR(__xludf.DUMMYFUNCTION("""COMPUTED_VALUE"""),1935.0)</f>
        <v>1935</v>
      </c>
      <c r="N21" s="8"/>
      <c r="O21" s="191">
        <f>IFERROR(__xludf.DUMMYFUNCTION("""COMPUTED_VALUE"""),1852.0)</f>
        <v>1852</v>
      </c>
      <c r="P21" s="8"/>
      <c r="Q21" s="195" t="str">
        <f t="shared" si="3"/>
        <v>565130 - Chilikryddet pulled pork</v>
      </c>
      <c r="R21" s="8" t="str">
        <f t="shared" si="4"/>
        <v>CON-00-147901-2</v>
      </c>
      <c r="S21" s="193">
        <f t="shared" si="5"/>
        <v>1852</v>
      </c>
      <c r="T21" s="30" t="str">
        <f t="shared" si="6"/>
        <v>565130 - Chilikryddet pulled pork</v>
      </c>
      <c r="U21" s="31">
        <f t="shared" si="1"/>
        <v>1852</v>
      </c>
      <c r="V21" s="32" t="str">
        <f t="shared" ref="V21:Y21" si="24">IF($U21="","","0")</f>
        <v>0</v>
      </c>
      <c r="W21" s="32" t="str">
        <f t="shared" si="24"/>
        <v>0</v>
      </c>
      <c r="X21" s="32" t="str">
        <f t="shared" si="24"/>
        <v>0</v>
      </c>
      <c r="Y21" s="32" t="str">
        <f t="shared" si="24"/>
        <v>0</v>
      </c>
      <c r="Z21" s="30"/>
      <c r="AA21" s="30"/>
      <c r="AB21" s="33"/>
      <c r="AC21" s="30"/>
      <c r="AD21" s="12"/>
      <c r="AE21" s="34" t="str">
        <f t="shared" si="8"/>
        <v>613_1p</v>
      </c>
      <c r="AF21" s="34" t="str">
        <f t="shared" si="9"/>
        <v>565130 - Chilikryddet pulled pork</v>
      </c>
      <c r="AG21" s="34" t="str">
        <f t="shared" si="10"/>
        <v>CON-00-147901-2</v>
      </c>
      <c r="AH21" s="26" t="str">
        <f t="shared" si="11"/>
        <v>ASL2</v>
      </c>
      <c r="AI21" s="34"/>
      <c r="AJ21" s="26" t="str">
        <f t="shared" si="12"/>
        <v>1</v>
      </c>
      <c r="AK21" s="34"/>
      <c r="AL21" s="26" t="str">
        <f t="shared" si="13"/>
        <v>Chilled</v>
      </c>
    </row>
    <row r="22">
      <c r="A22" s="195" t="str">
        <f>IFERROR(__xludf.DUMMYFUNCTION("""COMPUTED_VALUE"""),"W19")</f>
        <v>W19</v>
      </c>
      <c r="B22" s="185">
        <f>IFERROR(__xludf.DUMMYFUNCTION("""COMPUTED_VALUE"""),614.0)</f>
        <v>614</v>
      </c>
      <c r="C22" s="8" t="str">
        <f>IFERROR(__xludf.DUMMYFUNCTION("""COMPUTED_VALUE"""),"CON-00-152026-2")</f>
        <v>CON-00-152026-2</v>
      </c>
      <c r="D22" s="171" t="str">
        <f>IFERROR(__xludf.DUMMYFUNCTION("""COMPUTED_VALUE"""),"565211")</f>
        <v>565211</v>
      </c>
      <c r="E22" s="8" t="str">
        <f>IFERROR(__xludf.DUMMYFUNCTION("""COMPUTED_VALUE"""),"Grillet kylling med ingefær og hvidløg")</f>
        <v>Grillet kylling med ingefær og hvidløg</v>
      </c>
      <c r="F22" s="190"/>
      <c r="G22" s="190"/>
      <c r="H22" s="190">
        <f>IFERROR(__xludf.DUMMYFUNCTION("""COMPUTED_VALUE"""),685.0)</f>
        <v>685</v>
      </c>
      <c r="I22" s="190">
        <f>IFERROR(__xludf.DUMMYFUNCTION("""COMPUTED_VALUE"""),645.0)</f>
        <v>645</v>
      </c>
      <c r="J22" s="190">
        <f>IFERROR(__xludf.DUMMYFUNCTION("""COMPUTED_VALUE"""),668.0)</f>
        <v>668</v>
      </c>
      <c r="K22" s="8"/>
      <c r="L22" s="190">
        <f>IFERROR(__xludf.DUMMYFUNCTION("""COMPUTED_VALUE"""),718.0)</f>
        <v>718</v>
      </c>
      <c r="M22" s="190">
        <f>IFERROR(__xludf.DUMMYFUNCTION("""COMPUTED_VALUE"""),691.0)</f>
        <v>691</v>
      </c>
      <c r="N22" s="8"/>
      <c r="O22" s="191">
        <f>IFERROR(__xludf.DUMMYFUNCTION("""COMPUTED_VALUE"""),649.0)</f>
        <v>649</v>
      </c>
      <c r="P22" s="8"/>
      <c r="Q22" s="195" t="str">
        <f t="shared" si="3"/>
        <v>565211 - Grillet kylling med ingefær og hvidløg</v>
      </c>
      <c r="R22" s="8" t="str">
        <f t="shared" si="4"/>
        <v>CON-00-152026-2</v>
      </c>
      <c r="S22" s="193">
        <f t="shared" si="5"/>
        <v>649</v>
      </c>
      <c r="T22" s="30" t="str">
        <f t="shared" si="6"/>
        <v>565211 - Grillet kylling med ingefær og hvidløg</v>
      </c>
      <c r="U22" s="31">
        <f t="shared" si="1"/>
        <v>649</v>
      </c>
      <c r="V22" s="32" t="str">
        <f t="shared" ref="V22:Y22" si="25">IF($U22="","","0")</f>
        <v>0</v>
      </c>
      <c r="W22" s="32" t="str">
        <f t="shared" si="25"/>
        <v>0</v>
      </c>
      <c r="X22" s="32" t="str">
        <f t="shared" si="25"/>
        <v>0</v>
      </c>
      <c r="Y22" s="32" t="str">
        <f t="shared" si="25"/>
        <v>0</v>
      </c>
      <c r="Z22" s="30"/>
      <c r="AA22" s="30"/>
      <c r="AB22" s="33"/>
      <c r="AC22" s="30"/>
      <c r="AD22" s="12"/>
      <c r="AE22" s="34" t="str">
        <f t="shared" si="8"/>
        <v>614_1p</v>
      </c>
      <c r="AF22" s="34" t="str">
        <f t="shared" si="9"/>
        <v>565211 - Grillet kylling med ingefær og hvidløg</v>
      </c>
      <c r="AG22" s="34" t="str">
        <f t="shared" si="10"/>
        <v>CON-00-152026-2</v>
      </c>
      <c r="AH22" s="26" t="str">
        <f t="shared" si="11"/>
        <v>ASL2</v>
      </c>
      <c r="AI22" s="34"/>
      <c r="AJ22" s="26" t="str">
        <f t="shared" si="12"/>
        <v>1</v>
      </c>
      <c r="AK22" s="34"/>
      <c r="AL22" s="26" t="str">
        <f t="shared" si="13"/>
        <v>Chilled</v>
      </c>
    </row>
    <row r="23">
      <c r="A23" s="195" t="str">
        <f>IFERROR(__xludf.DUMMYFUNCTION("""COMPUTED_VALUE"""),"W19")</f>
        <v>W19</v>
      </c>
      <c r="B23" s="185">
        <f>IFERROR(__xludf.DUMMYFUNCTION("""COMPUTED_VALUE"""),615.0)</f>
        <v>615</v>
      </c>
      <c r="C23" s="8" t="str">
        <f>IFERROR(__xludf.DUMMYFUNCTION("""COMPUTED_VALUE"""),"CON-00-147857-2")</f>
        <v>CON-00-147857-2</v>
      </c>
      <c r="D23" s="171" t="str">
        <f>IFERROR(__xludf.DUMMYFUNCTION("""COMPUTED_VALUE"""),"565091")</f>
        <v>565091</v>
      </c>
      <c r="E23" s="8" t="str">
        <f>IFERROR(__xludf.DUMMYFUNCTION("""COMPUTED_VALUE"""),"Krydret hakket oksekød med jalapenos")</f>
        <v>Krydret hakket oksekød med jalapenos</v>
      </c>
      <c r="F23" s="190">
        <f>IFERROR(__xludf.DUMMYFUNCTION("""COMPUTED_VALUE"""),739.0)</f>
        <v>739</v>
      </c>
      <c r="G23" s="190">
        <f>IFERROR(__xludf.DUMMYFUNCTION("""COMPUTED_VALUE"""),745.0)</f>
        <v>745</v>
      </c>
      <c r="H23" s="190">
        <f>IFERROR(__xludf.DUMMYFUNCTION("""COMPUTED_VALUE"""),809.0)</f>
        <v>809</v>
      </c>
      <c r="I23" s="190">
        <f>IFERROR(__xludf.DUMMYFUNCTION("""COMPUTED_VALUE"""),690.0)</f>
        <v>690</v>
      </c>
      <c r="J23" s="190">
        <f>IFERROR(__xludf.DUMMYFUNCTION("""COMPUTED_VALUE"""),685.0)</f>
        <v>685</v>
      </c>
      <c r="K23" s="8"/>
      <c r="L23" s="190">
        <f>IFERROR(__xludf.DUMMYFUNCTION("""COMPUTED_VALUE"""),685.0)</f>
        <v>685</v>
      </c>
      <c r="M23" s="190">
        <f>IFERROR(__xludf.DUMMYFUNCTION("""COMPUTED_VALUE"""),666.0)</f>
        <v>666</v>
      </c>
      <c r="N23" s="8"/>
      <c r="O23" s="191">
        <f>IFERROR(__xludf.DUMMYFUNCTION("""COMPUTED_VALUE"""),595.0)</f>
        <v>595</v>
      </c>
      <c r="P23" s="8"/>
      <c r="Q23" s="195" t="str">
        <f t="shared" si="3"/>
        <v>565091 - Krydret hakket oksekød med jalapenos</v>
      </c>
      <c r="R23" s="8" t="str">
        <f t="shared" si="4"/>
        <v>CON-00-147857-2</v>
      </c>
      <c r="S23" s="193">
        <f t="shared" si="5"/>
        <v>595</v>
      </c>
      <c r="T23" s="30" t="str">
        <f t="shared" si="6"/>
        <v>565091 - Krydret hakket oksekød med jalapenos</v>
      </c>
      <c r="U23" s="31">
        <f t="shared" si="1"/>
        <v>595</v>
      </c>
      <c r="V23" s="32" t="str">
        <f t="shared" ref="V23:Y23" si="26">IF($U23="","","0")</f>
        <v>0</v>
      </c>
      <c r="W23" s="32" t="str">
        <f t="shared" si="26"/>
        <v>0</v>
      </c>
      <c r="X23" s="32" t="str">
        <f t="shared" si="26"/>
        <v>0</v>
      </c>
      <c r="Y23" s="32" t="str">
        <f t="shared" si="26"/>
        <v>0</v>
      </c>
      <c r="Z23" s="30"/>
      <c r="AA23" s="30"/>
      <c r="AB23" s="33"/>
      <c r="AC23" s="30"/>
      <c r="AE23" s="34" t="str">
        <f t="shared" si="8"/>
        <v>615_1p</v>
      </c>
      <c r="AF23" s="34" t="str">
        <f t="shared" si="9"/>
        <v>565091 - Krydret hakket oksekød med jalapenos</v>
      </c>
      <c r="AG23" s="34" t="str">
        <f t="shared" si="10"/>
        <v>CON-00-147857-2</v>
      </c>
      <c r="AH23" s="26" t="str">
        <f t="shared" si="11"/>
        <v>ASL2</v>
      </c>
      <c r="AI23" s="34"/>
      <c r="AJ23" s="26" t="str">
        <f t="shared" si="12"/>
        <v>1</v>
      </c>
      <c r="AK23" s="34"/>
      <c r="AL23" s="26" t="str">
        <f t="shared" si="13"/>
        <v>Chilled</v>
      </c>
    </row>
    <row r="24">
      <c r="A24" s="196" t="str">
        <f>IFERROR(__xludf.DUMMYFUNCTION("""COMPUTED_VALUE"""),"W19")</f>
        <v>W19</v>
      </c>
      <c r="B24" s="185">
        <f>IFERROR(__xludf.DUMMYFUNCTION("""COMPUTED_VALUE"""),616.0)</f>
        <v>616</v>
      </c>
      <c r="C24" s="4" t="str">
        <f>IFERROR(__xludf.DUMMYFUNCTION("""COMPUTED_VALUE"""),"CON-00-154556-2")</f>
        <v>CON-00-154556-2</v>
      </c>
      <c r="D24" s="70" t="str">
        <f>IFERROR(__xludf.DUMMYFUNCTION("""COMPUTED_VALUE"""),"565221")</f>
        <v>565221</v>
      </c>
      <c r="E24" s="4" t="str">
        <f>IFERROR(__xludf.DUMMYFUNCTION("""COMPUTED_VALUE"""),"Laksebowl med citrus-miso")</f>
        <v>Laksebowl med citrus-miso</v>
      </c>
      <c r="F24" s="190"/>
      <c r="G24" s="190"/>
      <c r="H24" s="190">
        <f>IFERROR(__xludf.DUMMYFUNCTION("""COMPUTED_VALUE"""),578.0)</f>
        <v>578</v>
      </c>
      <c r="I24" s="190">
        <f>IFERROR(__xludf.DUMMYFUNCTION("""COMPUTED_VALUE"""),575.0)</f>
        <v>575</v>
      </c>
      <c r="J24" s="190">
        <f>IFERROR(__xludf.DUMMYFUNCTION("""COMPUTED_VALUE"""),577.0)</f>
        <v>577</v>
      </c>
      <c r="K24" s="4"/>
      <c r="L24" s="190">
        <f>IFERROR(__xludf.DUMMYFUNCTION("""COMPUTED_VALUE"""),625.0)</f>
        <v>625</v>
      </c>
      <c r="M24" s="190">
        <f>IFERROR(__xludf.DUMMYFUNCTION("""COMPUTED_VALUE"""),656.0)</f>
        <v>656</v>
      </c>
      <c r="N24" s="4"/>
      <c r="O24" s="191">
        <f>IFERROR(__xludf.DUMMYFUNCTION("""COMPUTED_VALUE"""),603.0)</f>
        <v>603</v>
      </c>
      <c r="P24" s="8"/>
      <c r="Q24" s="195" t="str">
        <f t="shared" si="3"/>
        <v>565221 - Laksebowl med citrus-miso</v>
      </c>
      <c r="R24" s="8" t="str">
        <f t="shared" si="4"/>
        <v>CON-00-154556-2</v>
      </c>
      <c r="S24" s="193">
        <f t="shared" si="5"/>
        <v>603</v>
      </c>
      <c r="T24" s="30" t="str">
        <f t="shared" si="6"/>
        <v>565221 - Laksebowl med citrus-miso</v>
      </c>
      <c r="U24" s="31">
        <f t="shared" si="1"/>
        <v>603</v>
      </c>
      <c r="V24" s="32" t="str">
        <f t="shared" ref="V24:Y24" si="27">IF($U24="","","0")</f>
        <v>0</v>
      </c>
      <c r="W24" s="32" t="str">
        <f t="shared" si="27"/>
        <v>0</v>
      </c>
      <c r="X24" s="32" t="str">
        <f t="shared" si="27"/>
        <v>0</v>
      </c>
      <c r="Y24" s="32" t="str">
        <f t="shared" si="27"/>
        <v>0</v>
      </c>
      <c r="Z24" s="30"/>
      <c r="AA24" s="30"/>
      <c r="AB24" s="33"/>
      <c r="AC24" s="30"/>
      <c r="AE24" s="34" t="str">
        <f t="shared" si="8"/>
        <v>616_1p</v>
      </c>
      <c r="AF24" s="34" t="str">
        <f t="shared" si="9"/>
        <v>565221 - Laksebowl med citrus-miso</v>
      </c>
      <c r="AG24" s="34" t="str">
        <f t="shared" si="10"/>
        <v>CON-00-154556-2</v>
      </c>
      <c r="AH24" s="26" t="str">
        <f t="shared" si="11"/>
        <v>ASL2</v>
      </c>
      <c r="AI24" s="34"/>
      <c r="AJ24" s="26" t="str">
        <f t="shared" si="12"/>
        <v>1</v>
      </c>
      <c r="AK24" s="34"/>
      <c r="AL24" s="26" t="str">
        <f t="shared" si="13"/>
        <v>Chilled</v>
      </c>
    </row>
    <row r="25">
      <c r="A25" s="196" t="str">
        <f>IFERROR(__xludf.DUMMYFUNCTION("""COMPUTED_VALUE"""),"W19")</f>
        <v>W19</v>
      </c>
      <c r="B25" s="185">
        <f>IFERROR(__xludf.DUMMYFUNCTION("""COMPUTED_VALUE"""),617.0)</f>
        <v>617</v>
      </c>
      <c r="C25" s="4" t="str">
        <f>IFERROR(__xludf.DUMMYFUNCTION("""COMPUTED_VALUE"""),"CON-00-155188-2")</f>
        <v>CON-00-155188-2</v>
      </c>
      <c r="D25" s="70" t="str">
        <f>IFERROR(__xludf.DUMMYFUNCTION("""COMPUTED_VALUE"""),"565252")</f>
        <v>565252</v>
      </c>
      <c r="E25" s="4" t="str">
        <f>IFERROR(__xludf.DUMMYFUNCTION("""COMPUTED_VALUE"""),"Pasta med oksekødsragù og soltørrede tomater")</f>
        <v>Pasta med oksekødsragù og soltørrede tomater</v>
      </c>
      <c r="F25" s="190">
        <f>IFERROR(__xludf.DUMMYFUNCTION("""COMPUTED_VALUE"""),943.0)</f>
        <v>943</v>
      </c>
      <c r="G25" s="190">
        <f>IFERROR(__xludf.DUMMYFUNCTION("""COMPUTED_VALUE"""),931.0)</f>
        <v>931</v>
      </c>
      <c r="H25" s="190">
        <f>IFERROR(__xludf.DUMMYFUNCTION("""COMPUTED_VALUE"""),1011.0)</f>
        <v>1011</v>
      </c>
      <c r="I25" s="190">
        <f>IFERROR(__xludf.DUMMYFUNCTION("""COMPUTED_VALUE"""),1841.0)</f>
        <v>1841</v>
      </c>
      <c r="J25" s="190">
        <f>IFERROR(__xludf.DUMMYFUNCTION("""COMPUTED_VALUE"""),1828.0)</f>
        <v>1828</v>
      </c>
      <c r="K25" s="4"/>
      <c r="L25" s="190">
        <f>IFERROR(__xludf.DUMMYFUNCTION("""COMPUTED_VALUE"""),1844.0)</f>
        <v>1844</v>
      </c>
      <c r="M25" s="190">
        <f>IFERROR(__xludf.DUMMYFUNCTION("""COMPUTED_VALUE"""),1738.0)</f>
        <v>1738</v>
      </c>
      <c r="N25" s="4"/>
      <c r="O25" s="191">
        <f>IFERROR(__xludf.DUMMYFUNCTION("""COMPUTED_VALUE"""),1692.0)</f>
        <v>1692</v>
      </c>
      <c r="P25" s="8"/>
      <c r="Q25" s="195" t="str">
        <f t="shared" si="3"/>
        <v>565252 - Pasta med oksekødsragù og soltørrede tomater</v>
      </c>
      <c r="R25" s="8" t="str">
        <f t="shared" si="4"/>
        <v>CON-00-155188-2</v>
      </c>
      <c r="S25" s="193">
        <f t="shared" si="5"/>
        <v>1692</v>
      </c>
      <c r="T25" s="30" t="str">
        <f t="shared" si="6"/>
        <v>565252 - Pasta med oksekødsragù og soltørrede tomater</v>
      </c>
      <c r="U25" s="31">
        <f t="shared" si="1"/>
        <v>1692</v>
      </c>
      <c r="V25" s="32" t="str">
        <f t="shared" ref="V25:Y25" si="28">IF($U25="","","0")</f>
        <v>0</v>
      </c>
      <c r="W25" s="32" t="str">
        <f t="shared" si="28"/>
        <v>0</v>
      </c>
      <c r="X25" s="32" t="str">
        <f t="shared" si="28"/>
        <v>0</v>
      </c>
      <c r="Y25" s="32" t="str">
        <f t="shared" si="28"/>
        <v>0</v>
      </c>
      <c r="Z25" s="30"/>
      <c r="AA25" s="30"/>
      <c r="AB25" s="33"/>
      <c r="AC25" s="30"/>
      <c r="AE25" s="34" t="str">
        <f t="shared" si="8"/>
        <v>617_1p</v>
      </c>
      <c r="AF25" s="34" t="str">
        <f t="shared" si="9"/>
        <v>565252 - Pasta med oksekødsragù og soltørrede tomater</v>
      </c>
      <c r="AG25" s="34" t="str">
        <f t="shared" si="10"/>
        <v>CON-00-155188-2</v>
      </c>
      <c r="AH25" s="26" t="str">
        <f t="shared" si="11"/>
        <v>ASL2</v>
      </c>
      <c r="AI25" s="34"/>
      <c r="AJ25" s="26" t="str">
        <f t="shared" si="12"/>
        <v>1</v>
      </c>
      <c r="AK25" s="34"/>
      <c r="AL25" s="26" t="str">
        <f t="shared" si="13"/>
        <v>Chilled</v>
      </c>
    </row>
    <row r="26">
      <c r="A26" s="196" t="str">
        <f>IFERROR(__xludf.DUMMYFUNCTION("""COMPUTED_VALUE"""),"W19")</f>
        <v>W19</v>
      </c>
      <c r="B26" s="185">
        <f>IFERROR(__xludf.DUMMYFUNCTION("""COMPUTED_VALUE"""),618.0)</f>
        <v>618</v>
      </c>
      <c r="C26" s="4" t="str">
        <f>IFERROR(__xludf.DUMMYFUNCTION("""COMPUTED_VALUE"""),"CON-00-147864-2")</f>
        <v>CON-00-147864-2</v>
      </c>
      <c r="D26" s="70" t="str">
        <f>IFERROR(__xludf.DUMMYFUNCTION("""COMPUTED_VALUE"""),"565095")</f>
        <v>565095</v>
      </c>
      <c r="E26" s="4" t="str">
        <f>IFERROR(__xludf.DUMMYFUNCTION("""COMPUTED_VALUE"""),"Svinemørbrad i ancho- og chilisauce")</f>
        <v>Svinemørbrad i ancho- og chilisauce</v>
      </c>
      <c r="F26" s="190">
        <f>IFERROR(__xludf.DUMMYFUNCTION("""COMPUTED_VALUE"""),638.0)</f>
        <v>638</v>
      </c>
      <c r="G26" s="190">
        <f>IFERROR(__xludf.DUMMYFUNCTION("""COMPUTED_VALUE"""),607.0)</f>
        <v>607</v>
      </c>
      <c r="H26" s="190">
        <f>IFERROR(__xludf.DUMMYFUNCTION("""COMPUTED_VALUE"""),659.0)</f>
        <v>659</v>
      </c>
      <c r="I26" s="190">
        <f>IFERROR(__xludf.DUMMYFUNCTION("""COMPUTED_VALUE"""),648.0)</f>
        <v>648</v>
      </c>
      <c r="J26" s="190">
        <f>IFERROR(__xludf.DUMMYFUNCTION("""COMPUTED_VALUE"""),660.0)</f>
        <v>660</v>
      </c>
      <c r="K26" s="4"/>
      <c r="L26" s="190">
        <f>IFERROR(__xludf.DUMMYFUNCTION("""COMPUTED_VALUE"""),667.0)</f>
        <v>667</v>
      </c>
      <c r="M26" s="190">
        <f>IFERROR(__xludf.DUMMYFUNCTION("""COMPUTED_VALUE"""),675.0)</f>
        <v>675</v>
      </c>
      <c r="N26" s="4"/>
      <c r="O26" s="191">
        <f>IFERROR(__xludf.DUMMYFUNCTION("""COMPUTED_VALUE"""),631.0)</f>
        <v>631</v>
      </c>
      <c r="P26" s="8"/>
      <c r="Q26" s="195" t="str">
        <f t="shared" si="3"/>
        <v>565095 - Svinemørbrad i ancho- og chilisauce</v>
      </c>
      <c r="R26" s="8" t="str">
        <f t="shared" si="4"/>
        <v>CON-00-147864-2</v>
      </c>
      <c r="S26" s="193">
        <f t="shared" si="5"/>
        <v>631</v>
      </c>
      <c r="T26" s="30" t="str">
        <f t="shared" si="6"/>
        <v>565095 - Svinemørbrad i ancho- og chilisauce</v>
      </c>
      <c r="U26" s="31">
        <f t="shared" si="1"/>
        <v>631</v>
      </c>
      <c r="V26" s="32" t="str">
        <f t="shared" ref="V26:Y26" si="29">IF($U26="","","0")</f>
        <v>0</v>
      </c>
      <c r="W26" s="32" t="str">
        <f t="shared" si="29"/>
        <v>0</v>
      </c>
      <c r="X26" s="32" t="str">
        <f t="shared" si="29"/>
        <v>0</v>
      </c>
      <c r="Y26" s="32" t="str">
        <f t="shared" si="29"/>
        <v>0</v>
      </c>
      <c r="Z26" s="30"/>
      <c r="AA26" s="30"/>
      <c r="AB26" s="33"/>
      <c r="AC26" s="30"/>
      <c r="AE26" s="34" t="str">
        <f t="shared" si="8"/>
        <v>618_1p</v>
      </c>
      <c r="AF26" s="34" t="str">
        <f t="shared" si="9"/>
        <v>565095 - Svinemørbrad i ancho- og chilisauce</v>
      </c>
      <c r="AG26" s="34" t="str">
        <f t="shared" si="10"/>
        <v>CON-00-147864-2</v>
      </c>
      <c r="AH26" s="26" t="str">
        <f t="shared" si="11"/>
        <v>ASL2</v>
      </c>
      <c r="AI26" s="34"/>
      <c r="AJ26" s="26" t="str">
        <f t="shared" si="12"/>
        <v>1</v>
      </c>
      <c r="AK26" s="34"/>
      <c r="AL26" s="26" t="str">
        <f t="shared" si="13"/>
        <v>Chilled</v>
      </c>
    </row>
    <row r="27">
      <c r="A27" s="196" t="str">
        <f>IFERROR(__xludf.DUMMYFUNCTION("""COMPUTED_VALUE"""),"W19")</f>
        <v>W19</v>
      </c>
      <c r="B27" s="185">
        <f>IFERROR(__xludf.DUMMYFUNCTION("""COMPUTED_VALUE"""),706.0)</f>
        <v>706</v>
      </c>
      <c r="C27" s="4" t="str">
        <f>IFERROR(__xludf.DUMMYFUNCTION("""COMPUTED_VALUE"""),"PTN-00-148223-2")</f>
        <v>PTN-00-148223-2</v>
      </c>
      <c r="D27" s="70" t="str">
        <f>IFERROR(__xludf.DUMMYFUNCTION("""COMPUTED_VALUE"""),"565119")</f>
        <v>565119</v>
      </c>
      <c r="E27" s="4" t="str">
        <f>IFERROR(__xludf.DUMMYFUNCTION("""COMPUTED_VALUE"""),"Grillet kylling med hvidlød og urter")</f>
        <v>Grillet kylling med hvidlød og urter</v>
      </c>
      <c r="F27" s="190">
        <f>IFERROR(__xludf.DUMMYFUNCTION("""COMPUTED_VALUE"""),36.0)</f>
        <v>36</v>
      </c>
      <c r="G27" s="190">
        <f>IFERROR(__xludf.DUMMYFUNCTION("""COMPUTED_VALUE"""),36.0)</f>
        <v>36</v>
      </c>
      <c r="H27" s="190">
        <f>IFERROR(__xludf.DUMMYFUNCTION("""COMPUTED_VALUE"""),36.0)</f>
        <v>36</v>
      </c>
      <c r="I27" s="197">
        <f>IFERROR(__xludf.DUMMYFUNCTION("""COMPUTED_VALUE"""),36.0)</f>
        <v>36</v>
      </c>
      <c r="J27" s="197">
        <f>IFERROR(__xludf.DUMMYFUNCTION("""COMPUTED_VALUE"""),36.0)</f>
        <v>36</v>
      </c>
      <c r="K27" s="38"/>
      <c r="L27" s="197">
        <f>IFERROR(__xludf.DUMMYFUNCTION("""COMPUTED_VALUE"""),36.0)</f>
        <v>36</v>
      </c>
      <c r="M27" s="197">
        <f>IFERROR(__xludf.DUMMYFUNCTION("""COMPUTED_VALUE"""),36.0)</f>
        <v>36</v>
      </c>
      <c r="N27" s="38"/>
      <c r="O27" s="198">
        <f>IFERROR(__xludf.DUMMYFUNCTION("""COMPUTED_VALUE"""),51.0)</f>
        <v>51</v>
      </c>
      <c r="P27" s="8"/>
      <c r="Q27" s="195" t="str">
        <f t="shared" si="3"/>
        <v>565119 - Grillet kylling med hvidlød og urter</v>
      </c>
      <c r="R27" s="8" t="str">
        <f t="shared" si="4"/>
        <v>PTN-00-148223-2</v>
      </c>
      <c r="S27" s="193">
        <f t="shared" si="5"/>
        <v>51</v>
      </c>
      <c r="T27" s="30" t="str">
        <f t="shared" si="6"/>
        <v>565119 - Grillet kylling med hvidlød og urter</v>
      </c>
      <c r="U27" s="31">
        <f t="shared" si="1"/>
        <v>51</v>
      </c>
      <c r="V27" s="32" t="str">
        <f t="shared" ref="V27:Y27" si="30">IF($U27="","","0")</f>
        <v>0</v>
      </c>
      <c r="W27" s="32" t="str">
        <f t="shared" si="30"/>
        <v>0</v>
      </c>
      <c r="X27" s="32" t="str">
        <f t="shared" si="30"/>
        <v>0</v>
      </c>
      <c r="Y27" s="32" t="str">
        <f t="shared" si="30"/>
        <v>0</v>
      </c>
      <c r="Z27" s="30"/>
      <c r="AA27" s="30"/>
      <c r="AB27" s="13" t="s">
        <v>166</v>
      </c>
      <c r="AC27" s="30"/>
      <c r="AE27" s="34" t="str">
        <f t="shared" si="8"/>
        <v>706_1p</v>
      </c>
      <c r="AF27" s="34" t="str">
        <f t="shared" si="9"/>
        <v>565119 - Grillet kylling med hvidlød og urter</v>
      </c>
      <c r="AG27" s="34" t="str">
        <f t="shared" si="10"/>
        <v>PTN-00-148223-2</v>
      </c>
      <c r="AH27" s="26" t="str">
        <f t="shared" si="11"/>
        <v>ASL2</v>
      </c>
      <c r="AI27" s="34"/>
      <c r="AJ27" s="26" t="str">
        <f t="shared" si="12"/>
        <v>1</v>
      </c>
      <c r="AK27" s="34"/>
      <c r="AL27" s="26" t="str">
        <f t="shared" si="13"/>
        <v>Chilled</v>
      </c>
    </row>
    <row r="28">
      <c r="A28" s="201" t="str">
        <f>IFERROR(__xludf.DUMMYFUNCTION("""COMPUTED_VALUE"""),"W19")</f>
        <v>W19</v>
      </c>
      <c r="B28" s="202"/>
      <c r="C28" s="203"/>
      <c r="D28" s="203" t="str">
        <f>IFERROR(__xludf.DUMMYFUNCTION("""COMPUTED_VALUE"""),"")</f>
        <v/>
      </c>
      <c r="E28" s="203"/>
      <c r="F28" s="237">
        <f>IFERROR(__xludf.DUMMYFUNCTION("""COMPUTED_VALUE"""),12156.0)</f>
        <v>12156</v>
      </c>
      <c r="G28" s="237">
        <f>IFERROR(__xludf.DUMMYFUNCTION("""COMPUTED_VALUE"""),13347.0)</f>
        <v>13347</v>
      </c>
      <c r="H28" s="237">
        <f>IFERROR(__xludf.DUMMYFUNCTION("""COMPUTED_VALUE"""),17802.0)</f>
        <v>17802</v>
      </c>
      <c r="I28" s="238">
        <f>IFERROR(__xludf.DUMMYFUNCTION("""COMPUTED_VALUE"""),20899.0)</f>
        <v>20899</v>
      </c>
      <c r="J28" s="238">
        <f>IFERROR(__xludf.DUMMYFUNCTION("""COMPUTED_VALUE"""),21328.0)</f>
        <v>21328</v>
      </c>
      <c r="K28" s="238"/>
      <c r="L28" s="238">
        <f>IFERROR(__xludf.DUMMYFUNCTION("""COMPUTED_VALUE"""),21563.0)</f>
        <v>21563</v>
      </c>
      <c r="M28" s="238">
        <f>IFERROR(__xludf.DUMMYFUNCTION("""COMPUTED_VALUE"""),21217.0)</f>
        <v>21217</v>
      </c>
      <c r="N28" s="238">
        <f>IFERROR(__xludf.DUMMYFUNCTION("""COMPUTED_VALUE"""),0.0)</f>
        <v>0</v>
      </c>
      <c r="O28" s="239">
        <f>IFERROR(__xludf.DUMMYFUNCTION("""COMPUTED_VALUE"""),20452.0)</f>
        <v>20452</v>
      </c>
      <c r="P28" s="8"/>
      <c r="Q28" s="195" t="str">
        <f t="shared" ref="Q28:Q34" si="32">IF(B28="","",B28&amp;" - "&amp;E28)</f>
        <v/>
      </c>
      <c r="R28" s="8" t="str">
        <f t="shared" si="4"/>
        <v/>
      </c>
      <c r="S28" s="193" t="str">
        <f t="shared" ref="S28:S34" si="33">IFERROR(XLOOKUP(R28,C:C,H:H),"")</f>
        <v/>
      </c>
      <c r="T28" s="30" t="str">
        <f t="shared" si="6"/>
        <v/>
      </c>
      <c r="U28" s="31">
        <f t="shared" si="1"/>
        <v>0</v>
      </c>
      <c r="V28" s="32" t="str">
        <f t="shared" ref="V28:Y28" si="31">IF($U28="","","0")</f>
        <v>0</v>
      </c>
      <c r="W28" s="32" t="str">
        <f t="shared" si="31"/>
        <v>0</v>
      </c>
      <c r="X28" s="32" t="str">
        <f t="shared" si="31"/>
        <v>0</v>
      </c>
      <c r="Y28" s="32" t="str">
        <f t="shared" si="31"/>
        <v>0</v>
      </c>
      <c r="Z28" s="30"/>
      <c r="AA28" s="30"/>
      <c r="AB28" s="30"/>
      <c r="AC28" s="30"/>
      <c r="AE28" s="34" t="str">
        <f t="shared" ref="AE28:AE39" si="35">IF($Q28="","", LEFT($Q28,3)&amp;"_1p")</f>
        <v/>
      </c>
      <c r="AF28" s="34" t="str">
        <f t="shared" si="9"/>
        <v/>
      </c>
      <c r="AG28" s="34" t="str">
        <f t="shared" si="10"/>
        <v/>
      </c>
      <c r="AH28" s="26" t="str">
        <f t="shared" si="11"/>
        <v/>
      </c>
      <c r="AI28" s="34"/>
      <c r="AJ28" s="26" t="str">
        <f t="shared" si="12"/>
        <v/>
      </c>
      <c r="AK28" s="34"/>
      <c r="AL28" s="26" t="str">
        <f t="shared" si="13"/>
        <v/>
      </c>
    </row>
    <row r="29">
      <c r="A29" s="199"/>
      <c r="B29" s="170"/>
      <c r="C29" s="4"/>
      <c r="D29" s="4"/>
      <c r="E29" s="4"/>
      <c r="F29" s="197"/>
      <c r="G29" s="197"/>
      <c r="H29" s="197"/>
      <c r="I29" s="190"/>
      <c r="J29" s="190"/>
      <c r="K29" s="190"/>
      <c r="L29" s="190"/>
      <c r="M29" s="190"/>
      <c r="N29" s="190"/>
      <c r="O29" s="191"/>
      <c r="P29" s="33" t="s">
        <v>167</v>
      </c>
      <c r="Q29" s="195" t="str">
        <f t="shared" si="32"/>
        <v/>
      </c>
      <c r="R29" s="8" t="str">
        <f t="shared" si="4"/>
        <v/>
      </c>
      <c r="S29" s="193" t="str">
        <f t="shared" si="33"/>
        <v/>
      </c>
      <c r="T29" s="30" t="str">
        <f t="shared" si="6"/>
        <v/>
      </c>
      <c r="U29" s="31">
        <f t="shared" si="1"/>
        <v>0</v>
      </c>
      <c r="V29" s="32" t="str">
        <f t="shared" ref="V29:Y29" si="34">IF($U29="","","0")</f>
        <v>0</v>
      </c>
      <c r="W29" s="32" t="str">
        <f t="shared" si="34"/>
        <v>0</v>
      </c>
      <c r="X29" s="32" t="str">
        <f t="shared" si="34"/>
        <v>0</v>
      </c>
      <c r="Y29" s="32" t="str">
        <f t="shared" si="34"/>
        <v>0</v>
      </c>
      <c r="Z29" s="30"/>
      <c r="AA29" s="30"/>
      <c r="AB29" s="13"/>
      <c r="AC29" s="30"/>
      <c r="AE29" s="34" t="str">
        <f t="shared" si="35"/>
        <v/>
      </c>
      <c r="AF29" s="34" t="str">
        <f t="shared" si="9"/>
        <v/>
      </c>
      <c r="AG29" s="34" t="str">
        <f t="shared" si="10"/>
        <v/>
      </c>
      <c r="AH29" s="26" t="str">
        <f t="shared" si="11"/>
        <v/>
      </c>
      <c r="AI29" s="34"/>
      <c r="AJ29" s="26" t="str">
        <f t="shared" si="12"/>
        <v/>
      </c>
      <c r="AK29" s="34"/>
      <c r="AL29" s="26" t="str">
        <f t="shared" si="13"/>
        <v/>
      </c>
    </row>
    <row r="30">
      <c r="A30" s="199"/>
      <c r="B30" s="170"/>
      <c r="C30" s="4"/>
      <c r="D30" s="4"/>
      <c r="E30" s="4"/>
      <c r="F30" s="197"/>
      <c r="G30" s="197"/>
      <c r="H30" s="197"/>
      <c r="I30" s="190"/>
      <c r="J30" s="190"/>
      <c r="K30" s="190"/>
      <c r="L30" s="190"/>
      <c r="M30" s="190"/>
      <c r="N30" s="190"/>
      <c r="O30" s="191"/>
      <c r="P30" s="240"/>
      <c r="Q30" s="195" t="str">
        <f t="shared" si="32"/>
        <v/>
      </c>
      <c r="R30" s="8" t="str">
        <f t="shared" si="4"/>
        <v/>
      </c>
      <c r="S30" s="193" t="str">
        <f t="shared" si="33"/>
        <v/>
      </c>
      <c r="T30" s="30" t="str">
        <f t="shared" si="6"/>
        <v/>
      </c>
      <c r="U30" s="31">
        <f t="shared" si="1"/>
        <v>0</v>
      </c>
      <c r="V30" s="32" t="str">
        <f t="shared" ref="V30:Y30" si="36">IF($U30="","","0")</f>
        <v>0</v>
      </c>
      <c r="W30" s="32" t="str">
        <f t="shared" si="36"/>
        <v>0</v>
      </c>
      <c r="X30" s="32" t="str">
        <f t="shared" si="36"/>
        <v>0</v>
      </c>
      <c r="Y30" s="32" t="str">
        <f t="shared" si="36"/>
        <v>0</v>
      </c>
      <c r="Z30" s="30"/>
      <c r="AA30" s="30"/>
      <c r="AB30" s="13"/>
      <c r="AC30" s="30"/>
      <c r="AE30" s="34" t="str">
        <f t="shared" si="35"/>
        <v/>
      </c>
      <c r="AF30" s="34" t="str">
        <f t="shared" si="9"/>
        <v/>
      </c>
      <c r="AG30" s="34" t="str">
        <f t="shared" si="10"/>
        <v/>
      </c>
      <c r="AH30" s="26" t="str">
        <f t="shared" si="11"/>
        <v/>
      </c>
      <c r="AI30" s="34"/>
      <c r="AJ30" s="26" t="str">
        <f t="shared" si="12"/>
        <v/>
      </c>
      <c r="AK30" s="34"/>
      <c r="AL30" s="26" t="str">
        <f t="shared" si="13"/>
        <v/>
      </c>
    </row>
    <row r="31">
      <c r="A31" s="199"/>
      <c r="B31" s="170"/>
      <c r="C31" s="4"/>
      <c r="D31" s="4"/>
      <c r="E31" s="4"/>
      <c r="F31" s="197"/>
      <c r="G31" s="197"/>
      <c r="H31" s="197"/>
      <c r="I31" s="190"/>
      <c r="J31" s="190"/>
      <c r="K31" s="190"/>
      <c r="L31" s="190"/>
      <c r="M31" s="190"/>
      <c r="N31" s="190"/>
      <c r="O31" s="191"/>
      <c r="P31" s="240"/>
      <c r="Q31" s="195" t="str">
        <f t="shared" si="32"/>
        <v/>
      </c>
      <c r="R31" s="8" t="str">
        <f t="shared" si="4"/>
        <v/>
      </c>
      <c r="S31" s="193" t="str">
        <f t="shared" si="33"/>
        <v/>
      </c>
      <c r="T31" s="30" t="str">
        <f t="shared" si="6"/>
        <v/>
      </c>
      <c r="U31" s="31">
        <f t="shared" si="1"/>
        <v>0</v>
      </c>
      <c r="V31" s="32" t="str">
        <f t="shared" ref="V31:Y31" si="37">IF($U31="","","0")</f>
        <v>0</v>
      </c>
      <c r="W31" s="32" t="str">
        <f t="shared" si="37"/>
        <v>0</v>
      </c>
      <c r="X31" s="32" t="str">
        <f t="shared" si="37"/>
        <v>0</v>
      </c>
      <c r="Y31" s="32" t="str">
        <f t="shared" si="37"/>
        <v>0</v>
      </c>
      <c r="Z31" s="30"/>
      <c r="AA31" s="30"/>
      <c r="AB31" s="13"/>
      <c r="AC31" s="30"/>
      <c r="AE31" s="34" t="str">
        <f t="shared" si="35"/>
        <v/>
      </c>
      <c r="AF31" s="34" t="str">
        <f t="shared" si="9"/>
        <v/>
      </c>
      <c r="AG31" s="34" t="str">
        <f t="shared" si="10"/>
        <v/>
      </c>
      <c r="AH31" s="26" t="str">
        <f t="shared" si="11"/>
        <v/>
      </c>
      <c r="AI31" s="34"/>
      <c r="AJ31" s="26" t="str">
        <f t="shared" si="12"/>
        <v/>
      </c>
      <c r="AK31" s="34"/>
      <c r="AL31" s="26" t="str">
        <f t="shared" si="13"/>
        <v/>
      </c>
    </row>
    <row r="32">
      <c r="A32" s="199"/>
      <c r="B32" s="170"/>
      <c r="C32" s="4"/>
      <c r="D32" s="4"/>
      <c r="E32" s="4"/>
      <c r="F32" s="197"/>
      <c r="G32" s="197"/>
      <c r="H32" s="197"/>
      <c r="I32" s="190"/>
      <c r="J32" s="190"/>
      <c r="K32" s="190"/>
      <c r="L32" s="190"/>
      <c r="M32" s="190"/>
      <c r="N32" s="190"/>
      <c r="O32" s="191"/>
      <c r="P32" s="240"/>
      <c r="Q32" s="195" t="str">
        <f t="shared" si="32"/>
        <v/>
      </c>
      <c r="R32" s="8" t="str">
        <f t="shared" si="4"/>
        <v/>
      </c>
      <c r="S32" s="193" t="str">
        <f t="shared" si="33"/>
        <v/>
      </c>
      <c r="T32" s="30" t="str">
        <f t="shared" si="6"/>
        <v/>
      </c>
      <c r="U32" s="31">
        <f t="shared" si="1"/>
        <v>0</v>
      </c>
      <c r="V32" s="32" t="str">
        <f t="shared" ref="V32:Y32" si="38">IF($U32="","","0")</f>
        <v>0</v>
      </c>
      <c r="W32" s="32" t="str">
        <f t="shared" si="38"/>
        <v>0</v>
      </c>
      <c r="X32" s="32" t="str">
        <f t="shared" si="38"/>
        <v>0</v>
      </c>
      <c r="Y32" s="32" t="str">
        <f t="shared" si="38"/>
        <v>0</v>
      </c>
      <c r="Z32" s="30"/>
      <c r="AA32" s="30"/>
      <c r="AB32" s="30"/>
      <c r="AC32" s="30"/>
      <c r="AE32" s="34" t="str">
        <f t="shared" si="35"/>
        <v/>
      </c>
      <c r="AF32" s="34" t="str">
        <f t="shared" si="9"/>
        <v/>
      </c>
      <c r="AG32" s="34" t="str">
        <f t="shared" si="10"/>
        <v/>
      </c>
      <c r="AH32" s="26" t="str">
        <f t="shared" si="11"/>
        <v/>
      </c>
      <c r="AI32" s="34"/>
      <c r="AJ32" s="26" t="str">
        <f t="shared" si="12"/>
        <v/>
      </c>
      <c r="AK32" s="34"/>
      <c r="AL32" s="26" t="str">
        <f t="shared" si="13"/>
        <v/>
      </c>
    </row>
    <row r="33">
      <c r="A33" s="208" t="s">
        <v>168</v>
      </c>
      <c r="B33" s="209"/>
      <c r="C33" s="210"/>
      <c r="D33" s="210"/>
      <c r="E33" s="210"/>
      <c r="F33" s="210">
        <f t="shared" ref="F33:O33" si="39">F28/4</f>
        <v>3039</v>
      </c>
      <c r="G33" s="210">
        <f t="shared" si="39"/>
        <v>3336.75</v>
      </c>
      <c r="H33" s="210">
        <f t="shared" si="39"/>
        <v>4450.5</v>
      </c>
      <c r="I33" s="210">
        <f t="shared" si="39"/>
        <v>5224.75</v>
      </c>
      <c r="J33" s="210">
        <f t="shared" si="39"/>
        <v>5332</v>
      </c>
      <c r="K33" s="210">
        <f t="shared" si="39"/>
        <v>0</v>
      </c>
      <c r="L33" s="210">
        <f t="shared" si="39"/>
        <v>5390.75</v>
      </c>
      <c r="M33" s="210">
        <f t="shared" si="39"/>
        <v>5304.25</v>
      </c>
      <c r="N33" s="210">
        <f t="shared" si="39"/>
        <v>0</v>
      </c>
      <c r="O33" s="210">
        <f t="shared" si="39"/>
        <v>5113</v>
      </c>
      <c r="P33" s="207" t="s">
        <v>148</v>
      </c>
      <c r="Q33" s="195" t="str">
        <f t="shared" si="32"/>
        <v/>
      </c>
      <c r="R33" s="8" t="str">
        <f t="shared" si="4"/>
        <v/>
      </c>
      <c r="S33" s="193" t="str">
        <f t="shared" si="33"/>
        <v/>
      </c>
      <c r="T33" s="30" t="str">
        <f t="shared" si="6"/>
        <v/>
      </c>
      <c r="U33" s="31">
        <f t="shared" si="1"/>
        <v>0</v>
      </c>
      <c r="V33" s="32" t="str">
        <f t="shared" ref="V33:Y33" si="40">IF($U33="","","0")</f>
        <v>0</v>
      </c>
      <c r="W33" s="32" t="str">
        <f t="shared" si="40"/>
        <v>0</v>
      </c>
      <c r="X33" s="32" t="str">
        <f t="shared" si="40"/>
        <v>0</v>
      </c>
      <c r="Y33" s="32" t="str">
        <f t="shared" si="40"/>
        <v>0</v>
      </c>
      <c r="Z33" s="30"/>
      <c r="AA33" s="30"/>
      <c r="AB33" s="13"/>
      <c r="AC33" s="30"/>
      <c r="AE33" s="34" t="str">
        <f t="shared" si="35"/>
        <v/>
      </c>
      <c r="AF33" s="34" t="str">
        <f t="shared" si="9"/>
        <v/>
      </c>
      <c r="AG33" s="34" t="str">
        <f t="shared" si="10"/>
        <v/>
      </c>
      <c r="AH33" s="26" t="str">
        <f t="shared" si="11"/>
        <v/>
      </c>
      <c r="AI33" s="34"/>
      <c r="AJ33" s="26" t="str">
        <f t="shared" si="12"/>
        <v/>
      </c>
      <c r="AK33" s="34"/>
      <c r="AL33" s="26" t="str">
        <f t="shared" si="13"/>
        <v/>
      </c>
    </row>
    <row r="34">
      <c r="A34" s="203"/>
      <c r="B34" s="202"/>
      <c r="C34" s="203"/>
      <c r="D34" s="203"/>
      <c r="E34" s="203"/>
      <c r="F34" s="203"/>
      <c r="G34" s="203"/>
      <c r="H34" s="203"/>
      <c r="I34" s="203"/>
      <c r="J34" s="203"/>
      <c r="K34" s="203"/>
      <c r="L34" s="203"/>
      <c r="M34" s="203"/>
      <c r="N34" s="203"/>
      <c r="O34" s="203"/>
      <c r="P34" s="8"/>
      <c r="Q34" s="195" t="str">
        <f t="shared" si="32"/>
        <v/>
      </c>
      <c r="R34" s="8" t="str">
        <f t="shared" si="4"/>
        <v/>
      </c>
      <c r="S34" s="193" t="str">
        <f t="shared" si="33"/>
        <v/>
      </c>
      <c r="T34" s="30" t="str">
        <f t="shared" si="6"/>
        <v/>
      </c>
      <c r="U34" s="31">
        <f t="shared" si="1"/>
        <v>0</v>
      </c>
      <c r="V34" s="32" t="str">
        <f t="shared" ref="V34:Y34" si="41">IF($U34="","","0")</f>
        <v>0</v>
      </c>
      <c r="W34" s="32" t="str">
        <f t="shared" si="41"/>
        <v>0</v>
      </c>
      <c r="X34" s="32" t="str">
        <f t="shared" si="41"/>
        <v>0</v>
      </c>
      <c r="Y34" s="32" t="str">
        <f t="shared" si="41"/>
        <v>0</v>
      </c>
      <c r="Z34" s="30"/>
      <c r="AA34" s="30"/>
      <c r="AB34" s="13"/>
      <c r="AC34" s="30"/>
      <c r="AE34" s="34" t="str">
        <f t="shared" si="35"/>
        <v/>
      </c>
      <c r="AF34" s="34" t="str">
        <f t="shared" si="9"/>
        <v/>
      </c>
      <c r="AG34" s="34" t="str">
        <f t="shared" si="10"/>
        <v/>
      </c>
      <c r="AH34" s="26" t="str">
        <f t="shared" si="11"/>
        <v/>
      </c>
      <c r="AI34" s="34"/>
      <c r="AJ34" s="26" t="str">
        <f t="shared" si="12"/>
        <v/>
      </c>
      <c r="AK34" s="34"/>
      <c r="AL34" s="26" t="str">
        <f t="shared" si="13"/>
        <v/>
      </c>
    </row>
    <row r="35">
      <c r="A35" s="212"/>
      <c r="B35" s="213">
        <v>705.0</v>
      </c>
      <c r="C35" s="214" t="s">
        <v>151</v>
      </c>
      <c r="D35" s="213">
        <f t="shared" ref="D35:D37" si="43">B35</f>
        <v>705</v>
      </c>
      <c r="E35" s="213" t="s">
        <v>152</v>
      </c>
      <c r="F35" s="215">
        <v>126.0</v>
      </c>
      <c r="G35" s="216"/>
      <c r="H35" s="216"/>
      <c r="I35" s="216"/>
      <c r="J35" s="216"/>
      <c r="K35" s="216"/>
      <c r="L35" s="216"/>
      <c r="M35" s="216"/>
      <c r="N35" s="216"/>
      <c r="O35" s="217"/>
      <c r="P35" s="8"/>
      <c r="Q35" s="206" t="s">
        <v>169</v>
      </c>
      <c r="R35" s="8" t="s">
        <v>151</v>
      </c>
      <c r="S35" s="193">
        <f t="shared" ref="S35:S37" si="44">IFS(O35&lt;&gt;"",O35,AND(O35="",N35="",M35="",L35="",K35="",J35="",I35="",H35="",G35=""),F35,AND(O35="",N35="",M35="",L35="",K35="",J35="",I35="",H35=""),G35,AND(O35="",N35="",M35="",L35="",K35="",J35="",I35=""),H35,AND(O35="",N35="",M35="",L35="",K35="",J35=""), I35,AND(O35="",N35="",M35="",L35="",K35=""),J35,AND(O35="",N35="",M35="",L35=""), K35, AND(O35="",N35="",M35=""), L35,AND(O35="",N35=""), M35, AND(O35=""), N35)</f>
        <v>126</v>
      </c>
      <c r="T35" s="30" t="str">
        <f t="shared" si="6"/>
        <v>705 - FACTOR_ Ginger Lemon Apple Wellness Shot</v>
      </c>
      <c r="U35" s="31">
        <f t="shared" si="1"/>
        <v>126</v>
      </c>
      <c r="V35" s="32" t="str">
        <f t="shared" ref="V35:Y35" si="42">IF($U35="","","0")</f>
        <v>0</v>
      </c>
      <c r="W35" s="32" t="str">
        <f t="shared" si="42"/>
        <v>0</v>
      </c>
      <c r="X35" s="32" t="str">
        <f t="shared" si="42"/>
        <v>0</v>
      </c>
      <c r="Y35" s="32" t="str">
        <f t="shared" si="42"/>
        <v>0</v>
      </c>
      <c r="Z35" s="13"/>
      <c r="AA35" s="30"/>
      <c r="AB35" s="13" t="s">
        <v>153</v>
      </c>
      <c r="AC35" s="30"/>
      <c r="AE35" s="34" t="str">
        <f t="shared" si="35"/>
        <v>705_1p</v>
      </c>
      <c r="AF35" s="34" t="str">
        <f t="shared" si="9"/>
        <v>705 - FACTOR_ Ginger Lemon Apple Wellness Shot</v>
      </c>
      <c r="AG35" s="34" t="str">
        <f t="shared" si="10"/>
        <v>BEV-00-136840-3</v>
      </c>
      <c r="AH35" s="26" t="str">
        <f t="shared" si="11"/>
        <v>ASL2</v>
      </c>
      <c r="AI35" s="34"/>
      <c r="AJ35" s="26" t="str">
        <f t="shared" si="12"/>
        <v>1</v>
      </c>
      <c r="AK35" s="34"/>
      <c r="AL35" s="26" t="str">
        <f t="shared" si="13"/>
        <v>Chilled</v>
      </c>
    </row>
    <row r="36">
      <c r="A36" s="196"/>
      <c r="B36" s="12">
        <v>709.0</v>
      </c>
      <c r="C36" s="8" t="s">
        <v>154</v>
      </c>
      <c r="D36" s="12">
        <f t="shared" si="43"/>
        <v>709</v>
      </c>
      <c r="E36" s="39" t="s">
        <v>155</v>
      </c>
      <c r="F36" s="33">
        <v>73.0</v>
      </c>
      <c r="G36" s="4"/>
      <c r="H36" s="4"/>
      <c r="I36" s="4"/>
      <c r="J36" s="4"/>
      <c r="K36" s="4"/>
      <c r="L36" s="4"/>
      <c r="M36" s="4"/>
      <c r="N36" s="4"/>
      <c r="O36" s="200"/>
      <c r="P36" s="8"/>
      <c r="Q36" s="206" t="s">
        <v>170</v>
      </c>
      <c r="R36" s="4" t="s">
        <v>154</v>
      </c>
      <c r="S36" s="193">
        <f t="shared" si="44"/>
        <v>73</v>
      </c>
      <c r="T36" s="30" t="str">
        <f t="shared" si="6"/>
        <v>709 - FACTOR_ Spirulina Ginger Lime Ginger Shot</v>
      </c>
      <c r="U36" s="31">
        <f t="shared" si="1"/>
        <v>73</v>
      </c>
      <c r="V36" s="32" t="str">
        <f t="shared" ref="V36:Y36" si="45">IF($U36="","","0")</f>
        <v>0</v>
      </c>
      <c r="W36" s="32" t="str">
        <f t="shared" si="45"/>
        <v>0</v>
      </c>
      <c r="X36" s="32" t="str">
        <f t="shared" si="45"/>
        <v>0</v>
      </c>
      <c r="Y36" s="32" t="str">
        <f t="shared" si="45"/>
        <v>0</v>
      </c>
      <c r="Z36" s="13"/>
      <c r="AA36" s="30"/>
      <c r="AB36" s="13" t="s">
        <v>171</v>
      </c>
      <c r="AC36" s="30"/>
      <c r="AE36" s="34" t="str">
        <f t="shared" si="35"/>
        <v>709_1p</v>
      </c>
      <c r="AF36" s="34" t="str">
        <f t="shared" si="9"/>
        <v>709 - FACTOR_ Spirulina Ginger Lime Ginger Shot</v>
      </c>
      <c r="AG36" s="34" t="str">
        <f t="shared" ref="AG36:AG39" si="47">IFERROR( XLOOKUP(AF36,Q:Q,R:R),"")</f>
        <v>BEV-00-137951-2</v>
      </c>
      <c r="AH36" s="26" t="str">
        <f t="shared" si="11"/>
        <v>ASL2</v>
      </c>
      <c r="AI36" s="34"/>
      <c r="AJ36" s="26" t="str">
        <f t="shared" si="12"/>
        <v>1</v>
      </c>
      <c r="AK36" s="34"/>
      <c r="AL36" s="26" t="str">
        <f t="shared" si="13"/>
        <v>Chilled</v>
      </c>
    </row>
    <row r="37">
      <c r="A37" s="218"/>
      <c r="B37" s="219">
        <v>710.0</v>
      </c>
      <c r="C37" s="220" t="s">
        <v>156</v>
      </c>
      <c r="D37" s="219">
        <f t="shared" si="43"/>
        <v>710</v>
      </c>
      <c r="E37" s="221" t="s">
        <v>157</v>
      </c>
      <c r="F37" s="222">
        <v>89.0</v>
      </c>
      <c r="G37" s="210"/>
      <c r="H37" s="210"/>
      <c r="I37" s="210"/>
      <c r="J37" s="210"/>
      <c r="K37" s="210"/>
      <c r="L37" s="210"/>
      <c r="M37" s="210"/>
      <c r="N37" s="210"/>
      <c r="O37" s="211"/>
      <c r="P37" s="8"/>
      <c r="Q37" s="206" t="s">
        <v>172</v>
      </c>
      <c r="R37" s="8" t="s">
        <v>156</v>
      </c>
      <c r="S37" s="193">
        <f t="shared" si="44"/>
        <v>89</v>
      </c>
      <c r="T37" s="30" t="str">
        <f t="shared" si="6"/>
        <v>710 - FACTOR_ Turmeric Cayenne Pineapple Ginger Shot</v>
      </c>
      <c r="U37" s="31">
        <f t="array" ref="U37">IFERROR( XLOOKUP(T37,Q:Q,S:S),"")</f>
        <v>89</v>
      </c>
      <c r="V37" s="32" t="str">
        <f t="shared" ref="V37:Y37" si="46">IF($U37="","","0")</f>
        <v>0</v>
      </c>
      <c r="W37" s="32" t="str">
        <f t="shared" si="46"/>
        <v>0</v>
      </c>
      <c r="X37" s="32" t="str">
        <f t="shared" si="46"/>
        <v>0</v>
      </c>
      <c r="Y37" s="32" t="str">
        <f t="shared" si="46"/>
        <v>0</v>
      </c>
      <c r="Z37" s="30"/>
      <c r="AA37" s="30"/>
      <c r="AB37" s="13" t="s">
        <v>77</v>
      </c>
      <c r="AC37" s="30"/>
      <c r="AE37" s="34" t="str">
        <f t="shared" si="35"/>
        <v>710_1p</v>
      </c>
      <c r="AF37" s="34" t="str">
        <f t="shared" si="9"/>
        <v>710 - FACTOR_ Turmeric Cayenne Pineapple Ginger Shot</v>
      </c>
      <c r="AG37" s="34" t="str">
        <f t="shared" si="47"/>
        <v>BEV-00-137952-2</v>
      </c>
      <c r="AH37" s="26" t="str">
        <f t="shared" si="11"/>
        <v>ASL2</v>
      </c>
      <c r="AI37" s="34"/>
      <c r="AJ37" s="26" t="str">
        <f t="shared" si="12"/>
        <v>1</v>
      </c>
      <c r="AK37" s="34"/>
      <c r="AL37" s="26" t="str">
        <f t="shared" si="13"/>
        <v>Chilled</v>
      </c>
    </row>
    <row r="38">
      <c r="A38" s="223"/>
      <c r="B38" s="170"/>
      <c r="C38" s="4"/>
      <c r="D38" s="4"/>
      <c r="E38" s="4"/>
      <c r="F38" s="38"/>
      <c r="G38" s="38"/>
      <c r="H38" s="38"/>
      <c r="I38" s="38"/>
      <c r="J38" s="38"/>
      <c r="K38" s="38"/>
      <c r="L38" s="38"/>
      <c r="M38" s="38"/>
      <c r="N38" s="38"/>
      <c r="O38" s="38"/>
      <c r="P38" s="8"/>
      <c r="Q38" s="39"/>
      <c r="R38" s="8"/>
      <c r="S38" s="4"/>
      <c r="T38" s="30"/>
      <c r="U38" s="30"/>
      <c r="V38" s="13" t="str">
        <f t="shared" ref="V38:Y38" si="48">IF($U38="","","0")</f>
        <v/>
      </c>
      <c r="W38" s="13" t="str">
        <f t="shared" si="48"/>
        <v/>
      </c>
      <c r="X38" s="13" t="str">
        <f t="shared" si="48"/>
        <v/>
      </c>
      <c r="Y38" s="13" t="str">
        <f t="shared" si="48"/>
        <v/>
      </c>
      <c r="Z38" s="30"/>
      <c r="AA38" s="30"/>
      <c r="AB38" s="30"/>
      <c r="AC38" s="30"/>
      <c r="AE38" s="34" t="str">
        <f t="shared" si="35"/>
        <v/>
      </c>
      <c r="AF38" s="34" t="str">
        <f t="shared" si="9"/>
        <v/>
      </c>
      <c r="AG38" s="34" t="str">
        <f t="shared" si="47"/>
        <v/>
      </c>
      <c r="AH38" s="26" t="str">
        <f t="shared" si="11"/>
        <v/>
      </c>
      <c r="AI38" s="34"/>
      <c r="AJ38" s="26" t="str">
        <f t="shared" si="12"/>
        <v/>
      </c>
      <c r="AK38" s="34"/>
      <c r="AL38" s="26" t="str">
        <f t="shared" si="13"/>
        <v/>
      </c>
    </row>
    <row r="39">
      <c r="A39" s="4"/>
      <c r="B39" s="170"/>
      <c r="C39" s="4"/>
      <c r="D39" s="4"/>
      <c r="E39" s="4"/>
      <c r="F39" s="4"/>
      <c r="G39" s="4"/>
      <c r="H39" s="4"/>
      <c r="I39" s="4"/>
      <c r="J39" s="4"/>
      <c r="K39" s="4"/>
      <c r="L39" s="4"/>
      <c r="M39" s="4"/>
      <c r="N39" s="4"/>
      <c r="O39" s="4"/>
      <c r="P39" s="8"/>
      <c r="Q39" s="8"/>
      <c r="R39" s="8"/>
      <c r="S39" s="4"/>
      <c r="T39" s="30"/>
      <c r="U39" s="30"/>
      <c r="V39" s="13" t="str">
        <f t="shared" ref="V39:Y39" si="49">IF($U39="","","0")</f>
        <v/>
      </c>
      <c r="W39" s="13" t="str">
        <f t="shared" si="49"/>
        <v/>
      </c>
      <c r="X39" s="13" t="str">
        <f t="shared" si="49"/>
        <v/>
      </c>
      <c r="Y39" s="13" t="str">
        <f t="shared" si="49"/>
        <v/>
      </c>
      <c r="Z39" s="30"/>
      <c r="AA39" s="30"/>
      <c r="AB39" s="30"/>
      <c r="AC39" s="30"/>
      <c r="AE39" s="34" t="str">
        <f t="shared" si="35"/>
        <v/>
      </c>
      <c r="AF39" s="34" t="str">
        <f t="shared" si="9"/>
        <v/>
      </c>
      <c r="AG39" s="34" t="str">
        <f t="shared" si="47"/>
        <v/>
      </c>
      <c r="AH39" s="26" t="str">
        <f t="shared" si="11"/>
        <v/>
      </c>
      <c r="AI39" s="34"/>
      <c r="AJ39" s="26" t="str">
        <f t="shared" si="12"/>
        <v/>
      </c>
      <c r="AK39" s="34"/>
      <c r="AL39" s="26" t="str">
        <f t="shared" si="13"/>
        <v/>
      </c>
    </row>
    <row r="40">
      <c r="A40" s="224" t="s">
        <v>158</v>
      </c>
      <c r="B40" s="225"/>
      <c r="C40" s="4"/>
      <c r="D40" s="4"/>
      <c r="E40" s="4"/>
      <c r="F40" s="4"/>
      <c r="G40" s="4"/>
      <c r="H40" s="4"/>
      <c r="I40" s="4"/>
      <c r="J40" s="4"/>
      <c r="K40" s="4"/>
      <c r="L40" s="4"/>
      <c r="M40" s="4"/>
      <c r="N40" s="4"/>
      <c r="O40" s="4"/>
      <c r="P40" s="8"/>
      <c r="Q40" s="8"/>
      <c r="R40" s="8" t="str">
        <f t="shared" ref="R40:R41" si="51">IFERROR(C41,"")</f>
        <v/>
      </c>
      <c r="S40" s="43"/>
      <c r="T40" s="30"/>
      <c r="U40" s="30"/>
      <c r="V40" s="13" t="str">
        <f t="shared" ref="V40:Y40" si="50">IF($U40="","","0")</f>
        <v/>
      </c>
      <c r="W40" s="13" t="str">
        <f t="shared" si="50"/>
        <v/>
      </c>
      <c r="X40" s="13" t="str">
        <f t="shared" si="50"/>
        <v/>
      </c>
      <c r="Y40" s="13" t="str">
        <f t="shared" si="50"/>
        <v/>
      </c>
      <c r="Z40" s="30"/>
      <c r="AA40" s="30"/>
      <c r="AB40" s="30"/>
      <c r="AC40" s="30"/>
    </row>
    <row r="41">
      <c r="A41" s="206" t="s">
        <v>159</v>
      </c>
      <c r="B41" s="226" t="s">
        <v>160</v>
      </c>
      <c r="C41" s="43"/>
      <c r="D41" s="43"/>
      <c r="E41" s="43"/>
      <c r="F41" s="43"/>
      <c r="G41" s="43"/>
      <c r="H41" s="43"/>
      <c r="I41" s="43"/>
      <c r="J41" s="227"/>
      <c r="K41" s="43"/>
      <c r="L41" s="43"/>
      <c r="M41" s="43"/>
      <c r="N41" s="43"/>
      <c r="O41" s="43"/>
      <c r="P41" s="8"/>
      <c r="Q41" s="8"/>
      <c r="R41" s="8" t="str">
        <f t="shared" si="51"/>
        <v/>
      </c>
      <c r="S41" s="4"/>
      <c r="T41" s="30"/>
      <c r="U41" s="30"/>
      <c r="V41" s="13" t="str">
        <f t="shared" ref="V41:Y41" si="52">IF($U41="","","0")</f>
        <v/>
      </c>
      <c r="W41" s="13" t="str">
        <f t="shared" si="52"/>
        <v/>
      </c>
      <c r="X41" s="13" t="str">
        <f t="shared" si="52"/>
        <v/>
      </c>
      <c r="Y41" s="13" t="str">
        <f t="shared" si="52"/>
        <v/>
      </c>
      <c r="Z41" s="30"/>
      <c r="AA41" s="30"/>
      <c r="AB41" s="30"/>
      <c r="AC41" s="30"/>
    </row>
    <row r="42">
      <c r="A42" s="206" t="s">
        <v>162</v>
      </c>
      <c r="B42" s="226" t="s">
        <v>163</v>
      </c>
      <c r="C42" s="43"/>
      <c r="D42" s="43"/>
      <c r="E42" s="43"/>
      <c r="F42" s="43"/>
      <c r="G42" s="43"/>
      <c r="H42" s="43"/>
      <c r="I42" s="4"/>
      <c r="J42" s="4"/>
      <c r="K42" s="4"/>
      <c r="L42" s="4"/>
      <c r="M42" s="4"/>
      <c r="N42" s="4"/>
      <c r="O42" s="4"/>
      <c r="P42" s="8"/>
      <c r="Q42" s="72" t="s">
        <v>11</v>
      </c>
      <c r="R42" s="70"/>
      <c r="S42" s="72">
        <f> ROUNDUP( IFS(O$33&lt;&gt;0,O$33,AND(O$33=0,N$33=0,M$33=0,L$33=0,K$33=0,J$33=0,I$33=0,H$33=0,G$33=0),F$33,AND(O$33=0,N$33=0,M$33=0,L$33=0,K$33=0,J$33=0,I$33=0,H$33=0),G$33,AND(O$33=0,N$33=0,M$33=0,L$33=0,K$33=0,J$33=0,I$33=0),H$33,AND(O$33=0,N$33=0,M$33=0,L$33=0,K$33=0,J$33=0), I$33,AND(O$33=0,N$33=0,M$33=0,L$33=0,K$33=0),J$33,AND(O$33=0,N$33=0,M$33=0,L$33=0), K$33, AND(O$33=0,N$33=0,M$33=0), L$33,AND(O$33=0,N$33=0), M$33, AND(O$33=0), N$33),0.1)</f>
        <v>5113</v>
      </c>
      <c r="T42" s="30"/>
      <c r="U42" s="30"/>
      <c r="V42" s="13" t="str">
        <f t="shared" ref="V42:Y42" si="53">IF($U42="","","0")</f>
        <v/>
      </c>
      <c r="W42" s="13" t="str">
        <f t="shared" si="53"/>
        <v/>
      </c>
      <c r="X42" s="13" t="str">
        <f t="shared" si="53"/>
        <v/>
      </c>
      <c r="Y42" s="13" t="str">
        <f t="shared" si="53"/>
        <v/>
      </c>
      <c r="Z42" s="30"/>
      <c r="AA42" s="30"/>
      <c r="AB42" s="30"/>
      <c r="AC42" s="30"/>
    </row>
    <row r="43">
      <c r="A43" s="208" t="s">
        <v>164</v>
      </c>
      <c r="B43" s="230" t="s">
        <v>165</v>
      </c>
      <c r="C43" s="43"/>
      <c r="D43" s="43"/>
      <c r="E43" s="43"/>
      <c r="F43" s="43"/>
      <c r="G43" s="43"/>
      <c r="H43" s="43"/>
      <c r="I43" s="49"/>
      <c r="J43" s="49"/>
      <c r="K43" s="49"/>
      <c r="L43" s="49"/>
      <c r="M43" s="49"/>
      <c r="N43" s="49"/>
      <c r="O43" s="49"/>
      <c r="P43" s="8"/>
      <c r="Q43" s="72"/>
      <c r="R43" s="70"/>
      <c r="S43" s="241"/>
      <c r="T43" s="30"/>
      <c r="U43" s="30"/>
      <c r="V43" s="13" t="str">
        <f t="shared" ref="V43:Y43" si="54">IF($U43="","","0")</f>
        <v/>
      </c>
      <c r="W43" s="13" t="str">
        <f t="shared" si="54"/>
        <v/>
      </c>
      <c r="X43" s="13" t="str">
        <f t="shared" si="54"/>
        <v/>
      </c>
      <c r="Y43" s="13" t="str">
        <f t="shared" si="54"/>
        <v/>
      </c>
      <c r="Z43" s="30"/>
      <c r="AA43" s="30"/>
      <c r="AB43" s="30"/>
      <c r="AC43" s="30"/>
    </row>
    <row r="44">
      <c r="A44" s="43"/>
      <c r="B44" s="169"/>
      <c r="C44" s="43"/>
      <c r="D44" s="43"/>
      <c r="E44" s="43"/>
      <c r="F44" s="43"/>
      <c r="G44" s="43"/>
      <c r="H44" s="43"/>
      <c r="I44" s="1"/>
      <c r="J44" s="1"/>
      <c r="K44" s="1"/>
      <c r="L44" s="1"/>
      <c r="M44" s="1"/>
      <c r="N44" s="1"/>
      <c r="O44" s="1"/>
      <c r="P44" s="8"/>
      <c r="Q44" s="72"/>
      <c r="R44" s="70"/>
      <c r="S44" s="241"/>
      <c r="T44" s="30"/>
      <c r="U44" s="30"/>
      <c r="V44" s="13" t="str">
        <f t="shared" ref="V44:Y44" si="55">IF($U44="","","0")</f>
        <v/>
      </c>
      <c r="W44" s="13" t="str">
        <f t="shared" si="55"/>
        <v/>
      </c>
      <c r="X44" s="13" t="str">
        <f t="shared" si="55"/>
        <v/>
      </c>
      <c r="Y44" s="13" t="str">
        <f t="shared" si="55"/>
        <v/>
      </c>
      <c r="Z44" s="30"/>
      <c r="AA44" s="30"/>
      <c r="AB44" s="30"/>
      <c r="AC44" s="30"/>
    </row>
    <row r="45">
      <c r="A45" s="43"/>
      <c r="B45" s="169"/>
      <c r="C45" s="43"/>
      <c r="D45" s="43"/>
      <c r="E45" s="43"/>
      <c r="F45" s="43"/>
      <c r="G45" s="43"/>
      <c r="H45" s="43"/>
      <c r="I45" s="58"/>
      <c r="J45" s="58"/>
      <c r="K45" s="58"/>
      <c r="L45" s="58"/>
      <c r="M45" s="58"/>
      <c r="N45" s="58"/>
      <c r="O45" s="58"/>
      <c r="P45" s="70"/>
      <c r="T45" s="30"/>
      <c r="U45" s="30"/>
      <c r="V45" s="13" t="str">
        <f t="shared" ref="V45:V51" si="57">IF(U45="","","0")</f>
        <v/>
      </c>
      <c r="W45" s="13" t="str">
        <f t="shared" ref="W45:Y45" si="56">IF($U45="","","0")</f>
        <v/>
      </c>
      <c r="X45" s="13" t="str">
        <f t="shared" si="56"/>
        <v/>
      </c>
      <c r="Y45" s="13" t="str">
        <f t="shared" si="56"/>
        <v/>
      </c>
      <c r="Z45" s="30"/>
      <c r="AA45" s="30"/>
      <c r="AB45" s="30"/>
      <c r="AC45" s="30"/>
    </row>
    <row r="46">
      <c r="A46" s="233"/>
      <c r="B46" s="234"/>
      <c r="C46" s="235"/>
      <c r="D46" s="70"/>
      <c r="E46" s="70"/>
      <c r="F46" s="4"/>
      <c r="G46" s="4"/>
      <c r="H46" s="70"/>
      <c r="I46" s="70"/>
      <c r="J46" s="70"/>
      <c r="K46" s="70"/>
      <c r="L46" s="70"/>
      <c r="M46" s="72"/>
      <c r="N46" s="70"/>
      <c r="O46" s="70"/>
      <c r="P46" s="70"/>
      <c r="T46" s="30"/>
      <c r="U46" s="30"/>
      <c r="V46" s="13" t="str">
        <f t="shared" si="57"/>
        <v/>
      </c>
      <c r="W46" s="13" t="str">
        <f t="shared" ref="W46:Y46" si="58">IF($U46="","","0")</f>
        <v/>
      </c>
      <c r="X46" s="13" t="str">
        <f t="shared" si="58"/>
        <v/>
      </c>
      <c r="Y46" s="13" t="str">
        <f t="shared" si="58"/>
        <v/>
      </c>
      <c r="Z46" s="30"/>
      <c r="AA46" s="30"/>
      <c r="AB46" s="30"/>
      <c r="AC46" s="30"/>
    </row>
    <row r="47">
      <c r="A47" s="233"/>
      <c r="B47" s="234"/>
      <c r="C47" s="235"/>
      <c r="D47" s="70"/>
      <c r="E47" s="70"/>
      <c r="F47" s="4"/>
      <c r="G47" s="4"/>
      <c r="H47" s="70"/>
      <c r="I47" s="70"/>
      <c r="J47" s="70"/>
      <c r="K47" s="70"/>
      <c r="L47" s="70"/>
      <c r="M47" s="70"/>
      <c r="N47" s="70"/>
      <c r="O47" s="70"/>
      <c r="P47" s="70"/>
      <c r="T47" s="30"/>
      <c r="U47" s="30"/>
      <c r="V47" s="13" t="str">
        <f t="shared" si="57"/>
        <v/>
      </c>
      <c r="W47" s="13" t="str">
        <f t="shared" ref="W47:Y47" si="59">IF($U47="","","0")</f>
        <v/>
      </c>
      <c r="X47" s="13" t="str">
        <f t="shared" si="59"/>
        <v/>
      </c>
      <c r="Y47" s="13" t="str">
        <f t="shared" si="59"/>
        <v/>
      </c>
      <c r="Z47" s="30"/>
      <c r="AA47" s="30"/>
      <c r="AB47" s="30"/>
      <c r="AC47" s="30"/>
    </row>
    <row r="48">
      <c r="A48" s="233"/>
      <c r="B48" s="234"/>
      <c r="C48" s="235"/>
      <c r="D48" s="70"/>
      <c r="E48" s="70"/>
      <c r="F48" s="4"/>
      <c r="G48" s="4"/>
      <c r="H48" s="70"/>
      <c r="I48" s="70"/>
      <c r="J48" s="70"/>
      <c r="K48" s="70"/>
      <c r="L48" s="70"/>
      <c r="M48" s="70"/>
      <c r="N48" s="70"/>
      <c r="O48" s="70"/>
      <c r="P48" s="70"/>
      <c r="Q48" s="70"/>
      <c r="R48" s="70"/>
      <c r="S48" s="70"/>
      <c r="T48" s="30"/>
      <c r="U48" s="30"/>
      <c r="V48" s="13" t="str">
        <f t="shared" si="57"/>
        <v/>
      </c>
      <c r="W48" s="13" t="str">
        <f t="shared" ref="W48:Y48" si="60">IF($U48="","","0")</f>
        <v/>
      </c>
      <c r="X48" s="13" t="str">
        <f t="shared" si="60"/>
        <v/>
      </c>
      <c r="Y48" s="13" t="str">
        <f t="shared" si="60"/>
        <v/>
      </c>
      <c r="Z48" s="30"/>
      <c r="AA48" s="30"/>
      <c r="AB48" s="30"/>
      <c r="AC48" s="30"/>
    </row>
    <row r="49">
      <c r="A49" s="233"/>
      <c r="B49" s="234"/>
      <c r="C49" s="235"/>
      <c r="D49" s="70"/>
      <c r="E49" s="70"/>
      <c r="F49" s="4"/>
      <c r="G49" s="4"/>
      <c r="H49" s="70"/>
      <c r="I49" s="70"/>
      <c r="J49" s="70"/>
      <c r="K49" s="70"/>
      <c r="L49" s="70"/>
      <c r="M49" s="70"/>
      <c r="N49" s="70"/>
      <c r="O49" s="70"/>
      <c r="P49" s="70"/>
      <c r="Q49" s="70"/>
      <c r="R49" s="70"/>
      <c r="S49" s="70"/>
      <c r="T49" s="30"/>
      <c r="U49" s="30"/>
      <c r="V49" s="13" t="str">
        <f t="shared" si="57"/>
        <v/>
      </c>
      <c r="W49" s="13" t="str">
        <f t="shared" ref="W49:W50" si="61">IF($U49="","","0")</f>
        <v/>
      </c>
      <c r="X49" s="30"/>
      <c r="Y49" s="30"/>
      <c r="Z49" s="30"/>
      <c r="AA49" s="30"/>
      <c r="AB49" s="30"/>
      <c r="AC49" s="30"/>
    </row>
    <row r="50">
      <c r="A50" s="233"/>
      <c r="B50" s="234"/>
      <c r="C50" s="235"/>
      <c r="D50" s="70"/>
      <c r="E50" s="70"/>
      <c r="F50" s="4"/>
      <c r="G50" s="4"/>
      <c r="H50" s="70"/>
      <c r="I50" s="70"/>
      <c r="J50" s="70"/>
      <c r="K50" s="70"/>
      <c r="L50" s="70"/>
      <c r="M50" s="70"/>
      <c r="N50" s="70"/>
      <c r="O50" s="70"/>
      <c r="P50" s="70"/>
      <c r="Q50" s="70"/>
      <c r="R50" s="70"/>
      <c r="S50" s="70"/>
      <c r="T50" s="30"/>
      <c r="U50" s="30"/>
      <c r="V50" s="13" t="str">
        <f t="shared" si="57"/>
        <v/>
      </c>
      <c r="W50" s="13" t="str">
        <f t="shared" si="61"/>
        <v/>
      </c>
      <c r="X50" s="30"/>
      <c r="Y50" s="30"/>
      <c r="Z50" s="30"/>
      <c r="AA50" s="30"/>
      <c r="AB50" s="30"/>
      <c r="AC50" s="30"/>
    </row>
    <row r="51">
      <c r="A51" s="233"/>
      <c r="B51" s="234"/>
      <c r="C51" s="235"/>
      <c r="D51" s="70"/>
      <c r="E51" s="70"/>
      <c r="F51" s="4"/>
      <c r="G51" s="4"/>
      <c r="H51" s="70"/>
      <c r="I51" s="70"/>
      <c r="J51" s="70"/>
      <c r="K51" s="70"/>
      <c r="L51" s="70"/>
      <c r="M51" s="70"/>
      <c r="N51" s="70"/>
      <c r="O51" s="70"/>
      <c r="P51" s="70"/>
      <c r="Q51" s="70"/>
      <c r="R51" s="70"/>
      <c r="S51" s="70"/>
      <c r="T51" s="30"/>
      <c r="U51" s="30"/>
      <c r="V51" s="13" t="str">
        <f t="shared" si="57"/>
        <v/>
      </c>
      <c r="W51" s="30"/>
      <c r="X51" s="30"/>
      <c r="Y51" s="30"/>
      <c r="Z51" s="30"/>
      <c r="AA51" s="30"/>
      <c r="AB51" s="30"/>
      <c r="AC51" s="30"/>
    </row>
    <row r="52">
      <c r="A52" s="233"/>
      <c r="B52" s="234"/>
      <c r="C52" s="235"/>
      <c r="D52" s="70"/>
      <c r="E52" s="70"/>
      <c r="F52" s="4"/>
      <c r="G52" s="4"/>
      <c r="H52" s="70"/>
      <c r="I52" s="4"/>
      <c r="J52" s="4"/>
      <c r="K52" s="4"/>
      <c r="L52" s="4"/>
      <c r="M52" s="4"/>
      <c r="N52" s="4"/>
      <c r="O52" s="4"/>
      <c r="P52" s="4"/>
      <c r="Q52" s="4"/>
      <c r="R52" s="4"/>
      <c r="S52" s="4"/>
      <c r="T52" s="30"/>
      <c r="U52" s="30"/>
      <c r="V52" s="30"/>
      <c r="W52" s="30"/>
      <c r="X52" s="30"/>
      <c r="Y52" s="30"/>
      <c r="Z52" s="30"/>
      <c r="AA52" s="30"/>
      <c r="AB52" s="30"/>
      <c r="AC52" s="30"/>
    </row>
    <row r="53">
      <c r="A53" s="233"/>
      <c r="B53" s="236"/>
      <c r="C53" s="4"/>
      <c r="D53" s="4"/>
      <c r="E53" s="4"/>
      <c r="F53" s="4"/>
      <c r="G53" s="4"/>
      <c r="H53" s="4"/>
      <c r="I53" s="4"/>
      <c r="J53" s="4"/>
      <c r="K53" s="4"/>
      <c r="L53" s="4"/>
      <c r="M53" s="4"/>
      <c r="N53" s="4"/>
      <c r="O53" s="4"/>
      <c r="P53" s="4"/>
      <c r="Q53" s="4"/>
      <c r="R53" s="4"/>
      <c r="S53" s="4"/>
      <c r="T53" s="30"/>
      <c r="U53" s="30"/>
      <c r="V53" s="30"/>
      <c r="W53" s="30"/>
      <c r="X53" s="30"/>
      <c r="Y53" s="30"/>
      <c r="Z53" s="30"/>
      <c r="AA53" s="30"/>
      <c r="AB53" s="30"/>
      <c r="AC53" s="30"/>
    </row>
    <row r="54">
      <c r="A54" s="233"/>
      <c r="B54" s="234"/>
      <c r="C54" s="235"/>
      <c r="D54" s="70"/>
      <c r="E54" s="70"/>
      <c r="F54" s="4"/>
      <c r="G54" s="4"/>
      <c r="H54" s="70"/>
      <c r="I54" s="70"/>
      <c r="J54" s="70"/>
      <c r="K54" s="70"/>
      <c r="L54" s="70"/>
      <c r="M54" s="70"/>
      <c r="N54" s="70"/>
      <c r="O54" s="70"/>
      <c r="P54" s="70"/>
      <c r="Q54" s="70"/>
      <c r="R54" s="70"/>
      <c r="S54" s="70"/>
      <c r="T54" s="30"/>
      <c r="U54" s="30"/>
      <c r="V54" s="30"/>
      <c r="W54" s="30"/>
      <c r="X54" s="30"/>
      <c r="Y54" s="30"/>
      <c r="Z54" s="30"/>
      <c r="AA54" s="30"/>
      <c r="AB54" s="30"/>
      <c r="AC54" s="30"/>
    </row>
    <row r="55">
      <c r="A55" s="233"/>
      <c r="B55" s="234"/>
      <c r="C55" s="235"/>
      <c r="D55" s="70"/>
      <c r="E55" s="70"/>
      <c r="F55" s="4"/>
      <c r="G55" s="4"/>
      <c r="H55" s="70"/>
      <c r="I55" s="70"/>
      <c r="J55" s="70"/>
      <c r="K55" s="70"/>
      <c r="L55" s="70"/>
      <c r="M55" s="70"/>
      <c r="N55" s="70"/>
      <c r="O55" s="70"/>
      <c r="P55" s="70"/>
      <c r="Q55" s="70"/>
      <c r="R55" s="70"/>
      <c r="S55" s="70"/>
      <c r="T55" s="30"/>
      <c r="U55" s="30"/>
      <c r="V55" s="30"/>
      <c r="W55" s="30"/>
      <c r="X55" s="30"/>
      <c r="Y55" s="30"/>
      <c r="Z55" s="30"/>
      <c r="AA55" s="30"/>
      <c r="AB55" s="30"/>
      <c r="AC55" s="30"/>
    </row>
    <row r="56">
      <c r="A56" s="233"/>
      <c r="B56" s="234"/>
      <c r="C56" s="235"/>
      <c r="D56" s="70"/>
      <c r="E56" s="70"/>
      <c r="F56" s="4"/>
      <c r="G56" s="4"/>
      <c r="H56" s="70"/>
      <c r="I56" s="70"/>
      <c r="J56" s="70"/>
      <c r="K56" s="70"/>
      <c r="L56" s="70"/>
      <c r="M56" s="70"/>
      <c r="N56" s="70"/>
      <c r="O56" s="70"/>
      <c r="P56" s="70"/>
      <c r="Q56" s="70"/>
      <c r="R56" s="70"/>
      <c r="S56" s="70"/>
      <c r="T56" s="30"/>
      <c r="U56" s="30"/>
      <c r="V56" s="30"/>
      <c r="W56" s="30"/>
      <c r="X56" s="30"/>
      <c r="Y56" s="30"/>
      <c r="Z56" s="30"/>
      <c r="AA56" s="30"/>
      <c r="AB56" s="30"/>
      <c r="AC56" s="30"/>
    </row>
    <row r="57">
      <c r="A57" s="233"/>
      <c r="B57" s="234"/>
      <c r="C57" s="235"/>
      <c r="D57" s="70"/>
      <c r="E57" s="70"/>
      <c r="F57" s="4"/>
      <c r="G57" s="4"/>
      <c r="H57" s="70"/>
      <c r="I57" s="70"/>
      <c r="J57" s="70"/>
      <c r="K57" s="70"/>
      <c r="L57" s="70"/>
      <c r="M57" s="70"/>
      <c r="N57" s="70"/>
      <c r="O57" s="70"/>
      <c r="P57" s="70"/>
      <c r="Q57" s="70"/>
      <c r="R57" s="70"/>
      <c r="S57" s="70"/>
      <c r="T57" s="30"/>
      <c r="U57" s="30"/>
      <c r="V57" s="30"/>
      <c r="W57" s="30"/>
      <c r="X57" s="30"/>
      <c r="Y57" s="30"/>
      <c r="Z57" s="30"/>
      <c r="AA57" s="30"/>
      <c r="AB57" s="30"/>
      <c r="AC57" s="30"/>
    </row>
    <row r="58">
      <c r="A58" s="233"/>
      <c r="B58" s="234"/>
      <c r="C58" s="235"/>
      <c r="D58" s="70"/>
      <c r="E58" s="70"/>
      <c r="F58" s="4"/>
      <c r="G58" s="4"/>
      <c r="H58" s="70"/>
      <c r="I58" s="70"/>
      <c r="J58" s="70"/>
      <c r="K58" s="70"/>
      <c r="L58" s="70"/>
      <c r="M58" s="70"/>
      <c r="N58" s="70"/>
      <c r="O58" s="70"/>
      <c r="P58" s="70"/>
      <c r="Q58" s="70"/>
      <c r="R58" s="70"/>
      <c r="S58" s="70"/>
      <c r="T58" s="30"/>
      <c r="U58" s="30"/>
      <c r="V58" s="30"/>
      <c r="W58" s="30"/>
      <c r="X58" s="30"/>
      <c r="Y58" s="30"/>
      <c r="Z58" s="30"/>
      <c r="AA58" s="30"/>
      <c r="AB58" s="30"/>
      <c r="AC58" s="30"/>
    </row>
    <row r="59">
      <c r="A59" s="233"/>
      <c r="B59" s="234"/>
      <c r="C59" s="235"/>
      <c r="D59" s="70"/>
      <c r="E59" s="70"/>
      <c r="F59" s="4"/>
      <c r="G59" s="4"/>
      <c r="H59" s="70"/>
      <c r="I59" s="70"/>
      <c r="J59" s="70"/>
      <c r="K59" s="70"/>
      <c r="L59" s="70"/>
      <c r="M59" s="70"/>
      <c r="N59" s="70"/>
      <c r="O59" s="70"/>
      <c r="P59" s="70"/>
      <c r="Q59" s="70"/>
      <c r="R59" s="70"/>
      <c r="S59" s="70"/>
      <c r="T59" s="30"/>
      <c r="U59" s="30"/>
      <c r="V59" s="30"/>
      <c r="W59" s="30"/>
      <c r="X59" s="30"/>
      <c r="Y59" s="30"/>
      <c r="Z59" s="30"/>
      <c r="AA59" s="30"/>
      <c r="AB59" s="30"/>
      <c r="AC59" s="30"/>
    </row>
    <row r="60">
      <c r="A60" s="233"/>
      <c r="B60" s="234"/>
      <c r="C60" s="235"/>
      <c r="D60" s="70"/>
      <c r="E60" s="70"/>
      <c r="F60" s="4"/>
      <c r="G60" s="4"/>
      <c r="H60" s="70"/>
      <c r="I60" s="70"/>
      <c r="J60" s="70"/>
      <c r="K60" s="70"/>
      <c r="L60" s="70"/>
      <c r="M60" s="70"/>
      <c r="N60" s="70"/>
      <c r="O60" s="70"/>
      <c r="P60" s="70"/>
      <c r="Q60" s="70"/>
      <c r="R60" s="70"/>
      <c r="S60" s="70"/>
      <c r="T60" s="30"/>
      <c r="U60" s="30"/>
      <c r="V60" s="30"/>
      <c r="W60" s="30"/>
      <c r="X60" s="30"/>
      <c r="Y60" s="30"/>
      <c r="Z60" s="30"/>
      <c r="AA60" s="30"/>
      <c r="AB60" s="30"/>
      <c r="AC60" s="30"/>
    </row>
    <row r="61">
      <c r="A61" s="233"/>
      <c r="B61" s="234"/>
      <c r="C61" s="235"/>
      <c r="D61" s="70"/>
      <c r="E61" s="70"/>
      <c r="F61" s="4"/>
      <c r="G61" s="4"/>
      <c r="H61" s="70"/>
      <c r="I61" s="70"/>
      <c r="J61" s="70"/>
      <c r="K61" s="70"/>
      <c r="L61" s="70"/>
      <c r="M61" s="70"/>
      <c r="N61" s="70"/>
      <c r="O61" s="70"/>
      <c r="P61" s="70"/>
      <c r="Q61" s="70"/>
      <c r="R61" s="70"/>
      <c r="S61" s="70"/>
      <c r="T61" s="30"/>
      <c r="U61" s="30"/>
      <c r="V61" s="30"/>
      <c r="W61" s="30"/>
      <c r="X61" s="30"/>
      <c r="Y61" s="30"/>
      <c r="Z61" s="30"/>
      <c r="AA61" s="30"/>
      <c r="AB61" s="30"/>
      <c r="AC61" s="30"/>
    </row>
    <row r="62">
      <c r="A62" s="233"/>
      <c r="B62" s="234"/>
      <c r="C62" s="235"/>
      <c r="D62" s="70"/>
      <c r="E62" s="70"/>
      <c r="F62" s="4"/>
      <c r="G62" s="4"/>
      <c r="H62" s="70"/>
      <c r="I62" s="70"/>
      <c r="J62" s="70"/>
      <c r="K62" s="70"/>
      <c r="L62" s="70"/>
      <c r="M62" s="70"/>
      <c r="N62" s="70"/>
      <c r="O62" s="70"/>
      <c r="P62" s="70"/>
      <c r="Q62" s="70"/>
      <c r="R62" s="70"/>
      <c r="S62" s="70"/>
      <c r="T62" s="30"/>
      <c r="U62" s="30"/>
      <c r="V62" s="30"/>
      <c r="W62" s="30"/>
      <c r="X62" s="30"/>
      <c r="Y62" s="30"/>
      <c r="Z62" s="30"/>
      <c r="AA62" s="30"/>
      <c r="AB62" s="30"/>
      <c r="AC62" s="30"/>
    </row>
    <row r="63">
      <c r="A63" s="233"/>
      <c r="B63" s="234"/>
      <c r="C63" s="235"/>
      <c r="D63" s="70"/>
      <c r="E63" s="70"/>
      <c r="F63" s="4"/>
      <c r="G63" s="4"/>
      <c r="H63" s="70"/>
      <c r="I63" s="70"/>
      <c r="J63" s="70"/>
      <c r="K63" s="70"/>
      <c r="L63" s="70"/>
      <c r="M63" s="70"/>
      <c r="N63" s="70"/>
      <c r="O63" s="70"/>
      <c r="P63" s="70"/>
      <c r="Q63" s="70"/>
      <c r="R63" s="70"/>
      <c r="S63" s="70"/>
      <c r="T63" s="30"/>
      <c r="U63" s="30"/>
      <c r="V63" s="30"/>
      <c r="W63" s="30"/>
      <c r="X63" s="30"/>
      <c r="Y63" s="30"/>
      <c r="Z63" s="30"/>
      <c r="AA63" s="30"/>
      <c r="AB63" s="30"/>
      <c r="AC63" s="30"/>
    </row>
    <row r="64">
      <c r="A64" s="233"/>
      <c r="B64" s="234"/>
      <c r="C64" s="235"/>
      <c r="D64" s="70"/>
      <c r="E64" s="70"/>
      <c r="F64" s="4"/>
      <c r="G64" s="4"/>
      <c r="H64" s="70"/>
      <c r="I64" s="70"/>
      <c r="J64" s="70"/>
      <c r="K64" s="70"/>
      <c r="L64" s="70"/>
      <c r="M64" s="70"/>
      <c r="N64" s="70"/>
      <c r="O64" s="70"/>
      <c r="P64" s="70"/>
      <c r="Q64" s="70"/>
      <c r="R64" s="70"/>
      <c r="S64" s="70"/>
      <c r="T64" s="30"/>
      <c r="U64" s="30"/>
      <c r="V64" s="30"/>
      <c r="W64" s="30"/>
      <c r="X64" s="30"/>
      <c r="Y64" s="30"/>
      <c r="Z64" s="30"/>
      <c r="AA64" s="30"/>
      <c r="AB64" s="30"/>
      <c r="AC64" s="30"/>
    </row>
    <row r="65">
      <c r="A65" s="233"/>
      <c r="B65" s="234"/>
      <c r="C65" s="235"/>
      <c r="D65" s="70"/>
      <c r="E65" s="70"/>
      <c r="F65" s="4"/>
      <c r="G65" s="4"/>
      <c r="H65" s="70"/>
      <c r="I65" s="70"/>
      <c r="J65" s="70"/>
      <c r="K65" s="70"/>
      <c r="L65" s="70"/>
      <c r="M65" s="70"/>
      <c r="N65" s="70"/>
      <c r="O65" s="70"/>
      <c r="P65" s="70"/>
      <c r="Q65" s="70"/>
      <c r="R65" s="70"/>
      <c r="S65" s="70"/>
      <c r="T65" s="30"/>
      <c r="U65" s="30"/>
      <c r="V65" s="30"/>
      <c r="W65" s="30"/>
      <c r="X65" s="30"/>
      <c r="Y65" s="30"/>
      <c r="Z65" s="30"/>
      <c r="AA65" s="30"/>
      <c r="AB65" s="30"/>
      <c r="AC65" s="30"/>
    </row>
    <row r="66">
      <c r="A66" s="233"/>
      <c r="B66" s="234"/>
      <c r="C66" s="235"/>
      <c r="D66" s="70"/>
      <c r="E66" s="70"/>
      <c r="F66" s="4"/>
      <c r="G66" s="4"/>
      <c r="H66" s="70"/>
      <c r="I66" s="70"/>
      <c r="J66" s="70"/>
      <c r="K66" s="70"/>
      <c r="L66" s="70"/>
      <c r="M66" s="70"/>
      <c r="N66" s="70"/>
      <c r="O66" s="70"/>
      <c r="P66" s="70"/>
      <c r="Q66" s="70"/>
      <c r="R66" s="70"/>
      <c r="S66" s="70"/>
      <c r="T66" s="30"/>
      <c r="U66" s="30"/>
      <c r="V66" s="30"/>
      <c r="W66" s="30"/>
      <c r="X66" s="30"/>
      <c r="Y66" s="30"/>
      <c r="Z66" s="30"/>
      <c r="AA66" s="30"/>
      <c r="AB66" s="30"/>
      <c r="AC66" s="30"/>
    </row>
    <row r="67">
      <c r="A67" s="233"/>
      <c r="B67" s="234"/>
      <c r="C67" s="235"/>
      <c r="D67" s="70"/>
      <c r="E67" s="70"/>
      <c r="F67" s="4"/>
      <c r="G67" s="4"/>
      <c r="H67" s="70"/>
      <c r="I67" s="70"/>
      <c r="J67" s="70"/>
      <c r="K67" s="70"/>
      <c r="L67" s="70"/>
      <c r="M67" s="70"/>
      <c r="N67" s="70"/>
      <c r="O67" s="70"/>
      <c r="P67" s="70"/>
      <c r="Q67" s="70"/>
      <c r="R67" s="70"/>
      <c r="S67" s="70"/>
      <c r="T67" s="30"/>
      <c r="U67" s="30"/>
      <c r="V67" s="30"/>
      <c r="W67" s="30"/>
      <c r="X67" s="30"/>
      <c r="Y67" s="30"/>
      <c r="Z67" s="30"/>
      <c r="AA67" s="30"/>
      <c r="AB67" s="30"/>
      <c r="AC67" s="30"/>
    </row>
    <row r="68">
      <c r="A68" s="233"/>
      <c r="B68" s="234"/>
      <c r="C68" s="235"/>
      <c r="D68" s="70"/>
      <c r="E68" s="70"/>
      <c r="F68" s="4"/>
      <c r="G68" s="4"/>
      <c r="H68" s="70"/>
      <c r="I68" s="70"/>
      <c r="J68" s="70"/>
      <c r="K68" s="70"/>
      <c r="L68" s="70"/>
      <c r="M68" s="70"/>
      <c r="N68" s="70"/>
      <c r="O68" s="70"/>
      <c r="P68" s="70"/>
      <c r="Q68" s="70"/>
      <c r="R68" s="70"/>
      <c r="S68" s="70"/>
      <c r="T68" s="30"/>
      <c r="U68" s="30"/>
      <c r="V68" s="30"/>
      <c r="W68" s="30"/>
      <c r="X68" s="30"/>
      <c r="Y68" s="30"/>
      <c r="Z68" s="30"/>
      <c r="AA68" s="30"/>
      <c r="AB68" s="30"/>
      <c r="AC68" s="30"/>
    </row>
    <row r="69">
      <c r="A69" s="233"/>
      <c r="B69" s="234"/>
      <c r="C69" s="235"/>
      <c r="D69" s="70"/>
      <c r="E69" s="70"/>
      <c r="F69" s="4"/>
      <c r="G69" s="4"/>
      <c r="H69" s="70"/>
      <c r="I69" s="70"/>
      <c r="J69" s="70"/>
      <c r="K69" s="70"/>
      <c r="L69" s="70"/>
      <c r="M69" s="70"/>
      <c r="N69" s="70"/>
      <c r="O69" s="70"/>
      <c r="P69" s="70"/>
      <c r="Q69" s="70"/>
      <c r="R69" s="70"/>
      <c r="S69" s="70"/>
      <c r="T69" s="30"/>
      <c r="U69" s="30"/>
      <c r="V69" s="30"/>
      <c r="W69" s="30"/>
      <c r="X69" s="30"/>
      <c r="Y69" s="30"/>
      <c r="Z69" s="30"/>
      <c r="AA69" s="30"/>
      <c r="AB69" s="30"/>
      <c r="AC69" s="30"/>
    </row>
    <row r="70">
      <c r="A70" s="233"/>
      <c r="B70" s="234"/>
      <c r="C70" s="235"/>
      <c r="D70" s="70"/>
      <c r="E70" s="70"/>
      <c r="F70" s="4"/>
      <c r="G70" s="4"/>
      <c r="H70" s="70"/>
      <c r="I70" s="70"/>
      <c r="J70" s="70"/>
      <c r="K70" s="70"/>
      <c r="L70" s="70"/>
      <c r="M70" s="70"/>
      <c r="N70" s="70"/>
      <c r="O70" s="70"/>
      <c r="P70" s="70"/>
      <c r="Q70" s="70"/>
      <c r="R70" s="70"/>
      <c r="S70" s="70"/>
      <c r="T70" s="30"/>
      <c r="U70" s="30"/>
      <c r="V70" s="30"/>
      <c r="W70" s="30"/>
      <c r="X70" s="30"/>
      <c r="Y70" s="30"/>
      <c r="Z70" s="30"/>
      <c r="AA70" s="30"/>
      <c r="AB70" s="30"/>
      <c r="AC70" s="30"/>
    </row>
    <row r="71">
      <c r="A71" s="233"/>
      <c r="B71" s="234"/>
      <c r="C71" s="235"/>
      <c r="D71" s="70"/>
      <c r="E71" s="70"/>
      <c r="F71" s="4"/>
      <c r="G71" s="4"/>
      <c r="H71" s="70"/>
      <c r="I71" s="70"/>
      <c r="J71" s="70"/>
      <c r="K71" s="70"/>
      <c r="L71" s="70"/>
      <c r="M71" s="70"/>
      <c r="N71" s="70"/>
      <c r="O71" s="70"/>
      <c r="P71" s="70"/>
      <c r="Q71" s="70"/>
      <c r="R71" s="70"/>
      <c r="S71" s="70"/>
      <c r="T71" s="30"/>
      <c r="U71" s="30"/>
      <c r="V71" s="30"/>
      <c r="W71" s="30"/>
      <c r="X71" s="30"/>
      <c r="Y71" s="30"/>
      <c r="Z71" s="30"/>
      <c r="AA71" s="30"/>
      <c r="AB71" s="30"/>
      <c r="AC71" s="30"/>
    </row>
    <row r="72">
      <c r="A72" s="233"/>
      <c r="B72" s="234"/>
      <c r="C72" s="235"/>
      <c r="D72" s="70"/>
      <c r="E72" s="70"/>
      <c r="F72" s="4"/>
      <c r="G72" s="4"/>
      <c r="H72" s="70"/>
      <c r="I72" s="4"/>
      <c r="J72" s="4"/>
      <c r="K72" s="4"/>
      <c r="L72" s="4"/>
      <c r="M72" s="4"/>
      <c r="N72" s="4"/>
      <c r="O72" s="4"/>
      <c r="P72" s="4"/>
      <c r="Q72" s="4"/>
      <c r="R72" s="4"/>
      <c r="S72" s="4"/>
      <c r="T72" s="30"/>
      <c r="U72" s="30"/>
      <c r="V72" s="30"/>
      <c r="W72" s="30"/>
      <c r="X72" s="30"/>
      <c r="Y72" s="30"/>
      <c r="Z72" s="30"/>
      <c r="AA72" s="30"/>
      <c r="AB72" s="30"/>
      <c r="AC72" s="30"/>
    </row>
    <row r="73">
      <c r="A73" s="233"/>
      <c r="B73" s="236"/>
      <c r="C73" s="4"/>
      <c r="D73" s="4"/>
      <c r="E73" s="4"/>
      <c r="F73" s="4"/>
      <c r="G73" s="4"/>
      <c r="H73" s="4"/>
      <c r="I73" s="4"/>
      <c r="J73" s="4"/>
      <c r="K73" s="4"/>
      <c r="L73" s="4"/>
      <c r="M73" s="4"/>
      <c r="N73" s="4"/>
      <c r="O73" s="4"/>
      <c r="P73" s="4"/>
      <c r="Q73" s="4"/>
      <c r="R73" s="4"/>
      <c r="S73" s="4"/>
      <c r="T73" s="30"/>
      <c r="U73" s="30"/>
      <c r="V73" s="30"/>
      <c r="W73" s="30"/>
      <c r="X73" s="30"/>
      <c r="Y73" s="30"/>
      <c r="Z73" s="30"/>
      <c r="AA73" s="30"/>
      <c r="AB73" s="30"/>
      <c r="AC73" s="30"/>
    </row>
    <row r="74">
      <c r="A74" s="233"/>
      <c r="B74" s="234"/>
      <c r="C74" s="235"/>
      <c r="D74" s="70"/>
      <c r="E74" s="70"/>
      <c r="F74" s="4"/>
      <c r="G74" s="4"/>
      <c r="H74" s="70"/>
      <c r="I74" s="70"/>
      <c r="J74" s="70"/>
      <c r="K74" s="70"/>
      <c r="L74" s="70"/>
      <c r="M74" s="70"/>
      <c r="N74" s="70"/>
      <c r="O74" s="70"/>
      <c r="P74" s="70"/>
      <c r="Q74" s="70"/>
      <c r="R74" s="70"/>
      <c r="S74" s="70"/>
    </row>
    <row r="75">
      <c r="A75" s="233"/>
      <c r="B75" s="234"/>
      <c r="C75" s="235"/>
      <c r="D75" s="70"/>
      <c r="E75" s="70"/>
      <c r="F75" s="4"/>
      <c r="G75" s="4"/>
      <c r="H75" s="70"/>
      <c r="I75" s="70"/>
      <c r="J75" s="70"/>
      <c r="K75" s="70"/>
      <c r="L75" s="70"/>
      <c r="M75" s="70"/>
      <c r="N75" s="70"/>
      <c r="O75" s="70"/>
      <c r="P75" s="70"/>
      <c r="Q75" s="70"/>
      <c r="R75" s="70"/>
      <c r="S75" s="70"/>
    </row>
    <row r="76">
      <c r="A76" s="233"/>
      <c r="B76" s="234"/>
      <c r="C76" s="235"/>
      <c r="D76" s="70"/>
      <c r="E76" s="70"/>
      <c r="F76" s="4"/>
      <c r="G76" s="4"/>
      <c r="H76" s="70"/>
      <c r="I76" s="70"/>
      <c r="J76" s="70"/>
      <c r="K76" s="70"/>
      <c r="L76" s="70"/>
      <c r="M76" s="70"/>
      <c r="N76" s="70"/>
      <c r="O76" s="70"/>
      <c r="P76" s="70"/>
      <c r="Q76" s="70"/>
      <c r="R76" s="70"/>
      <c r="S76" s="70"/>
    </row>
    <row r="77">
      <c r="A77" s="233"/>
      <c r="B77" s="234"/>
      <c r="C77" s="235"/>
      <c r="D77" s="70"/>
      <c r="E77" s="70"/>
      <c r="F77" s="4"/>
      <c r="G77" s="4"/>
      <c r="H77" s="70"/>
      <c r="I77" s="70"/>
      <c r="J77" s="70"/>
      <c r="K77" s="70"/>
      <c r="L77" s="70"/>
      <c r="M77" s="70"/>
      <c r="N77" s="70"/>
      <c r="O77" s="70"/>
      <c r="P77" s="70"/>
      <c r="Q77" s="70"/>
      <c r="R77" s="70"/>
      <c r="S77" s="70"/>
    </row>
    <row r="78">
      <c r="A78" s="233"/>
      <c r="B78" s="234"/>
      <c r="C78" s="235"/>
      <c r="D78" s="70"/>
      <c r="E78" s="70"/>
      <c r="F78" s="4"/>
      <c r="G78" s="4"/>
      <c r="H78" s="70"/>
      <c r="I78" s="70"/>
      <c r="J78" s="70"/>
      <c r="K78" s="70"/>
      <c r="L78" s="70"/>
      <c r="M78" s="70"/>
      <c r="N78" s="70"/>
      <c r="O78" s="70"/>
      <c r="P78" s="70"/>
      <c r="Q78" s="70"/>
      <c r="R78" s="70"/>
      <c r="S78" s="70"/>
    </row>
    <row r="79">
      <c r="A79" s="233"/>
      <c r="B79" s="234"/>
      <c r="C79" s="235"/>
      <c r="D79" s="70"/>
      <c r="E79" s="70"/>
      <c r="F79" s="4"/>
      <c r="G79" s="4"/>
      <c r="H79" s="70"/>
      <c r="I79" s="70"/>
      <c r="J79" s="70"/>
      <c r="K79" s="70"/>
      <c r="L79" s="70"/>
      <c r="M79" s="70"/>
      <c r="N79" s="70"/>
      <c r="O79" s="70"/>
      <c r="P79" s="70"/>
      <c r="Q79" s="70"/>
      <c r="R79" s="70"/>
      <c r="S79" s="70"/>
    </row>
    <row r="80">
      <c r="A80" s="233"/>
      <c r="B80" s="234"/>
      <c r="C80" s="235"/>
      <c r="D80" s="70"/>
      <c r="E80" s="70"/>
      <c r="F80" s="4"/>
      <c r="G80" s="4"/>
      <c r="H80" s="70"/>
      <c r="I80" s="70"/>
      <c r="J80" s="70"/>
      <c r="K80" s="70"/>
      <c r="L80" s="70"/>
      <c r="M80" s="70"/>
      <c r="N80" s="70"/>
      <c r="O80" s="70"/>
      <c r="P80" s="70"/>
      <c r="Q80" s="70"/>
      <c r="R80" s="70"/>
      <c r="S80" s="70"/>
    </row>
    <row r="81">
      <c r="A81" s="233"/>
      <c r="B81" s="234"/>
      <c r="C81" s="235"/>
      <c r="D81" s="70"/>
      <c r="E81" s="70"/>
      <c r="F81" s="4"/>
      <c r="G81" s="4"/>
      <c r="H81" s="70"/>
      <c r="I81" s="70"/>
      <c r="J81" s="70"/>
      <c r="K81" s="70"/>
      <c r="L81" s="70"/>
      <c r="M81" s="70"/>
      <c r="N81" s="70"/>
      <c r="O81" s="70"/>
      <c r="P81" s="70"/>
      <c r="Q81" s="70"/>
      <c r="R81" s="70"/>
      <c r="S81" s="70"/>
    </row>
    <row r="82">
      <c r="A82" s="233"/>
      <c r="B82" s="234"/>
      <c r="C82" s="235"/>
      <c r="D82" s="70"/>
      <c r="E82" s="70"/>
      <c r="F82" s="4"/>
      <c r="G82" s="4"/>
      <c r="H82" s="70"/>
      <c r="I82" s="70"/>
      <c r="J82" s="70"/>
      <c r="K82" s="70"/>
      <c r="L82" s="70"/>
      <c r="M82" s="70"/>
      <c r="N82" s="70"/>
      <c r="O82" s="70"/>
      <c r="P82" s="70"/>
      <c r="Q82" s="70"/>
      <c r="R82" s="70"/>
      <c r="S82" s="70"/>
    </row>
    <row r="83">
      <c r="A83" s="233"/>
      <c r="B83" s="234"/>
      <c r="C83" s="235"/>
      <c r="D83" s="70"/>
      <c r="E83" s="70"/>
      <c r="F83" s="4"/>
      <c r="G83" s="4"/>
      <c r="H83" s="70"/>
      <c r="I83" s="70"/>
      <c r="J83" s="70"/>
      <c r="K83" s="70"/>
      <c r="L83" s="70"/>
      <c r="M83" s="70"/>
      <c r="N83" s="70"/>
      <c r="O83" s="70"/>
      <c r="P83" s="70"/>
      <c r="Q83" s="70"/>
      <c r="R83" s="70"/>
      <c r="S83" s="70"/>
    </row>
    <row r="84">
      <c r="A84" s="233"/>
      <c r="B84" s="234"/>
      <c r="C84" s="235"/>
      <c r="D84" s="70"/>
      <c r="E84" s="70"/>
      <c r="F84" s="4"/>
      <c r="G84" s="4"/>
      <c r="H84" s="70"/>
      <c r="I84" s="70"/>
      <c r="J84" s="70"/>
      <c r="K84" s="70"/>
      <c r="L84" s="70"/>
      <c r="M84" s="70"/>
      <c r="N84" s="70"/>
      <c r="O84" s="70"/>
      <c r="P84" s="70"/>
      <c r="Q84" s="70"/>
      <c r="R84" s="70"/>
      <c r="S84" s="70"/>
    </row>
    <row r="85">
      <c r="A85" s="233"/>
      <c r="B85" s="234"/>
      <c r="C85" s="235"/>
      <c r="D85" s="70"/>
      <c r="E85" s="70"/>
      <c r="F85" s="4"/>
      <c r="G85" s="4"/>
      <c r="H85" s="70"/>
      <c r="I85" s="70"/>
      <c r="J85" s="70"/>
      <c r="K85" s="70"/>
      <c r="L85" s="70"/>
      <c r="M85" s="70"/>
      <c r="N85" s="70"/>
      <c r="O85" s="70"/>
      <c r="P85" s="70"/>
      <c r="Q85" s="70"/>
      <c r="R85" s="70"/>
      <c r="S85" s="70"/>
    </row>
    <row r="86">
      <c r="A86" s="233"/>
      <c r="B86" s="234"/>
      <c r="C86" s="235"/>
      <c r="D86" s="70"/>
      <c r="E86" s="70"/>
      <c r="F86" s="4"/>
      <c r="G86" s="4"/>
      <c r="H86" s="70"/>
      <c r="I86" s="70"/>
      <c r="J86" s="70"/>
      <c r="K86" s="70"/>
      <c r="L86" s="70"/>
      <c r="M86" s="70"/>
      <c r="N86" s="70"/>
      <c r="O86" s="70"/>
      <c r="P86" s="70"/>
      <c r="Q86" s="70"/>
      <c r="R86" s="70"/>
      <c r="S86" s="70"/>
    </row>
    <row r="87">
      <c r="A87" s="233"/>
      <c r="B87" s="234"/>
      <c r="C87" s="235"/>
      <c r="D87" s="70"/>
      <c r="E87" s="70"/>
      <c r="F87" s="4"/>
      <c r="G87" s="4"/>
      <c r="H87" s="70"/>
      <c r="I87" s="70"/>
      <c r="J87" s="70"/>
      <c r="K87" s="70"/>
      <c r="L87" s="70"/>
      <c r="M87" s="70"/>
      <c r="N87" s="70"/>
      <c r="O87" s="70"/>
      <c r="P87" s="70"/>
      <c r="Q87" s="70"/>
      <c r="R87" s="70"/>
      <c r="S87" s="70"/>
    </row>
    <row r="88">
      <c r="A88" s="233"/>
      <c r="B88" s="234"/>
      <c r="C88" s="235"/>
      <c r="D88" s="70"/>
      <c r="E88" s="70"/>
      <c r="F88" s="4"/>
      <c r="G88" s="4"/>
      <c r="H88" s="70"/>
      <c r="I88" s="70"/>
      <c r="J88" s="70"/>
      <c r="K88" s="70"/>
      <c r="L88" s="70"/>
      <c r="M88" s="70"/>
      <c r="N88" s="70"/>
      <c r="O88" s="70"/>
      <c r="P88" s="70"/>
      <c r="Q88" s="70"/>
      <c r="R88" s="70"/>
      <c r="S88" s="70"/>
    </row>
    <row r="89">
      <c r="A89" s="233"/>
      <c r="B89" s="234"/>
      <c r="C89" s="235"/>
      <c r="D89" s="4"/>
      <c r="E89" s="4"/>
      <c r="F89" s="4"/>
      <c r="G89" s="4"/>
      <c r="H89" s="70"/>
      <c r="I89" s="4"/>
      <c r="J89" s="4"/>
      <c r="K89" s="4"/>
      <c r="L89" s="4"/>
      <c r="M89" s="4"/>
      <c r="N89" s="4"/>
      <c r="O89" s="4"/>
      <c r="P89" s="4"/>
      <c r="Q89" s="4"/>
      <c r="R89" s="4"/>
      <c r="S89" s="4"/>
    </row>
    <row r="90">
      <c r="A90" s="233"/>
      <c r="B90" s="234"/>
      <c r="C90" s="235"/>
      <c r="D90" s="70"/>
      <c r="E90" s="70"/>
      <c r="F90" s="4"/>
      <c r="G90" s="4"/>
      <c r="H90" s="70"/>
      <c r="I90" s="70"/>
      <c r="J90" s="70"/>
      <c r="K90" s="70"/>
      <c r="L90" s="70"/>
      <c r="M90" s="70"/>
      <c r="N90" s="70"/>
      <c r="O90" s="70"/>
      <c r="P90" s="70"/>
      <c r="Q90" s="70"/>
      <c r="R90" s="70"/>
      <c r="S90" s="70"/>
    </row>
    <row r="91">
      <c r="A91" s="233"/>
      <c r="B91" s="234"/>
      <c r="C91" s="235"/>
      <c r="D91" s="70"/>
      <c r="E91" s="70"/>
      <c r="F91" s="4"/>
      <c r="G91" s="4"/>
      <c r="H91" s="70"/>
      <c r="I91" s="70"/>
      <c r="J91" s="70"/>
      <c r="K91" s="70"/>
      <c r="L91" s="70"/>
      <c r="M91" s="70"/>
      <c r="N91" s="70"/>
      <c r="O91" s="70"/>
      <c r="P91" s="70"/>
      <c r="Q91" s="70"/>
      <c r="R91" s="70"/>
      <c r="S91" s="70"/>
    </row>
    <row r="92">
      <c r="A92" s="233"/>
      <c r="B92" s="234"/>
      <c r="C92" s="235"/>
      <c r="D92" s="70"/>
      <c r="E92" s="70"/>
      <c r="F92" s="4"/>
      <c r="G92" s="4"/>
      <c r="H92" s="70"/>
      <c r="I92" s="4"/>
      <c r="J92" s="4"/>
      <c r="K92" s="4"/>
      <c r="L92" s="4"/>
      <c r="M92" s="4"/>
      <c r="N92" s="4"/>
      <c r="O92" s="4"/>
      <c r="P92" s="4"/>
      <c r="Q92" s="4"/>
      <c r="R92" s="4"/>
      <c r="S92" s="4"/>
    </row>
    <row r="93">
      <c r="A93" s="233"/>
      <c r="B93" s="236"/>
      <c r="C93" s="4"/>
      <c r="D93" s="4"/>
      <c r="E93" s="4"/>
      <c r="F93" s="4"/>
      <c r="G93" s="4"/>
      <c r="H93" s="4"/>
      <c r="I93" s="4"/>
      <c r="J93" s="4"/>
      <c r="K93" s="4"/>
      <c r="L93" s="4"/>
      <c r="M93" s="4"/>
      <c r="N93" s="4"/>
      <c r="O93" s="4"/>
      <c r="P93" s="4"/>
      <c r="Q93" s="4"/>
      <c r="R93" s="4"/>
      <c r="S93" s="4"/>
    </row>
    <row r="94">
      <c r="A94" s="233"/>
      <c r="B94" s="234"/>
      <c r="C94" s="235"/>
      <c r="D94" s="70"/>
      <c r="E94" s="70"/>
      <c r="F94" s="4"/>
      <c r="G94" s="4"/>
      <c r="H94" s="70"/>
      <c r="I94" s="70"/>
      <c r="J94" s="70"/>
      <c r="K94" s="70"/>
      <c r="L94" s="70"/>
      <c r="M94" s="70"/>
      <c r="N94" s="70"/>
      <c r="O94" s="70"/>
      <c r="P94" s="70"/>
      <c r="Q94" s="70"/>
      <c r="R94" s="70"/>
      <c r="S94" s="70"/>
    </row>
    <row r="95">
      <c r="A95" s="233"/>
      <c r="B95" s="234"/>
      <c r="C95" s="235"/>
      <c r="D95" s="70"/>
      <c r="E95" s="70"/>
      <c r="F95" s="4"/>
      <c r="G95" s="4"/>
      <c r="H95" s="70"/>
      <c r="I95" s="70"/>
      <c r="J95" s="70"/>
      <c r="K95" s="70"/>
      <c r="L95" s="70"/>
      <c r="M95" s="70"/>
      <c r="N95" s="70"/>
      <c r="O95" s="70"/>
      <c r="P95" s="70"/>
      <c r="Q95" s="70"/>
      <c r="R95" s="70"/>
      <c r="S95" s="70"/>
    </row>
    <row r="96">
      <c r="A96" s="233"/>
      <c r="B96" s="234"/>
      <c r="C96" s="235"/>
      <c r="D96" s="70"/>
      <c r="E96" s="70"/>
      <c r="F96" s="4"/>
      <c r="G96" s="4"/>
      <c r="H96" s="70"/>
      <c r="I96" s="70"/>
      <c r="J96" s="70"/>
      <c r="K96" s="70"/>
      <c r="L96" s="70"/>
      <c r="M96" s="70"/>
      <c r="N96" s="70"/>
      <c r="O96" s="70"/>
      <c r="P96" s="70"/>
      <c r="Q96" s="70"/>
      <c r="R96" s="70"/>
      <c r="S96" s="70"/>
    </row>
    <row r="97">
      <c r="A97" s="233"/>
      <c r="B97" s="234"/>
      <c r="C97" s="235"/>
      <c r="D97" s="70"/>
      <c r="E97" s="70"/>
      <c r="F97" s="4"/>
      <c r="G97" s="4"/>
      <c r="H97" s="70"/>
      <c r="I97" s="70"/>
      <c r="J97" s="70"/>
      <c r="K97" s="70"/>
      <c r="L97" s="70"/>
      <c r="M97" s="70"/>
      <c r="N97" s="70"/>
      <c r="O97" s="70"/>
      <c r="P97" s="70"/>
      <c r="Q97" s="70"/>
      <c r="R97" s="70"/>
      <c r="S97" s="70"/>
    </row>
    <row r="98">
      <c r="A98" s="233"/>
      <c r="B98" s="234"/>
      <c r="C98" s="235"/>
      <c r="D98" s="70"/>
      <c r="E98" s="70"/>
      <c r="F98" s="4"/>
      <c r="G98" s="4"/>
      <c r="H98" s="70"/>
      <c r="I98" s="70"/>
      <c r="J98" s="70"/>
      <c r="K98" s="70"/>
      <c r="L98" s="70"/>
      <c r="M98" s="70"/>
      <c r="N98" s="70"/>
      <c r="O98" s="70"/>
      <c r="P98" s="70"/>
      <c r="Q98" s="70"/>
      <c r="R98" s="70"/>
      <c r="S98" s="70"/>
    </row>
    <row r="99">
      <c r="A99" s="233"/>
      <c r="B99" s="234"/>
      <c r="C99" s="235"/>
      <c r="D99" s="70"/>
      <c r="E99" s="70"/>
      <c r="F99" s="4"/>
      <c r="G99" s="4"/>
      <c r="H99" s="70"/>
      <c r="I99" s="70"/>
      <c r="J99" s="70"/>
      <c r="K99" s="70"/>
      <c r="L99" s="70"/>
      <c r="M99" s="70"/>
      <c r="N99" s="70"/>
      <c r="O99" s="70"/>
      <c r="P99" s="70"/>
      <c r="Q99" s="70"/>
      <c r="R99" s="70"/>
      <c r="S99" s="70"/>
    </row>
    <row r="100">
      <c r="A100" s="233"/>
      <c r="B100" s="234"/>
      <c r="C100" s="235"/>
      <c r="D100" s="70"/>
      <c r="E100" s="70"/>
      <c r="F100" s="4"/>
      <c r="G100" s="4"/>
      <c r="H100" s="70"/>
      <c r="I100" s="70"/>
      <c r="J100" s="70"/>
      <c r="K100" s="70"/>
      <c r="L100" s="70"/>
      <c r="M100" s="70"/>
      <c r="N100" s="70"/>
      <c r="O100" s="70"/>
      <c r="P100" s="70"/>
      <c r="Q100" s="70"/>
      <c r="R100" s="70"/>
      <c r="S100" s="70"/>
    </row>
    <row r="101">
      <c r="A101" s="233"/>
      <c r="B101" s="234"/>
      <c r="C101" s="235"/>
      <c r="D101" s="70"/>
      <c r="E101" s="70"/>
      <c r="F101" s="4"/>
      <c r="G101" s="4"/>
      <c r="H101" s="70"/>
      <c r="I101" s="70"/>
      <c r="J101" s="70"/>
      <c r="K101" s="70"/>
      <c r="L101" s="70"/>
      <c r="M101" s="70"/>
      <c r="N101" s="70"/>
      <c r="O101" s="70"/>
      <c r="P101" s="70"/>
      <c r="Q101" s="70"/>
      <c r="R101" s="70"/>
      <c r="S101" s="70"/>
    </row>
    <row r="102">
      <c r="A102" s="233"/>
      <c r="B102" s="234"/>
      <c r="C102" s="235"/>
      <c r="D102" s="70"/>
      <c r="E102" s="70"/>
      <c r="F102" s="4"/>
      <c r="G102" s="4"/>
      <c r="H102" s="70"/>
      <c r="I102" s="70"/>
      <c r="J102" s="70"/>
      <c r="K102" s="70"/>
      <c r="L102" s="70"/>
      <c r="M102" s="70"/>
      <c r="N102" s="70"/>
      <c r="O102" s="70"/>
      <c r="P102" s="70"/>
      <c r="Q102" s="70"/>
      <c r="R102" s="70"/>
      <c r="S102" s="70"/>
    </row>
    <row r="103">
      <c r="A103" s="233"/>
      <c r="B103" s="234"/>
      <c r="C103" s="235"/>
      <c r="D103" s="70"/>
      <c r="E103" s="70"/>
      <c r="F103" s="4"/>
      <c r="G103" s="4"/>
      <c r="H103" s="70"/>
      <c r="I103" s="70"/>
      <c r="J103" s="70"/>
      <c r="K103" s="70"/>
      <c r="L103" s="70"/>
      <c r="M103" s="70"/>
      <c r="N103" s="70"/>
      <c r="O103" s="70"/>
      <c r="P103" s="70"/>
      <c r="Q103" s="70"/>
      <c r="R103" s="70"/>
      <c r="S103" s="70"/>
    </row>
    <row r="104">
      <c r="A104" s="233"/>
      <c r="B104" s="234"/>
      <c r="C104" s="235"/>
      <c r="D104" s="70"/>
      <c r="E104" s="70"/>
      <c r="F104" s="4"/>
      <c r="G104" s="4"/>
      <c r="H104" s="70"/>
      <c r="I104" s="70"/>
      <c r="J104" s="70"/>
      <c r="K104" s="70"/>
      <c r="L104" s="70"/>
      <c r="M104" s="70"/>
      <c r="N104" s="70"/>
      <c r="O104" s="70"/>
      <c r="P104" s="70"/>
      <c r="Q104" s="70"/>
      <c r="R104" s="70"/>
      <c r="S104" s="70"/>
    </row>
    <row r="105">
      <c r="A105" s="233"/>
      <c r="B105" s="234"/>
      <c r="C105" s="235"/>
      <c r="D105" s="70"/>
      <c r="E105" s="70"/>
      <c r="F105" s="4"/>
      <c r="G105" s="4"/>
      <c r="H105" s="70"/>
      <c r="I105" s="70"/>
      <c r="J105" s="70"/>
      <c r="K105" s="70"/>
      <c r="L105" s="70"/>
      <c r="M105" s="70"/>
      <c r="N105" s="70"/>
      <c r="O105" s="70"/>
      <c r="P105" s="70"/>
      <c r="Q105" s="70"/>
      <c r="R105" s="70"/>
      <c r="S105" s="70"/>
    </row>
    <row r="106">
      <c r="A106" s="233"/>
      <c r="B106" s="234"/>
      <c r="C106" s="235"/>
      <c r="D106" s="70"/>
      <c r="E106" s="70"/>
      <c r="F106" s="4"/>
      <c r="G106" s="4"/>
      <c r="H106" s="70"/>
      <c r="I106" s="70"/>
      <c r="J106" s="70"/>
      <c r="K106" s="70"/>
      <c r="L106" s="70"/>
      <c r="M106" s="70"/>
      <c r="N106" s="70"/>
      <c r="O106" s="70"/>
      <c r="P106" s="70"/>
      <c r="Q106" s="70"/>
      <c r="R106" s="70"/>
      <c r="S106" s="70"/>
    </row>
    <row r="107">
      <c r="A107" s="233"/>
      <c r="B107" s="234"/>
      <c r="C107" s="235"/>
      <c r="D107" s="70"/>
      <c r="E107" s="70"/>
      <c r="F107" s="4"/>
      <c r="G107" s="4"/>
      <c r="H107" s="70"/>
      <c r="I107" s="70"/>
      <c r="J107" s="70"/>
      <c r="K107" s="70"/>
      <c r="L107" s="70"/>
      <c r="M107" s="70"/>
      <c r="N107" s="70"/>
      <c r="O107" s="70"/>
      <c r="P107" s="70"/>
      <c r="Q107" s="70"/>
      <c r="R107" s="70"/>
      <c r="S107" s="70"/>
    </row>
    <row r="108">
      <c r="A108" s="233"/>
      <c r="B108" s="234"/>
      <c r="C108" s="235"/>
      <c r="D108" s="70"/>
      <c r="E108" s="70"/>
      <c r="F108" s="4"/>
      <c r="G108" s="4"/>
      <c r="H108" s="70"/>
      <c r="I108" s="70"/>
      <c r="J108" s="70"/>
      <c r="K108" s="70"/>
      <c r="L108" s="70"/>
      <c r="M108" s="70"/>
      <c r="N108" s="70"/>
      <c r="O108" s="70"/>
      <c r="P108" s="70"/>
      <c r="Q108" s="70"/>
      <c r="R108" s="70"/>
      <c r="S108" s="70"/>
    </row>
    <row r="109">
      <c r="A109" s="233"/>
      <c r="B109" s="234"/>
      <c r="C109" s="235"/>
      <c r="D109" s="70"/>
      <c r="E109" s="70"/>
      <c r="F109" s="4"/>
      <c r="G109" s="4"/>
      <c r="H109" s="70"/>
      <c r="I109" s="70"/>
      <c r="J109" s="70"/>
      <c r="K109" s="70"/>
      <c r="L109" s="70"/>
      <c r="M109" s="70"/>
      <c r="N109" s="70"/>
      <c r="O109" s="70"/>
      <c r="P109" s="70"/>
      <c r="Q109" s="70"/>
      <c r="R109" s="70"/>
      <c r="S109" s="70"/>
    </row>
    <row r="110">
      <c r="A110" s="233"/>
      <c r="B110" s="234"/>
      <c r="C110" s="235"/>
      <c r="D110" s="70"/>
      <c r="E110" s="70"/>
      <c r="F110" s="4"/>
      <c r="G110" s="4"/>
      <c r="H110" s="70"/>
      <c r="I110" s="70"/>
      <c r="J110" s="70"/>
      <c r="K110" s="70"/>
      <c r="L110" s="70"/>
      <c r="M110" s="70"/>
      <c r="N110" s="70"/>
      <c r="O110" s="70"/>
      <c r="P110" s="70"/>
      <c r="Q110" s="70"/>
      <c r="R110" s="70"/>
      <c r="S110" s="70"/>
    </row>
    <row r="111">
      <c r="A111" s="233"/>
      <c r="B111" s="234"/>
      <c r="C111" s="235"/>
      <c r="D111" s="70"/>
      <c r="E111" s="70"/>
      <c r="F111" s="4"/>
      <c r="G111" s="4"/>
      <c r="H111" s="70"/>
      <c r="I111" s="70"/>
      <c r="J111" s="70"/>
      <c r="K111" s="70"/>
      <c r="L111" s="70"/>
      <c r="M111" s="70"/>
      <c r="N111" s="70"/>
      <c r="O111" s="70"/>
      <c r="P111" s="70"/>
      <c r="Q111" s="70"/>
      <c r="R111" s="70"/>
      <c r="S111" s="70"/>
    </row>
    <row r="112">
      <c r="A112" s="233"/>
      <c r="B112" s="234"/>
      <c r="C112" s="235"/>
      <c r="D112" s="70"/>
      <c r="E112" s="70"/>
      <c r="F112" s="4"/>
      <c r="G112" s="4"/>
      <c r="H112" s="70"/>
      <c r="I112" s="4"/>
      <c r="J112" s="4"/>
      <c r="K112" s="4"/>
      <c r="L112" s="4"/>
      <c r="M112" s="4"/>
      <c r="N112" s="4"/>
      <c r="O112" s="4"/>
      <c r="P112" s="4"/>
      <c r="Q112" s="4"/>
      <c r="R112" s="4"/>
      <c r="S112" s="4"/>
    </row>
    <row r="113">
      <c r="A113" s="233"/>
      <c r="B113" s="236"/>
      <c r="C113" s="4"/>
      <c r="D113" s="4"/>
      <c r="E113" s="4"/>
      <c r="F113" s="4"/>
      <c r="G113" s="4"/>
      <c r="H113" s="4"/>
      <c r="I113" s="4"/>
      <c r="J113" s="4"/>
      <c r="K113" s="4"/>
      <c r="L113" s="4"/>
      <c r="M113" s="4"/>
      <c r="N113" s="4"/>
      <c r="O113" s="4"/>
      <c r="P113" s="4"/>
      <c r="Q113" s="4"/>
      <c r="R113" s="4"/>
      <c r="S113" s="4"/>
    </row>
    <row r="114">
      <c r="B114" s="185"/>
    </row>
    <row r="115">
      <c r="B115" s="185"/>
    </row>
    <row r="116">
      <c r="B116" s="185"/>
    </row>
    <row r="117">
      <c r="B117" s="185"/>
    </row>
    <row r="118">
      <c r="B118" s="185"/>
    </row>
    <row r="119">
      <c r="B119" s="185"/>
    </row>
    <row r="120">
      <c r="B120" s="185"/>
    </row>
    <row r="121">
      <c r="B121" s="185"/>
    </row>
    <row r="122">
      <c r="B122" s="185"/>
    </row>
    <row r="123">
      <c r="B123" s="185"/>
    </row>
    <row r="124">
      <c r="B124" s="185"/>
    </row>
    <row r="125">
      <c r="B125" s="185"/>
    </row>
    <row r="126">
      <c r="B126" s="185"/>
    </row>
    <row r="127">
      <c r="B127" s="185"/>
    </row>
    <row r="128">
      <c r="B128" s="185"/>
    </row>
    <row r="129">
      <c r="B129" s="185"/>
    </row>
    <row r="130">
      <c r="B130" s="185"/>
    </row>
    <row r="131">
      <c r="B131" s="185"/>
    </row>
    <row r="132">
      <c r="B132" s="185"/>
    </row>
    <row r="133">
      <c r="B133" s="185"/>
    </row>
    <row r="134">
      <c r="B134" s="185"/>
    </row>
    <row r="135">
      <c r="B135" s="185"/>
    </row>
    <row r="136">
      <c r="B136" s="185"/>
    </row>
    <row r="137">
      <c r="B137" s="185"/>
    </row>
    <row r="138">
      <c r="B138" s="185"/>
    </row>
    <row r="139">
      <c r="B139" s="185"/>
    </row>
    <row r="140">
      <c r="B140" s="185"/>
    </row>
    <row r="141">
      <c r="B141" s="185"/>
    </row>
    <row r="142">
      <c r="B142" s="185"/>
    </row>
    <row r="143">
      <c r="B143" s="185"/>
    </row>
    <row r="144">
      <c r="B144" s="185"/>
    </row>
    <row r="145">
      <c r="B145" s="185"/>
    </row>
    <row r="146">
      <c r="B146" s="185"/>
    </row>
    <row r="147">
      <c r="B147" s="185"/>
    </row>
    <row r="148">
      <c r="B148" s="185"/>
    </row>
    <row r="149">
      <c r="B149" s="185"/>
    </row>
    <row r="150">
      <c r="B150" s="185"/>
    </row>
    <row r="151">
      <c r="B151" s="185"/>
    </row>
    <row r="152">
      <c r="B152" s="185"/>
    </row>
    <row r="153">
      <c r="B153" s="185"/>
    </row>
    <row r="154">
      <c r="B154" s="185"/>
    </row>
    <row r="155">
      <c r="B155" s="185"/>
    </row>
    <row r="156">
      <c r="B156" s="185"/>
    </row>
    <row r="157">
      <c r="B157" s="185"/>
    </row>
    <row r="158">
      <c r="B158" s="185"/>
    </row>
    <row r="159">
      <c r="B159" s="185"/>
    </row>
    <row r="160">
      <c r="B160" s="185"/>
    </row>
    <row r="161">
      <c r="B161" s="185"/>
    </row>
    <row r="162">
      <c r="B162" s="185"/>
    </row>
    <row r="163">
      <c r="B163" s="185"/>
    </row>
    <row r="164">
      <c r="B164" s="185"/>
    </row>
    <row r="165">
      <c r="B165" s="185"/>
    </row>
    <row r="166">
      <c r="B166" s="185"/>
    </row>
    <row r="167">
      <c r="B167" s="185"/>
    </row>
    <row r="168">
      <c r="B168" s="185"/>
    </row>
    <row r="169">
      <c r="B169" s="185"/>
    </row>
    <row r="170">
      <c r="B170" s="185"/>
    </row>
    <row r="171">
      <c r="B171" s="185"/>
    </row>
    <row r="172">
      <c r="B172" s="185"/>
    </row>
    <row r="173">
      <c r="B173" s="185"/>
    </row>
    <row r="174">
      <c r="B174" s="185"/>
    </row>
    <row r="175">
      <c r="B175" s="185"/>
    </row>
    <row r="176">
      <c r="B176" s="185"/>
    </row>
    <row r="177">
      <c r="B177" s="185"/>
    </row>
    <row r="178">
      <c r="B178" s="185"/>
    </row>
    <row r="179">
      <c r="B179" s="185"/>
    </row>
    <row r="180">
      <c r="B180" s="185"/>
    </row>
    <row r="181">
      <c r="B181" s="185"/>
    </row>
    <row r="182">
      <c r="B182" s="185"/>
    </row>
    <row r="183">
      <c r="B183" s="185"/>
    </row>
    <row r="184">
      <c r="B184" s="185"/>
    </row>
    <row r="185">
      <c r="B185" s="185"/>
    </row>
    <row r="186">
      <c r="B186" s="185"/>
    </row>
    <row r="187">
      <c r="B187" s="185"/>
    </row>
    <row r="188">
      <c r="B188" s="185"/>
    </row>
    <row r="189">
      <c r="B189" s="185"/>
    </row>
    <row r="190">
      <c r="B190" s="185"/>
    </row>
    <row r="191">
      <c r="B191" s="185"/>
    </row>
    <row r="192">
      <c r="B192" s="185"/>
    </row>
    <row r="193">
      <c r="B193" s="185"/>
    </row>
    <row r="194">
      <c r="B194" s="185"/>
    </row>
    <row r="195">
      <c r="B195" s="185"/>
    </row>
    <row r="196">
      <c r="B196" s="185"/>
    </row>
    <row r="197">
      <c r="B197" s="185"/>
    </row>
    <row r="198">
      <c r="B198" s="185"/>
    </row>
    <row r="199">
      <c r="B199" s="185"/>
    </row>
    <row r="200">
      <c r="B200" s="185"/>
    </row>
    <row r="201">
      <c r="B201" s="185"/>
    </row>
    <row r="202">
      <c r="B202" s="185"/>
    </row>
    <row r="203">
      <c r="B203" s="185"/>
    </row>
    <row r="204">
      <c r="B204" s="185"/>
    </row>
    <row r="205">
      <c r="B205" s="185"/>
    </row>
    <row r="206">
      <c r="B206" s="185"/>
    </row>
    <row r="207">
      <c r="B207" s="185"/>
    </row>
    <row r="208">
      <c r="B208" s="185"/>
    </row>
    <row r="209">
      <c r="B209" s="185"/>
    </row>
    <row r="210">
      <c r="B210" s="185"/>
    </row>
    <row r="211">
      <c r="B211" s="185"/>
    </row>
    <row r="212">
      <c r="B212" s="185"/>
    </row>
    <row r="213">
      <c r="B213" s="185"/>
    </row>
    <row r="214">
      <c r="B214" s="185"/>
    </row>
    <row r="215">
      <c r="B215" s="185"/>
    </row>
    <row r="216">
      <c r="B216" s="185"/>
    </row>
    <row r="217">
      <c r="B217" s="185"/>
    </row>
    <row r="218">
      <c r="B218" s="185"/>
    </row>
    <row r="219">
      <c r="B219" s="185"/>
    </row>
    <row r="220">
      <c r="B220" s="185"/>
    </row>
    <row r="221">
      <c r="B221" s="185"/>
    </row>
    <row r="222">
      <c r="B222" s="185"/>
    </row>
    <row r="223">
      <c r="B223" s="185"/>
    </row>
    <row r="224">
      <c r="B224" s="185"/>
    </row>
    <row r="225">
      <c r="B225" s="185"/>
    </row>
    <row r="226">
      <c r="B226" s="185"/>
    </row>
    <row r="227">
      <c r="B227" s="185"/>
    </row>
    <row r="228">
      <c r="B228" s="185"/>
    </row>
    <row r="229">
      <c r="B229" s="185"/>
    </row>
    <row r="230">
      <c r="B230" s="185"/>
    </row>
    <row r="231">
      <c r="B231" s="185"/>
    </row>
    <row r="232">
      <c r="B232" s="185"/>
    </row>
    <row r="233">
      <c r="B233" s="185"/>
    </row>
    <row r="234">
      <c r="B234" s="185"/>
    </row>
    <row r="235">
      <c r="B235" s="185"/>
    </row>
    <row r="236">
      <c r="B236" s="185"/>
    </row>
    <row r="237">
      <c r="B237" s="185"/>
    </row>
    <row r="238">
      <c r="B238" s="185"/>
    </row>
    <row r="239">
      <c r="B239" s="185"/>
    </row>
    <row r="240">
      <c r="B240" s="185"/>
    </row>
    <row r="241">
      <c r="B241" s="185"/>
    </row>
    <row r="242">
      <c r="B242" s="185"/>
    </row>
    <row r="243">
      <c r="B243" s="185"/>
    </row>
    <row r="244">
      <c r="B244" s="185"/>
    </row>
    <row r="245">
      <c r="B245" s="185"/>
    </row>
    <row r="246">
      <c r="B246" s="185"/>
    </row>
    <row r="247">
      <c r="B247" s="185"/>
    </row>
    <row r="248">
      <c r="B248" s="185"/>
    </row>
    <row r="249">
      <c r="B249" s="185"/>
    </row>
    <row r="250">
      <c r="B250" s="185"/>
    </row>
    <row r="251">
      <c r="B251" s="185"/>
    </row>
    <row r="252">
      <c r="B252" s="185"/>
    </row>
    <row r="253">
      <c r="B253" s="185"/>
    </row>
    <row r="254">
      <c r="B254" s="185"/>
    </row>
    <row r="255">
      <c r="B255" s="185"/>
    </row>
    <row r="256">
      <c r="B256" s="185"/>
    </row>
    <row r="257">
      <c r="B257" s="185"/>
    </row>
    <row r="258">
      <c r="B258" s="185"/>
    </row>
    <row r="259">
      <c r="B259" s="185"/>
    </row>
    <row r="260">
      <c r="B260" s="185"/>
    </row>
    <row r="261">
      <c r="B261" s="185"/>
    </row>
    <row r="262">
      <c r="B262" s="185"/>
    </row>
    <row r="263">
      <c r="B263" s="185"/>
    </row>
    <row r="264">
      <c r="B264" s="185"/>
    </row>
    <row r="265">
      <c r="B265" s="185"/>
    </row>
    <row r="266">
      <c r="B266" s="185"/>
    </row>
    <row r="267">
      <c r="B267" s="185"/>
    </row>
    <row r="268">
      <c r="B268" s="185"/>
    </row>
    <row r="269">
      <c r="B269" s="185"/>
    </row>
    <row r="270">
      <c r="B270" s="185"/>
    </row>
    <row r="271">
      <c r="B271" s="185"/>
    </row>
    <row r="272">
      <c r="B272" s="185"/>
    </row>
    <row r="273">
      <c r="B273" s="185"/>
    </row>
    <row r="274">
      <c r="B274" s="185"/>
    </row>
    <row r="275">
      <c r="B275" s="185"/>
    </row>
    <row r="276">
      <c r="B276" s="185"/>
    </row>
    <row r="277">
      <c r="B277" s="185"/>
    </row>
    <row r="278">
      <c r="B278" s="185"/>
    </row>
    <row r="279">
      <c r="B279" s="185"/>
    </row>
    <row r="280">
      <c r="B280" s="185"/>
    </row>
    <row r="281">
      <c r="B281" s="185"/>
    </row>
    <row r="282">
      <c r="B282" s="185"/>
    </row>
    <row r="283">
      <c r="B283" s="185"/>
    </row>
    <row r="284">
      <c r="B284" s="185"/>
    </row>
    <row r="285">
      <c r="B285" s="185"/>
    </row>
    <row r="286">
      <c r="B286" s="185"/>
    </row>
    <row r="287">
      <c r="B287" s="185"/>
    </row>
    <row r="288">
      <c r="B288" s="185"/>
    </row>
    <row r="289">
      <c r="B289" s="185"/>
    </row>
    <row r="290">
      <c r="B290" s="185"/>
    </row>
    <row r="291">
      <c r="B291" s="185"/>
    </row>
    <row r="292">
      <c r="B292" s="185"/>
    </row>
    <row r="293">
      <c r="B293" s="185"/>
    </row>
    <row r="294">
      <c r="B294" s="185"/>
    </row>
    <row r="295">
      <c r="B295" s="185"/>
    </row>
    <row r="296">
      <c r="B296" s="185"/>
    </row>
    <row r="297">
      <c r="B297" s="185"/>
    </row>
    <row r="298">
      <c r="B298" s="185"/>
    </row>
    <row r="299">
      <c r="B299" s="185"/>
    </row>
    <row r="300">
      <c r="B300" s="185"/>
    </row>
    <row r="301">
      <c r="B301" s="185"/>
    </row>
    <row r="302">
      <c r="B302" s="185"/>
    </row>
    <row r="303">
      <c r="B303" s="185"/>
    </row>
    <row r="304">
      <c r="B304" s="185"/>
    </row>
    <row r="305">
      <c r="B305" s="185"/>
    </row>
    <row r="306">
      <c r="B306" s="185"/>
    </row>
    <row r="307">
      <c r="B307" s="185"/>
    </row>
    <row r="308">
      <c r="B308" s="185"/>
    </row>
    <row r="309">
      <c r="B309" s="185"/>
    </row>
    <row r="310">
      <c r="B310" s="185"/>
    </row>
    <row r="311">
      <c r="B311" s="185"/>
    </row>
    <row r="312">
      <c r="B312" s="185"/>
    </row>
    <row r="313">
      <c r="B313" s="185"/>
    </row>
    <row r="314">
      <c r="B314" s="185"/>
    </row>
    <row r="315">
      <c r="B315" s="185"/>
    </row>
    <row r="316">
      <c r="B316" s="185"/>
    </row>
    <row r="317">
      <c r="B317" s="185"/>
    </row>
    <row r="318">
      <c r="B318" s="185"/>
    </row>
    <row r="319">
      <c r="B319" s="185"/>
    </row>
    <row r="320">
      <c r="B320" s="185"/>
    </row>
    <row r="321">
      <c r="B321" s="185"/>
    </row>
    <row r="322">
      <c r="B322" s="185"/>
    </row>
    <row r="323">
      <c r="B323" s="185"/>
    </row>
    <row r="324">
      <c r="B324" s="185"/>
    </row>
    <row r="325">
      <c r="B325" s="185"/>
    </row>
    <row r="326">
      <c r="B326" s="185"/>
    </row>
    <row r="327">
      <c r="B327" s="185"/>
    </row>
    <row r="328">
      <c r="B328" s="185"/>
    </row>
    <row r="329">
      <c r="B329" s="185"/>
    </row>
    <row r="330">
      <c r="B330" s="185"/>
    </row>
    <row r="331">
      <c r="B331" s="185"/>
    </row>
    <row r="332">
      <c r="B332" s="185"/>
    </row>
    <row r="333">
      <c r="B333" s="185"/>
    </row>
    <row r="334">
      <c r="B334" s="185"/>
    </row>
    <row r="335">
      <c r="B335" s="185"/>
    </row>
    <row r="336">
      <c r="B336" s="185"/>
    </row>
    <row r="337">
      <c r="B337" s="185"/>
    </row>
    <row r="338">
      <c r="B338" s="185"/>
    </row>
    <row r="339">
      <c r="B339" s="185"/>
    </row>
    <row r="340">
      <c r="B340" s="185"/>
    </row>
    <row r="341">
      <c r="B341" s="185"/>
    </row>
    <row r="342">
      <c r="B342" s="185"/>
    </row>
    <row r="343">
      <c r="B343" s="185"/>
    </row>
    <row r="344">
      <c r="B344" s="185"/>
    </row>
    <row r="345">
      <c r="B345" s="185"/>
    </row>
    <row r="346">
      <c r="B346" s="185"/>
    </row>
    <row r="347">
      <c r="B347" s="185"/>
    </row>
    <row r="348">
      <c r="B348" s="185"/>
    </row>
    <row r="349">
      <c r="B349" s="185"/>
    </row>
    <row r="350">
      <c r="B350" s="185"/>
    </row>
    <row r="351">
      <c r="B351" s="185"/>
    </row>
    <row r="352">
      <c r="B352" s="185"/>
    </row>
    <row r="353">
      <c r="B353" s="185"/>
    </row>
    <row r="354">
      <c r="B354" s="185"/>
    </row>
    <row r="355">
      <c r="B355" s="185"/>
    </row>
    <row r="356">
      <c r="B356" s="185"/>
    </row>
    <row r="357">
      <c r="B357" s="185"/>
    </row>
    <row r="358">
      <c r="B358" s="185"/>
    </row>
    <row r="359">
      <c r="B359" s="185"/>
    </row>
    <row r="360">
      <c r="B360" s="185"/>
    </row>
    <row r="361">
      <c r="B361" s="185"/>
    </row>
    <row r="362">
      <c r="B362" s="185"/>
    </row>
    <row r="363">
      <c r="B363" s="185"/>
    </row>
    <row r="364">
      <c r="B364" s="185"/>
    </row>
    <row r="365">
      <c r="B365" s="185"/>
    </row>
    <row r="366">
      <c r="B366" s="185"/>
    </row>
    <row r="367">
      <c r="B367" s="185"/>
    </row>
    <row r="368">
      <c r="B368" s="185"/>
    </row>
    <row r="369">
      <c r="B369" s="185"/>
    </row>
    <row r="370">
      <c r="B370" s="185"/>
    </row>
    <row r="371">
      <c r="B371" s="185"/>
    </row>
    <row r="372">
      <c r="B372" s="185"/>
    </row>
    <row r="373">
      <c r="B373" s="185"/>
    </row>
    <row r="374">
      <c r="B374" s="185"/>
    </row>
    <row r="375">
      <c r="B375" s="185"/>
    </row>
    <row r="376">
      <c r="B376" s="185"/>
    </row>
    <row r="377">
      <c r="B377" s="185"/>
    </row>
    <row r="378">
      <c r="B378" s="185"/>
    </row>
    <row r="379">
      <c r="B379" s="185"/>
    </row>
    <row r="380">
      <c r="B380" s="185"/>
    </row>
    <row r="381">
      <c r="B381" s="185"/>
    </row>
    <row r="382">
      <c r="B382" s="185"/>
    </row>
    <row r="383">
      <c r="B383" s="185"/>
    </row>
    <row r="384">
      <c r="B384" s="185"/>
    </row>
    <row r="385">
      <c r="B385" s="185"/>
    </row>
    <row r="386">
      <c r="B386" s="185"/>
    </row>
    <row r="387">
      <c r="B387" s="185"/>
    </row>
    <row r="388">
      <c r="B388" s="185"/>
    </row>
    <row r="389">
      <c r="B389" s="185"/>
    </row>
    <row r="390">
      <c r="B390" s="185"/>
    </row>
    <row r="391">
      <c r="B391" s="185"/>
    </row>
    <row r="392">
      <c r="B392" s="185"/>
    </row>
    <row r="393">
      <c r="B393" s="185"/>
    </row>
    <row r="394">
      <c r="B394" s="185"/>
    </row>
    <row r="395">
      <c r="B395" s="185"/>
    </row>
    <row r="396">
      <c r="B396" s="185"/>
    </row>
    <row r="397">
      <c r="B397" s="185"/>
    </row>
    <row r="398">
      <c r="B398" s="185"/>
    </row>
    <row r="399">
      <c r="B399" s="185"/>
    </row>
    <row r="400">
      <c r="B400" s="185"/>
    </row>
    <row r="401">
      <c r="B401" s="185"/>
    </row>
    <row r="402">
      <c r="B402" s="185"/>
    </row>
    <row r="403">
      <c r="B403" s="185"/>
    </row>
    <row r="404">
      <c r="B404" s="185"/>
    </row>
    <row r="405">
      <c r="B405" s="185"/>
    </row>
    <row r="406">
      <c r="B406" s="185"/>
    </row>
    <row r="407">
      <c r="B407" s="185"/>
    </row>
    <row r="408">
      <c r="B408" s="185"/>
    </row>
    <row r="409">
      <c r="B409" s="185"/>
    </row>
    <row r="410">
      <c r="B410" s="185"/>
    </row>
    <row r="411">
      <c r="B411" s="185"/>
    </row>
    <row r="412">
      <c r="B412" s="185"/>
    </row>
    <row r="413">
      <c r="B413" s="185"/>
    </row>
    <row r="414">
      <c r="B414" s="185"/>
    </row>
    <row r="415">
      <c r="B415" s="185"/>
    </row>
    <row r="416">
      <c r="B416" s="185"/>
    </row>
    <row r="417">
      <c r="B417" s="185"/>
    </row>
    <row r="418">
      <c r="B418" s="185"/>
    </row>
    <row r="419">
      <c r="B419" s="185"/>
    </row>
    <row r="420">
      <c r="B420" s="185"/>
    </row>
    <row r="421">
      <c r="B421" s="185"/>
    </row>
    <row r="422">
      <c r="B422" s="185"/>
    </row>
    <row r="423">
      <c r="B423" s="185"/>
    </row>
    <row r="424">
      <c r="B424" s="185"/>
    </row>
    <row r="425">
      <c r="B425" s="185"/>
    </row>
    <row r="426">
      <c r="B426" s="185"/>
    </row>
    <row r="427">
      <c r="B427" s="185"/>
    </row>
    <row r="428">
      <c r="B428" s="185"/>
    </row>
    <row r="429">
      <c r="B429" s="185"/>
    </row>
    <row r="430">
      <c r="B430" s="185"/>
    </row>
    <row r="431">
      <c r="B431" s="185"/>
    </row>
    <row r="432">
      <c r="B432" s="185"/>
    </row>
    <row r="433">
      <c r="B433" s="185"/>
    </row>
    <row r="434">
      <c r="B434" s="185"/>
    </row>
    <row r="435">
      <c r="B435" s="185"/>
    </row>
    <row r="436">
      <c r="B436" s="185"/>
    </row>
    <row r="437">
      <c r="B437" s="185"/>
    </row>
    <row r="438">
      <c r="B438" s="185"/>
    </row>
    <row r="439">
      <c r="B439" s="185"/>
    </row>
    <row r="440">
      <c r="B440" s="185"/>
    </row>
    <row r="441">
      <c r="B441" s="185"/>
    </row>
    <row r="442">
      <c r="B442" s="185"/>
    </row>
    <row r="443">
      <c r="B443" s="185"/>
    </row>
    <row r="444">
      <c r="B444" s="185"/>
    </row>
    <row r="445">
      <c r="B445" s="185"/>
    </row>
    <row r="446">
      <c r="B446" s="185"/>
    </row>
    <row r="447">
      <c r="B447" s="185"/>
    </row>
    <row r="448">
      <c r="B448" s="185"/>
    </row>
    <row r="449">
      <c r="B449" s="185"/>
    </row>
    <row r="450">
      <c r="B450" s="185"/>
    </row>
    <row r="451">
      <c r="B451" s="185"/>
    </row>
    <row r="452">
      <c r="B452" s="185"/>
    </row>
    <row r="453">
      <c r="B453" s="185"/>
    </row>
    <row r="454">
      <c r="B454" s="185"/>
    </row>
    <row r="455">
      <c r="B455" s="185"/>
    </row>
    <row r="456">
      <c r="B456" s="185"/>
    </row>
    <row r="457">
      <c r="B457" s="185"/>
    </row>
    <row r="458">
      <c r="B458" s="185"/>
    </row>
    <row r="459">
      <c r="B459" s="185"/>
    </row>
    <row r="460">
      <c r="B460" s="185"/>
    </row>
    <row r="461">
      <c r="B461" s="185"/>
    </row>
    <row r="462">
      <c r="B462" s="185"/>
    </row>
    <row r="463">
      <c r="B463" s="185"/>
    </row>
    <row r="464">
      <c r="B464" s="185"/>
    </row>
    <row r="465">
      <c r="B465" s="185"/>
    </row>
    <row r="466">
      <c r="B466" s="185"/>
    </row>
    <row r="467">
      <c r="B467" s="185"/>
    </row>
    <row r="468">
      <c r="B468" s="185"/>
    </row>
    <row r="469">
      <c r="B469" s="185"/>
    </row>
    <row r="470">
      <c r="B470" s="185"/>
    </row>
    <row r="471">
      <c r="B471" s="185"/>
    </row>
    <row r="472">
      <c r="B472" s="185"/>
    </row>
    <row r="473">
      <c r="B473" s="185"/>
    </row>
    <row r="474">
      <c r="B474" s="185"/>
    </row>
    <row r="475">
      <c r="B475" s="185"/>
    </row>
    <row r="476">
      <c r="B476" s="185"/>
    </row>
    <row r="477">
      <c r="B477" s="185"/>
    </row>
    <row r="478">
      <c r="B478" s="185"/>
    </row>
    <row r="479">
      <c r="B479" s="185"/>
    </row>
    <row r="480">
      <c r="B480" s="185"/>
    </row>
    <row r="481">
      <c r="B481" s="185"/>
    </row>
    <row r="482">
      <c r="B482" s="185"/>
    </row>
    <row r="483">
      <c r="B483" s="185"/>
    </row>
    <row r="484">
      <c r="B484" s="185"/>
    </row>
    <row r="485">
      <c r="B485" s="185"/>
    </row>
    <row r="486">
      <c r="B486" s="185"/>
    </row>
    <row r="487">
      <c r="B487" s="185"/>
    </row>
    <row r="488">
      <c r="B488" s="185"/>
    </row>
    <row r="489">
      <c r="B489" s="185"/>
    </row>
    <row r="490">
      <c r="B490" s="185"/>
    </row>
    <row r="491">
      <c r="B491" s="185"/>
    </row>
    <row r="492">
      <c r="B492" s="185"/>
    </row>
    <row r="493">
      <c r="B493" s="185"/>
    </row>
    <row r="494">
      <c r="B494" s="185"/>
    </row>
    <row r="495">
      <c r="B495" s="185"/>
    </row>
    <row r="496">
      <c r="B496" s="185"/>
    </row>
    <row r="497">
      <c r="B497" s="185"/>
    </row>
    <row r="498">
      <c r="B498" s="185"/>
    </row>
    <row r="499">
      <c r="B499" s="185"/>
    </row>
    <row r="500">
      <c r="B500" s="185"/>
    </row>
    <row r="501">
      <c r="B501" s="185"/>
    </row>
    <row r="502">
      <c r="B502" s="185"/>
    </row>
    <row r="503">
      <c r="B503" s="185"/>
    </row>
    <row r="504">
      <c r="B504" s="185"/>
    </row>
    <row r="505">
      <c r="B505" s="185"/>
    </row>
    <row r="506">
      <c r="B506" s="185"/>
    </row>
    <row r="507">
      <c r="B507" s="185"/>
    </row>
    <row r="508">
      <c r="B508" s="185"/>
    </row>
    <row r="509">
      <c r="B509" s="185"/>
    </row>
    <row r="510">
      <c r="B510" s="185"/>
    </row>
    <row r="511">
      <c r="B511" s="185"/>
    </row>
    <row r="512">
      <c r="B512" s="185"/>
    </row>
    <row r="513">
      <c r="B513" s="185"/>
    </row>
    <row r="514">
      <c r="B514" s="185"/>
    </row>
    <row r="515">
      <c r="B515" s="185"/>
    </row>
    <row r="516">
      <c r="B516" s="185"/>
    </row>
    <row r="517">
      <c r="B517" s="185"/>
    </row>
    <row r="518">
      <c r="B518" s="185"/>
    </row>
    <row r="519">
      <c r="B519" s="185"/>
    </row>
    <row r="520">
      <c r="B520" s="185"/>
    </row>
    <row r="521">
      <c r="B521" s="185"/>
    </row>
    <row r="522">
      <c r="B522" s="185"/>
    </row>
    <row r="523">
      <c r="B523" s="185"/>
    </row>
    <row r="524">
      <c r="B524" s="185"/>
    </row>
    <row r="525">
      <c r="B525" s="185"/>
    </row>
    <row r="526">
      <c r="B526" s="185"/>
    </row>
    <row r="527">
      <c r="B527" s="185"/>
    </row>
    <row r="528">
      <c r="B528" s="185"/>
    </row>
    <row r="529">
      <c r="B529" s="185"/>
    </row>
    <row r="530">
      <c r="B530" s="185"/>
    </row>
    <row r="531">
      <c r="B531" s="185"/>
    </row>
    <row r="532">
      <c r="B532" s="185"/>
    </row>
    <row r="533">
      <c r="B533" s="185"/>
    </row>
    <row r="534">
      <c r="B534" s="185"/>
    </row>
    <row r="535">
      <c r="B535" s="185"/>
    </row>
    <row r="536">
      <c r="B536" s="185"/>
    </row>
    <row r="537">
      <c r="B537" s="185"/>
    </row>
    <row r="538">
      <c r="B538" s="185"/>
    </row>
    <row r="539">
      <c r="B539" s="185"/>
    </row>
    <row r="540">
      <c r="B540" s="185"/>
    </row>
    <row r="541">
      <c r="B541" s="185"/>
    </row>
    <row r="542">
      <c r="B542" s="185"/>
    </row>
    <row r="543">
      <c r="B543" s="185"/>
    </row>
    <row r="544">
      <c r="B544" s="185"/>
    </row>
    <row r="545">
      <c r="B545" s="185"/>
    </row>
    <row r="546">
      <c r="B546" s="185"/>
    </row>
    <row r="547">
      <c r="B547" s="185"/>
    </row>
    <row r="548">
      <c r="B548" s="185"/>
    </row>
    <row r="549">
      <c r="B549" s="185"/>
    </row>
    <row r="550">
      <c r="B550" s="185"/>
    </row>
    <row r="551">
      <c r="B551" s="185"/>
    </row>
    <row r="552">
      <c r="B552" s="185"/>
    </row>
    <row r="553">
      <c r="B553" s="185"/>
    </row>
    <row r="554">
      <c r="B554" s="185"/>
    </row>
    <row r="555">
      <c r="B555" s="185"/>
    </row>
    <row r="556">
      <c r="B556" s="185"/>
    </row>
    <row r="557">
      <c r="B557" s="185"/>
    </row>
    <row r="558">
      <c r="B558" s="185"/>
    </row>
    <row r="559">
      <c r="B559" s="185"/>
    </row>
    <row r="560">
      <c r="B560" s="185"/>
    </row>
    <row r="561">
      <c r="B561" s="185"/>
    </row>
    <row r="562">
      <c r="B562" s="185"/>
    </row>
    <row r="563">
      <c r="B563" s="185"/>
    </row>
    <row r="564">
      <c r="B564" s="185"/>
    </row>
    <row r="565">
      <c r="B565" s="185"/>
    </row>
    <row r="566">
      <c r="B566" s="185"/>
    </row>
    <row r="567">
      <c r="B567" s="185"/>
    </row>
    <row r="568">
      <c r="B568" s="185"/>
    </row>
    <row r="569">
      <c r="B569" s="185"/>
    </row>
    <row r="570">
      <c r="B570" s="185"/>
    </row>
    <row r="571">
      <c r="B571" s="185"/>
    </row>
    <row r="572">
      <c r="B572" s="185"/>
    </row>
    <row r="573">
      <c r="B573" s="185"/>
    </row>
    <row r="574">
      <c r="B574" s="185"/>
    </row>
    <row r="575">
      <c r="B575" s="185"/>
    </row>
    <row r="576">
      <c r="B576" s="185"/>
    </row>
    <row r="577">
      <c r="B577" s="185"/>
    </row>
    <row r="578">
      <c r="B578" s="185"/>
    </row>
    <row r="579">
      <c r="B579" s="185"/>
    </row>
    <row r="580">
      <c r="B580" s="185"/>
    </row>
    <row r="581">
      <c r="B581" s="185"/>
    </row>
    <row r="582">
      <c r="B582" s="185"/>
    </row>
    <row r="583">
      <c r="B583" s="185"/>
    </row>
    <row r="584">
      <c r="B584" s="185"/>
    </row>
    <row r="585">
      <c r="B585" s="185"/>
    </row>
    <row r="586">
      <c r="B586" s="185"/>
    </row>
    <row r="587">
      <c r="B587" s="185"/>
    </row>
    <row r="588">
      <c r="B588" s="185"/>
    </row>
    <row r="589">
      <c r="B589" s="185"/>
    </row>
    <row r="590">
      <c r="B590" s="185"/>
    </row>
    <row r="591">
      <c r="B591" s="185"/>
    </row>
    <row r="592">
      <c r="B592" s="185"/>
    </row>
    <row r="593">
      <c r="B593" s="185"/>
    </row>
    <row r="594">
      <c r="B594" s="185"/>
    </row>
    <row r="595">
      <c r="B595" s="185"/>
    </row>
    <row r="596">
      <c r="B596" s="185"/>
    </row>
    <row r="597">
      <c r="B597" s="185"/>
    </row>
    <row r="598">
      <c r="B598" s="185"/>
    </row>
    <row r="599">
      <c r="B599" s="185"/>
    </row>
    <row r="600">
      <c r="B600" s="185"/>
    </row>
    <row r="601">
      <c r="B601" s="185"/>
    </row>
    <row r="602">
      <c r="B602" s="185"/>
    </row>
    <row r="603">
      <c r="B603" s="185"/>
    </row>
    <row r="604">
      <c r="B604" s="185"/>
    </row>
    <row r="605">
      <c r="B605" s="185"/>
    </row>
    <row r="606">
      <c r="B606" s="185"/>
    </row>
    <row r="607">
      <c r="B607" s="185"/>
    </row>
    <row r="608">
      <c r="B608" s="185"/>
    </row>
    <row r="609">
      <c r="B609" s="185"/>
    </row>
    <row r="610">
      <c r="B610" s="185"/>
    </row>
    <row r="611">
      <c r="B611" s="185"/>
    </row>
    <row r="612">
      <c r="B612" s="185"/>
    </row>
    <row r="613">
      <c r="B613" s="185"/>
    </row>
    <row r="614">
      <c r="B614" s="185"/>
    </row>
    <row r="615">
      <c r="B615" s="185"/>
    </row>
    <row r="616">
      <c r="B616" s="185"/>
    </row>
    <row r="617">
      <c r="B617" s="185"/>
    </row>
    <row r="618">
      <c r="B618" s="185"/>
    </row>
    <row r="619">
      <c r="B619" s="185"/>
    </row>
    <row r="620">
      <c r="B620" s="185"/>
    </row>
    <row r="621">
      <c r="B621" s="185"/>
    </row>
    <row r="622">
      <c r="B622" s="185"/>
    </row>
    <row r="623">
      <c r="B623" s="185"/>
    </row>
    <row r="624">
      <c r="B624" s="185"/>
    </row>
    <row r="625">
      <c r="B625" s="185"/>
    </row>
    <row r="626">
      <c r="B626" s="185"/>
    </row>
    <row r="627">
      <c r="B627" s="185"/>
    </row>
    <row r="628">
      <c r="B628" s="185"/>
    </row>
    <row r="629">
      <c r="B629" s="185"/>
    </row>
    <row r="630">
      <c r="B630" s="185"/>
    </row>
    <row r="631">
      <c r="B631" s="185"/>
    </row>
    <row r="632">
      <c r="B632" s="185"/>
    </row>
    <row r="633">
      <c r="B633" s="185"/>
    </row>
    <row r="634">
      <c r="B634" s="185"/>
    </row>
    <row r="635">
      <c r="B635" s="185"/>
    </row>
    <row r="636">
      <c r="B636" s="185"/>
    </row>
    <row r="637">
      <c r="B637" s="185"/>
    </row>
    <row r="638">
      <c r="B638" s="185"/>
    </row>
    <row r="639">
      <c r="B639" s="185"/>
    </row>
    <row r="640">
      <c r="B640" s="185"/>
    </row>
    <row r="641">
      <c r="B641" s="185"/>
    </row>
    <row r="642">
      <c r="B642" s="185"/>
    </row>
    <row r="643">
      <c r="B643" s="185"/>
    </row>
    <row r="644">
      <c r="B644" s="185"/>
    </row>
    <row r="645">
      <c r="B645" s="185"/>
    </row>
    <row r="646">
      <c r="B646" s="185"/>
    </row>
    <row r="647">
      <c r="B647" s="185"/>
    </row>
    <row r="648">
      <c r="B648" s="185"/>
    </row>
    <row r="649">
      <c r="B649" s="185"/>
    </row>
    <row r="650">
      <c r="B650" s="185"/>
    </row>
    <row r="651">
      <c r="B651" s="185"/>
    </row>
    <row r="652">
      <c r="B652" s="185"/>
    </row>
    <row r="653">
      <c r="B653" s="185"/>
    </row>
    <row r="654">
      <c r="B654" s="185"/>
    </row>
    <row r="655">
      <c r="B655" s="185"/>
    </row>
    <row r="656">
      <c r="B656" s="185"/>
    </row>
    <row r="657">
      <c r="B657" s="185"/>
    </row>
    <row r="658">
      <c r="B658" s="185"/>
    </row>
    <row r="659">
      <c r="B659" s="185"/>
    </row>
    <row r="660">
      <c r="B660" s="185"/>
    </row>
    <row r="661">
      <c r="B661" s="185"/>
    </row>
    <row r="662">
      <c r="B662" s="185"/>
    </row>
    <row r="663">
      <c r="B663" s="185"/>
    </row>
    <row r="664">
      <c r="B664" s="185"/>
    </row>
    <row r="665">
      <c r="B665" s="185"/>
    </row>
    <row r="666">
      <c r="B666" s="185"/>
    </row>
    <row r="667">
      <c r="B667" s="185"/>
    </row>
    <row r="668">
      <c r="B668" s="185"/>
    </row>
    <row r="669">
      <c r="B669" s="185"/>
    </row>
    <row r="670">
      <c r="B670" s="185"/>
    </row>
    <row r="671">
      <c r="B671" s="185"/>
    </row>
    <row r="672">
      <c r="B672" s="185"/>
    </row>
    <row r="673">
      <c r="B673" s="185"/>
    </row>
    <row r="674">
      <c r="B674" s="185"/>
    </row>
    <row r="675">
      <c r="B675" s="185"/>
    </row>
    <row r="676">
      <c r="B676" s="185"/>
    </row>
    <row r="677">
      <c r="B677" s="185"/>
    </row>
    <row r="678">
      <c r="B678" s="185"/>
    </row>
    <row r="679">
      <c r="B679" s="185"/>
    </row>
    <row r="680">
      <c r="B680" s="185"/>
    </row>
    <row r="681">
      <c r="B681" s="185"/>
    </row>
    <row r="682">
      <c r="B682" s="185"/>
    </row>
    <row r="683">
      <c r="B683" s="185"/>
    </row>
    <row r="684">
      <c r="B684" s="185"/>
    </row>
    <row r="685">
      <c r="B685" s="185"/>
    </row>
    <row r="686">
      <c r="B686" s="185"/>
    </row>
    <row r="687">
      <c r="B687" s="185"/>
    </row>
    <row r="688">
      <c r="B688" s="185"/>
    </row>
    <row r="689">
      <c r="B689" s="185"/>
    </row>
    <row r="690">
      <c r="B690" s="185"/>
    </row>
    <row r="691">
      <c r="B691" s="185"/>
    </row>
    <row r="692">
      <c r="B692" s="185"/>
    </row>
    <row r="693">
      <c r="B693" s="185"/>
    </row>
    <row r="694">
      <c r="B694" s="185"/>
    </row>
    <row r="695">
      <c r="B695" s="185"/>
    </row>
    <row r="696">
      <c r="B696" s="185"/>
    </row>
    <row r="697">
      <c r="B697" s="185"/>
    </row>
    <row r="698">
      <c r="B698" s="185"/>
    </row>
    <row r="699">
      <c r="B699" s="185"/>
    </row>
    <row r="700">
      <c r="B700" s="185"/>
    </row>
    <row r="701">
      <c r="B701" s="185"/>
    </row>
    <row r="702">
      <c r="B702" s="185"/>
    </row>
    <row r="703">
      <c r="B703" s="185"/>
    </row>
    <row r="704">
      <c r="B704" s="185"/>
    </row>
    <row r="705">
      <c r="B705" s="185"/>
    </row>
    <row r="706">
      <c r="B706" s="185"/>
    </row>
    <row r="707">
      <c r="B707" s="185"/>
    </row>
    <row r="708">
      <c r="B708" s="185"/>
    </row>
    <row r="709">
      <c r="B709" s="185"/>
    </row>
    <row r="710">
      <c r="B710" s="185"/>
    </row>
    <row r="711">
      <c r="B711" s="185"/>
    </row>
    <row r="712">
      <c r="B712" s="185"/>
    </row>
    <row r="713">
      <c r="B713" s="185"/>
    </row>
    <row r="714">
      <c r="B714" s="185"/>
    </row>
    <row r="715">
      <c r="B715" s="185"/>
    </row>
    <row r="716">
      <c r="B716" s="185"/>
    </row>
    <row r="717">
      <c r="B717" s="185"/>
    </row>
    <row r="718">
      <c r="B718" s="185"/>
    </row>
    <row r="719">
      <c r="B719" s="185"/>
    </row>
    <row r="720">
      <c r="B720" s="185"/>
    </row>
    <row r="721">
      <c r="B721" s="185"/>
    </row>
    <row r="722">
      <c r="B722" s="185"/>
    </row>
    <row r="723">
      <c r="B723" s="185"/>
    </row>
    <row r="724">
      <c r="B724" s="185"/>
    </row>
    <row r="725">
      <c r="B725" s="185"/>
    </row>
    <row r="726">
      <c r="B726" s="185"/>
    </row>
    <row r="727">
      <c r="B727" s="185"/>
    </row>
    <row r="728">
      <c r="B728" s="185"/>
    </row>
    <row r="729">
      <c r="B729" s="185"/>
    </row>
    <row r="730">
      <c r="B730" s="185"/>
    </row>
    <row r="731">
      <c r="B731" s="185"/>
    </row>
    <row r="732">
      <c r="B732" s="185"/>
    </row>
    <row r="733">
      <c r="B733" s="185"/>
    </row>
    <row r="734">
      <c r="B734" s="185"/>
    </row>
    <row r="735">
      <c r="B735" s="185"/>
    </row>
    <row r="736">
      <c r="B736" s="185"/>
    </row>
    <row r="737">
      <c r="B737" s="185"/>
    </row>
    <row r="738">
      <c r="B738" s="185"/>
    </row>
    <row r="739">
      <c r="B739" s="185"/>
    </row>
    <row r="740">
      <c r="B740" s="185"/>
    </row>
    <row r="741">
      <c r="B741" s="185"/>
    </row>
    <row r="742">
      <c r="B742" s="185"/>
    </row>
    <row r="743">
      <c r="B743" s="185"/>
    </row>
    <row r="744">
      <c r="B744" s="185"/>
    </row>
    <row r="745">
      <c r="B745" s="185"/>
    </row>
    <row r="746">
      <c r="B746" s="185"/>
    </row>
    <row r="747">
      <c r="B747" s="185"/>
    </row>
    <row r="748">
      <c r="B748" s="185"/>
    </row>
    <row r="749">
      <c r="B749" s="185"/>
    </row>
    <row r="750">
      <c r="B750" s="185"/>
    </row>
    <row r="751">
      <c r="B751" s="185"/>
    </row>
    <row r="752">
      <c r="B752" s="185"/>
    </row>
    <row r="753">
      <c r="B753" s="185"/>
    </row>
    <row r="754">
      <c r="B754" s="185"/>
    </row>
    <row r="755">
      <c r="B755" s="185"/>
    </row>
    <row r="756">
      <c r="B756" s="185"/>
    </row>
    <row r="757">
      <c r="B757" s="185"/>
    </row>
    <row r="758">
      <c r="B758" s="185"/>
    </row>
    <row r="759">
      <c r="B759" s="185"/>
    </row>
    <row r="760">
      <c r="B760" s="185"/>
    </row>
    <row r="761">
      <c r="B761" s="185"/>
    </row>
    <row r="762">
      <c r="B762" s="185"/>
    </row>
    <row r="763">
      <c r="B763" s="185"/>
    </row>
    <row r="764">
      <c r="B764" s="185"/>
    </row>
    <row r="765">
      <c r="B765" s="185"/>
    </row>
    <row r="766">
      <c r="B766" s="185"/>
    </row>
    <row r="767">
      <c r="B767" s="185"/>
    </row>
    <row r="768">
      <c r="B768" s="185"/>
    </row>
    <row r="769">
      <c r="B769" s="185"/>
    </row>
    <row r="770">
      <c r="B770" s="185"/>
    </row>
    <row r="771">
      <c r="B771" s="185"/>
    </row>
    <row r="772">
      <c r="B772" s="185"/>
    </row>
    <row r="773">
      <c r="B773" s="185"/>
    </row>
    <row r="774">
      <c r="B774" s="185"/>
    </row>
    <row r="775">
      <c r="B775" s="185"/>
    </row>
    <row r="776">
      <c r="B776" s="185"/>
    </row>
    <row r="777">
      <c r="B777" s="185"/>
    </row>
    <row r="778">
      <c r="B778" s="185"/>
    </row>
    <row r="779">
      <c r="B779" s="185"/>
    </row>
    <row r="780">
      <c r="B780" s="185"/>
    </row>
    <row r="781">
      <c r="B781" s="185"/>
    </row>
    <row r="782">
      <c r="B782" s="185"/>
    </row>
    <row r="783">
      <c r="B783" s="185"/>
    </row>
    <row r="784">
      <c r="B784" s="185"/>
    </row>
    <row r="785">
      <c r="B785" s="185"/>
    </row>
    <row r="786">
      <c r="B786" s="185"/>
    </row>
    <row r="787">
      <c r="B787" s="185"/>
    </row>
    <row r="788">
      <c r="B788" s="185"/>
    </row>
    <row r="789">
      <c r="B789" s="185"/>
    </row>
    <row r="790">
      <c r="B790" s="185"/>
    </row>
    <row r="791">
      <c r="B791" s="185"/>
    </row>
    <row r="792">
      <c r="B792" s="185"/>
    </row>
    <row r="793">
      <c r="B793" s="185"/>
    </row>
    <row r="794">
      <c r="B794" s="185"/>
    </row>
    <row r="795">
      <c r="B795" s="185"/>
    </row>
    <row r="796">
      <c r="B796" s="185"/>
    </row>
    <row r="797">
      <c r="B797" s="185"/>
    </row>
    <row r="798">
      <c r="B798" s="185"/>
    </row>
    <row r="799">
      <c r="B799" s="185"/>
    </row>
    <row r="800">
      <c r="B800" s="185"/>
    </row>
    <row r="801">
      <c r="B801" s="185"/>
    </row>
    <row r="802">
      <c r="B802" s="185"/>
    </row>
    <row r="803">
      <c r="B803" s="185"/>
    </row>
    <row r="804">
      <c r="B804" s="185"/>
    </row>
    <row r="805">
      <c r="B805" s="185"/>
    </row>
    <row r="806">
      <c r="B806" s="185"/>
    </row>
    <row r="807">
      <c r="B807" s="185"/>
    </row>
    <row r="808">
      <c r="B808" s="185"/>
    </row>
    <row r="809">
      <c r="B809" s="185"/>
    </row>
    <row r="810">
      <c r="B810" s="185"/>
    </row>
    <row r="811">
      <c r="B811" s="185"/>
    </row>
    <row r="812">
      <c r="B812" s="185"/>
    </row>
    <row r="813">
      <c r="B813" s="185"/>
    </row>
    <row r="814">
      <c r="B814" s="185"/>
    </row>
    <row r="815">
      <c r="B815" s="185"/>
    </row>
    <row r="816">
      <c r="B816" s="185"/>
    </row>
    <row r="817">
      <c r="B817" s="185"/>
    </row>
    <row r="818">
      <c r="B818" s="185"/>
    </row>
    <row r="819">
      <c r="B819" s="185"/>
    </row>
    <row r="820">
      <c r="B820" s="185"/>
    </row>
    <row r="821">
      <c r="B821" s="185"/>
    </row>
    <row r="822">
      <c r="B822" s="185"/>
    </row>
    <row r="823">
      <c r="B823" s="185"/>
    </row>
    <row r="824">
      <c r="B824" s="185"/>
    </row>
    <row r="825">
      <c r="B825" s="185"/>
    </row>
    <row r="826">
      <c r="B826" s="185"/>
    </row>
    <row r="827">
      <c r="B827" s="185"/>
    </row>
    <row r="828">
      <c r="B828" s="185"/>
    </row>
    <row r="829">
      <c r="B829" s="185"/>
    </row>
    <row r="830">
      <c r="B830" s="185"/>
    </row>
    <row r="831">
      <c r="B831" s="185"/>
    </row>
    <row r="832">
      <c r="B832" s="185"/>
    </row>
    <row r="833">
      <c r="B833" s="185"/>
    </row>
    <row r="834">
      <c r="B834" s="185"/>
    </row>
    <row r="835">
      <c r="B835" s="185"/>
    </row>
    <row r="836">
      <c r="B836" s="185"/>
    </row>
    <row r="837">
      <c r="B837" s="185"/>
    </row>
    <row r="838">
      <c r="B838" s="185"/>
    </row>
    <row r="839">
      <c r="B839" s="185"/>
    </row>
    <row r="840">
      <c r="B840" s="185"/>
    </row>
    <row r="841">
      <c r="B841" s="185"/>
    </row>
    <row r="842">
      <c r="B842" s="185"/>
    </row>
    <row r="843">
      <c r="B843" s="185"/>
    </row>
    <row r="844">
      <c r="B844" s="185"/>
    </row>
    <row r="845">
      <c r="B845" s="185"/>
    </row>
    <row r="846">
      <c r="B846" s="185"/>
    </row>
    <row r="847">
      <c r="B847" s="185"/>
    </row>
    <row r="848">
      <c r="B848" s="185"/>
    </row>
    <row r="849">
      <c r="B849" s="185"/>
    </row>
    <row r="850">
      <c r="B850" s="185"/>
    </row>
    <row r="851">
      <c r="B851" s="185"/>
    </row>
    <row r="852">
      <c r="B852" s="185"/>
    </row>
    <row r="853">
      <c r="B853" s="185"/>
    </row>
    <row r="854">
      <c r="B854" s="185"/>
    </row>
    <row r="855">
      <c r="B855" s="185"/>
    </row>
    <row r="856">
      <c r="B856" s="185"/>
    </row>
    <row r="857">
      <c r="B857" s="185"/>
    </row>
    <row r="858">
      <c r="B858" s="185"/>
    </row>
    <row r="859">
      <c r="B859" s="185"/>
    </row>
    <row r="860">
      <c r="B860" s="185"/>
    </row>
    <row r="861">
      <c r="B861" s="185"/>
    </row>
    <row r="862">
      <c r="B862" s="185"/>
    </row>
    <row r="863">
      <c r="B863" s="185"/>
    </row>
    <row r="864">
      <c r="B864" s="185"/>
    </row>
    <row r="865">
      <c r="B865" s="185"/>
    </row>
    <row r="866">
      <c r="B866" s="185"/>
    </row>
    <row r="867">
      <c r="B867" s="185"/>
    </row>
    <row r="868">
      <c r="B868" s="185"/>
    </row>
    <row r="869">
      <c r="B869" s="185"/>
    </row>
    <row r="870">
      <c r="B870" s="185"/>
    </row>
    <row r="871">
      <c r="B871" s="185"/>
    </row>
    <row r="872">
      <c r="B872" s="185"/>
    </row>
    <row r="873">
      <c r="B873" s="185"/>
    </row>
    <row r="874">
      <c r="B874" s="185"/>
    </row>
    <row r="875">
      <c r="B875" s="185"/>
    </row>
    <row r="876">
      <c r="B876" s="185"/>
    </row>
    <row r="877">
      <c r="B877" s="185"/>
    </row>
    <row r="878">
      <c r="B878" s="185"/>
    </row>
    <row r="879">
      <c r="B879" s="185"/>
    </row>
    <row r="880">
      <c r="B880" s="185"/>
    </row>
    <row r="881">
      <c r="B881" s="185"/>
    </row>
    <row r="882">
      <c r="B882" s="185"/>
    </row>
    <row r="883">
      <c r="B883" s="185"/>
    </row>
    <row r="884">
      <c r="B884" s="185"/>
    </row>
    <row r="885">
      <c r="B885" s="185"/>
    </row>
    <row r="886">
      <c r="B886" s="185"/>
    </row>
    <row r="887">
      <c r="B887" s="185"/>
    </row>
    <row r="888">
      <c r="B888" s="185"/>
    </row>
    <row r="889">
      <c r="B889" s="185"/>
    </row>
    <row r="890">
      <c r="B890" s="185"/>
    </row>
    <row r="891">
      <c r="B891" s="185"/>
    </row>
    <row r="892">
      <c r="B892" s="185"/>
    </row>
    <row r="893">
      <c r="B893" s="185"/>
    </row>
    <row r="894">
      <c r="B894" s="185"/>
    </row>
    <row r="895">
      <c r="B895" s="185"/>
    </row>
    <row r="896">
      <c r="B896" s="185"/>
    </row>
    <row r="897">
      <c r="B897" s="185"/>
    </row>
    <row r="898">
      <c r="B898" s="185"/>
    </row>
    <row r="899">
      <c r="B899" s="185"/>
    </row>
    <row r="900">
      <c r="B900" s="185"/>
    </row>
    <row r="901">
      <c r="B901" s="185"/>
    </row>
    <row r="902">
      <c r="B902" s="185"/>
    </row>
    <row r="903">
      <c r="B903" s="185"/>
    </row>
    <row r="904">
      <c r="B904" s="185"/>
    </row>
    <row r="905">
      <c r="B905" s="185"/>
    </row>
    <row r="906">
      <c r="B906" s="185"/>
    </row>
    <row r="907">
      <c r="B907" s="185"/>
    </row>
    <row r="908">
      <c r="B908" s="185"/>
    </row>
    <row r="909">
      <c r="B909" s="185"/>
    </row>
    <row r="910">
      <c r="B910" s="185"/>
    </row>
    <row r="911">
      <c r="B911" s="185"/>
    </row>
    <row r="912">
      <c r="B912" s="185"/>
    </row>
    <row r="913">
      <c r="B913" s="185"/>
    </row>
    <row r="914">
      <c r="B914" s="185"/>
    </row>
    <row r="915">
      <c r="B915" s="185"/>
    </row>
    <row r="916">
      <c r="B916" s="185"/>
    </row>
    <row r="917">
      <c r="B917" s="185"/>
    </row>
    <row r="918">
      <c r="B918" s="185"/>
    </row>
    <row r="919">
      <c r="B919" s="185"/>
    </row>
    <row r="920">
      <c r="B920" s="185"/>
    </row>
    <row r="921">
      <c r="B921" s="185"/>
    </row>
    <row r="922">
      <c r="B922" s="185"/>
    </row>
    <row r="923">
      <c r="B923" s="185"/>
    </row>
    <row r="924">
      <c r="B924" s="185"/>
    </row>
    <row r="925">
      <c r="B925" s="185"/>
    </row>
    <row r="926">
      <c r="B926" s="185"/>
    </row>
    <row r="927">
      <c r="B927" s="185"/>
    </row>
    <row r="928">
      <c r="B928" s="185"/>
    </row>
    <row r="929">
      <c r="B929" s="185"/>
    </row>
    <row r="930">
      <c r="B930" s="185"/>
    </row>
    <row r="931">
      <c r="B931" s="185"/>
    </row>
    <row r="932">
      <c r="B932" s="185"/>
    </row>
    <row r="933">
      <c r="B933" s="185"/>
    </row>
    <row r="934">
      <c r="B934" s="185"/>
    </row>
    <row r="935">
      <c r="B935" s="185"/>
    </row>
    <row r="936">
      <c r="B936" s="185"/>
    </row>
    <row r="937">
      <c r="B937" s="185"/>
    </row>
    <row r="938">
      <c r="B938" s="185"/>
    </row>
    <row r="939">
      <c r="B939" s="185"/>
    </row>
    <row r="940">
      <c r="B940" s="185"/>
    </row>
    <row r="941">
      <c r="B941" s="185"/>
    </row>
    <row r="942">
      <c r="B942" s="185"/>
    </row>
    <row r="943">
      <c r="B943" s="185"/>
    </row>
    <row r="944">
      <c r="B944" s="185"/>
    </row>
    <row r="945">
      <c r="B945" s="185"/>
    </row>
    <row r="946">
      <c r="B946" s="185"/>
    </row>
    <row r="947">
      <c r="B947" s="185"/>
    </row>
    <row r="948">
      <c r="B948" s="185"/>
    </row>
    <row r="949">
      <c r="B949" s="185"/>
    </row>
    <row r="950">
      <c r="B950" s="185"/>
    </row>
    <row r="951">
      <c r="B951" s="185"/>
    </row>
    <row r="952">
      <c r="B952" s="185"/>
    </row>
    <row r="953">
      <c r="B953" s="185"/>
    </row>
    <row r="954">
      <c r="B954" s="185"/>
    </row>
    <row r="955">
      <c r="B955" s="185"/>
    </row>
    <row r="956">
      <c r="B956" s="185"/>
    </row>
    <row r="957">
      <c r="B957" s="185"/>
    </row>
    <row r="958">
      <c r="B958" s="185"/>
    </row>
    <row r="959">
      <c r="B959" s="185"/>
    </row>
    <row r="960">
      <c r="B960" s="185"/>
    </row>
    <row r="961">
      <c r="B961" s="185"/>
    </row>
    <row r="962">
      <c r="B962" s="185"/>
    </row>
    <row r="963">
      <c r="B963" s="185"/>
    </row>
    <row r="964">
      <c r="B964" s="185"/>
    </row>
    <row r="965">
      <c r="B965" s="185"/>
    </row>
    <row r="966">
      <c r="B966" s="185"/>
    </row>
    <row r="967">
      <c r="B967" s="185"/>
    </row>
    <row r="968">
      <c r="B968" s="185"/>
    </row>
    <row r="969">
      <c r="B969" s="185"/>
    </row>
    <row r="970">
      <c r="B970" s="185"/>
    </row>
    <row r="971">
      <c r="B971" s="185"/>
    </row>
    <row r="972">
      <c r="B972" s="185"/>
    </row>
    <row r="973">
      <c r="B973" s="185"/>
    </row>
    <row r="974">
      <c r="B974" s="185"/>
    </row>
    <row r="975">
      <c r="B975" s="185"/>
    </row>
    <row r="976">
      <c r="B976" s="185"/>
    </row>
    <row r="977">
      <c r="B977" s="185"/>
    </row>
    <row r="978">
      <c r="B978" s="185"/>
    </row>
    <row r="979">
      <c r="B979" s="185"/>
    </row>
    <row r="980">
      <c r="B980" s="185"/>
    </row>
    <row r="981">
      <c r="B981" s="185"/>
    </row>
    <row r="982">
      <c r="B982" s="185"/>
    </row>
    <row r="983">
      <c r="B983" s="185"/>
    </row>
    <row r="984">
      <c r="B984" s="185"/>
    </row>
    <row r="985">
      <c r="B985" s="185"/>
    </row>
    <row r="986">
      <c r="B986" s="185"/>
    </row>
    <row r="987">
      <c r="B987" s="185"/>
    </row>
    <row r="988">
      <c r="B988" s="185"/>
    </row>
    <row r="989">
      <c r="B989" s="185"/>
    </row>
    <row r="990">
      <c r="B990" s="185"/>
    </row>
    <row r="991">
      <c r="B991" s="185"/>
    </row>
  </sheetData>
  <mergeCells count="3">
    <mergeCell ref="T5:AC6"/>
    <mergeCell ref="AE6:AL7"/>
    <mergeCell ref="Q7:S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0"/>
    <col customWidth="1" min="2" max="2" width="14.38"/>
    <col customWidth="1" min="3" max="3" width="12.0"/>
    <col customWidth="1" min="4" max="4" width="14.38"/>
    <col customWidth="1" min="5" max="5" width="13.38"/>
    <col customWidth="1" min="6" max="6" width="13.88"/>
    <col customWidth="1" min="7" max="7" width="14.0"/>
    <col customWidth="1" min="8" max="8" width="12.63"/>
    <col customWidth="1" min="9" max="9" width="15.25"/>
    <col customWidth="1" min="10" max="10" width="15.63"/>
  </cols>
  <sheetData>
    <row r="1">
      <c r="A1" s="242" t="s">
        <v>1</v>
      </c>
      <c r="B1" s="242" t="s">
        <v>2</v>
      </c>
      <c r="C1" s="242" t="s">
        <v>3</v>
      </c>
      <c r="D1" s="242" t="s">
        <v>4</v>
      </c>
      <c r="E1" s="242" t="s">
        <v>5</v>
      </c>
      <c r="F1" s="242" t="s">
        <v>6</v>
      </c>
      <c r="G1" s="242" t="s">
        <v>7</v>
      </c>
      <c r="H1" s="242" t="s">
        <v>8</v>
      </c>
      <c r="I1" s="242" t="s">
        <v>9</v>
      </c>
      <c r="J1" s="242" t="s">
        <v>10</v>
      </c>
      <c r="K1" s="243" t="s">
        <v>173</v>
      </c>
    </row>
    <row r="2">
      <c r="A2" s="244" t="s">
        <v>174</v>
      </c>
      <c r="B2" s="244">
        <v>0.0</v>
      </c>
      <c r="C2" s="244">
        <v>0.0</v>
      </c>
      <c r="D2" s="244">
        <v>0.0</v>
      </c>
      <c r="E2" s="244">
        <v>0.0</v>
      </c>
      <c r="F2" s="244">
        <v>0.0</v>
      </c>
      <c r="G2" s="245"/>
      <c r="H2" s="246"/>
      <c r="I2" s="247" t="s">
        <v>175</v>
      </c>
      <c r="K2" s="248" t="s">
        <v>97</v>
      </c>
    </row>
    <row r="3">
      <c r="A3" s="244" t="s">
        <v>176</v>
      </c>
      <c r="B3" s="244">
        <v>0.0</v>
      </c>
      <c r="C3" s="244">
        <v>0.0</v>
      </c>
      <c r="D3" s="244">
        <v>0.0</v>
      </c>
      <c r="E3" s="244">
        <v>0.0</v>
      </c>
      <c r="F3" s="244">
        <v>0.0</v>
      </c>
      <c r="G3" s="245"/>
      <c r="H3" s="246"/>
      <c r="I3" s="247" t="s">
        <v>177</v>
      </c>
      <c r="K3" s="248" t="s">
        <v>97</v>
      </c>
    </row>
    <row r="4">
      <c r="A4" s="244" t="s">
        <v>178</v>
      </c>
      <c r="B4" s="245">
        <v>0.0</v>
      </c>
      <c r="C4" s="245">
        <v>0.0</v>
      </c>
      <c r="D4" s="245">
        <v>0.0</v>
      </c>
      <c r="E4" s="245">
        <v>0.0</v>
      </c>
      <c r="F4" s="245">
        <v>0.0</v>
      </c>
      <c r="G4" s="247"/>
      <c r="H4" s="246"/>
      <c r="I4" s="247" t="s">
        <v>179</v>
      </c>
      <c r="K4" s="248" t="s">
        <v>97</v>
      </c>
    </row>
    <row r="5">
      <c r="A5" s="249" t="s">
        <v>180</v>
      </c>
      <c r="B5" s="249">
        <v>0.0</v>
      </c>
      <c r="C5" s="249">
        <v>0.0</v>
      </c>
      <c r="D5" s="249">
        <v>0.0</v>
      </c>
      <c r="E5" s="249">
        <v>0.0</v>
      </c>
      <c r="F5" s="249">
        <v>0.0</v>
      </c>
      <c r="G5" s="249"/>
      <c r="H5" s="250"/>
      <c r="I5" s="249" t="s">
        <v>181</v>
      </c>
      <c r="K5" s="248" t="s">
        <v>97</v>
      </c>
    </row>
    <row r="6">
      <c r="A6" s="249" t="s">
        <v>182</v>
      </c>
      <c r="B6" s="249">
        <v>0.0</v>
      </c>
      <c r="C6" s="249">
        <v>0.0</v>
      </c>
      <c r="D6" s="249">
        <v>0.0</v>
      </c>
      <c r="E6" s="249">
        <v>0.0</v>
      </c>
      <c r="F6" s="249">
        <v>0.0</v>
      </c>
      <c r="G6" s="249"/>
      <c r="H6" s="250"/>
      <c r="I6" s="249" t="s">
        <v>183</v>
      </c>
      <c r="K6" s="248" t="s">
        <v>97</v>
      </c>
    </row>
    <row r="7">
      <c r="A7" s="249" t="s">
        <v>184</v>
      </c>
      <c r="B7" s="249">
        <v>0.0</v>
      </c>
      <c r="C7" s="249">
        <v>0.0</v>
      </c>
      <c r="D7" s="249">
        <v>0.0</v>
      </c>
      <c r="E7" s="251">
        <v>0.0</v>
      </c>
      <c r="F7" s="251">
        <v>0.0</v>
      </c>
      <c r="G7" s="252"/>
      <c r="H7" s="253"/>
      <c r="I7" s="252" t="s">
        <v>185</v>
      </c>
      <c r="K7" s="248" t="s">
        <v>97</v>
      </c>
    </row>
    <row r="8">
      <c r="A8" s="249" t="s">
        <v>186</v>
      </c>
      <c r="B8" s="249">
        <v>0.0</v>
      </c>
      <c r="C8" s="249">
        <v>0.0</v>
      </c>
      <c r="D8" s="249">
        <v>0.0</v>
      </c>
      <c r="E8" s="251">
        <v>0.0</v>
      </c>
      <c r="F8" s="251">
        <v>0.0</v>
      </c>
      <c r="G8" s="252"/>
      <c r="H8" s="253"/>
      <c r="I8" s="252" t="s">
        <v>187</v>
      </c>
      <c r="K8" s="248" t="s">
        <v>97</v>
      </c>
    </row>
    <row r="9">
      <c r="A9" s="249" t="s">
        <v>188</v>
      </c>
      <c r="B9" s="249">
        <v>0.0</v>
      </c>
      <c r="C9" s="249">
        <v>0.0</v>
      </c>
      <c r="D9" s="249">
        <v>0.0</v>
      </c>
      <c r="E9" s="249">
        <v>0.0</v>
      </c>
      <c r="F9" s="249">
        <v>0.0</v>
      </c>
      <c r="G9" s="249"/>
      <c r="H9" s="250"/>
      <c r="I9" s="249" t="s">
        <v>189</v>
      </c>
      <c r="K9" s="248" t="s">
        <v>97</v>
      </c>
    </row>
    <row r="10">
      <c r="A10" s="249" t="s">
        <v>190</v>
      </c>
      <c r="B10" s="249">
        <v>0.0</v>
      </c>
      <c r="C10" s="249">
        <v>0.0</v>
      </c>
      <c r="D10" s="249">
        <v>0.0</v>
      </c>
      <c r="E10" s="249">
        <v>0.0</v>
      </c>
      <c r="F10" s="249">
        <v>0.0</v>
      </c>
      <c r="G10" s="249"/>
      <c r="H10" s="250"/>
      <c r="I10" s="249" t="s">
        <v>191</v>
      </c>
      <c r="K10" s="248" t="s">
        <v>97</v>
      </c>
    </row>
    <row r="11">
      <c r="A11" s="254" t="s">
        <v>192</v>
      </c>
      <c r="B11" s="255">
        <v>0.0</v>
      </c>
      <c r="C11" s="255">
        <v>0.0</v>
      </c>
      <c r="D11" s="255">
        <v>0.0</v>
      </c>
      <c r="E11" s="255">
        <v>0.0</v>
      </c>
      <c r="F11" s="255">
        <v>0.0</v>
      </c>
      <c r="G11" s="255"/>
      <c r="H11" s="256"/>
      <c r="I11" s="255" t="s">
        <v>193</v>
      </c>
      <c r="K11" s="248" t="s">
        <v>97</v>
      </c>
    </row>
    <row r="12">
      <c r="A12" s="255" t="s">
        <v>194</v>
      </c>
      <c r="B12" s="255">
        <v>0.0</v>
      </c>
      <c r="C12" s="255">
        <v>0.0</v>
      </c>
      <c r="D12" s="255">
        <v>0.0</v>
      </c>
      <c r="E12" s="255">
        <v>0.0</v>
      </c>
      <c r="F12" s="255">
        <v>0.0</v>
      </c>
      <c r="G12" s="255"/>
      <c r="H12" s="256"/>
      <c r="I12" s="255" t="s">
        <v>195</v>
      </c>
      <c r="K12" s="248" t="s">
        <v>97</v>
      </c>
    </row>
    <row r="13">
      <c r="A13" s="255" t="s">
        <v>196</v>
      </c>
      <c r="B13" s="255">
        <v>0.0</v>
      </c>
      <c r="C13" s="255">
        <v>0.0</v>
      </c>
      <c r="D13" s="255">
        <v>0.0</v>
      </c>
      <c r="E13" s="255">
        <v>0.0</v>
      </c>
      <c r="F13" s="255">
        <v>0.0</v>
      </c>
      <c r="G13" s="255"/>
      <c r="H13" s="256"/>
      <c r="I13" s="255" t="s">
        <v>197</v>
      </c>
      <c r="K13" s="248" t="s">
        <v>97</v>
      </c>
    </row>
    <row r="14">
      <c r="A14" s="255" t="s">
        <v>198</v>
      </c>
      <c r="B14" s="255">
        <v>0.0</v>
      </c>
      <c r="C14" s="255">
        <v>0.0</v>
      </c>
      <c r="D14" s="255">
        <v>0.0</v>
      </c>
      <c r="E14" s="255">
        <v>0.0</v>
      </c>
      <c r="F14" s="255">
        <v>0.0</v>
      </c>
      <c r="G14" s="255"/>
      <c r="H14" s="256"/>
      <c r="I14" s="255" t="s">
        <v>199</v>
      </c>
      <c r="K14" s="248" t="s">
        <v>97</v>
      </c>
    </row>
    <row r="15">
      <c r="A15" s="255" t="s">
        <v>200</v>
      </c>
      <c r="B15" s="255">
        <v>0.0</v>
      </c>
      <c r="C15" s="255">
        <v>0.0</v>
      </c>
      <c r="D15" s="255">
        <v>0.0</v>
      </c>
      <c r="E15" s="255">
        <v>0.0</v>
      </c>
      <c r="F15" s="255">
        <v>0.0</v>
      </c>
      <c r="G15" s="255"/>
      <c r="H15" s="256"/>
      <c r="I15" s="255" t="s">
        <v>201</v>
      </c>
      <c r="K15" s="248" t="s">
        <v>97</v>
      </c>
    </row>
    <row r="16">
      <c r="A16" s="255" t="s">
        <v>202</v>
      </c>
      <c r="B16" s="255">
        <v>0.0</v>
      </c>
      <c r="C16" s="255">
        <v>0.0</v>
      </c>
      <c r="D16" s="255">
        <v>0.0</v>
      </c>
      <c r="E16" s="255">
        <v>0.0</v>
      </c>
      <c r="F16" s="255">
        <v>0.0</v>
      </c>
      <c r="G16" s="255"/>
      <c r="H16" s="256"/>
      <c r="I16" s="255" t="s">
        <v>203</v>
      </c>
      <c r="K16" s="248" t="s">
        <v>97</v>
      </c>
    </row>
    <row r="17">
      <c r="A17" s="255" t="s">
        <v>204</v>
      </c>
      <c r="B17" s="255">
        <v>0.0</v>
      </c>
      <c r="C17" s="255">
        <v>0.0</v>
      </c>
      <c r="D17" s="255">
        <v>0.0</v>
      </c>
      <c r="E17" s="255">
        <v>0.0</v>
      </c>
      <c r="F17" s="255">
        <v>0.0</v>
      </c>
      <c r="G17" s="255"/>
      <c r="H17" s="256"/>
      <c r="I17" s="255" t="s">
        <v>20</v>
      </c>
      <c r="K17" s="248" t="s">
        <v>97</v>
      </c>
    </row>
    <row r="18">
      <c r="A18" s="255" t="s">
        <v>205</v>
      </c>
      <c r="B18" s="255">
        <v>0.0</v>
      </c>
      <c r="C18" s="255">
        <v>0.0</v>
      </c>
      <c r="D18" s="255">
        <v>0.0</v>
      </c>
      <c r="E18" s="255">
        <v>0.0</v>
      </c>
      <c r="F18" s="255">
        <v>0.0</v>
      </c>
      <c r="G18" s="255"/>
      <c r="H18" s="256"/>
      <c r="I18" s="255" t="s">
        <v>206</v>
      </c>
      <c r="K18" s="248" t="s">
        <v>97</v>
      </c>
    </row>
    <row r="19">
      <c r="A19" s="255" t="s">
        <v>207</v>
      </c>
      <c r="B19" s="255">
        <v>0.0</v>
      </c>
      <c r="C19" s="255">
        <v>0.0</v>
      </c>
      <c r="D19" s="255">
        <v>0.0</v>
      </c>
      <c r="E19" s="255">
        <v>0.0</v>
      </c>
      <c r="F19" s="255">
        <v>0.0</v>
      </c>
      <c r="G19" s="255"/>
      <c r="H19" s="256"/>
      <c r="I19" s="255" t="s">
        <v>208</v>
      </c>
      <c r="K19" s="248" t="s">
        <v>97</v>
      </c>
    </row>
    <row r="20">
      <c r="A20" s="257" t="s">
        <v>209</v>
      </c>
      <c r="B20" s="258">
        <v>48.0</v>
      </c>
      <c r="C20" s="259" t="s">
        <v>210</v>
      </c>
      <c r="D20" s="259" t="s">
        <v>210</v>
      </c>
      <c r="E20" s="259" t="s">
        <v>210</v>
      </c>
      <c r="F20" s="259" t="s">
        <v>210</v>
      </c>
      <c r="G20" s="260"/>
      <c r="H20" s="260"/>
      <c r="I20" s="257" t="s">
        <v>166</v>
      </c>
      <c r="K20" s="248" t="s">
        <v>97</v>
      </c>
    </row>
    <row r="21">
      <c r="A21" s="257" t="s">
        <v>211</v>
      </c>
      <c r="B21" s="258">
        <v>56.0</v>
      </c>
      <c r="C21" s="259" t="s">
        <v>210</v>
      </c>
      <c r="D21" s="259" t="s">
        <v>210</v>
      </c>
      <c r="E21" s="259" t="s">
        <v>210</v>
      </c>
      <c r="F21" s="259" t="s">
        <v>210</v>
      </c>
      <c r="G21" s="260"/>
      <c r="H21" s="260"/>
      <c r="I21" s="257" t="s">
        <v>212</v>
      </c>
      <c r="K21" s="248" t="s">
        <v>97</v>
      </c>
    </row>
    <row r="22">
      <c r="A22" s="257" t="s">
        <v>213</v>
      </c>
      <c r="B22" s="258">
        <v>36.0</v>
      </c>
      <c r="C22" s="259" t="s">
        <v>210</v>
      </c>
      <c r="D22" s="259" t="s">
        <v>210</v>
      </c>
      <c r="E22" s="259" t="s">
        <v>210</v>
      </c>
      <c r="F22" s="259" t="s">
        <v>210</v>
      </c>
      <c r="G22" s="260"/>
      <c r="H22" s="260"/>
      <c r="I22" s="257" t="s">
        <v>214</v>
      </c>
      <c r="K22" s="248" t="s">
        <v>97</v>
      </c>
    </row>
    <row r="23">
      <c r="A23" s="16" t="str">
        <f>IFERROR(__xludf.DUMMYFUNCTION("FILTER('Inputs Maite DE'!T6:AB69, ('Inputs Maite DE'!T6:T69&lt;&gt;"""") + ('Inputs Maite DE'!AB6:AB69&lt;&gt;""""))"),"IcePack1")</f>
        <v>IcePack1</v>
      </c>
      <c r="B23" s="261">
        <f>IFERROR(__xludf.DUMMYFUNCTION("""COMPUTED_VALUE"""),2194.0)</f>
        <v>2194</v>
      </c>
      <c r="C23" s="16">
        <f>IFERROR(__xludf.DUMMYFUNCTION("""COMPUTED_VALUE"""),0.0)</f>
        <v>0</v>
      </c>
      <c r="D23" s="16">
        <f>IFERROR(__xludf.DUMMYFUNCTION("""COMPUTED_VALUE"""),0.0)</f>
        <v>0</v>
      </c>
      <c r="E23" s="16">
        <f>IFERROR(__xludf.DUMMYFUNCTION("""COMPUTED_VALUE"""),0.0)</f>
        <v>0</v>
      </c>
      <c r="F23" s="16">
        <f>IFERROR(__xludf.DUMMYFUNCTION("""COMPUTED_VALUE"""),0.0)</f>
        <v>0</v>
      </c>
      <c r="G23" s="16"/>
      <c r="H23" s="17"/>
      <c r="I23" s="16" t="str">
        <f>IFERROR(__xludf.DUMMYFUNCTION("""COMPUTED_VALUE"""),"F144")</f>
        <v>F144</v>
      </c>
      <c r="K23" s="248" t="s">
        <v>97</v>
      </c>
    </row>
    <row r="24">
      <c r="A24" s="16" t="str">
        <f>IFERROR(__xludf.DUMMYFUNCTION("""COMPUTED_VALUE"""),"IcePack2")</f>
        <v>IcePack2</v>
      </c>
      <c r="B24" s="261">
        <f>IFERROR(__xludf.DUMMYFUNCTION("""COMPUTED_VALUE"""),1887.0)</f>
        <v>1887</v>
      </c>
      <c r="C24" s="16">
        <f>IFERROR(__xludf.DUMMYFUNCTION("""COMPUTED_VALUE"""),0.0)</f>
        <v>0</v>
      </c>
      <c r="D24" s="16">
        <f>IFERROR(__xludf.DUMMYFUNCTION("""COMPUTED_VALUE"""),0.0)</f>
        <v>0</v>
      </c>
      <c r="E24" s="16">
        <f>IFERROR(__xludf.DUMMYFUNCTION("""COMPUTED_VALUE"""),0.0)</f>
        <v>0</v>
      </c>
      <c r="F24" s="16">
        <f>IFERROR(__xludf.DUMMYFUNCTION("""COMPUTED_VALUE"""),0.0)</f>
        <v>0</v>
      </c>
      <c r="G24" s="17"/>
      <c r="H24" s="17"/>
      <c r="I24" s="16" t="str">
        <f>IFERROR(__xludf.DUMMYFUNCTION("""COMPUTED_VALUE"""),"F105")</f>
        <v>F105</v>
      </c>
      <c r="K24" s="248" t="s">
        <v>97</v>
      </c>
    </row>
    <row r="25">
      <c r="A25" s="16" t="str">
        <f>IFERROR(__xludf.DUMMYFUNCTION("""COMPUTED_VALUE"""),"IcePack3")</f>
        <v>IcePack3</v>
      </c>
      <c r="B25" s="261">
        <f>IFERROR(__xludf.DUMMYFUNCTION("""COMPUTED_VALUE"""),2194.0)</f>
        <v>2194</v>
      </c>
      <c r="C25" s="16">
        <f>IFERROR(__xludf.DUMMYFUNCTION("""COMPUTED_VALUE"""),0.0)</f>
        <v>0</v>
      </c>
      <c r="D25" s="16">
        <f>IFERROR(__xludf.DUMMYFUNCTION("""COMPUTED_VALUE"""),0.0)</f>
        <v>0</v>
      </c>
      <c r="E25" s="16">
        <f>IFERROR(__xludf.DUMMYFUNCTION("""COMPUTED_VALUE"""),0.0)</f>
        <v>0</v>
      </c>
      <c r="F25" s="16">
        <f>IFERROR(__xludf.DUMMYFUNCTION("""COMPUTED_VALUE"""),0.0)</f>
        <v>0</v>
      </c>
      <c r="G25" s="17"/>
      <c r="H25" s="17"/>
      <c r="I25" s="16" t="str">
        <f>IFERROR(__xludf.DUMMYFUNCTION("""COMPUTED_VALUE"""),"F127")</f>
        <v>F127</v>
      </c>
      <c r="K25" s="248" t="s">
        <v>97</v>
      </c>
    </row>
    <row r="26">
      <c r="A26" s="186" t="str">
        <f>IFERROR(__xludf.DUMMYFUNCTION("""COMPUTED_VALUE"""),"565072 - Gegrilltes Hähnchen mit Ratatouille")</f>
        <v>565072 - Gegrilltes Hähnchen mit Ratatouille</v>
      </c>
      <c r="B26" s="262">
        <f>IFERROR(__xludf.DUMMYFUNCTION("""COMPUTED_VALUE"""),2982.0)</f>
        <v>2982</v>
      </c>
      <c r="C26" s="263" t="str">
        <f>IFERROR(__xludf.DUMMYFUNCTION("""COMPUTED_VALUE"""),"0")</f>
        <v>0</v>
      </c>
      <c r="D26" s="263" t="str">
        <f>IFERROR(__xludf.DUMMYFUNCTION("""COMPUTED_VALUE"""),"0")</f>
        <v>0</v>
      </c>
      <c r="E26" s="263" t="str">
        <f>IFERROR(__xludf.DUMMYFUNCTION("""COMPUTED_VALUE"""),"0")</f>
        <v>0</v>
      </c>
      <c r="F26" s="263" t="str">
        <f>IFERROR(__xludf.DUMMYFUNCTION("""COMPUTED_VALUE"""),"0")</f>
        <v>0</v>
      </c>
      <c r="G26" s="58"/>
      <c r="H26" s="186"/>
      <c r="I26" s="186"/>
      <c r="K26" s="248" t="s">
        <v>97</v>
      </c>
      <c r="L26" s="36"/>
      <c r="M26" s="264"/>
      <c r="N26" s="264"/>
    </row>
    <row r="27">
      <c r="A27" s="4" t="str">
        <f>IFERROR(__xludf.DUMMYFUNCTION("""COMPUTED_VALUE"""),"565209 - Grünes Chili-Hähnchen mit Quinoa-Salsa")</f>
        <v>565209 - Grünes Chili-Hähnchen mit Quinoa-Salsa</v>
      </c>
      <c r="B27" s="262">
        <f>IFERROR(__xludf.DUMMYFUNCTION("""COMPUTED_VALUE"""),1852.0)</f>
        <v>1852</v>
      </c>
      <c r="C27" s="263" t="str">
        <f>IFERROR(__xludf.DUMMYFUNCTION("""COMPUTED_VALUE"""),"0")</f>
        <v>0</v>
      </c>
      <c r="D27" s="263" t="str">
        <f>IFERROR(__xludf.DUMMYFUNCTION("""COMPUTED_VALUE"""),"0")</f>
        <v>0</v>
      </c>
      <c r="E27" s="263" t="str">
        <f>IFERROR(__xludf.DUMMYFUNCTION("""COMPUTED_VALUE"""),"0")</f>
        <v>0</v>
      </c>
      <c r="F27" s="263" t="str">
        <f>IFERROR(__xludf.DUMMYFUNCTION("""COMPUTED_VALUE"""),"0")</f>
        <v>0</v>
      </c>
      <c r="G27" s="58"/>
      <c r="H27" s="186"/>
      <c r="I27" s="186"/>
      <c r="K27" s="248" t="s">
        <v>97</v>
      </c>
      <c r="M27" s="264"/>
      <c r="N27" s="264"/>
    </row>
    <row r="28">
      <c r="A28" s="4" t="str">
        <f>IFERROR(__xludf.DUMMYFUNCTION("""COMPUTED_VALUE"""),"565309 - Geschmortes Rind in Kräuterjus")</f>
        <v>565309 - Geschmortes Rind in Kräuterjus</v>
      </c>
      <c r="B28" s="262">
        <f>IFERROR(__xludf.DUMMYFUNCTION("""COMPUTED_VALUE"""),2002.0)</f>
        <v>2002</v>
      </c>
      <c r="C28" s="263" t="str">
        <f>IFERROR(__xludf.DUMMYFUNCTION("""COMPUTED_VALUE"""),"0")</f>
        <v>0</v>
      </c>
      <c r="D28" s="263" t="str">
        <f>IFERROR(__xludf.DUMMYFUNCTION("""COMPUTED_VALUE"""),"0")</f>
        <v>0</v>
      </c>
      <c r="E28" s="263" t="str">
        <f>IFERROR(__xludf.DUMMYFUNCTION("""COMPUTED_VALUE"""),"0")</f>
        <v>0</v>
      </c>
      <c r="F28" s="263" t="str">
        <f>IFERROR(__xludf.DUMMYFUNCTION("""COMPUTED_VALUE"""),"0")</f>
        <v>0</v>
      </c>
      <c r="G28" s="58"/>
      <c r="H28" s="186"/>
      <c r="I28" s="186"/>
      <c r="K28" s="248" t="s">
        <v>97</v>
      </c>
      <c r="M28" s="264"/>
      <c r="N28" s="264"/>
    </row>
    <row r="29">
      <c r="A29" s="4" t="str">
        <f>IFERROR(__xludf.DUMMYFUNCTION("""COMPUTED_VALUE"""),"565064 - Lachs in Senf-Dill-Sauce")</f>
        <v>565064 - Lachs in Senf-Dill-Sauce</v>
      </c>
      <c r="B29" s="262">
        <f>IFERROR(__xludf.DUMMYFUNCTION("""COMPUTED_VALUE"""),10.0)</f>
        <v>10</v>
      </c>
      <c r="C29" s="263" t="str">
        <f>IFERROR(__xludf.DUMMYFUNCTION("""COMPUTED_VALUE"""),"0")</f>
        <v>0</v>
      </c>
      <c r="D29" s="263" t="str">
        <f>IFERROR(__xludf.DUMMYFUNCTION("""COMPUTED_VALUE"""),"0")</f>
        <v>0</v>
      </c>
      <c r="E29" s="263" t="str">
        <f>IFERROR(__xludf.DUMMYFUNCTION("""COMPUTED_VALUE"""),"0")</f>
        <v>0</v>
      </c>
      <c r="F29" s="263" t="str">
        <f>IFERROR(__xludf.DUMMYFUNCTION("""COMPUTED_VALUE"""),"0")</f>
        <v>0</v>
      </c>
      <c r="G29" s="58"/>
      <c r="H29" s="186"/>
      <c r="I29" s="186"/>
      <c r="K29" s="248" t="s">
        <v>97</v>
      </c>
      <c r="M29" s="264"/>
      <c r="N29" s="264"/>
    </row>
    <row r="30">
      <c r="A30" s="4" t="str">
        <f>IFERROR(__xludf.DUMMYFUNCTION("""COMPUTED_VALUE"""),"565178 - Westafrikanisches Hähnchen-Erdnuss-Curry")</f>
        <v>565178 - Westafrikanisches Hähnchen-Erdnuss-Curry</v>
      </c>
      <c r="B30" s="262">
        <f>IFERROR(__xludf.DUMMYFUNCTION("""COMPUTED_VALUE"""),2006.0)</f>
        <v>2006</v>
      </c>
      <c r="C30" s="263" t="str">
        <f>IFERROR(__xludf.DUMMYFUNCTION("""COMPUTED_VALUE"""),"0")</f>
        <v>0</v>
      </c>
      <c r="D30" s="263" t="str">
        <f>IFERROR(__xludf.DUMMYFUNCTION("""COMPUTED_VALUE"""),"0")</f>
        <v>0</v>
      </c>
      <c r="E30" s="263" t="str">
        <f>IFERROR(__xludf.DUMMYFUNCTION("""COMPUTED_VALUE"""),"0")</f>
        <v>0</v>
      </c>
      <c r="F30" s="263" t="str">
        <f>IFERROR(__xludf.DUMMYFUNCTION("""COMPUTED_VALUE"""),"0")</f>
        <v>0</v>
      </c>
      <c r="G30" s="186"/>
      <c r="H30" s="186"/>
      <c r="I30" s="186"/>
      <c r="J30" s="4"/>
      <c r="K30" s="248" t="s">
        <v>97</v>
      </c>
      <c r="M30" s="264"/>
      <c r="N30" s="264"/>
    </row>
    <row r="31">
      <c r="A31" s="4" t="str">
        <f>IFERROR(__xludf.DUMMYFUNCTION("""COMPUTED_VALUE"""),"565189 - Lachs Piccata")</f>
        <v>565189 - Lachs Piccata</v>
      </c>
      <c r="B31" s="262">
        <f>IFERROR(__xludf.DUMMYFUNCTION("""COMPUTED_VALUE"""),10.0)</f>
        <v>10</v>
      </c>
      <c r="C31" s="263" t="str">
        <f>IFERROR(__xludf.DUMMYFUNCTION("""COMPUTED_VALUE"""),"0")</f>
        <v>0</v>
      </c>
      <c r="D31" s="263" t="str">
        <f>IFERROR(__xludf.DUMMYFUNCTION("""COMPUTED_VALUE"""),"0")</f>
        <v>0</v>
      </c>
      <c r="E31" s="263" t="str">
        <f>IFERROR(__xludf.DUMMYFUNCTION("""COMPUTED_VALUE"""),"0")</f>
        <v>0</v>
      </c>
      <c r="F31" s="263" t="str">
        <f>IFERROR(__xludf.DUMMYFUNCTION("""COMPUTED_VALUE"""),"0")</f>
        <v>0</v>
      </c>
      <c r="G31" s="186"/>
      <c r="H31" s="186"/>
      <c r="I31" s="186"/>
      <c r="K31" s="248" t="s">
        <v>97</v>
      </c>
      <c r="M31" s="264"/>
      <c r="N31" s="264"/>
    </row>
    <row r="32">
      <c r="A32" s="4" t="str">
        <f>IFERROR(__xludf.DUMMYFUNCTION("""COMPUTED_VALUE"""),"565164 - Hähnchen mit karamellisierten Zwiebeln &amp; Emmentaler-Fondue")</f>
        <v>565164 - Hähnchen mit karamellisierten Zwiebeln &amp; Emmentaler-Fondue</v>
      </c>
      <c r="B32" s="262">
        <f>IFERROR(__xludf.DUMMYFUNCTION("""COMPUTED_VALUE"""),61.0)</f>
        <v>61</v>
      </c>
      <c r="C32" s="263" t="str">
        <f>IFERROR(__xludf.DUMMYFUNCTION("""COMPUTED_VALUE"""),"0")</f>
        <v>0</v>
      </c>
      <c r="D32" s="263" t="str">
        <f>IFERROR(__xludf.DUMMYFUNCTION("""COMPUTED_VALUE"""),"0")</f>
        <v>0</v>
      </c>
      <c r="E32" s="263" t="str">
        <f>IFERROR(__xludf.DUMMYFUNCTION("""COMPUTED_VALUE"""),"0")</f>
        <v>0</v>
      </c>
      <c r="F32" s="263" t="str">
        <f>IFERROR(__xludf.DUMMYFUNCTION("""COMPUTED_VALUE"""),"0")</f>
        <v>0</v>
      </c>
      <c r="G32" s="186"/>
      <c r="H32" s="186"/>
      <c r="I32" s="186"/>
      <c r="K32" s="248" t="s">
        <v>97</v>
      </c>
      <c r="M32" s="264"/>
      <c r="N32" s="264"/>
    </row>
    <row r="33">
      <c r="A33" s="4" t="str">
        <f>IFERROR(__xludf.DUMMYFUNCTION("""COMPUTED_VALUE"""),"565043 - Würziges Hähnchen mit Jalapeño, Limette und Cheddar")</f>
        <v>565043 - Würziges Hähnchen mit Jalapeño, Limette und Cheddar</v>
      </c>
      <c r="B33" s="262">
        <f>IFERROR(__xludf.DUMMYFUNCTION("""COMPUTED_VALUE"""),1133.0)</f>
        <v>1133</v>
      </c>
      <c r="C33" s="263" t="str">
        <f>IFERROR(__xludf.DUMMYFUNCTION("""COMPUTED_VALUE"""),"0")</f>
        <v>0</v>
      </c>
      <c r="D33" s="263" t="str">
        <f>IFERROR(__xludf.DUMMYFUNCTION("""COMPUTED_VALUE"""),"0")</f>
        <v>0</v>
      </c>
      <c r="E33" s="263" t="str">
        <f>IFERROR(__xludf.DUMMYFUNCTION("""COMPUTED_VALUE"""),"0")</f>
        <v>0</v>
      </c>
      <c r="F33" s="263" t="str">
        <f>IFERROR(__xludf.DUMMYFUNCTION("""COMPUTED_VALUE"""),"0")</f>
        <v>0</v>
      </c>
      <c r="G33" s="186"/>
      <c r="H33" s="186"/>
      <c r="I33" s="186"/>
      <c r="K33" s="248" t="s">
        <v>97</v>
      </c>
      <c r="M33" s="264"/>
      <c r="N33" s="264"/>
    </row>
    <row r="34">
      <c r="A34" s="4" t="str">
        <f>IFERROR(__xludf.DUMMYFUNCTION("""COMPUTED_VALUE"""),"565244 - Cremiges Tomaten-Risotto")</f>
        <v>565244 - Cremiges Tomaten-Risotto</v>
      </c>
      <c r="B34" s="262">
        <f>IFERROR(__xludf.DUMMYFUNCTION("""COMPUTED_VALUE"""),368.0)</f>
        <v>368</v>
      </c>
      <c r="C34" s="263" t="str">
        <f>IFERROR(__xludf.DUMMYFUNCTION("""COMPUTED_VALUE"""),"0")</f>
        <v>0</v>
      </c>
      <c r="D34" s="263" t="str">
        <f>IFERROR(__xludf.DUMMYFUNCTION("""COMPUTED_VALUE"""),"0")</f>
        <v>0</v>
      </c>
      <c r="E34" s="263" t="str">
        <f>IFERROR(__xludf.DUMMYFUNCTION("""COMPUTED_VALUE"""),"0")</f>
        <v>0</v>
      </c>
      <c r="F34" s="263" t="str">
        <f>IFERROR(__xludf.DUMMYFUNCTION("""COMPUTED_VALUE"""),"0")</f>
        <v>0</v>
      </c>
      <c r="G34" s="4"/>
      <c r="H34" s="8"/>
      <c r="I34" s="39"/>
      <c r="K34" s="248" t="s">
        <v>97</v>
      </c>
      <c r="M34" s="264"/>
      <c r="N34" s="264"/>
    </row>
    <row r="35">
      <c r="A35" s="4" t="str">
        <f>IFERROR(__xludf.DUMMYFUNCTION("""COMPUTED_VALUE"""),"565141 - Zucchini-Paprika-Ratatouille")</f>
        <v>565141 - Zucchini-Paprika-Ratatouille</v>
      </c>
      <c r="B35" s="262">
        <f>IFERROR(__xludf.DUMMYFUNCTION("""COMPUTED_VALUE"""),298.0)</f>
        <v>298</v>
      </c>
      <c r="C35" s="263" t="str">
        <f>IFERROR(__xludf.DUMMYFUNCTION("""COMPUTED_VALUE"""),"0")</f>
        <v>0</v>
      </c>
      <c r="D35" s="263" t="str">
        <f>IFERROR(__xludf.DUMMYFUNCTION("""COMPUTED_VALUE"""),"0")</f>
        <v>0</v>
      </c>
      <c r="E35" s="263" t="str">
        <f>IFERROR(__xludf.DUMMYFUNCTION("""COMPUTED_VALUE"""),"0")</f>
        <v>0</v>
      </c>
      <c r="F35" s="263" t="str">
        <f>IFERROR(__xludf.DUMMYFUNCTION("""COMPUTED_VALUE"""),"0")</f>
        <v>0</v>
      </c>
      <c r="G35" s="186"/>
      <c r="H35" s="186"/>
      <c r="I35" s="186"/>
      <c r="K35" s="248" t="s">
        <v>97</v>
      </c>
      <c r="M35" s="264"/>
      <c r="N35" s="264"/>
    </row>
    <row r="36">
      <c r="A36" s="4" t="str">
        <f>IFERROR(__xludf.DUMMYFUNCTION("""COMPUTED_VALUE"""),"565143 - Schweinefilet in cremiger Knoblauch-Senf-Sauce")</f>
        <v>565143 - Schweinefilet in cremiger Knoblauch-Senf-Sauce</v>
      </c>
      <c r="B36" s="262">
        <f>IFERROR(__xludf.DUMMYFUNCTION("""COMPUTED_VALUE"""),517.0)</f>
        <v>517</v>
      </c>
      <c r="C36" s="263" t="str">
        <f>IFERROR(__xludf.DUMMYFUNCTION("""COMPUTED_VALUE"""),"0")</f>
        <v>0</v>
      </c>
      <c r="D36" s="263" t="str">
        <f>IFERROR(__xludf.DUMMYFUNCTION("""COMPUTED_VALUE"""),"0")</f>
        <v>0</v>
      </c>
      <c r="E36" s="263" t="str">
        <f>IFERROR(__xludf.DUMMYFUNCTION("""COMPUTED_VALUE"""),"0")</f>
        <v>0</v>
      </c>
      <c r="F36" s="263" t="str">
        <f>IFERROR(__xludf.DUMMYFUNCTION("""COMPUTED_VALUE"""),"0")</f>
        <v>0</v>
      </c>
      <c r="G36" s="186"/>
      <c r="H36" s="186"/>
      <c r="I36" s="186"/>
      <c r="K36" s="248" t="s">
        <v>97</v>
      </c>
      <c r="M36" s="264"/>
      <c r="N36" s="264"/>
    </row>
    <row r="37">
      <c r="A37" s="4" t="str">
        <f>IFERROR(__xludf.DUMMYFUNCTION("""COMPUTED_VALUE"""),"565196 - Ají Verde Lachs")</f>
        <v>565196 - Ají Verde Lachs</v>
      </c>
      <c r="B37" s="262">
        <f>IFERROR(__xludf.DUMMYFUNCTION("""COMPUTED_VALUE"""),1180.0)</f>
        <v>1180</v>
      </c>
      <c r="C37" s="263" t="str">
        <f>IFERROR(__xludf.DUMMYFUNCTION("""COMPUTED_VALUE"""),"0")</f>
        <v>0</v>
      </c>
      <c r="D37" s="263" t="str">
        <f>IFERROR(__xludf.DUMMYFUNCTION("""COMPUTED_VALUE"""),"0")</f>
        <v>0</v>
      </c>
      <c r="E37" s="263" t="str">
        <f>IFERROR(__xludf.DUMMYFUNCTION("""COMPUTED_VALUE"""),"0")</f>
        <v>0</v>
      </c>
      <c r="F37" s="263" t="str">
        <f>IFERROR(__xludf.DUMMYFUNCTION("""COMPUTED_VALUE"""),"0")</f>
        <v>0</v>
      </c>
      <c r="G37" s="186"/>
      <c r="H37" s="186"/>
      <c r="I37" s="186"/>
      <c r="K37" s="248" t="s">
        <v>97</v>
      </c>
      <c r="M37" s="264"/>
      <c r="N37" s="264"/>
    </row>
    <row r="38" ht="15.75" customHeight="1">
      <c r="A38" s="4" t="str">
        <f>IFERROR(__xludf.DUMMYFUNCTION("""COMPUTED_VALUE"""),"565130 - Pulled Pork mit roter Chilisauce")</f>
        <v>565130 - Pulled Pork mit roter Chilisauce</v>
      </c>
      <c r="B38" s="262">
        <f>IFERROR(__xludf.DUMMYFUNCTION("""COMPUTED_VALUE"""),1195.0)</f>
        <v>1195</v>
      </c>
      <c r="C38" s="263" t="str">
        <f>IFERROR(__xludf.DUMMYFUNCTION("""COMPUTED_VALUE"""),"0")</f>
        <v>0</v>
      </c>
      <c r="D38" s="263" t="str">
        <f>IFERROR(__xludf.DUMMYFUNCTION("""COMPUTED_VALUE"""),"0")</f>
        <v>0</v>
      </c>
      <c r="E38" s="263" t="str">
        <f>IFERROR(__xludf.DUMMYFUNCTION("""COMPUTED_VALUE"""),"0")</f>
        <v>0</v>
      </c>
      <c r="F38" s="263" t="str">
        <f>IFERROR(__xludf.DUMMYFUNCTION("""COMPUTED_VALUE"""),"0")</f>
        <v>0</v>
      </c>
      <c r="G38" s="186"/>
      <c r="H38" s="186"/>
      <c r="I38" s="186"/>
      <c r="K38" s="248" t="s">
        <v>97</v>
      </c>
      <c r="M38" s="264"/>
      <c r="N38" s="264"/>
    </row>
    <row r="39">
      <c r="A39" s="4" t="str">
        <f>IFERROR(__xludf.DUMMYFUNCTION("""COMPUTED_VALUE"""),"565211 - Gegrilltes Hähnchen in Ingwer-Knoblauch-Marinade")</f>
        <v>565211 - Gegrilltes Hähnchen in Ingwer-Knoblauch-Marinade</v>
      </c>
      <c r="B39" s="262">
        <f>IFERROR(__xludf.DUMMYFUNCTION("""COMPUTED_VALUE"""),627.0)</f>
        <v>627</v>
      </c>
      <c r="C39" s="263" t="str">
        <f>IFERROR(__xludf.DUMMYFUNCTION("""COMPUTED_VALUE"""),"0")</f>
        <v>0</v>
      </c>
      <c r="D39" s="263" t="str">
        <f>IFERROR(__xludf.DUMMYFUNCTION("""COMPUTED_VALUE"""),"0")</f>
        <v>0</v>
      </c>
      <c r="E39" s="263" t="str">
        <f>IFERROR(__xludf.DUMMYFUNCTION("""COMPUTED_VALUE"""),"0")</f>
        <v>0</v>
      </c>
      <c r="F39" s="263" t="str">
        <f>IFERROR(__xludf.DUMMYFUNCTION("""COMPUTED_VALUE"""),"0")</f>
        <v>0</v>
      </c>
      <c r="G39" s="186"/>
      <c r="H39" s="186"/>
      <c r="I39" s="186"/>
      <c r="K39" s="248" t="s">
        <v>97</v>
      </c>
      <c r="M39" s="264"/>
      <c r="N39" s="264"/>
    </row>
    <row r="40">
      <c r="A40" s="4" t="str">
        <f>IFERROR(__xludf.DUMMYFUNCTION("""COMPUTED_VALUE"""),"565091 - Scharfes Rinderhack mit Jalapeños")</f>
        <v>565091 - Scharfes Rinderhack mit Jalapeños</v>
      </c>
      <c r="B40" s="262">
        <f>IFERROR(__xludf.DUMMYFUNCTION("""COMPUTED_VALUE"""),561.0)</f>
        <v>561</v>
      </c>
      <c r="C40" s="263" t="str">
        <f>IFERROR(__xludf.DUMMYFUNCTION("""COMPUTED_VALUE"""),"0")</f>
        <v>0</v>
      </c>
      <c r="D40" s="263" t="str">
        <f>IFERROR(__xludf.DUMMYFUNCTION("""COMPUTED_VALUE"""),"0")</f>
        <v>0</v>
      </c>
      <c r="E40" s="263" t="str">
        <f>IFERROR(__xludf.DUMMYFUNCTION("""COMPUTED_VALUE"""),"0")</f>
        <v>0</v>
      </c>
      <c r="F40" s="263" t="str">
        <f>IFERROR(__xludf.DUMMYFUNCTION("""COMPUTED_VALUE"""),"0")</f>
        <v>0</v>
      </c>
      <c r="G40" s="186"/>
      <c r="H40" s="186"/>
      <c r="I40" s="186"/>
      <c r="K40" s="248" t="s">
        <v>97</v>
      </c>
      <c r="M40" s="264"/>
      <c r="N40" s="264"/>
    </row>
    <row r="41">
      <c r="A41" s="4" t="str">
        <f>IFERROR(__xludf.DUMMYFUNCTION("""COMPUTED_VALUE"""),"565221 - Lachs-Bowl mit Zitrus-Miso")</f>
        <v>565221 - Lachs-Bowl mit Zitrus-Miso</v>
      </c>
      <c r="B41" s="262">
        <f>IFERROR(__xludf.DUMMYFUNCTION("""COMPUTED_VALUE"""),695.0)</f>
        <v>695</v>
      </c>
      <c r="C41" s="263" t="str">
        <f>IFERROR(__xludf.DUMMYFUNCTION("""COMPUTED_VALUE"""),"0")</f>
        <v>0</v>
      </c>
      <c r="D41" s="263" t="str">
        <f>IFERROR(__xludf.DUMMYFUNCTION("""COMPUTED_VALUE"""),"0")</f>
        <v>0</v>
      </c>
      <c r="E41" s="263" t="str">
        <f>IFERROR(__xludf.DUMMYFUNCTION("""COMPUTED_VALUE"""),"0")</f>
        <v>0</v>
      </c>
      <c r="F41" s="263" t="str">
        <f>IFERROR(__xludf.DUMMYFUNCTION("""COMPUTED_VALUE"""),"0")</f>
        <v>0</v>
      </c>
      <c r="G41" s="58"/>
      <c r="H41" s="186"/>
      <c r="I41" s="186"/>
      <c r="K41" s="248" t="s">
        <v>97</v>
      </c>
      <c r="M41" s="264"/>
      <c r="N41" s="264"/>
    </row>
    <row r="42">
      <c r="A42" s="4" t="str">
        <f>IFERROR(__xludf.DUMMYFUNCTION("""COMPUTED_VALUE"""),"565252 - Rinderragù mit sonnengetrockneten Tomaten und Pasta")</f>
        <v>565252 - Rinderragù mit sonnengetrockneten Tomaten und Pasta</v>
      </c>
      <c r="B42" s="262">
        <f>IFERROR(__xludf.DUMMYFUNCTION("""COMPUTED_VALUE"""),1552.0)</f>
        <v>1552</v>
      </c>
      <c r="C42" s="263" t="str">
        <f>IFERROR(__xludf.DUMMYFUNCTION("""COMPUTED_VALUE"""),"0")</f>
        <v>0</v>
      </c>
      <c r="D42" s="263" t="str">
        <f>IFERROR(__xludf.DUMMYFUNCTION("""COMPUTED_VALUE"""),"0")</f>
        <v>0</v>
      </c>
      <c r="E42" s="263" t="str">
        <f>IFERROR(__xludf.DUMMYFUNCTION("""COMPUTED_VALUE"""),"0")</f>
        <v>0</v>
      </c>
      <c r="F42" s="263" t="str">
        <f>IFERROR(__xludf.DUMMYFUNCTION("""COMPUTED_VALUE"""),"0")</f>
        <v>0</v>
      </c>
      <c r="G42" s="58"/>
      <c r="H42" s="186"/>
      <c r="I42" s="186"/>
      <c r="K42" s="248" t="s">
        <v>97</v>
      </c>
      <c r="M42" s="264"/>
      <c r="N42" s="264"/>
    </row>
    <row r="43">
      <c r="A43" s="4" t="str">
        <f>IFERROR(__xludf.DUMMYFUNCTION("""COMPUTED_VALUE"""),"565095 - Schweinefilet in würziger Ancho-Chili-Sauce")</f>
        <v>565095 - Schweinefilet in würziger Ancho-Chili-Sauce</v>
      </c>
      <c r="B43" s="262">
        <f>IFERROR(__xludf.DUMMYFUNCTION("""COMPUTED_VALUE"""),457.0)</f>
        <v>457</v>
      </c>
      <c r="C43" s="263" t="str">
        <f>IFERROR(__xludf.DUMMYFUNCTION("""COMPUTED_VALUE"""),"0")</f>
        <v>0</v>
      </c>
      <c r="D43" s="263" t="str">
        <f>IFERROR(__xludf.DUMMYFUNCTION("""COMPUTED_VALUE"""),"0")</f>
        <v>0</v>
      </c>
      <c r="E43" s="263" t="str">
        <f>IFERROR(__xludf.DUMMYFUNCTION("""COMPUTED_VALUE"""),"0")</f>
        <v>0</v>
      </c>
      <c r="F43" s="263" t="str">
        <f>IFERROR(__xludf.DUMMYFUNCTION("""COMPUTED_VALUE"""),"0")</f>
        <v>0</v>
      </c>
      <c r="G43" s="186"/>
      <c r="H43" s="186"/>
      <c r="I43" s="186"/>
      <c r="K43" s="248" t="s">
        <v>97</v>
      </c>
      <c r="M43" s="264"/>
      <c r="N43" s="264"/>
    </row>
    <row r="44">
      <c r="A44" s="186" t="str">
        <f>IFERROR(__xludf.DUMMYFUNCTION("""COMPUTED_VALUE"""),"565119 - Gegrilltes Hähnchen mit Knoblauch-Kräutern")</f>
        <v>565119 - Gegrilltes Hähnchen mit Knoblauch-Kräutern</v>
      </c>
      <c r="B44" s="36">
        <f>IFERROR(__xludf.DUMMYFUNCTION("""COMPUTED_VALUE"""),40.0)</f>
        <v>40</v>
      </c>
      <c r="C44" s="265" t="str">
        <f>IFERROR(__xludf.DUMMYFUNCTION("""COMPUTED_VALUE"""),"0")</f>
        <v>0</v>
      </c>
      <c r="D44" s="265" t="str">
        <f>IFERROR(__xludf.DUMMYFUNCTION("""COMPUTED_VALUE"""),"0")</f>
        <v>0</v>
      </c>
      <c r="E44" s="265" t="str">
        <f>IFERROR(__xludf.DUMMYFUNCTION("""COMPUTED_VALUE"""),"0")</f>
        <v>0</v>
      </c>
      <c r="F44" s="265" t="str">
        <f>IFERROR(__xludf.DUMMYFUNCTION("""COMPUTED_VALUE"""),"0")</f>
        <v>0</v>
      </c>
      <c r="G44" s="186"/>
      <c r="H44" s="186"/>
      <c r="I44" s="186" t="str">
        <f>IFERROR(__xludf.DUMMYFUNCTION("""COMPUTED_VALUE"""),"F58")</f>
        <v>F58</v>
      </c>
      <c r="K44" s="248" t="s">
        <v>97</v>
      </c>
      <c r="M44" s="264"/>
      <c r="N44" s="264"/>
    </row>
    <row r="45">
      <c r="A45" s="186" t="str">
        <f>IFERROR(__xludf.DUMMYFUNCTION("""COMPUTED_VALUE"""),"")</f>
        <v/>
      </c>
      <c r="B45" s="189">
        <f>IFERROR(__xludf.DUMMYFUNCTION("""COMPUTED_VALUE"""),17546.0)</f>
        <v>17546</v>
      </c>
      <c r="C45" s="186" t="str">
        <f>IFERROR(__xludf.DUMMYFUNCTION("""COMPUTED_VALUE"""),"0")</f>
        <v>0</v>
      </c>
      <c r="D45" s="186" t="str">
        <f>IFERROR(__xludf.DUMMYFUNCTION("""COMPUTED_VALUE"""),"0")</f>
        <v>0</v>
      </c>
      <c r="E45" s="186" t="str">
        <f>IFERROR(__xludf.DUMMYFUNCTION("""COMPUTED_VALUE"""),"0")</f>
        <v>0</v>
      </c>
      <c r="F45" s="186" t="str">
        <f>IFERROR(__xludf.DUMMYFUNCTION("""COMPUTED_VALUE"""),"0")</f>
        <v>0</v>
      </c>
      <c r="G45" s="186"/>
      <c r="H45" s="186"/>
      <c r="I45" s="186" t="str">
        <f>IFERROR(__xludf.DUMMYFUNCTION("""COMPUTED_VALUE"""),"F86")</f>
        <v>F86</v>
      </c>
      <c r="K45" s="248" t="s">
        <v>97</v>
      </c>
    </row>
    <row r="46">
      <c r="A46" s="186" t="str">
        <f>IFERROR(__xludf.DUMMYFUNCTION("""COMPUTED_VALUE"""),"")</f>
        <v/>
      </c>
      <c r="B46" s="36">
        <f>IFERROR(__xludf.DUMMYFUNCTION("""COMPUTED_VALUE"""),17546.0)</f>
        <v>17546</v>
      </c>
      <c r="C46" s="265" t="str">
        <f>IFERROR(__xludf.DUMMYFUNCTION("""COMPUTED_VALUE"""),"0")</f>
        <v>0</v>
      </c>
      <c r="D46" s="265" t="str">
        <f>IFERROR(__xludf.DUMMYFUNCTION("""COMPUTED_VALUE"""),"0")</f>
        <v>0</v>
      </c>
      <c r="E46" s="265" t="str">
        <f>IFERROR(__xludf.DUMMYFUNCTION("""COMPUTED_VALUE"""),"0")</f>
        <v>0</v>
      </c>
      <c r="F46" s="265" t="str">
        <f>IFERROR(__xludf.DUMMYFUNCTION("""COMPUTED_VALUE"""),"0")</f>
        <v>0</v>
      </c>
      <c r="G46" s="186"/>
      <c r="H46" s="186"/>
      <c r="I46" s="186" t="str">
        <f>IFERROR(__xludf.DUMMYFUNCTION("""COMPUTED_VALUE"""),"F110")</f>
        <v>F110</v>
      </c>
      <c r="K46" s="248" t="s">
        <v>97</v>
      </c>
      <c r="M46" s="264"/>
      <c r="N46" s="264"/>
    </row>
    <row r="47">
      <c r="A47" s="186" t="str">
        <f>IFERROR(__xludf.DUMMYFUNCTION("""COMPUTED_VALUE"""),"205 - FACTOR_ Ginger Lemon Apple Wellness Shot")</f>
        <v>205 - FACTOR_ Ginger Lemon Apple Wellness Shot</v>
      </c>
      <c r="B47" s="36">
        <f>IFERROR(__xludf.DUMMYFUNCTION("""COMPUTED_VALUE"""),48.0)</f>
        <v>48</v>
      </c>
      <c r="C47" s="265" t="str">
        <f>IFERROR(__xludf.DUMMYFUNCTION("""COMPUTED_VALUE"""),"0")</f>
        <v>0</v>
      </c>
      <c r="D47" s="265" t="str">
        <f>IFERROR(__xludf.DUMMYFUNCTION("""COMPUTED_VALUE"""),"0")</f>
        <v>0</v>
      </c>
      <c r="E47" s="265" t="str">
        <f>IFERROR(__xludf.DUMMYFUNCTION("""COMPUTED_VALUE"""),"0")</f>
        <v>0</v>
      </c>
      <c r="F47" s="265" t="str">
        <f>IFERROR(__xludf.DUMMYFUNCTION("""COMPUTED_VALUE"""),"0")</f>
        <v>0</v>
      </c>
      <c r="G47" s="186"/>
      <c r="H47" s="186"/>
      <c r="I47" s="186" t="str">
        <f>IFERROR(__xludf.DUMMYFUNCTION("""COMPUTED_VALUE"""),"F122")</f>
        <v>F122</v>
      </c>
      <c r="K47" s="248" t="s">
        <v>97</v>
      </c>
    </row>
    <row r="48">
      <c r="A48" s="186" t="str">
        <f>IFERROR(__xludf.DUMMYFUNCTION("""COMPUTED_VALUE"""),"209 - FACTOR_ Spirulina Ginger Lime Ginger Shot")</f>
        <v>209 - FACTOR_ Spirulina Ginger Lime Ginger Shot</v>
      </c>
      <c r="B48" s="36">
        <f>IFERROR(__xludf.DUMMYFUNCTION("""COMPUTED_VALUE"""),56.0)</f>
        <v>56</v>
      </c>
      <c r="C48" s="265" t="str">
        <f>IFERROR(__xludf.DUMMYFUNCTION("""COMPUTED_VALUE"""),"0")</f>
        <v>0</v>
      </c>
      <c r="D48" s="265" t="str">
        <f>IFERROR(__xludf.DUMMYFUNCTION("""COMPUTED_VALUE"""),"0")</f>
        <v>0</v>
      </c>
      <c r="E48" s="265" t="str">
        <f>IFERROR(__xludf.DUMMYFUNCTION("""COMPUTED_VALUE"""),"0")</f>
        <v>0</v>
      </c>
      <c r="F48" s="265" t="str">
        <f>IFERROR(__xludf.DUMMYFUNCTION("""COMPUTED_VALUE"""),"0")</f>
        <v>0</v>
      </c>
      <c r="G48" s="186"/>
      <c r="H48" s="186"/>
      <c r="I48" s="186"/>
      <c r="K48" s="248" t="s">
        <v>97</v>
      </c>
    </row>
    <row r="49">
      <c r="A49" s="186" t="str">
        <f>IFERROR(__xludf.DUMMYFUNCTION("""COMPUTED_VALUE"""),"210 - FACTOR_ Turmeric Cayenne Pineapple Ginger Shot")</f>
        <v>210 - FACTOR_ Turmeric Cayenne Pineapple Ginger Shot</v>
      </c>
      <c r="B49" s="36">
        <f>IFERROR(__xludf.DUMMYFUNCTION("""COMPUTED_VALUE"""),36.0)</f>
        <v>36</v>
      </c>
      <c r="C49" s="265" t="str">
        <f>IFERROR(__xludf.DUMMYFUNCTION("""COMPUTED_VALUE"""),"0")</f>
        <v>0</v>
      </c>
      <c r="D49" s="265" t="str">
        <f>IFERROR(__xludf.DUMMYFUNCTION("""COMPUTED_VALUE"""),"0")</f>
        <v>0</v>
      </c>
      <c r="E49" s="265" t="str">
        <f>IFERROR(__xludf.DUMMYFUNCTION("""COMPUTED_VALUE"""),"0")</f>
        <v>0</v>
      </c>
      <c r="F49" s="265" t="str">
        <f>IFERROR(__xludf.DUMMYFUNCTION("""COMPUTED_VALUE"""),"0")</f>
        <v>0</v>
      </c>
      <c r="G49" s="186"/>
      <c r="H49" s="186"/>
      <c r="I49" s="186"/>
      <c r="K49" s="248" t="s">
        <v>97</v>
      </c>
    </row>
    <row r="50">
      <c r="B50" s="36"/>
      <c r="C50" s="265"/>
      <c r="D50" s="265"/>
      <c r="E50" s="265"/>
      <c r="F50" s="265"/>
      <c r="K50" s="248" t="s">
        <v>97</v>
      </c>
    </row>
    <row r="51">
      <c r="B51" s="36"/>
      <c r="C51" s="265"/>
      <c r="D51" s="265"/>
      <c r="E51" s="265"/>
      <c r="F51" s="265"/>
      <c r="K51" s="248" t="s">
        <v>97</v>
      </c>
    </row>
    <row r="52">
      <c r="B52" s="36"/>
      <c r="C52" s="265"/>
      <c r="D52" s="265"/>
      <c r="E52" s="265"/>
      <c r="F52" s="265"/>
      <c r="K52" s="248" t="s">
        <v>97</v>
      </c>
    </row>
    <row r="53">
      <c r="B53" s="36"/>
      <c r="C53" s="265"/>
      <c r="D53" s="265"/>
      <c r="E53" s="265"/>
      <c r="F53" s="265"/>
      <c r="K53" s="248" t="s">
        <v>97</v>
      </c>
    </row>
    <row r="54">
      <c r="B54" s="36"/>
      <c r="C54" s="265"/>
      <c r="D54" s="265"/>
      <c r="E54" s="265"/>
      <c r="F54" s="265"/>
      <c r="K54" s="248" t="s">
        <v>97</v>
      </c>
    </row>
    <row r="55">
      <c r="B55" s="36"/>
      <c r="C55" s="265"/>
      <c r="D55" s="265"/>
      <c r="E55" s="265"/>
      <c r="F55" s="265"/>
      <c r="K55" s="248" t="s">
        <v>97</v>
      </c>
    </row>
    <row r="56">
      <c r="B56" s="36"/>
      <c r="C56" s="265"/>
      <c r="D56" s="265"/>
      <c r="E56" s="265"/>
      <c r="F56" s="265"/>
      <c r="K56" s="248" t="s">
        <v>97</v>
      </c>
    </row>
    <row r="57">
      <c r="B57" s="36"/>
      <c r="C57" s="265"/>
      <c r="D57" s="265"/>
      <c r="E57" s="265"/>
      <c r="F57" s="265"/>
      <c r="K57" s="248" t="s">
        <v>97</v>
      </c>
    </row>
    <row r="58">
      <c r="B58" s="36"/>
      <c r="C58" s="265"/>
      <c r="D58" s="265"/>
      <c r="E58" s="265"/>
      <c r="F58" s="265"/>
      <c r="K58" s="248" t="s">
        <v>97</v>
      </c>
    </row>
    <row r="59">
      <c r="B59" s="36"/>
      <c r="C59" s="265"/>
      <c r="D59" s="265"/>
      <c r="E59" s="265"/>
      <c r="F59" s="265"/>
      <c r="K59" s="248" t="s">
        <v>97</v>
      </c>
    </row>
    <row r="60">
      <c r="B60" s="36"/>
      <c r="C60" s="265"/>
      <c r="D60" s="265"/>
      <c r="E60" s="265"/>
      <c r="F60" s="265"/>
      <c r="K60" s="248" t="s">
        <v>97</v>
      </c>
    </row>
    <row r="61">
      <c r="B61" s="36"/>
      <c r="C61" s="265"/>
      <c r="D61" s="265"/>
      <c r="E61" s="265"/>
      <c r="F61" s="265"/>
      <c r="K61" s="248" t="s">
        <v>97</v>
      </c>
    </row>
    <row r="62">
      <c r="B62" s="36"/>
      <c r="C62" s="265"/>
      <c r="D62" s="265"/>
      <c r="E62" s="265"/>
      <c r="F62" s="265"/>
      <c r="K62" s="248" t="s">
        <v>97</v>
      </c>
    </row>
    <row r="63">
      <c r="A63" s="244" t="s">
        <v>215</v>
      </c>
      <c r="B63" s="244">
        <v>0.0</v>
      </c>
      <c r="C63" s="244">
        <v>0.0</v>
      </c>
      <c r="D63" s="244">
        <v>0.0</v>
      </c>
      <c r="E63" s="244">
        <v>0.0</v>
      </c>
      <c r="F63" s="244">
        <v>0.0</v>
      </c>
      <c r="G63" s="245"/>
      <c r="H63" s="246"/>
      <c r="I63" s="247" t="s">
        <v>179</v>
      </c>
      <c r="K63" s="248" t="s">
        <v>100</v>
      </c>
    </row>
    <row r="64">
      <c r="A64" s="244" t="s">
        <v>159</v>
      </c>
      <c r="B64" s="244">
        <v>0.0</v>
      </c>
      <c r="C64" s="244">
        <v>0.0</v>
      </c>
      <c r="D64" s="244">
        <v>0.0</v>
      </c>
      <c r="E64" s="244">
        <v>0.0</v>
      </c>
      <c r="F64" s="244">
        <v>0.0</v>
      </c>
      <c r="G64" s="245"/>
      <c r="H64" s="246"/>
      <c r="I64" s="247" t="s">
        <v>216</v>
      </c>
      <c r="K64" s="248" t="s">
        <v>100</v>
      </c>
    </row>
    <row r="65">
      <c r="A65" s="244" t="s">
        <v>162</v>
      </c>
      <c r="B65" s="244">
        <v>0.0</v>
      </c>
      <c r="C65" s="244">
        <v>0.0</v>
      </c>
      <c r="D65" s="244">
        <v>0.0</v>
      </c>
      <c r="E65" s="244">
        <v>0.0</v>
      </c>
      <c r="F65" s="244">
        <v>0.0</v>
      </c>
      <c r="G65" s="245"/>
      <c r="H65" s="246"/>
      <c r="I65" s="247" t="s">
        <v>177</v>
      </c>
      <c r="K65" s="248" t="s">
        <v>100</v>
      </c>
    </row>
    <row r="66">
      <c r="A66" s="266" t="s">
        <v>164</v>
      </c>
      <c r="B66" s="245">
        <v>0.0</v>
      </c>
      <c r="C66" s="245">
        <v>0.0</v>
      </c>
      <c r="D66" s="245">
        <v>0.0</v>
      </c>
      <c r="E66" s="245">
        <v>0.0</v>
      </c>
      <c r="F66" s="245">
        <v>0.0</v>
      </c>
      <c r="G66" s="247"/>
      <c r="H66" s="246"/>
      <c r="I66" s="247" t="s">
        <v>175</v>
      </c>
      <c r="K66" s="248" t="s">
        <v>100</v>
      </c>
    </row>
    <row r="67">
      <c r="A67" s="254" t="s">
        <v>192</v>
      </c>
      <c r="B67" s="255">
        <v>0.0</v>
      </c>
      <c r="C67" s="255">
        <v>0.0</v>
      </c>
      <c r="D67" s="255">
        <v>0.0</v>
      </c>
      <c r="E67" s="255">
        <v>0.0</v>
      </c>
      <c r="F67" s="255">
        <v>0.0</v>
      </c>
      <c r="G67" s="255"/>
      <c r="H67" s="256"/>
      <c r="I67" s="255" t="s">
        <v>203</v>
      </c>
      <c r="K67" s="248" t="s">
        <v>100</v>
      </c>
    </row>
    <row r="68">
      <c r="A68" s="255" t="s">
        <v>217</v>
      </c>
      <c r="B68" s="255">
        <v>0.0</v>
      </c>
      <c r="C68" s="255">
        <v>0.0</v>
      </c>
      <c r="D68" s="255">
        <v>0.0</v>
      </c>
      <c r="E68" s="255">
        <v>0.0</v>
      </c>
      <c r="F68" s="255">
        <v>0.0</v>
      </c>
      <c r="G68" s="255"/>
      <c r="H68" s="256"/>
      <c r="I68" s="255" t="s">
        <v>214</v>
      </c>
      <c r="K68" s="248" t="s">
        <v>100</v>
      </c>
    </row>
    <row r="69">
      <c r="A69" s="16" t="str">
        <f>IFERROR(__xludf.DUMMYFUNCTION("FILTER('Inputs Maite Nordics'!T8:AB69, ('Inputs Maite Nordics'!T8:T69&lt;&gt;"""") + ('Inputs Maite Nordics'!AB8:AB69&lt;&gt;""""))"),"IcePack1")</f>
        <v>IcePack1</v>
      </c>
      <c r="B69" s="16">
        <f>IFERROR(__xludf.DUMMYFUNCTION("""COMPUTED_VALUE"""),5113.0)</f>
        <v>5113</v>
      </c>
      <c r="C69" s="16">
        <f>IFERROR(__xludf.DUMMYFUNCTION("""COMPUTED_VALUE"""),0.0)</f>
        <v>0</v>
      </c>
      <c r="D69" s="16">
        <f>IFERROR(__xludf.DUMMYFUNCTION("""COMPUTED_VALUE"""),0.0)</f>
        <v>0</v>
      </c>
      <c r="E69" s="16">
        <f>IFERROR(__xludf.DUMMYFUNCTION("""COMPUTED_VALUE"""),0.0)</f>
        <v>0</v>
      </c>
      <c r="F69" s="16">
        <f>IFERROR(__xludf.DUMMYFUNCTION("""COMPUTED_VALUE"""),0.0)</f>
        <v>0</v>
      </c>
      <c r="G69" s="16"/>
      <c r="H69" s="17"/>
      <c r="I69" s="267" t="str">
        <f>IFERROR(__xludf.DUMMYFUNCTION("""COMPUTED_VALUE"""),"F137")</f>
        <v>F137</v>
      </c>
      <c r="K69" s="248" t="s">
        <v>100</v>
      </c>
    </row>
    <row r="70">
      <c r="A70" s="12" t="str">
        <f>IFERROR(__xludf.DUMMYFUNCTION("""COMPUTED_VALUE"""),"565072 - Grillet kylling med ratatouille")</f>
        <v>565072 - Grillet kylling med ratatouille</v>
      </c>
      <c r="B70" s="36">
        <f>IFERROR(__xludf.DUMMYFUNCTION("""COMPUTED_VALUE"""),3731.0)</f>
        <v>3731</v>
      </c>
      <c r="C70" s="268" t="str">
        <f>IFERROR(__xludf.DUMMYFUNCTION("""COMPUTED_VALUE"""),"0")</f>
        <v>0</v>
      </c>
      <c r="D70" s="268" t="str">
        <f>IFERROR(__xludf.DUMMYFUNCTION("""COMPUTED_VALUE"""),"0")</f>
        <v>0</v>
      </c>
      <c r="E70" s="268" t="str">
        <f>IFERROR(__xludf.DUMMYFUNCTION("""COMPUTED_VALUE"""),"0")</f>
        <v>0</v>
      </c>
      <c r="F70" s="268" t="str">
        <f>IFERROR(__xludf.DUMMYFUNCTION("""COMPUTED_VALUE"""),"0")</f>
        <v>0</v>
      </c>
      <c r="G70" s="268"/>
      <c r="H70" s="265"/>
      <c r="I70" s="269"/>
      <c r="K70" s="248" t="s">
        <v>100</v>
      </c>
    </row>
    <row r="71">
      <c r="A71" s="12" t="str">
        <f>IFERROR(__xludf.DUMMYFUNCTION("""COMPUTED_VALUE"""),"565209 - Chilensk inspireret kylling med salsa-quinoa")</f>
        <v>565209 - Chilensk inspireret kylling med salsa-quinoa</v>
      </c>
      <c r="B71" s="36">
        <f>IFERROR(__xludf.DUMMYFUNCTION("""COMPUTED_VALUE"""),2460.0)</f>
        <v>2460</v>
      </c>
      <c r="C71" s="268" t="str">
        <f>IFERROR(__xludf.DUMMYFUNCTION("""COMPUTED_VALUE"""),"0")</f>
        <v>0</v>
      </c>
      <c r="D71" s="268" t="str">
        <f>IFERROR(__xludf.DUMMYFUNCTION("""COMPUTED_VALUE"""),"0")</f>
        <v>0</v>
      </c>
      <c r="E71" s="268" t="str">
        <f>IFERROR(__xludf.DUMMYFUNCTION("""COMPUTED_VALUE"""),"0")</f>
        <v>0</v>
      </c>
      <c r="F71" s="268" t="str">
        <f>IFERROR(__xludf.DUMMYFUNCTION("""COMPUTED_VALUE"""),"0")</f>
        <v>0</v>
      </c>
      <c r="G71" s="268"/>
      <c r="H71" s="265"/>
      <c r="I71" s="269"/>
      <c r="K71" s="248" t="s">
        <v>100</v>
      </c>
    </row>
    <row r="72">
      <c r="A72" s="186" t="str">
        <f>IFERROR(__xludf.DUMMYFUNCTION("""COMPUTED_VALUE"""),"565309 - Braiseret oksekød i urtesky")</f>
        <v>565309 - Braiseret oksekød i urtesky</v>
      </c>
      <c r="B72" s="189">
        <f>IFERROR(__xludf.DUMMYFUNCTION("""COMPUTED_VALUE"""),2270.0)</f>
        <v>2270</v>
      </c>
      <c r="C72" s="268" t="str">
        <f>IFERROR(__xludf.DUMMYFUNCTION("""COMPUTED_VALUE"""),"0")</f>
        <v>0</v>
      </c>
      <c r="D72" s="268" t="str">
        <f>IFERROR(__xludf.DUMMYFUNCTION("""COMPUTED_VALUE"""),"0")</f>
        <v>0</v>
      </c>
      <c r="E72" s="268" t="str">
        <f>IFERROR(__xludf.DUMMYFUNCTION("""COMPUTED_VALUE"""),"0")</f>
        <v>0</v>
      </c>
      <c r="F72" s="268" t="str">
        <f>IFERROR(__xludf.DUMMYFUNCTION("""COMPUTED_VALUE"""),"0")</f>
        <v>0</v>
      </c>
      <c r="G72" s="268"/>
      <c r="H72" s="265"/>
      <c r="I72" s="269"/>
      <c r="K72" s="248" t="s">
        <v>100</v>
      </c>
    </row>
    <row r="73">
      <c r="A73" s="186" t="str">
        <f>IFERROR(__xludf.DUMMYFUNCTION("""COMPUTED_VALUE"""),"565064 - Laks i senneps-dild sauce")</f>
        <v>565064 - Laks i senneps-dild sauce</v>
      </c>
      <c r="B73" s="189">
        <f>IFERROR(__xludf.DUMMYFUNCTION("""COMPUTED_VALUE"""),0.0)</f>
        <v>0</v>
      </c>
      <c r="C73" s="268" t="str">
        <f>IFERROR(__xludf.DUMMYFUNCTION("""COMPUTED_VALUE"""),"0")</f>
        <v>0</v>
      </c>
      <c r="D73" s="268" t="str">
        <f>IFERROR(__xludf.DUMMYFUNCTION("""COMPUTED_VALUE"""),"0")</f>
        <v>0</v>
      </c>
      <c r="E73" s="268" t="str">
        <f>IFERROR(__xludf.DUMMYFUNCTION("""COMPUTED_VALUE"""),"0")</f>
        <v>0</v>
      </c>
      <c r="F73" s="268" t="str">
        <f>IFERROR(__xludf.DUMMYFUNCTION("""COMPUTED_VALUE"""),"0")</f>
        <v>0</v>
      </c>
      <c r="G73" s="268"/>
      <c r="H73" s="265"/>
      <c r="I73" s="269"/>
      <c r="K73" s="248" t="s">
        <v>100</v>
      </c>
    </row>
    <row r="74">
      <c r="A74" s="186" t="str">
        <f>IFERROR(__xludf.DUMMYFUNCTION("""COMPUTED_VALUE"""),"565178 - Vestfrikansk-inspireret peanut-kyllingecurry")</f>
        <v>565178 - Vestfrikansk-inspireret peanut-kyllingecurry</v>
      </c>
      <c r="B74" s="189">
        <f>IFERROR(__xludf.DUMMYFUNCTION("""COMPUTED_VALUE"""),2236.0)</f>
        <v>2236</v>
      </c>
      <c r="C74" s="268" t="str">
        <f>IFERROR(__xludf.DUMMYFUNCTION("""COMPUTED_VALUE"""),"0")</f>
        <v>0</v>
      </c>
      <c r="D74" s="268" t="str">
        <f>IFERROR(__xludf.DUMMYFUNCTION("""COMPUTED_VALUE"""),"0")</f>
        <v>0</v>
      </c>
      <c r="E74" s="268" t="str">
        <f>IFERROR(__xludf.DUMMYFUNCTION("""COMPUTED_VALUE"""),"0")</f>
        <v>0</v>
      </c>
      <c r="F74" s="268" t="str">
        <f>IFERROR(__xludf.DUMMYFUNCTION("""COMPUTED_VALUE"""),"0")</f>
        <v>0</v>
      </c>
      <c r="G74" s="268"/>
      <c r="H74" s="265"/>
      <c r="I74" s="269"/>
      <c r="K74" s="248" t="s">
        <v>100</v>
      </c>
    </row>
    <row r="75">
      <c r="A75" s="186" t="str">
        <f>IFERROR(__xludf.DUMMYFUNCTION("""COMPUTED_VALUE"""),"565189 - Laks Piccata ")</f>
        <v>565189 - Laks Piccata </v>
      </c>
      <c r="B75" s="189">
        <f>IFERROR(__xludf.DUMMYFUNCTION("""COMPUTED_VALUE"""),0.0)</f>
        <v>0</v>
      </c>
      <c r="C75" s="268" t="str">
        <f>IFERROR(__xludf.DUMMYFUNCTION("""COMPUTED_VALUE"""),"0")</f>
        <v>0</v>
      </c>
      <c r="D75" s="268" t="str">
        <f>IFERROR(__xludf.DUMMYFUNCTION("""COMPUTED_VALUE"""),"0")</f>
        <v>0</v>
      </c>
      <c r="E75" s="268" t="str">
        <f>IFERROR(__xludf.DUMMYFUNCTION("""COMPUTED_VALUE"""),"0")</f>
        <v>0</v>
      </c>
      <c r="F75" s="268" t="str">
        <f>IFERROR(__xludf.DUMMYFUNCTION("""COMPUTED_VALUE"""),"0")</f>
        <v>0</v>
      </c>
      <c r="G75" s="268"/>
      <c r="H75" s="265"/>
      <c r="I75" s="269"/>
      <c r="K75" s="248" t="s">
        <v>100</v>
      </c>
    </row>
    <row r="76">
      <c r="A76" s="186" t="str">
        <f>IFERROR(__xludf.DUMMYFUNCTION("""COMPUTED_VALUE"""),"565164 - Kylling i Emmental-fondue med karamelliseret løg")</f>
        <v>565164 - Kylling i Emmental-fondue med karamelliseret løg</v>
      </c>
      <c r="B76" s="189">
        <f>IFERROR(__xludf.DUMMYFUNCTION("""COMPUTED_VALUE"""),0.0)</f>
        <v>0</v>
      </c>
      <c r="C76" s="268" t="str">
        <f>IFERROR(__xludf.DUMMYFUNCTION("""COMPUTED_VALUE"""),"0")</f>
        <v>0</v>
      </c>
      <c r="D76" s="268" t="str">
        <f>IFERROR(__xludf.DUMMYFUNCTION("""COMPUTED_VALUE"""),"0")</f>
        <v>0</v>
      </c>
      <c r="E76" s="268" t="str">
        <f>IFERROR(__xludf.DUMMYFUNCTION("""COMPUTED_VALUE"""),"0")</f>
        <v>0</v>
      </c>
      <c r="F76" s="268" t="str">
        <f>IFERROR(__xludf.DUMMYFUNCTION("""COMPUTED_VALUE"""),"0")</f>
        <v>0</v>
      </c>
      <c r="G76" s="268"/>
      <c r="H76" s="265"/>
      <c r="I76" s="269"/>
      <c r="K76" s="248" t="s">
        <v>100</v>
      </c>
    </row>
    <row r="77">
      <c r="A77" s="186" t="str">
        <f>IFERROR(__xludf.DUMMYFUNCTION("""COMPUTED_VALUE"""),"565043 - Spicy kylling med jalapeño, lime og cheddar")</f>
        <v>565043 - Spicy kylling med jalapeño, lime og cheddar</v>
      </c>
      <c r="B77" s="189">
        <f>IFERROR(__xludf.DUMMYFUNCTION("""COMPUTED_VALUE"""),1193.0)</f>
        <v>1193</v>
      </c>
      <c r="C77" s="268" t="str">
        <f>IFERROR(__xludf.DUMMYFUNCTION("""COMPUTED_VALUE"""),"0")</f>
        <v>0</v>
      </c>
      <c r="D77" s="268" t="str">
        <f>IFERROR(__xludf.DUMMYFUNCTION("""COMPUTED_VALUE"""),"0")</f>
        <v>0</v>
      </c>
      <c r="E77" s="268" t="str">
        <f>IFERROR(__xludf.DUMMYFUNCTION("""COMPUTED_VALUE"""),"0")</f>
        <v>0</v>
      </c>
      <c r="F77" s="268" t="str">
        <f>IFERROR(__xludf.DUMMYFUNCTION("""COMPUTED_VALUE"""),"0")</f>
        <v>0</v>
      </c>
      <c r="G77" s="268"/>
      <c r="H77" s="265"/>
      <c r="I77" s="269"/>
      <c r="K77" s="248" t="s">
        <v>100</v>
      </c>
    </row>
    <row r="78">
      <c r="A78" s="186" t="str">
        <f>IFERROR(__xludf.DUMMYFUNCTION("""COMPUTED_VALUE"""),"565244 - Cremet tomatrisotto")</f>
        <v>565244 - Cremet tomatrisotto</v>
      </c>
      <c r="B78" s="189">
        <f>IFERROR(__xludf.DUMMYFUNCTION("""COMPUTED_VALUE"""),316.0)</f>
        <v>316</v>
      </c>
      <c r="C78" s="268" t="str">
        <f>IFERROR(__xludf.DUMMYFUNCTION("""COMPUTED_VALUE"""),"0")</f>
        <v>0</v>
      </c>
      <c r="D78" s="268" t="str">
        <f>IFERROR(__xludf.DUMMYFUNCTION("""COMPUTED_VALUE"""),"0")</f>
        <v>0</v>
      </c>
      <c r="E78" s="268" t="str">
        <f>IFERROR(__xludf.DUMMYFUNCTION("""COMPUTED_VALUE"""),"0")</f>
        <v>0</v>
      </c>
      <c r="F78" s="268" t="str">
        <f>IFERROR(__xludf.DUMMYFUNCTION("""COMPUTED_VALUE"""),"0")</f>
        <v>0</v>
      </c>
      <c r="G78" s="268"/>
      <c r="H78" s="265"/>
      <c r="I78" s="269"/>
      <c r="K78" s="248" t="s">
        <v>100</v>
      </c>
    </row>
    <row r="79">
      <c r="A79" s="186" t="str">
        <f>IFERROR(__xludf.DUMMYFUNCTION("""COMPUTED_VALUE"""),"565141 - Squash- og peberfrugtsratatouille")</f>
        <v>565141 - Squash- og peberfrugtsratatouille</v>
      </c>
      <c r="B79" s="189">
        <f>IFERROR(__xludf.DUMMYFUNCTION("""COMPUTED_VALUE"""),207.0)</f>
        <v>207</v>
      </c>
      <c r="C79" s="268" t="str">
        <f>IFERROR(__xludf.DUMMYFUNCTION("""COMPUTED_VALUE"""),"0")</f>
        <v>0</v>
      </c>
      <c r="D79" s="268" t="str">
        <f>IFERROR(__xludf.DUMMYFUNCTION("""COMPUTED_VALUE"""),"0")</f>
        <v>0</v>
      </c>
      <c r="E79" s="268" t="str">
        <f>IFERROR(__xludf.DUMMYFUNCTION("""COMPUTED_VALUE"""),"0")</f>
        <v>0</v>
      </c>
      <c r="F79" s="268" t="str">
        <f>IFERROR(__xludf.DUMMYFUNCTION("""COMPUTED_VALUE"""),"0")</f>
        <v>0</v>
      </c>
      <c r="G79" s="268"/>
      <c r="H79" s="265"/>
      <c r="I79" s="269"/>
      <c r="K79" s="248" t="s">
        <v>100</v>
      </c>
    </row>
    <row r="80">
      <c r="A80" s="186" t="str">
        <f>IFERROR(__xludf.DUMMYFUNCTION("""COMPUTED_VALUE"""),"565143 - Svinemørbrad i cremet hvidløgs- og sennepssauce")</f>
        <v>565143 - Svinemørbrad i cremet hvidløgs- og sennepssauce</v>
      </c>
      <c r="B80" s="189">
        <f>IFERROR(__xludf.DUMMYFUNCTION("""COMPUTED_VALUE"""),650.0)</f>
        <v>650</v>
      </c>
      <c r="C80" s="268" t="str">
        <f>IFERROR(__xludf.DUMMYFUNCTION("""COMPUTED_VALUE"""),"0")</f>
        <v>0</v>
      </c>
      <c r="D80" s="268" t="str">
        <f>IFERROR(__xludf.DUMMYFUNCTION("""COMPUTED_VALUE"""),"0")</f>
        <v>0</v>
      </c>
      <c r="E80" s="268" t="str">
        <f>IFERROR(__xludf.DUMMYFUNCTION("""COMPUTED_VALUE"""),"0")</f>
        <v>0</v>
      </c>
      <c r="F80" s="268" t="str">
        <f>IFERROR(__xludf.DUMMYFUNCTION("""COMPUTED_VALUE"""),"0")</f>
        <v>0</v>
      </c>
      <c r="G80" s="268"/>
      <c r="H80" s="265"/>
      <c r="I80" s="269"/>
      <c r="K80" s="248" t="s">
        <v>100</v>
      </c>
    </row>
    <row r="81">
      <c r="A81" s="186" t="str">
        <f>IFERROR(__xludf.DUMMYFUNCTION("""COMPUTED_VALUE"""),"565196 - Laks med aji verde")</f>
        <v>565196 - Laks med aji verde</v>
      </c>
      <c r="B81" s="189">
        <f>IFERROR(__xludf.DUMMYFUNCTION("""COMPUTED_VALUE"""),1316.0)</f>
        <v>1316</v>
      </c>
      <c r="C81" s="268" t="str">
        <f>IFERROR(__xludf.DUMMYFUNCTION("""COMPUTED_VALUE"""),"0")</f>
        <v>0</v>
      </c>
      <c r="D81" s="268" t="str">
        <f>IFERROR(__xludf.DUMMYFUNCTION("""COMPUTED_VALUE"""),"0")</f>
        <v>0</v>
      </c>
      <c r="E81" s="268" t="str">
        <f>IFERROR(__xludf.DUMMYFUNCTION("""COMPUTED_VALUE"""),"0")</f>
        <v>0</v>
      </c>
      <c r="F81" s="268" t="str">
        <f>IFERROR(__xludf.DUMMYFUNCTION("""COMPUTED_VALUE"""),"0")</f>
        <v>0</v>
      </c>
      <c r="G81" s="268"/>
      <c r="H81" s="265"/>
      <c r="I81" s="269"/>
      <c r="K81" s="248" t="s">
        <v>100</v>
      </c>
    </row>
    <row r="82">
      <c r="A82" s="186" t="str">
        <f>IFERROR(__xludf.DUMMYFUNCTION("""COMPUTED_VALUE"""),"565130 - Chilikryddet pulled pork")</f>
        <v>565130 - Chilikryddet pulled pork</v>
      </c>
      <c r="B82" s="189">
        <f>IFERROR(__xludf.DUMMYFUNCTION("""COMPUTED_VALUE"""),1852.0)</f>
        <v>1852</v>
      </c>
      <c r="C82" s="268" t="str">
        <f>IFERROR(__xludf.DUMMYFUNCTION("""COMPUTED_VALUE"""),"0")</f>
        <v>0</v>
      </c>
      <c r="D82" s="268" t="str">
        <f>IFERROR(__xludf.DUMMYFUNCTION("""COMPUTED_VALUE"""),"0")</f>
        <v>0</v>
      </c>
      <c r="E82" s="268" t="str">
        <f>IFERROR(__xludf.DUMMYFUNCTION("""COMPUTED_VALUE"""),"0")</f>
        <v>0</v>
      </c>
      <c r="F82" s="268" t="str">
        <f>IFERROR(__xludf.DUMMYFUNCTION("""COMPUTED_VALUE"""),"0")</f>
        <v>0</v>
      </c>
      <c r="G82" s="268"/>
      <c r="H82" s="265"/>
      <c r="I82" s="269"/>
      <c r="K82" s="248" t="s">
        <v>100</v>
      </c>
    </row>
    <row r="83">
      <c r="A83" s="186" t="str">
        <f>IFERROR(__xludf.DUMMYFUNCTION("""COMPUTED_VALUE"""),"565211 - Grillet kylling med ingefær og hvidløg")</f>
        <v>565211 - Grillet kylling med ingefær og hvidløg</v>
      </c>
      <c r="B83" s="189">
        <f>IFERROR(__xludf.DUMMYFUNCTION("""COMPUTED_VALUE"""),649.0)</f>
        <v>649</v>
      </c>
      <c r="C83" s="268" t="str">
        <f>IFERROR(__xludf.DUMMYFUNCTION("""COMPUTED_VALUE"""),"0")</f>
        <v>0</v>
      </c>
      <c r="D83" s="268" t="str">
        <f>IFERROR(__xludf.DUMMYFUNCTION("""COMPUTED_VALUE"""),"0")</f>
        <v>0</v>
      </c>
      <c r="E83" s="268" t="str">
        <f>IFERROR(__xludf.DUMMYFUNCTION("""COMPUTED_VALUE"""),"0")</f>
        <v>0</v>
      </c>
      <c r="F83" s="268" t="str">
        <f>IFERROR(__xludf.DUMMYFUNCTION("""COMPUTED_VALUE"""),"0")</f>
        <v>0</v>
      </c>
      <c r="G83" s="268"/>
      <c r="H83" s="265"/>
      <c r="I83" s="269"/>
      <c r="K83" s="248" t="s">
        <v>100</v>
      </c>
    </row>
    <row r="84">
      <c r="A84" s="186" t="str">
        <f>IFERROR(__xludf.DUMMYFUNCTION("""COMPUTED_VALUE"""),"565091 - Krydret hakket oksekød med jalapenos")</f>
        <v>565091 - Krydret hakket oksekød med jalapenos</v>
      </c>
      <c r="B84" s="189">
        <f>IFERROR(__xludf.DUMMYFUNCTION("""COMPUTED_VALUE"""),595.0)</f>
        <v>595</v>
      </c>
      <c r="C84" s="268" t="str">
        <f>IFERROR(__xludf.DUMMYFUNCTION("""COMPUTED_VALUE"""),"0")</f>
        <v>0</v>
      </c>
      <c r="D84" s="268" t="str">
        <f>IFERROR(__xludf.DUMMYFUNCTION("""COMPUTED_VALUE"""),"0")</f>
        <v>0</v>
      </c>
      <c r="E84" s="268" t="str">
        <f>IFERROR(__xludf.DUMMYFUNCTION("""COMPUTED_VALUE"""),"0")</f>
        <v>0</v>
      </c>
      <c r="F84" s="268" t="str">
        <f>IFERROR(__xludf.DUMMYFUNCTION("""COMPUTED_VALUE"""),"0")</f>
        <v>0</v>
      </c>
      <c r="G84" s="268"/>
      <c r="H84" s="265"/>
      <c r="I84" s="269"/>
      <c r="K84" s="248" t="s">
        <v>100</v>
      </c>
    </row>
    <row r="85">
      <c r="A85" s="186" t="str">
        <f>IFERROR(__xludf.DUMMYFUNCTION("""COMPUTED_VALUE"""),"565221 - Laksebowl med citrus-miso")</f>
        <v>565221 - Laksebowl med citrus-miso</v>
      </c>
      <c r="B85" s="189">
        <f>IFERROR(__xludf.DUMMYFUNCTION("""COMPUTED_VALUE"""),603.0)</f>
        <v>603</v>
      </c>
      <c r="C85" s="268" t="str">
        <f>IFERROR(__xludf.DUMMYFUNCTION("""COMPUTED_VALUE"""),"0")</f>
        <v>0</v>
      </c>
      <c r="D85" s="268" t="str">
        <f>IFERROR(__xludf.DUMMYFUNCTION("""COMPUTED_VALUE"""),"0")</f>
        <v>0</v>
      </c>
      <c r="E85" s="268" t="str">
        <f>IFERROR(__xludf.DUMMYFUNCTION("""COMPUTED_VALUE"""),"0")</f>
        <v>0</v>
      </c>
      <c r="F85" s="268" t="str">
        <f>IFERROR(__xludf.DUMMYFUNCTION("""COMPUTED_VALUE"""),"0")</f>
        <v>0</v>
      </c>
      <c r="G85" s="268"/>
      <c r="H85" s="265"/>
      <c r="I85" s="269"/>
      <c r="K85" s="248" t="s">
        <v>100</v>
      </c>
    </row>
    <row r="86">
      <c r="A86" s="186" t="str">
        <f>IFERROR(__xludf.DUMMYFUNCTION("""COMPUTED_VALUE"""),"565252 - Pasta med oksekødsragù og soltørrede tomater")</f>
        <v>565252 - Pasta med oksekødsragù og soltørrede tomater</v>
      </c>
      <c r="B86" s="189">
        <f>IFERROR(__xludf.DUMMYFUNCTION("""COMPUTED_VALUE"""),1692.0)</f>
        <v>1692</v>
      </c>
      <c r="C86" s="268" t="str">
        <f>IFERROR(__xludf.DUMMYFUNCTION("""COMPUTED_VALUE"""),"0")</f>
        <v>0</v>
      </c>
      <c r="D86" s="268" t="str">
        <f>IFERROR(__xludf.DUMMYFUNCTION("""COMPUTED_VALUE"""),"0")</f>
        <v>0</v>
      </c>
      <c r="E86" s="268" t="str">
        <f>IFERROR(__xludf.DUMMYFUNCTION("""COMPUTED_VALUE"""),"0")</f>
        <v>0</v>
      </c>
      <c r="F86" s="268" t="str">
        <f>IFERROR(__xludf.DUMMYFUNCTION("""COMPUTED_VALUE"""),"0")</f>
        <v>0</v>
      </c>
      <c r="G86" s="268"/>
      <c r="H86" s="265"/>
      <c r="I86" s="269"/>
      <c r="K86" s="248" t="s">
        <v>100</v>
      </c>
    </row>
    <row r="87">
      <c r="A87" s="186" t="str">
        <f>IFERROR(__xludf.DUMMYFUNCTION("""COMPUTED_VALUE"""),"565095 - Svinemørbrad i ancho- og chilisauce")</f>
        <v>565095 - Svinemørbrad i ancho- og chilisauce</v>
      </c>
      <c r="B87" s="189">
        <f>IFERROR(__xludf.DUMMYFUNCTION("""COMPUTED_VALUE"""),631.0)</f>
        <v>631</v>
      </c>
      <c r="C87" s="268" t="str">
        <f>IFERROR(__xludf.DUMMYFUNCTION("""COMPUTED_VALUE"""),"0")</f>
        <v>0</v>
      </c>
      <c r="D87" s="268" t="str">
        <f>IFERROR(__xludf.DUMMYFUNCTION("""COMPUTED_VALUE"""),"0")</f>
        <v>0</v>
      </c>
      <c r="E87" s="268" t="str">
        <f>IFERROR(__xludf.DUMMYFUNCTION("""COMPUTED_VALUE"""),"0")</f>
        <v>0</v>
      </c>
      <c r="F87" s="268" t="str">
        <f>IFERROR(__xludf.DUMMYFUNCTION("""COMPUTED_VALUE"""),"0")</f>
        <v>0</v>
      </c>
      <c r="G87" s="268"/>
      <c r="H87" s="265"/>
      <c r="I87" s="269"/>
      <c r="K87" s="248" t="s">
        <v>100</v>
      </c>
    </row>
    <row r="88">
      <c r="A88" s="186" t="str">
        <f>IFERROR(__xludf.DUMMYFUNCTION("""COMPUTED_VALUE"""),"565119 - Grillet kylling med hvidlød og urter")</f>
        <v>565119 - Grillet kylling med hvidlød og urter</v>
      </c>
      <c r="B88" s="189">
        <f>IFERROR(__xludf.DUMMYFUNCTION("""COMPUTED_VALUE"""),51.0)</f>
        <v>51</v>
      </c>
      <c r="C88" s="268" t="str">
        <f>IFERROR(__xludf.DUMMYFUNCTION("""COMPUTED_VALUE"""),"0")</f>
        <v>0</v>
      </c>
      <c r="D88" s="268" t="str">
        <f>IFERROR(__xludf.DUMMYFUNCTION("""COMPUTED_VALUE"""),"0")</f>
        <v>0</v>
      </c>
      <c r="E88" s="268" t="str">
        <f>IFERROR(__xludf.DUMMYFUNCTION("""COMPUTED_VALUE"""),"0")</f>
        <v>0</v>
      </c>
      <c r="F88" s="268" t="str">
        <f>IFERROR(__xludf.DUMMYFUNCTION("""COMPUTED_VALUE"""),"0")</f>
        <v>0</v>
      </c>
      <c r="G88" s="268"/>
      <c r="H88" s="265"/>
      <c r="I88" s="269" t="str">
        <f>IFERROR(__xludf.DUMMYFUNCTION("""COMPUTED_VALUE"""),"F89")</f>
        <v>F89</v>
      </c>
      <c r="K88" s="248" t="s">
        <v>100</v>
      </c>
    </row>
    <row r="89">
      <c r="A89" s="186" t="str">
        <f>IFERROR(__xludf.DUMMYFUNCTION("""COMPUTED_VALUE"""),"705 - FACTOR_ Ginger Lemon Apple Wellness Shot")</f>
        <v>705 - FACTOR_ Ginger Lemon Apple Wellness Shot</v>
      </c>
      <c r="B89" s="189">
        <f>IFERROR(__xludf.DUMMYFUNCTION("""COMPUTED_VALUE"""),126.0)</f>
        <v>126</v>
      </c>
      <c r="C89" s="268" t="str">
        <f>IFERROR(__xludf.DUMMYFUNCTION("""COMPUTED_VALUE"""),"0")</f>
        <v>0</v>
      </c>
      <c r="D89" s="268" t="str">
        <f>IFERROR(__xludf.DUMMYFUNCTION("""COMPUTED_VALUE"""),"0")</f>
        <v>0</v>
      </c>
      <c r="E89" s="268" t="str">
        <f>IFERROR(__xludf.DUMMYFUNCTION("""COMPUTED_VALUE"""),"0")</f>
        <v>0</v>
      </c>
      <c r="F89" s="268" t="str">
        <f>IFERROR(__xludf.DUMMYFUNCTION("""COMPUTED_VALUE"""),"0")</f>
        <v>0</v>
      </c>
      <c r="G89" s="268"/>
      <c r="H89" s="265"/>
      <c r="I89" s="269" t="str">
        <f>IFERROR(__xludf.DUMMYFUNCTION("""COMPUTED_VALUE"""),"F122")</f>
        <v>F122</v>
      </c>
      <c r="K89" s="248" t="s">
        <v>100</v>
      </c>
    </row>
    <row r="90">
      <c r="A90" s="186" t="str">
        <f>IFERROR(__xludf.DUMMYFUNCTION("""COMPUTED_VALUE"""),"709 - FACTOR_ Spirulina Ginger Lime Ginger Shot")</f>
        <v>709 - FACTOR_ Spirulina Ginger Lime Ginger Shot</v>
      </c>
      <c r="B90" s="189">
        <f>IFERROR(__xludf.DUMMYFUNCTION("""COMPUTED_VALUE"""),73.0)</f>
        <v>73</v>
      </c>
      <c r="C90" s="268" t="str">
        <f>IFERROR(__xludf.DUMMYFUNCTION("""COMPUTED_VALUE"""),"0")</f>
        <v>0</v>
      </c>
      <c r="D90" s="268" t="str">
        <f>IFERROR(__xludf.DUMMYFUNCTION("""COMPUTED_VALUE"""),"0")</f>
        <v>0</v>
      </c>
      <c r="E90" s="268" t="str">
        <f>IFERROR(__xludf.DUMMYFUNCTION("""COMPUTED_VALUE"""),"0")</f>
        <v>0</v>
      </c>
      <c r="F90" s="268" t="str">
        <f>IFERROR(__xludf.DUMMYFUNCTION("""COMPUTED_VALUE"""),"0")</f>
        <v>0</v>
      </c>
      <c r="G90" s="268"/>
      <c r="H90" s="265"/>
      <c r="I90" s="269" t="str">
        <f>IFERROR(__xludf.DUMMYFUNCTION("""COMPUTED_VALUE"""),"F106")</f>
        <v>F106</v>
      </c>
      <c r="K90" s="248" t="s">
        <v>100</v>
      </c>
    </row>
    <row r="91">
      <c r="A91" s="186" t="str">
        <f>IFERROR(__xludf.DUMMYFUNCTION("""COMPUTED_VALUE"""),"710 - FACTOR_ Turmeric Cayenne Pineapple Ginger Shot")</f>
        <v>710 - FACTOR_ Turmeric Cayenne Pineapple Ginger Shot</v>
      </c>
      <c r="B91" s="189">
        <f>IFERROR(__xludf.DUMMYFUNCTION("""COMPUTED_VALUE"""),89.0)</f>
        <v>89</v>
      </c>
      <c r="C91" s="268" t="str">
        <f>IFERROR(__xludf.DUMMYFUNCTION("""COMPUTED_VALUE"""),"0")</f>
        <v>0</v>
      </c>
      <c r="D91" s="268" t="str">
        <f>IFERROR(__xludf.DUMMYFUNCTION("""COMPUTED_VALUE"""),"0")</f>
        <v>0</v>
      </c>
      <c r="E91" s="268" t="str">
        <f>IFERROR(__xludf.DUMMYFUNCTION("""COMPUTED_VALUE"""),"0")</f>
        <v>0</v>
      </c>
      <c r="F91" s="268" t="str">
        <f>IFERROR(__xludf.DUMMYFUNCTION("""COMPUTED_VALUE"""),"0")</f>
        <v>0</v>
      </c>
      <c r="G91" s="268"/>
      <c r="H91" s="265"/>
      <c r="I91" s="269" t="str">
        <f>IFERROR(__xludf.DUMMYFUNCTION("""COMPUTED_VALUE"""),"F108")</f>
        <v>F108</v>
      </c>
      <c r="K91" s="248" t="s">
        <v>100</v>
      </c>
    </row>
    <row r="92">
      <c r="K92" s="248" t="s">
        <v>100</v>
      </c>
    </row>
    <row r="93">
      <c r="K93" s="248" t="s">
        <v>100</v>
      </c>
    </row>
    <row r="94">
      <c r="K94" s="248" t="s">
        <v>100</v>
      </c>
    </row>
    <row r="95">
      <c r="K95" s="248" t="s">
        <v>100</v>
      </c>
    </row>
    <row r="96">
      <c r="K96" s="248" t="s">
        <v>100</v>
      </c>
    </row>
    <row r="97">
      <c r="K97" s="248" t="s">
        <v>100</v>
      </c>
    </row>
    <row r="98">
      <c r="K98" s="248" t="s">
        <v>100</v>
      </c>
    </row>
    <row r="99">
      <c r="K99" s="248" t="s">
        <v>100</v>
      </c>
    </row>
    <row r="100">
      <c r="K100" s="248" t="s">
        <v>100</v>
      </c>
    </row>
    <row r="101">
      <c r="K101" s="248" t="s">
        <v>100</v>
      </c>
    </row>
    <row r="102">
      <c r="K102" s="248" t="s">
        <v>100</v>
      </c>
    </row>
    <row r="103">
      <c r="K103" s="248" t="s">
        <v>100</v>
      </c>
    </row>
    <row r="104">
      <c r="K104" s="248" t="s">
        <v>100</v>
      </c>
    </row>
    <row r="105">
      <c r="K105" s="248" t="s">
        <v>100</v>
      </c>
    </row>
    <row r="106">
      <c r="K106" s="248"/>
    </row>
    <row r="107">
      <c r="K107" s="248"/>
    </row>
    <row r="108">
      <c r="K108" s="248"/>
    </row>
    <row r="109">
      <c r="K109" s="248"/>
    </row>
    <row r="110">
      <c r="K110" s="248"/>
    </row>
  </sheetData>
  <autoFilter ref="$A$1:$J$136"/>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0"/>
    <col customWidth="1" min="2" max="2" width="14.38"/>
    <col customWidth="1" min="3" max="3" width="12.0"/>
    <col customWidth="1" min="4" max="4" width="14.38"/>
    <col customWidth="1" min="5" max="5" width="13.38"/>
    <col customWidth="1" min="6" max="6" width="13.88"/>
    <col customWidth="1" min="7" max="7" width="14.0"/>
    <col customWidth="1" min="8" max="8" width="12.63"/>
    <col customWidth="1" min="9" max="9" width="15.25"/>
    <col customWidth="1" min="10" max="10" width="15.63"/>
  </cols>
  <sheetData>
    <row r="1">
      <c r="A1" s="242" t="s">
        <v>1</v>
      </c>
      <c r="B1" s="242" t="s">
        <v>2</v>
      </c>
      <c r="C1" s="242" t="s">
        <v>3</v>
      </c>
      <c r="D1" s="242" t="s">
        <v>4</v>
      </c>
      <c r="E1" s="242" t="s">
        <v>5</v>
      </c>
      <c r="F1" s="242" t="s">
        <v>6</v>
      </c>
      <c r="G1" s="242" t="s">
        <v>7</v>
      </c>
      <c r="H1" s="242" t="s">
        <v>8</v>
      </c>
      <c r="I1" s="242" t="s">
        <v>9</v>
      </c>
      <c r="J1" s="242" t="s">
        <v>10</v>
      </c>
      <c r="K1" s="243" t="s">
        <v>173</v>
      </c>
    </row>
    <row r="2">
      <c r="A2" s="244" t="s">
        <v>174</v>
      </c>
      <c r="B2" s="244">
        <v>0.0</v>
      </c>
      <c r="C2" s="244">
        <v>0.0</v>
      </c>
      <c r="D2" s="244">
        <v>0.0</v>
      </c>
      <c r="E2" s="244">
        <v>0.0</v>
      </c>
      <c r="F2" s="244">
        <v>0.0</v>
      </c>
      <c r="G2" s="245"/>
      <c r="H2" s="246"/>
      <c r="I2" s="247" t="s">
        <v>175</v>
      </c>
      <c r="K2" s="248" t="s">
        <v>97</v>
      </c>
    </row>
    <row r="3">
      <c r="A3" s="244" t="s">
        <v>176</v>
      </c>
      <c r="B3" s="244">
        <v>0.0</v>
      </c>
      <c r="C3" s="244">
        <v>0.0</v>
      </c>
      <c r="D3" s="244">
        <v>0.0</v>
      </c>
      <c r="E3" s="244">
        <v>0.0</v>
      </c>
      <c r="F3" s="244">
        <v>0.0</v>
      </c>
      <c r="G3" s="245"/>
      <c r="H3" s="246"/>
      <c r="I3" s="247" t="s">
        <v>177</v>
      </c>
      <c r="K3" s="248" t="s">
        <v>97</v>
      </c>
    </row>
    <row r="4">
      <c r="A4" s="244" t="s">
        <v>178</v>
      </c>
      <c r="B4" s="245">
        <v>0.0</v>
      </c>
      <c r="C4" s="245">
        <v>0.0</v>
      </c>
      <c r="D4" s="245">
        <v>0.0</v>
      </c>
      <c r="E4" s="245">
        <v>0.0</v>
      </c>
      <c r="F4" s="245">
        <v>0.0</v>
      </c>
      <c r="G4" s="247"/>
      <c r="H4" s="246"/>
      <c r="I4" s="247" t="s">
        <v>179</v>
      </c>
      <c r="K4" s="248" t="s">
        <v>97</v>
      </c>
    </row>
    <row r="5">
      <c r="A5" s="249" t="s">
        <v>180</v>
      </c>
      <c r="B5" s="249">
        <v>0.0</v>
      </c>
      <c r="C5" s="249">
        <v>0.0</v>
      </c>
      <c r="D5" s="249">
        <v>0.0</v>
      </c>
      <c r="E5" s="249">
        <v>0.0</v>
      </c>
      <c r="F5" s="249">
        <v>0.0</v>
      </c>
      <c r="G5" s="249"/>
      <c r="H5" s="250"/>
      <c r="I5" s="249" t="s">
        <v>181</v>
      </c>
      <c r="K5" s="248" t="s">
        <v>97</v>
      </c>
    </row>
    <row r="6">
      <c r="A6" s="249" t="s">
        <v>182</v>
      </c>
      <c r="B6" s="249">
        <v>0.0</v>
      </c>
      <c r="C6" s="249">
        <v>0.0</v>
      </c>
      <c r="D6" s="249">
        <v>0.0</v>
      </c>
      <c r="E6" s="249">
        <v>0.0</v>
      </c>
      <c r="F6" s="249">
        <v>0.0</v>
      </c>
      <c r="G6" s="249"/>
      <c r="H6" s="250"/>
      <c r="I6" s="249" t="s">
        <v>183</v>
      </c>
      <c r="K6" s="248" t="s">
        <v>97</v>
      </c>
    </row>
    <row r="7">
      <c r="A7" s="249" t="s">
        <v>184</v>
      </c>
      <c r="B7" s="249">
        <v>0.0</v>
      </c>
      <c r="C7" s="249">
        <v>0.0</v>
      </c>
      <c r="D7" s="249">
        <v>0.0</v>
      </c>
      <c r="E7" s="251">
        <v>0.0</v>
      </c>
      <c r="F7" s="251">
        <v>0.0</v>
      </c>
      <c r="G7" s="252"/>
      <c r="H7" s="253"/>
      <c r="I7" s="252" t="s">
        <v>185</v>
      </c>
      <c r="K7" s="248" t="s">
        <v>97</v>
      </c>
    </row>
    <row r="8">
      <c r="A8" s="249" t="s">
        <v>186</v>
      </c>
      <c r="B8" s="249">
        <v>0.0</v>
      </c>
      <c r="C8" s="249">
        <v>0.0</v>
      </c>
      <c r="D8" s="249">
        <v>0.0</v>
      </c>
      <c r="E8" s="251">
        <v>0.0</v>
      </c>
      <c r="F8" s="251">
        <v>0.0</v>
      </c>
      <c r="G8" s="252"/>
      <c r="H8" s="253"/>
      <c r="I8" s="252" t="s">
        <v>187</v>
      </c>
      <c r="K8" s="248" t="s">
        <v>97</v>
      </c>
    </row>
    <row r="9">
      <c r="A9" s="249" t="s">
        <v>188</v>
      </c>
      <c r="B9" s="249">
        <v>0.0</v>
      </c>
      <c r="C9" s="249">
        <v>0.0</v>
      </c>
      <c r="D9" s="249">
        <v>0.0</v>
      </c>
      <c r="E9" s="249">
        <v>0.0</v>
      </c>
      <c r="F9" s="249">
        <v>0.0</v>
      </c>
      <c r="G9" s="249"/>
      <c r="H9" s="250"/>
      <c r="I9" s="249" t="s">
        <v>189</v>
      </c>
      <c r="K9" s="248" t="s">
        <v>97</v>
      </c>
    </row>
    <row r="10">
      <c r="A10" s="249" t="s">
        <v>190</v>
      </c>
      <c r="B10" s="249">
        <v>0.0</v>
      </c>
      <c r="C10" s="249">
        <v>0.0</v>
      </c>
      <c r="D10" s="249">
        <v>0.0</v>
      </c>
      <c r="E10" s="249">
        <v>0.0</v>
      </c>
      <c r="F10" s="249">
        <v>0.0</v>
      </c>
      <c r="G10" s="249"/>
      <c r="H10" s="250"/>
      <c r="I10" s="249" t="s">
        <v>191</v>
      </c>
      <c r="K10" s="248" t="s">
        <v>97</v>
      </c>
    </row>
    <row r="11">
      <c r="A11" s="254" t="s">
        <v>192</v>
      </c>
      <c r="B11" s="255">
        <v>0.0</v>
      </c>
      <c r="C11" s="255">
        <v>0.0</v>
      </c>
      <c r="D11" s="255">
        <v>0.0</v>
      </c>
      <c r="E11" s="255">
        <v>0.0</v>
      </c>
      <c r="F11" s="255">
        <v>0.0</v>
      </c>
      <c r="G11" s="255"/>
      <c r="H11" s="256"/>
      <c r="I11" s="255" t="s">
        <v>193</v>
      </c>
      <c r="K11" s="248" t="s">
        <v>97</v>
      </c>
    </row>
    <row r="12">
      <c r="A12" s="255" t="s">
        <v>194</v>
      </c>
      <c r="B12" s="255">
        <v>0.0</v>
      </c>
      <c r="C12" s="255">
        <v>0.0</v>
      </c>
      <c r="D12" s="255">
        <v>0.0</v>
      </c>
      <c r="E12" s="255">
        <v>0.0</v>
      </c>
      <c r="F12" s="255">
        <v>0.0</v>
      </c>
      <c r="G12" s="255"/>
      <c r="H12" s="256"/>
      <c r="I12" s="255" t="s">
        <v>195</v>
      </c>
      <c r="K12" s="248" t="s">
        <v>97</v>
      </c>
    </row>
    <row r="13">
      <c r="A13" s="255" t="s">
        <v>196</v>
      </c>
      <c r="B13" s="255">
        <v>0.0</v>
      </c>
      <c r="C13" s="255">
        <v>0.0</v>
      </c>
      <c r="D13" s="255">
        <v>0.0</v>
      </c>
      <c r="E13" s="255">
        <v>0.0</v>
      </c>
      <c r="F13" s="255">
        <v>0.0</v>
      </c>
      <c r="G13" s="255"/>
      <c r="H13" s="256"/>
      <c r="I13" s="255" t="s">
        <v>197</v>
      </c>
      <c r="K13" s="248" t="s">
        <v>97</v>
      </c>
    </row>
    <row r="14">
      <c r="A14" s="255" t="s">
        <v>198</v>
      </c>
      <c r="B14" s="255">
        <v>0.0</v>
      </c>
      <c r="C14" s="255">
        <v>0.0</v>
      </c>
      <c r="D14" s="255">
        <v>0.0</v>
      </c>
      <c r="E14" s="255">
        <v>0.0</v>
      </c>
      <c r="F14" s="255">
        <v>0.0</v>
      </c>
      <c r="G14" s="255"/>
      <c r="H14" s="256"/>
      <c r="I14" s="255" t="s">
        <v>199</v>
      </c>
      <c r="K14" s="248" t="s">
        <v>97</v>
      </c>
    </row>
    <row r="15">
      <c r="A15" s="255" t="s">
        <v>200</v>
      </c>
      <c r="B15" s="255">
        <v>0.0</v>
      </c>
      <c r="C15" s="255">
        <v>0.0</v>
      </c>
      <c r="D15" s="255">
        <v>0.0</v>
      </c>
      <c r="E15" s="255">
        <v>0.0</v>
      </c>
      <c r="F15" s="255">
        <v>0.0</v>
      </c>
      <c r="G15" s="255"/>
      <c r="H15" s="256"/>
      <c r="I15" s="255" t="s">
        <v>201</v>
      </c>
      <c r="K15" s="248" t="s">
        <v>97</v>
      </c>
    </row>
    <row r="16">
      <c r="A16" s="255" t="s">
        <v>202</v>
      </c>
      <c r="B16" s="255">
        <v>0.0</v>
      </c>
      <c r="C16" s="255">
        <v>0.0</v>
      </c>
      <c r="D16" s="255">
        <v>0.0</v>
      </c>
      <c r="E16" s="255">
        <v>0.0</v>
      </c>
      <c r="F16" s="255">
        <v>0.0</v>
      </c>
      <c r="G16" s="255"/>
      <c r="H16" s="256"/>
      <c r="I16" s="255" t="s">
        <v>203</v>
      </c>
      <c r="K16" s="248" t="s">
        <v>97</v>
      </c>
    </row>
    <row r="17">
      <c r="A17" s="255" t="s">
        <v>204</v>
      </c>
      <c r="B17" s="255">
        <v>0.0</v>
      </c>
      <c r="C17" s="255">
        <v>0.0</v>
      </c>
      <c r="D17" s="255">
        <v>0.0</v>
      </c>
      <c r="E17" s="255">
        <v>0.0</v>
      </c>
      <c r="F17" s="255">
        <v>0.0</v>
      </c>
      <c r="G17" s="255"/>
      <c r="H17" s="256"/>
      <c r="I17" s="255" t="s">
        <v>20</v>
      </c>
      <c r="K17" s="248" t="s">
        <v>97</v>
      </c>
    </row>
    <row r="18">
      <c r="A18" s="255" t="s">
        <v>205</v>
      </c>
      <c r="B18" s="255">
        <v>0.0</v>
      </c>
      <c r="C18" s="255">
        <v>0.0</v>
      </c>
      <c r="D18" s="255">
        <v>0.0</v>
      </c>
      <c r="E18" s="255">
        <v>0.0</v>
      </c>
      <c r="F18" s="255">
        <v>0.0</v>
      </c>
      <c r="G18" s="255"/>
      <c r="H18" s="256"/>
      <c r="I18" s="255" t="s">
        <v>206</v>
      </c>
      <c r="K18" s="248" t="s">
        <v>97</v>
      </c>
    </row>
    <row r="19">
      <c r="A19" s="255" t="s">
        <v>207</v>
      </c>
      <c r="B19" s="255">
        <v>0.0</v>
      </c>
      <c r="C19" s="255">
        <v>0.0</v>
      </c>
      <c r="D19" s="255">
        <v>0.0</v>
      </c>
      <c r="E19" s="255">
        <v>0.0</v>
      </c>
      <c r="F19" s="255">
        <v>0.0</v>
      </c>
      <c r="G19" s="255"/>
      <c r="H19" s="256"/>
      <c r="I19" s="255" t="s">
        <v>208</v>
      </c>
      <c r="K19" s="248" t="s">
        <v>97</v>
      </c>
    </row>
    <row r="20">
      <c r="A20" s="257" t="s">
        <v>209</v>
      </c>
      <c r="B20" s="258">
        <v>48.0</v>
      </c>
      <c r="C20" s="259" t="s">
        <v>210</v>
      </c>
      <c r="D20" s="259" t="s">
        <v>210</v>
      </c>
      <c r="E20" s="259" t="s">
        <v>210</v>
      </c>
      <c r="F20" s="259" t="s">
        <v>210</v>
      </c>
      <c r="G20" s="260"/>
      <c r="H20" s="260"/>
      <c r="I20" s="257" t="s">
        <v>166</v>
      </c>
      <c r="K20" s="248" t="s">
        <v>97</v>
      </c>
    </row>
    <row r="21">
      <c r="A21" s="257" t="s">
        <v>211</v>
      </c>
      <c r="B21" s="258">
        <v>56.0</v>
      </c>
      <c r="C21" s="259" t="s">
        <v>210</v>
      </c>
      <c r="D21" s="259" t="s">
        <v>210</v>
      </c>
      <c r="E21" s="259" t="s">
        <v>210</v>
      </c>
      <c r="F21" s="259" t="s">
        <v>210</v>
      </c>
      <c r="G21" s="260"/>
      <c r="H21" s="260"/>
      <c r="I21" s="257" t="s">
        <v>212</v>
      </c>
      <c r="K21" s="248" t="s">
        <v>97</v>
      </c>
    </row>
    <row r="22">
      <c r="A22" s="257" t="s">
        <v>213</v>
      </c>
      <c r="B22" s="258">
        <v>36.0</v>
      </c>
      <c r="C22" s="259" t="s">
        <v>210</v>
      </c>
      <c r="D22" s="259" t="s">
        <v>210</v>
      </c>
      <c r="E22" s="259" t="s">
        <v>210</v>
      </c>
      <c r="F22" s="259" t="s">
        <v>210</v>
      </c>
      <c r="G22" s="260"/>
      <c r="H22" s="260"/>
      <c r="I22" s="257" t="s">
        <v>214</v>
      </c>
      <c r="K22" s="248" t="s">
        <v>97</v>
      </c>
    </row>
    <row r="23">
      <c r="A23" s="16" t="s">
        <v>11</v>
      </c>
      <c r="B23" s="261">
        <v>55.0</v>
      </c>
      <c r="C23" s="16">
        <v>0.0</v>
      </c>
      <c r="D23" s="16">
        <v>0.0</v>
      </c>
      <c r="E23" s="16">
        <v>0.0</v>
      </c>
      <c r="F23" s="16">
        <v>0.0</v>
      </c>
      <c r="G23" s="16"/>
      <c r="H23" s="17"/>
      <c r="I23" s="16" t="s">
        <v>129</v>
      </c>
      <c r="K23" s="248" t="s">
        <v>97</v>
      </c>
    </row>
    <row r="24">
      <c r="A24" s="16" t="s">
        <v>16</v>
      </c>
      <c r="B24" s="261">
        <v>48.0</v>
      </c>
      <c r="C24" s="16">
        <v>0.0</v>
      </c>
      <c r="D24" s="16">
        <v>0.0</v>
      </c>
      <c r="E24" s="16">
        <v>0.0</v>
      </c>
      <c r="F24" s="16">
        <v>0.0</v>
      </c>
      <c r="G24" s="17"/>
      <c r="H24" s="17"/>
      <c r="I24" s="16" t="s">
        <v>17</v>
      </c>
      <c r="K24" s="248" t="s">
        <v>97</v>
      </c>
    </row>
    <row r="25">
      <c r="A25" s="16" t="s">
        <v>19</v>
      </c>
      <c r="B25" s="261">
        <v>55.0</v>
      </c>
      <c r="C25" s="16">
        <v>0.0</v>
      </c>
      <c r="D25" s="16">
        <v>0.0</v>
      </c>
      <c r="E25" s="16">
        <v>0.0</v>
      </c>
      <c r="F25" s="16">
        <v>0.0</v>
      </c>
      <c r="G25" s="17"/>
      <c r="H25" s="17"/>
      <c r="I25" s="16" t="s">
        <v>145</v>
      </c>
      <c r="K25" s="248" t="s">
        <v>97</v>
      </c>
    </row>
    <row r="26">
      <c r="A26" s="186" t="s">
        <v>218</v>
      </c>
      <c r="B26" s="262">
        <v>2993.0</v>
      </c>
      <c r="C26" s="263" t="s">
        <v>210</v>
      </c>
      <c r="D26" s="263" t="s">
        <v>210</v>
      </c>
      <c r="E26" s="263" t="s">
        <v>210</v>
      </c>
      <c r="F26" s="263" t="s">
        <v>210</v>
      </c>
      <c r="G26" s="58"/>
      <c r="K26" s="248" t="s">
        <v>97</v>
      </c>
      <c r="L26" s="36"/>
      <c r="M26" s="264"/>
      <c r="N26" s="264"/>
    </row>
    <row r="27">
      <c r="A27" s="4" t="s">
        <v>219</v>
      </c>
      <c r="B27" s="262">
        <v>1863.0</v>
      </c>
      <c r="C27" s="263" t="s">
        <v>210</v>
      </c>
      <c r="D27" s="263" t="s">
        <v>210</v>
      </c>
      <c r="E27" s="263" t="s">
        <v>210</v>
      </c>
      <c r="F27" s="263" t="s">
        <v>210</v>
      </c>
      <c r="G27" s="58"/>
      <c r="K27" s="248" t="s">
        <v>97</v>
      </c>
      <c r="M27" s="264"/>
      <c r="N27" s="264"/>
    </row>
    <row r="28">
      <c r="A28" s="4" t="s">
        <v>220</v>
      </c>
      <c r="B28" s="262">
        <v>2052.0</v>
      </c>
      <c r="C28" s="263" t="s">
        <v>210</v>
      </c>
      <c r="D28" s="263" t="s">
        <v>210</v>
      </c>
      <c r="E28" s="263" t="s">
        <v>210</v>
      </c>
      <c r="F28" s="263" t="s">
        <v>210</v>
      </c>
      <c r="G28" s="58"/>
      <c r="K28" s="248" t="s">
        <v>97</v>
      </c>
      <c r="M28" s="264"/>
      <c r="N28" s="264"/>
    </row>
    <row r="29">
      <c r="A29" s="4" t="s">
        <v>221</v>
      </c>
      <c r="B29" s="262">
        <v>0.0</v>
      </c>
      <c r="C29" s="263" t="s">
        <v>210</v>
      </c>
      <c r="D29" s="263" t="s">
        <v>210</v>
      </c>
      <c r="E29" s="263" t="s">
        <v>210</v>
      </c>
      <c r="F29" s="263" t="s">
        <v>210</v>
      </c>
      <c r="G29" s="58"/>
      <c r="K29" s="248" t="s">
        <v>97</v>
      </c>
      <c r="M29" s="264"/>
      <c r="N29" s="264"/>
    </row>
    <row r="30">
      <c r="A30" s="4" t="s">
        <v>222</v>
      </c>
      <c r="B30" s="262">
        <v>2180.0</v>
      </c>
      <c r="C30" s="263" t="s">
        <v>210</v>
      </c>
      <c r="D30" s="263" t="s">
        <v>210</v>
      </c>
      <c r="E30" s="263" t="s">
        <v>210</v>
      </c>
      <c r="F30" s="263" t="s">
        <v>210</v>
      </c>
      <c r="J30" s="4"/>
      <c r="K30" s="248" t="s">
        <v>97</v>
      </c>
      <c r="M30" s="264"/>
      <c r="N30" s="264"/>
    </row>
    <row r="31">
      <c r="A31" s="4" t="s">
        <v>223</v>
      </c>
      <c r="B31" s="262">
        <v>0.0</v>
      </c>
      <c r="C31" s="263" t="s">
        <v>210</v>
      </c>
      <c r="D31" s="263" t="s">
        <v>210</v>
      </c>
      <c r="E31" s="263" t="s">
        <v>210</v>
      </c>
      <c r="F31" s="263" t="s">
        <v>210</v>
      </c>
      <c r="K31" s="248" t="s">
        <v>97</v>
      </c>
      <c r="M31" s="264"/>
      <c r="N31" s="264"/>
    </row>
    <row r="32">
      <c r="A32" s="4" t="s">
        <v>224</v>
      </c>
      <c r="B32" s="262">
        <v>0.0</v>
      </c>
      <c r="C32" s="263" t="s">
        <v>210</v>
      </c>
      <c r="D32" s="263" t="s">
        <v>210</v>
      </c>
      <c r="E32" s="263" t="s">
        <v>210</v>
      </c>
      <c r="F32" s="263" t="s">
        <v>210</v>
      </c>
      <c r="K32" s="248" t="s">
        <v>97</v>
      </c>
      <c r="M32" s="264"/>
      <c r="N32" s="264"/>
    </row>
    <row r="33">
      <c r="A33" s="4" t="s">
        <v>225</v>
      </c>
      <c r="B33" s="262">
        <v>1246.0</v>
      </c>
      <c r="C33" s="263" t="s">
        <v>210</v>
      </c>
      <c r="D33" s="263" t="s">
        <v>210</v>
      </c>
      <c r="E33" s="263" t="s">
        <v>210</v>
      </c>
      <c r="F33" s="263" t="s">
        <v>210</v>
      </c>
      <c r="K33" s="248" t="s">
        <v>97</v>
      </c>
      <c r="M33" s="264"/>
      <c r="N33" s="264"/>
    </row>
    <row r="34">
      <c r="A34" s="4" t="s">
        <v>226</v>
      </c>
      <c r="B34" s="262">
        <v>326.0</v>
      </c>
      <c r="C34" s="263" t="s">
        <v>210</v>
      </c>
      <c r="D34" s="263" t="s">
        <v>210</v>
      </c>
      <c r="E34" s="263" t="s">
        <v>210</v>
      </c>
      <c r="F34" s="263" t="s">
        <v>210</v>
      </c>
      <c r="G34" s="4"/>
      <c r="H34" s="8"/>
      <c r="I34" s="39"/>
      <c r="K34" s="248" t="s">
        <v>97</v>
      </c>
      <c r="M34" s="264"/>
      <c r="N34" s="264"/>
    </row>
    <row r="35">
      <c r="A35" s="4" t="s">
        <v>227</v>
      </c>
      <c r="B35" s="262">
        <v>293.0</v>
      </c>
      <c r="C35" s="263" t="s">
        <v>210</v>
      </c>
      <c r="D35" s="263" t="s">
        <v>210</v>
      </c>
      <c r="E35" s="263" t="s">
        <v>210</v>
      </c>
      <c r="F35" s="263" t="s">
        <v>210</v>
      </c>
      <c r="K35" s="248" t="s">
        <v>97</v>
      </c>
      <c r="M35" s="264"/>
      <c r="N35" s="264"/>
    </row>
    <row r="36">
      <c r="A36" s="4" t="s">
        <v>228</v>
      </c>
      <c r="B36" s="262">
        <v>598.0</v>
      </c>
      <c r="C36" s="263" t="s">
        <v>210</v>
      </c>
      <c r="D36" s="263" t="s">
        <v>210</v>
      </c>
      <c r="E36" s="263" t="s">
        <v>210</v>
      </c>
      <c r="F36" s="263" t="s">
        <v>210</v>
      </c>
      <c r="K36" s="248" t="s">
        <v>97</v>
      </c>
      <c r="M36" s="264"/>
      <c r="N36" s="264"/>
    </row>
    <row r="37">
      <c r="A37" s="4" t="s">
        <v>229</v>
      </c>
      <c r="B37" s="262">
        <v>1282.0</v>
      </c>
      <c r="C37" s="263" t="s">
        <v>210</v>
      </c>
      <c r="D37" s="263" t="s">
        <v>210</v>
      </c>
      <c r="E37" s="263" t="s">
        <v>210</v>
      </c>
      <c r="F37" s="263" t="s">
        <v>210</v>
      </c>
      <c r="K37" s="248" t="s">
        <v>97</v>
      </c>
      <c r="M37" s="264"/>
      <c r="N37" s="264"/>
    </row>
    <row r="38" ht="15.75" customHeight="1">
      <c r="A38" s="4" t="s">
        <v>230</v>
      </c>
      <c r="B38" s="262">
        <v>1276.0</v>
      </c>
      <c r="C38" s="263" t="s">
        <v>210</v>
      </c>
      <c r="D38" s="263" t="s">
        <v>210</v>
      </c>
      <c r="E38" s="263" t="s">
        <v>210</v>
      </c>
      <c r="F38" s="263" t="s">
        <v>210</v>
      </c>
      <c r="K38" s="248" t="s">
        <v>97</v>
      </c>
      <c r="M38" s="264"/>
      <c r="N38" s="264"/>
    </row>
    <row r="39">
      <c r="A39" s="4" t="s">
        <v>231</v>
      </c>
      <c r="B39" s="262">
        <v>670.0</v>
      </c>
      <c r="C39" s="263" t="s">
        <v>210</v>
      </c>
      <c r="D39" s="263" t="s">
        <v>210</v>
      </c>
      <c r="E39" s="263" t="s">
        <v>210</v>
      </c>
      <c r="F39" s="263" t="s">
        <v>210</v>
      </c>
      <c r="K39" s="248" t="s">
        <v>97</v>
      </c>
      <c r="M39" s="264"/>
      <c r="N39" s="264"/>
    </row>
    <row r="40">
      <c r="A40" s="4" t="s">
        <v>232</v>
      </c>
      <c r="B40" s="262">
        <v>678.0</v>
      </c>
      <c r="C40" s="263" t="s">
        <v>210</v>
      </c>
      <c r="D40" s="263" t="s">
        <v>210</v>
      </c>
      <c r="E40" s="263" t="s">
        <v>210</v>
      </c>
      <c r="F40" s="263" t="s">
        <v>210</v>
      </c>
      <c r="K40" s="248" t="s">
        <v>97</v>
      </c>
      <c r="M40" s="264"/>
      <c r="N40" s="264"/>
    </row>
    <row r="41">
      <c r="A41" s="4" t="s">
        <v>233</v>
      </c>
      <c r="B41" s="262">
        <v>773.0</v>
      </c>
      <c r="C41" s="263" t="s">
        <v>210</v>
      </c>
      <c r="D41" s="263" t="s">
        <v>210</v>
      </c>
      <c r="E41" s="263" t="s">
        <v>210</v>
      </c>
      <c r="F41" s="263" t="s">
        <v>210</v>
      </c>
      <c r="G41" s="58"/>
      <c r="K41" s="248" t="s">
        <v>97</v>
      </c>
      <c r="M41" s="264"/>
      <c r="N41" s="264"/>
    </row>
    <row r="42">
      <c r="A42" s="4" t="s">
        <v>234</v>
      </c>
      <c r="B42" s="262">
        <v>1733.0</v>
      </c>
      <c r="C42" s="263" t="s">
        <v>210</v>
      </c>
      <c r="D42" s="263" t="s">
        <v>210</v>
      </c>
      <c r="E42" s="263" t="s">
        <v>210</v>
      </c>
      <c r="F42" s="263" t="s">
        <v>210</v>
      </c>
      <c r="G42" s="58"/>
      <c r="K42" s="248" t="s">
        <v>97</v>
      </c>
      <c r="M42" s="264"/>
      <c r="N42" s="264"/>
    </row>
    <row r="43">
      <c r="A43" s="4" t="s">
        <v>235</v>
      </c>
      <c r="B43" s="262">
        <v>504.0</v>
      </c>
      <c r="C43" s="263" t="s">
        <v>210</v>
      </c>
      <c r="D43" s="263" t="s">
        <v>210</v>
      </c>
      <c r="E43" s="263" t="s">
        <v>210</v>
      </c>
      <c r="F43" s="263" t="s">
        <v>210</v>
      </c>
      <c r="K43" s="248" t="s">
        <v>97</v>
      </c>
      <c r="M43" s="264"/>
      <c r="N43" s="264"/>
    </row>
    <row r="44">
      <c r="A44" s="4" t="s">
        <v>236</v>
      </c>
      <c r="B44" s="262">
        <v>0.0</v>
      </c>
      <c r="C44" s="263" t="s">
        <v>210</v>
      </c>
      <c r="D44" s="263" t="s">
        <v>210</v>
      </c>
      <c r="E44" s="263" t="s">
        <v>210</v>
      </c>
      <c r="F44" s="263" t="s">
        <v>210</v>
      </c>
      <c r="I44" s="186" t="s">
        <v>146</v>
      </c>
      <c r="K44" s="248" t="s">
        <v>97</v>
      </c>
      <c r="M44" s="264"/>
      <c r="N44" s="264"/>
    </row>
    <row r="45">
      <c r="A45" s="186" t="s">
        <v>237</v>
      </c>
      <c r="B45" s="36">
        <v>48.0</v>
      </c>
      <c r="C45" s="265" t="s">
        <v>210</v>
      </c>
      <c r="D45" s="265" t="s">
        <v>210</v>
      </c>
      <c r="E45" s="265" t="s">
        <v>210</v>
      </c>
      <c r="F45" s="265" t="s">
        <v>210</v>
      </c>
      <c r="I45" s="186" t="s">
        <v>149</v>
      </c>
      <c r="K45" s="248" t="s">
        <v>97</v>
      </c>
      <c r="M45" s="264"/>
      <c r="N45" s="264"/>
    </row>
    <row r="46">
      <c r="A46" s="186" t="s">
        <v>238</v>
      </c>
      <c r="B46" s="36">
        <v>56.0</v>
      </c>
      <c r="C46" s="265" t="s">
        <v>210</v>
      </c>
      <c r="D46" s="265" t="s">
        <v>210</v>
      </c>
      <c r="E46" s="265" t="s">
        <v>210</v>
      </c>
      <c r="F46" s="265" t="s">
        <v>210</v>
      </c>
      <c r="I46" s="186" t="s">
        <v>150</v>
      </c>
      <c r="K46" s="248" t="s">
        <v>97</v>
      </c>
      <c r="M46" s="264"/>
      <c r="N46" s="264"/>
    </row>
    <row r="47" hidden="1">
      <c r="A47" s="186" t="s">
        <v>239</v>
      </c>
      <c r="B47" s="36">
        <v>36.0</v>
      </c>
      <c r="C47" s="265" t="s">
        <v>210</v>
      </c>
      <c r="D47" s="265" t="s">
        <v>210</v>
      </c>
      <c r="E47" s="265" t="s">
        <v>210</v>
      </c>
      <c r="F47" s="265" t="s">
        <v>210</v>
      </c>
      <c r="I47" s="186" t="s">
        <v>153</v>
      </c>
      <c r="K47" s="248" t="s">
        <v>97</v>
      </c>
    </row>
    <row r="48" hidden="1">
      <c r="B48" s="36"/>
      <c r="C48" s="265"/>
      <c r="D48" s="265"/>
      <c r="E48" s="265"/>
      <c r="F48" s="265"/>
      <c r="K48" s="248" t="s">
        <v>97</v>
      </c>
    </row>
    <row r="49" hidden="1">
      <c r="B49" s="36"/>
      <c r="C49" s="265"/>
      <c r="D49" s="265"/>
      <c r="E49" s="265"/>
      <c r="F49" s="265"/>
      <c r="K49" s="248" t="s">
        <v>97</v>
      </c>
    </row>
    <row r="50" hidden="1">
      <c r="B50" s="36"/>
      <c r="C50" s="265"/>
      <c r="D50" s="265"/>
      <c r="E50" s="265"/>
      <c r="F50" s="265"/>
      <c r="K50" s="248" t="s">
        <v>97</v>
      </c>
    </row>
    <row r="51" hidden="1">
      <c r="B51" s="36"/>
      <c r="C51" s="265"/>
      <c r="D51" s="265"/>
      <c r="E51" s="265"/>
      <c r="F51" s="265"/>
      <c r="K51" s="248" t="s">
        <v>97</v>
      </c>
    </row>
    <row r="52" hidden="1">
      <c r="B52" s="36"/>
      <c r="C52" s="265"/>
      <c r="D52" s="265"/>
      <c r="E52" s="265"/>
      <c r="F52" s="265"/>
      <c r="K52" s="248" t="s">
        <v>97</v>
      </c>
    </row>
    <row r="53" hidden="1">
      <c r="B53" s="36"/>
      <c r="C53" s="265"/>
      <c r="D53" s="265"/>
      <c r="E53" s="265"/>
      <c r="F53" s="265"/>
      <c r="K53" s="248" t="s">
        <v>97</v>
      </c>
    </row>
    <row r="54" hidden="1">
      <c r="B54" s="36"/>
      <c r="C54" s="265"/>
      <c r="D54" s="265"/>
      <c r="E54" s="265"/>
      <c r="F54" s="265"/>
      <c r="K54" s="248" t="s">
        <v>97</v>
      </c>
    </row>
    <row r="55" hidden="1">
      <c r="B55" s="36"/>
      <c r="C55" s="265"/>
      <c r="D55" s="265"/>
      <c r="E55" s="265"/>
      <c r="F55" s="265"/>
      <c r="K55" s="248" t="s">
        <v>97</v>
      </c>
    </row>
    <row r="56" hidden="1">
      <c r="B56" s="36"/>
      <c r="C56" s="265"/>
      <c r="D56" s="265"/>
      <c r="E56" s="265"/>
      <c r="F56" s="265"/>
      <c r="K56" s="248" t="s">
        <v>97</v>
      </c>
    </row>
    <row r="57" hidden="1">
      <c r="B57" s="36"/>
      <c r="C57" s="265"/>
      <c r="D57" s="265"/>
      <c r="E57" s="265"/>
      <c r="F57" s="265"/>
      <c r="K57" s="248" t="s">
        <v>97</v>
      </c>
    </row>
    <row r="58" hidden="1">
      <c r="B58" s="36"/>
      <c r="C58" s="265"/>
      <c r="D58" s="265"/>
      <c r="E58" s="265"/>
      <c r="F58" s="265"/>
      <c r="K58" s="248" t="s">
        <v>97</v>
      </c>
    </row>
    <row r="59" hidden="1">
      <c r="B59" s="36"/>
      <c r="C59" s="265"/>
      <c r="D59" s="265"/>
      <c r="E59" s="265"/>
      <c r="F59" s="265"/>
      <c r="K59" s="248" t="s">
        <v>97</v>
      </c>
    </row>
    <row r="60" hidden="1">
      <c r="B60" s="36"/>
      <c r="C60" s="265"/>
      <c r="D60" s="265"/>
      <c r="E60" s="265"/>
      <c r="F60" s="265"/>
      <c r="K60" s="248" t="s">
        <v>97</v>
      </c>
    </row>
    <row r="61" hidden="1">
      <c r="B61" s="36"/>
      <c r="C61" s="265"/>
      <c r="D61" s="265"/>
      <c r="E61" s="265"/>
      <c r="F61" s="265"/>
      <c r="K61" s="248" t="s">
        <v>97</v>
      </c>
    </row>
    <row r="62" hidden="1">
      <c r="B62" s="36"/>
      <c r="C62" s="265"/>
      <c r="D62" s="265"/>
      <c r="E62" s="265"/>
      <c r="F62" s="265"/>
      <c r="K62" s="248" t="s">
        <v>97</v>
      </c>
    </row>
    <row r="63">
      <c r="A63" s="244" t="s">
        <v>215</v>
      </c>
      <c r="B63" s="244">
        <v>0.0</v>
      </c>
      <c r="C63" s="244">
        <v>0.0</v>
      </c>
      <c r="D63" s="244">
        <v>0.0</v>
      </c>
      <c r="E63" s="244">
        <v>0.0</v>
      </c>
      <c r="F63" s="244">
        <v>0.0</v>
      </c>
      <c r="G63" s="245"/>
      <c r="H63" s="246"/>
      <c r="I63" s="247" t="s">
        <v>179</v>
      </c>
      <c r="K63" s="248" t="s">
        <v>100</v>
      </c>
    </row>
    <row r="64">
      <c r="A64" s="244" t="s">
        <v>159</v>
      </c>
      <c r="B64" s="244">
        <v>0.0</v>
      </c>
      <c r="C64" s="244">
        <v>0.0</v>
      </c>
      <c r="D64" s="244">
        <v>0.0</v>
      </c>
      <c r="E64" s="244">
        <v>0.0</v>
      </c>
      <c r="F64" s="244">
        <v>0.0</v>
      </c>
      <c r="G64" s="245"/>
      <c r="H64" s="246"/>
      <c r="I64" s="247" t="s">
        <v>216</v>
      </c>
      <c r="K64" s="248" t="s">
        <v>100</v>
      </c>
    </row>
    <row r="65">
      <c r="A65" s="244" t="s">
        <v>162</v>
      </c>
      <c r="B65" s="244">
        <v>0.0</v>
      </c>
      <c r="C65" s="244">
        <v>0.0</v>
      </c>
      <c r="D65" s="244">
        <v>0.0</v>
      </c>
      <c r="E65" s="244">
        <v>0.0</v>
      </c>
      <c r="F65" s="244">
        <v>0.0</v>
      </c>
      <c r="G65" s="245"/>
      <c r="H65" s="246"/>
      <c r="I65" s="247" t="s">
        <v>177</v>
      </c>
      <c r="K65" s="248" t="s">
        <v>100</v>
      </c>
    </row>
    <row r="66">
      <c r="A66" s="266" t="s">
        <v>164</v>
      </c>
      <c r="B66" s="245">
        <v>0.0</v>
      </c>
      <c r="C66" s="245">
        <v>0.0</v>
      </c>
      <c r="D66" s="245">
        <v>0.0</v>
      </c>
      <c r="E66" s="245">
        <v>0.0</v>
      </c>
      <c r="F66" s="245">
        <v>0.0</v>
      </c>
      <c r="G66" s="247"/>
      <c r="H66" s="246"/>
      <c r="I66" s="247" t="s">
        <v>175</v>
      </c>
      <c r="K66" s="248" t="s">
        <v>100</v>
      </c>
    </row>
    <row r="67">
      <c r="A67" s="254" t="s">
        <v>192</v>
      </c>
      <c r="B67" s="255">
        <v>0.0</v>
      </c>
      <c r="C67" s="255">
        <v>0.0</v>
      </c>
      <c r="D67" s="255">
        <v>0.0</v>
      </c>
      <c r="E67" s="255">
        <v>0.0</v>
      </c>
      <c r="F67" s="255">
        <v>0.0</v>
      </c>
      <c r="G67" s="255"/>
      <c r="H67" s="256"/>
      <c r="I67" s="255" t="s">
        <v>203</v>
      </c>
      <c r="K67" s="248" t="s">
        <v>100</v>
      </c>
    </row>
    <row r="68">
      <c r="A68" s="255" t="s">
        <v>217</v>
      </c>
      <c r="B68" s="255">
        <v>0.0</v>
      </c>
      <c r="C68" s="255">
        <v>0.0</v>
      </c>
      <c r="D68" s="255">
        <v>0.0</v>
      </c>
      <c r="E68" s="255">
        <v>0.0</v>
      </c>
      <c r="F68" s="255">
        <v>0.0</v>
      </c>
      <c r="G68" s="255"/>
      <c r="H68" s="256"/>
      <c r="I68" s="255" t="s">
        <v>214</v>
      </c>
      <c r="K68" s="248" t="s">
        <v>100</v>
      </c>
    </row>
    <row r="69">
      <c r="A69" s="16" t="s">
        <v>11</v>
      </c>
      <c r="B69" s="16">
        <v>130.0</v>
      </c>
      <c r="C69" s="16">
        <v>0.0</v>
      </c>
      <c r="D69" s="16">
        <v>0.0</v>
      </c>
      <c r="E69" s="16">
        <v>0.0</v>
      </c>
      <c r="F69" s="16">
        <v>0.0</v>
      </c>
      <c r="G69" s="16"/>
      <c r="H69" s="17"/>
      <c r="I69" s="267" t="s">
        <v>20</v>
      </c>
      <c r="K69" s="248" t="s">
        <v>100</v>
      </c>
    </row>
    <row r="70">
      <c r="A70" s="12" t="s">
        <v>240</v>
      </c>
      <c r="B70" s="36">
        <v>3769.0</v>
      </c>
      <c r="C70" s="268" t="s">
        <v>210</v>
      </c>
      <c r="D70" s="268" t="s">
        <v>210</v>
      </c>
      <c r="E70" s="268" t="s">
        <v>210</v>
      </c>
      <c r="F70" s="268" t="s">
        <v>210</v>
      </c>
      <c r="G70" s="268"/>
      <c r="H70" s="265"/>
      <c r="I70" s="269"/>
      <c r="K70" s="248" t="s">
        <v>100</v>
      </c>
    </row>
    <row r="71">
      <c r="A71" s="12" t="s">
        <v>241</v>
      </c>
      <c r="B71" s="36">
        <v>2570.0</v>
      </c>
      <c r="C71" s="268" t="s">
        <v>210</v>
      </c>
      <c r="D71" s="268" t="s">
        <v>210</v>
      </c>
      <c r="E71" s="268" t="s">
        <v>210</v>
      </c>
      <c r="F71" s="268" t="s">
        <v>210</v>
      </c>
      <c r="G71" s="268"/>
      <c r="H71" s="265"/>
      <c r="I71" s="269"/>
      <c r="K71" s="248" t="s">
        <v>100</v>
      </c>
    </row>
    <row r="72">
      <c r="A72" s="186" t="s">
        <v>242</v>
      </c>
      <c r="B72" s="189">
        <v>2354.0</v>
      </c>
      <c r="C72" s="268" t="s">
        <v>210</v>
      </c>
      <c r="D72" s="268" t="s">
        <v>210</v>
      </c>
      <c r="E72" s="268" t="s">
        <v>210</v>
      </c>
      <c r="F72" s="268" t="s">
        <v>210</v>
      </c>
      <c r="G72" s="268"/>
      <c r="H72" s="265"/>
      <c r="I72" s="269"/>
      <c r="K72" s="248" t="s">
        <v>100</v>
      </c>
    </row>
    <row r="73">
      <c r="A73" s="186" t="s">
        <v>243</v>
      </c>
      <c r="B73" s="189">
        <v>0.0</v>
      </c>
      <c r="C73" s="268" t="s">
        <v>210</v>
      </c>
      <c r="D73" s="268" t="s">
        <v>210</v>
      </c>
      <c r="E73" s="268" t="s">
        <v>210</v>
      </c>
      <c r="F73" s="268" t="s">
        <v>210</v>
      </c>
      <c r="G73" s="268"/>
      <c r="H73" s="265"/>
      <c r="I73" s="269"/>
      <c r="K73" s="248" t="s">
        <v>100</v>
      </c>
    </row>
    <row r="74">
      <c r="A74" s="186" t="s">
        <v>244</v>
      </c>
      <c r="B74" s="189">
        <v>2382.0</v>
      </c>
      <c r="C74" s="268" t="s">
        <v>210</v>
      </c>
      <c r="D74" s="268" t="s">
        <v>210</v>
      </c>
      <c r="E74" s="268" t="s">
        <v>210</v>
      </c>
      <c r="F74" s="268" t="s">
        <v>210</v>
      </c>
      <c r="G74" s="268"/>
      <c r="H74" s="265"/>
      <c r="I74" s="269"/>
      <c r="K74" s="248" t="s">
        <v>100</v>
      </c>
    </row>
    <row r="75">
      <c r="A75" s="186" t="s">
        <v>245</v>
      </c>
      <c r="B75" s="189">
        <v>0.0</v>
      </c>
      <c r="C75" s="268" t="s">
        <v>210</v>
      </c>
      <c r="D75" s="268" t="s">
        <v>210</v>
      </c>
      <c r="E75" s="268" t="s">
        <v>210</v>
      </c>
      <c r="F75" s="268" t="s">
        <v>210</v>
      </c>
      <c r="G75" s="268"/>
      <c r="H75" s="265"/>
      <c r="I75" s="269"/>
      <c r="K75" s="248" t="s">
        <v>100</v>
      </c>
    </row>
    <row r="76">
      <c r="A76" s="186" t="s">
        <v>246</v>
      </c>
      <c r="B76" s="189">
        <v>0.0</v>
      </c>
      <c r="C76" s="268" t="s">
        <v>210</v>
      </c>
      <c r="D76" s="268" t="s">
        <v>210</v>
      </c>
      <c r="E76" s="268" t="s">
        <v>210</v>
      </c>
      <c r="F76" s="268" t="s">
        <v>210</v>
      </c>
      <c r="G76" s="268"/>
      <c r="H76" s="265"/>
      <c r="I76" s="269"/>
      <c r="K76" s="248" t="s">
        <v>100</v>
      </c>
    </row>
    <row r="77">
      <c r="A77" s="186" t="s">
        <v>247</v>
      </c>
      <c r="B77" s="189">
        <v>1291.0</v>
      </c>
      <c r="C77" s="268" t="s">
        <v>210</v>
      </c>
      <c r="D77" s="268" t="s">
        <v>210</v>
      </c>
      <c r="E77" s="268" t="s">
        <v>210</v>
      </c>
      <c r="F77" s="268" t="s">
        <v>210</v>
      </c>
      <c r="G77" s="268"/>
      <c r="H77" s="265"/>
      <c r="I77" s="269"/>
      <c r="K77" s="248" t="s">
        <v>100</v>
      </c>
    </row>
    <row r="78">
      <c r="A78" s="186" t="s">
        <v>248</v>
      </c>
      <c r="B78" s="189">
        <v>310.0</v>
      </c>
      <c r="C78" s="268" t="s">
        <v>210</v>
      </c>
      <c r="D78" s="268" t="s">
        <v>210</v>
      </c>
      <c r="E78" s="268" t="s">
        <v>210</v>
      </c>
      <c r="F78" s="268" t="s">
        <v>210</v>
      </c>
      <c r="G78" s="268"/>
      <c r="H78" s="265"/>
      <c r="I78" s="269"/>
      <c r="K78" s="248" t="s">
        <v>100</v>
      </c>
    </row>
    <row r="79">
      <c r="A79" s="186" t="s">
        <v>249</v>
      </c>
      <c r="B79" s="189">
        <v>260.0</v>
      </c>
      <c r="C79" s="268" t="s">
        <v>210</v>
      </c>
      <c r="D79" s="268" t="s">
        <v>210</v>
      </c>
      <c r="E79" s="268" t="s">
        <v>210</v>
      </c>
      <c r="F79" s="268" t="s">
        <v>210</v>
      </c>
      <c r="G79" s="268"/>
      <c r="H79" s="265"/>
      <c r="I79" s="269"/>
      <c r="K79" s="248" t="s">
        <v>100</v>
      </c>
    </row>
    <row r="80">
      <c r="A80" s="186" t="s">
        <v>250</v>
      </c>
      <c r="B80" s="189">
        <v>709.0</v>
      </c>
      <c r="C80" s="268" t="s">
        <v>210</v>
      </c>
      <c r="D80" s="268" t="s">
        <v>210</v>
      </c>
      <c r="E80" s="268" t="s">
        <v>210</v>
      </c>
      <c r="F80" s="268" t="s">
        <v>210</v>
      </c>
      <c r="G80" s="268"/>
      <c r="H80" s="265"/>
      <c r="I80" s="269"/>
      <c r="K80" s="248" t="s">
        <v>100</v>
      </c>
    </row>
    <row r="81">
      <c r="A81" s="186" t="s">
        <v>251</v>
      </c>
      <c r="B81" s="189">
        <v>1383.0</v>
      </c>
      <c r="C81" s="268" t="s">
        <v>210</v>
      </c>
      <c r="D81" s="268" t="s">
        <v>210</v>
      </c>
      <c r="E81" s="268" t="s">
        <v>210</v>
      </c>
      <c r="F81" s="268" t="s">
        <v>210</v>
      </c>
      <c r="G81" s="268"/>
      <c r="H81" s="265"/>
      <c r="I81" s="269"/>
      <c r="K81" s="248" t="s">
        <v>100</v>
      </c>
    </row>
    <row r="82">
      <c r="A82" s="186" t="s">
        <v>252</v>
      </c>
      <c r="B82" s="189">
        <v>1996.0</v>
      </c>
      <c r="C82" s="268" t="s">
        <v>210</v>
      </c>
      <c r="D82" s="268" t="s">
        <v>210</v>
      </c>
      <c r="E82" s="268" t="s">
        <v>210</v>
      </c>
      <c r="F82" s="268" t="s">
        <v>210</v>
      </c>
      <c r="G82" s="268"/>
      <c r="H82" s="265"/>
      <c r="I82" s="269"/>
      <c r="K82" s="248" t="s">
        <v>100</v>
      </c>
    </row>
    <row r="83">
      <c r="A83" s="186" t="s">
        <v>253</v>
      </c>
      <c r="B83" s="189">
        <v>718.0</v>
      </c>
      <c r="C83" s="268" t="s">
        <v>210</v>
      </c>
      <c r="D83" s="268" t="s">
        <v>210</v>
      </c>
      <c r="E83" s="268" t="s">
        <v>210</v>
      </c>
      <c r="F83" s="268" t="s">
        <v>210</v>
      </c>
      <c r="G83" s="268"/>
      <c r="H83" s="265"/>
      <c r="I83" s="269"/>
      <c r="K83" s="248" t="s">
        <v>100</v>
      </c>
    </row>
    <row r="84">
      <c r="A84" s="186" t="s">
        <v>254</v>
      </c>
      <c r="B84" s="189">
        <v>685.0</v>
      </c>
      <c r="C84" s="268" t="s">
        <v>210</v>
      </c>
      <c r="D84" s="268" t="s">
        <v>210</v>
      </c>
      <c r="E84" s="268" t="s">
        <v>210</v>
      </c>
      <c r="F84" s="268" t="s">
        <v>210</v>
      </c>
      <c r="G84" s="268"/>
      <c r="H84" s="265"/>
      <c r="I84" s="269"/>
      <c r="K84" s="248" t="s">
        <v>100</v>
      </c>
    </row>
    <row r="85">
      <c r="A85" s="186" t="s">
        <v>255</v>
      </c>
      <c r="B85" s="189">
        <v>625.0</v>
      </c>
      <c r="C85" s="268" t="s">
        <v>210</v>
      </c>
      <c r="D85" s="268" t="s">
        <v>210</v>
      </c>
      <c r="E85" s="268" t="s">
        <v>210</v>
      </c>
      <c r="F85" s="268" t="s">
        <v>210</v>
      </c>
      <c r="G85" s="268"/>
      <c r="H85" s="265"/>
      <c r="I85" s="269"/>
      <c r="K85" s="248" t="s">
        <v>100</v>
      </c>
    </row>
    <row r="86">
      <c r="A86" s="186" t="s">
        <v>256</v>
      </c>
      <c r="B86" s="189">
        <v>1844.0</v>
      </c>
      <c r="C86" s="268" t="s">
        <v>210</v>
      </c>
      <c r="D86" s="268" t="s">
        <v>210</v>
      </c>
      <c r="E86" s="268" t="s">
        <v>210</v>
      </c>
      <c r="F86" s="268" t="s">
        <v>210</v>
      </c>
      <c r="G86" s="268"/>
      <c r="H86" s="265"/>
      <c r="I86" s="269"/>
      <c r="K86" s="248" t="s">
        <v>100</v>
      </c>
    </row>
    <row r="87">
      <c r="A87" s="186" t="s">
        <v>257</v>
      </c>
      <c r="B87" s="189">
        <v>667.0</v>
      </c>
      <c r="C87" s="268" t="s">
        <v>210</v>
      </c>
      <c r="D87" s="268" t="s">
        <v>210</v>
      </c>
      <c r="E87" s="268" t="s">
        <v>210</v>
      </c>
      <c r="F87" s="268" t="s">
        <v>210</v>
      </c>
      <c r="G87" s="268"/>
      <c r="H87" s="265"/>
      <c r="I87" s="269"/>
      <c r="K87" s="248" t="s">
        <v>100</v>
      </c>
    </row>
    <row r="88">
      <c r="A88" s="186" t="s">
        <v>236</v>
      </c>
      <c r="B88" s="189">
        <v>0.0</v>
      </c>
      <c r="C88" s="268" t="s">
        <v>210</v>
      </c>
      <c r="D88" s="268" t="s">
        <v>210</v>
      </c>
      <c r="E88" s="268" t="s">
        <v>210</v>
      </c>
      <c r="F88" s="268" t="s">
        <v>210</v>
      </c>
      <c r="G88" s="268"/>
      <c r="H88" s="265"/>
      <c r="I88" s="269" t="s">
        <v>166</v>
      </c>
      <c r="K88" s="248" t="s">
        <v>100</v>
      </c>
    </row>
    <row r="89">
      <c r="A89" s="186" t="s">
        <v>258</v>
      </c>
      <c r="B89" s="189">
        <v>0.0</v>
      </c>
      <c r="C89" s="268" t="s">
        <v>210</v>
      </c>
      <c r="D89" s="268" t="s">
        <v>210</v>
      </c>
      <c r="E89" s="268" t="s">
        <v>210</v>
      </c>
      <c r="F89" s="268" t="s">
        <v>210</v>
      </c>
      <c r="G89" s="268"/>
      <c r="H89" s="265"/>
      <c r="I89" s="269"/>
      <c r="K89" s="248" t="s">
        <v>100</v>
      </c>
    </row>
    <row r="90">
      <c r="A90" s="186" t="s">
        <v>259</v>
      </c>
      <c r="B90" s="189">
        <v>0.0</v>
      </c>
      <c r="C90" s="268" t="s">
        <v>210</v>
      </c>
      <c r="D90" s="268" t="s">
        <v>210</v>
      </c>
      <c r="E90" s="268" t="s">
        <v>210</v>
      </c>
      <c r="F90" s="268" t="s">
        <v>210</v>
      </c>
      <c r="G90" s="268"/>
      <c r="H90" s="265"/>
      <c r="I90" s="269"/>
      <c r="K90" s="248" t="s">
        <v>100</v>
      </c>
    </row>
    <row r="91">
      <c r="A91" s="186" t="s">
        <v>260</v>
      </c>
      <c r="B91" s="189">
        <v>36.0</v>
      </c>
      <c r="C91" s="268" t="s">
        <v>210</v>
      </c>
      <c r="D91" s="268" t="s">
        <v>210</v>
      </c>
      <c r="E91" s="268" t="s">
        <v>210</v>
      </c>
      <c r="F91" s="268" t="s">
        <v>210</v>
      </c>
      <c r="G91" s="268"/>
      <c r="H91" s="265"/>
      <c r="I91" s="269"/>
      <c r="K91" s="248" t="s">
        <v>100</v>
      </c>
    </row>
    <row r="92">
      <c r="A92" s="186" t="s">
        <v>169</v>
      </c>
      <c r="B92" s="189">
        <v>126.0</v>
      </c>
      <c r="C92" s="186" t="s">
        <v>210</v>
      </c>
      <c r="D92" s="186" t="s">
        <v>210</v>
      </c>
      <c r="E92" s="186" t="s">
        <v>210</v>
      </c>
      <c r="F92" s="186" t="s">
        <v>210</v>
      </c>
      <c r="I92" s="186" t="s">
        <v>153</v>
      </c>
      <c r="K92" s="248" t="s">
        <v>100</v>
      </c>
    </row>
    <row r="93">
      <c r="A93" s="186" t="s">
        <v>170</v>
      </c>
      <c r="B93" s="189">
        <v>73.0</v>
      </c>
      <c r="C93" s="186" t="s">
        <v>210</v>
      </c>
      <c r="D93" s="186" t="s">
        <v>210</v>
      </c>
      <c r="E93" s="186" t="s">
        <v>210</v>
      </c>
      <c r="F93" s="186" t="s">
        <v>210</v>
      </c>
      <c r="I93" s="186" t="s">
        <v>171</v>
      </c>
      <c r="K93" s="248" t="s">
        <v>100</v>
      </c>
    </row>
    <row r="94">
      <c r="A94" s="186" t="s">
        <v>172</v>
      </c>
      <c r="B94" s="189">
        <v>89.0</v>
      </c>
      <c r="C94" s="186" t="s">
        <v>210</v>
      </c>
      <c r="D94" s="186" t="s">
        <v>210</v>
      </c>
      <c r="E94" s="186" t="s">
        <v>210</v>
      </c>
      <c r="F94" s="186" t="s">
        <v>210</v>
      </c>
      <c r="I94" s="186" t="s">
        <v>77</v>
      </c>
      <c r="K94" s="248" t="s">
        <v>100</v>
      </c>
    </row>
    <row r="95">
      <c r="K95" s="248" t="s">
        <v>100</v>
      </c>
    </row>
    <row r="96">
      <c r="K96" s="248" t="s">
        <v>100</v>
      </c>
    </row>
    <row r="97">
      <c r="K97" s="248" t="s">
        <v>100</v>
      </c>
    </row>
    <row r="98">
      <c r="K98" s="248" t="s">
        <v>100</v>
      </c>
    </row>
    <row r="99">
      <c r="K99" s="248" t="s">
        <v>100</v>
      </c>
    </row>
    <row r="100">
      <c r="K100" s="248" t="s">
        <v>100</v>
      </c>
    </row>
    <row r="101">
      <c r="K101" s="248" t="s">
        <v>100</v>
      </c>
    </row>
    <row r="102">
      <c r="K102" s="248" t="s">
        <v>100</v>
      </c>
    </row>
    <row r="103">
      <c r="K103" s="248" t="s">
        <v>100</v>
      </c>
    </row>
    <row r="104">
      <c r="K104" s="248" t="s">
        <v>100</v>
      </c>
    </row>
    <row r="105">
      <c r="K105" s="248" t="s">
        <v>100</v>
      </c>
    </row>
    <row r="106">
      <c r="K106" s="248"/>
    </row>
    <row r="107">
      <c r="K107" s="248"/>
    </row>
    <row r="108">
      <c r="K108" s="248"/>
    </row>
    <row r="109">
      <c r="K109" s="248"/>
    </row>
    <row r="110">
      <c r="K110" s="248"/>
    </row>
  </sheetData>
  <autoFilter ref="$A$1:$J$136"/>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sheetData>
    <row r="1">
      <c r="A1" s="118" t="s">
        <v>261</v>
      </c>
      <c r="B1" s="118" t="s">
        <v>173</v>
      </c>
    </row>
    <row r="2">
      <c r="A2" s="186" t="str">
        <f>IFERROR(__xludf.DUMMYFUNCTION("FILTER(CONTROL_CENTER!J8:K11, CONTROL_CENTER!L8:L11=TRUE)"),"ASL1")</f>
        <v>ASL1</v>
      </c>
      <c r="B2" s="186" t="str">
        <f>IFERROR(__xludf.DUMMYFUNCTION("""COMPUTED_VALUE"""),"DACH")</f>
        <v>DACH</v>
      </c>
    </row>
    <row r="3">
      <c r="A3" s="186" t="str">
        <f>IFERROR(__xludf.DUMMYFUNCTION("""COMPUTED_VALUE"""),"ASL2")</f>
        <v>ASL2</v>
      </c>
      <c r="B3" s="186" t="str">
        <f>IFERROR(__xludf.DUMMYFUNCTION("""COMPUTED_VALUE"""),"NORDICS")</f>
        <v>NORDICS</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50.13"/>
    <col customWidth="1" min="3" max="3" width="17.25"/>
    <col customWidth="1" min="8" max="8" width="23.0"/>
  </cols>
  <sheetData>
    <row r="1">
      <c r="A1" s="228" t="s">
        <v>21</v>
      </c>
      <c r="B1" s="228" t="s">
        <v>22</v>
      </c>
      <c r="C1" s="228" t="s">
        <v>23</v>
      </c>
      <c r="D1" s="228" t="s">
        <v>24</v>
      </c>
      <c r="E1" s="228" t="s">
        <v>25</v>
      </c>
      <c r="F1" s="228" t="s">
        <v>26</v>
      </c>
      <c r="G1" s="228" t="s">
        <v>27</v>
      </c>
      <c r="H1" s="228" t="s">
        <v>28</v>
      </c>
    </row>
    <row r="2">
      <c r="A2" s="270" t="s">
        <v>178</v>
      </c>
      <c r="B2" s="270" t="s">
        <v>178</v>
      </c>
      <c r="C2" s="270" t="s">
        <v>178</v>
      </c>
      <c r="D2" s="270" t="s">
        <v>96</v>
      </c>
      <c r="E2" s="271"/>
      <c r="F2" s="272">
        <v>1.0</v>
      </c>
      <c r="G2" s="271"/>
      <c r="H2" s="270" t="s">
        <v>262</v>
      </c>
    </row>
    <row r="3">
      <c r="A3" s="270" t="s">
        <v>176</v>
      </c>
      <c r="B3" s="270" t="s">
        <v>176</v>
      </c>
      <c r="C3" s="270" t="s">
        <v>176</v>
      </c>
      <c r="D3" s="270" t="s">
        <v>96</v>
      </c>
      <c r="E3" s="271"/>
      <c r="F3" s="272">
        <v>1.0</v>
      </c>
      <c r="G3" s="271"/>
      <c r="H3" s="270" t="s">
        <v>262</v>
      </c>
    </row>
    <row r="4">
      <c r="A4" s="270" t="s">
        <v>174</v>
      </c>
      <c r="B4" s="270" t="s">
        <v>174</v>
      </c>
      <c r="C4" s="270" t="s">
        <v>174</v>
      </c>
      <c r="D4" s="270" t="s">
        <v>96</v>
      </c>
      <c r="E4" s="271"/>
      <c r="F4" s="272">
        <v>1.0</v>
      </c>
      <c r="G4" s="271"/>
      <c r="H4" s="270" t="s">
        <v>262</v>
      </c>
    </row>
    <row r="5">
      <c r="A5" s="247" t="s">
        <v>184</v>
      </c>
      <c r="B5" s="247" t="s">
        <v>184</v>
      </c>
      <c r="C5" s="247" t="s">
        <v>184</v>
      </c>
      <c r="D5" s="247" t="s">
        <v>96</v>
      </c>
      <c r="E5" s="273"/>
      <c r="F5" s="245">
        <v>1.0</v>
      </c>
      <c r="G5" s="273"/>
      <c r="H5" s="247" t="s">
        <v>262</v>
      </c>
    </row>
    <row r="6">
      <c r="A6" s="247" t="s">
        <v>186</v>
      </c>
      <c r="B6" s="247" t="s">
        <v>186</v>
      </c>
      <c r="C6" s="247" t="s">
        <v>186</v>
      </c>
      <c r="D6" s="247" t="s">
        <v>96</v>
      </c>
      <c r="E6" s="273"/>
      <c r="F6" s="245">
        <v>1.0</v>
      </c>
      <c r="G6" s="273"/>
      <c r="H6" s="247" t="s">
        <v>262</v>
      </c>
    </row>
    <row r="7">
      <c r="A7" s="247" t="s">
        <v>180</v>
      </c>
      <c r="B7" s="247" t="s">
        <v>180</v>
      </c>
      <c r="C7" s="247" t="s">
        <v>180</v>
      </c>
      <c r="D7" s="247" t="s">
        <v>96</v>
      </c>
      <c r="E7" s="273"/>
      <c r="F7" s="245">
        <v>1.0</v>
      </c>
      <c r="G7" s="273"/>
      <c r="H7" s="247" t="s">
        <v>262</v>
      </c>
    </row>
    <row r="8">
      <c r="A8" s="247" t="s">
        <v>182</v>
      </c>
      <c r="B8" s="247" t="s">
        <v>182</v>
      </c>
      <c r="C8" s="247" t="s">
        <v>182</v>
      </c>
      <c r="D8" s="247" t="s">
        <v>96</v>
      </c>
      <c r="E8" s="273"/>
      <c r="F8" s="245">
        <v>1.0</v>
      </c>
      <c r="G8" s="273"/>
      <c r="H8" s="247" t="s">
        <v>262</v>
      </c>
    </row>
    <row r="9">
      <c r="A9" s="247" t="s">
        <v>188</v>
      </c>
      <c r="B9" s="247" t="s">
        <v>188</v>
      </c>
      <c r="C9" s="247" t="s">
        <v>188</v>
      </c>
      <c r="D9" s="247" t="s">
        <v>96</v>
      </c>
      <c r="E9" s="273"/>
      <c r="F9" s="245">
        <v>1.0</v>
      </c>
      <c r="G9" s="273"/>
      <c r="H9" s="247" t="s">
        <v>262</v>
      </c>
    </row>
    <row r="10">
      <c r="A10" s="247" t="s">
        <v>190</v>
      </c>
      <c r="B10" s="247" t="s">
        <v>190</v>
      </c>
      <c r="C10" s="247" t="s">
        <v>190</v>
      </c>
      <c r="D10" s="247" t="s">
        <v>96</v>
      </c>
      <c r="E10" s="273"/>
      <c r="F10" s="245">
        <v>1.0</v>
      </c>
      <c r="G10" s="273"/>
      <c r="H10" s="247" t="s">
        <v>262</v>
      </c>
    </row>
    <row r="11">
      <c r="A11" s="255" t="s">
        <v>263</v>
      </c>
      <c r="B11" s="254" t="s">
        <v>192</v>
      </c>
      <c r="C11" s="255" t="s">
        <v>264</v>
      </c>
      <c r="D11" s="255" t="s">
        <v>96</v>
      </c>
      <c r="E11" s="255"/>
      <c r="F11" s="255">
        <v>1.0</v>
      </c>
      <c r="G11" s="255"/>
      <c r="H11" s="274" t="s">
        <v>265</v>
      </c>
    </row>
    <row r="12">
      <c r="A12" s="255" t="s">
        <v>266</v>
      </c>
      <c r="B12" s="254" t="s">
        <v>194</v>
      </c>
      <c r="C12" s="255" t="s">
        <v>264</v>
      </c>
      <c r="D12" s="255" t="s">
        <v>96</v>
      </c>
      <c r="E12" s="255"/>
      <c r="F12" s="255">
        <v>1.0</v>
      </c>
      <c r="G12" s="255"/>
      <c r="H12" s="274" t="s">
        <v>265</v>
      </c>
    </row>
    <row r="13">
      <c r="A13" s="255" t="s">
        <v>267</v>
      </c>
      <c r="B13" s="255" t="s">
        <v>196</v>
      </c>
      <c r="C13" s="255" t="s">
        <v>264</v>
      </c>
      <c r="D13" s="255" t="s">
        <v>96</v>
      </c>
      <c r="E13" s="255"/>
      <c r="F13" s="255">
        <v>1.0</v>
      </c>
      <c r="G13" s="255"/>
      <c r="H13" s="274" t="s">
        <v>265</v>
      </c>
    </row>
    <row r="14">
      <c r="A14" s="255" t="s">
        <v>268</v>
      </c>
      <c r="B14" s="255" t="s">
        <v>198</v>
      </c>
      <c r="C14" s="255" t="s">
        <v>264</v>
      </c>
      <c r="D14" s="255" t="s">
        <v>96</v>
      </c>
      <c r="E14" s="255"/>
      <c r="F14" s="255">
        <v>1.0</v>
      </c>
      <c r="G14" s="255"/>
      <c r="H14" s="274" t="s">
        <v>265</v>
      </c>
    </row>
    <row r="15">
      <c r="A15" s="255" t="s">
        <v>269</v>
      </c>
      <c r="B15" s="255" t="s">
        <v>200</v>
      </c>
      <c r="C15" s="255" t="s">
        <v>264</v>
      </c>
      <c r="D15" s="255" t="s">
        <v>96</v>
      </c>
      <c r="E15" s="255"/>
      <c r="F15" s="255">
        <v>1.0</v>
      </c>
      <c r="G15" s="255"/>
      <c r="H15" s="274" t="s">
        <v>265</v>
      </c>
    </row>
    <row r="16">
      <c r="A16" s="255" t="s">
        <v>270</v>
      </c>
      <c r="B16" s="255" t="s">
        <v>202</v>
      </c>
      <c r="C16" s="255" t="s">
        <v>264</v>
      </c>
      <c r="D16" s="255" t="s">
        <v>96</v>
      </c>
      <c r="E16" s="255"/>
      <c r="F16" s="255">
        <v>1.0</v>
      </c>
      <c r="G16" s="255"/>
      <c r="H16" s="274" t="s">
        <v>265</v>
      </c>
    </row>
    <row r="17">
      <c r="A17" s="255" t="s">
        <v>271</v>
      </c>
      <c r="B17" s="255" t="s">
        <v>204</v>
      </c>
      <c r="C17" s="255" t="s">
        <v>264</v>
      </c>
      <c r="D17" s="255" t="s">
        <v>96</v>
      </c>
      <c r="E17" s="255"/>
      <c r="F17" s="255">
        <v>1.0</v>
      </c>
      <c r="G17" s="255"/>
      <c r="H17" s="274" t="s">
        <v>265</v>
      </c>
    </row>
    <row r="18">
      <c r="A18" s="255" t="s">
        <v>272</v>
      </c>
      <c r="B18" s="255" t="s">
        <v>205</v>
      </c>
      <c r="C18" s="255" t="s">
        <v>264</v>
      </c>
      <c r="D18" s="255" t="s">
        <v>96</v>
      </c>
      <c r="E18" s="255"/>
      <c r="F18" s="255">
        <v>1.0</v>
      </c>
      <c r="G18" s="255"/>
      <c r="H18" s="274" t="s">
        <v>265</v>
      </c>
    </row>
    <row r="19">
      <c r="A19" s="255" t="s">
        <v>273</v>
      </c>
      <c r="B19" s="255" t="s">
        <v>207</v>
      </c>
      <c r="C19" s="255" t="s">
        <v>264</v>
      </c>
      <c r="D19" s="255" t="s">
        <v>96</v>
      </c>
      <c r="E19" s="255"/>
      <c r="F19" s="255">
        <v>1.0</v>
      </c>
      <c r="G19" s="255"/>
      <c r="H19" s="274" t="s">
        <v>265</v>
      </c>
    </row>
    <row r="20" ht="14.25" customHeight="1">
      <c r="A20" s="16" t="s">
        <v>274</v>
      </c>
      <c r="B20" s="16" t="s">
        <v>11</v>
      </c>
      <c r="C20" s="16" t="s">
        <v>275</v>
      </c>
      <c r="D20" s="16" t="s">
        <v>96</v>
      </c>
      <c r="E20" s="17"/>
      <c r="F20" s="16">
        <v>1.0</v>
      </c>
      <c r="G20" s="17"/>
      <c r="H20" s="16" t="s">
        <v>265</v>
      </c>
    </row>
    <row r="21">
      <c r="A21" s="16" t="s">
        <v>276</v>
      </c>
      <c r="B21" s="16" t="s">
        <v>11</v>
      </c>
      <c r="C21" s="16" t="s">
        <v>275</v>
      </c>
      <c r="D21" s="16" t="s">
        <v>96</v>
      </c>
      <c r="E21" s="17"/>
      <c r="F21" s="16">
        <v>1.0</v>
      </c>
      <c r="G21" s="17"/>
      <c r="H21" s="16" t="s">
        <v>265</v>
      </c>
    </row>
    <row r="22">
      <c r="A22" s="16" t="s">
        <v>277</v>
      </c>
      <c r="B22" s="16" t="s">
        <v>11</v>
      </c>
      <c r="C22" s="16" t="s">
        <v>275</v>
      </c>
      <c r="D22" s="16" t="s">
        <v>96</v>
      </c>
      <c r="E22" s="17"/>
      <c r="F22" s="16">
        <v>2.0</v>
      </c>
      <c r="G22" s="17"/>
      <c r="H22" s="16" t="s">
        <v>265</v>
      </c>
    </row>
    <row r="23">
      <c r="A23" s="16" t="s">
        <v>274</v>
      </c>
      <c r="B23" s="16" t="s">
        <v>16</v>
      </c>
      <c r="C23" s="16" t="s">
        <v>275</v>
      </c>
      <c r="D23" s="16" t="s">
        <v>96</v>
      </c>
      <c r="E23" s="17"/>
      <c r="F23" s="16">
        <v>0.0</v>
      </c>
      <c r="G23" s="17"/>
      <c r="H23" s="16" t="s">
        <v>265</v>
      </c>
    </row>
    <row r="24">
      <c r="A24" s="16" t="s">
        <v>276</v>
      </c>
      <c r="B24" s="16" t="s">
        <v>16</v>
      </c>
      <c r="C24" s="16" t="s">
        <v>275</v>
      </c>
      <c r="D24" s="16" t="s">
        <v>96</v>
      </c>
      <c r="E24" s="17"/>
      <c r="F24" s="16">
        <v>1.0</v>
      </c>
      <c r="G24" s="17"/>
      <c r="H24" s="16" t="s">
        <v>265</v>
      </c>
    </row>
    <row r="25">
      <c r="A25" s="16" t="s">
        <v>277</v>
      </c>
      <c r="B25" s="16" t="s">
        <v>16</v>
      </c>
      <c r="C25" s="16" t="s">
        <v>275</v>
      </c>
      <c r="D25" s="16" t="s">
        <v>96</v>
      </c>
      <c r="E25" s="17"/>
      <c r="F25" s="16">
        <v>0.0</v>
      </c>
      <c r="G25" s="17"/>
      <c r="H25" s="16" t="s">
        <v>265</v>
      </c>
    </row>
    <row r="26">
      <c r="A26" s="16" t="s">
        <v>274</v>
      </c>
      <c r="B26" s="16" t="s">
        <v>19</v>
      </c>
      <c r="C26" s="16" t="s">
        <v>275</v>
      </c>
      <c r="D26" s="16" t="s">
        <v>96</v>
      </c>
      <c r="E26" s="17"/>
      <c r="F26" s="16">
        <v>1.0</v>
      </c>
      <c r="G26" s="17"/>
      <c r="H26" s="16" t="s">
        <v>265</v>
      </c>
    </row>
    <row r="27">
      <c r="A27" s="16" t="s">
        <v>276</v>
      </c>
      <c r="B27" s="16" t="s">
        <v>19</v>
      </c>
      <c r="C27" s="16" t="s">
        <v>275</v>
      </c>
      <c r="D27" s="16" t="s">
        <v>96</v>
      </c>
      <c r="E27" s="17"/>
      <c r="F27" s="16">
        <v>1.0</v>
      </c>
      <c r="G27" s="17"/>
      <c r="H27" s="16" t="s">
        <v>265</v>
      </c>
    </row>
    <row r="28">
      <c r="A28" s="16" t="s">
        <v>277</v>
      </c>
      <c r="B28" s="16" t="s">
        <v>19</v>
      </c>
      <c r="C28" s="16" t="s">
        <v>275</v>
      </c>
      <c r="D28" s="16" t="s">
        <v>96</v>
      </c>
      <c r="E28" s="17"/>
      <c r="F28" s="16">
        <v>2.0</v>
      </c>
      <c r="G28" s="17"/>
      <c r="H28" s="16" t="s">
        <v>265</v>
      </c>
    </row>
    <row r="29">
      <c r="A29" s="37" t="s">
        <v>278</v>
      </c>
      <c r="B29" s="37" t="s">
        <v>209</v>
      </c>
      <c r="C29" s="37" t="s">
        <v>279</v>
      </c>
      <c r="D29" s="37" t="s">
        <v>96</v>
      </c>
      <c r="E29" s="275"/>
      <c r="F29" s="276" t="s">
        <v>280</v>
      </c>
      <c r="G29" s="275"/>
      <c r="H29" s="37" t="s">
        <v>265</v>
      </c>
    </row>
    <row r="30">
      <c r="A30" s="37" t="s">
        <v>281</v>
      </c>
      <c r="B30" s="37" t="s">
        <v>211</v>
      </c>
      <c r="C30" s="37" t="s">
        <v>282</v>
      </c>
      <c r="D30" s="37" t="s">
        <v>96</v>
      </c>
      <c r="E30" s="275"/>
      <c r="F30" s="276" t="s">
        <v>280</v>
      </c>
      <c r="G30" s="275"/>
      <c r="H30" s="37" t="s">
        <v>265</v>
      </c>
    </row>
    <row r="31">
      <c r="A31" s="37" t="s">
        <v>283</v>
      </c>
      <c r="B31" s="37" t="s">
        <v>213</v>
      </c>
      <c r="C31" s="37" t="s">
        <v>284</v>
      </c>
      <c r="D31" s="37" t="s">
        <v>96</v>
      </c>
      <c r="E31" s="275"/>
      <c r="F31" s="276" t="s">
        <v>280</v>
      </c>
      <c r="G31" s="275"/>
      <c r="H31" s="37" t="s">
        <v>265</v>
      </c>
    </row>
    <row r="32">
      <c r="A32" s="39" t="str">
        <f>IFERROR(__xludf.DUMMYFUNCTION("FILTER('Inputs Maite DE'!AE9:AL110, ('Inputs Maite DE'!AE9:AE110&lt;&gt;"""") + ('Inputs Maite DE'!AL9:AL110&lt;&gt;""""))"),"301_1p")</f>
        <v>301_1p</v>
      </c>
      <c r="B32" s="39" t="str">
        <f>IFERROR(__xludf.DUMMYFUNCTION("""COMPUTED_VALUE"""),"565072 - Gegrilltes Hähnchen mit Ratatouille")</f>
        <v>565072 - Gegrilltes Hähnchen mit Ratatouille</v>
      </c>
      <c r="C32" s="39" t="str">
        <f>IFERROR(__xludf.DUMMYFUNCTION("""COMPUTED_VALUE"""),"CON-00-136674-3")</f>
        <v>CON-00-136674-3</v>
      </c>
      <c r="D32" s="39" t="str">
        <f>IFERROR(__xludf.DUMMYFUNCTION("""COMPUTED_VALUE"""),"ASL1")</f>
        <v>ASL1</v>
      </c>
      <c r="E32" s="4"/>
      <c r="F32" s="263" t="str">
        <f>IFERROR(__xludf.DUMMYFUNCTION("""COMPUTED_VALUE"""),"1")</f>
        <v>1</v>
      </c>
      <c r="G32" s="4"/>
      <c r="H32" s="39" t="str">
        <f>IFERROR(__xludf.DUMMYFUNCTION("""COMPUTED_VALUE"""),"Chilled")</f>
        <v>Chilled</v>
      </c>
    </row>
    <row r="33">
      <c r="A33" s="39" t="str">
        <f>IFERROR(__xludf.DUMMYFUNCTION("""COMPUTED_VALUE"""),"302_1p")</f>
        <v>302_1p</v>
      </c>
      <c r="B33" s="39" t="str">
        <f>IFERROR(__xludf.DUMMYFUNCTION("""COMPUTED_VALUE"""),"565209 - Grünes Chili-Hähnchen mit Quinoa-Salsa")</f>
        <v>565209 - Grünes Chili-Hähnchen mit Quinoa-Salsa</v>
      </c>
      <c r="C33" s="39" t="str">
        <f>IFERROR(__xludf.DUMMYFUNCTION("""COMPUTED_VALUE"""),"CON-00-152205-2")</f>
        <v>CON-00-152205-2</v>
      </c>
      <c r="D33" s="39" t="str">
        <f>IFERROR(__xludf.DUMMYFUNCTION("""COMPUTED_VALUE"""),"ASL1")</f>
        <v>ASL1</v>
      </c>
      <c r="E33" s="4"/>
      <c r="F33" s="263" t="str">
        <f>IFERROR(__xludf.DUMMYFUNCTION("""COMPUTED_VALUE"""),"1")</f>
        <v>1</v>
      </c>
      <c r="G33" s="4"/>
      <c r="H33" s="39" t="str">
        <f>IFERROR(__xludf.DUMMYFUNCTION("""COMPUTED_VALUE"""),"Chilled")</f>
        <v>Chilled</v>
      </c>
    </row>
    <row r="34">
      <c r="A34" s="39" t="str">
        <f>IFERROR(__xludf.DUMMYFUNCTION("""COMPUTED_VALUE"""),"303_1p")</f>
        <v>303_1p</v>
      </c>
      <c r="B34" s="39" t="str">
        <f>IFERROR(__xludf.DUMMYFUNCTION("""COMPUTED_VALUE"""),"565309 - Geschmortes Rind in Kräuterjus")</f>
        <v>565309 - Geschmortes Rind in Kräuterjus</v>
      </c>
      <c r="C34" s="39" t="str">
        <f>IFERROR(__xludf.DUMMYFUNCTION("""COMPUTED_VALUE"""),"CON-00-136698-3")</f>
        <v>CON-00-136698-3</v>
      </c>
      <c r="D34" s="39" t="str">
        <f>IFERROR(__xludf.DUMMYFUNCTION("""COMPUTED_VALUE"""),"ASL1")</f>
        <v>ASL1</v>
      </c>
      <c r="E34" s="4"/>
      <c r="F34" s="263" t="str">
        <f>IFERROR(__xludf.DUMMYFUNCTION("""COMPUTED_VALUE"""),"1")</f>
        <v>1</v>
      </c>
      <c r="G34" s="4"/>
      <c r="H34" s="39" t="str">
        <f>IFERROR(__xludf.DUMMYFUNCTION("""COMPUTED_VALUE"""),"Chilled")</f>
        <v>Chilled</v>
      </c>
    </row>
    <row r="35">
      <c r="A35" s="39" t="str">
        <f>IFERROR(__xludf.DUMMYFUNCTION("""COMPUTED_VALUE"""),"304_1p")</f>
        <v>304_1p</v>
      </c>
      <c r="B35" s="39" t="str">
        <f>IFERROR(__xludf.DUMMYFUNCTION("""COMPUTED_VALUE"""),"565064 - Lachs in Senf-Dill-Sauce")</f>
        <v>565064 - Lachs in Senf-Dill-Sauce</v>
      </c>
      <c r="C35" s="39" t="str">
        <f>IFERROR(__xludf.DUMMYFUNCTION("""COMPUTED_VALUE"""),"CON-00-137745-2")</f>
        <v>CON-00-137745-2</v>
      </c>
      <c r="D35" s="39" t="str">
        <f>IFERROR(__xludf.DUMMYFUNCTION("""COMPUTED_VALUE"""),"ASL1")</f>
        <v>ASL1</v>
      </c>
      <c r="E35" s="4"/>
      <c r="F35" s="263" t="str">
        <f>IFERROR(__xludf.DUMMYFUNCTION("""COMPUTED_VALUE"""),"1")</f>
        <v>1</v>
      </c>
      <c r="G35" s="4"/>
      <c r="H35" s="39" t="str">
        <f>IFERROR(__xludf.DUMMYFUNCTION("""COMPUTED_VALUE"""),"Chilled")</f>
        <v>Chilled</v>
      </c>
    </row>
    <row r="36">
      <c r="A36" s="39" t="str">
        <f>IFERROR(__xludf.DUMMYFUNCTION("""COMPUTED_VALUE"""),"305_1p")</f>
        <v>305_1p</v>
      </c>
      <c r="B36" s="39" t="str">
        <f>IFERROR(__xludf.DUMMYFUNCTION("""COMPUTED_VALUE"""),"565178 - Westafrikanisches Hähnchen-Erdnuss-Curry")</f>
        <v>565178 - Westafrikanisches Hähnchen-Erdnuss-Curry</v>
      </c>
      <c r="C36" s="39" t="str">
        <f>IFERROR(__xludf.DUMMYFUNCTION("""COMPUTED_VALUE"""),"CON-00-150748-2")</f>
        <v>CON-00-150748-2</v>
      </c>
      <c r="D36" s="39" t="str">
        <f>IFERROR(__xludf.DUMMYFUNCTION("""COMPUTED_VALUE"""),"ASL1")</f>
        <v>ASL1</v>
      </c>
      <c r="E36" s="4"/>
      <c r="F36" s="263" t="str">
        <f>IFERROR(__xludf.DUMMYFUNCTION("""COMPUTED_VALUE"""),"1")</f>
        <v>1</v>
      </c>
      <c r="G36" s="4"/>
      <c r="H36" s="39" t="str">
        <f>IFERROR(__xludf.DUMMYFUNCTION("""COMPUTED_VALUE"""),"Chilled")</f>
        <v>Chilled</v>
      </c>
    </row>
    <row r="37">
      <c r="A37" s="39" t="str">
        <f>IFERROR(__xludf.DUMMYFUNCTION("""COMPUTED_VALUE"""),"306_1p")</f>
        <v>306_1p</v>
      </c>
      <c r="B37" s="39" t="str">
        <f>IFERROR(__xludf.DUMMYFUNCTION("""COMPUTED_VALUE"""),"565189 - Lachs Piccata")</f>
        <v>565189 - Lachs Piccata</v>
      </c>
      <c r="C37" s="39" t="str">
        <f>IFERROR(__xludf.DUMMYFUNCTION("""COMPUTED_VALUE"""),"CON-00-152025-2")</f>
        <v>CON-00-152025-2</v>
      </c>
      <c r="D37" s="39" t="str">
        <f>IFERROR(__xludf.DUMMYFUNCTION("""COMPUTED_VALUE"""),"ASL1")</f>
        <v>ASL1</v>
      </c>
      <c r="E37" s="4"/>
      <c r="F37" s="263" t="str">
        <f>IFERROR(__xludf.DUMMYFUNCTION("""COMPUTED_VALUE"""),"1")</f>
        <v>1</v>
      </c>
      <c r="G37" s="4"/>
      <c r="H37" s="39" t="str">
        <f>IFERROR(__xludf.DUMMYFUNCTION("""COMPUTED_VALUE"""),"Chilled")</f>
        <v>Chilled</v>
      </c>
    </row>
    <row r="38">
      <c r="A38" s="39" t="str">
        <f>IFERROR(__xludf.DUMMYFUNCTION("""COMPUTED_VALUE"""),"307_1p")</f>
        <v>307_1p</v>
      </c>
      <c r="B38" s="39" t="str">
        <f>IFERROR(__xludf.DUMMYFUNCTION("""COMPUTED_VALUE"""),"565164 - Hähnchen mit karamellisierten Zwiebeln &amp; Emmentaler-Fondue")</f>
        <v>565164 - Hähnchen mit karamellisierten Zwiebeln &amp; Emmentaler-Fondue</v>
      </c>
      <c r="C38" s="39" t="str">
        <f>IFERROR(__xludf.DUMMYFUNCTION("""COMPUTED_VALUE"""),"CON-00-148220-2")</f>
        <v>CON-00-148220-2</v>
      </c>
      <c r="D38" s="39" t="str">
        <f>IFERROR(__xludf.DUMMYFUNCTION("""COMPUTED_VALUE"""),"ASL1")</f>
        <v>ASL1</v>
      </c>
      <c r="E38" s="4"/>
      <c r="F38" s="263" t="str">
        <f>IFERROR(__xludf.DUMMYFUNCTION("""COMPUTED_VALUE"""),"1")</f>
        <v>1</v>
      </c>
      <c r="G38" s="4"/>
      <c r="H38" s="39" t="str">
        <f>IFERROR(__xludf.DUMMYFUNCTION("""COMPUTED_VALUE"""),"Chilled")</f>
        <v>Chilled</v>
      </c>
    </row>
    <row r="39">
      <c r="A39" s="39" t="str">
        <f>IFERROR(__xludf.DUMMYFUNCTION("""COMPUTED_VALUE"""),"308_1p")</f>
        <v>308_1p</v>
      </c>
      <c r="B39" s="39" t="str">
        <f>IFERROR(__xludf.DUMMYFUNCTION("""COMPUTED_VALUE"""),"565043 - Würziges Hähnchen mit Jalapeño, Limette und Cheddar")</f>
        <v>565043 - Würziges Hähnchen mit Jalapeño, Limette und Cheddar</v>
      </c>
      <c r="C39" s="39" t="str">
        <f>IFERROR(__xludf.DUMMYFUNCTION("""COMPUTED_VALUE"""),"CON-00-136638-3")</f>
        <v>CON-00-136638-3</v>
      </c>
      <c r="D39" s="39" t="str">
        <f>IFERROR(__xludf.DUMMYFUNCTION("""COMPUTED_VALUE"""),"ASL1")</f>
        <v>ASL1</v>
      </c>
      <c r="E39" s="4"/>
      <c r="F39" s="263" t="str">
        <f>IFERROR(__xludf.DUMMYFUNCTION("""COMPUTED_VALUE"""),"1")</f>
        <v>1</v>
      </c>
      <c r="G39" s="4"/>
      <c r="H39" s="39" t="str">
        <f>IFERROR(__xludf.DUMMYFUNCTION("""COMPUTED_VALUE"""),"Chilled")</f>
        <v>Chilled</v>
      </c>
    </row>
    <row r="40">
      <c r="A40" s="39" t="str">
        <f>IFERROR(__xludf.DUMMYFUNCTION("""COMPUTED_VALUE"""),"309_1p")</f>
        <v>309_1p</v>
      </c>
      <c r="B40" s="39" t="str">
        <f>IFERROR(__xludf.DUMMYFUNCTION("""COMPUTED_VALUE"""),"565244 - Cremiges Tomaten-Risotto")</f>
        <v>565244 - Cremiges Tomaten-Risotto</v>
      </c>
      <c r="C40" s="39" t="str">
        <f>IFERROR(__xludf.DUMMYFUNCTION("""COMPUTED_VALUE"""),"CON-00-136629-3")</f>
        <v>CON-00-136629-3</v>
      </c>
      <c r="D40" s="39" t="str">
        <f>IFERROR(__xludf.DUMMYFUNCTION("""COMPUTED_VALUE"""),"ASL1")</f>
        <v>ASL1</v>
      </c>
      <c r="E40" s="4"/>
      <c r="F40" s="263" t="str">
        <f>IFERROR(__xludf.DUMMYFUNCTION("""COMPUTED_VALUE"""),"1")</f>
        <v>1</v>
      </c>
      <c r="G40" s="4"/>
      <c r="H40" s="39" t="str">
        <f>IFERROR(__xludf.DUMMYFUNCTION("""COMPUTED_VALUE"""),"Chilled")</f>
        <v>Chilled</v>
      </c>
    </row>
    <row r="41">
      <c r="A41" s="39" t="str">
        <f>IFERROR(__xludf.DUMMYFUNCTION("""COMPUTED_VALUE"""),"310_1p")</f>
        <v>310_1p</v>
      </c>
      <c r="B41" s="39" t="str">
        <f>IFERROR(__xludf.DUMMYFUNCTION("""COMPUTED_VALUE"""),"565141 - Zucchini-Paprika-Ratatouille")</f>
        <v>565141 - Zucchini-Paprika-Ratatouille</v>
      </c>
      <c r="C41" s="39" t="str">
        <f>IFERROR(__xludf.DUMMYFUNCTION("""COMPUTED_VALUE"""),"CON-00-136634-3")</f>
        <v>CON-00-136634-3</v>
      </c>
      <c r="D41" s="39" t="str">
        <f>IFERROR(__xludf.DUMMYFUNCTION("""COMPUTED_VALUE"""),"ASL1")</f>
        <v>ASL1</v>
      </c>
      <c r="E41" s="4"/>
      <c r="F41" s="263" t="str">
        <f>IFERROR(__xludf.DUMMYFUNCTION("""COMPUTED_VALUE"""),"1")</f>
        <v>1</v>
      </c>
      <c r="G41" s="4"/>
      <c r="H41" s="39" t="str">
        <f>IFERROR(__xludf.DUMMYFUNCTION("""COMPUTED_VALUE"""),"Chilled")</f>
        <v>Chilled</v>
      </c>
    </row>
    <row r="42">
      <c r="A42" s="39" t="str">
        <f>IFERROR(__xludf.DUMMYFUNCTION("""COMPUTED_VALUE"""),"311_1p")</f>
        <v>311_1p</v>
      </c>
      <c r="B42" s="39" t="str">
        <f>IFERROR(__xludf.DUMMYFUNCTION("""COMPUTED_VALUE"""),"565143 - Schweinefilet in cremiger Knoblauch-Senf-Sauce")</f>
        <v>565143 - Schweinefilet in cremiger Knoblauch-Senf-Sauce</v>
      </c>
      <c r="C42" s="39" t="str">
        <f>IFERROR(__xludf.DUMMYFUNCTION("""COMPUTED_VALUE"""),"CON-00-136637-3")</f>
        <v>CON-00-136637-3</v>
      </c>
      <c r="D42" s="39" t="str">
        <f>IFERROR(__xludf.DUMMYFUNCTION("""COMPUTED_VALUE"""),"ASL1")</f>
        <v>ASL1</v>
      </c>
      <c r="E42" s="4"/>
      <c r="F42" s="263" t="str">
        <f>IFERROR(__xludf.DUMMYFUNCTION("""COMPUTED_VALUE"""),"1")</f>
        <v>1</v>
      </c>
      <c r="G42" s="4"/>
      <c r="H42" s="39" t="str">
        <f>IFERROR(__xludf.DUMMYFUNCTION("""COMPUTED_VALUE"""),"Chilled")</f>
        <v>Chilled</v>
      </c>
    </row>
    <row r="43">
      <c r="A43" s="39" t="str">
        <f>IFERROR(__xludf.DUMMYFUNCTION("""COMPUTED_VALUE"""),"312_1p")</f>
        <v>312_1p</v>
      </c>
      <c r="B43" s="39" t="str">
        <f>IFERROR(__xludf.DUMMYFUNCTION("""COMPUTED_VALUE"""),"565196 - Ají Verde Lachs")</f>
        <v>565196 - Ají Verde Lachs</v>
      </c>
      <c r="C43" s="39" t="str">
        <f>IFERROR(__xludf.DUMMYFUNCTION("""COMPUTED_VALUE"""),"CON-00-151278-2")</f>
        <v>CON-00-151278-2</v>
      </c>
      <c r="D43" s="39" t="str">
        <f>IFERROR(__xludf.DUMMYFUNCTION("""COMPUTED_VALUE"""),"ASL1")</f>
        <v>ASL1</v>
      </c>
      <c r="E43" s="4"/>
      <c r="F43" s="263" t="str">
        <f>IFERROR(__xludf.DUMMYFUNCTION("""COMPUTED_VALUE"""),"1")</f>
        <v>1</v>
      </c>
      <c r="G43" s="4"/>
      <c r="H43" s="39" t="str">
        <f>IFERROR(__xludf.DUMMYFUNCTION("""COMPUTED_VALUE"""),"Chilled")</f>
        <v>Chilled</v>
      </c>
    </row>
    <row r="44">
      <c r="A44" s="39" t="str">
        <f>IFERROR(__xludf.DUMMYFUNCTION("""COMPUTED_VALUE"""),"313_1p")</f>
        <v>313_1p</v>
      </c>
      <c r="B44" s="39" t="str">
        <f>IFERROR(__xludf.DUMMYFUNCTION("""COMPUTED_VALUE"""),"565130 - Pulled Pork mit roter Chilisauce")</f>
        <v>565130 - Pulled Pork mit roter Chilisauce</v>
      </c>
      <c r="C44" s="39" t="str">
        <f>IFERROR(__xludf.DUMMYFUNCTION("""COMPUTED_VALUE"""),"CON-00-138152-2")</f>
        <v>CON-00-138152-2</v>
      </c>
      <c r="D44" s="39" t="str">
        <f>IFERROR(__xludf.DUMMYFUNCTION("""COMPUTED_VALUE"""),"ASL1")</f>
        <v>ASL1</v>
      </c>
      <c r="E44" s="4"/>
      <c r="F44" s="263" t="str">
        <f>IFERROR(__xludf.DUMMYFUNCTION("""COMPUTED_VALUE"""),"1")</f>
        <v>1</v>
      </c>
      <c r="G44" s="4"/>
      <c r="H44" s="39" t="str">
        <f>IFERROR(__xludf.DUMMYFUNCTION("""COMPUTED_VALUE"""),"Chilled")</f>
        <v>Chilled</v>
      </c>
    </row>
    <row r="45">
      <c r="A45" s="39" t="str">
        <f>IFERROR(__xludf.DUMMYFUNCTION("""COMPUTED_VALUE"""),"314_1p")</f>
        <v>314_1p</v>
      </c>
      <c r="B45" s="39" t="str">
        <f>IFERROR(__xludf.DUMMYFUNCTION("""COMPUTED_VALUE"""),"565211 - Gegrilltes Hähnchen in Ingwer-Knoblauch-Marinade")</f>
        <v>565211 - Gegrilltes Hähnchen in Ingwer-Knoblauch-Marinade</v>
      </c>
      <c r="C45" s="39" t="str">
        <f>IFERROR(__xludf.DUMMYFUNCTION("""COMPUTED_VALUE"""),"CON-00-152024-2")</f>
        <v>CON-00-152024-2</v>
      </c>
      <c r="D45" s="39" t="str">
        <f>IFERROR(__xludf.DUMMYFUNCTION("""COMPUTED_VALUE"""),"ASL1")</f>
        <v>ASL1</v>
      </c>
      <c r="E45" s="4"/>
      <c r="F45" s="263" t="str">
        <f>IFERROR(__xludf.DUMMYFUNCTION("""COMPUTED_VALUE"""),"1")</f>
        <v>1</v>
      </c>
      <c r="G45" s="4"/>
      <c r="H45" s="39" t="str">
        <f>IFERROR(__xludf.DUMMYFUNCTION("""COMPUTED_VALUE"""),"Chilled")</f>
        <v>Chilled</v>
      </c>
    </row>
    <row r="46">
      <c r="A46" s="39" t="str">
        <f>IFERROR(__xludf.DUMMYFUNCTION("""COMPUTED_VALUE"""),"315_1p")</f>
        <v>315_1p</v>
      </c>
      <c r="B46" s="39" t="str">
        <f>IFERROR(__xludf.DUMMYFUNCTION("""COMPUTED_VALUE"""),"565091 - Scharfes Rinderhack mit Jalapeños")</f>
        <v>565091 - Scharfes Rinderhack mit Jalapeños</v>
      </c>
      <c r="C46" s="39" t="str">
        <f>IFERROR(__xludf.DUMMYFUNCTION("""COMPUTED_VALUE"""),"CON-00-136694-3")</f>
        <v>CON-00-136694-3</v>
      </c>
      <c r="D46" s="39" t="str">
        <f>IFERROR(__xludf.DUMMYFUNCTION("""COMPUTED_VALUE"""),"ASL1")</f>
        <v>ASL1</v>
      </c>
      <c r="E46" s="4"/>
      <c r="F46" s="263" t="str">
        <f>IFERROR(__xludf.DUMMYFUNCTION("""COMPUTED_VALUE"""),"1")</f>
        <v>1</v>
      </c>
      <c r="G46" s="4"/>
      <c r="H46" s="39" t="str">
        <f>IFERROR(__xludf.DUMMYFUNCTION("""COMPUTED_VALUE"""),"Chilled")</f>
        <v>Chilled</v>
      </c>
    </row>
    <row r="47">
      <c r="A47" s="39" t="str">
        <f>IFERROR(__xludf.DUMMYFUNCTION("""COMPUTED_VALUE"""),"316_1p")</f>
        <v>316_1p</v>
      </c>
      <c r="B47" s="39" t="str">
        <f>IFERROR(__xludf.DUMMYFUNCTION("""COMPUTED_VALUE"""),"565221 - Lachs-Bowl mit Zitrus-Miso")</f>
        <v>565221 - Lachs-Bowl mit Zitrus-Miso</v>
      </c>
      <c r="C47" s="39" t="str">
        <f>IFERROR(__xludf.DUMMYFUNCTION("""COMPUTED_VALUE"""),"CON-00-154547-2")</f>
        <v>CON-00-154547-2</v>
      </c>
      <c r="D47" s="39" t="str">
        <f>IFERROR(__xludf.DUMMYFUNCTION("""COMPUTED_VALUE"""),"ASL1")</f>
        <v>ASL1</v>
      </c>
      <c r="E47" s="4"/>
      <c r="F47" s="263" t="str">
        <f>IFERROR(__xludf.DUMMYFUNCTION("""COMPUTED_VALUE"""),"1")</f>
        <v>1</v>
      </c>
      <c r="G47" s="4"/>
      <c r="H47" s="39" t="str">
        <f>IFERROR(__xludf.DUMMYFUNCTION("""COMPUTED_VALUE"""),"Chilled")</f>
        <v>Chilled</v>
      </c>
    </row>
    <row r="48">
      <c r="A48" s="39" t="str">
        <f>IFERROR(__xludf.DUMMYFUNCTION("""COMPUTED_VALUE"""),"317_1p")</f>
        <v>317_1p</v>
      </c>
      <c r="B48" s="39" t="str">
        <f>IFERROR(__xludf.DUMMYFUNCTION("""COMPUTED_VALUE"""),"565252 - Rinderragù mit sonnengetrockneten Tomaten und Pasta")</f>
        <v>565252 - Rinderragù mit sonnengetrockneten Tomaten und Pasta</v>
      </c>
      <c r="C48" s="39" t="str">
        <f>IFERROR(__xludf.DUMMYFUNCTION("""COMPUTED_VALUE"""),"CON-00-155185-3")</f>
        <v>CON-00-155185-3</v>
      </c>
      <c r="D48" s="39" t="str">
        <f>IFERROR(__xludf.DUMMYFUNCTION("""COMPUTED_VALUE"""),"ASL1")</f>
        <v>ASL1</v>
      </c>
      <c r="E48" s="4"/>
      <c r="F48" s="263" t="str">
        <f>IFERROR(__xludf.DUMMYFUNCTION("""COMPUTED_VALUE"""),"1")</f>
        <v>1</v>
      </c>
      <c r="G48" s="4"/>
      <c r="H48" s="39" t="str">
        <f>IFERROR(__xludf.DUMMYFUNCTION("""COMPUTED_VALUE"""),"Chilled")</f>
        <v>Chilled</v>
      </c>
    </row>
    <row r="49">
      <c r="A49" s="39" t="str">
        <f>IFERROR(__xludf.DUMMYFUNCTION("""COMPUTED_VALUE"""),"318_1p")</f>
        <v>318_1p</v>
      </c>
      <c r="B49" s="39" t="str">
        <f>IFERROR(__xludf.DUMMYFUNCTION("""COMPUTED_VALUE"""),"565095 - Schweinefilet in würziger Ancho-Chili-Sauce")</f>
        <v>565095 - Schweinefilet in würziger Ancho-Chili-Sauce</v>
      </c>
      <c r="C49" s="39" t="str">
        <f>IFERROR(__xludf.DUMMYFUNCTION("""COMPUTED_VALUE"""),"CON-00-136696-3")</f>
        <v>CON-00-136696-3</v>
      </c>
      <c r="D49" s="39" t="str">
        <f>IFERROR(__xludf.DUMMYFUNCTION("""COMPUTED_VALUE"""),"ASL1")</f>
        <v>ASL1</v>
      </c>
      <c r="E49" s="4"/>
      <c r="F49" s="263" t="str">
        <f>IFERROR(__xludf.DUMMYFUNCTION("""COMPUTED_VALUE"""),"1")</f>
        <v>1</v>
      </c>
      <c r="G49" s="4"/>
      <c r="H49" s="39" t="str">
        <f>IFERROR(__xludf.DUMMYFUNCTION("""COMPUTED_VALUE"""),"Chilled")</f>
        <v>Chilled</v>
      </c>
    </row>
    <row r="50">
      <c r="A50" s="39" t="str">
        <f>IFERROR(__xludf.DUMMYFUNCTION("""COMPUTED_VALUE"""),"206_1p")</f>
        <v>206_1p</v>
      </c>
      <c r="B50" s="39" t="str">
        <f>IFERROR(__xludf.DUMMYFUNCTION("""COMPUTED_VALUE"""),"565119 - Gegrilltes Hähnchen mit Knoblauch-Kräutern")</f>
        <v>565119 - Gegrilltes Hähnchen mit Knoblauch-Kräutern</v>
      </c>
      <c r="C50" s="39" t="str">
        <f>IFERROR(__xludf.DUMMYFUNCTION("""COMPUTED_VALUE"""),"PTN-00-136930-3")</f>
        <v>PTN-00-136930-3</v>
      </c>
      <c r="D50" s="39" t="str">
        <f>IFERROR(__xludf.DUMMYFUNCTION("""COMPUTED_VALUE"""),"ASL1")</f>
        <v>ASL1</v>
      </c>
      <c r="E50" s="4"/>
      <c r="F50" s="263" t="str">
        <f>IFERROR(__xludf.DUMMYFUNCTION("""COMPUTED_VALUE"""),"1")</f>
        <v>1</v>
      </c>
      <c r="G50" s="4"/>
      <c r="H50" s="39" t="str">
        <f>IFERROR(__xludf.DUMMYFUNCTION("""COMPUTED_VALUE"""),"Chilled")</f>
        <v>Chilled</v>
      </c>
    </row>
    <row r="51">
      <c r="A51" s="39" t="str">
        <f>IFERROR(__xludf.DUMMYFUNCTION("""COMPUTED_VALUE"""),"205_1p")</f>
        <v>205_1p</v>
      </c>
      <c r="B51" s="39" t="str">
        <f>IFERROR(__xludf.DUMMYFUNCTION("""COMPUTED_VALUE"""),"205 - FACTOR_ Ginger Lemon Apple Wellness Shot")</f>
        <v>205 - FACTOR_ Ginger Lemon Apple Wellness Shot</v>
      </c>
      <c r="C51" s="39" t="str">
        <f>IFERROR(__xludf.DUMMYFUNCTION("""COMPUTED_VALUE"""),"BEV-00-136840-3")</f>
        <v>BEV-00-136840-3</v>
      </c>
      <c r="D51" s="39" t="str">
        <f>IFERROR(__xludf.DUMMYFUNCTION("""COMPUTED_VALUE"""),"ASL1")</f>
        <v>ASL1</v>
      </c>
      <c r="E51" s="4"/>
      <c r="F51" s="263" t="str">
        <f>IFERROR(__xludf.DUMMYFUNCTION("""COMPUTED_VALUE"""),"1")</f>
        <v>1</v>
      </c>
      <c r="G51" s="4"/>
      <c r="H51" s="39" t="str">
        <f>IFERROR(__xludf.DUMMYFUNCTION("""COMPUTED_VALUE"""),"Chilled")</f>
        <v>Chilled</v>
      </c>
    </row>
    <row r="52">
      <c r="A52" s="39" t="str">
        <f>IFERROR(__xludf.DUMMYFUNCTION("""COMPUTED_VALUE"""),"209_1p")</f>
        <v>209_1p</v>
      </c>
      <c r="B52" s="39" t="str">
        <f>IFERROR(__xludf.DUMMYFUNCTION("""COMPUTED_VALUE"""),"209 - FACTOR_ Spirulina Ginger Lime Ginger Shot")</f>
        <v>209 - FACTOR_ Spirulina Ginger Lime Ginger Shot</v>
      </c>
      <c r="C52" s="39" t="str">
        <f>IFERROR(__xludf.DUMMYFUNCTION("""COMPUTED_VALUE"""),"BEV-00-137951-2")</f>
        <v>BEV-00-137951-2</v>
      </c>
      <c r="D52" s="39" t="str">
        <f>IFERROR(__xludf.DUMMYFUNCTION("""COMPUTED_VALUE"""),"ASL1")</f>
        <v>ASL1</v>
      </c>
      <c r="E52" s="4"/>
      <c r="F52" s="263" t="str">
        <f>IFERROR(__xludf.DUMMYFUNCTION("""COMPUTED_VALUE"""),"1")</f>
        <v>1</v>
      </c>
      <c r="G52" s="4"/>
      <c r="H52" s="39" t="str">
        <f>IFERROR(__xludf.DUMMYFUNCTION("""COMPUTED_VALUE"""),"Chilled")</f>
        <v>Chilled</v>
      </c>
    </row>
    <row r="53">
      <c r="A53" s="39" t="str">
        <f>IFERROR(__xludf.DUMMYFUNCTION("""COMPUTED_VALUE"""),"210_1p")</f>
        <v>210_1p</v>
      </c>
      <c r="B53" s="39" t="str">
        <f>IFERROR(__xludf.DUMMYFUNCTION("""COMPUTED_VALUE"""),"210 - FACTOR_ Turmeric Cayenne Pineapple Ginger Shot")</f>
        <v>210 - FACTOR_ Turmeric Cayenne Pineapple Ginger Shot</v>
      </c>
      <c r="C53" s="39" t="str">
        <f>IFERROR(__xludf.DUMMYFUNCTION("""COMPUTED_VALUE"""),"BEV-00-137952-2")</f>
        <v>BEV-00-137952-2</v>
      </c>
      <c r="D53" s="39" t="str">
        <f>IFERROR(__xludf.DUMMYFUNCTION("""COMPUTED_VALUE"""),"ASL1")</f>
        <v>ASL1</v>
      </c>
      <c r="E53" s="4"/>
      <c r="F53" s="263" t="str">
        <f>IFERROR(__xludf.DUMMYFUNCTION("""COMPUTED_VALUE"""),"1")</f>
        <v>1</v>
      </c>
      <c r="G53" s="4"/>
      <c r="H53" s="39" t="str">
        <f>IFERROR(__xludf.DUMMYFUNCTION("""COMPUTED_VALUE"""),"Chilled")</f>
        <v>Chilled</v>
      </c>
    </row>
    <row r="57">
      <c r="A57" s="277" t="s">
        <v>215</v>
      </c>
      <c r="B57" s="277" t="s">
        <v>215</v>
      </c>
      <c r="C57" s="277" t="s">
        <v>215</v>
      </c>
      <c r="D57" s="277" t="s">
        <v>99</v>
      </c>
      <c r="E57" s="278"/>
      <c r="F57" s="277">
        <v>1.0</v>
      </c>
      <c r="G57" s="278"/>
      <c r="H57" s="277" t="s">
        <v>262</v>
      </c>
    </row>
    <row r="58">
      <c r="A58" s="277" t="s">
        <v>159</v>
      </c>
      <c r="B58" s="277" t="s">
        <v>159</v>
      </c>
      <c r="C58" s="277" t="s">
        <v>159</v>
      </c>
      <c r="D58" s="277" t="s">
        <v>99</v>
      </c>
      <c r="E58" s="278"/>
      <c r="F58" s="277">
        <v>1.0</v>
      </c>
      <c r="G58" s="278"/>
      <c r="H58" s="277" t="s">
        <v>262</v>
      </c>
    </row>
    <row r="59">
      <c r="A59" s="277" t="s">
        <v>162</v>
      </c>
      <c r="B59" s="277" t="s">
        <v>162</v>
      </c>
      <c r="C59" s="277" t="s">
        <v>162</v>
      </c>
      <c r="D59" s="277" t="s">
        <v>99</v>
      </c>
      <c r="E59" s="278"/>
      <c r="F59" s="277">
        <v>1.0</v>
      </c>
      <c r="G59" s="278"/>
      <c r="H59" s="277" t="s">
        <v>262</v>
      </c>
    </row>
    <row r="60" ht="14.25" customHeight="1">
      <c r="A60" s="277" t="s">
        <v>164</v>
      </c>
      <c r="B60" s="277" t="s">
        <v>164</v>
      </c>
      <c r="C60" s="277" t="s">
        <v>164</v>
      </c>
      <c r="D60" s="277" t="s">
        <v>99</v>
      </c>
      <c r="E60" s="278"/>
      <c r="F60" s="277">
        <v>1.0</v>
      </c>
      <c r="G60" s="278"/>
      <c r="H60" s="277" t="s">
        <v>262</v>
      </c>
    </row>
    <row r="61">
      <c r="A61" s="274" t="s">
        <v>263</v>
      </c>
      <c r="B61" s="279" t="s">
        <v>192</v>
      </c>
      <c r="C61" s="274" t="s">
        <v>264</v>
      </c>
      <c r="D61" s="274" t="s">
        <v>99</v>
      </c>
      <c r="E61" s="274"/>
      <c r="F61" s="280">
        <v>1.0</v>
      </c>
      <c r="G61" s="274"/>
      <c r="H61" s="274" t="s">
        <v>265</v>
      </c>
    </row>
    <row r="62">
      <c r="A62" s="274" t="s">
        <v>266</v>
      </c>
      <c r="B62" s="274" t="s">
        <v>217</v>
      </c>
      <c r="C62" s="274" t="s">
        <v>264</v>
      </c>
      <c r="D62" s="274" t="s">
        <v>99</v>
      </c>
      <c r="E62" s="274"/>
      <c r="F62" s="280">
        <v>1.0</v>
      </c>
      <c r="G62" s="274"/>
      <c r="H62" s="274" t="s">
        <v>265</v>
      </c>
    </row>
    <row r="63">
      <c r="A63" s="281" t="s">
        <v>285</v>
      </c>
      <c r="B63" s="281" t="s">
        <v>11</v>
      </c>
      <c r="C63" s="281" t="s">
        <v>275</v>
      </c>
      <c r="D63" s="281" t="s">
        <v>99</v>
      </c>
      <c r="E63" s="282"/>
      <c r="F63" s="283">
        <v>2.0</v>
      </c>
      <c r="G63" s="282"/>
      <c r="H63" s="281" t="s">
        <v>265</v>
      </c>
    </row>
    <row r="64">
      <c r="A64" s="281" t="s">
        <v>286</v>
      </c>
      <c r="B64" s="281" t="s">
        <v>11</v>
      </c>
      <c r="C64" s="281" t="s">
        <v>275</v>
      </c>
      <c r="D64" s="281" t="s">
        <v>99</v>
      </c>
      <c r="E64" s="282"/>
      <c r="F64" s="283">
        <v>4.0</v>
      </c>
      <c r="G64" s="282"/>
      <c r="H64" s="281" t="s">
        <v>265</v>
      </c>
    </row>
    <row r="65">
      <c r="A65" s="39" t="str">
        <f>IFERROR(__xludf.DUMMYFUNCTION("FILTER('Inputs Maite Nordics'!AE9:AL110, ('Inputs Maite Nordics'!AE9:AE110&lt;&gt;"""") + ('Inputs Maite Nordics'!AL9:AL110&lt;&gt;""""))"),"601_1p")</f>
        <v>601_1p</v>
      </c>
      <c r="B65" s="186" t="str">
        <f>IFERROR(__xludf.DUMMYFUNCTION("""COMPUTED_VALUE"""),"565072 - Grillet kylling med ratatouille")</f>
        <v>565072 - Grillet kylling med ratatouille</v>
      </c>
      <c r="C65" s="186" t="str">
        <f>IFERROR(__xludf.DUMMYFUNCTION("""COMPUTED_VALUE"""),"CON-00-147878-2")</f>
        <v>CON-00-147878-2</v>
      </c>
      <c r="D65" s="186" t="str">
        <f>IFERROR(__xludf.DUMMYFUNCTION("""COMPUTED_VALUE"""),"ASL2")</f>
        <v>ASL2</v>
      </c>
      <c r="E65" s="186"/>
      <c r="F65" s="186" t="str">
        <f>IFERROR(__xludf.DUMMYFUNCTION("""COMPUTED_VALUE"""),"1")</f>
        <v>1</v>
      </c>
      <c r="G65" s="186"/>
      <c r="H65" s="186" t="str">
        <f>IFERROR(__xludf.DUMMYFUNCTION("""COMPUTED_VALUE"""),"Chilled")</f>
        <v>Chilled</v>
      </c>
    </row>
    <row r="66">
      <c r="A66" s="39" t="str">
        <f>IFERROR(__xludf.DUMMYFUNCTION("""COMPUTED_VALUE"""),"602_1p")</f>
        <v>602_1p</v>
      </c>
      <c r="B66" s="39" t="str">
        <f>IFERROR(__xludf.DUMMYFUNCTION("""COMPUTED_VALUE"""),"565209 - Chilensk inspireret kylling med salsa-quinoa")</f>
        <v>565209 - Chilensk inspireret kylling med salsa-quinoa</v>
      </c>
      <c r="C66" s="39" t="str">
        <f>IFERROR(__xludf.DUMMYFUNCTION("""COMPUTED_VALUE"""),"CON-00-152208-2")</f>
        <v>CON-00-152208-2</v>
      </c>
      <c r="D66" s="39" t="str">
        <f>IFERROR(__xludf.DUMMYFUNCTION("""COMPUTED_VALUE"""),"ASL2")</f>
        <v>ASL2</v>
      </c>
      <c r="E66" s="4"/>
      <c r="F66" s="263" t="str">
        <f>IFERROR(__xludf.DUMMYFUNCTION("""COMPUTED_VALUE"""),"1")</f>
        <v>1</v>
      </c>
      <c r="G66" s="4"/>
      <c r="H66" s="39" t="str">
        <f>IFERROR(__xludf.DUMMYFUNCTION("""COMPUTED_VALUE"""),"Chilled")</f>
        <v>Chilled</v>
      </c>
    </row>
    <row r="67">
      <c r="A67" s="186" t="str">
        <f>IFERROR(__xludf.DUMMYFUNCTION("""COMPUTED_VALUE"""),"603_1p")</f>
        <v>603_1p</v>
      </c>
      <c r="B67" s="39" t="str">
        <f>IFERROR(__xludf.DUMMYFUNCTION("""COMPUTED_VALUE"""),"565309 - Braiseret oksekød i urtesky")</f>
        <v>565309 - Braiseret oksekød i urtesky</v>
      </c>
      <c r="C67" s="39" t="str">
        <f>IFERROR(__xludf.DUMMYFUNCTION("""COMPUTED_VALUE"""),"CON-00-147839-2")</f>
        <v>CON-00-147839-2</v>
      </c>
      <c r="D67" s="39" t="str">
        <f>IFERROR(__xludf.DUMMYFUNCTION("""COMPUTED_VALUE"""),"ASL2")</f>
        <v>ASL2</v>
      </c>
      <c r="E67" s="4"/>
      <c r="F67" s="263" t="str">
        <f>IFERROR(__xludf.DUMMYFUNCTION("""COMPUTED_VALUE"""),"1")</f>
        <v>1</v>
      </c>
      <c r="G67" s="4"/>
      <c r="H67" s="39" t="str">
        <f>IFERROR(__xludf.DUMMYFUNCTION("""COMPUTED_VALUE"""),"Chilled")</f>
        <v>Chilled</v>
      </c>
    </row>
    <row r="68">
      <c r="A68" s="39" t="str">
        <f>IFERROR(__xludf.DUMMYFUNCTION("""COMPUTED_VALUE"""),"604_1p")</f>
        <v>604_1p</v>
      </c>
      <c r="B68" s="39" t="str">
        <f>IFERROR(__xludf.DUMMYFUNCTION("""COMPUTED_VALUE"""),"565064 - Laks i senneps-dild sauce")</f>
        <v>565064 - Laks i senneps-dild sauce</v>
      </c>
      <c r="C68" s="39" t="str">
        <f>IFERROR(__xludf.DUMMYFUNCTION("""COMPUTED_VALUE"""),"CON-00-147871-2")</f>
        <v>CON-00-147871-2</v>
      </c>
      <c r="D68" s="39" t="str">
        <f>IFERROR(__xludf.DUMMYFUNCTION("""COMPUTED_VALUE"""),"ASL2")</f>
        <v>ASL2</v>
      </c>
      <c r="E68" s="4"/>
      <c r="F68" s="263" t="str">
        <f>IFERROR(__xludf.DUMMYFUNCTION("""COMPUTED_VALUE"""),"1")</f>
        <v>1</v>
      </c>
      <c r="G68" s="4"/>
      <c r="H68" s="39" t="str">
        <f>IFERROR(__xludf.DUMMYFUNCTION("""COMPUTED_VALUE"""),"Chilled")</f>
        <v>Chilled</v>
      </c>
    </row>
    <row r="69">
      <c r="A69" s="39" t="str">
        <f>IFERROR(__xludf.DUMMYFUNCTION("""COMPUTED_VALUE"""),"605_1p")</f>
        <v>605_1p</v>
      </c>
      <c r="B69" s="39" t="str">
        <f>IFERROR(__xludf.DUMMYFUNCTION("""COMPUTED_VALUE"""),"565178 - Vestfrikansk-inspireret peanut-kyllingecurry")</f>
        <v>565178 - Vestfrikansk-inspireret peanut-kyllingecurry</v>
      </c>
      <c r="C69" s="39" t="str">
        <f>IFERROR(__xludf.DUMMYFUNCTION("""COMPUTED_VALUE"""),"CON-00-150749-2")</f>
        <v>CON-00-150749-2</v>
      </c>
      <c r="D69" s="39" t="str">
        <f>IFERROR(__xludf.DUMMYFUNCTION("""COMPUTED_VALUE"""),"ASL2")</f>
        <v>ASL2</v>
      </c>
      <c r="E69" s="4"/>
      <c r="F69" s="263" t="str">
        <f>IFERROR(__xludf.DUMMYFUNCTION("""COMPUTED_VALUE"""),"1")</f>
        <v>1</v>
      </c>
      <c r="G69" s="4"/>
      <c r="H69" s="39" t="str">
        <f>IFERROR(__xludf.DUMMYFUNCTION("""COMPUTED_VALUE"""),"Chilled")</f>
        <v>Chilled</v>
      </c>
    </row>
    <row r="70">
      <c r="A70" s="39" t="str">
        <f>IFERROR(__xludf.DUMMYFUNCTION("""COMPUTED_VALUE"""),"606_1p")</f>
        <v>606_1p</v>
      </c>
      <c r="B70" s="39" t="str">
        <f>IFERROR(__xludf.DUMMYFUNCTION("""COMPUTED_VALUE"""),"565189 - Laks Piccata ")</f>
        <v>565189 - Laks Piccata </v>
      </c>
      <c r="C70" s="39" t="str">
        <f>IFERROR(__xludf.DUMMYFUNCTION("""COMPUTED_VALUE"""),"CON-00-152023-2")</f>
        <v>CON-00-152023-2</v>
      </c>
      <c r="D70" s="39" t="str">
        <f>IFERROR(__xludf.DUMMYFUNCTION("""COMPUTED_VALUE"""),"ASL2")</f>
        <v>ASL2</v>
      </c>
      <c r="E70" s="4"/>
      <c r="F70" s="263" t="str">
        <f>IFERROR(__xludf.DUMMYFUNCTION("""COMPUTED_VALUE"""),"1")</f>
        <v>1</v>
      </c>
      <c r="G70" s="4"/>
      <c r="H70" s="39" t="str">
        <f>IFERROR(__xludf.DUMMYFUNCTION("""COMPUTED_VALUE"""),"Chilled")</f>
        <v>Chilled</v>
      </c>
    </row>
    <row r="71">
      <c r="A71" s="39" t="str">
        <f>IFERROR(__xludf.DUMMYFUNCTION("""COMPUTED_VALUE"""),"607_1p")</f>
        <v>607_1p</v>
      </c>
      <c r="B71" s="39" t="str">
        <f>IFERROR(__xludf.DUMMYFUNCTION("""COMPUTED_VALUE"""),"565164 - Kylling i Emmental-fondue med karamelliseret løg")</f>
        <v>565164 - Kylling i Emmental-fondue med karamelliseret løg</v>
      </c>
      <c r="C71" s="39" t="str">
        <f>IFERROR(__xludf.DUMMYFUNCTION("""COMPUTED_VALUE"""),"CON-00-148196-2")</f>
        <v>CON-00-148196-2</v>
      </c>
      <c r="D71" s="39" t="str">
        <f>IFERROR(__xludf.DUMMYFUNCTION("""COMPUTED_VALUE"""),"ASL2")</f>
        <v>ASL2</v>
      </c>
      <c r="E71" s="4"/>
      <c r="F71" s="263" t="str">
        <f>IFERROR(__xludf.DUMMYFUNCTION("""COMPUTED_VALUE"""),"1")</f>
        <v>1</v>
      </c>
      <c r="G71" s="4"/>
      <c r="H71" s="39" t="str">
        <f>IFERROR(__xludf.DUMMYFUNCTION("""COMPUTED_VALUE"""),"Chilled")</f>
        <v>Chilled</v>
      </c>
    </row>
    <row r="72">
      <c r="A72" s="39" t="str">
        <f>IFERROR(__xludf.DUMMYFUNCTION("""COMPUTED_VALUE"""),"608_1p")</f>
        <v>608_1p</v>
      </c>
      <c r="B72" s="39" t="str">
        <f>IFERROR(__xludf.DUMMYFUNCTION("""COMPUTED_VALUE"""),"565043 - Spicy kylling med jalapeño, lime og cheddar")</f>
        <v>565043 - Spicy kylling med jalapeño, lime og cheddar</v>
      </c>
      <c r="C72" s="39" t="str">
        <f>IFERROR(__xludf.DUMMYFUNCTION("""COMPUTED_VALUE"""),"CON-00-147826-2")</f>
        <v>CON-00-147826-2</v>
      </c>
      <c r="D72" s="39" t="str">
        <f>IFERROR(__xludf.DUMMYFUNCTION("""COMPUTED_VALUE"""),"ASL2")</f>
        <v>ASL2</v>
      </c>
      <c r="E72" s="4"/>
      <c r="F72" s="263" t="str">
        <f>IFERROR(__xludf.DUMMYFUNCTION("""COMPUTED_VALUE"""),"1")</f>
        <v>1</v>
      </c>
      <c r="G72" s="4"/>
      <c r="H72" s="39" t="str">
        <f>IFERROR(__xludf.DUMMYFUNCTION("""COMPUTED_VALUE"""),"Chilled")</f>
        <v>Chilled</v>
      </c>
    </row>
    <row r="73">
      <c r="A73" s="39" t="str">
        <f>IFERROR(__xludf.DUMMYFUNCTION("""COMPUTED_VALUE"""),"609_1p")</f>
        <v>609_1p</v>
      </c>
      <c r="B73" s="39" t="str">
        <f>IFERROR(__xludf.DUMMYFUNCTION("""COMPUTED_VALUE"""),"565244 - Cremet tomatrisotto")</f>
        <v>565244 - Cremet tomatrisotto</v>
      </c>
      <c r="C73" s="39" t="str">
        <f>IFERROR(__xludf.DUMMYFUNCTION("""COMPUTED_VALUE"""),"CON-00-147816-2")</f>
        <v>CON-00-147816-2</v>
      </c>
      <c r="D73" s="39" t="str">
        <f>IFERROR(__xludf.DUMMYFUNCTION("""COMPUTED_VALUE"""),"ASL2")</f>
        <v>ASL2</v>
      </c>
      <c r="E73" s="4"/>
      <c r="F73" s="263" t="str">
        <f>IFERROR(__xludf.DUMMYFUNCTION("""COMPUTED_VALUE"""),"1")</f>
        <v>1</v>
      </c>
      <c r="G73" s="4"/>
      <c r="H73" s="39" t="str">
        <f>IFERROR(__xludf.DUMMYFUNCTION("""COMPUTED_VALUE"""),"Chilled")</f>
        <v>Chilled</v>
      </c>
    </row>
    <row r="74">
      <c r="A74" s="39" t="str">
        <f>IFERROR(__xludf.DUMMYFUNCTION("""COMPUTED_VALUE"""),"610_1p")</f>
        <v>610_1p</v>
      </c>
      <c r="B74" s="39" t="str">
        <f>IFERROR(__xludf.DUMMYFUNCTION("""COMPUTED_VALUE"""),"565141 - Squash- og peberfrugtsratatouille")</f>
        <v>565141 - Squash- og peberfrugtsratatouille</v>
      </c>
      <c r="C74" s="39" t="str">
        <f>IFERROR(__xludf.DUMMYFUNCTION("""COMPUTED_VALUE"""),"CON-00-147817-2")</f>
        <v>CON-00-147817-2</v>
      </c>
      <c r="D74" s="39" t="str">
        <f>IFERROR(__xludf.DUMMYFUNCTION("""COMPUTED_VALUE"""),"ASL2")</f>
        <v>ASL2</v>
      </c>
      <c r="E74" s="4"/>
      <c r="F74" s="263" t="str">
        <f>IFERROR(__xludf.DUMMYFUNCTION("""COMPUTED_VALUE"""),"1")</f>
        <v>1</v>
      </c>
      <c r="G74" s="4"/>
      <c r="H74" s="39" t="str">
        <f>IFERROR(__xludf.DUMMYFUNCTION("""COMPUTED_VALUE"""),"Chilled")</f>
        <v>Chilled</v>
      </c>
    </row>
    <row r="75">
      <c r="A75" s="39" t="str">
        <f>IFERROR(__xludf.DUMMYFUNCTION("""COMPUTED_VALUE"""),"611_1p")</f>
        <v>611_1p</v>
      </c>
      <c r="B75" s="39" t="str">
        <f>IFERROR(__xludf.DUMMYFUNCTION("""COMPUTED_VALUE"""),"565143 - Svinemørbrad i cremet hvidløgs- og sennepssauce")</f>
        <v>565143 - Svinemørbrad i cremet hvidløgs- og sennepssauce</v>
      </c>
      <c r="C75" s="39" t="str">
        <f>IFERROR(__xludf.DUMMYFUNCTION("""COMPUTED_VALUE"""),"CON-00-147824-2")</f>
        <v>CON-00-147824-2</v>
      </c>
      <c r="D75" s="39" t="str">
        <f>IFERROR(__xludf.DUMMYFUNCTION("""COMPUTED_VALUE"""),"ASL2")</f>
        <v>ASL2</v>
      </c>
      <c r="E75" s="4"/>
      <c r="F75" s="263" t="str">
        <f>IFERROR(__xludf.DUMMYFUNCTION("""COMPUTED_VALUE"""),"1")</f>
        <v>1</v>
      </c>
      <c r="G75" s="4"/>
      <c r="H75" s="39" t="str">
        <f>IFERROR(__xludf.DUMMYFUNCTION("""COMPUTED_VALUE"""),"Chilled")</f>
        <v>Chilled</v>
      </c>
    </row>
    <row r="76">
      <c r="A76" s="39" t="str">
        <f>IFERROR(__xludf.DUMMYFUNCTION("""COMPUTED_VALUE"""),"612_1p")</f>
        <v>612_1p</v>
      </c>
      <c r="B76" s="39" t="str">
        <f>IFERROR(__xludf.DUMMYFUNCTION("""COMPUTED_VALUE"""),"565196 - Laks med aji verde")</f>
        <v>565196 - Laks med aji verde</v>
      </c>
      <c r="C76" s="39" t="str">
        <f>IFERROR(__xludf.DUMMYFUNCTION("""COMPUTED_VALUE"""),"CON-00-151279-2")</f>
        <v>CON-00-151279-2</v>
      </c>
      <c r="D76" s="39" t="str">
        <f>IFERROR(__xludf.DUMMYFUNCTION("""COMPUTED_VALUE"""),"ASL2")</f>
        <v>ASL2</v>
      </c>
      <c r="E76" s="4"/>
      <c r="F76" s="263" t="str">
        <f>IFERROR(__xludf.DUMMYFUNCTION("""COMPUTED_VALUE"""),"1")</f>
        <v>1</v>
      </c>
      <c r="G76" s="4"/>
      <c r="H76" s="39" t="str">
        <f>IFERROR(__xludf.DUMMYFUNCTION("""COMPUTED_VALUE"""),"Chilled")</f>
        <v>Chilled</v>
      </c>
    </row>
    <row r="77">
      <c r="A77" s="39" t="str">
        <f>IFERROR(__xludf.DUMMYFUNCTION("""COMPUTED_VALUE"""),"613_1p")</f>
        <v>613_1p</v>
      </c>
      <c r="B77" s="39" t="str">
        <f>IFERROR(__xludf.DUMMYFUNCTION("""COMPUTED_VALUE"""),"565130 - Chilikryddet pulled pork")</f>
        <v>565130 - Chilikryddet pulled pork</v>
      </c>
      <c r="C77" s="39" t="str">
        <f>IFERROR(__xludf.DUMMYFUNCTION("""COMPUTED_VALUE"""),"CON-00-147901-2")</f>
        <v>CON-00-147901-2</v>
      </c>
      <c r="D77" s="39" t="str">
        <f>IFERROR(__xludf.DUMMYFUNCTION("""COMPUTED_VALUE"""),"ASL2")</f>
        <v>ASL2</v>
      </c>
      <c r="E77" s="4"/>
      <c r="F77" s="263" t="str">
        <f>IFERROR(__xludf.DUMMYFUNCTION("""COMPUTED_VALUE"""),"1")</f>
        <v>1</v>
      </c>
      <c r="G77" s="4"/>
      <c r="H77" s="39" t="str">
        <f>IFERROR(__xludf.DUMMYFUNCTION("""COMPUTED_VALUE"""),"Chilled")</f>
        <v>Chilled</v>
      </c>
    </row>
    <row r="78">
      <c r="A78" s="39" t="str">
        <f>IFERROR(__xludf.DUMMYFUNCTION("""COMPUTED_VALUE"""),"614_1p")</f>
        <v>614_1p</v>
      </c>
      <c r="B78" s="39" t="str">
        <f>IFERROR(__xludf.DUMMYFUNCTION("""COMPUTED_VALUE"""),"565211 - Grillet kylling med ingefær og hvidløg")</f>
        <v>565211 - Grillet kylling med ingefær og hvidløg</v>
      </c>
      <c r="C78" s="39" t="str">
        <f>IFERROR(__xludf.DUMMYFUNCTION("""COMPUTED_VALUE"""),"CON-00-152026-2")</f>
        <v>CON-00-152026-2</v>
      </c>
      <c r="D78" s="39" t="str">
        <f>IFERROR(__xludf.DUMMYFUNCTION("""COMPUTED_VALUE"""),"ASL2")</f>
        <v>ASL2</v>
      </c>
      <c r="E78" s="4"/>
      <c r="F78" s="263" t="str">
        <f>IFERROR(__xludf.DUMMYFUNCTION("""COMPUTED_VALUE"""),"1")</f>
        <v>1</v>
      </c>
      <c r="G78" s="4"/>
      <c r="H78" s="39" t="str">
        <f>IFERROR(__xludf.DUMMYFUNCTION("""COMPUTED_VALUE"""),"Chilled")</f>
        <v>Chilled</v>
      </c>
    </row>
    <row r="79">
      <c r="A79" s="39" t="str">
        <f>IFERROR(__xludf.DUMMYFUNCTION("""COMPUTED_VALUE"""),"615_1p")</f>
        <v>615_1p</v>
      </c>
      <c r="B79" s="39" t="str">
        <f>IFERROR(__xludf.DUMMYFUNCTION("""COMPUTED_VALUE"""),"565091 - Krydret hakket oksekød med jalapenos")</f>
        <v>565091 - Krydret hakket oksekød med jalapenos</v>
      </c>
      <c r="C79" s="39" t="str">
        <f>IFERROR(__xludf.DUMMYFUNCTION("""COMPUTED_VALUE"""),"CON-00-147857-2")</f>
        <v>CON-00-147857-2</v>
      </c>
      <c r="D79" s="39" t="str">
        <f>IFERROR(__xludf.DUMMYFUNCTION("""COMPUTED_VALUE"""),"ASL2")</f>
        <v>ASL2</v>
      </c>
      <c r="E79" s="4"/>
      <c r="F79" s="263" t="str">
        <f>IFERROR(__xludf.DUMMYFUNCTION("""COMPUTED_VALUE"""),"1")</f>
        <v>1</v>
      </c>
      <c r="G79" s="4"/>
      <c r="H79" s="39" t="str">
        <f>IFERROR(__xludf.DUMMYFUNCTION("""COMPUTED_VALUE"""),"Chilled")</f>
        <v>Chilled</v>
      </c>
    </row>
    <row r="80">
      <c r="A80" s="39" t="str">
        <f>IFERROR(__xludf.DUMMYFUNCTION("""COMPUTED_VALUE"""),"616_1p")</f>
        <v>616_1p</v>
      </c>
      <c r="B80" s="39" t="str">
        <f>IFERROR(__xludf.DUMMYFUNCTION("""COMPUTED_VALUE"""),"565221 - Laksebowl med citrus-miso")</f>
        <v>565221 - Laksebowl med citrus-miso</v>
      </c>
      <c r="C80" s="39" t="str">
        <f>IFERROR(__xludf.DUMMYFUNCTION("""COMPUTED_VALUE"""),"CON-00-154556-2")</f>
        <v>CON-00-154556-2</v>
      </c>
      <c r="D80" s="39" t="str">
        <f>IFERROR(__xludf.DUMMYFUNCTION("""COMPUTED_VALUE"""),"ASL2")</f>
        <v>ASL2</v>
      </c>
      <c r="E80" s="4"/>
      <c r="F80" s="263" t="str">
        <f>IFERROR(__xludf.DUMMYFUNCTION("""COMPUTED_VALUE"""),"1")</f>
        <v>1</v>
      </c>
      <c r="G80" s="4"/>
      <c r="H80" s="39" t="str">
        <f>IFERROR(__xludf.DUMMYFUNCTION("""COMPUTED_VALUE"""),"Chilled")</f>
        <v>Chilled</v>
      </c>
    </row>
    <row r="81">
      <c r="A81" s="39" t="str">
        <f>IFERROR(__xludf.DUMMYFUNCTION("""COMPUTED_VALUE"""),"617_1p")</f>
        <v>617_1p</v>
      </c>
      <c r="B81" s="39" t="str">
        <f>IFERROR(__xludf.DUMMYFUNCTION("""COMPUTED_VALUE"""),"565252 - Pasta med oksekødsragù og soltørrede tomater")</f>
        <v>565252 - Pasta med oksekødsragù og soltørrede tomater</v>
      </c>
      <c r="C81" s="39" t="str">
        <f>IFERROR(__xludf.DUMMYFUNCTION("""COMPUTED_VALUE"""),"CON-00-155188-2")</f>
        <v>CON-00-155188-2</v>
      </c>
      <c r="D81" s="39" t="str">
        <f>IFERROR(__xludf.DUMMYFUNCTION("""COMPUTED_VALUE"""),"ASL2")</f>
        <v>ASL2</v>
      </c>
      <c r="E81" s="4"/>
      <c r="F81" s="263" t="str">
        <f>IFERROR(__xludf.DUMMYFUNCTION("""COMPUTED_VALUE"""),"1")</f>
        <v>1</v>
      </c>
      <c r="G81" s="4"/>
      <c r="H81" s="39" t="str">
        <f>IFERROR(__xludf.DUMMYFUNCTION("""COMPUTED_VALUE"""),"Chilled")</f>
        <v>Chilled</v>
      </c>
    </row>
    <row r="82">
      <c r="A82" s="39" t="str">
        <f>IFERROR(__xludf.DUMMYFUNCTION("""COMPUTED_VALUE"""),"618_1p")</f>
        <v>618_1p</v>
      </c>
      <c r="B82" s="39" t="str">
        <f>IFERROR(__xludf.DUMMYFUNCTION("""COMPUTED_VALUE"""),"565095 - Svinemørbrad i ancho- og chilisauce")</f>
        <v>565095 - Svinemørbrad i ancho- og chilisauce</v>
      </c>
      <c r="C82" s="39" t="str">
        <f>IFERROR(__xludf.DUMMYFUNCTION("""COMPUTED_VALUE"""),"CON-00-147864-2")</f>
        <v>CON-00-147864-2</v>
      </c>
      <c r="D82" s="39" t="str">
        <f>IFERROR(__xludf.DUMMYFUNCTION("""COMPUTED_VALUE"""),"ASL2")</f>
        <v>ASL2</v>
      </c>
      <c r="E82" s="4"/>
      <c r="F82" s="263" t="str">
        <f>IFERROR(__xludf.DUMMYFUNCTION("""COMPUTED_VALUE"""),"1")</f>
        <v>1</v>
      </c>
      <c r="G82" s="4"/>
      <c r="H82" s="39" t="str">
        <f>IFERROR(__xludf.DUMMYFUNCTION("""COMPUTED_VALUE"""),"Chilled")</f>
        <v>Chilled</v>
      </c>
    </row>
    <row r="83">
      <c r="A83" s="39" t="str">
        <f>IFERROR(__xludf.DUMMYFUNCTION("""COMPUTED_VALUE"""),"706_1p")</f>
        <v>706_1p</v>
      </c>
      <c r="B83" s="39" t="str">
        <f>IFERROR(__xludf.DUMMYFUNCTION("""COMPUTED_VALUE"""),"565119 - Grillet kylling med hvidlød og urter")</f>
        <v>565119 - Grillet kylling med hvidlød og urter</v>
      </c>
      <c r="C83" s="39" t="str">
        <f>IFERROR(__xludf.DUMMYFUNCTION("""COMPUTED_VALUE"""),"PTN-00-148223-2")</f>
        <v>PTN-00-148223-2</v>
      </c>
      <c r="D83" s="39" t="str">
        <f>IFERROR(__xludf.DUMMYFUNCTION("""COMPUTED_VALUE"""),"ASL2")</f>
        <v>ASL2</v>
      </c>
      <c r="E83" s="4"/>
      <c r="F83" s="263" t="str">
        <f>IFERROR(__xludf.DUMMYFUNCTION("""COMPUTED_VALUE"""),"1")</f>
        <v>1</v>
      </c>
      <c r="G83" s="4"/>
      <c r="H83" s="39" t="str">
        <f>IFERROR(__xludf.DUMMYFUNCTION("""COMPUTED_VALUE"""),"Chilled")</f>
        <v>Chilled</v>
      </c>
    </row>
    <row r="84">
      <c r="A84" s="186" t="str">
        <f>IFERROR(__xludf.DUMMYFUNCTION("""COMPUTED_VALUE"""),"705_1p")</f>
        <v>705_1p</v>
      </c>
      <c r="B84" s="186" t="str">
        <f>IFERROR(__xludf.DUMMYFUNCTION("""COMPUTED_VALUE"""),"705 - FACTOR_ Ginger Lemon Apple Wellness Shot")</f>
        <v>705 - FACTOR_ Ginger Lemon Apple Wellness Shot</v>
      </c>
      <c r="C84" s="186" t="str">
        <f>IFERROR(__xludf.DUMMYFUNCTION("""COMPUTED_VALUE"""),"BEV-00-136840-3")</f>
        <v>BEV-00-136840-3</v>
      </c>
      <c r="D84" s="186" t="str">
        <f>IFERROR(__xludf.DUMMYFUNCTION("""COMPUTED_VALUE"""),"ASL2")</f>
        <v>ASL2</v>
      </c>
      <c r="E84" s="186"/>
      <c r="F84" s="186" t="str">
        <f>IFERROR(__xludf.DUMMYFUNCTION("""COMPUTED_VALUE"""),"1")</f>
        <v>1</v>
      </c>
      <c r="G84" s="186"/>
      <c r="H84" s="186" t="str">
        <f>IFERROR(__xludf.DUMMYFUNCTION("""COMPUTED_VALUE"""),"Chilled")</f>
        <v>Chilled</v>
      </c>
    </row>
    <row r="85">
      <c r="A85" s="186" t="str">
        <f>IFERROR(__xludf.DUMMYFUNCTION("""COMPUTED_VALUE"""),"709_1p")</f>
        <v>709_1p</v>
      </c>
      <c r="B85" s="186" t="str">
        <f>IFERROR(__xludf.DUMMYFUNCTION("""COMPUTED_VALUE"""),"709 - FACTOR_ Spirulina Ginger Lime Ginger Shot")</f>
        <v>709 - FACTOR_ Spirulina Ginger Lime Ginger Shot</v>
      </c>
      <c r="C85" s="186" t="str">
        <f>IFERROR(__xludf.DUMMYFUNCTION("""COMPUTED_VALUE"""),"BEV-00-137951-2")</f>
        <v>BEV-00-137951-2</v>
      </c>
      <c r="D85" s="186" t="str">
        <f>IFERROR(__xludf.DUMMYFUNCTION("""COMPUTED_VALUE"""),"ASL2")</f>
        <v>ASL2</v>
      </c>
      <c r="E85" s="186"/>
      <c r="F85" s="186" t="str">
        <f>IFERROR(__xludf.DUMMYFUNCTION("""COMPUTED_VALUE"""),"1")</f>
        <v>1</v>
      </c>
      <c r="G85" s="186"/>
      <c r="H85" s="186" t="str">
        <f>IFERROR(__xludf.DUMMYFUNCTION("""COMPUTED_VALUE"""),"Chilled")</f>
        <v>Chilled</v>
      </c>
    </row>
    <row r="86">
      <c r="A86" s="186" t="str">
        <f>IFERROR(__xludf.DUMMYFUNCTION("""COMPUTED_VALUE"""),"710_1p")</f>
        <v>710_1p</v>
      </c>
      <c r="B86" s="186" t="str">
        <f>IFERROR(__xludf.DUMMYFUNCTION("""COMPUTED_VALUE"""),"710 - FACTOR_ Turmeric Cayenne Pineapple Ginger Shot")</f>
        <v>710 - FACTOR_ Turmeric Cayenne Pineapple Ginger Shot</v>
      </c>
      <c r="C86" s="186" t="str">
        <f>IFERROR(__xludf.DUMMYFUNCTION("""COMPUTED_VALUE"""),"BEV-00-137952-2")</f>
        <v>BEV-00-137952-2</v>
      </c>
      <c r="D86" s="186" t="str">
        <f>IFERROR(__xludf.DUMMYFUNCTION("""COMPUTED_VALUE"""),"ASL2")</f>
        <v>ASL2</v>
      </c>
      <c r="E86" s="186"/>
      <c r="F86" s="186" t="str">
        <f>IFERROR(__xludf.DUMMYFUNCTION("""COMPUTED_VALUE"""),"1")</f>
        <v>1</v>
      </c>
      <c r="G86" s="186"/>
      <c r="H86" s="186" t="str">
        <f>IFERROR(__xludf.DUMMYFUNCTION("""COMPUTED_VALUE"""),"Chilled")</f>
        <v>Chilled</v>
      </c>
    </row>
    <row r="337">
      <c r="E337" s="284"/>
    </row>
    <row r="338">
      <c r="E338" s="284"/>
    </row>
    <row r="339">
      <c r="E339" s="284"/>
    </row>
    <row r="340">
      <c r="E340" s="284"/>
    </row>
    <row r="341">
      <c r="E341" s="284"/>
    </row>
    <row r="342">
      <c r="E342" s="284"/>
    </row>
    <row r="343">
      <c r="E343" s="284"/>
    </row>
    <row r="344">
      <c r="E344" s="284"/>
    </row>
    <row r="345">
      <c r="E345" s="284"/>
    </row>
    <row r="346">
      <c r="E346" s="284"/>
    </row>
    <row r="347">
      <c r="E347" s="284"/>
    </row>
    <row r="348">
      <c r="E348" s="284"/>
    </row>
    <row r="349">
      <c r="E349" s="285"/>
    </row>
    <row r="350">
      <c r="E350" s="284"/>
    </row>
    <row r="351">
      <c r="E351" s="284"/>
    </row>
    <row r="352">
      <c r="E352" s="284"/>
    </row>
    <row r="353">
      <c r="E353" s="284"/>
    </row>
    <row r="354">
      <c r="E354" s="284"/>
    </row>
    <row r="355">
      <c r="E355" s="284"/>
    </row>
    <row r="356">
      <c r="E356" s="284"/>
    </row>
    <row r="357">
      <c r="E357" s="284"/>
    </row>
    <row r="358">
      <c r="E358" s="284"/>
    </row>
    <row r="359">
      <c r="E359" s="284"/>
    </row>
    <row r="360">
      <c r="E360" s="284"/>
    </row>
    <row r="361">
      <c r="E361" s="284"/>
    </row>
    <row r="362">
      <c r="E362" s="284"/>
    </row>
    <row r="363">
      <c r="E363" s="284"/>
    </row>
    <row r="364">
      <c r="E364" s="284"/>
    </row>
    <row r="365">
      <c r="E365" s="284"/>
    </row>
    <row r="366">
      <c r="E366" s="284"/>
    </row>
    <row r="367">
      <c r="E367" s="284"/>
    </row>
    <row r="368">
      <c r="E368" s="284"/>
    </row>
    <row r="369">
      <c r="E369" s="284"/>
    </row>
    <row r="370">
      <c r="E370" s="284"/>
    </row>
    <row r="371">
      <c r="E371" s="284"/>
    </row>
    <row r="372">
      <c r="E372" s="284"/>
    </row>
    <row r="373">
      <c r="E373" s="284"/>
    </row>
    <row r="374">
      <c r="E374" s="284"/>
    </row>
    <row r="375">
      <c r="E375" s="284"/>
    </row>
    <row r="376">
      <c r="E376" s="284"/>
    </row>
    <row r="377">
      <c r="E377" s="284"/>
    </row>
    <row r="378">
      <c r="E378" s="284"/>
    </row>
    <row r="379">
      <c r="E379" s="284"/>
    </row>
    <row r="380">
      <c r="E380" s="284"/>
    </row>
    <row r="381">
      <c r="E381" s="284"/>
    </row>
    <row r="382">
      <c r="E382" s="284"/>
    </row>
    <row r="383">
      <c r="E383" s="284"/>
    </row>
    <row r="384">
      <c r="E384" s="284"/>
    </row>
    <row r="385">
      <c r="E385" s="284"/>
    </row>
    <row r="386">
      <c r="E386" s="284"/>
    </row>
    <row r="387">
      <c r="E387" s="284"/>
    </row>
    <row r="388">
      <c r="E388" s="284"/>
    </row>
    <row r="389">
      <c r="E389" s="284"/>
    </row>
    <row r="390">
      <c r="E390" s="284"/>
    </row>
    <row r="391">
      <c r="E391" s="284"/>
    </row>
    <row r="392">
      <c r="E392" s="284"/>
    </row>
    <row r="393">
      <c r="E393" s="284"/>
    </row>
    <row r="394">
      <c r="E394" s="284"/>
    </row>
    <row r="395">
      <c r="E395" s="284"/>
    </row>
    <row r="396">
      <c r="E396" s="284"/>
    </row>
    <row r="397">
      <c r="E397" s="284"/>
    </row>
    <row r="398">
      <c r="E398" s="284"/>
    </row>
    <row r="399">
      <c r="E399" s="284"/>
    </row>
    <row r="400">
      <c r="E400" s="284"/>
    </row>
    <row r="401">
      <c r="E401" s="284"/>
    </row>
    <row r="402">
      <c r="E402" s="284"/>
    </row>
    <row r="403">
      <c r="E403" s="284"/>
    </row>
    <row r="404">
      <c r="E404" s="284"/>
    </row>
    <row r="405">
      <c r="E405" s="284"/>
    </row>
    <row r="406">
      <c r="E406" s="284"/>
    </row>
    <row r="407">
      <c r="E407" s="284"/>
    </row>
    <row r="408">
      <c r="E408" s="284"/>
    </row>
    <row r="409">
      <c r="E409" s="284"/>
    </row>
    <row r="410">
      <c r="E410" s="284"/>
    </row>
    <row r="411">
      <c r="E411" s="284"/>
    </row>
    <row r="412">
      <c r="E412" s="284"/>
    </row>
    <row r="413">
      <c r="E413" s="284"/>
    </row>
    <row r="414">
      <c r="E414" s="284"/>
    </row>
    <row r="415">
      <c r="E415" s="284"/>
    </row>
    <row r="416">
      <c r="E416" s="284"/>
    </row>
    <row r="417">
      <c r="E417" s="284"/>
    </row>
    <row r="418">
      <c r="E418" s="284"/>
    </row>
    <row r="419">
      <c r="E419" s="284"/>
    </row>
    <row r="420">
      <c r="E420" s="284"/>
    </row>
    <row r="421">
      <c r="E421" s="284"/>
    </row>
    <row r="422">
      <c r="E422" s="284"/>
    </row>
    <row r="423">
      <c r="E423" s="284"/>
    </row>
    <row r="424">
      <c r="E424" s="285"/>
    </row>
    <row r="425">
      <c r="E425" s="284"/>
    </row>
    <row r="426">
      <c r="E426" s="284"/>
    </row>
    <row r="427">
      <c r="E427" s="284"/>
    </row>
    <row r="428">
      <c r="E428" s="284"/>
    </row>
    <row r="429">
      <c r="E429" s="284"/>
    </row>
    <row r="430">
      <c r="E430" s="284"/>
    </row>
    <row r="431">
      <c r="E431" s="284"/>
    </row>
    <row r="432">
      <c r="E432" s="284"/>
    </row>
    <row r="433">
      <c r="E433" s="284"/>
    </row>
    <row r="434">
      <c r="E434" s="284"/>
    </row>
    <row r="435">
      <c r="E435" s="284"/>
    </row>
    <row r="436">
      <c r="E436" s="284"/>
    </row>
    <row r="437">
      <c r="E437" s="284"/>
    </row>
    <row r="438">
      <c r="E438" s="284"/>
    </row>
    <row r="439">
      <c r="E439" s="284"/>
    </row>
    <row r="440">
      <c r="E440" s="284"/>
    </row>
    <row r="441">
      <c r="E441" s="284"/>
    </row>
    <row r="442">
      <c r="E442" s="284"/>
    </row>
    <row r="443">
      <c r="E443" s="284"/>
    </row>
    <row r="444">
      <c r="E444" s="284"/>
    </row>
    <row r="445">
      <c r="E445" s="284"/>
    </row>
    <row r="446">
      <c r="E446" s="284"/>
    </row>
    <row r="447">
      <c r="E447" s="284"/>
    </row>
    <row r="448">
      <c r="E448" s="284"/>
    </row>
    <row r="449">
      <c r="E449" s="284"/>
    </row>
    <row r="450">
      <c r="E450" s="284"/>
    </row>
    <row r="451">
      <c r="E451" s="284"/>
    </row>
    <row r="452">
      <c r="E452" s="284"/>
    </row>
    <row r="453">
      <c r="E453" s="284"/>
    </row>
    <row r="454">
      <c r="E454" s="284"/>
    </row>
    <row r="455">
      <c r="E455" s="284"/>
    </row>
    <row r="456">
      <c r="E456" s="284"/>
    </row>
    <row r="457">
      <c r="E457" s="285"/>
    </row>
    <row r="458">
      <c r="E458" s="284"/>
    </row>
    <row r="459">
      <c r="E459" s="284"/>
    </row>
    <row r="460">
      <c r="E460" s="284"/>
    </row>
    <row r="461">
      <c r="E461" s="284"/>
    </row>
    <row r="462">
      <c r="E462" s="284"/>
    </row>
    <row r="463">
      <c r="E463" s="284"/>
    </row>
    <row r="464">
      <c r="E464" s="284"/>
    </row>
    <row r="465">
      <c r="E465" s="284"/>
    </row>
    <row r="466">
      <c r="E466" s="284"/>
    </row>
    <row r="467">
      <c r="E467" s="284"/>
    </row>
    <row r="468">
      <c r="E468" s="284"/>
    </row>
    <row r="469">
      <c r="E469" s="284"/>
    </row>
    <row r="470">
      <c r="E470" s="284"/>
    </row>
    <row r="471">
      <c r="E471" s="284"/>
    </row>
    <row r="472">
      <c r="E472" s="284"/>
    </row>
    <row r="473">
      <c r="E473" s="284"/>
    </row>
    <row r="474">
      <c r="E474" s="284"/>
    </row>
    <row r="475">
      <c r="E475" s="284"/>
    </row>
    <row r="476">
      <c r="E476" s="284"/>
    </row>
    <row r="477">
      <c r="A477" s="286"/>
      <c r="B477" s="286"/>
      <c r="C477" s="286"/>
      <c r="E477" s="284"/>
    </row>
    <row r="478">
      <c r="A478" s="287"/>
      <c r="B478" s="287"/>
      <c r="C478" s="287"/>
      <c r="E478" s="284"/>
    </row>
    <row r="479">
      <c r="A479" s="287"/>
      <c r="B479" s="287"/>
      <c r="C479" s="287"/>
      <c r="E479" s="284"/>
    </row>
    <row r="480">
      <c r="A480" s="287"/>
      <c r="B480" s="287"/>
      <c r="C480" s="287"/>
      <c r="E480" s="284"/>
    </row>
    <row r="481">
      <c r="A481" s="287"/>
      <c r="B481" s="287"/>
      <c r="C481" s="287"/>
      <c r="E481" s="284"/>
    </row>
    <row r="482">
      <c r="A482" s="287"/>
      <c r="B482" s="287"/>
      <c r="C482" s="287"/>
      <c r="E482" s="284"/>
    </row>
    <row r="483">
      <c r="E483" s="284"/>
    </row>
    <row r="484">
      <c r="E484" s="284"/>
    </row>
    <row r="485">
      <c r="E485" s="284"/>
    </row>
    <row r="486">
      <c r="E486" s="284"/>
    </row>
    <row r="487">
      <c r="E487" s="284"/>
    </row>
    <row r="488">
      <c r="E488" s="284"/>
    </row>
    <row r="489">
      <c r="E489" s="284"/>
    </row>
    <row r="490">
      <c r="E490" s="284"/>
    </row>
    <row r="491">
      <c r="E491" s="284"/>
    </row>
    <row r="492">
      <c r="E492" s="284"/>
    </row>
    <row r="493">
      <c r="E493" s="285"/>
    </row>
    <row r="494">
      <c r="E494" s="284"/>
    </row>
    <row r="495">
      <c r="E495" s="284"/>
    </row>
    <row r="496">
      <c r="E496" s="285"/>
    </row>
    <row r="497">
      <c r="E497" s="284"/>
    </row>
    <row r="498">
      <c r="E498" s="284"/>
    </row>
    <row r="499">
      <c r="E499" s="284"/>
    </row>
    <row r="500">
      <c r="E500" s="284"/>
    </row>
    <row r="501">
      <c r="E501" s="284"/>
    </row>
    <row r="502">
      <c r="E502" s="284"/>
    </row>
    <row r="503">
      <c r="C503" s="285"/>
    </row>
    <row r="504">
      <c r="C504" s="285"/>
    </row>
    <row r="505">
      <c r="E505" s="285"/>
    </row>
    <row r="506">
      <c r="E506" s="285"/>
    </row>
    <row r="507">
      <c r="E507" s="285"/>
    </row>
    <row r="508">
      <c r="E508" s="285"/>
    </row>
    <row r="509">
      <c r="E509" s="285"/>
    </row>
    <row r="510">
      <c r="E510" s="285"/>
    </row>
    <row r="511">
      <c r="E511" s="285"/>
    </row>
    <row r="512">
      <c r="E512" s="285"/>
    </row>
    <row r="513">
      <c r="E513" s="285"/>
    </row>
    <row r="514">
      <c r="E514" s="285"/>
    </row>
    <row r="515">
      <c r="E515" s="285"/>
    </row>
    <row r="516">
      <c r="E516" s="284"/>
    </row>
    <row r="517">
      <c r="E517" s="284"/>
    </row>
    <row r="518">
      <c r="E518" s="284"/>
    </row>
    <row r="519">
      <c r="E519" s="284"/>
    </row>
    <row r="520">
      <c r="E520" s="284"/>
    </row>
    <row r="521">
      <c r="E521" s="284"/>
    </row>
    <row r="522">
      <c r="E522" s="284"/>
    </row>
    <row r="523">
      <c r="E523" s="285"/>
    </row>
    <row r="524">
      <c r="E524" s="284"/>
    </row>
    <row r="525">
      <c r="E525" s="285"/>
    </row>
    <row r="526">
      <c r="E526" s="284"/>
    </row>
    <row r="527">
      <c r="E527" s="284"/>
    </row>
    <row r="528">
      <c r="E528" s="284"/>
    </row>
    <row r="529">
      <c r="E529" s="284"/>
    </row>
    <row r="530">
      <c r="E530" s="284"/>
    </row>
    <row r="531">
      <c r="E531" s="284"/>
    </row>
    <row r="532">
      <c r="E532" s="284"/>
    </row>
    <row r="533">
      <c r="E533" s="284"/>
    </row>
    <row r="534">
      <c r="E534" s="284"/>
    </row>
    <row r="535">
      <c r="E535" s="284"/>
    </row>
    <row r="536">
      <c r="E536" s="284"/>
    </row>
    <row r="537">
      <c r="E537" s="284"/>
    </row>
    <row r="538">
      <c r="E538" s="284"/>
    </row>
    <row r="539">
      <c r="E539" s="284"/>
    </row>
    <row r="540">
      <c r="E540" s="284"/>
    </row>
    <row r="541">
      <c r="E541" s="284"/>
    </row>
    <row r="542">
      <c r="E542" s="284"/>
    </row>
    <row r="543">
      <c r="E543" s="284"/>
    </row>
    <row r="544">
      <c r="E544" s="284"/>
    </row>
    <row r="545">
      <c r="E545" s="285"/>
    </row>
    <row r="546">
      <c r="E546" s="285"/>
    </row>
    <row r="547">
      <c r="E547" s="285"/>
    </row>
    <row r="548">
      <c r="E548" s="285"/>
    </row>
    <row r="549">
      <c r="E549" s="285"/>
    </row>
    <row r="550">
      <c r="E550" s="284"/>
    </row>
    <row r="551">
      <c r="E551" s="284"/>
    </row>
    <row r="552">
      <c r="E552" s="284"/>
    </row>
    <row r="553">
      <c r="E553" s="284"/>
    </row>
    <row r="554">
      <c r="E554" s="284"/>
    </row>
    <row r="555">
      <c r="E555" s="284"/>
    </row>
    <row r="556">
      <c r="E556" s="284"/>
    </row>
    <row r="557">
      <c r="E557" s="284"/>
    </row>
    <row r="558">
      <c r="E558" s="284"/>
    </row>
    <row r="559">
      <c r="E559" s="284"/>
    </row>
    <row r="560">
      <c r="E560" s="284"/>
    </row>
    <row r="561">
      <c r="E561" s="284"/>
    </row>
    <row r="562">
      <c r="E562" s="284"/>
    </row>
    <row r="563">
      <c r="E563" s="284"/>
    </row>
    <row r="564">
      <c r="E564" s="284"/>
    </row>
    <row r="565">
      <c r="E565" s="285"/>
    </row>
    <row r="566">
      <c r="E566" s="285"/>
    </row>
    <row r="567">
      <c r="E567" s="285"/>
    </row>
    <row r="568">
      <c r="E568" s="285"/>
    </row>
    <row r="569">
      <c r="E569" s="285"/>
    </row>
    <row r="570">
      <c r="E570" s="285"/>
    </row>
    <row r="571">
      <c r="E571" s="285"/>
    </row>
    <row r="572">
      <c r="E572" s="285"/>
    </row>
    <row r="573">
      <c r="E573" s="285"/>
    </row>
    <row r="574">
      <c r="E574" s="285"/>
    </row>
    <row r="575">
      <c r="E575" s="285"/>
    </row>
    <row r="576">
      <c r="E576" s="285"/>
    </row>
    <row r="577">
      <c r="E577" s="285"/>
    </row>
    <row r="578">
      <c r="E578" s="285"/>
    </row>
    <row r="579">
      <c r="E579" s="285"/>
    </row>
    <row r="580">
      <c r="E580" s="285"/>
    </row>
    <row r="581">
      <c r="E581" s="285"/>
    </row>
    <row r="582">
      <c r="E582" s="285"/>
    </row>
    <row r="583">
      <c r="E583" s="285"/>
    </row>
    <row r="584">
      <c r="E584" s="285"/>
    </row>
    <row r="585">
      <c r="E585" s="285"/>
    </row>
    <row r="586">
      <c r="E586" s="285"/>
    </row>
    <row r="587">
      <c r="E587" s="285"/>
    </row>
    <row r="588">
      <c r="E588" s="285"/>
    </row>
    <row r="589">
      <c r="E589" s="285"/>
    </row>
    <row r="590">
      <c r="E590" s="285"/>
    </row>
    <row r="591">
      <c r="E591" s="285"/>
    </row>
    <row r="592">
      <c r="E592" s="285"/>
    </row>
    <row r="593">
      <c r="E593" s="285"/>
    </row>
    <row r="594">
      <c r="E594" s="285"/>
    </row>
    <row r="595">
      <c r="E595" s="285"/>
    </row>
    <row r="596">
      <c r="E596" s="285"/>
    </row>
    <row r="597">
      <c r="E597" s="285"/>
    </row>
    <row r="598">
      <c r="E598" s="285"/>
    </row>
    <row r="599">
      <c r="E599" s="285"/>
    </row>
    <row r="600">
      <c r="E600" s="284"/>
    </row>
    <row r="601">
      <c r="E601" s="284"/>
    </row>
    <row r="602">
      <c r="E602" s="284"/>
    </row>
    <row r="603">
      <c r="E603" s="284"/>
    </row>
    <row r="604">
      <c r="E604" s="284"/>
    </row>
    <row r="605">
      <c r="E605" s="284"/>
    </row>
    <row r="606">
      <c r="E606" s="284"/>
    </row>
    <row r="607">
      <c r="E607" s="284"/>
    </row>
    <row r="608">
      <c r="E608" s="284"/>
    </row>
    <row r="609">
      <c r="E609" s="284"/>
    </row>
    <row r="610">
      <c r="E610" s="284"/>
    </row>
    <row r="611">
      <c r="E611" s="284"/>
    </row>
    <row r="612">
      <c r="E612" s="284"/>
    </row>
    <row r="613">
      <c r="E613" s="284"/>
    </row>
    <row r="614">
      <c r="E614" s="284"/>
    </row>
    <row r="615">
      <c r="E615" s="285"/>
    </row>
    <row r="616">
      <c r="E616" s="285"/>
    </row>
    <row r="617">
      <c r="E617" s="285"/>
    </row>
    <row r="618">
      <c r="E618" s="285"/>
    </row>
    <row r="619">
      <c r="E619" s="285"/>
    </row>
    <row r="620">
      <c r="E620" s="285"/>
    </row>
    <row r="621">
      <c r="E621" s="285"/>
    </row>
    <row r="622">
      <c r="E622" s="285"/>
    </row>
    <row r="623">
      <c r="E623" s="285"/>
    </row>
    <row r="624">
      <c r="E624" s="285"/>
    </row>
    <row r="625">
      <c r="E625" s="285"/>
    </row>
    <row r="626">
      <c r="E626" s="285"/>
    </row>
    <row r="627">
      <c r="E627" s="285"/>
    </row>
    <row r="628">
      <c r="E628" s="285"/>
    </row>
    <row r="629">
      <c r="E629" s="285"/>
    </row>
    <row r="630">
      <c r="E630" s="285"/>
    </row>
    <row r="631">
      <c r="E631" s="285"/>
    </row>
    <row r="632">
      <c r="E632" s="285"/>
    </row>
    <row r="633">
      <c r="E633" s="285"/>
    </row>
    <row r="634">
      <c r="E634" s="285"/>
    </row>
    <row r="635">
      <c r="E635" s="285"/>
    </row>
    <row r="636">
      <c r="E636" s="285"/>
    </row>
    <row r="637">
      <c r="E637" s="285"/>
    </row>
    <row r="638">
      <c r="E638" s="285"/>
    </row>
    <row r="639">
      <c r="E639" s="285"/>
    </row>
    <row r="640">
      <c r="E640" s="285"/>
    </row>
    <row r="641">
      <c r="E641" s="285"/>
    </row>
    <row r="642">
      <c r="E642" s="285"/>
    </row>
    <row r="643">
      <c r="E643" s="285"/>
    </row>
    <row r="644">
      <c r="E644" s="285"/>
    </row>
    <row r="645">
      <c r="E645" s="285"/>
    </row>
    <row r="646">
      <c r="E646" s="285"/>
    </row>
    <row r="647">
      <c r="E647" s="285"/>
    </row>
    <row r="648">
      <c r="E648" s="285"/>
    </row>
    <row r="649">
      <c r="E649" s="285"/>
    </row>
    <row r="650">
      <c r="E650" s="285"/>
    </row>
    <row r="651">
      <c r="E651" s="285"/>
    </row>
    <row r="652">
      <c r="E652" s="285"/>
    </row>
    <row r="653">
      <c r="E653" s="285"/>
    </row>
    <row r="654">
      <c r="E654" s="285"/>
    </row>
    <row r="655">
      <c r="E655" s="285"/>
    </row>
    <row r="656">
      <c r="E656" s="285"/>
    </row>
    <row r="657">
      <c r="E657" s="285"/>
    </row>
    <row r="658">
      <c r="E658" s="285"/>
    </row>
    <row r="659">
      <c r="E659" s="285"/>
    </row>
    <row r="660">
      <c r="E660" s="285"/>
    </row>
    <row r="661">
      <c r="E661" s="285"/>
    </row>
    <row r="662">
      <c r="E662" s="285"/>
    </row>
    <row r="663">
      <c r="E663" s="285"/>
    </row>
    <row r="664">
      <c r="E664" s="285"/>
    </row>
    <row r="665">
      <c r="E665" s="285"/>
    </row>
    <row r="666">
      <c r="E666" s="285"/>
    </row>
    <row r="667">
      <c r="E667" s="285"/>
    </row>
    <row r="668">
      <c r="E668" s="285"/>
    </row>
    <row r="669">
      <c r="E669" s="285"/>
    </row>
    <row r="670">
      <c r="E670" s="285"/>
    </row>
    <row r="671">
      <c r="E671" s="285"/>
    </row>
    <row r="672">
      <c r="E672" s="285"/>
    </row>
    <row r="673">
      <c r="E673" s="285"/>
    </row>
    <row r="674">
      <c r="E674" s="285"/>
    </row>
    <row r="675">
      <c r="E675" s="285"/>
    </row>
    <row r="676">
      <c r="E676" s="285"/>
    </row>
    <row r="677">
      <c r="E677" s="285"/>
    </row>
    <row r="678">
      <c r="E678" s="285"/>
    </row>
    <row r="679">
      <c r="E679" s="285"/>
    </row>
    <row r="680">
      <c r="E680" s="285"/>
    </row>
    <row r="681">
      <c r="E681" s="285"/>
    </row>
    <row r="682">
      <c r="E682" s="285"/>
    </row>
    <row r="683">
      <c r="E683" s="285"/>
    </row>
    <row r="684">
      <c r="E684" s="285"/>
    </row>
    <row r="685">
      <c r="E685" s="285"/>
    </row>
    <row r="686">
      <c r="E686" s="285"/>
    </row>
    <row r="687">
      <c r="E687" s="285"/>
    </row>
    <row r="688">
      <c r="E688" s="285"/>
    </row>
    <row r="689">
      <c r="E689" s="285"/>
    </row>
    <row r="690">
      <c r="E690" s="285"/>
    </row>
    <row r="691">
      <c r="E691" s="285"/>
    </row>
    <row r="692">
      <c r="E692" s="285"/>
    </row>
    <row r="693">
      <c r="E693" s="285"/>
    </row>
    <row r="694">
      <c r="E694" s="285"/>
    </row>
    <row r="695">
      <c r="E695" s="285"/>
    </row>
    <row r="696">
      <c r="E696" s="285"/>
    </row>
    <row r="697">
      <c r="E697" s="285"/>
    </row>
    <row r="698">
      <c r="E698" s="285"/>
    </row>
    <row r="699">
      <c r="E699" s="285"/>
    </row>
    <row r="700">
      <c r="E700" s="285"/>
    </row>
    <row r="701">
      <c r="E701" s="285"/>
    </row>
    <row r="702">
      <c r="E702" s="285"/>
    </row>
    <row r="703">
      <c r="E703" s="285"/>
    </row>
    <row r="704">
      <c r="E704" s="285"/>
    </row>
    <row r="705">
      <c r="E705" s="285"/>
    </row>
    <row r="706">
      <c r="E706" s="285"/>
    </row>
    <row r="707">
      <c r="E707" s="285"/>
    </row>
    <row r="708">
      <c r="E708" s="285"/>
    </row>
    <row r="709">
      <c r="E709" s="285"/>
    </row>
    <row r="710">
      <c r="E710" s="285"/>
    </row>
    <row r="711">
      <c r="E711" s="285"/>
    </row>
    <row r="712">
      <c r="E712" s="285"/>
    </row>
    <row r="713">
      <c r="E713" s="285"/>
    </row>
    <row r="714">
      <c r="E714" s="285"/>
    </row>
    <row r="715">
      <c r="E715" s="285"/>
    </row>
    <row r="716">
      <c r="E716" s="285"/>
    </row>
    <row r="717">
      <c r="E717" s="285"/>
    </row>
    <row r="718">
      <c r="E718" s="285"/>
    </row>
    <row r="719">
      <c r="E719" s="285"/>
    </row>
    <row r="720">
      <c r="E720" s="285"/>
    </row>
    <row r="721">
      <c r="E721" s="285"/>
    </row>
    <row r="722">
      <c r="E722" s="285"/>
    </row>
    <row r="723">
      <c r="E723" s="285"/>
    </row>
    <row r="724">
      <c r="E724" s="285"/>
    </row>
    <row r="725">
      <c r="E725" s="285"/>
    </row>
    <row r="726">
      <c r="E726" s="285"/>
    </row>
    <row r="727">
      <c r="E727" s="285"/>
    </row>
    <row r="728">
      <c r="E728" s="285"/>
    </row>
    <row r="729">
      <c r="E729" s="285"/>
    </row>
    <row r="730">
      <c r="E730" s="285"/>
    </row>
    <row r="731">
      <c r="E731" s="285"/>
    </row>
    <row r="732">
      <c r="E732" s="285"/>
    </row>
    <row r="733">
      <c r="E733" s="285"/>
    </row>
    <row r="734">
      <c r="E734" s="285"/>
    </row>
    <row r="735">
      <c r="E735" s="285"/>
    </row>
    <row r="736">
      <c r="E736" s="285"/>
    </row>
    <row r="737">
      <c r="E737" s="285"/>
    </row>
    <row r="738">
      <c r="E738" s="285"/>
    </row>
    <row r="739">
      <c r="E739" s="285"/>
    </row>
    <row r="740">
      <c r="E740" s="285"/>
    </row>
    <row r="741">
      <c r="E741" s="285"/>
    </row>
    <row r="742">
      <c r="E742" s="285"/>
    </row>
    <row r="743">
      <c r="E743" s="285"/>
    </row>
    <row r="744">
      <c r="E744" s="285"/>
    </row>
    <row r="745">
      <c r="E745" s="285"/>
    </row>
    <row r="746">
      <c r="E746" s="285"/>
    </row>
    <row r="747">
      <c r="E747" s="285"/>
    </row>
    <row r="748">
      <c r="E748" s="285"/>
    </row>
    <row r="749">
      <c r="E749" s="285"/>
    </row>
    <row r="750">
      <c r="E750" s="285"/>
    </row>
    <row r="751">
      <c r="E751" s="285"/>
    </row>
    <row r="752">
      <c r="E752" s="285"/>
    </row>
    <row r="753">
      <c r="E753" s="285"/>
    </row>
    <row r="754">
      <c r="E754" s="285"/>
    </row>
    <row r="755">
      <c r="E755" s="285"/>
    </row>
    <row r="756">
      <c r="E756" s="285"/>
    </row>
    <row r="757">
      <c r="E757" s="285"/>
    </row>
    <row r="758">
      <c r="E758" s="285"/>
    </row>
    <row r="759">
      <c r="E759" s="285"/>
    </row>
    <row r="760">
      <c r="E760" s="285"/>
    </row>
    <row r="761">
      <c r="E761" s="285"/>
    </row>
    <row r="762">
      <c r="E762" s="285"/>
    </row>
    <row r="763">
      <c r="E763" s="285"/>
    </row>
    <row r="764">
      <c r="E764" s="285"/>
    </row>
    <row r="765">
      <c r="E765" s="285"/>
    </row>
    <row r="766">
      <c r="E766" s="285"/>
    </row>
    <row r="767">
      <c r="E767" s="285"/>
    </row>
    <row r="768">
      <c r="E768" s="285"/>
    </row>
    <row r="769">
      <c r="E769" s="285"/>
    </row>
    <row r="770">
      <c r="E770" s="285"/>
    </row>
    <row r="771">
      <c r="E771" s="285"/>
    </row>
    <row r="772">
      <c r="E772" s="285"/>
    </row>
    <row r="773">
      <c r="E773" s="285"/>
    </row>
    <row r="774">
      <c r="E774" s="285"/>
    </row>
    <row r="775">
      <c r="E775" s="285"/>
    </row>
    <row r="776">
      <c r="E776" s="285"/>
    </row>
    <row r="777">
      <c r="E777" s="285"/>
    </row>
    <row r="778">
      <c r="E778" s="285"/>
    </row>
    <row r="779">
      <c r="E779" s="285"/>
    </row>
    <row r="780">
      <c r="E780" s="285"/>
    </row>
    <row r="781">
      <c r="E781" s="285"/>
    </row>
    <row r="782">
      <c r="E782" s="285"/>
    </row>
    <row r="783">
      <c r="E783" s="285"/>
    </row>
    <row r="784">
      <c r="E784" s="285"/>
    </row>
    <row r="785">
      <c r="E785" s="285"/>
    </row>
    <row r="786">
      <c r="E786" s="285"/>
    </row>
    <row r="787">
      <c r="E787" s="285"/>
    </row>
    <row r="788">
      <c r="E788" s="285"/>
    </row>
    <row r="789">
      <c r="E789" s="285"/>
    </row>
    <row r="790">
      <c r="E790" s="285"/>
    </row>
    <row r="791">
      <c r="E791" s="285"/>
    </row>
    <row r="792">
      <c r="E792" s="285"/>
    </row>
    <row r="793">
      <c r="E793" s="285"/>
    </row>
    <row r="794">
      <c r="E794" s="285"/>
    </row>
    <row r="795">
      <c r="E795" s="285"/>
    </row>
    <row r="796">
      <c r="E796" s="285"/>
    </row>
    <row r="797">
      <c r="E797" s="285"/>
    </row>
    <row r="798">
      <c r="E798" s="285"/>
    </row>
    <row r="799">
      <c r="E799" s="285"/>
    </row>
    <row r="800">
      <c r="E800" s="285"/>
    </row>
    <row r="801">
      <c r="E801" s="285"/>
    </row>
    <row r="802">
      <c r="E802" s="285"/>
    </row>
    <row r="803">
      <c r="E803" s="285"/>
    </row>
    <row r="804">
      <c r="E804" s="285"/>
    </row>
    <row r="805">
      <c r="E805" s="285"/>
    </row>
    <row r="806">
      <c r="E806" s="285"/>
    </row>
    <row r="807">
      <c r="E807" s="285"/>
    </row>
    <row r="808">
      <c r="E808" s="285"/>
    </row>
    <row r="809">
      <c r="E809" s="285"/>
    </row>
    <row r="810">
      <c r="E810" s="285"/>
    </row>
    <row r="811">
      <c r="E811" s="285"/>
    </row>
    <row r="812">
      <c r="E812" s="285"/>
    </row>
    <row r="813">
      <c r="E813" s="285"/>
    </row>
    <row r="814">
      <c r="E814" s="285"/>
    </row>
    <row r="815">
      <c r="E815" s="285"/>
    </row>
    <row r="816">
      <c r="E816" s="285"/>
    </row>
    <row r="817">
      <c r="E817" s="285"/>
    </row>
    <row r="818">
      <c r="E818" s="285"/>
    </row>
    <row r="819">
      <c r="E819" s="285"/>
    </row>
    <row r="820">
      <c r="E820" s="285"/>
    </row>
    <row r="821">
      <c r="E821" s="285"/>
    </row>
    <row r="822">
      <c r="E822" s="285"/>
    </row>
    <row r="823">
      <c r="E823" s="285"/>
    </row>
    <row r="824">
      <c r="E824" s="285"/>
    </row>
    <row r="825">
      <c r="E825" s="285"/>
    </row>
    <row r="826">
      <c r="E826" s="285"/>
    </row>
    <row r="827">
      <c r="E827" s="285"/>
    </row>
    <row r="828">
      <c r="E828" s="285"/>
    </row>
    <row r="829">
      <c r="E829" s="285"/>
    </row>
    <row r="830">
      <c r="E830" s="285"/>
    </row>
    <row r="831">
      <c r="E831" s="285"/>
    </row>
    <row r="832">
      <c r="E832" s="285"/>
    </row>
    <row r="833">
      <c r="E833" s="285"/>
    </row>
    <row r="834">
      <c r="E834" s="285"/>
    </row>
    <row r="835">
      <c r="E835" s="285"/>
    </row>
    <row r="836">
      <c r="E836" s="285"/>
    </row>
    <row r="837">
      <c r="E837" s="285"/>
    </row>
    <row r="838">
      <c r="E838" s="285"/>
    </row>
    <row r="839">
      <c r="E839" s="285"/>
    </row>
    <row r="840">
      <c r="E840" s="285"/>
    </row>
    <row r="841">
      <c r="E841" s="285"/>
    </row>
    <row r="842">
      <c r="E842" s="285"/>
    </row>
    <row r="843">
      <c r="E843" s="285"/>
    </row>
    <row r="844">
      <c r="E844" s="285"/>
    </row>
    <row r="845">
      <c r="E845" s="285"/>
    </row>
    <row r="846">
      <c r="E846" s="285"/>
    </row>
    <row r="847">
      <c r="E847" s="285"/>
    </row>
    <row r="848">
      <c r="E848" s="285"/>
    </row>
    <row r="849">
      <c r="E849" s="285"/>
    </row>
    <row r="850">
      <c r="E850" s="285"/>
    </row>
    <row r="851">
      <c r="E851" s="285"/>
    </row>
    <row r="852">
      <c r="E852" s="285"/>
    </row>
    <row r="853">
      <c r="E853" s="285"/>
    </row>
    <row r="854">
      <c r="E854" s="285"/>
    </row>
    <row r="855">
      <c r="E855" s="285"/>
    </row>
    <row r="856">
      <c r="E856" s="285"/>
    </row>
    <row r="857">
      <c r="E857" s="285"/>
    </row>
    <row r="858">
      <c r="E858" s="285"/>
    </row>
    <row r="859">
      <c r="E859" s="285"/>
    </row>
    <row r="860">
      <c r="E860" s="285"/>
    </row>
    <row r="861">
      <c r="E861" s="285"/>
    </row>
    <row r="862">
      <c r="E862" s="285"/>
    </row>
    <row r="863">
      <c r="E863" s="285"/>
    </row>
    <row r="864">
      <c r="E864" s="285"/>
    </row>
    <row r="865">
      <c r="E865" s="285"/>
    </row>
    <row r="866">
      <c r="E866" s="285"/>
    </row>
    <row r="867">
      <c r="E867" s="285"/>
    </row>
    <row r="868">
      <c r="E868" s="285"/>
    </row>
    <row r="869">
      <c r="E869" s="285"/>
    </row>
    <row r="870">
      <c r="E870" s="285"/>
    </row>
    <row r="871">
      <c r="E871" s="285"/>
    </row>
    <row r="872">
      <c r="E872" s="285"/>
    </row>
    <row r="873">
      <c r="E873" s="285"/>
    </row>
    <row r="874">
      <c r="E874" s="285"/>
    </row>
    <row r="875">
      <c r="E875" s="285"/>
    </row>
    <row r="876">
      <c r="E876" s="285"/>
    </row>
    <row r="877">
      <c r="E877" s="285"/>
    </row>
    <row r="878">
      <c r="E878" s="285"/>
    </row>
    <row r="879">
      <c r="E879" s="285"/>
    </row>
    <row r="880">
      <c r="E880" s="285"/>
    </row>
    <row r="881">
      <c r="E881" s="285"/>
    </row>
    <row r="882">
      <c r="E882" s="285"/>
    </row>
    <row r="883">
      <c r="E883" s="285"/>
    </row>
    <row r="884">
      <c r="E884" s="285"/>
    </row>
    <row r="885">
      <c r="E885" s="285"/>
    </row>
    <row r="886">
      <c r="E886" s="285"/>
    </row>
    <row r="887">
      <c r="E887" s="285"/>
    </row>
    <row r="888">
      <c r="E888" s="285"/>
    </row>
    <row r="889">
      <c r="E889" s="285"/>
    </row>
    <row r="890">
      <c r="E890" s="285"/>
    </row>
    <row r="891">
      <c r="E891" s="285"/>
    </row>
    <row r="892">
      <c r="E892" s="285"/>
    </row>
    <row r="893">
      <c r="E893" s="285"/>
    </row>
    <row r="894">
      <c r="E894" s="285"/>
    </row>
    <row r="895">
      <c r="E895" s="285"/>
    </row>
    <row r="896">
      <c r="E896" s="285"/>
    </row>
    <row r="897">
      <c r="E897" s="285"/>
    </row>
    <row r="898">
      <c r="E898" s="285"/>
    </row>
    <row r="899">
      <c r="E899" s="285"/>
    </row>
    <row r="900">
      <c r="E900" s="285"/>
    </row>
    <row r="901">
      <c r="E901" s="285"/>
    </row>
    <row r="902">
      <c r="E902" s="285"/>
    </row>
    <row r="903">
      <c r="E903" s="285"/>
    </row>
    <row r="904">
      <c r="E904" s="285"/>
    </row>
    <row r="905">
      <c r="E905" s="285"/>
    </row>
    <row r="906">
      <c r="E906" s="285"/>
    </row>
    <row r="907">
      <c r="E907" s="285"/>
    </row>
    <row r="908">
      <c r="E908" s="285"/>
    </row>
    <row r="909">
      <c r="E909" s="285"/>
    </row>
    <row r="910">
      <c r="E910" s="285"/>
    </row>
    <row r="911">
      <c r="E911" s="285"/>
    </row>
    <row r="912">
      <c r="E912" s="285"/>
    </row>
    <row r="913">
      <c r="E913" s="285"/>
    </row>
    <row r="914">
      <c r="E914" s="285"/>
    </row>
    <row r="915">
      <c r="E915" s="285"/>
    </row>
    <row r="916">
      <c r="E916" s="285"/>
    </row>
    <row r="917">
      <c r="E917" s="285"/>
    </row>
    <row r="918">
      <c r="E918" s="285"/>
    </row>
    <row r="919">
      <c r="E919" s="285"/>
    </row>
    <row r="920">
      <c r="E920" s="285"/>
    </row>
    <row r="921">
      <c r="E921" s="285"/>
    </row>
    <row r="922">
      <c r="E922" s="285"/>
    </row>
    <row r="923">
      <c r="E923" s="285"/>
    </row>
    <row r="924">
      <c r="E924" s="285"/>
    </row>
    <row r="925">
      <c r="E925" s="285"/>
    </row>
    <row r="926">
      <c r="E926" s="285"/>
    </row>
    <row r="927">
      <c r="E927" s="285"/>
    </row>
    <row r="928">
      <c r="E928" s="285"/>
    </row>
    <row r="929">
      <c r="E929" s="285"/>
    </row>
    <row r="930">
      <c r="E930" s="285"/>
    </row>
    <row r="931">
      <c r="E931" s="285"/>
    </row>
    <row r="932">
      <c r="E932" s="285"/>
    </row>
    <row r="933">
      <c r="E933" s="285"/>
    </row>
    <row r="934">
      <c r="E934" s="285"/>
    </row>
    <row r="935">
      <c r="E935" s="285"/>
    </row>
    <row r="936">
      <c r="E936" s="285"/>
    </row>
    <row r="937">
      <c r="E937" s="285"/>
    </row>
    <row r="938">
      <c r="E938" s="285"/>
    </row>
    <row r="939">
      <c r="E939" s="285"/>
    </row>
    <row r="940">
      <c r="E940" s="285"/>
    </row>
    <row r="941">
      <c r="E941" s="285"/>
    </row>
    <row r="942">
      <c r="E942" s="285"/>
    </row>
    <row r="943">
      <c r="E943" s="285"/>
    </row>
    <row r="944">
      <c r="E944" s="285"/>
    </row>
    <row r="945">
      <c r="E945" s="285"/>
    </row>
    <row r="946">
      <c r="E946" s="285"/>
    </row>
    <row r="947">
      <c r="E947" s="285"/>
    </row>
    <row r="948">
      <c r="E948" s="285"/>
    </row>
    <row r="949">
      <c r="E949" s="285"/>
    </row>
    <row r="950">
      <c r="E950" s="285"/>
    </row>
    <row r="951">
      <c r="E951" s="285"/>
    </row>
    <row r="952">
      <c r="E952" s="285"/>
    </row>
    <row r="953">
      <c r="E953" s="285"/>
    </row>
    <row r="954">
      <c r="E954" s="285"/>
    </row>
    <row r="955">
      <c r="E955" s="285"/>
    </row>
    <row r="956">
      <c r="E956" s="285"/>
    </row>
    <row r="957">
      <c r="E957" s="285"/>
    </row>
    <row r="958">
      <c r="E958" s="285"/>
    </row>
    <row r="959">
      <c r="E959" s="285"/>
    </row>
    <row r="960">
      <c r="E960" s="285"/>
    </row>
    <row r="961">
      <c r="E961" s="285"/>
    </row>
    <row r="962">
      <c r="E962" s="285"/>
    </row>
    <row r="963">
      <c r="E963" s="285"/>
    </row>
    <row r="964">
      <c r="E964" s="285"/>
    </row>
    <row r="965">
      <c r="E965" s="285"/>
    </row>
    <row r="966">
      <c r="E966" s="285"/>
    </row>
    <row r="967">
      <c r="E967" s="285"/>
    </row>
    <row r="968">
      <c r="E968" s="285"/>
    </row>
    <row r="969">
      <c r="E969" s="285"/>
    </row>
    <row r="970">
      <c r="E970" s="285"/>
    </row>
    <row r="971">
      <c r="E971" s="285"/>
    </row>
    <row r="972">
      <c r="E972" s="285"/>
    </row>
    <row r="973">
      <c r="E973" s="285"/>
    </row>
    <row r="974">
      <c r="E974" s="285"/>
    </row>
    <row r="975">
      <c r="E975" s="285"/>
    </row>
    <row r="976">
      <c r="E976" s="285"/>
    </row>
    <row r="977">
      <c r="E977" s="285"/>
    </row>
    <row r="978">
      <c r="E978" s="285"/>
    </row>
    <row r="979">
      <c r="E979" s="285"/>
    </row>
    <row r="980">
      <c r="E980" s="285"/>
    </row>
    <row r="981">
      <c r="E981" s="285"/>
    </row>
    <row r="982">
      <c r="E982" s="285"/>
    </row>
    <row r="983">
      <c r="E983" s="285"/>
    </row>
    <row r="984">
      <c r="E984" s="285"/>
    </row>
    <row r="985">
      <c r="E985" s="285"/>
    </row>
    <row r="986">
      <c r="E986" s="285"/>
    </row>
    <row r="987">
      <c r="E987" s="285"/>
    </row>
    <row r="988">
      <c r="E988" s="285"/>
    </row>
    <row r="989">
      <c r="E989" s="285"/>
    </row>
    <row r="990">
      <c r="E990" s="285"/>
    </row>
    <row r="991">
      <c r="E991" s="285"/>
    </row>
    <row r="992">
      <c r="E992" s="285"/>
    </row>
    <row r="993">
      <c r="E993" s="285"/>
    </row>
    <row r="994">
      <c r="E994" s="285"/>
    </row>
    <row r="995">
      <c r="E995" s="285"/>
    </row>
    <row r="996">
      <c r="E996" s="285"/>
    </row>
    <row r="997">
      <c r="E997" s="285"/>
    </row>
    <row r="998">
      <c r="E998" s="285"/>
    </row>
    <row r="999">
      <c r="E999" s="285"/>
    </row>
    <row r="1000">
      <c r="E1000" s="285"/>
    </row>
    <row r="1001">
      <c r="E1001" s="285"/>
    </row>
    <row r="1002">
      <c r="E1002" s="285"/>
    </row>
    <row r="1003">
      <c r="E1003" s="285"/>
    </row>
    <row r="1004">
      <c r="E1004" s="285"/>
    </row>
    <row r="1005">
      <c r="E1005" s="285"/>
    </row>
    <row r="1006">
      <c r="E1006" s="285"/>
    </row>
    <row r="1007">
      <c r="E1007" s="285"/>
    </row>
    <row r="1008">
      <c r="E1008" s="285"/>
    </row>
    <row r="1009">
      <c r="E1009" s="285"/>
    </row>
    <row r="1010">
      <c r="E1010" s="285"/>
    </row>
    <row r="1011">
      <c r="E1011" s="285"/>
    </row>
    <row r="1012">
      <c r="E1012" s="285"/>
    </row>
    <row r="1013">
      <c r="E1013" s="285"/>
    </row>
    <row r="1014">
      <c r="E1014" s="285"/>
    </row>
    <row r="1015">
      <c r="E1015" s="285"/>
    </row>
    <row r="1016">
      <c r="E1016" s="285"/>
    </row>
    <row r="1017">
      <c r="E1017" s="285"/>
    </row>
    <row r="1018">
      <c r="E1018" s="285"/>
    </row>
    <row r="1019">
      <c r="E1019" s="285"/>
    </row>
    <row r="1020">
      <c r="E1020" s="285"/>
    </row>
    <row r="1021">
      <c r="E1021" s="285"/>
    </row>
    <row r="1022">
      <c r="E1022" s="285"/>
    </row>
    <row r="1023">
      <c r="E1023" s="285"/>
    </row>
    <row r="1024">
      <c r="E1024" s="285"/>
    </row>
    <row r="1025">
      <c r="E1025" s="285"/>
    </row>
    <row r="1026">
      <c r="E1026" s="285"/>
    </row>
    <row r="1027">
      <c r="E1027" s="285"/>
    </row>
    <row r="1028">
      <c r="E1028" s="285"/>
    </row>
    <row r="1029">
      <c r="E1029" s="285"/>
    </row>
    <row r="1030">
      <c r="E1030" s="285"/>
    </row>
    <row r="1031">
      <c r="E1031" s="285"/>
    </row>
    <row r="1032">
      <c r="E1032" s="285"/>
    </row>
    <row r="1033">
      <c r="E1033" s="285"/>
    </row>
    <row r="1034">
      <c r="E1034" s="285"/>
    </row>
    <row r="1035">
      <c r="E1035" s="285"/>
    </row>
    <row r="1036">
      <c r="E1036" s="285"/>
    </row>
    <row r="1037">
      <c r="E1037" s="285"/>
    </row>
    <row r="1038">
      <c r="E1038" s="285"/>
    </row>
    <row r="1039">
      <c r="E1039" s="285"/>
    </row>
    <row r="1040">
      <c r="E1040" s="285"/>
    </row>
    <row r="1041">
      <c r="E1041" s="285"/>
    </row>
    <row r="1042">
      <c r="E1042" s="285"/>
    </row>
    <row r="1043">
      <c r="E1043" s="285"/>
    </row>
    <row r="1044">
      <c r="E1044" s="285"/>
    </row>
    <row r="1045">
      <c r="E1045" s="285"/>
    </row>
    <row r="1046">
      <c r="E1046" s="285"/>
    </row>
    <row r="1047">
      <c r="E1047" s="285"/>
    </row>
    <row r="1048">
      <c r="E1048" s="285"/>
    </row>
    <row r="1049">
      <c r="E1049" s="285"/>
    </row>
    <row r="1050">
      <c r="E1050" s="285"/>
    </row>
    <row r="1051">
      <c r="E1051" s="285"/>
    </row>
    <row r="1052">
      <c r="E1052" s="285"/>
    </row>
    <row r="1053">
      <c r="E1053" s="285"/>
    </row>
    <row r="1054">
      <c r="E1054" s="285"/>
    </row>
    <row r="1055">
      <c r="E1055" s="285"/>
    </row>
    <row r="1056">
      <c r="E1056" s="285"/>
    </row>
    <row r="1057">
      <c r="E1057" s="285"/>
    </row>
    <row r="1058">
      <c r="E1058" s="285"/>
    </row>
    <row r="1059">
      <c r="E1059" s="285"/>
    </row>
    <row r="1060">
      <c r="E1060" s="285"/>
    </row>
    <row r="1061">
      <c r="E1061" s="285"/>
    </row>
    <row r="1062">
      <c r="E1062" s="285"/>
    </row>
    <row r="1063">
      <c r="E1063" s="285"/>
    </row>
    <row r="1064">
      <c r="E1064" s="285"/>
    </row>
    <row r="1065">
      <c r="E1065" s="285"/>
    </row>
    <row r="1066">
      <c r="E1066" s="285"/>
    </row>
    <row r="1067">
      <c r="E1067" s="285"/>
    </row>
    <row r="1068">
      <c r="E1068" s="285"/>
    </row>
    <row r="1069">
      <c r="E1069" s="285"/>
    </row>
    <row r="1070">
      <c r="E1070" s="285"/>
    </row>
    <row r="1071">
      <c r="E1071" s="285"/>
    </row>
    <row r="1072">
      <c r="E1072" s="285"/>
    </row>
    <row r="1073">
      <c r="E1073" s="285"/>
    </row>
    <row r="1074">
      <c r="E1074" s="285"/>
    </row>
    <row r="1075">
      <c r="E1075" s="285"/>
    </row>
    <row r="1076">
      <c r="E1076" s="285"/>
    </row>
    <row r="1077">
      <c r="E1077" s="285"/>
    </row>
    <row r="1078">
      <c r="E1078" s="285"/>
    </row>
    <row r="1079">
      <c r="E1079" s="285"/>
    </row>
    <row r="1080">
      <c r="E1080" s="285"/>
    </row>
    <row r="1081">
      <c r="E1081" s="285"/>
    </row>
    <row r="1082">
      <c r="E1082" s="285"/>
    </row>
    <row r="1083">
      <c r="E1083" s="285"/>
    </row>
    <row r="1084">
      <c r="E1084" s="285"/>
    </row>
    <row r="1085">
      <c r="E1085" s="285"/>
    </row>
    <row r="1086">
      <c r="E1086" s="285"/>
    </row>
    <row r="1087">
      <c r="E1087" s="285"/>
    </row>
    <row r="1088">
      <c r="E1088" s="285"/>
    </row>
    <row r="1089">
      <c r="E1089" s="285"/>
    </row>
    <row r="1090">
      <c r="E1090" s="285"/>
    </row>
    <row r="1091">
      <c r="E1091" s="285"/>
    </row>
    <row r="1092">
      <c r="E1092" s="285"/>
    </row>
    <row r="1093">
      <c r="E1093" s="285"/>
    </row>
    <row r="1094">
      <c r="E1094" s="285"/>
    </row>
    <row r="1095">
      <c r="E1095" s="285"/>
    </row>
    <row r="1096">
      <c r="E1096" s="285"/>
    </row>
    <row r="1097">
      <c r="E1097" s="285"/>
    </row>
    <row r="1098">
      <c r="E1098" s="285"/>
    </row>
    <row r="1099">
      <c r="E1099" s="285"/>
    </row>
    <row r="1100">
      <c r="E1100" s="285"/>
    </row>
    <row r="1101">
      <c r="E1101" s="285"/>
    </row>
    <row r="1102">
      <c r="E1102" s="285"/>
    </row>
    <row r="1103">
      <c r="E1103" s="285"/>
    </row>
    <row r="1104">
      <c r="E1104" s="285"/>
    </row>
    <row r="1105">
      <c r="E1105" s="285"/>
    </row>
    <row r="1106">
      <c r="E1106" s="285"/>
    </row>
    <row r="1107">
      <c r="E1107" s="285"/>
    </row>
    <row r="1108">
      <c r="E1108" s="285"/>
    </row>
    <row r="1109">
      <c r="E1109" s="285"/>
    </row>
    <row r="1110">
      <c r="E1110" s="285"/>
    </row>
    <row r="1111">
      <c r="E1111" s="285"/>
    </row>
    <row r="1112">
      <c r="E1112" s="285"/>
    </row>
    <row r="1113">
      <c r="E1113" s="285"/>
    </row>
    <row r="1114">
      <c r="E1114" s="285"/>
    </row>
    <row r="1115">
      <c r="E1115" s="285"/>
    </row>
    <row r="1116">
      <c r="E1116" s="285"/>
    </row>
    <row r="1117">
      <c r="E1117" s="285"/>
    </row>
    <row r="1118">
      <c r="E1118" s="285"/>
    </row>
    <row r="1119">
      <c r="E1119" s="285"/>
    </row>
    <row r="1120">
      <c r="E1120" s="285"/>
    </row>
    <row r="1121">
      <c r="E1121" s="285"/>
    </row>
    <row r="1122">
      <c r="E1122" s="285"/>
    </row>
    <row r="1123">
      <c r="E1123" s="285"/>
    </row>
    <row r="1124">
      <c r="E1124" s="285"/>
    </row>
    <row r="1125">
      <c r="E1125" s="285"/>
    </row>
    <row r="1126">
      <c r="E1126" s="285"/>
    </row>
    <row r="1127">
      <c r="E1127" s="285"/>
    </row>
    <row r="1128">
      <c r="E1128" s="285"/>
    </row>
    <row r="1129">
      <c r="E1129" s="285"/>
    </row>
    <row r="1130">
      <c r="E1130" s="285"/>
    </row>
    <row r="1131">
      <c r="E1131" s="285"/>
    </row>
    <row r="1132">
      <c r="E1132" s="285"/>
    </row>
    <row r="1133">
      <c r="E1133" s="285"/>
    </row>
    <row r="1134">
      <c r="E1134" s="285"/>
    </row>
    <row r="1135">
      <c r="E1135" s="285"/>
    </row>
    <row r="1136">
      <c r="E1136" s="285"/>
    </row>
    <row r="1137">
      <c r="E1137" s="285"/>
    </row>
    <row r="1138">
      <c r="E1138" s="285"/>
    </row>
    <row r="1139">
      <c r="E1139" s="285"/>
    </row>
    <row r="1140">
      <c r="E1140" s="285"/>
    </row>
    <row r="1141">
      <c r="E1141" s="285"/>
    </row>
    <row r="1142">
      <c r="E1142" s="285"/>
    </row>
    <row r="1143">
      <c r="E1143" s="285"/>
    </row>
    <row r="1144">
      <c r="E1144" s="285"/>
    </row>
    <row r="1145">
      <c r="E1145" s="285"/>
    </row>
    <row r="1146">
      <c r="E1146" s="285"/>
    </row>
    <row r="1147">
      <c r="E1147" s="285"/>
    </row>
    <row r="1148">
      <c r="E1148" s="285"/>
    </row>
    <row r="1149">
      <c r="E1149" s="285"/>
    </row>
    <row r="1150">
      <c r="E1150" s="285"/>
    </row>
    <row r="1151">
      <c r="E1151" s="285"/>
    </row>
    <row r="1152">
      <c r="E1152" s="285"/>
    </row>
    <row r="1153">
      <c r="E1153" s="285"/>
    </row>
    <row r="1154">
      <c r="E1154" s="285"/>
    </row>
    <row r="1155">
      <c r="E1155" s="285"/>
    </row>
    <row r="1156">
      <c r="E1156" s="285"/>
    </row>
    <row r="1157">
      <c r="E1157" s="285"/>
    </row>
    <row r="1158">
      <c r="E1158" s="285"/>
    </row>
    <row r="1159">
      <c r="E1159" s="285"/>
    </row>
    <row r="1160">
      <c r="E1160" s="285"/>
    </row>
    <row r="1161">
      <c r="E1161" s="285"/>
    </row>
    <row r="1162">
      <c r="E1162" s="285"/>
    </row>
    <row r="1163">
      <c r="E1163" s="285"/>
    </row>
    <row r="1164">
      <c r="E1164" s="285"/>
    </row>
    <row r="1165">
      <c r="E1165" s="285"/>
    </row>
    <row r="1166">
      <c r="E1166" s="285"/>
    </row>
    <row r="1167">
      <c r="E1167" s="285"/>
    </row>
    <row r="1168">
      <c r="E1168" s="285"/>
    </row>
    <row r="1169">
      <c r="E1169" s="285"/>
    </row>
    <row r="1170">
      <c r="E1170" s="285"/>
    </row>
    <row r="1171">
      <c r="E1171" s="285"/>
    </row>
    <row r="1172">
      <c r="E1172" s="285"/>
    </row>
    <row r="1173">
      <c r="E1173" s="285"/>
    </row>
    <row r="1174">
      <c r="E1174" s="285"/>
    </row>
    <row r="1175">
      <c r="E1175" s="285"/>
    </row>
    <row r="1176">
      <c r="E1176" s="285"/>
    </row>
    <row r="1177">
      <c r="E1177" s="285"/>
    </row>
    <row r="1178">
      <c r="E1178" s="285"/>
    </row>
    <row r="1179">
      <c r="E1179" s="285"/>
    </row>
    <row r="1180">
      <c r="E1180" s="285"/>
    </row>
    <row r="1181">
      <c r="E1181" s="285"/>
    </row>
    <row r="1182">
      <c r="E1182" s="285"/>
    </row>
    <row r="1183">
      <c r="E1183" s="285"/>
    </row>
    <row r="1184">
      <c r="E1184" s="285"/>
    </row>
    <row r="1185">
      <c r="E1185" s="285"/>
    </row>
    <row r="1186">
      <c r="E1186" s="285"/>
    </row>
    <row r="1187">
      <c r="E1187" s="285"/>
    </row>
    <row r="1188">
      <c r="E1188" s="285"/>
    </row>
    <row r="1189">
      <c r="E1189" s="285"/>
    </row>
    <row r="1190">
      <c r="E1190" s="285"/>
    </row>
    <row r="1191">
      <c r="E1191" s="285"/>
    </row>
    <row r="1192">
      <c r="E1192" s="285"/>
    </row>
    <row r="1193">
      <c r="E1193" s="285"/>
    </row>
    <row r="1194">
      <c r="E1194" s="285"/>
    </row>
    <row r="1195">
      <c r="E1195" s="285"/>
    </row>
    <row r="1196">
      <c r="E1196" s="285"/>
    </row>
    <row r="1197">
      <c r="E1197" s="285"/>
    </row>
    <row r="1198">
      <c r="E1198" s="285"/>
    </row>
    <row r="1199">
      <c r="E1199" s="285"/>
    </row>
    <row r="1200">
      <c r="E1200" s="285"/>
    </row>
    <row r="1201">
      <c r="E1201" s="285"/>
    </row>
    <row r="1202">
      <c r="E1202" s="285"/>
    </row>
    <row r="1203">
      <c r="E1203" s="285"/>
    </row>
    <row r="1204">
      <c r="E1204" s="285"/>
    </row>
    <row r="1205">
      <c r="E1205" s="285"/>
    </row>
    <row r="1206">
      <c r="E1206" s="285"/>
    </row>
    <row r="1207">
      <c r="E1207" s="285"/>
    </row>
    <row r="1208">
      <c r="E1208" s="285"/>
    </row>
    <row r="1209">
      <c r="E1209" s="285"/>
    </row>
    <row r="1210">
      <c r="E1210" s="285"/>
    </row>
    <row r="1211">
      <c r="E1211" s="285"/>
    </row>
    <row r="1212">
      <c r="E1212" s="285"/>
    </row>
    <row r="1213">
      <c r="E1213" s="285"/>
    </row>
    <row r="1214">
      <c r="E1214" s="285"/>
    </row>
    <row r="1215">
      <c r="E1215" s="285"/>
    </row>
    <row r="1216">
      <c r="E1216" s="285"/>
    </row>
    <row r="1217">
      <c r="E1217" s="285"/>
    </row>
    <row r="1218">
      <c r="E1218" s="285"/>
    </row>
    <row r="1219">
      <c r="E1219" s="285"/>
    </row>
    <row r="1220">
      <c r="E1220" s="285"/>
    </row>
    <row r="1221">
      <c r="E1221" s="285"/>
    </row>
    <row r="1222">
      <c r="E1222" s="285"/>
    </row>
    <row r="1223">
      <c r="E1223" s="285"/>
    </row>
    <row r="1224">
      <c r="E1224" s="285"/>
    </row>
    <row r="1225">
      <c r="E1225" s="285"/>
    </row>
    <row r="1226">
      <c r="E1226" s="285"/>
    </row>
    <row r="1227">
      <c r="E1227" s="285"/>
    </row>
    <row r="1228">
      <c r="E1228" s="285"/>
    </row>
    <row r="1229">
      <c r="E1229" s="285"/>
    </row>
    <row r="1230">
      <c r="E1230" s="285"/>
    </row>
    <row r="1231">
      <c r="E1231" s="285"/>
    </row>
    <row r="1232">
      <c r="E1232" s="285"/>
    </row>
    <row r="1233">
      <c r="E1233" s="285"/>
    </row>
    <row r="1234">
      <c r="E1234" s="285"/>
    </row>
    <row r="1235">
      <c r="E1235" s="285"/>
    </row>
    <row r="1236">
      <c r="E1236" s="285"/>
    </row>
    <row r="1237">
      <c r="E1237" s="285"/>
    </row>
    <row r="1238">
      <c r="E1238" s="285"/>
    </row>
    <row r="1239">
      <c r="E1239" s="285"/>
    </row>
    <row r="1240">
      <c r="E1240" s="285"/>
    </row>
    <row r="1241">
      <c r="E1241" s="285"/>
    </row>
    <row r="1242">
      <c r="E1242" s="285"/>
    </row>
    <row r="1243">
      <c r="E1243" s="285"/>
    </row>
    <row r="1244">
      <c r="E1244" s="285"/>
    </row>
    <row r="1245">
      <c r="E1245" s="285"/>
    </row>
    <row r="1246">
      <c r="E1246" s="285"/>
    </row>
    <row r="1247">
      <c r="E1247" s="285"/>
    </row>
    <row r="1248">
      <c r="E1248" s="285"/>
    </row>
    <row r="1249">
      <c r="E1249" s="285"/>
    </row>
    <row r="1250">
      <c r="E1250" s="285"/>
    </row>
  </sheetData>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outlineLevelCol="1"/>
  <cols>
    <col customWidth="1" min="1" max="1" width="56.25"/>
    <col customWidth="1" min="2" max="2" width="23.75"/>
    <col customWidth="1" min="3" max="3" width="14.88"/>
    <col customWidth="1" min="4" max="4" width="4.88"/>
    <col customWidth="1" min="5" max="5" width="13.0"/>
    <col customWidth="1" min="6" max="6" width="7.5"/>
    <col collapsed="1" customWidth="1" min="7" max="7" width="2.5"/>
    <col customWidth="1" hidden="1" min="8" max="8" width="6.5" outlineLevel="1"/>
    <col customWidth="1" hidden="1" min="9" max="9" width="14.63" outlineLevel="1"/>
    <col customWidth="1" hidden="1" min="10" max="11" width="16.63" outlineLevel="1"/>
    <col customWidth="1" hidden="1" min="12" max="12" width="13.0" outlineLevel="1"/>
    <col customWidth="1" hidden="1" min="13" max="13" width="11.75" outlineLevel="1"/>
    <col customWidth="1" hidden="1" min="14" max="14" width="10.5" outlineLevel="1"/>
    <col hidden="1" min="15" max="16" width="12.63" outlineLevel="1"/>
  </cols>
  <sheetData>
    <row r="1">
      <c r="A1" s="12" t="s">
        <v>23</v>
      </c>
      <c r="B1" s="288" t="s">
        <v>287</v>
      </c>
      <c r="C1" s="118" t="s">
        <v>288</v>
      </c>
      <c r="E1" s="118" t="s">
        <v>289</v>
      </c>
      <c r="F1" s="288" t="s">
        <v>81</v>
      </c>
      <c r="H1" s="289"/>
      <c r="I1" s="290"/>
      <c r="J1" s="289"/>
      <c r="K1" s="289"/>
      <c r="L1" s="289"/>
      <c r="M1" s="289"/>
      <c r="N1" s="289"/>
      <c r="O1" s="289"/>
      <c r="P1" s="289"/>
    </row>
    <row r="2">
      <c r="A2" s="252" t="s">
        <v>218</v>
      </c>
      <c r="B2" s="291" t="s">
        <v>290</v>
      </c>
      <c r="C2" s="292" t="str">
        <f t="shared" ref="C2:C35" si="1">IFERROR(INDEX($E$2:$E$20, MATCH(TRUE, ISNUMBER(SEARCH($E$2:$E$20, I2)), 0)), "")</f>
        <v>Gegrillt</v>
      </c>
      <c r="E2" s="293" t="s">
        <v>291</v>
      </c>
      <c r="F2" s="294">
        <f t="shared" ref="F2:F11" si="2">COUNTIFS($C$2:$C$38,$E2)</f>
        <v>2</v>
      </c>
      <c r="G2" s="295" t="s">
        <v>292</v>
      </c>
      <c r="H2" s="289">
        <f>IFERROR(__xludf.DUMMYFUNCTION("SPLIT(A2,"" |-"")"),565072.0)</f>
        <v>565072</v>
      </c>
      <c r="I2" s="290" t="str">
        <f>IFERROR(__xludf.DUMMYFUNCTION("""COMPUTED_VALUE"""),"Gegrilltes")</f>
        <v>Gegrilltes</v>
      </c>
      <c r="J2" s="289" t="str">
        <f>IFERROR(__xludf.DUMMYFUNCTION("""COMPUTED_VALUE"""),"Hähnchen")</f>
        <v>Hähnchen</v>
      </c>
      <c r="K2" s="289" t="str">
        <f>IFERROR(__xludf.DUMMYFUNCTION("""COMPUTED_VALUE"""),"mit")</f>
        <v>mit</v>
      </c>
      <c r="L2" s="289" t="str">
        <f>IFERROR(__xludf.DUMMYFUNCTION("""COMPUTED_VALUE"""),"Ratatouille")</f>
        <v>Ratatouille</v>
      </c>
      <c r="M2" s="289"/>
      <c r="N2" s="289"/>
      <c r="O2" s="289"/>
      <c r="P2" s="289"/>
    </row>
    <row r="3">
      <c r="A3" s="252" t="s">
        <v>219</v>
      </c>
      <c r="B3" s="291"/>
      <c r="C3" s="292" t="str">
        <f t="shared" si="1"/>
        <v/>
      </c>
      <c r="E3" s="296" t="s">
        <v>293</v>
      </c>
      <c r="F3" s="297">
        <f t="shared" si="2"/>
        <v>3</v>
      </c>
      <c r="H3" s="289">
        <f>IFERROR(__xludf.DUMMYFUNCTION("SPLIT(A3,"" |-"")"),565209.0)</f>
        <v>565209</v>
      </c>
      <c r="I3" s="290" t="str">
        <f>IFERROR(__xludf.DUMMYFUNCTION("""COMPUTED_VALUE"""),"Grünes")</f>
        <v>Grünes</v>
      </c>
      <c r="J3" s="289" t="str">
        <f>IFERROR(__xludf.DUMMYFUNCTION("""COMPUTED_VALUE"""),"Chili")</f>
        <v>Chili</v>
      </c>
      <c r="K3" s="289" t="str">
        <f>IFERROR(__xludf.DUMMYFUNCTION("""COMPUTED_VALUE"""),"Hähnchen")</f>
        <v>Hähnchen</v>
      </c>
      <c r="L3" s="289" t="str">
        <f>IFERROR(__xludf.DUMMYFUNCTION("""COMPUTED_VALUE"""),"mit")</f>
        <v>mit</v>
      </c>
      <c r="M3" s="289" t="str">
        <f>IFERROR(__xludf.DUMMYFUNCTION("""COMPUTED_VALUE"""),"Quinoa")</f>
        <v>Quinoa</v>
      </c>
      <c r="N3" s="289" t="str">
        <f>IFERROR(__xludf.DUMMYFUNCTION("""COMPUTED_VALUE"""),"Salsa")</f>
        <v>Salsa</v>
      </c>
      <c r="O3" s="289"/>
      <c r="P3" s="289"/>
    </row>
    <row r="4">
      <c r="A4" s="252" t="s">
        <v>220</v>
      </c>
      <c r="B4" s="291"/>
      <c r="C4" s="292" t="str">
        <f t="shared" si="1"/>
        <v/>
      </c>
      <c r="E4" s="296" t="s">
        <v>294</v>
      </c>
      <c r="F4" s="297">
        <f t="shared" si="2"/>
        <v>1</v>
      </c>
      <c r="H4" s="289">
        <f>IFERROR(__xludf.DUMMYFUNCTION("SPLIT(A4,"" |-"")"),565309.0)</f>
        <v>565309</v>
      </c>
      <c r="I4" s="290" t="str">
        <f>IFERROR(__xludf.DUMMYFUNCTION("""COMPUTED_VALUE"""),"Geschmortes")</f>
        <v>Geschmortes</v>
      </c>
      <c r="J4" s="289" t="str">
        <f>IFERROR(__xludf.DUMMYFUNCTION("""COMPUTED_VALUE"""),"Rind")</f>
        <v>Rind</v>
      </c>
      <c r="K4" s="289" t="str">
        <f>IFERROR(__xludf.DUMMYFUNCTION("""COMPUTED_VALUE"""),"in")</f>
        <v>in</v>
      </c>
      <c r="L4" s="289" t="str">
        <f>IFERROR(__xludf.DUMMYFUNCTION("""COMPUTED_VALUE"""),"Kräuterjus")</f>
        <v>Kräuterjus</v>
      </c>
      <c r="M4" s="289"/>
      <c r="N4" s="289"/>
      <c r="O4" s="289"/>
      <c r="P4" s="289"/>
    </row>
    <row r="5">
      <c r="A5" s="252" t="s">
        <v>221</v>
      </c>
      <c r="B5" s="291" t="s">
        <v>293</v>
      </c>
      <c r="C5" s="292" t="str">
        <f t="shared" si="1"/>
        <v>Lachs</v>
      </c>
      <c r="E5" s="296" t="s">
        <v>290</v>
      </c>
      <c r="F5" s="297">
        <f t="shared" si="2"/>
        <v>3</v>
      </c>
      <c r="H5" s="289">
        <f>IFERROR(__xludf.DUMMYFUNCTION("SPLIT(A5,"" |-"")"),565064.0)</f>
        <v>565064</v>
      </c>
      <c r="I5" s="290" t="str">
        <f>IFERROR(__xludf.DUMMYFUNCTION("""COMPUTED_VALUE"""),"Lachs")</f>
        <v>Lachs</v>
      </c>
      <c r="J5" s="289" t="str">
        <f>IFERROR(__xludf.DUMMYFUNCTION("""COMPUTED_VALUE"""),"in")</f>
        <v>in</v>
      </c>
      <c r="K5" s="289" t="str">
        <f>IFERROR(__xludf.DUMMYFUNCTION("""COMPUTED_VALUE"""),"Senf")</f>
        <v>Senf</v>
      </c>
      <c r="L5" s="289" t="str">
        <f>IFERROR(__xludf.DUMMYFUNCTION("""COMPUTED_VALUE"""),"Dill")</f>
        <v>Dill</v>
      </c>
      <c r="M5" s="289" t="str">
        <f>IFERROR(__xludf.DUMMYFUNCTION("""COMPUTED_VALUE"""),"Sauce")</f>
        <v>Sauce</v>
      </c>
      <c r="N5" s="289"/>
      <c r="O5" s="289"/>
      <c r="P5" s="289"/>
    </row>
    <row r="6">
      <c r="A6" s="252" t="s">
        <v>222</v>
      </c>
      <c r="B6" s="291"/>
      <c r="C6" s="292" t="str">
        <f t="shared" si="1"/>
        <v/>
      </c>
      <c r="E6" s="296" t="s">
        <v>295</v>
      </c>
      <c r="F6" s="297">
        <f t="shared" si="2"/>
        <v>1</v>
      </c>
      <c r="H6" s="289">
        <f>IFERROR(__xludf.DUMMYFUNCTION("SPLIT(A6,"" |-"")"),565178.0)</f>
        <v>565178</v>
      </c>
      <c r="I6" s="290" t="str">
        <f>IFERROR(__xludf.DUMMYFUNCTION("""COMPUTED_VALUE"""),"Westafrikanisches")</f>
        <v>Westafrikanisches</v>
      </c>
      <c r="J6" s="289" t="str">
        <f>IFERROR(__xludf.DUMMYFUNCTION("""COMPUTED_VALUE"""),"Hähnchen")</f>
        <v>Hähnchen</v>
      </c>
      <c r="K6" s="289" t="str">
        <f>IFERROR(__xludf.DUMMYFUNCTION("""COMPUTED_VALUE"""),"Erdnuss")</f>
        <v>Erdnuss</v>
      </c>
      <c r="L6" s="289" t="str">
        <f>IFERROR(__xludf.DUMMYFUNCTION("""COMPUTED_VALUE"""),"Curry")</f>
        <v>Curry</v>
      </c>
      <c r="M6" s="289"/>
      <c r="N6" s="289"/>
      <c r="O6" s="289"/>
      <c r="P6" s="289"/>
    </row>
    <row r="7">
      <c r="A7" s="252" t="s">
        <v>223</v>
      </c>
      <c r="B7" s="291" t="s">
        <v>293</v>
      </c>
      <c r="C7" s="292" t="str">
        <f t="shared" si="1"/>
        <v>Lachs</v>
      </c>
      <c r="E7" s="296" t="s">
        <v>296</v>
      </c>
      <c r="F7" s="297">
        <f t="shared" si="2"/>
        <v>1</v>
      </c>
      <c r="H7" s="289">
        <f>IFERROR(__xludf.DUMMYFUNCTION("SPLIT(A7,"" |-"")"),565189.0)</f>
        <v>565189</v>
      </c>
      <c r="I7" s="290" t="str">
        <f>IFERROR(__xludf.DUMMYFUNCTION("""COMPUTED_VALUE"""),"Lachs")</f>
        <v>Lachs</v>
      </c>
      <c r="J7" s="289" t="str">
        <f>IFERROR(__xludf.DUMMYFUNCTION("""COMPUTED_VALUE"""),"Piccata")</f>
        <v>Piccata</v>
      </c>
      <c r="K7" s="289"/>
      <c r="L7" s="289"/>
      <c r="M7" s="289"/>
      <c r="N7" s="289"/>
      <c r="O7" s="289"/>
      <c r="P7" s="289"/>
    </row>
    <row r="8">
      <c r="A8" s="252" t="s">
        <v>224</v>
      </c>
      <c r="B8" s="291"/>
      <c r="C8" s="292" t="str">
        <f t="shared" si="1"/>
        <v>Hähnchen</v>
      </c>
      <c r="E8" s="296" t="s">
        <v>297</v>
      </c>
      <c r="F8" s="297">
        <f t="shared" si="2"/>
        <v>1</v>
      </c>
      <c r="H8" s="289">
        <f>IFERROR(__xludf.DUMMYFUNCTION("SPLIT(A8,"" |-"")"),565164.0)</f>
        <v>565164</v>
      </c>
      <c r="I8" s="290" t="str">
        <f>IFERROR(__xludf.DUMMYFUNCTION("""COMPUTED_VALUE"""),"Hähnchen")</f>
        <v>Hähnchen</v>
      </c>
      <c r="J8" s="289" t="str">
        <f>IFERROR(__xludf.DUMMYFUNCTION("""COMPUTED_VALUE"""),"mit")</f>
        <v>mit</v>
      </c>
      <c r="K8" s="289" t="str">
        <f>IFERROR(__xludf.DUMMYFUNCTION("""COMPUTED_VALUE"""),"karamellisierten")</f>
        <v>karamellisierten</v>
      </c>
      <c r="L8" s="289" t="str">
        <f>IFERROR(__xludf.DUMMYFUNCTION("""COMPUTED_VALUE"""),"Zwiebeln")</f>
        <v>Zwiebeln</v>
      </c>
      <c r="M8" s="289" t="str">
        <f>IFERROR(__xludf.DUMMYFUNCTION("""COMPUTED_VALUE"""),"&amp;")</f>
        <v>&amp;</v>
      </c>
      <c r="N8" s="289" t="str">
        <f>IFERROR(__xludf.DUMMYFUNCTION("""COMPUTED_VALUE"""),"Emmentaler")</f>
        <v>Emmentaler</v>
      </c>
      <c r="O8" s="289" t="str">
        <f>IFERROR(__xludf.DUMMYFUNCTION("""COMPUTED_VALUE"""),"Fondue")</f>
        <v>Fondue</v>
      </c>
      <c r="P8" s="289"/>
    </row>
    <row r="9">
      <c r="A9" s="252" t="s">
        <v>225</v>
      </c>
      <c r="B9" s="291"/>
      <c r="C9" s="292" t="str">
        <f t="shared" si="1"/>
        <v/>
      </c>
      <c r="E9" s="296" t="s">
        <v>298</v>
      </c>
      <c r="F9" s="297">
        <f t="shared" si="2"/>
        <v>0</v>
      </c>
      <c r="H9" s="289">
        <f>IFERROR(__xludf.DUMMYFUNCTION("SPLIT(A9,"" |-"")"),565043.0)</f>
        <v>565043</v>
      </c>
      <c r="I9" s="290" t="str">
        <f>IFERROR(__xludf.DUMMYFUNCTION("""COMPUTED_VALUE"""),"Würziges")</f>
        <v>Würziges</v>
      </c>
      <c r="J9" s="289" t="str">
        <f>IFERROR(__xludf.DUMMYFUNCTION("""COMPUTED_VALUE"""),"Hähnchen")</f>
        <v>Hähnchen</v>
      </c>
      <c r="K9" s="289" t="str">
        <f>IFERROR(__xludf.DUMMYFUNCTION("""COMPUTED_VALUE"""),"mit")</f>
        <v>mit</v>
      </c>
      <c r="L9" s="289" t="str">
        <f>IFERROR(__xludf.DUMMYFUNCTION("""COMPUTED_VALUE"""),"Jalapeño,")</f>
        <v>Jalapeño,</v>
      </c>
      <c r="M9" s="289" t="str">
        <f>IFERROR(__xludf.DUMMYFUNCTION("""COMPUTED_VALUE"""),"Limette")</f>
        <v>Limette</v>
      </c>
      <c r="N9" s="289" t="str">
        <f>IFERROR(__xludf.DUMMYFUNCTION("""COMPUTED_VALUE"""),"und")</f>
        <v>und</v>
      </c>
      <c r="O9" s="289" t="str">
        <f>IFERROR(__xludf.DUMMYFUNCTION("""COMPUTED_VALUE"""),"Cheddar")</f>
        <v>Cheddar</v>
      </c>
      <c r="P9" s="289"/>
    </row>
    <row r="10">
      <c r="A10" s="252" t="s">
        <v>226</v>
      </c>
      <c r="B10" s="291" t="s">
        <v>294</v>
      </c>
      <c r="C10" s="292" t="str">
        <f t="shared" si="1"/>
        <v>Cremiges</v>
      </c>
      <c r="E10" s="296" t="s">
        <v>299</v>
      </c>
      <c r="F10" s="297">
        <f t="shared" si="2"/>
        <v>0</v>
      </c>
      <c r="H10" s="289">
        <f>IFERROR(__xludf.DUMMYFUNCTION("SPLIT(A10,"" |-"")"),565244.0)</f>
        <v>565244</v>
      </c>
      <c r="I10" s="290" t="str">
        <f>IFERROR(__xludf.DUMMYFUNCTION("""COMPUTED_VALUE"""),"Cremiges")</f>
        <v>Cremiges</v>
      </c>
      <c r="J10" s="289" t="str">
        <f>IFERROR(__xludf.DUMMYFUNCTION("""COMPUTED_VALUE"""),"Tomaten")</f>
        <v>Tomaten</v>
      </c>
      <c r="K10" s="289" t="str">
        <f>IFERROR(__xludf.DUMMYFUNCTION("""COMPUTED_VALUE"""),"Risotto")</f>
        <v>Risotto</v>
      </c>
      <c r="L10" s="289"/>
      <c r="M10" s="289"/>
      <c r="N10" s="289"/>
      <c r="O10" s="289"/>
      <c r="P10" s="289"/>
    </row>
    <row r="11">
      <c r="A11" s="252" t="s">
        <v>227</v>
      </c>
      <c r="B11" s="291"/>
      <c r="C11" s="292" t="str">
        <f t="shared" si="1"/>
        <v/>
      </c>
      <c r="E11" s="296" t="s">
        <v>300</v>
      </c>
      <c r="F11" s="297">
        <f t="shared" si="2"/>
        <v>1</v>
      </c>
      <c r="H11" s="289">
        <f>IFERROR(__xludf.DUMMYFUNCTION("SPLIT(A11,"" |-"")"),565141.0)</f>
        <v>565141</v>
      </c>
      <c r="I11" s="290" t="str">
        <f>IFERROR(__xludf.DUMMYFUNCTION("""COMPUTED_VALUE"""),"Zucchini")</f>
        <v>Zucchini</v>
      </c>
      <c r="J11" s="289" t="str">
        <f>IFERROR(__xludf.DUMMYFUNCTION("""COMPUTED_VALUE"""),"Paprika")</f>
        <v>Paprika</v>
      </c>
      <c r="K11" s="289" t="str">
        <f>IFERROR(__xludf.DUMMYFUNCTION("""COMPUTED_VALUE"""),"Ratatouille")</f>
        <v>Ratatouille</v>
      </c>
      <c r="L11" s="289"/>
      <c r="M11" s="289"/>
      <c r="N11" s="289"/>
      <c r="O11" s="289"/>
      <c r="P11" s="289"/>
    </row>
    <row r="12">
      <c r="A12" s="252" t="s">
        <v>228</v>
      </c>
      <c r="B12" s="291" t="s">
        <v>291</v>
      </c>
      <c r="C12" s="292" t="str">
        <f t="shared" si="1"/>
        <v>Schwein</v>
      </c>
      <c r="E12" s="298"/>
      <c r="F12" s="299"/>
      <c r="H12" s="289">
        <f>IFERROR(__xludf.DUMMYFUNCTION("SPLIT(A12,"" |-"")"),565143.0)</f>
        <v>565143</v>
      </c>
      <c r="I12" s="290" t="str">
        <f>IFERROR(__xludf.DUMMYFUNCTION("""COMPUTED_VALUE"""),"Schweinefilet")</f>
        <v>Schweinefilet</v>
      </c>
      <c r="J12" s="289" t="str">
        <f>IFERROR(__xludf.DUMMYFUNCTION("""COMPUTED_VALUE"""),"in")</f>
        <v>in</v>
      </c>
      <c r="K12" s="289" t="str">
        <f>IFERROR(__xludf.DUMMYFUNCTION("""COMPUTED_VALUE"""),"cremiger")</f>
        <v>cremiger</v>
      </c>
      <c r="L12" s="289" t="str">
        <f>IFERROR(__xludf.DUMMYFUNCTION("""COMPUTED_VALUE"""),"Knoblauch")</f>
        <v>Knoblauch</v>
      </c>
      <c r="M12" s="289" t="str">
        <f>IFERROR(__xludf.DUMMYFUNCTION("""COMPUTED_VALUE"""),"Senf")</f>
        <v>Senf</v>
      </c>
      <c r="N12" s="289" t="str">
        <f>IFERROR(__xludf.DUMMYFUNCTION("""COMPUTED_VALUE"""),"Sauce")</f>
        <v>Sauce</v>
      </c>
      <c r="O12" s="289"/>
      <c r="P12" s="289"/>
    </row>
    <row r="13">
      <c r="A13" s="252" t="s">
        <v>229</v>
      </c>
      <c r="B13" s="291"/>
      <c r="C13" s="292" t="str">
        <f t="shared" si="1"/>
        <v/>
      </c>
      <c r="E13" s="298"/>
      <c r="F13" s="299"/>
      <c r="H13" s="289">
        <f>IFERROR(__xludf.DUMMYFUNCTION("SPLIT(A13,"" |-"")"),565196.0)</f>
        <v>565196</v>
      </c>
      <c r="I13" s="290" t="str">
        <f>IFERROR(__xludf.DUMMYFUNCTION("""COMPUTED_VALUE"""),"Ají")</f>
        <v>Ají</v>
      </c>
      <c r="J13" s="289" t="str">
        <f>IFERROR(__xludf.DUMMYFUNCTION("""COMPUTED_VALUE"""),"Verde")</f>
        <v>Verde</v>
      </c>
      <c r="K13" s="289" t="str">
        <f>IFERROR(__xludf.DUMMYFUNCTION("""COMPUTED_VALUE"""),"Lachs")</f>
        <v>Lachs</v>
      </c>
      <c r="L13" s="289"/>
      <c r="M13" s="289"/>
      <c r="N13" s="289"/>
      <c r="O13" s="289"/>
      <c r="P13" s="289"/>
    </row>
    <row r="14">
      <c r="A14" s="252" t="s">
        <v>230</v>
      </c>
      <c r="B14" s="291"/>
      <c r="C14" s="292" t="str">
        <f t="shared" si="1"/>
        <v>Pulled</v>
      </c>
      <c r="E14" s="298"/>
      <c r="F14" s="299"/>
      <c r="H14" s="289">
        <f>IFERROR(__xludf.DUMMYFUNCTION("SPLIT(A14,"" |-"")"),565130.0)</f>
        <v>565130</v>
      </c>
      <c r="I14" s="290" t="str">
        <f>IFERROR(__xludf.DUMMYFUNCTION("""COMPUTED_VALUE"""),"Pulled")</f>
        <v>Pulled</v>
      </c>
      <c r="J14" s="289" t="str">
        <f>IFERROR(__xludf.DUMMYFUNCTION("""COMPUTED_VALUE"""),"Pork")</f>
        <v>Pork</v>
      </c>
      <c r="K14" s="289" t="str">
        <f>IFERROR(__xludf.DUMMYFUNCTION("""COMPUTED_VALUE"""),"mit")</f>
        <v>mit</v>
      </c>
      <c r="L14" s="289" t="str">
        <f>IFERROR(__xludf.DUMMYFUNCTION("""COMPUTED_VALUE"""),"roter")</f>
        <v>roter</v>
      </c>
      <c r="M14" s="289" t="str">
        <f>IFERROR(__xludf.DUMMYFUNCTION("""COMPUTED_VALUE"""),"Chilisauce")</f>
        <v>Chilisauce</v>
      </c>
      <c r="N14" s="289"/>
      <c r="O14" s="289"/>
      <c r="P14" s="289"/>
    </row>
    <row r="15">
      <c r="A15" s="252" t="s">
        <v>231</v>
      </c>
      <c r="B15" s="291" t="s">
        <v>290</v>
      </c>
      <c r="C15" s="292" t="str">
        <f t="shared" si="1"/>
        <v>Gegrillt</v>
      </c>
      <c r="E15" s="298"/>
      <c r="F15" s="299"/>
      <c r="H15" s="289">
        <f>IFERROR(__xludf.DUMMYFUNCTION("SPLIT(A15,"" |-"")"),565211.0)</f>
        <v>565211</v>
      </c>
      <c r="I15" s="290" t="str">
        <f>IFERROR(__xludf.DUMMYFUNCTION("""COMPUTED_VALUE"""),"Gegrilltes")</f>
        <v>Gegrilltes</v>
      </c>
      <c r="J15" s="289" t="str">
        <f>IFERROR(__xludf.DUMMYFUNCTION("""COMPUTED_VALUE"""),"Hähnchen")</f>
        <v>Hähnchen</v>
      </c>
      <c r="K15" s="289" t="str">
        <f>IFERROR(__xludf.DUMMYFUNCTION("""COMPUTED_VALUE"""),"in")</f>
        <v>in</v>
      </c>
      <c r="L15" s="289" t="str">
        <f>IFERROR(__xludf.DUMMYFUNCTION("""COMPUTED_VALUE"""),"Ingwer")</f>
        <v>Ingwer</v>
      </c>
      <c r="M15" s="289" t="str">
        <f>IFERROR(__xludf.DUMMYFUNCTION("""COMPUTED_VALUE"""),"Knoblauch")</f>
        <v>Knoblauch</v>
      </c>
      <c r="N15" s="289" t="str">
        <f>IFERROR(__xludf.DUMMYFUNCTION("""COMPUTED_VALUE"""),"Marinade")</f>
        <v>Marinade</v>
      </c>
      <c r="O15" s="289"/>
      <c r="P15" s="289"/>
    </row>
    <row r="16">
      <c r="A16" s="252" t="s">
        <v>232</v>
      </c>
      <c r="B16" s="291"/>
      <c r="C16" s="292" t="str">
        <f t="shared" si="1"/>
        <v>Scharfes</v>
      </c>
      <c r="E16" s="298"/>
      <c r="F16" s="299"/>
      <c r="H16" s="289">
        <f>IFERROR(__xludf.DUMMYFUNCTION("SPLIT(A16,"" |-"")"),565091.0)</f>
        <v>565091</v>
      </c>
      <c r="I16" s="290" t="str">
        <f>IFERROR(__xludf.DUMMYFUNCTION("""COMPUTED_VALUE"""),"Scharfes")</f>
        <v>Scharfes</v>
      </c>
      <c r="J16" s="289" t="str">
        <f>IFERROR(__xludf.DUMMYFUNCTION("""COMPUTED_VALUE"""),"Rinderhack")</f>
        <v>Rinderhack</v>
      </c>
      <c r="K16" s="289" t="str">
        <f>IFERROR(__xludf.DUMMYFUNCTION("""COMPUTED_VALUE"""),"mit")</f>
        <v>mit</v>
      </c>
      <c r="L16" s="289" t="str">
        <f>IFERROR(__xludf.DUMMYFUNCTION("""COMPUTED_VALUE"""),"Jalapeños")</f>
        <v>Jalapeños</v>
      </c>
      <c r="M16" s="289"/>
      <c r="N16" s="289"/>
      <c r="O16" s="289"/>
      <c r="P16" s="289"/>
    </row>
    <row r="17">
      <c r="A17" s="252" t="s">
        <v>233</v>
      </c>
      <c r="B17" s="291" t="s">
        <v>293</v>
      </c>
      <c r="C17" s="292" t="str">
        <f t="shared" si="1"/>
        <v>Lachs</v>
      </c>
      <c r="E17" s="298"/>
      <c r="F17" s="299"/>
      <c r="H17" s="289">
        <f>IFERROR(__xludf.DUMMYFUNCTION("SPLIT(A17,"" |-"")"),565221.0)</f>
        <v>565221</v>
      </c>
      <c r="I17" s="290" t="str">
        <f>IFERROR(__xludf.DUMMYFUNCTION("""COMPUTED_VALUE"""),"Lachs")</f>
        <v>Lachs</v>
      </c>
      <c r="J17" s="289" t="str">
        <f>IFERROR(__xludf.DUMMYFUNCTION("""COMPUTED_VALUE"""),"Bowl")</f>
        <v>Bowl</v>
      </c>
      <c r="K17" s="289" t="str">
        <f>IFERROR(__xludf.DUMMYFUNCTION("""COMPUTED_VALUE"""),"mit")</f>
        <v>mit</v>
      </c>
      <c r="L17" s="289" t="str">
        <f>IFERROR(__xludf.DUMMYFUNCTION("""COMPUTED_VALUE"""),"Zitrus")</f>
        <v>Zitrus</v>
      </c>
      <c r="M17" s="289" t="str">
        <f>IFERROR(__xludf.DUMMYFUNCTION("""COMPUTED_VALUE"""),"Miso")</f>
        <v>Miso</v>
      </c>
      <c r="N17" s="289"/>
      <c r="O17" s="289"/>
      <c r="P17" s="289"/>
    </row>
    <row r="18">
      <c r="A18" s="252" t="s">
        <v>234</v>
      </c>
      <c r="B18" s="291"/>
      <c r="C18" s="292" t="str">
        <f t="shared" si="1"/>
        <v>Rind</v>
      </c>
      <c r="E18" s="298"/>
      <c r="F18" s="299"/>
      <c r="H18" s="289">
        <f>IFERROR(__xludf.DUMMYFUNCTION("SPLIT(A18,"" |-"")"),565252.0)</f>
        <v>565252</v>
      </c>
      <c r="I18" s="290" t="str">
        <f>IFERROR(__xludf.DUMMYFUNCTION("""COMPUTED_VALUE"""),"Rinderragù")</f>
        <v>Rinderragù</v>
      </c>
      <c r="J18" s="289" t="str">
        <f>IFERROR(__xludf.DUMMYFUNCTION("""COMPUTED_VALUE"""),"mit")</f>
        <v>mit</v>
      </c>
      <c r="K18" s="289" t="str">
        <f>IFERROR(__xludf.DUMMYFUNCTION("""COMPUTED_VALUE"""),"sonnengetrockneten")</f>
        <v>sonnengetrockneten</v>
      </c>
      <c r="L18" s="289" t="str">
        <f>IFERROR(__xludf.DUMMYFUNCTION("""COMPUTED_VALUE"""),"Tomaten")</f>
        <v>Tomaten</v>
      </c>
      <c r="M18" s="289" t="str">
        <f>IFERROR(__xludf.DUMMYFUNCTION("""COMPUTED_VALUE"""),"und")</f>
        <v>und</v>
      </c>
      <c r="N18" s="289" t="str">
        <f>IFERROR(__xludf.DUMMYFUNCTION("""COMPUTED_VALUE"""),"Pasta")</f>
        <v>Pasta</v>
      </c>
      <c r="O18" s="289"/>
      <c r="P18" s="289"/>
    </row>
    <row r="19">
      <c r="A19" s="252" t="s">
        <v>235</v>
      </c>
      <c r="B19" s="291" t="s">
        <v>291</v>
      </c>
      <c r="C19" s="292" t="str">
        <f t="shared" si="1"/>
        <v>Schwein</v>
      </c>
      <c r="E19" s="298"/>
      <c r="F19" s="299"/>
      <c r="H19" s="289">
        <f>IFERROR(__xludf.DUMMYFUNCTION("SPLIT(A19,"" |-"")"),565095.0)</f>
        <v>565095</v>
      </c>
      <c r="I19" s="290" t="str">
        <f>IFERROR(__xludf.DUMMYFUNCTION("""COMPUTED_VALUE"""),"Schweinefilet")</f>
        <v>Schweinefilet</v>
      </c>
      <c r="J19" s="289" t="str">
        <f>IFERROR(__xludf.DUMMYFUNCTION("""COMPUTED_VALUE"""),"in")</f>
        <v>in</v>
      </c>
      <c r="K19" s="289" t="str">
        <f>IFERROR(__xludf.DUMMYFUNCTION("""COMPUTED_VALUE"""),"würziger")</f>
        <v>würziger</v>
      </c>
      <c r="L19" s="289" t="str">
        <f>IFERROR(__xludf.DUMMYFUNCTION("""COMPUTED_VALUE"""),"Ancho")</f>
        <v>Ancho</v>
      </c>
      <c r="M19" s="289" t="str">
        <f>IFERROR(__xludf.DUMMYFUNCTION("""COMPUTED_VALUE"""),"Chili")</f>
        <v>Chili</v>
      </c>
      <c r="N19" s="289" t="str">
        <f>IFERROR(__xludf.DUMMYFUNCTION("""COMPUTED_VALUE"""),"Sauce")</f>
        <v>Sauce</v>
      </c>
      <c r="O19" s="289"/>
      <c r="P19" s="289"/>
    </row>
    <row r="20">
      <c r="A20" s="252" t="s">
        <v>301</v>
      </c>
      <c r="B20" s="291" t="s">
        <v>290</v>
      </c>
      <c r="C20" s="292" t="str">
        <f t="shared" si="1"/>
        <v>Gegrillt</v>
      </c>
      <c r="E20" s="300"/>
      <c r="F20" s="301"/>
      <c r="H20" s="289">
        <f>IFERROR(__xludf.DUMMYFUNCTION("SPLIT(A20,"" |-"")"),565119.0)</f>
        <v>565119</v>
      </c>
      <c r="I20" s="290" t="str">
        <f>IFERROR(__xludf.DUMMYFUNCTION("""COMPUTED_VALUE"""),"Gegrilltes")</f>
        <v>Gegrilltes</v>
      </c>
      <c r="J20" s="289" t="str">
        <f>IFERROR(__xludf.DUMMYFUNCTION("""COMPUTED_VALUE"""),"Hähnchen")</f>
        <v>Hähnchen</v>
      </c>
      <c r="K20" s="289" t="str">
        <f>IFERROR(__xludf.DUMMYFUNCTION("""COMPUTED_VALUE"""),"mit")</f>
        <v>mit</v>
      </c>
      <c r="L20" s="289" t="str">
        <f>IFERROR(__xludf.DUMMYFUNCTION("""COMPUTED_VALUE"""),"Knoblauch")</f>
        <v>Knoblauch</v>
      </c>
      <c r="M20" s="289" t="str">
        <f>IFERROR(__xludf.DUMMYFUNCTION("""COMPUTED_VALUE"""),"Kräutern")</f>
        <v>Kräutern</v>
      </c>
      <c r="N20" s="289"/>
      <c r="O20" s="289"/>
      <c r="P20" s="289"/>
    </row>
    <row r="21" hidden="1">
      <c r="A21" s="252"/>
      <c r="B21" s="291"/>
      <c r="C21" s="292" t="str">
        <f t="shared" si="1"/>
        <v/>
      </c>
      <c r="H21" s="289"/>
      <c r="I21" s="290"/>
      <c r="J21" s="289"/>
      <c r="K21" s="289"/>
      <c r="L21" s="289"/>
      <c r="M21" s="289"/>
      <c r="N21" s="289"/>
      <c r="O21" s="289"/>
      <c r="P21" s="289"/>
    </row>
    <row r="22" hidden="1">
      <c r="A22" s="252"/>
      <c r="B22" s="291"/>
      <c r="C22" s="292" t="str">
        <f t="shared" si="1"/>
        <v/>
      </c>
      <c r="H22" s="289"/>
      <c r="I22" s="290"/>
      <c r="J22" s="289"/>
      <c r="K22" s="289"/>
      <c r="L22" s="289"/>
      <c r="M22" s="289"/>
      <c r="N22" s="289"/>
      <c r="O22" s="289"/>
      <c r="P22" s="289"/>
    </row>
    <row r="23" hidden="1">
      <c r="A23" s="252"/>
      <c r="B23" s="291"/>
      <c r="C23" s="292" t="str">
        <f t="shared" si="1"/>
        <v/>
      </c>
      <c r="H23" s="289"/>
      <c r="I23" s="290"/>
      <c r="J23" s="289"/>
      <c r="K23" s="289"/>
      <c r="L23" s="289"/>
      <c r="M23" s="289"/>
      <c r="N23" s="289"/>
      <c r="O23" s="289"/>
      <c r="P23" s="289"/>
    </row>
    <row r="24" hidden="1">
      <c r="A24" s="252"/>
      <c r="B24" s="291"/>
      <c r="C24" s="292" t="str">
        <f t="shared" si="1"/>
        <v/>
      </c>
      <c r="H24" s="289"/>
      <c r="I24" s="290"/>
      <c r="J24" s="289"/>
      <c r="K24" s="289"/>
      <c r="L24" s="289"/>
      <c r="M24" s="289"/>
      <c r="N24" s="289"/>
      <c r="O24" s="289"/>
      <c r="P24" s="289"/>
    </row>
    <row r="25" hidden="1">
      <c r="A25" s="252"/>
      <c r="B25" s="291"/>
      <c r="C25" s="292" t="str">
        <f t="shared" si="1"/>
        <v/>
      </c>
      <c r="H25" s="289"/>
      <c r="I25" s="290"/>
      <c r="J25" s="289"/>
      <c r="K25" s="289"/>
      <c r="L25" s="289"/>
      <c r="M25" s="289"/>
      <c r="N25" s="289"/>
      <c r="O25" s="289"/>
      <c r="P25" s="289"/>
    </row>
    <row r="26" hidden="1">
      <c r="A26" s="252"/>
      <c r="B26" s="291"/>
      <c r="C26" s="292" t="str">
        <f t="shared" si="1"/>
        <v/>
      </c>
      <c r="H26" s="289"/>
      <c r="I26" s="290"/>
      <c r="J26" s="289"/>
      <c r="K26" s="289"/>
      <c r="L26" s="289"/>
      <c r="M26" s="289"/>
      <c r="N26" s="289"/>
      <c r="O26" s="289"/>
      <c r="P26" s="289"/>
    </row>
    <row r="27" hidden="1">
      <c r="A27" s="252"/>
      <c r="B27" s="291"/>
      <c r="C27" s="292" t="str">
        <f t="shared" si="1"/>
        <v/>
      </c>
      <c r="H27" s="289"/>
      <c r="I27" s="290"/>
      <c r="J27" s="289"/>
      <c r="K27" s="289"/>
      <c r="L27" s="289"/>
      <c r="M27" s="289"/>
      <c r="N27" s="289"/>
      <c r="O27" s="289"/>
      <c r="P27" s="289"/>
    </row>
    <row r="28" hidden="1">
      <c r="A28" s="252"/>
      <c r="B28" s="291"/>
      <c r="C28" s="292" t="str">
        <f t="shared" si="1"/>
        <v/>
      </c>
      <c r="H28" s="289"/>
      <c r="I28" s="290"/>
      <c r="J28" s="289"/>
      <c r="K28" s="289"/>
      <c r="L28" s="289"/>
      <c r="M28" s="289"/>
      <c r="N28" s="289"/>
      <c r="O28" s="289"/>
      <c r="P28" s="289"/>
    </row>
    <row r="29" hidden="1">
      <c r="A29" s="252"/>
      <c r="B29" s="291"/>
      <c r="C29" s="292" t="str">
        <f t="shared" si="1"/>
        <v/>
      </c>
      <c r="H29" s="289"/>
      <c r="I29" s="290"/>
      <c r="J29" s="289"/>
      <c r="K29" s="289"/>
      <c r="L29" s="289"/>
      <c r="M29" s="289"/>
      <c r="N29" s="289"/>
      <c r="O29" s="289"/>
      <c r="P29" s="289"/>
    </row>
    <row r="30" hidden="1">
      <c r="A30" s="252"/>
      <c r="B30" s="291"/>
      <c r="C30" s="292" t="str">
        <f t="shared" si="1"/>
        <v/>
      </c>
      <c r="H30" s="289"/>
      <c r="I30" s="290"/>
      <c r="J30" s="289"/>
      <c r="K30" s="289"/>
      <c r="L30" s="289"/>
      <c r="M30" s="289"/>
      <c r="N30" s="289"/>
      <c r="O30" s="289"/>
      <c r="P30" s="289"/>
    </row>
    <row r="31" hidden="1">
      <c r="A31" s="252"/>
      <c r="B31" s="291"/>
      <c r="C31" s="292" t="str">
        <f t="shared" si="1"/>
        <v/>
      </c>
      <c r="H31" s="289"/>
      <c r="I31" s="290"/>
      <c r="J31" s="289"/>
      <c r="K31" s="289"/>
      <c r="L31" s="289"/>
      <c r="M31" s="289"/>
      <c r="N31" s="289"/>
      <c r="O31" s="289"/>
      <c r="P31" s="289"/>
    </row>
    <row r="32" hidden="1">
      <c r="A32" s="252"/>
      <c r="B32" s="291"/>
      <c r="C32" s="292" t="str">
        <f t="shared" si="1"/>
        <v/>
      </c>
      <c r="H32" s="289"/>
      <c r="I32" s="290"/>
      <c r="J32" s="289"/>
      <c r="K32" s="289"/>
      <c r="L32" s="289"/>
      <c r="M32" s="289"/>
      <c r="N32" s="289"/>
      <c r="O32" s="289"/>
      <c r="P32" s="289"/>
    </row>
    <row r="33" hidden="1">
      <c r="A33" s="252"/>
      <c r="B33" s="291"/>
      <c r="C33" s="292" t="str">
        <f t="shared" si="1"/>
        <v/>
      </c>
      <c r="H33" s="289"/>
      <c r="I33" s="290"/>
      <c r="J33" s="289"/>
      <c r="K33" s="289"/>
      <c r="L33" s="289"/>
      <c r="M33" s="289"/>
      <c r="N33" s="289"/>
      <c r="O33" s="289"/>
      <c r="P33" s="289"/>
    </row>
    <row r="34" hidden="1">
      <c r="A34" s="252"/>
      <c r="B34" s="291"/>
      <c r="C34" s="292" t="str">
        <f t="shared" si="1"/>
        <v/>
      </c>
      <c r="H34" s="289"/>
      <c r="I34" s="290"/>
      <c r="J34" s="289"/>
      <c r="K34" s="289"/>
      <c r="L34" s="289"/>
      <c r="M34" s="289"/>
      <c r="N34" s="289"/>
      <c r="O34" s="289"/>
      <c r="P34" s="289"/>
    </row>
    <row r="35" hidden="1">
      <c r="A35" s="252"/>
      <c r="B35" s="291"/>
      <c r="C35" s="292" t="str">
        <f t="shared" si="1"/>
        <v/>
      </c>
      <c r="H35" s="289"/>
      <c r="I35" s="290"/>
      <c r="J35" s="289"/>
      <c r="K35" s="289"/>
      <c r="L35" s="289"/>
      <c r="M35" s="289"/>
      <c r="N35" s="289"/>
      <c r="O35" s="289"/>
      <c r="P35" s="289"/>
    </row>
    <row r="36">
      <c r="A36" s="39" t="s">
        <v>302</v>
      </c>
      <c r="B36" s="302" t="s">
        <v>236</v>
      </c>
      <c r="C36" s="302" t="str">
        <f t="shared" ref="C36:C38" si="3">IFERROR(INDEX($E$2:$E$11, MATCH(TRUE, ISNUMBER(SEARCH($E$2:$E$11, I36)), 0)), "")</f>
        <v/>
      </c>
      <c r="H36" s="289">
        <f>IFERROR(__xludf.DUMMYFUNCTION("SPLIT(A36,"" |-"")"),805.0)</f>
        <v>805</v>
      </c>
      <c r="I36" s="290" t="str">
        <f>IFERROR(__xludf.DUMMYFUNCTION("""COMPUTED_VALUE"""),"FACTOR_")</f>
        <v>FACTOR_</v>
      </c>
      <c r="J36" s="289" t="str">
        <f>IFERROR(__xludf.DUMMYFUNCTION("""COMPUTED_VALUE"""),"Ginger")</f>
        <v>Ginger</v>
      </c>
      <c r="K36" s="289" t="str">
        <f>IFERROR(__xludf.DUMMYFUNCTION("""COMPUTED_VALUE"""),"Lemon")</f>
        <v>Lemon</v>
      </c>
      <c r="L36" s="289" t="str">
        <f>IFERROR(__xludf.DUMMYFUNCTION("""COMPUTED_VALUE"""),"Apple")</f>
        <v>Apple</v>
      </c>
      <c r="M36" s="289" t="str">
        <f>IFERROR(__xludf.DUMMYFUNCTION("""COMPUTED_VALUE"""),"Wellness")</f>
        <v>Wellness</v>
      </c>
      <c r="N36" s="289" t="str">
        <f>IFERROR(__xludf.DUMMYFUNCTION("""COMPUTED_VALUE"""),"Shot")</f>
        <v>Shot</v>
      </c>
      <c r="O36" s="289"/>
      <c r="P36" s="289"/>
    </row>
    <row r="37">
      <c r="A37" s="39" t="s">
        <v>303</v>
      </c>
      <c r="B37" s="302" t="s">
        <v>236</v>
      </c>
      <c r="C37" s="302" t="str">
        <f t="shared" si="3"/>
        <v/>
      </c>
      <c r="H37" s="289">
        <f>IFERROR(__xludf.DUMMYFUNCTION("SPLIT(A37,"" |-"")"),809.0)</f>
        <v>809</v>
      </c>
      <c r="I37" s="290" t="str">
        <f>IFERROR(__xludf.DUMMYFUNCTION("""COMPUTED_VALUE"""),"FACTOR_")</f>
        <v>FACTOR_</v>
      </c>
      <c r="J37" s="289" t="str">
        <f>IFERROR(__xludf.DUMMYFUNCTION("""COMPUTED_VALUE"""),"Spirulina")</f>
        <v>Spirulina</v>
      </c>
      <c r="K37" s="289" t="str">
        <f>IFERROR(__xludf.DUMMYFUNCTION("""COMPUTED_VALUE"""),"Ginger")</f>
        <v>Ginger</v>
      </c>
      <c r="L37" s="289" t="str">
        <f>IFERROR(__xludf.DUMMYFUNCTION("""COMPUTED_VALUE"""),"Lime")</f>
        <v>Lime</v>
      </c>
      <c r="M37" s="289" t="str">
        <f>IFERROR(__xludf.DUMMYFUNCTION("""COMPUTED_VALUE"""),"Ginger")</f>
        <v>Ginger</v>
      </c>
      <c r="N37" s="289" t="str">
        <f>IFERROR(__xludf.DUMMYFUNCTION("""COMPUTED_VALUE"""),"Shot")</f>
        <v>Shot</v>
      </c>
      <c r="O37" s="289"/>
      <c r="P37" s="289"/>
    </row>
    <row r="38">
      <c r="A38" s="39" t="s">
        <v>304</v>
      </c>
      <c r="B38" s="302" t="s">
        <v>236</v>
      </c>
      <c r="C38" s="302" t="str">
        <f t="shared" si="3"/>
        <v/>
      </c>
      <c r="F38" s="303"/>
      <c r="H38" s="289">
        <f>IFERROR(__xludf.DUMMYFUNCTION("SPLIT(A38,"" |-"")"),810.0)</f>
        <v>810</v>
      </c>
      <c r="I38" s="290" t="str">
        <f>IFERROR(__xludf.DUMMYFUNCTION("""COMPUTED_VALUE"""),"FACTOR_")</f>
        <v>FACTOR_</v>
      </c>
      <c r="J38" s="289" t="str">
        <f>IFERROR(__xludf.DUMMYFUNCTION("""COMPUTED_VALUE"""),"Turmeric")</f>
        <v>Turmeric</v>
      </c>
      <c r="K38" s="289" t="str">
        <f>IFERROR(__xludf.DUMMYFUNCTION("""COMPUTED_VALUE"""),"Cayenne")</f>
        <v>Cayenne</v>
      </c>
      <c r="L38" s="289" t="str">
        <f>IFERROR(__xludf.DUMMYFUNCTION("""COMPUTED_VALUE"""),"Pineapple")</f>
        <v>Pineapple</v>
      </c>
      <c r="M38" s="289" t="str">
        <f>IFERROR(__xludf.DUMMYFUNCTION("""COMPUTED_VALUE"""),"Ginger")</f>
        <v>Ginger</v>
      </c>
      <c r="N38" s="289" t="str">
        <f>IFERROR(__xludf.DUMMYFUNCTION("""COMPUTED_VALUE"""),"Shot")</f>
        <v>Shot</v>
      </c>
      <c r="O38" s="289"/>
      <c r="P38" s="289"/>
    </row>
    <row r="39">
      <c r="A39" s="271" t="s">
        <v>240</v>
      </c>
      <c r="B39" s="304" t="s">
        <v>305</v>
      </c>
      <c r="C39" s="305" t="str">
        <f t="shared" ref="C39:C72" si="4">IFERROR(INDEX($E$40:$E$55, MATCH(TRUE, ISNUMBER(SEARCH($E$40:$E$55, I39)), 0)), "")</f>
        <v>Grillet</v>
      </c>
      <c r="E39" s="118" t="s">
        <v>306</v>
      </c>
      <c r="F39" s="303"/>
      <c r="H39" s="289">
        <f>IFERROR(__xludf.DUMMYFUNCTION("SPLIT(A39,"" |-"")"),565072.0)</f>
        <v>565072</v>
      </c>
      <c r="I39" s="290" t="str">
        <f>IFERROR(__xludf.DUMMYFUNCTION("""COMPUTED_VALUE"""),"Grillet")</f>
        <v>Grillet</v>
      </c>
      <c r="J39" s="289" t="str">
        <f>IFERROR(__xludf.DUMMYFUNCTION("""COMPUTED_VALUE"""),"kylling")</f>
        <v>kylling</v>
      </c>
      <c r="K39" s="289" t="str">
        <f>IFERROR(__xludf.DUMMYFUNCTION("""COMPUTED_VALUE"""),"med")</f>
        <v>med</v>
      </c>
      <c r="L39" s="289" t="str">
        <f>IFERROR(__xludf.DUMMYFUNCTION("""COMPUTED_VALUE"""),"ratatouille")</f>
        <v>ratatouille</v>
      </c>
      <c r="M39" s="289"/>
      <c r="N39" s="289"/>
      <c r="O39" s="289"/>
      <c r="P39" s="289"/>
    </row>
    <row r="40">
      <c r="A40" s="270" t="s">
        <v>241</v>
      </c>
      <c r="B40" s="304"/>
      <c r="C40" s="305" t="str">
        <f t="shared" si="4"/>
        <v/>
      </c>
      <c r="E40" s="293" t="s">
        <v>307</v>
      </c>
      <c r="F40" s="294">
        <f t="shared" ref="F40:F46" si="5">COUNTIFS($C$39:$C$75,$E40)</f>
        <v>1</v>
      </c>
      <c r="H40" s="289">
        <f>IFERROR(__xludf.DUMMYFUNCTION("SPLIT(A40,"" |-"")"),565209.0)</f>
        <v>565209</v>
      </c>
      <c r="I40" s="290" t="str">
        <f>IFERROR(__xludf.DUMMYFUNCTION("""COMPUTED_VALUE"""),"Chilensk")</f>
        <v>Chilensk</v>
      </c>
      <c r="J40" s="289" t="str">
        <f>IFERROR(__xludf.DUMMYFUNCTION("""COMPUTED_VALUE"""),"inspireret")</f>
        <v>inspireret</v>
      </c>
      <c r="K40" s="289" t="str">
        <f>IFERROR(__xludf.DUMMYFUNCTION("""COMPUTED_VALUE"""),"kylling")</f>
        <v>kylling</v>
      </c>
      <c r="L40" s="289" t="str">
        <f>IFERROR(__xludf.DUMMYFUNCTION("""COMPUTED_VALUE"""),"med")</f>
        <v>med</v>
      </c>
      <c r="M40" s="289" t="str">
        <f>IFERROR(__xludf.DUMMYFUNCTION("""COMPUTED_VALUE"""),"salsa")</f>
        <v>salsa</v>
      </c>
      <c r="N40" s="289" t="str">
        <f>IFERROR(__xludf.DUMMYFUNCTION("""COMPUTED_VALUE"""),"quinoa")</f>
        <v>quinoa</v>
      </c>
      <c r="O40" s="289"/>
      <c r="P40" s="289"/>
    </row>
    <row r="41">
      <c r="A41" s="270" t="s">
        <v>242</v>
      </c>
      <c r="B41" s="304"/>
      <c r="C41" s="305" t="str">
        <f t="shared" si="4"/>
        <v/>
      </c>
      <c r="E41" s="296" t="s">
        <v>305</v>
      </c>
      <c r="F41" s="297">
        <f t="shared" si="5"/>
        <v>3</v>
      </c>
      <c r="H41" s="289">
        <f>IFERROR(__xludf.DUMMYFUNCTION("SPLIT(A41,"" |-"")"),565309.0)</f>
        <v>565309</v>
      </c>
      <c r="I41" s="290" t="str">
        <f>IFERROR(__xludf.DUMMYFUNCTION("""COMPUTED_VALUE"""),"Braiseret")</f>
        <v>Braiseret</v>
      </c>
      <c r="J41" s="289" t="str">
        <f>IFERROR(__xludf.DUMMYFUNCTION("""COMPUTED_VALUE"""),"oksekød")</f>
        <v>oksekød</v>
      </c>
      <c r="K41" s="289" t="str">
        <f>IFERROR(__xludf.DUMMYFUNCTION("""COMPUTED_VALUE"""),"i")</f>
        <v>i</v>
      </c>
      <c r="L41" s="289" t="str">
        <f>IFERROR(__xludf.DUMMYFUNCTION("""COMPUTED_VALUE"""),"urtesky")</f>
        <v>urtesky</v>
      </c>
      <c r="M41" s="289"/>
      <c r="N41" s="289"/>
      <c r="O41" s="289"/>
      <c r="P41" s="289"/>
    </row>
    <row r="42">
      <c r="A42" s="270" t="s">
        <v>243</v>
      </c>
      <c r="B42" s="304" t="s">
        <v>308</v>
      </c>
      <c r="C42" s="305" t="str">
        <f t="shared" si="4"/>
        <v>Laks</v>
      </c>
      <c r="E42" s="296" t="s">
        <v>308</v>
      </c>
      <c r="F42" s="297">
        <f t="shared" si="5"/>
        <v>4</v>
      </c>
      <c r="H42" s="289">
        <f>IFERROR(__xludf.DUMMYFUNCTION("SPLIT(A42,"" |-"")"),565064.0)</f>
        <v>565064</v>
      </c>
      <c r="I42" s="290" t="str">
        <f>IFERROR(__xludf.DUMMYFUNCTION("""COMPUTED_VALUE"""),"Laks")</f>
        <v>Laks</v>
      </c>
      <c r="J42" s="289" t="str">
        <f>IFERROR(__xludf.DUMMYFUNCTION("""COMPUTED_VALUE"""),"i")</f>
        <v>i</v>
      </c>
      <c r="K42" s="289" t="str">
        <f>IFERROR(__xludf.DUMMYFUNCTION("""COMPUTED_VALUE"""),"senneps")</f>
        <v>senneps</v>
      </c>
      <c r="L42" s="289" t="str">
        <f>IFERROR(__xludf.DUMMYFUNCTION("""COMPUTED_VALUE"""),"dild")</f>
        <v>dild</v>
      </c>
      <c r="M42" s="289" t="str">
        <f>IFERROR(__xludf.DUMMYFUNCTION("""COMPUTED_VALUE"""),"sauce")</f>
        <v>sauce</v>
      </c>
      <c r="N42" s="289"/>
      <c r="O42" s="289"/>
      <c r="P42" s="289"/>
    </row>
    <row r="43">
      <c r="A43" s="270" t="s">
        <v>244</v>
      </c>
      <c r="B43" s="304"/>
      <c r="C43" s="305" t="str">
        <f t="shared" si="4"/>
        <v/>
      </c>
      <c r="E43" s="296" t="s">
        <v>309</v>
      </c>
      <c r="F43" s="297">
        <f t="shared" si="5"/>
        <v>2</v>
      </c>
      <c r="H43" s="289">
        <f>IFERROR(__xludf.DUMMYFUNCTION("SPLIT(A43,"" |-"")"),565178.0)</f>
        <v>565178</v>
      </c>
      <c r="I43" s="290" t="str">
        <f>IFERROR(__xludf.DUMMYFUNCTION("""COMPUTED_VALUE"""),"Vestfrikansk")</f>
        <v>Vestfrikansk</v>
      </c>
      <c r="J43" s="289" t="str">
        <f>IFERROR(__xludf.DUMMYFUNCTION("""COMPUTED_VALUE"""),"inspireret")</f>
        <v>inspireret</v>
      </c>
      <c r="K43" s="289" t="str">
        <f>IFERROR(__xludf.DUMMYFUNCTION("""COMPUTED_VALUE"""),"peanut")</f>
        <v>peanut</v>
      </c>
      <c r="L43" s="289" t="str">
        <f>IFERROR(__xludf.DUMMYFUNCTION("""COMPUTED_VALUE"""),"kyllingecurry")</f>
        <v>kyllingecurry</v>
      </c>
      <c r="M43" s="289"/>
      <c r="N43" s="289"/>
      <c r="O43" s="289"/>
      <c r="P43" s="289"/>
    </row>
    <row r="44">
      <c r="A44" s="270" t="s">
        <v>245</v>
      </c>
      <c r="B44" s="304" t="s">
        <v>308</v>
      </c>
      <c r="C44" s="305" t="str">
        <f t="shared" si="4"/>
        <v>Laks</v>
      </c>
      <c r="E44" s="296" t="s">
        <v>310</v>
      </c>
      <c r="F44" s="297">
        <f t="shared" si="5"/>
        <v>1</v>
      </c>
      <c r="H44" s="289">
        <f>IFERROR(__xludf.DUMMYFUNCTION("SPLIT(A44,"" |-"")"),565189.0)</f>
        <v>565189</v>
      </c>
      <c r="I44" s="290" t="str">
        <f>IFERROR(__xludf.DUMMYFUNCTION("""COMPUTED_VALUE"""),"Laks")</f>
        <v>Laks</v>
      </c>
      <c r="J44" s="289" t="str">
        <f>IFERROR(__xludf.DUMMYFUNCTION("""COMPUTED_VALUE"""),"Piccata")</f>
        <v>Piccata</v>
      </c>
      <c r="K44" s="289"/>
      <c r="L44" s="289"/>
      <c r="M44" s="289"/>
      <c r="N44" s="289"/>
      <c r="O44" s="289"/>
      <c r="P44" s="289"/>
    </row>
    <row r="45">
      <c r="A45" s="270" t="s">
        <v>246</v>
      </c>
      <c r="B45" s="304"/>
      <c r="C45" s="305" t="str">
        <f t="shared" si="4"/>
        <v>Kylling</v>
      </c>
      <c r="E45" s="296" t="s">
        <v>297</v>
      </c>
      <c r="F45" s="297">
        <f t="shared" si="5"/>
        <v>0</v>
      </c>
      <c r="H45" s="289">
        <f>IFERROR(__xludf.DUMMYFUNCTION("SPLIT(A45,"" |-"")"),565164.0)</f>
        <v>565164</v>
      </c>
      <c r="I45" s="290" t="str">
        <f>IFERROR(__xludf.DUMMYFUNCTION("""COMPUTED_VALUE"""),"Kylling")</f>
        <v>Kylling</v>
      </c>
      <c r="J45" s="289" t="str">
        <f>IFERROR(__xludf.DUMMYFUNCTION("""COMPUTED_VALUE"""),"i")</f>
        <v>i</v>
      </c>
      <c r="K45" s="289" t="str">
        <f>IFERROR(__xludf.DUMMYFUNCTION("""COMPUTED_VALUE"""),"Emmental")</f>
        <v>Emmental</v>
      </c>
      <c r="L45" s="289" t="str">
        <f>IFERROR(__xludf.DUMMYFUNCTION("""COMPUTED_VALUE"""),"fondue")</f>
        <v>fondue</v>
      </c>
      <c r="M45" s="289" t="str">
        <f>IFERROR(__xludf.DUMMYFUNCTION("""COMPUTED_VALUE"""),"med")</f>
        <v>med</v>
      </c>
      <c r="N45" s="289" t="str">
        <f>IFERROR(__xludf.DUMMYFUNCTION("""COMPUTED_VALUE"""),"karamelliseret")</f>
        <v>karamelliseret</v>
      </c>
      <c r="O45" s="289" t="str">
        <f>IFERROR(__xludf.DUMMYFUNCTION("""COMPUTED_VALUE"""),"løg")</f>
        <v>løg</v>
      </c>
      <c r="P45" s="289"/>
    </row>
    <row r="46">
      <c r="A46" s="270" t="s">
        <v>247</v>
      </c>
      <c r="B46" s="304"/>
      <c r="C46" s="305" t="str">
        <f t="shared" si="4"/>
        <v/>
      </c>
      <c r="E46" s="296" t="s">
        <v>311</v>
      </c>
      <c r="F46" s="297">
        <f t="shared" si="5"/>
        <v>0</v>
      </c>
      <c r="H46" s="289">
        <f>IFERROR(__xludf.DUMMYFUNCTION("SPLIT(A46,"" |-"")"),565043.0)</f>
        <v>565043</v>
      </c>
      <c r="I46" s="290" t="str">
        <f>IFERROR(__xludf.DUMMYFUNCTION("""COMPUTED_VALUE"""),"Spicy")</f>
        <v>Spicy</v>
      </c>
      <c r="J46" s="289" t="str">
        <f>IFERROR(__xludf.DUMMYFUNCTION("""COMPUTED_VALUE"""),"kylling")</f>
        <v>kylling</v>
      </c>
      <c r="K46" s="289" t="str">
        <f>IFERROR(__xludf.DUMMYFUNCTION("""COMPUTED_VALUE"""),"med")</f>
        <v>med</v>
      </c>
      <c r="L46" s="289" t="str">
        <f>IFERROR(__xludf.DUMMYFUNCTION("""COMPUTED_VALUE"""),"jalapeño,")</f>
        <v>jalapeño,</v>
      </c>
      <c r="M46" s="289" t="str">
        <f>IFERROR(__xludf.DUMMYFUNCTION("""COMPUTED_VALUE"""),"lime")</f>
        <v>lime</v>
      </c>
      <c r="N46" s="289" t="str">
        <f>IFERROR(__xludf.DUMMYFUNCTION("""COMPUTED_VALUE"""),"og")</f>
        <v>og</v>
      </c>
      <c r="O46" s="289" t="str">
        <f>IFERROR(__xludf.DUMMYFUNCTION("""COMPUTED_VALUE"""),"cheddar")</f>
        <v>cheddar</v>
      </c>
      <c r="P46" s="289"/>
    </row>
    <row r="47">
      <c r="A47" s="270" t="s">
        <v>248</v>
      </c>
      <c r="B47" s="304"/>
      <c r="C47" s="305" t="str">
        <f t="shared" si="4"/>
        <v>Cremet</v>
      </c>
      <c r="E47" s="298"/>
      <c r="F47" s="297"/>
      <c r="H47" s="289">
        <f>IFERROR(__xludf.DUMMYFUNCTION("SPLIT(A47,"" |-"")"),565244.0)</f>
        <v>565244</v>
      </c>
      <c r="I47" s="290" t="str">
        <f>IFERROR(__xludf.DUMMYFUNCTION("""COMPUTED_VALUE"""),"Cremet")</f>
        <v>Cremet</v>
      </c>
      <c r="J47" s="289" t="str">
        <f>IFERROR(__xludf.DUMMYFUNCTION("""COMPUTED_VALUE"""),"tomatrisotto")</f>
        <v>tomatrisotto</v>
      </c>
      <c r="K47" s="289"/>
      <c r="L47" s="289"/>
      <c r="M47" s="289"/>
      <c r="N47" s="289"/>
      <c r="O47" s="289"/>
      <c r="P47" s="289"/>
    </row>
    <row r="48">
      <c r="A48" s="270" t="s">
        <v>249</v>
      </c>
      <c r="B48" s="304"/>
      <c r="C48" s="305" t="str">
        <f t="shared" si="4"/>
        <v/>
      </c>
      <c r="E48" s="298"/>
      <c r="F48" s="297"/>
      <c r="H48" s="289">
        <f>IFERROR(__xludf.DUMMYFUNCTION("SPLIT(A48,"" |-"")"),565141.0)</f>
        <v>565141</v>
      </c>
      <c r="I48" s="290" t="str">
        <f>IFERROR(__xludf.DUMMYFUNCTION("""COMPUTED_VALUE"""),"Squash")</f>
        <v>Squash</v>
      </c>
      <c r="J48" s="289" t="str">
        <f>IFERROR(__xludf.DUMMYFUNCTION("""COMPUTED_VALUE"""),"og")</f>
        <v>og</v>
      </c>
      <c r="K48" s="289" t="str">
        <f>IFERROR(__xludf.DUMMYFUNCTION("""COMPUTED_VALUE"""),"peberfrugtsratatouille")</f>
        <v>peberfrugtsratatouille</v>
      </c>
      <c r="L48" s="289"/>
      <c r="M48" s="289"/>
      <c r="N48" s="289"/>
      <c r="O48" s="289"/>
      <c r="P48" s="289"/>
    </row>
    <row r="49">
      <c r="A49" s="270" t="s">
        <v>250</v>
      </c>
      <c r="B49" s="304" t="s">
        <v>309</v>
      </c>
      <c r="C49" s="305" t="str">
        <f t="shared" si="4"/>
        <v>Svinemørbrad</v>
      </c>
      <c r="E49" s="298"/>
      <c r="F49" s="297"/>
      <c r="H49" s="289">
        <f>IFERROR(__xludf.DUMMYFUNCTION("SPLIT(A49,"" |-"")"),565143.0)</f>
        <v>565143</v>
      </c>
      <c r="I49" s="290" t="str">
        <f>IFERROR(__xludf.DUMMYFUNCTION("""COMPUTED_VALUE"""),"Svinemørbrad")</f>
        <v>Svinemørbrad</v>
      </c>
      <c r="J49" s="289" t="str">
        <f>IFERROR(__xludf.DUMMYFUNCTION("""COMPUTED_VALUE"""),"i")</f>
        <v>i</v>
      </c>
      <c r="K49" s="289" t="str">
        <f>IFERROR(__xludf.DUMMYFUNCTION("""COMPUTED_VALUE"""),"cremet")</f>
        <v>cremet</v>
      </c>
      <c r="L49" s="289" t="str">
        <f>IFERROR(__xludf.DUMMYFUNCTION("""COMPUTED_VALUE"""),"hvidløgs")</f>
        <v>hvidløgs</v>
      </c>
      <c r="M49" s="289" t="str">
        <f>IFERROR(__xludf.DUMMYFUNCTION("""COMPUTED_VALUE"""),"og")</f>
        <v>og</v>
      </c>
      <c r="N49" s="289" t="str">
        <f>IFERROR(__xludf.DUMMYFUNCTION("""COMPUTED_VALUE"""),"sennepssauce")</f>
        <v>sennepssauce</v>
      </c>
      <c r="O49" s="289"/>
      <c r="P49" s="289"/>
    </row>
    <row r="50">
      <c r="A50" s="270" t="s">
        <v>251</v>
      </c>
      <c r="B50" s="304"/>
      <c r="C50" s="305" t="str">
        <f t="shared" si="4"/>
        <v>Laks</v>
      </c>
      <c r="E50" s="298"/>
      <c r="F50" s="297"/>
      <c r="H50" s="289">
        <f>IFERROR(__xludf.DUMMYFUNCTION("SPLIT(A50,"" |-"")"),565196.0)</f>
        <v>565196</v>
      </c>
      <c r="I50" s="290" t="str">
        <f>IFERROR(__xludf.DUMMYFUNCTION("""COMPUTED_VALUE"""),"Laks")</f>
        <v>Laks</v>
      </c>
      <c r="J50" s="289" t="str">
        <f>IFERROR(__xludf.DUMMYFUNCTION("""COMPUTED_VALUE"""),"med")</f>
        <v>med</v>
      </c>
      <c r="K50" s="289" t="str">
        <f>IFERROR(__xludf.DUMMYFUNCTION("""COMPUTED_VALUE"""),"aji")</f>
        <v>aji</v>
      </c>
      <c r="L50" s="289" t="str">
        <f>IFERROR(__xludf.DUMMYFUNCTION("""COMPUTED_VALUE"""),"verde")</f>
        <v>verde</v>
      </c>
      <c r="M50" s="289"/>
      <c r="N50" s="289"/>
      <c r="O50" s="289"/>
      <c r="P50" s="289"/>
    </row>
    <row r="51">
      <c r="A51" s="270" t="s">
        <v>252</v>
      </c>
      <c r="B51" s="304"/>
      <c r="C51" s="305" t="str">
        <f t="shared" si="4"/>
        <v/>
      </c>
      <c r="E51" s="298"/>
      <c r="F51" s="297"/>
      <c r="H51" s="289">
        <f>IFERROR(__xludf.DUMMYFUNCTION("SPLIT(A51,"" |-"")"),565130.0)</f>
        <v>565130</v>
      </c>
      <c r="I51" s="290" t="str">
        <f>IFERROR(__xludf.DUMMYFUNCTION("""COMPUTED_VALUE"""),"Chilikryddet")</f>
        <v>Chilikryddet</v>
      </c>
      <c r="J51" s="289" t="str">
        <f>IFERROR(__xludf.DUMMYFUNCTION("""COMPUTED_VALUE"""),"pulled")</f>
        <v>pulled</v>
      </c>
      <c r="K51" s="289" t="str">
        <f>IFERROR(__xludf.DUMMYFUNCTION("""COMPUTED_VALUE"""),"pork")</f>
        <v>pork</v>
      </c>
      <c r="L51" s="289"/>
      <c r="M51" s="289"/>
      <c r="N51" s="289"/>
      <c r="O51" s="289"/>
      <c r="P51" s="289"/>
    </row>
    <row r="52">
      <c r="A52" s="270" t="s">
        <v>253</v>
      </c>
      <c r="B52" s="304" t="s">
        <v>305</v>
      </c>
      <c r="C52" s="305" t="str">
        <f t="shared" si="4"/>
        <v>Grillet</v>
      </c>
      <c r="E52" s="298"/>
      <c r="F52" s="297"/>
      <c r="H52" s="289">
        <f>IFERROR(__xludf.DUMMYFUNCTION("SPLIT(A52,"" |-"")"),565211.0)</f>
        <v>565211</v>
      </c>
      <c r="I52" s="290" t="str">
        <f>IFERROR(__xludf.DUMMYFUNCTION("""COMPUTED_VALUE"""),"Grillet")</f>
        <v>Grillet</v>
      </c>
      <c r="J52" s="289" t="str">
        <f>IFERROR(__xludf.DUMMYFUNCTION("""COMPUTED_VALUE"""),"kylling")</f>
        <v>kylling</v>
      </c>
      <c r="K52" s="289" t="str">
        <f>IFERROR(__xludf.DUMMYFUNCTION("""COMPUTED_VALUE"""),"med")</f>
        <v>med</v>
      </c>
      <c r="L52" s="289" t="str">
        <f>IFERROR(__xludf.DUMMYFUNCTION("""COMPUTED_VALUE"""),"ingefær")</f>
        <v>ingefær</v>
      </c>
      <c r="M52" s="289" t="str">
        <f>IFERROR(__xludf.DUMMYFUNCTION("""COMPUTED_VALUE"""),"og")</f>
        <v>og</v>
      </c>
      <c r="N52" s="289" t="str">
        <f>IFERROR(__xludf.DUMMYFUNCTION("""COMPUTED_VALUE"""),"hvidløg")</f>
        <v>hvidløg</v>
      </c>
      <c r="O52" s="289"/>
      <c r="P52" s="289"/>
    </row>
    <row r="53">
      <c r="A53" s="270" t="s">
        <v>254</v>
      </c>
      <c r="B53" s="304"/>
      <c r="C53" s="305" t="str">
        <f t="shared" si="4"/>
        <v/>
      </c>
      <c r="E53" s="298"/>
      <c r="F53" s="297"/>
      <c r="H53" s="289">
        <f>IFERROR(__xludf.DUMMYFUNCTION("SPLIT(A53,"" |-"")"),565091.0)</f>
        <v>565091</v>
      </c>
      <c r="I53" s="290" t="str">
        <f>IFERROR(__xludf.DUMMYFUNCTION("""COMPUTED_VALUE"""),"Krydret")</f>
        <v>Krydret</v>
      </c>
      <c r="J53" s="289" t="str">
        <f>IFERROR(__xludf.DUMMYFUNCTION("""COMPUTED_VALUE"""),"hakket")</f>
        <v>hakket</v>
      </c>
      <c r="K53" s="289" t="str">
        <f>IFERROR(__xludf.DUMMYFUNCTION("""COMPUTED_VALUE"""),"oksekød")</f>
        <v>oksekød</v>
      </c>
      <c r="L53" s="289" t="str">
        <f>IFERROR(__xludf.DUMMYFUNCTION("""COMPUTED_VALUE"""),"med")</f>
        <v>med</v>
      </c>
      <c r="M53" s="289" t="str">
        <f>IFERROR(__xludf.DUMMYFUNCTION("""COMPUTED_VALUE"""),"jalapenos")</f>
        <v>jalapenos</v>
      </c>
      <c r="N53" s="289"/>
      <c r="O53" s="289"/>
      <c r="P53" s="289"/>
    </row>
    <row r="54">
      <c r="A54" s="270" t="s">
        <v>255</v>
      </c>
      <c r="B54" s="304" t="s">
        <v>308</v>
      </c>
      <c r="C54" s="305" t="str">
        <f t="shared" si="4"/>
        <v>Laks</v>
      </c>
      <c r="E54" s="298"/>
      <c r="F54" s="297"/>
      <c r="H54" s="289">
        <f>IFERROR(__xludf.DUMMYFUNCTION("SPLIT(A54,"" |-"")"),565221.0)</f>
        <v>565221</v>
      </c>
      <c r="I54" s="290" t="str">
        <f>IFERROR(__xludf.DUMMYFUNCTION("""COMPUTED_VALUE"""),"Laksebowl")</f>
        <v>Laksebowl</v>
      </c>
      <c r="J54" s="289" t="str">
        <f>IFERROR(__xludf.DUMMYFUNCTION("""COMPUTED_VALUE"""),"med")</f>
        <v>med</v>
      </c>
      <c r="K54" s="289" t="str">
        <f>IFERROR(__xludf.DUMMYFUNCTION("""COMPUTED_VALUE"""),"citrus")</f>
        <v>citrus</v>
      </c>
      <c r="L54" s="289" t="str">
        <f>IFERROR(__xludf.DUMMYFUNCTION("""COMPUTED_VALUE"""),"miso")</f>
        <v>miso</v>
      </c>
      <c r="M54" s="289"/>
      <c r="N54" s="289"/>
      <c r="O54" s="289"/>
      <c r="P54" s="289"/>
    </row>
    <row r="55">
      <c r="A55" s="270" t="s">
        <v>256</v>
      </c>
      <c r="B55" s="304"/>
      <c r="C55" s="305" t="str">
        <f t="shared" si="4"/>
        <v/>
      </c>
      <c r="E55" s="300"/>
      <c r="F55" s="306"/>
      <c r="H55" s="289">
        <f>IFERROR(__xludf.DUMMYFUNCTION("SPLIT(A55,"" |-"")"),565252.0)</f>
        <v>565252</v>
      </c>
      <c r="I55" s="290" t="str">
        <f>IFERROR(__xludf.DUMMYFUNCTION("""COMPUTED_VALUE"""),"Pasta")</f>
        <v>Pasta</v>
      </c>
      <c r="J55" s="289" t="str">
        <f>IFERROR(__xludf.DUMMYFUNCTION("""COMPUTED_VALUE"""),"med")</f>
        <v>med</v>
      </c>
      <c r="K55" s="289" t="str">
        <f>IFERROR(__xludf.DUMMYFUNCTION("""COMPUTED_VALUE"""),"oksekødsragù")</f>
        <v>oksekødsragù</v>
      </c>
      <c r="L55" s="289" t="str">
        <f>IFERROR(__xludf.DUMMYFUNCTION("""COMPUTED_VALUE"""),"og")</f>
        <v>og</v>
      </c>
      <c r="M55" s="289" t="str">
        <f>IFERROR(__xludf.DUMMYFUNCTION("""COMPUTED_VALUE"""),"soltørrede")</f>
        <v>soltørrede</v>
      </c>
      <c r="N55" s="289" t="str">
        <f>IFERROR(__xludf.DUMMYFUNCTION("""COMPUTED_VALUE"""),"tomater")</f>
        <v>tomater</v>
      </c>
      <c r="O55" s="289"/>
      <c r="P55" s="289"/>
    </row>
    <row r="56">
      <c r="A56" s="270" t="s">
        <v>257</v>
      </c>
      <c r="B56" s="304" t="s">
        <v>309</v>
      </c>
      <c r="C56" s="305" t="str">
        <f t="shared" si="4"/>
        <v>Svinemørbrad</v>
      </c>
      <c r="F56" s="303"/>
      <c r="H56" s="289">
        <f>IFERROR(__xludf.DUMMYFUNCTION("SPLIT(A56,"" |-"")"),565095.0)</f>
        <v>565095</v>
      </c>
      <c r="I56" s="290" t="str">
        <f>IFERROR(__xludf.DUMMYFUNCTION("""COMPUTED_VALUE"""),"Svinemørbrad")</f>
        <v>Svinemørbrad</v>
      </c>
      <c r="J56" s="289" t="str">
        <f>IFERROR(__xludf.DUMMYFUNCTION("""COMPUTED_VALUE"""),"i")</f>
        <v>i</v>
      </c>
      <c r="K56" s="289" t="str">
        <f>IFERROR(__xludf.DUMMYFUNCTION("""COMPUTED_VALUE"""),"ancho")</f>
        <v>ancho</v>
      </c>
      <c r="L56" s="289" t="str">
        <f>IFERROR(__xludf.DUMMYFUNCTION("""COMPUTED_VALUE"""),"og")</f>
        <v>og</v>
      </c>
      <c r="M56" s="289" t="str">
        <f>IFERROR(__xludf.DUMMYFUNCTION("""COMPUTED_VALUE"""),"chilisauce")</f>
        <v>chilisauce</v>
      </c>
      <c r="N56" s="289"/>
      <c r="O56" s="289"/>
      <c r="P56" s="289"/>
    </row>
    <row r="57">
      <c r="A57" s="270" t="s">
        <v>312</v>
      </c>
      <c r="B57" s="304" t="s">
        <v>305</v>
      </c>
      <c r="C57" s="305" t="str">
        <f t="shared" si="4"/>
        <v>Grillet</v>
      </c>
      <c r="F57" s="303"/>
      <c r="H57" s="289">
        <f>IFERROR(__xludf.DUMMYFUNCTION("SPLIT(A57,"" |-"")"),565119.0)</f>
        <v>565119</v>
      </c>
      <c r="I57" s="290" t="str">
        <f>IFERROR(__xludf.DUMMYFUNCTION("""COMPUTED_VALUE"""),"Grillet")</f>
        <v>Grillet</v>
      </c>
      <c r="J57" s="289" t="str">
        <f>IFERROR(__xludf.DUMMYFUNCTION("""COMPUTED_VALUE"""),"kylling")</f>
        <v>kylling</v>
      </c>
      <c r="K57" s="289" t="str">
        <f>IFERROR(__xludf.DUMMYFUNCTION("""COMPUTED_VALUE"""),"med")</f>
        <v>med</v>
      </c>
      <c r="L57" s="289" t="str">
        <f>IFERROR(__xludf.DUMMYFUNCTION("""COMPUTED_VALUE"""),"hvidlød")</f>
        <v>hvidlød</v>
      </c>
      <c r="M57" s="289" t="str">
        <f>IFERROR(__xludf.DUMMYFUNCTION("""COMPUTED_VALUE"""),"og")</f>
        <v>og</v>
      </c>
      <c r="N57" s="289" t="str">
        <f>IFERROR(__xludf.DUMMYFUNCTION("""COMPUTED_VALUE"""),"urter")</f>
        <v>urter</v>
      </c>
      <c r="O57" s="289"/>
      <c r="P57" s="289"/>
    </row>
    <row r="58" hidden="1">
      <c r="A58" s="270"/>
      <c r="B58" s="304"/>
      <c r="C58" s="305" t="str">
        <f t="shared" si="4"/>
        <v/>
      </c>
      <c r="F58" s="303"/>
      <c r="H58" s="289"/>
      <c r="I58" s="290"/>
      <c r="J58" s="289"/>
      <c r="K58" s="289"/>
      <c r="L58" s="289"/>
      <c r="M58" s="289"/>
      <c r="N58" s="289"/>
      <c r="O58" s="289"/>
      <c r="P58" s="289"/>
    </row>
    <row r="59" hidden="1">
      <c r="A59" s="270"/>
      <c r="B59" s="304"/>
      <c r="C59" s="305" t="str">
        <f t="shared" si="4"/>
        <v/>
      </c>
      <c r="F59" s="303"/>
      <c r="H59" s="289"/>
      <c r="I59" s="290"/>
      <c r="J59" s="289"/>
      <c r="K59" s="289"/>
      <c r="L59" s="289"/>
      <c r="M59" s="289"/>
      <c r="N59" s="289"/>
      <c r="O59" s="289"/>
      <c r="P59" s="289"/>
    </row>
    <row r="60" hidden="1">
      <c r="A60" s="270"/>
      <c r="B60" s="304"/>
      <c r="C60" s="305" t="str">
        <f t="shared" si="4"/>
        <v/>
      </c>
      <c r="F60" s="303"/>
      <c r="H60" s="289"/>
      <c r="I60" s="290"/>
      <c r="J60" s="289"/>
      <c r="K60" s="289"/>
      <c r="L60" s="289"/>
      <c r="M60" s="289"/>
      <c r="N60" s="289"/>
      <c r="O60" s="289"/>
      <c r="P60" s="289"/>
    </row>
    <row r="61" hidden="1">
      <c r="A61" s="270"/>
      <c r="B61" s="304"/>
      <c r="C61" s="305" t="str">
        <f t="shared" si="4"/>
        <v/>
      </c>
      <c r="F61" s="303"/>
      <c r="H61" s="289"/>
      <c r="I61" s="290"/>
      <c r="J61" s="289"/>
      <c r="K61" s="289"/>
      <c r="L61" s="289"/>
      <c r="M61" s="289"/>
      <c r="N61" s="289"/>
      <c r="O61" s="289"/>
      <c r="P61" s="289"/>
    </row>
    <row r="62" hidden="1">
      <c r="A62" s="270"/>
      <c r="B62" s="304"/>
      <c r="C62" s="305" t="str">
        <f t="shared" si="4"/>
        <v/>
      </c>
      <c r="F62" s="303"/>
      <c r="H62" s="289"/>
      <c r="I62" s="290"/>
      <c r="J62" s="289"/>
      <c r="K62" s="289"/>
      <c r="L62" s="289"/>
      <c r="M62" s="289"/>
      <c r="N62" s="289"/>
      <c r="O62" s="289"/>
      <c r="P62" s="289"/>
    </row>
    <row r="63" hidden="1">
      <c r="A63" s="270"/>
      <c r="B63" s="304"/>
      <c r="C63" s="305" t="str">
        <f t="shared" si="4"/>
        <v/>
      </c>
      <c r="F63" s="303"/>
      <c r="H63" s="289"/>
      <c r="I63" s="290"/>
      <c r="J63" s="289"/>
      <c r="K63" s="289"/>
      <c r="L63" s="289"/>
      <c r="M63" s="289"/>
      <c r="N63" s="289"/>
      <c r="O63" s="289"/>
      <c r="P63" s="289"/>
    </row>
    <row r="64" hidden="1">
      <c r="A64" s="270"/>
      <c r="B64" s="304"/>
      <c r="C64" s="305" t="str">
        <f t="shared" si="4"/>
        <v/>
      </c>
      <c r="F64" s="303"/>
      <c r="H64" s="289"/>
      <c r="I64" s="290"/>
      <c r="J64" s="289"/>
      <c r="K64" s="289"/>
      <c r="L64" s="289"/>
      <c r="M64" s="289"/>
      <c r="N64" s="289"/>
      <c r="O64" s="289"/>
      <c r="P64" s="289"/>
    </row>
    <row r="65" hidden="1">
      <c r="A65" s="270"/>
      <c r="B65" s="304"/>
      <c r="C65" s="305" t="str">
        <f t="shared" si="4"/>
        <v/>
      </c>
      <c r="F65" s="303"/>
      <c r="H65" s="289"/>
      <c r="I65" s="290"/>
      <c r="J65" s="289"/>
      <c r="K65" s="289"/>
      <c r="L65" s="289"/>
      <c r="M65" s="289"/>
      <c r="N65" s="289"/>
      <c r="O65" s="289"/>
      <c r="P65" s="289"/>
    </row>
    <row r="66" hidden="1">
      <c r="A66" s="270"/>
      <c r="B66" s="304"/>
      <c r="C66" s="305" t="str">
        <f t="shared" si="4"/>
        <v/>
      </c>
      <c r="F66" s="303"/>
      <c r="H66" s="289"/>
      <c r="I66" s="290"/>
      <c r="J66" s="289"/>
      <c r="K66" s="289"/>
      <c r="L66" s="289"/>
      <c r="M66" s="289"/>
      <c r="N66" s="289"/>
      <c r="O66" s="289"/>
      <c r="P66" s="289"/>
    </row>
    <row r="67" hidden="1">
      <c r="A67" s="270"/>
      <c r="B67" s="304"/>
      <c r="C67" s="305" t="str">
        <f t="shared" si="4"/>
        <v/>
      </c>
      <c r="F67" s="303"/>
      <c r="H67" s="289"/>
      <c r="I67" s="290"/>
      <c r="J67" s="289"/>
      <c r="K67" s="289"/>
      <c r="L67" s="289"/>
      <c r="M67" s="289"/>
      <c r="N67" s="289"/>
      <c r="O67" s="289"/>
      <c r="P67" s="289"/>
    </row>
    <row r="68" hidden="1">
      <c r="A68" s="270"/>
      <c r="B68" s="304"/>
      <c r="C68" s="305" t="str">
        <f t="shared" si="4"/>
        <v/>
      </c>
      <c r="F68" s="303"/>
      <c r="H68" s="289"/>
      <c r="I68" s="290"/>
      <c r="J68" s="289"/>
      <c r="K68" s="289"/>
      <c r="L68" s="289"/>
      <c r="M68" s="289"/>
      <c r="N68" s="289"/>
      <c r="O68" s="289"/>
      <c r="P68" s="289"/>
    </row>
    <row r="69" hidden="1">
      <c r="A69" s="270"/>
      <c r="B69" s="304"/>
      <c r="C69" s="305" t="str">
        <f t="shared" si="4"/>
        <v/>
      </c>
      <c r="F69" s="303"/>
      <c r="H69" s="289"/>
      <c r="I69" s="290"/>
      <c r="J69" s="289"/>
      <c r="K69" s="289"/>
      <c r="L69" s="289"/>
      <c r="M69" s="289"/>
      <c r="N69" s="289"/>
      <c r="O69" s="289"/>
      <c r="P69" s="289"/>
    </row>
    <row r="70" hidden="1">
      <c r="A70" s="270"/>
      <c r="B70" s="304"/>
      <c r="C70" s="305" t="str">
        <f t="shared" si="4"/>
        <v/>
      </c>
      <c r="F70" s="303"/>
      <c r="H70" s="289"/>
      <c r="I70" s="290"/>
      <c r="J70" s="289"/>
      <c r="K70" s="289"/>
      <c r="L70" s="289"/>
      <c r="M70" s="289"/>
      <c r="N70" s="289"/>
      <c r="O70" s="289"/>
      <c r="P70" s="289"/>
    </row>
    <row r="71" hidden="1">
      <c r="A71" s="270"/>
      <c r="B71" s="304"/>
      <c r="C71" s="305" t="str">
        <f t="shared" si="4"/>
        <v/>
      </c>
      <c r="F71" s="303"/>
      <c r="H71" s="289"/>
      <c r="I71" s="290"/>
      <c r="J71" s="289"/>
      <c r="K71" s="289"/>
      <c r="L71" s="289"/>
      <c r="M71" s="289"/>
      <c r="N71" s="289"/>
      <c r="O71" s="289"/>
      <c r="P71" s="289"/>
    </row>
    <row r="72" hidden="1">
      <c r="A72" s="270"/>
      <c r="B72" s="304"/>
      <c r="C72" s="305" t="str">
        <f t="shared" si="4"/>
        <v/>
      </c>
      <c r="F72" s="303"/>
      <c r="H72" s="289"/>
      <c r="I72" s="290"/>
      <c r="J72" s="289"/>
      <c r="K72" s="289"/>
      <c r="L72" s="289"/>
      <c r="M72" s="289"/>
      <c r="N72" s="289"/>
      <c r="O72" s="289"/>
      <c r="P72" s="289"/>
    </row>
    <row r="73">
      <c r="A73" s="307" t="s">
        <v>302</v>
      </c>
      <c r="B73" s="302"/>
      <c r="C73" s="302" t="str">
        <f t="shared" ref="C73:C75" si="6">IFERROR(INDEX($E$38:$E$55, MATCH(TRUE, ISNUMBER(SEARCH($E$38:$E$55, I73)), 0)), "")</f>
        <v/>
      </c>
      <c r="F73" s="303"/>
      <c r="H73" s="289">
        <f>IFERROR(__xludf.DUMMYFUNCTION("SPLIT(A73,"" |-"")"),805.0)</f>
        <v>805</v>
      </c>
      <c r="I73" s="290" t="str">
        <f>IFERROR(__xludf.DUMMYFUNCTION("""COMPUTED_VALUE"""),"FACTOR_")</f>
        <v>FACTOR_</v>
      </c>
      <c r="J73" s="289" t="str">
        <f>IFERROR(__xludf.DUMMYFUNCTION("""COMPUTED_VALUE"""),"Ginger")</f>
        <v>Ginger</v>
      </c>
      <c r="K73" s="289" t="str">
        <f>IFERROR(__xludf.DUMMYFUNCTION("""COMPUTED_VALUE"""),"Lemon")</f>
        <v>Lemon</v>
      </c>
      <c r="L73" s="289" t="str">
        <f>IFERROR(__xludf.DUMMYFUNCTION("""COMPUTED_VALUE"""),"Apple")</f>
        <v>Apple</v>
      </c>
      <c r="M73" s="289" t="str">
        <f>IFERROR(__xludf.DUMMYFUNCTION("""COMPUTED_VALUE"""),"Wellness")</f>
        <v>Wellness</v>
      </c>
      <c r="N73" s="289" t="str">
        <f>IFERROR(__xludf.DUMMYFUNCTION("""COMPUTED_VALUE"""),"Shot")</f>
        <v>Shot</v>
      </c>
      <c r="O73" s="289"/>
      <c r="P73" s="289"/>
    </row>
    <row r="74">
      <c r="A74" s="307" t="s">
        <v>303</v>
      </c>
      <c r="B74" s="302"/>
      <c r="C74" s="302" t="str">
        <f t="shared" si="6"/>
        <v/>
      </c>
      <c r="F74" s="303"/>
      <c r="H74" s="289">
        <f>IFERROR(__xludf.DUMMYFUNCTION("SPLIT(A74,"" |-"")"),809.0)</f>
        <v>809</v>
      </c>
      <c r="I74" s="290" t="str">
        <f>IFERROR(__xludf.DUMMYFUNCTION("""COMPUTED_VALUE"""),"FACTOR_")</f>
        <v>FACTOR_</v>
      </c>
      <c r="J74" s="289" t="str">
        <f>IFERROR(__xludf.DUMMYFUNCTION("""COMPUTED_VALUE"""),"Spirulina")</f>
        <v>Spirulina</v>
      </c>
      <c r="K74" s="289" t="str">
        <f>IFERROR(__xludf.DUMMYFUNCTION("""COMPUTED_VALUE"""),"Ginger")</f>
        <v>Ginger</v>
      </c>
      <c r="L74" s="289" t="str">
        <f>IFERROR(__xludf.DUMMYFUNCTION("""COMPUTED_VALUE"""),"Lime")</f>
        <v>Lime</v>
      </c>
      <c r="M74" s="289" t="str">
        <f>IFERROR(__xludf.DUMMYFUNCTION("""COMPUTED_VALUE"""),"Ginger")</f>
        <v>Ginger</v>
      </c>
      <c r="N74" s="289" t="str">
        <f>IFERROR(__xludf.DUMMYFUNCTION("""COMPUTED_VALUE"""),"Shot")</f>
        <v>Shot</v>
      </c>
      <c r="O74" s="289"/>
      <c r="P74" s="289"/>
    </row>
    <row r="75">
      <c r="A75" s="307" t="s">
        <v>304</v>
      </c>
      <c r="B75" s="302"/>
      <c r="C75" s="302" t="str">
        <f t="shared" si="6"/>
        <v/>
      </c>
      <c r="F75" s="303"/>
      <c r="H75" s="289">
        <f>IFERROR(__xludf.DUMMYFUNCTION("SPLIT(A75,"" |-"")"),810.0)</f>
        <v>810</v>
      </c>
      <c r="I75" s="290" t="str">
        <f>IFERROR(__xludf.DUMMYFUNCTION("""COMPUTED_VALUE"""),"FACTOR_")</f>
        <v>FACTOR_</v>
      </c>
      <c r="J75" s="289" t="str">
        <f>IFERROR(__xludf.DUMMYFUNCTION("""COMPUTED_VALUE"""),"Turmeric")</f>
        <v>Turmeric</v>
      </c>
      <c r="K75" s="289" t="str">
        <f>IFERROR(__xludf.DUMMYFUNCTION("""COMPUTED_VALUE"""),"Cayenne")</f>
        <v>Cayenne</v>
      </c>
      <c r="L75" s="289" t="str">
        <f>IFERROR(__xludf.DUMMYFUNCTION("""COMPUTED_VALUE"""),"Pineapple")</f>
        <v>Pineapple</v>
      </c>
      <c r="M75" s="289" t="str">
        <f>IFERROR(__xludf.DUMMYFUNCTION("""COMPUTED_VALUE"""),"Ginger")</f>
        <v>Ginger</v>
      </c>
      <c r="N75" s="289" t="str">
        <f>IFERROR(__xludf.DUMMYFUNCTION("""COMPUTED_VALUE"""),"Shot")</f>
        <v>Shot</v>
      </c>
      <c r="O75" s="289"/>
      <c r="P75" s="289"/>
    </row>
    <row r="76">
      <c r="A76" s="4"/>
      <c r="B76" s="303"/>
      <c r="F76" s="303"/>
      <c r="H76" s="289"/>
      <c r="I76" s="290"/>
      <c r="J76" s="289"/>
      <c r="K76" s="289"/>
      <c r="L76" s="289"/>
      <c r="M76" s="289"/>
      <c r="N76" s="289"/>
      <c r="O76" s="289"/>
      <c r="P76" s="289"/>
    </row>
    <row r="77">
      <c r="A77" s="4"/>
      <c r="B77" s="303"/>
      <c r="F77" s="303"/>
      <c r="H77" s="289"/>
      <c r="I77" s="290"/>
      <c r="J77" s="289"/>
      <c r="K77" s="289"/>
      <c r="L77" s="289"/>
      <c r="M77" s="289"/>
      <c r="N77" s="289"/>
      <c r="O77" s="289"/>
      <c r="P77" s="289"/>
    </row>
    <row r="78">
      <c r="A78" s="4"/>
      <c r="B78" s="303"/>
      <c r="F78" s="303"/>
      <c r="H78" s="289"/>
      <c r="I78" s="290"/>
      <c r="J78" s="289"/>
      <c r="K78" s="289"/>
      <c r="L78" s="289"/>
      <c r="M78" s="289"/>
      <c r="N78" s="289"/>
      <c r="O78" s="289"/>
      <c r="P78" s="289"/>
    </row>
    <row r="79">
      <c r="A79" s="4"/>
      <c r="B79" s="303"/>
      <c r="F79" s="303"/>
      <c r="H79" s="289"/>
      <c r="I79" s="290"/>
      <c r="J79" s="289"/>
      <c r="K79" s="289"/>
      <c r="L79" s="289"/>
      <c r="M79" s="289"/>
      <c r="N79" s="289"/>
      <c r="O79" s="289"/>
      <c r="P79" s="289"/>
    </row>
    <row r="80">
      <c r="A80" s="4"/>
      <c r="B80" s="303"/>
      <c r="F80" s="303"/>
      <c r="H80" s="289"/>
      <c r="I80" s="290"/>
      <c r="J80" s="289"/>
      <c r="K80" s="289"/>
      <c r="L80" s="289"/>
      <c r="M80" s="289"/>
      <c r="N80" s="289"/>
      <c r="O80" s="289"/>
      <c r="P80" s="289"/>
    </row>
    <row r="81">
      <c r="A81" s="4"/>
      <c r="B81" s="303"/>
      <c r="F81" s="303"/>
      <c r="H81" s="289"/>
      <c r="I81" s="290"/>
      <c r="J81" s="289"/>
      <c r="K81" s="289"/>
      <c r="L81" s="289"/>
      <c r="M81" s="289"/>
      <c r="N81" s="289"/>
      <c r="O81" s="289"/>
      <c r="P81" s="289"/>
    </row>
    <row r="82">
      <c r="A82" s="4"/>
      <c r="B82" s="303"/>
      <c r="F82" s="303"/>
      <c r="H82" s="289"/>
      <c r="I82" s="290"/>
      <c r="J82" s="289"/>
      <c r="K82" s="289"/>
      <c r="L82" s="289"/>
      <c r="M82" s="289"/>
      <c r="N82" s="289"/>
      <c r="O82" s="289"/>
      <c r="P82" s="289"/>
    </row>
    <row r="83">
      <c r="A83" s="4"/>
      <c r="B83" s="303"/>
      <c r="F83" s="303"/>
      <c r="H83" s="289"/>
      <c r="I83" s="290"/>
      <c r="J83" s="289"/>
      <c r="K83" s="289"/>
      <c r="L83" s="289"/>
      <c r="M83" s="289"/>
      <c r="N83" s="289"/>
      <c r="O83" s="289"/>
      <c r="P83" s="289"/>
    </row>
    <row r="84">
      <c r="A84" s="4"/>
      <c r="B84" s="303"/>
      <c r="F84" s="303"/>
      <c r="H84" s="289"/>
      <c r="I84" s="290"/>
      <c r="J84" s="289"/>
      <c r="K84" s="289"/>
      <c r="L84" s="289"/>
      <c r="M84" s="289"/>
      <c r="N84" s="289"/>
      <c r="O84" s="289"/>
      <c r="P84" s="289"/>
    </row>
    <row r="85">
      <c r="A85" s="4"/>
      <c r="B85" s="303"/>
      <c r="F85" s="303"/>
      <c r="H85" s="289"/>
      <c r="I85" s="290"/>
      <c r="J85" s="289"/>
      <c r="K85" s="289"/>
      <c r="L85" s="289"/>
      <c r="M85" s="289"/>
      <c r="N85" s="289"/>
      <c r="O85" s="289"/>
      <c r="P85" s="289"/>
    </row>
    <row r="86">
      <c r="A86" s="4"/>
      <c r="B86" s="303"/>
      <c r="F86" s="303"/>
      <c r="H86" s="289"/>
      <c r="I86" s="290"/>
      <c r="J86" s="289"/>
      <c r="K86" s="289"/>
      <c r="L86" s="289"/>
      <c r="M86" s="289"/>
      <c r="N86" s="289"/>
      <c r="O86" s="289"/>
      <c r="P86" s="289"/>
    </row>
    <row r="87">
      <c r="A87" s="4"/>
      <c r="B87" s="303"/>
      <c r="F87" s="303"/>
      <c r="H87" s="289"/>
      <c r="I87" s="290"/>
      <c r="J87" s="289"/>
      <c r="K87" s="289"/>
      <c r="L87" s="289"/>
      <c r="M87" s="289"/>
      <c r="N87" s="289"/>
      <c r="O87" s="289"/>
      <c r="P87" s="289"/>
    </row>
    <row r="88">
      <c r="A88" s="4"/>
      <c r="B88" s="303"/>
      <c r="F88" s="303"/>
      <c r="H88" s="289"/>
      <c r="I88" s="290"/>
      <c r="J88" s="289"/>
      <c r="K88" s="289"/>
      <c r="L88" s="289"/>
      <c r="M88" s="289"/>
      <c r="N88" s="289"/>
      <c r="O88" s="289"/>
      <c r="P88" s="289"/>
    </row>
    <row r="89">
      <c r="A89" s="4"/>
      <c r="B89" s="303"/>
      <c r="F89" s="303"/>
      <c r="H89" s="289"/>
      <c r="I89" s="290"/>
      <c r="J89" s="289"/>
      <c r="K89" s="289"/>
      <c r="L89" s="289"/>
      <c r="M89" s="289"/>
      <c r="N89" s="289"/>
      <c r="O89" s="289"/>
      <c r="P89" s="289"/>
    </row>
    <row r="90">
      <c r="A90" s="4"/>
      <c r="B90" s="303"/>
      <c r="F90" s="303"/>
      <c r="H90" s="289"/>
      <c r="I90" s="290"/>
      <c r="J90" s="289"/>
      <c r="K90" s="289"/>
      <c r="L90" s="289"/>
      <c r="M90" s="289"/>
      <c r="N90" s="289"/>
      <c r="O90" s="289"/>
      <c r="P90" s="289"/>
    </row>
    <row r="91">
      <c r="A91" s="4"/>
      <c r="B91" s="303"/>
      <c r="F91" s="303"/>
      <c r="H91" s="289"/>
      <c r="I91" s="290"/>
      <c r="J91" s="289"/>
      <c r="K91" s="289"/>
      <c r="L91" s="289"/>
      <c r="M91" s="289"/>
      <c r="N91" s="289"/>
      <c r="O91" s="289"/>
      <c r="P91" s="289"/>
    </row>
    <row r="92">
      <c r="A92" s="4"/>
      <c r="B92" s="303"/>
      <c r="F92" s="303"/>
      <c r="H92" s="289"/>
      <c r="I92" s="290"/>
      <c r="J92" s="289"/>
      <c r="K92" s="289"/>
      <c r="L92" s="289"/>
      <c r="M92" s="289"/>
      <c r="N92" s="289"/>
      <c r="O92" s="289"/>
      <c r="P92" s="289"/>
    </row>
    <row r="93">
      <c r="A93" s="4"/>
      <c r="B93" s="303"/>
      <c r="F93" s="303"/>
      <c r="H93" s="289"/>
      <c r="I93" s="290"/>
      <c r="J93" s="289"/>
      <c r="K93" s="289"/>
      <c r="L93" s="289"/>
      <c r="M93" s="289"/>
      <c r="N93" s="289"/>
      <c r="O93" s="289"/>
      <c r="P93" s="289"/>
    </row>
    <row r="94">
      <c r="A94" s="4"/>
      <c r="B94" s="303"/>
      <c r="F94" s="303"/>
      <c r="H94" s="289"/>
      <c r="I94" s="290"/>
      <c r="J94" s="289"/>
      <c r="K94" s="289"/>
      <c r="L94" s="289"/>
      <c r="M94" s="289"/>
      <c r="N94" s="289"/>
      <c r="O94" s="289"/>
      <c r="P94" s="289"/>
    </row>
    <row r="95">
      <c r="A95" s="4"/>
      <c r="B95" s="303"/>
      <c r="F95" s="303"/>
      <c r="H95" s="289"/>
      <c r="I95" s="290"/>
      <c r="J95" s="289"/>
      <c r="K95" s="289"/>
      <c r="L95" s="289"/>
      <c r="M95" s="289"/>
      <c r="N95" s="289"/>
      <c r="O95" s="289"/>
      <c r="P95" s="289"/>
    </row>
    <row r="96">
      <c r="A96" s="4"/>
      <c r="B96" s="303"/>
      <c r="F96" s="303"/>
      <c r="H96" s="289"/>
      <c r="I96" s="290"/>
      <c r="J96" s="289"/>
      <c r="K96" s="289"/>
      <c r="L96" s="289"/>
      <c r="M96" s="289"/>
      <c r="N96" s="289"/>
      <c r="O96" s="289"/>
      <c r="P96" s="289"/>
    </row>
    <row r="97">
      <c r="A97" s="4"/>
      <c r="B97" s="303"/>
      <c r="F97" s="303"/>
      <c r="H97" s="289"/>
      <c r="I97" s="290"/>
      <c r="J97" s="289"/>
      <c r="K97" s="289"/>
      <c r="L97" s="289"/>
      <c r="M97" s="289"/>
      <c r="N97" s="289"/>
      <c r="O97" s="289"/>
      <c r="P97" s="289"/>
    </row>
    <row r="98">
      <c r="A98" s="4"/>
      <c r="B98" s="303"/>
      <c r="F98" s="303"/>
      <c r="H98" s="289"/>
      <c r="I98" s="290"/>
      <c r="J98" s="289"/>
      <c r="K98" s="289"/>
      <c r="L98" s="289"/>
      <c r="M98" s="289"/>
      <c r="N98" s="289"/>
      <c r="O98" s="289"/>
      <c r="P98" s="289"/>
    </row>
    <row r="99">
      <c r="A99" s="4"/>
      <c r="B99" s="303"/>
      <c r="F99" s="303"/>
      <c r="H99" s="289"/>
      <c r="I99" s="290"/>
      <c r="J99" s="289"/>
      <c r="K99" s="289"/>
      <c r="L99" s="289"/>
      <c r="M99" s="289"/>
      <c r="N99" s="289"/>
      <c r="O99" s="289"/>
      <c r="P99" s="289"/>
    </row>
    <row r="100">
      <c r="A100" s="4"/>
      <c r="B100" s="303"/>
      <c r="F100" s="303"/>
      <c r="H100" s="289"/>
      <c r="I100" s="290"/>
      <c r="J100" s="289"/>
      <c r="K100" s="289"/>
      <c r="L100" s="289"/>
      <c r="M100" s="289"/>
      <c r="N100" s="289"/>
      <c r="O100" s="289"/>
      <c r="P100" s="289"/>
    </row>
    <row r="101">
      <c r="A101" s="4"/>
      <c r="B101" s="303"/>
      <c r="F101" s="303"/>
      <c r="H101" s="289"/>
      <c r="I101" s="290"/>
      <c r="J101" s="289"/>
      <c r="K101" s="289"/>
      <c r="L101" s="289"/>
      <c r="M101" s="289"/>
      <c r="N101" s="289"/>
      <c r="O101" s="289"/>
      <c r="P101" s="289"/>
    </row>
    <row r="102">
      <c r="A102" s="4"/>
      <c r="B102" s="303"/>
      <c r="F102" s="303"/>
      <c r="H102" s="289"/>
      <c r="I102" s="290"/>
      <c r="J102" s="289"/>
      <c r="K102" s="289"/>
      <c r="L102" s="289"/>
      <c r="M102" s="289"/>
      <c r="N102" s="289"/>
      <c r="O102" s="289"/>
      <c r="P102" s="289"/>
    </row>
    <row r="103">
      <c r="A103" s="4"/>
      <c r="B103" s="303"/>
      <c r="F103" s="303"/>
      <c r="H103" s="289"/>
      <c r="I103" s="290"/>
      <c r="J103" s="289"/>
      <c r="K103" s="289"/>
      <c r="L103" s="289"/>
      <c r="M103" s="289"/>
      <c r="N103" s="289"/>
      <c r="O103" s="289"/>
      <c r="P103" s="289"/>
    </row>
    <row r="104">
      <c r="A104" s="4"/>
      <c r="B104" s="303"/>
      <c r="F104" s="303"/>
      <c r="H104" s="289"/>
      <c r="I104" s="290"/>
      <c r="J104" s="289"/>
      <c r="K104" s="289"/>
      <c r="L104" s="289"/>
      <c r="M104" s="289"/>
      <c r="N104" s="289"/>
      <c r="O104" s="289"/>
      <c r="P104" s="289"/>
    </row>
    <row r="105">
      <c r="A105" s="4"/>
      <c r="B105" s="303"/>
      <c r="F105" s="303"/>
      <c r="H105" s="289"/>
      <c r="I105" s="290"/>
      <c r="J105" s="289"/>
      <c r="K105" s="289"/>
      <c r="L105" s="289"/>
      <c r="M105" s="289"/>
      <c r="N105" s="289"/>
      <c r="O105" s="289"/>
      <c r="P105" s="289"/>
    </row>
    <row r="106">
      <c r="A106" s="4"/>
      <c r="B106" s="303"/>
      <c r="F106" s="303"/>
      <c r="H106" s="289"/>
      <c r="I106" s="290"/>
      <c r="J106" s="289"/>
      <c r="K106" s="289"/>
      <c r="L106" s="289"/>
      <c r="M106" s="289"/>
      <c r="N106" s="289"/>
      <c r="O106" s="289"/>
      <c r="P106" s="289"/>
    </row>
    <row r="107">
      <c r="A107" s="4"/>
      <c r="B107" s="303"/>
      <c r="F107" s="303"/>
      <c r="H107" s="289"/>
      <c r="I107" s="290"/>
      <c r="J107" s="289"/>
      <c r="K107" s="289"/>
      <c r="L107" s="289"/>
      <c r="M107" s="289"/>
      <c r="N107" s="289"/>
      <c r="O107" s="289"/>
      <c r="P107" s="289"/>
    </row>
    <row r="108">
      <c r="A108" s="4"/>
      <c r="B108" s="303"/>
      <c r="F108" s="303"/>
      <c r="H108" s="289"/>
      <c r="I108" s="290"/>
      <c r="J108" s="289"/>
      <c r="K108" s="289"/>
      <c r="L108" s="289"/>
      <c r="M108" s="289"/>
      <c r="N108" s="289"/>
      <c r="O108" s="289"/>
      <c r="P108" s="289"/>
    </row>
    <row r="109">
      <c r="A109" s="4"/>
      <c r="B109" s="303"/>
      <c r="F109" s="303"/>
      <c r="H109" s="289"/>
      <c r="I109" s="290"/>
      <c r="J109" s="289"/>
      <c r="K109" s="289"/>
      <c r="L109" s="289"/>
      <c r="M109" s="289"/>
      <c r="N109" s="289"/>
      <c r="O109" s="289"/>
      <c r="P109" s="289"/>
    </row>
    <row r="110">
      <c r="A110" s="4"/>
      <c r="B110" s="303"/>
      <c r="F110" s="303"/>
      <c r="H110" s="289"/>
      <c r="I110" s="290"/>
      <c r="J110" s="289"/>
      <c r="K110" s="289"/>
      <c r="L110" s="289"/>
      <c r="M110" s="289"/>
      <c r="N110" s="289"/>
      <c r="O110" s="289"/>
      <c r="P110" s="289"/>
    </row>
    <row r="111">
      <c r="A111" s="4"/>
      <c r="B111" s="303"/>
      <c r="F111" s="303"/>
      <c r="H111" s="289"/>
      <c r="I111" s="290"/>
      <c r="J111" s="289"/>
      <c r="K111" s="289"/>
      <c r="L111" s="289"/>
      <c r="M111" s="289"/>
      <c r="N111" s="289"/>
      <c r="O111" s="289"/>
      <c r="P111" s="289"/>
    </row>
    <row r="112">
      <c r="A112" s="4"/>
      <c r="B112" s="303"/>
      <c r="F112" s="303"/>
      <c r="H112" s="289"/>
      <c r="I112" s="290"/>
      <c r="J112" s="289"/>
      <c r="K112" s="289"/>
      <c r="L112" s="289"/>
      <c r="M112" s="289"/>
      <c r="N112" s="289"/>
      <c r="O112" s="289"/>
      <c r="P112" s="289"/>
    </row>
    <row r="113">
      <c r="A113" s="4"/>
      <c r="B113" s="303"/>
      <c r="F113" s="303"/>
      <c r="H113" s="289"/>
      <c r="I113" s="290"/>
      <c r="J113" s="289"/>
      <c r="K113" s="289"/>
      <c r="L113" s="289"/>
      <c r="M113" s="289"/>
      <c r="N113" s="289"/>
      <c r="O113" s="289"/>
      <c r="P113" s="289"/>
    </row>
    <row r="114">
      <c r="A114" s="4"/>
      <c r="B114" s="303"/>
      <c r="F114" s="303"/>
      <c r="H114" s="289"/>
      <c r="I114" s="290"/>
      <c r="J114" s="289"/>
      <c r="K114" s="289"/>
      <c r="L114" s="289"/>
      <c r="M114" s="289"/>
      <c r="N114" s="289"/>
      <c r="O114" s="289"/>
      <c r="P114" s="289"/>
    </row>
    <row r="115">
      <c r="A115" s="4"/>
      <c r="B115" s="303"/>
      <c r="F115" s="303"/>
      <c r="H115" s="289"/>
      <c r="I115" s="290"/>
      <c r="J115" s="289"/>
      <c r="K115" s="289"/>
      <c r="L115" s="289"/>
      <c r="M115" s="289"/>
      <c r="N115" s="289"/>
      <c r="O115" s="289"/>
      <c r="P115" s="289"/>
    </row>
    <row r="116">
      <c r="A116" s="4"/>
      <c r="B116" s="303"/>
      <c r="F116" s="303"/>
      <c r="H116" s="289"/>
      <c r="I116" s="290"/>
      <c r="J116" s="289"/>
      <c r="K116" s="289"/>
      <c r="L116" s="289"/>
      <c r="M116" s="289"/>
      <c r="N116" s="289"/>
      <c r="O116" s="289"/>
      <c r="P116" s="289"/>
    </row>
    <row r="117">
      <c r="A117" s="4"/>
      <c r="B117" s="303"/>
      <c r="F117" s="303"/>
      <c r="H117" s="289"/>
      <c r="I117" s="290"/>
      <c r="J117" s="289"/>
      <c r="K117" s="289"/>
      <c r="L117" s="289"/>
      <c r="M117" s="289"/>
      <c r="N117" s="289"/>
      <c r="O117" s="289"/>
      <c r="P117" s="289"/>
    </row>
    <row r="118">
      <c r="A118" s="4"/>
      <c r="B118" s="303"/>
      <c r="F118" s="303"/>
      <c r="H118" s="289"/>
      <c r="I118" s="290"/>
      <c r="J118" s="289"/>
      <c r="K118" s="289"/>
      <c r="L118" s="289"/>
      <c r="M118" s="289"/>
      <c r="N118" s="289"/>
      <c r="O118" s="289"/>
      <c r="P118" s="289"/>
    </row>
    <row r="119">
      <c r="A119" s="4"/>
      <c r="B119" s="303"/>
      <c r="F119" s="303"/>
      <c r="H119" s="289"/>
      <c r="I119" s="290"/>
      <c r="J119" s="289"/>
      <c r="K119" s="289"/>
      <c r="L119" s="289"/>
      <c r="M119" s="289"/>
      <c r="N119" s="289"/>
      <c r="O119" s="289"/>
      <c r="P119" s="289"/>
    </row>
    <row r="120">
      <c r="B120" s="303"/>
      <c r="F120" s="303"/>
      <c r="H120" s="289"/>
      <c r="I120" s="290"/>
      <c r="J120" s="289"/>
      <c r="K120" s="289"/>
      <c r="L120" s="289"/>
      <c r="M120" s="289"/>
      <c r="N120" s="289"/>
      <c r="O120" s="289"/>
      <c r="P120" s="289"/>
    </row>
    <row r="121">
      <c r="A121" s="4"/>
      <c r="B121" s="303"/>
      <c r="F121" s="303"/>
      <c r="H121" s="289"/>
      <c r="I121" s="290"/>
      <c r="J121" s="289"/>
      <c r="K121" s="289"/>
      <c r="L121" s="289"/>
      <c r="M121" s="289"/>
      <c r="N121" s="289"/>
      <c r="O121" s="289"/>
      <c r="P121" s="289"/>
    </row>
    <row r="122">
      <c r="A122" s="4"/>
      <c r="B122" s="303"/>
      <c r="F122" s="303"/>
      <c r="H122" s="289"/>
      <c r="I122" s="290"/>
      <c r="J122" s="289"/>
      <c r="K122" s="289"/>
      <c r="L122" s="289"/>
      <c r="M122" s="289"/>
      <c r="N122" s="289"/>
      <c r="O122" s="289"/>
      <c r="P122" s="289"/>
    </row>
    <row r="123">
      <c r="A123" s="4"/>
      <c r="B123" s="303"/>
      <c r="F123" s="303"/>
      <c r="H123" s="289"/>
      <c r="I123" s="290"/>
      <c r="J123" s="289"/>
      <c r="K123" s="289"/>
      <c r="L123" s="289"/>
      <c r="M123" s="289"/>
      <c r="N123" s="289"/>
      <c r="O123" s="289"/>
      <c r="P123" s="289"/>
    </row>
    <row r="124">
      <c r="A124" s="4"/>
      <c r="B124" s="303"/>
      <c r="F124" s="303"/>
      <c r="H124" s="289"/>
      <c r="I124" s="290"/>
      <c r="J124" s="289"/>
      <c r="K124" s="289"/>
      <c r="L124" s="289"/>
      <c r="M124" s="289"/>
      <c r="N124" s="289"/>
      <c r="O124" s="289"/>
      <c r="P124" s="289"/>
    </row>
    <row r="125">
      <c r="A125" s="4"/>
      <c r="B125" s="303"/>
      <c r="F125" s="303"/>
      <c r="H125" s="289"/>
      <c r="I125" s="290"/>
      <c r="J125" s="289"/>
      <c r="K125" s="289"/>
      <c r="L125" s="289"/>
      <c r="M125" s="289"/>
      <c r="N125" s="289"/>
      <c r="O125" s="289"/>
      <c r="P125" s="289"/>
    </row>
    <row r="126">
      <c r="A126" s="4"/>
      <c r="B126" s="303"/>
      <c r="F126" s="303"/>
      <c r="H126" s="289"/>
      <c r="I126" s="290"/>
      <c r="J126" s="289"/>
      <c r="K126" s="289"/>
      <c r="L126" s="289"/>
      <c r="M126" s="289"/>
      <c r="N126" s="289"/>
      <c r="O126" s="289"/>
      <c r="P126" s="289"/>
    </row>
    <row r="127">
      <c r="A127" s="4"/>
      <c r="B127" s="303"/>
      <c r="F127" s="303"/>
      <c r="H127" s="289"/>
      <c r="I127" s="290"/>
      <c r="J127" s="289"/>
      <c r="K127" s="289"/>
      <c r="L127" s="289"/>
      <c r="M127" s="289"/>
      <c r="N127" s="289"/>
      <c r="O127" s="289"/>
      <c r="P127" s="289"/>
    </row>
    <row r="128">
      <c r="A128" s="4"/>
      <c r="B128" s="303"/>
      <c r="F128" s="303"/>
      <c r="H128" s="289"/>
      <c r="I128" s="290"/>
      <c r="J128" s="289"/>
      <c r="K128" s="289"/>
      <c r="L128" s="289"/>
      <c r="M128" s="289"/>
      <c r="N128" s="289"/>
      <c r="O128" s="289"/>
      <c r="P128" s="289"/>
    </row>
    <row r="129">
      <c r="A129" s="4"/>
      <c r="B129" s="303"/>
      <c r="F129" s="303"/>
      <c r="H129" s="289"/>
      <c r="I129" s="290"/>
      <c r="J129" s="289"/>
      <c r="K129" s="289"/>
      <c r="L129" s="289"/>
      <c r="M129" s="289"/>
      <c r="N129" s="289"/>
      <c r="O129" s="289"/>
      <c r="P129" s="289"/>
    </row>
    <row r="130">
      <c r="A130" s="4"/>
      <c r="B130" s="303"/>
      <c r="F130" s="303"/>
      <c r="H130" s="289"/>
      <c r="I130" s="290"/>
      <c r="J130" s="289"/>
      <c r="K130" s="289"/>
      <c r="L130" s="289"/>
      <c r="M130" s="289"/>
      <c r="N130" s="289"/>
      <c r="O130" s="289"/>
      <c r="P130" s="289"/>
    </row>
    <row r="131">
      <c r="A131" s="4"/>
      <c r="B131" s="303"/>
      <c r="F131" s="303"/>
      <c r="H131" s="289"/>
      <c r="I131" s="290"/>
      <c r="J131" s="289"/>
      <c r="K131" s="289"/>
      <c r="L131" s="289"/>
      <c r="M131" s="289"/>
      <c r="N131" s="289"/>
      <c r="O131" s="289"/>
      <c r="P131" s="289"/>
    </row>
    <row r="132">
      <c r="A132" s="4"/>
      <c r="B132" s="303"/>
      <c r="F132" s="303"/>
      <c r="H132" s="289"/>
      <c r="I132" s="290"/>
      <c r="J132" s="289"/>
      <c r="K132" s="289"/>
      <c r="L132" s="289"/>
      <c r="M132" s="289"/>
      <c r="N132" s="289"/>
      <c r="O132" s="289"/>
      <c r="P132" s="289"/>
    </row>
    <row r="133">
      <c r="A133" s="4"/>
      <c r="B133" s="303"/>
      <c r="F133" s="303"/>
      <c r="H133" s="289"/>
      <c r="I133" s="290"/>
      <c r="J133" s="289"/>
      <c r="K133" s="289"/>
      <c r="L133" s="289"/>
      <c r="M133" s="289"/>
      <c r="N133" s="289"/>
      <c r="O133" s="289"/>
      <c r="P133" s="289"/>
    </row>
    <row r="134">
      <c r="A134" s="4"/>
      <c r="B134" s="303"/>
      <c r="F134" s="303"/>
      <c r="H134" s="289"/>
      <c r="I134" s="290"/>
      <c r="J134" s="289"/>
      <c r="K134" s="289"/>
      <c r="L134" s="289"/>
      <c r="M134" s="289"/>
      <c r="N134" s="289"/>
      <c r="O134" s="289"/>
      <c r="P134" s="289"/>
    </row>
    <row r="135">
      <c r="A135" s="4"/>
      <c r="B135" s="303"/>
      <c r="F135" s="303"/>
      <c r="H135" s="289"/>
      <c r="I135" s="290"/>
      <c r="J135" s="289"/>
      <c r="K135" s="289"/>
      <c r="L135" s="289"/>
      <c r="M135" s="289"/>
      <c r="N135" s="289"/>
      <c r="O135" s="289"/>
      <c r="P135" s="289"/>
    </row>
    <row r="136">
      <c r="A136" s="4"/>
      <c r="B136" s="303"/>
      <c r="F136" s="303"/>
      <c r="H136" s="289"/>
      <c r="I136" s="290"/>
      <c r="J136" s="289"/>
      <c r="K136" s="289"/>
      <c r="L136" s="289"/>
      <c r="M136" s="289"/>
      <c r="N136" s="289"/>
      <c r="O136" s="289"/>
      <c r="P136" s="289"/>
    </row>
    <row r="137">
      <c r="A137" s="4"/>
      <c r="B137" s="303"/>
      <c r="F137" s="303"/>
      <c r="H137" s="289"/>
      <c r="I137" s="290"/>
      <c r="J137" s="289"/>
      <c r="K137" s="289"/>
      <c r="L137" s="289"/>
      <c r="M137" s="289"/>
      <c r="N137" s="289"/>
      <c r="O137" s="289"/>
      <c r="P137" s="289"/>
    </row>
    <row r="138">
      <c r="B138" s="303"/>
      <c r="F138" s="303"/>
      <c r="H138" s="289"/>
      <c r="I138" s="290"/>
      <c r="J138" s="289"/>
      <c r="K138" s="289"/>
      <c r="L138" s="289"/>
      <c r="M138" s="289"/>
      <c r="N138" s="289"/>
      <c r="O138" s="289"/>
      <c r="P138" s="289"/>
    </row>
    <row r="139">
      <c r="B139" s="303"/>
      <c r="F139" s="303"/>
      <c r="H139" s="289"/>
      <c r="I139" s="290"/>
      <c r="J139" s="289"/>
      <c r="K139" s="289"/>
      <c r="L139" s="289"/>
      <c r="M139" s="289"/>
      <c r="N139" s="289"/>
      <c r="O139" s="289"/>
      <c r="P139" s="289"/>
    </row>
    <row r="140">
      <c r="B140" s="303"/>
      <c r="F140" s="303"/>
      <c r="H140" s="289"/>
      <c r="I140" s="290"/>
      <c r="J140" s="289"/>
      <c r="K140" s="289"/>
      <c r="L140" s="289"/>
      <c r="M140" s="289"/>
      <c r="N140" s="289"/>
      <c r="O140" s="289"/>
      <c r="P140" s="289"/>
    </row>
    <row r="141">
      <c r="B141" s="303"/>
      <c r="F141" s="303"/>
      <c r="H141" s="289"/>
      <c r="I141" s="290"/>
      <c r="J141" s="289"/>
      <c r="K141" s="289"/>
      <c r="L141" s="289"/>
      <c r="M141" s="289"/>
      <c r="N141" s="289"/>
      <c r="O141" s="289"/>
      <c r="P141" s="289"/>
    </row>
    <row r="142">
      <c r="B142" s="303"/>
      <c r="F142" s="303"/>
      <c r="H142" s="289"/>
      <c r="I142" s="290"/>
      <c r="J142" s="289"/>
      <c r="K142" s="289"/>
      <c r="L142" s="289"/>
      <c r="M142" s="289"/>
      <c r="N142" s="289"/>
      <c r="O142" s="289"/>
      <c r="P142" s="289"/>
    </row>
    <row r="143">
      <c r="B143" s="303"/>
      <c r="F143" s="303"/>
      <c r="H143" s="289"/>
      <c r="I143" s="290"/>
      <c r="J143" s="289"/>
      <c r="K143" s="289"/>
      <c r="L143" s="289"/>
      <c r="M143" s="289"/>
      <c r="N143" s="289"/>
      <c r="O143" s="289"/>
      <c r="P143" s="289"/>
    </row>
    <row r="144">
      <c r="B144" s="303"/>
      <c r="F144" s="303"/>
      <c r="H144" s="289"/>
      <c r="I144" s="290"/>
      <c r="J144" s="289"/>
      <c r="K144" s="289"/>
      <c r="L144" s="289"/>
      <c r="M144" s="289"/>
      <c r="N144" s="289"/>
      <c r="O144" s="289"/>
      <c r="P144" s="289"/>
    </row>
    <row r="145">
      <c r="B145" s="303"/>
      <c r="F145" s="303"/>
      <c r="H145" s="289"/>
      <c r="I145" s="290"/>
      <c r="J145" s="289"/>
      <c r="K145" s="289"/>
      <c r="L145" s="289"/>
      <c r="M145" s="289"/>
      <c r="N145" s="289"/>
      <c r="O145" s="289"/>
      <c r="P145" s="289"/>
    </row>
    <row r="146">
      <c r="B146" s="303"/>
      <c r="F146" s="303"/>
      <c r="H146" s="289"/>
      <c r="I146" s="290"/>
      <c r="J146" s="289"/>
      <c r="K146" s="289"/>
      <c r="L146" s="289"/>
      <c r="M146" s="289"/>
      <c r="N146" s="289"/>
      <c r="O146" s="289"/>
      <c r="P146" s="289"/>
    </row>
    <row r="147">
      <c r="B147" s="303"/>
      <c r="F147" s="303"/>
      <c r="H147" s="289"/>
      <c r="I147" s="290"/>
      <c r="J147" s="289"/>
      <c r="K147" s="289"/>
      <c r="L147" s="289"/>
      <c r="M147" s="289"/>
      <c r="N147" s="289"/>
      <c r="O147" s="289"/>
      <c r="P147" s="289"/>
    </row>
    <row r="148">
      <c r="B148" s="303"/>
      <c r="F148" s="303"/>
      <c r="H148" s="289"/>
      <c r="I148" s="290"/>
      <c r="J148" s="289"/>
      <c r="K148" s="289"/>
      <c r="L148" s="289"/>
      <c r="M148" s="289"/>
      <c r="N148" s="289"/>
      <c r="O148" s="289"/>
      <c r="P148" s="289"/>
    </row>
    <row r="149">
      <c r="B149" s="303"/>
      <c r="F149" s="303"/>
      <c r="H149" s="289"/>
      <c r="I149" s="290"/>
      <c r="J149" s="289"/>
      <c r="K149" s="289"/>
      <c r="L149" s="289"/>
      <c r="M149" s="289"/>
      <c r="N149" s="289"/>
      <c r="O149" s="289"/>
      <c r="P149" s="289"/>
    </row>
    <row r="150">
      <c r="B150" s="303"/>
      <c r="F150" s="303"/>
      <c r="H150" s="289"/>
      <c r="I150" s="290"/>
      <c r="J150" s="289"/>
      <c r="K150" s="289"/>
      <c r="L150" s="289"/>
      <c r="M150" s="289"/>
      <c r="N150" s="289"/>
      <c r="O150" s="289"/>
      <c r="P150" s="289"/>
    </row>
    <row r="151">
      <c r="B151" s="303"/>
      <c r="F151" s="303"/>
      <c r="H151" s="289"/>
      <c r="I151" s="290"/>
      <c r="J151" s="289"/>
      <c r="K151" s="289"/>
      <c r="L151" s="289"/>
      <c r="M151" s="289"/>
      <c r="N151" s="289"/>
      <c r="O151" s="289"/>
      <c r="P151" s="289"/>
    </row>
    <row r="152">
      <c r="B152" s="303"/>
      <c r="F152" s="303"/>
      <c r="H152" s="289"/>
      <c r="I152" s="290"/>
      <c r="J152" s="289"/>
      <c r="K152" s="289"/>
      <c r="L152" s="289"/>
      <c r="M152" s="289"/>
      <c r="N152" s="289"/>
      <c r="O152" s="289"/>
      <c r="P152" s="289"/>
    </row>
    <row r="153">
      <c r="B153" s="303"/>
      <c r="F153" s="303"/>
      <c r="H153" s="289"/>
      <c r="I153" s="290"/>
      <c r="J153" s="289"/>
      <c r="K153" s="289"/>
      <c r="L153" s="289"/>
      <c r="M153" s="289"/>
      <c r="N153" s="289"/>
      <c r="O153" s="289"/>
      <c r="P153" s="289"/>
    </row>
    <row r="154">
      <c r="B154" s="303"/>
      <c r="F154" s="303"/>
      <c r="H154" s="289"/>
      <c r="I154" s="290"/>
      <c r="J154" s="289"/>
      <c r="K154" s="289"/>
      <c r="L154" s="289"/>
      <c r="M154" s="289"/>
      <c r="N154" s="289"/>
      <c r="O154" s="289"/>
      <c r="P154" s="289"/>
    </row>
    <row r="155">
      <c r="B155" s="303"/>
      <c r="F155" s="303"/>
      <c r="H155" s="289"/>
      <c r="I155" s="290"/>
      <c r="J155" s="289"/>
      <c r="K155" s="289"/>
      <c r="L155" s="289"/>
      <c r="M155" s="289"/>
      <c r="N155" s="289"/>
      <c r="O155" s="289"/>
      <c r="P155" s="289"/>
    </row>
    <row r="156">
      <c r="B156" s="303"/>
      <c r="F156" s="303"/>
      <c r="H156" s="289"/>
      <c r="I156" s="290"/>
      <c r="J156" s="289"/>
      <c r="K156" s="289"/>
      <c r="L156" s="289"/>
      <c r="M156" s="289"/>
      <c r="N156" s="289"/>
      <c r="O156" s="289"/>
      <c r="P156" s="289"/>
    </row>
    <row r="157">
      <c r="B157" s="303"/>
      <c r="F157" s="303"/>
      <c r="H157" s="289"/>
      <c r="I157" s="290"/>
      <c r="J157" s="289"/>
      <c r="K157" s="289"/>
      <c r="L157" s="289"/>
      <c r="M157" s="289"/>
      <c r="N157" s="289"/>
      <c r="O157" s="289"/>
      <c r="P157" s="289"/>
    </row>
    <row r="158">
      <c r="B158" s="303"/>
      <c r="F158" s="303"/>
      <c r="H158" s="289"/>
      <c r="I158" s="290"/>
      <c r="J158" s="289"/>
      <c r="K158" s="289"/>
      <c r="L158" s="289"/>
      <c r="M158" s="289"/>
      <c r="N158" s="289"/>
      <c r="O158" s="289"/>
      <c r="P158" s="289"/>
    </row>
    <row r="159">
      <c r="B159" s="303"/>
      <c r="F159" s="303"/>
      <c r="H159" s="289"/>
      <c r="I159" s="290"/>
      <c r="J159" s="289"/>
      <c r="K159" s="289"/>
      <c r="L159" s="289"/>
      <c r="M159" s="289"/>
      <c r="N159" s="289"/>
      <c r="O159" s="289"/>
      <c r="P159" s="289"/>
    </row>
    <row r="160">
      <c r="A160" s="4"/>
      <c r="B160" s="303"/>
      <c r="F160" s="303"/>
      <c r="H160" s="289"/>
      <c r="I160" s="290"/>
      <c r="J160" s="289"/>
      <c r="K160" s="289"/>
      <c r="L160" s="289"/>
      <c r="M160" s="289"/>
      <c r="N160" s="289"/>
      <c r="O160" s="289"/>
      <c r="P160" s="289"/>
    </row>
    <row r="161">
      <c r="A161" s="4"/>
      <c r="B161" s="303"/>
      <c r="F161" s="303"/>
      <c r="H161" s="289"/>
      <c r="I161" s="290"/>
      <c r="J161" s="289"/>
      <c r="K161" s="289"/>
      <c r="L161" s="289"/>
      <c r="M161" s="289"/>
      <c r="N161" s="289"/>
      <c r="O161" s="289"/>
      <c r="P161" s="289"/>
    </row>
    <row r="162">
      <c r="A162" s="4"/>
      <c r="B162" s="303"/>
      <c r="F162" s="303"/>
      <c r="H162" s="289"/>
      <c r="I162" s="290"/>
      <c r="J162" s="289"/>
      <c r="K162" s="289"/>
      <c r="L162" s="289"/>
      <c r="M162" s="289"/>
      <c r="N162" s="289"/>
      <c r="O162" s="289"/>
      <c r="P162" s="289"/>
    </row>
    <row r="163">
      <c r="A163" s="4"/>
      <c r="B163" s="303"/>
      <c r="F163" s="303"/>
      <c r="H163" s="289"/>
      <c r="I163" s="290"/>
      <c r="J163" s="289"/>
      <c r="K163" s="289"/>
      <c r="L163" s="289"/>
      <c r="M163" s="289"/>
      <c r="N163" s="289"/>
      <c r="O163" s="289"/>
      <c r="P163" s="289"/>
    </row>
    <row r="164">
      <c r="A164" s="4"/>
      <c r="B164" s="303"/>
      <c r="F164" s="303"/>
      <c r="H164" s="289"/>
      <c r="I164" s="290"/>
      <c r="J164" s="289"/>
      <c r="K164" s="289"/>
      <c r="L164" s="289"/>
      <c r="M164" s="289"/>
      <c r="N164" s="289"/>
      <c r="O164" s="289"/>
      <c r="P164" s="289"/>
    </row>
    <row r="165">
      <c r="A165" s="4"/>
      <c r="B165" s="303"/>
      <c r="F165" s="303"/>
      <c r="H165" s="289"/>
      <c r="I165" s="290"/>
      <c r="J165" s="289"/>
      <c r="K165" s="289"/>
      <c r="L165" s="289"/>
      <c r="M165" s="289"/>
      <c r="N165" s="289"/>
      <c r="O165" s="289"/>
      <c r="P165" s="289"/>
    </row>
    <row r="166">
      <c r="A166" s="4"/>
      <c r="B166" s="303"/>
      <c r="F166" s="303"/>
      <c r="H166" s="289"/>
      <c r="I166" s="290"/>
      <c r="J166" s="289"/>
      <c r="K166" s="289"/>
      <c r="L166" s="289"/>
      <c r="M166" s="289"/>
      <c r="N166" s="289"/>
      <c r="O166" s="289"/>
      <c r="P166" s="289"/>
    </row>
    <row r="167">
      <c r="A167" s="4"/>
      <c r="B167" s="303"/>
      <c r="F167" s="303"/>
      <c r="H167" s="289"/>
      <c r="I167" s="290"/>
      <c r="J167" s="289"/>
      <c r="K167" s="289"/>
      <c r="L167" s="289"/>
      <c r="M167" s="289"/>
      <c r="N167" s="289"/>
      <c r="O167" s="289"/>
      <c r="P167" s="289"/>
    </row>
    <row r="168">
      <c r="A168" s="4"/>
      <c r="B168" s="303"/>
      <c r="F168" s="303"/>
      <c r="H168" s="289"/>
      <c r="I168" s="290"/>
      <c r="J168" s="289"/>
      <c r="K168" s="289"/>
      <c r="L168" s="289"/>
      <c r="M168" s="289"/>
      <c r="N168" s="289"/>
      <c r="O168" s="289"/>
      <c r="P168" s="289"/>
    </row>
    <row r="169">
      <c r="A169" s="4"/>
      <c r="B169" s="303"/>
      <c r="F169" s="303"/>
      <c r="H169" s="289"/>
      <c r="I169" s="290"/>
      <c r="J169" s="289"/>
      <c r="K169" s="289"/>
      <c r="L169" s="289"/>
      <c r="M169" s="289"/>
      <c r="N169" s="289"/>
      <c r="O169" s="289"/>
      <c r="P169" s="289"/>
    </row>
    <row r="170">
      <c r="A170" s="4"/>
      <c r="B170" s="303"/>
      <c r="F170" s="303"/>
      <c r="H170" s="289"/>
      <c r="I170" s="290"/>
      <c r="J170" s="289"/>
      <c r="K170" s="289"/>
      <c r="L170" s="289"/>
      <c r="M170" s="289"/>
      <c r="N170" s="289"/>
      <c r="O170" s="289"/>
      <c r="P170" s="289"/>
    </row>
    <row r="171">
      <c r="A171" s="4"/>
      <c r="B171" s="303"/>
      <c r="F171" s="303"/>
      <c r="H171" s="289"/>
      <c r="I171" s="290"/>
      <c r="J171" s="289"/>
      <c r="K171" s="289"/>
      <c r="L171" s="289"/>
      <c r="M171" s="289"/>
      <c r="N171" s="289"/>
      <c r="O171" s="289"/>
      <c r="P171" s="289"/>
    </row>
    <row r="172">
      <c r="A172" s="4"/>
      <c r="B172" s="303"/>
      <c r="F172" s="303"/>
      <c r="H172" s="289"/>
      <c r="I172" s="290"/>
      <c r="J172" s="289"/>
      <c r="K172" s="289"/>
      <c r="L172" s="289"/>
      <c r="M172" s="289"/>
      <c r="N172" s="289"/>
      <c r="O172" s="289"/>
      <c r="P172" s="289"/>
    </row>
    <row r="173">
      <c r="A173" s="4"/>
      <c r="B173" s="303"/>
      <c r="F173" s="303"/>
      <c r="H173" s="289"/>
      <c r="I173" s="290"/>
      <c r="J173" s="289"/>
      <c r="K173" s="289"/>
      <c r="L173" s="289"/>
      <c r="M173" s="289"/>
      <c r="N173" s="289"/>
      <c r="O173" s="289"/>
      <c r="P173" s="289"/>
    </row>
    <row r="174">
      <c r="A174" s="4"/>
      <c r="B174" s="303"/>
      <c r="F174" s="303"/>
      <c r="H174" s="289"/>
      <c r="I174" s="290"/>
      <c r="J174" s="289"/>
      <c r="K174" s="289"/>
      <c r="L174" s="289"/>
      <c r="M174" s="289"/>
      <c r="N174" s="289"/>
      <c r="O174" s="289"/>
      <c r="P174" s="289"/>
    </row>
    <row r="175">
      <c r="A175" s="4"/>
      <c r="B175" s="303"/>
      <c r="F175" s="303"/>
      <c r="H175" s="289"/>
      <c r="I175" s="290"/>
      <c r="J175" s="289"/>
      <c r="K175" s="289"/>
      <c r="L175" s="289"/>
      <c r="M175" s="289"/>
      <c r="N175" s="289"/>
      <c r="O175" s="289"/>
      <c r="P175" s="289"/>
    </row>
    <row r="176">
      <c r="A176" s="4"/>
      <c r="B176" s="303"/>
      <c r="F176" s="303"/>
      <c r="H176" s="289"/>
      <c r="I176" s="290"/>
      <c r="J176" s="289"/>
      <c r="K176" s="289"/>
      <c r="L176" s="289"/>
      <c r="M176" s="289"/>
      <c r="N176" s="289"/>
      <c r="O176" s="289"/>
      <c r="P176" s="289"/>
    </row>
    <row r="177">
      <c r="A177" s="4"/>
      <c r="B177" s="303"/>
      <c r="F177" s="303"/>
      <c r="H177" s="289"/>
      <c r="I177" s="290"/>
      <c r="J177" s="289"/>
      <c r="K177" s="289"/>
      <c r="L177" s="289"/>
      <c r="M177" s="289"/>
      <c r="N177" s="289"/>
      <c r="O177" s="289"/>
      <c r="P177" s="289"/>
    </row>
    <row r="178">
      <c r="A178" s="4"/>
      <c r="B178" s="303"/>
      <c r="F178" s="303"/>
      <c r="H178" s="289"/>
      <c r="I178" s="290"/>
      <c r="J178" s="289"/>
      <c r="K178" s="289"/>
      <c r="L178" s="289"/>
      <c r="M178" s="289"/>
      <c r="N178" s="289"/>
      <c r="O178" s="289"/>
      <c r="P178" s="289"/>
    </row>
    <row r="179">
      <c r="B179" s="303"/>
      <c r="F179" s="303"/>
      <c r="H179" s="289"/>
      <c r="I179" s="290"/>
      <c r="J179" s="289"/>
      <c r="K179" s="289"/>
      <c r="L179" s="289"/>
      <c r="M179" s="289"/>
      <c r="N179" s="289"/>
      <c r="O179" s="289"/>
      <c r="P179" s="289"/>
    </row>
    <row r="180">
      <c r="B180" s="303"/>
      <c r="F180" s="303"/>
      <c r="H180" s="289"/>
      <c r="I180" s="290"/>
      <c r="J180" s="289"/>
      <c r="K180" s="289"/>
      <c r="L180" s="289"/>
      <c r="M180" s="289"/>
      <c r="N180" s="289"/>
      <c r="O180" s="289"/>
      <c r="P180" s="289"/>
    </row>
    <row r="181">
      <c r="B181" s="303"/>
      <c r="F181" s="303"/>
      <c r="H181" s="289"/>
      <c r="I181" s="290"/>
      <c r="J181" s="289"/>
      <c r="K181" s="289"/>
      <c r="L181" s="289"/>
      <c r="M181" s="289"/>
      <c r="N181" s="289"/>
      <c r="O181" s="289"/>
      <c r="P181" s="289"/>
    </row>
    <row r="182">
      <c r="A182" s="4"/>
      <c r="B182" s="303"/>
      <c r="F182" s="303"/>
      <c r="H182" s="289"/>
      <c r="I182" s="290"/>
      <c r="J182" s="289"/>
      <c r="K182" s="289"/>
      <c r="L182" s="289"/>
      <c r="M182" s="289"/>
      <c r="N182" s="289"/>
      <c r="O182" s="289"/>
      <c r="P182" s="289"/>
    </row>
    <row r="183">
      <c r="A183" s="4"/>
      <c r="B183" s="303"/>
      <c r="F183" s="303"/>
      <c r="H183" s="289"/>
      <c r="I183" s="290"/>
      <c r="J183" s="289"/>
      <c r="K183" s="289"/>
      <c r="L183" s="289"/>
      <c r="M183" s="289"/>
      <c r="N183" s="289"/>
      <c r="O183" s="289"/>
      <c r="P183" s="289"/>
    </row>
    <row r="184">
      <c r="A184" s="4"/>
      <c r="B184" s="303"/>
      <c r="F184" s="303"/>
      <c r="H184" s="289"/>
      <c r="I184" s="290"/>
      <c r="J184" s="289"/>
      <c r="K184" s="289"/>
      <c r="L184" s="289"/>
      <c r="M184" s="289"/>
      <c r="N184" s="289"/>
      <c r="O184" s="289"/>
      <c r="P184" s="289"/>
    </row>
    <row r="185">
      <c r="A185" s="4"/>
      <c r="B185" s="303"/>
      <c r="F185" s="303"/>
      <c r="H185" s="289"/>
      <c r="I185" s="290"/>
      <c r="J185" s="289"/>
      <c r="K185" s="289"/>
      <c r="L185" s="289"/>
      <c r="M185" s="289"/>
      <c r="N185" s="289"/>
      <c r="O185" s="289"/>
      <c r="P185" s="289"/>
    </row>
    <row r="186">
      <c r="A186" s="4"/>
      <c r="B186" s="303"/>
      <c r="F186" s="303"/>
      <c r="H186" s="289"/>
      <c r="I186" s="290"/>
      <c r="J186" s="289"/>
      <c r="K186" s="289"/>
      <c r="L186" s="289"/>
      <c r="M186" s="289"/>
      <c r="N186" s="289"/>
      <c r="O186" s="289"/>
      <c r="P186" s="289"/>
    </row>
    <row r="187">
      <c r="A187" s="4"/>
      <c r="B187" s="303"/>
      <c r="F187" s="303"/>
      <c r="H187" s="289"/>
      <c r="I187" s="290"/>
      <c r="J187" s="289"/>
      <c r="K187" s="289"/>
      <c r="L187" s="289"/>
      <c r="M187" s="289"/>
      <c r="N187" s="289"/>
      <c r="O187" s="289"/>
      <c r="P187" s="289"/>
    </row>
    <row r="188">
      <c r="A188" s="4"/>
      <c r="B188" s="303"/>
      <c r="F188" s="303"/>
      <c r="H188" s="289"/>
      <c r="I188" s="290"/>
      <c r="J188" s="289"/>
      <c r="K188" s="289"/>
      <c r="L188" s="289"/>
      <c r="M188" s="289"/>
      <c r="N188" s="289"/>
      <c r="O188" s="289"/>
      <c r="P188" s="289"/>
    </row>
    <row r="189">
      <c r="A189" s="4"/>
      <c r="B189" s="303"/>
      <c r="F189" s="303"/>
      <c r="H189" s="289"/>
      <c r="I189" s="290"/>
      <c r="J189" s="289"/>
      <c r="K189" s="289"/>
      <c r="L189" s="289"/>
      <c r="M189" s="289"/>
      <c r="N189" s="289"/>
      <c r="O189" s="289"/>
      <c r="P189" s="289"/>
    </row>
    <row r="190">
      <c r="A190" s="4"/>
      <c r="B190" s="303"/>
      <c r="F190" s="303"/>
      <c r="H190" s="289"/>
      <c r="I190" s="290"/>
      <c r="J190" s="289"/>
      <c r="K190" s="289"/>
      <c r="L190" s="289"/>
      <c r="M190" s="289"/>
      <c r="N190" s="289"/>
      <c r="O190" s="289"/>
      <c r="P190" s="289"/>
    </row>
    <row r="191">
      <c r="A191" s="4"/>
      <c r="B191" s="303"/>
      <c r="F191" s="303"/>
      <c r="H191" s="289"/>
      <c r="I191" s="290"/>
      <c r="J191" s="289"/>
      <c r="K191" s="289"/>
      <c r="L191" s="289"/>
      <c r="M191" s="289"/>
      <c r="N191" s="289"/>
      <c r="O191" s="289"/>
      <c r="P191" s="289"/>
    </row>
    <row r="192">
      <c r="A192" s="4"/>
      <c r="B192" s="303"/>
      <c r="F192" s="303"/>
      <c r="H192" s="289"/>
      <c r="I192" s="290"/>
      <c r="J192" s="289"/>
      <c r="K192" s="289"/>
      <c r="L192" s="289"/>
      <c r="M192" s="289"/>
      <c r="N192" s="289"/>
      <c r="O192" s="289"/>
      <c r="P192" s="289"/>
    </row>
    <row r="193">
      <c r="A193" s="4"/>
      <c r="B193" s="303"/>
      <c r="F193" s="303"/>
      <c r="H193" s="289"/>
      <c r="I193" s="290"/>
      <c r="J193" s="289"/>
      <c r="K193" s="289"/>
      <c r="L193" s="289"/>
      <c r="M193" s="289"/>
      <c r="N193" s="289"/>
      <c r="O193" s="289"/>
      <c r="P193" s="289"/>
    </row>
    <row r="194">
      <c r="A194" s="4"/>
      <c r="B194" s="303"/>
      <c r="F194" s="303"/>
      <c r="H194" s="289"/>
      <c r="I194" s="290"/>
      <c r="J194" s="289"/>
      <c r="K194" s="289"/>
      <c r="L194" s="289"/>
      <c r="M194" s="289"/>
      <c r="N194" s="289"/>
      <c r="O194" s="289"/>
      <c r="P194" s="289"/>
    </row>
    <row r="195">
      <c r="A195" s="4"/>
      <c r="B195" s="303"/>
      <c r="F195" s="303"/>
      <c r="H195" s="289"/>
      <c r="I195" s="290"/>
      <c r="J195" s="289"/>
      <c r="K195" s="289"/>
      <c r="L195" s="289"/>
      <c r="M195" s="289"/>
      <c r="N195" s="289"/>
      <c r="O195" s="289"/>
      <c r="P195" s="289"/>
    </row>
    <row r="196">
      <c r="A196" s="4"/>
      <c r="B196" s="303"/>
      <c r="F196" s="303"/>
      <c r="H196" s="289"/>
      <c r="I196" s="290"/>
      <c r="J196" s="289"/>
      <c r="K196" s="289"/>
      <c r="L196" s="289"/>
      <c r="M196" s="289"/>
      <c r="N196" s="289"/>
      <c r="O196" s="289"/>
      <c r="P196" s="289"/>
    </row>
    <row r="197">
      <c r="A197" s="4"/>
      <c r="B197" s="303"/>
      <c r="F197" s="303"/>
      <c r="H197" s="289"/>
      <c r="I197" s="290"/>
      <c r="J197" s="289"/>
      <c r="K197" s="289"/>
      <c r="L197" s="289"/>
      <c r="M197" s="289"/>
      <c r="N197" s="289"/>
      <c r="O197" s="289"/>
      <c r="P197" s="289"/>
    </row>
    <row r="198">
      <c r="A198" s="4"/>
      <c r="B198" s="303"/>
      <c r="F198" s="303"/>
      <c r="H198" s="289"/>
      <c r="I198" s="290"/>
      <c r="J198" s="289"/>
      <c r="K198" s="289"/>
      <c r="L198" s="289"/>
      <c r="M198" s="289"/>
      <c r="N198" s="289"/>
      <c r="O198" s="289"/>
      <c r="P198" s="289"/>
    </row>
    <row r="199">
      <c r="A199" s="4"/>
      <c r="B199" s="303"/>
      <c r="F199" s="303"/>
      <c r="H199" s="289"/>
      <c r="I199" s="290"/>
      <c r="J199" s="289"/>
      <c r="K199" s="289"/>
      <c r="L199" s="289"/>
      <c r="M199" s="289"/>
      <c r="N199" s="289"/>
      <c r="O199" s="289"/>
      <c r="P199" s="289"/>
    </row>
    <row r="200">
      <c r="A200" s="4"/>
      <c r="B200" s="303"/>
      <c r="F200" s="303"/>
      <c r="H200" s="289"/>
      <c r="I200" s="290"/>
      <c r="J200" s="289"/>
      <c r="K200" s="289"/>
      <c r="L200" s="289"/>
      <c r="M200" s="289"/>
      <c r="N200" s="289"/>
      <c r="O200" s="289"/>
      <c r="P200" s="289"/>
    </row>
    <row r="201">
      <c r="B201" s="303"/>
      <c r="F201" s="303"/>
      <c r="H201" s="289"/>
      <c r="I201" s="290"/>
      <c r="J201" s="289"/>
      <c r="K201" s="289"/>
      <c r="L201" s="289"/>
      <c r="M201" s="289"/>
      <c r="N201" s="289"/>
      <c r="O201" s="289"/>
      <c r="P201" s="289"/>
    </row>
    <row r="202">
      <c r="B202" s="303"/>
      <c r="F202" s="303"/>
      <c r="H202" s="289"/>
      <c r="I202" s="290"/>
      <c r="J202" s="289"/>
      <c r="K202" s="289"/>
      <c r="L202" s="289"/>
      <c r="M202" s="289"/>
      <c r="N202" s="289"/>
      <c r="O202" s="289"/>
      <c r="P202" s="289"/>
    </row>
    <row r="203">
      <c r="B203" s="303"/>
      <c r="F203" s="303"/>
      <c r="H203" s="289"/>
      <c r="I203" s="290"/>
      <c r="J203" s="289"/>
      <c r="K203" s="289"/>
      <c r="L203" s="289"/>
      <c r="M203" s="289"/>
      <c r="N203" s="289"/>
      <c r="O203" s="289"/>
      <c r="P203" s="289"/>
    </row>
    <row r="204">
      <c r="B204" s="303"/>
      <c r="F204" s="303"/>
      <c r="H204" s="289"/>
      <c r="I204" s="290"/>
      <c r="J204" s="289"/>
      <c r="K204" s="289"/>
      <c r="L204" s="289"/>
      <c r="M204" s="289"/>
      <c r="N204" s="289"/>
      <c r="O204" s="289"/>
      <c r="P204" s="289"/>
    </row>
    <row r="205">
      <c r="B205" s="303"/>
      <c r="F205" s="303"/>
      <c r="H205" s="289"/>
      <c r="I205" s="290"/>
      <c r="J205" s="289"/>
      <c r="K205" s="289"/>
      <c r="L205" s="289"/>
      <c r="M205" s="289"/>
      <c r="N205" s="289"/>
      <c r="O205" s="289"/>
      <c r="P205" s="289"/>
    </row>
    <row r="206">
      <c r="B206" s="303"/>
      <c r="F206" s="303"/>
      <c r="H206" s="289"/>
      <c r="I206" s="290"/>
      <c r="J206" s="289"/>
      <c r="K206" s="289"/>
      <c r="L206" s="289"/>
      <c r="M206" s="289"/>
      <c r="N206" s="289"/>
      <c r="O206" s="289"/>
      <c r="P206" s="289"/>
    </row>
    <row r="207">
      <c r="B207" s="303"/>
      <c r="F207" s="303"/>
      <c r="H207" s="289"/>
      <c r="I207" s="290"/>
      <c r="J207" s="289"/>
      <c r="K207" s="289"/>
      <c r="L207" s="289"/>
      <c r="M207" s="289"/>
      <c r="N207" s="289"/>
      <c r="O207" s="289"/>
      <c r="P207" s="289"/>
    </row>
    <row r="208">
      <c r="B208" s="303"/>
      <c r="F208" s="303"/>
      <c r="H208" s="289"/>
      <c r="I208" s="290"/>
      <c r="J208" s="289"/>
      <c r="K208" s="289"/>
      <c r="L208" s="289"/>
      <c r="M208" s="289"/>
      <c r="N208" s="289"/>
      <c r="O208" s="289"/>
      <c r="P208" s="289"/>
    </row>
    <row r="209">
      <c r="B209" s="303"/>
      <c r="F209" s="303"/>
      <c r="H209" s="289"/>
      <c r="I209" s="290"/>
      <c r="J209" s="289"/>
      <c r="K209" s="289"/>
      <c r="L209" s="289"/>
      <c r="M209" s="289"/>
      <c r="N209" s="289"/>
      <c r="O209" s="289"/>
      <c r="P209" s="289"/>
    </row>
    <row r="210">
      <c r="B210" s="303"/>
      <c r="F210" s="303"/>
      <c r="H210" s="289"/>
      <c r="I210" s="290"/>
      <c r="J210" s="289"/>
      <c r="K210" s="289"/>
      <c r="L210" s="289"/>
      <c r="M210" s="289"/>
      <c r="N210" s="289"/>
      <c r="O210" s="289"/>
      <c r="P210" s="289"/>
    </row>
    <row r="211">
      <c r="B211" s="303"/>
      <c r="F211" s="303"/>
      <c r="H211" s="289"/>
      <c r="I211" s="290"/>
      <c r="J211" s="289"/>
      <c r="K211" s="289"/>
      <c r="L211" s="289"/>
      <c r="M211" s="289"/>
      <c r="N211" s="289"/>
      <c r="O211" s="289"/>
      <c r="P211" s="289"/>
    </row>
    <row r="212">
      <c r="B212" s="303"/>
      <c r="F212" s="303"/>
      <c r="H212" s="289"/>
      <c r="I212" s="290"/>
      <c r="J212" s="289"/>
      <c r="K212" s="289"/>
      <c r="L212" s="289"/>
      <c r="M212" s="289"/>
      <c r="N212" s="289"/>
      <c r="O212" s="289"/>
      <c r="P212" s="289"/>
    </row>
    <row r="213">
      <c r="B213" s="303"/>
      <c r="F213" s="303"/>
      <c r="H213" s="289"/>
      <c r="I213" s="290"/>
      <c r="J213" s="289"/>
      <c r="K213" s="289"/>
      <c r="L213" s="289"/>
      <c r="M213" s="289"/>
      <c r="N213" s="289"/>
      <c r="O213" s="289"/>
      <c r="P213" s="289"/>
    </row>
    <row r="214">
      <c r="B214" s="303"/>
      <c r="F214" s="303"/>
      <c r="H214" s="289"/>
      <c r="I214" s="290"/>
      <c r="J214" s="289"/>
      <c r="K214" s="289"/>
      <c r="L214" s="289"/>
      <c r="M214" s="289"/>
      <c r="N214" s="289"/>
      <c r="O214" s="289"/>
      <c r="P214" s="289"/>
    </row>
    <row r="215">
      <c r="B215" s="303"/>
      <c r="F215" s="303"/>
      <c r="H215" s="289"/>
      <c r="I215" s="290"/>
      <c r="J215" s="289"/>
      <c r="K215" s="289"/>
      <c r="L215" s="289"/>
      <c r="M215" s="289"/>
      <c r="N215" s="289"/>
      <c r="O215" s="289"/>
      <c r="P215" s="289"/>
    </row>
    <row r="216">
      <c r="B216" s="303"/>
      <c r="F216" s="303"/>
      <c r="H216" s="289"/>
      <c r="I216" s="290"/>
      <c r="J216" s="289"/>
      <c r="K216" s="289"/>
      <c r="L216" s="289"/>
      <c r="M216" s="289"/>
      <c r="N216" s="289"/>
      <c r="O216" s="289"/>
      <c r="P216" s="289"/>
    </row>
    <row r="217">
      <c r="B217" s="303"/>
      <c r="F217" s="303"/>
      <c r="H217" s="289"/>
      <c r="I217" s="290"/>
      <c r="J217" s="289"/>
      <c r="K217" s="289"/>
      <c r="L217" s="289"/>
      <c r="M217" s="289"/>
      <c r="N217" s="289"/>
      <c r="O217" s="289"/>
      <c r="P217" s="289"/>
    </row>
    <row r="218">
      <c r="B218" s="303"/>
      <c r="F218" s="303"/>
      <c r="H218" s="289"/>
      <c r="I218" s="290"/>
      <c r="J218" s="289"/>
      <c r="K218" s="289"/>
      <c r="L218" s="289"/>
      <c r="M218" s="289"/>
      <c r="N218" s="289"/>
      <c r="O218" s="289"/>
      <c r="P218" s="289"/>
    </row>
    <row r="219">
      <c r="B219" s="303"/>
      <c r="F219" s="303"/>
      <c r="H219" s="289"/>
      <c r="I219" s="290"/>
      <c r="J219" s="289"/>
      <c r="K219" s="289"/>
      <c r="L219" s="289"/>
      <c r="M219" s="289"/>
      <c r="N219" s="289"/>
      <c r="O219" s="289"/>
      <c r="P219" s="289"/>
    </row>
    <row r="220">
      <c r="B220" s="303"/>
      <c r="F220" s="303"/>
      <c r="H220" s="289"/>
      <c r="I220" s="290"/>
      <c r="J220" s="289"/>
      <c r="K220" s="289"/>
      <c r="L220" s="289"/>
      <c r="M220" s="289"/>
      <c r="N220" s="289"/>
      <c r="O220" s="289"/>
      <c r="P220" s="289"/>
    </row>
    <row r="221">
      <c r="B221" s="303"/>
      <c r="F221" s="303"/>
      <c r="H221" s="289"/>
      <c r="I221" s="290"/>
      <c r="J221" s="289"/>
      <c r="K221" s="289"/>
      <c r="L221" s="289"/>
      <c r="M221" s="289"/>
      <c r="N221" s="289"/>
      <c r="O221" s="289"/>
      <c r="P221" s="289"/>
    </row>
    <row r="222">
      <c r="B222" s="303"/>
      <c r="F222" s="303"/>
      <c r="H222" s="289"/>
      <c r="I222" s="290"/>
      <c r="J222" s="289"/>
      <c r="K222" s="289"/>
      <c r="L222" s="289"/>
      <c r="M222" s="289"/>
      <c r="N222" s="289"/>
      <c r="O222" s="289"/>
      <c r="P222" s="289"/>
    </row>
    <row r="223">
      <c r="B223" s="303"/>
      <c r="F223" s="303"/>
      <c r="H223" s="289"/>
      <c r="I223" s="290"/>
      <c r="J223" s="289"/>
      <c r="K223" s="289"/>
      <c r="L223" s="289"/>
      <c r="M223" s="289"/>
      <c r="N223" s="289"/>
      <c r="O223" s="289"/>
      <c r="P223" s="289"/>
    </row>
    <row r="224">
      <c r="B224" s="303"/>
      <c r="F224" s="303"/>
      <c r="H224" s="289"/>
      <c r="I224" s="290"/>
      <c r="J224" s="289"/>
      <c r="K224" s="289"/>
      <c r="L224" s="289"/>
      <c r="M224" s="289"/>
      <c r="N224" s="289"/>
      <c r="O224" s="289"/>
      <c r="P224" s="289"/>
    </row>
    <row r="225">
      <c r="B225" s="303"/>
      <c r="F225" s="303"/>
      <c r="H225" s="289"/>
      <c r="I225" s="290"/>
      <c r="J225" s="289"/>
      <c r="K225" s="289"/>
      <c r="L225" s="289"/>
      <c r="M225" s="289"/>
      <c r="N225" s="289"/>
      <c r="O225" s="289"/>
      <c r="P225" s="289"/>
    </row>
    <row r="226">
      <c r="B226" s="303"/>
      <c r="F226" s="303"/>
      <c r="H226" s="289"/>
      <c r="I226" s="290"/>
      <c r="J226" s="289"/>
      <c r="K226" s="289"/>
      <c r="L226" s="289"/>
      <c r="M226" s="289"/>
      <c r="N226" s="289"/>
      <c r="O226" s="289"/>
      <c r="P226" s="289"/>
    </row>
    <row r="227">
      <c r="B227" s="303"/>
      <c r="F227" s="303"/>
      <c r="H227" s="289"/>
      <c r="I227" s="290"/>
      <c r="J227" s="289"/>
      <c r="K227" s="289"/>
      <c r="L227" s="289"/>
      <c r="M227" s="289"/>
      <c r="N227" s="289"/>
      <c r="O227" s="289"/>
      <c r="P227" s="289"/>
    </row>
    <row r="228">
      <c r="B228" s="303"/>
      <c r="F228" s="303"/>
      <c r="H228" s="289"/>
      <c r="I228" s="290"/>
      <c r="J228" s="289"/>
      <c r="K228" s="289"/>
      <c r="L228" s="289"/>
      <c r="M228" s="289"/>
      <c r="N228" s="289"/>
      <c r="O228" s="289"/>
      <c r="P228" s="289"/>
    </row>
    <row r="229">
      <c r="B229" s="303"/>
      <c r="F229" s="303"/>
      <c r="H229" s="289"/>
      <c r="I229" s="290"/>
      <c r="J229" s="289"/>
      <c r="K229" s="289"/>
      <c r="L229" s="289"/>
      <c r="M229" s="289"/>
      <c r="N229" s="289"/>
      <c r="O229" s="289"/>
      <c r="P229" s="289"/>
    </row>
    <row r="230">
      <c r="B230" s="303"/>
      <c r="F230" s="303"/>
      <c r="H230" s="289"/>
      <c r="I230" s="290"/>
      <c r="J230" s="289"/>
      <c r="K230" s="289"/>
      <c r="L230" s="289"/>
      <c r="M230" s="289"/>
      <c r="N230" s="289"/>
      <c r="O230" s="289"/>
      <c r="P230" s="289"/>
    </row>
    <row r="231">
      <c r="B231" s="303"/>
      <c r="F231" s="303"/>
      <c r="H231" s="289"/>
      <c r="I231" s="290"/>
      <c r="J231" s="289"/>
      <c r="K231" s="289"/>
      <c r="L231" s="289"/>
      <c r="M231" s="289"/>
      <c r="N231" s="289"/>
      <c r="O231" s="289"/>
      <c r="P231" s="289"/>
    </row>
    <row r="232">
      <c r="B232" s="303"/>
      <c r="F232" s="303"/>
      <c r="H232" s="289"/>
      <c r="I232" s="290"/>
      <c r="J232" s="289"/>
      <c r="K232" s="289"/>
      <c r="L232" s="289"/>
      <c r="M232" s="289"/>
      <c r="N232" s="289"/>
      <c r="O232" s="289"/>
      <c r="P232" s="289"/>
    </row>
    <row r="233">
      <c r="B233" s="303"/>
      <c r="F233" s="303"/>
      <c r="H233" s="289"/>
      <c r="I233" s="290"/>
      <c r="J233" s="289"/>
      <c r="K233" s="289"/>
      <c r="L233" s="289"/>
      <c r="M233" s="289"/>
      <c r="N233" s="289"/>
      <c r="O233" s="289"/>
      <c r="P233" s="289"/>
    </row>
    <row r="234">
      <c r="B234" s="303"/>
      <c r="F234" s="303"/>
      <c r="H234" s="289"/>
      <c r="I234" s="290"/>
      <c r="J234" s="289"/>
      <c r="K234" s="289"/>
      <c r="L234" s="289"/>
      <c r="M234" s="289"/>
      <c r="N234" s="289"/>
      <c r="O234" s="289"/>
      <c r="P234" s="289"/>
    </row>
    <row r="235">
      <c r="B235" s="303"/>
      <c r="F235" s="303"/>
      <c r="H235" s="289"/>
      <c r="I235" s="290"/>
      <c r="J235" s="289"/>
      <c r="K235" s="289"/>
      <c r="L235" s="289"/>
      <c r="M235" s="289"/>
      <c r="N235" s="289"/>
      <c r="O235" s="289"/>
      <c r="P235" s="289"/>
    </row>
    <row r="236">
      <c r="B236" s="303"/>
      <c r="F236" s="303"/>
      <c r="H236" s="289"/>
      <c r="I236" s="290"/>
      <c r="J236" s="289"/>
      <c r="K236" s="289"/>
      <c r="L236" s="289"/>
      <c r="M236" s="289"/>
      <c r="N236" s="289"/>
      <c r="O236" s="289"/>
      <c r="P236" s="289"/>
    </row>
    <row r="237">
      <c r="B237" s="303"/>
      <c r="F237" s="303"/>
      <c r="H237" s="289"/>
      <c r="I237" s="290"/>
      <c r="J237" s="289"/>
      <c r="K237" s="289"/>
      <c r="L237" s="289"/>
      <c r="M237" s="289"/>
      <c r="N237" s="289"/>
      <c r="O237" s="289"/>
      <c r="P237" s="289"/>
    </row>
    <row r="238">
      <c r="B238" s="303"/>
      <c r="F238" s="303"/>
      <c r="H238" s="289"/>
      <c r="I238" s="290"/>
      <c r="J238" s="289"/>
      <c r="K238" s="289"/>
      <c r="L238" s="289"/>
      <c r="M238" s="289"/>
      <c r="N238" s="289"/>
      <c r="O238" s="289"/>
      <c r="P238" s="289"/>
    </row>
    <row r="239">
      <c r="B239" s="303"/>
      <c r="F239" s="303"/>
      <c r="H239" s="289"/>
      <c r="I239" s="290"/>
      <c r="J239" s="289"/>
      <c r="K239" s="289"/>
      <c r="L239" s="289"/>
      <c r="M239" s="289"/>
      <c r="N239" s="289"/>
      <c r="O239" s="289"/>
      <c r="P239" s="289"/>
    </row>
    <row r="240">
      <c r="B240" s="303"/>
      <c r="F240" s="303"/>
      <c r="H240" s="289"/>
      <c r="I240" s="290"/>
      <c r="J240" s="289"/>
      <c r="K240" s="289"/>
      <c r="L240" s="289"/>
      <c r="M240" s="289"/>
      <c r="N240" s="289"/>
      <c r="O240" s="289"/>
      <c r="P240" s="289"/>
    </row>
    <row r="241">
      <c r="B241" s="303"/>
      <c r="F241" s="303"/>
      <c r="H241" s="289"/>
      <c r="I241" s="290"/>
      <c r="J241" s="289"/>
      <c r="K241" s="289"/>
      <c r="L241" s="289"/>
      <c r="M241" s="289"/>
      <c r="N241" s="289"/>
      <c r="O241" s="289"/>
      <c r="P241" s="289"/>
    </row>
    <row r="242">
      <c r="B242" s="303"/>
      <c r="F242" s="303"/>
      <c r="H242" s="289"/>
      <c r="I242" s="290"/>
      <c r="J242" s="289"/>
      <c r="K242" s="289"/>
      <c r="L242" s="289"/>
      <c r="M242" s="289"/>
      <c r="N242" s="289"/>
      <c r="O242" s="289"/>
      <c r="P242" s="289"/>
    </row>
    <row r="243">
      <c r="B243" s="303"/>
      <c r="F243" s="303"/>
      <c r="H243" s="289"/>
      <c r="I243" s="290"/>
      <c r="J243" s="289"/>
      <c r="K243" s="289"/>
      <c r="L243" s="289"/>
      <c r="M243" s="289"/>
      <c r="N243" s="289"/>
      <c r="O243" s="289"/>
      <c r="P243" s="289"/>
    </row>
    <row r="244">
      <c r="B244" s="303"/>
      <c r="F244" s="303"/>
      <c r="H244" s="289"/>
      <c r="I244" s="290"/>
      <c r="J244" s="289"/>
      <c r="K244" s="289"/>
      <c r="L244" s="289"/>
      <c r="M244" s="289"/>
      <c r="N244" s="289"/>
      <c r="O244" s="289"/>
      <c r="P244" s="289"/>
    </row>
    <row r="245">
      <c r="B245" s="303"/>
      <c r="F245" s="303"/>
      <c r="H245" s="289"/>
      <c r="I245" s="290"/>
      <c r="J245" s="289"/>
      <c r="K245" s="289"/>
      <c r="L245" s="289"/>
      <c r="M245" s="289"/>
      <c r="N245" s="289"/>
      <c r="O245" s="289"/>
      <c r="P245" s="289"/>
    </row>
    <row r="246">
      <c r="B246" s="303"/>
      <c r="F246" s="303"/>
      <c r="H246" s="289"/>
      <c r="I246" s="290"/>
      <c r="J246" s="289"/>
      <c r="K246" s="289"/>
      <c r="L246" s="289"/>
      <c r="M246" s="289"/>
      <c r="N246" s="289"/>
      <c r="O246" s="289"/>
      <c r="P246" s="289"/>
    </row>
    <row r="247">
      <c r="B247" s="303"/>
      <c r="F247" s="303"/>
      <c r="H247" s="289"/>
      <c r="I247" s="290"/>
      <c r="J247" s="289"/>
      <c r="K247" s="289"/>
      <c r="L247" s="289"/>
      <c r="M247" s="289"/>
      <c r="N247" s="289"/>
      <c r="O247" s="289"/>
      <c r="P247" s="289"/>
    </row>
    <row r="248">
      <c r="B248" s="303"/>
      <c r="F248" s="303"/>
      <c r="H248" s="289"/>
      <c r="I248" s="290"/>
      <c r="J248" s="289"/>
      <c r="K248" s="289"/>
      <c r="L248" s="289"/>
      <c r="M248" s="289"/>
      <c r="N248" s="289"/>
      <c r="O248" s="289"/>
      <c r="P248" s="289"/>
    </row>
    <row r="249">
      <c r="B249" s="303"/>
      <c r="F249" s="303"/>
      <c r="H249" s="289"/>
      <c r="I249" s="290"/>
      <c r="J249" s="289"/>
      <c r="K249" s="289"/>
      <c r="L249" s="289"/>
      <c r="M249" s="289"/>
      <c r="N249" s="289"/>
      <c r="O249" s="289"/>
      <c r="P249" s="289"/>
    </row>
    <row r="250">
      <c r="B250" s="303"/>
      <c r="F250" s="303"/>
      <c r="H250" s="289"/>
      <c r="I250" s="290"/>
      <c r="J250" s="289"/>
      <c r="K250" s="289"/>
      <c r="L250" s="289"/>
      <c r="M250" s="289"/>
      <c r="N250" s="289"/>
      <c r="O250" s="289"/>
      <c r="P250" s="289"/>
    </row>
    <row r="251">
      <c r="B251" s="303"/>
      <c r="F251" s="303"/>
      <c r="H251" s="289"/>
      <c r="I251" s="290"/>
      <c r="J251" s="289"/>
      <c r="K251" s="289"/>
      <c r="L251" s="289"/>
      <c r="M251" s="289"/>
      <c r="N251" s="289"/>
      <c r="O251" s="289"/>
      <c r="P251" s="289"/>
    </row>
    <row r="252">
      <c r="B252" s="303"/>
      <c r="F252" s="303"/>
      <c r="H252" s="289"/>
      <c r="I252" s="290"/>
      <c r="J252" s="289"/>
      <c r="K252" s="289"/>
      <c r="L252" s="289"/>
      <c r="M252" s="289"/>
      <c r="N252" s="289"/>
      <c r="O252" s="289"/>
      <c r="P252" s="289"/>
    </row>
    <row r="253">
      <c r="B253" s="303"/>
      <c r="F253" s="303"/>
      <c r="H253" s="289"/>
      <c r="I253" s="290"/>
      <c r="J253" s="289"/>
      <c r="K253" s="289"/>
      <c r="L253" s="289"/>
      <c r="M253" s="289"/>
      <c r="N253" s="289"/>
      <c r="O253" s="289"/>
      <c r="P253" s="289"/>
    </row>
    <row r="254">
      <c r="B254" s="303"/>
      <c r="F254" s="303"/>
      <c r="H254" s="289"/>
      <c r="I254" s="290"/>
      <c r="J254" s="289"/>
      <c r="K254" s="289"/>
      <c r="L254" s="289"/>
      <c r="M254" s="289"/>
      <c r="N254" s="289"/>
      <c r="O254" s="289"/>
      <c r="P254" s="289"/>
    </row>
    <row r="255">
      <c r="B255" s="303"/>
      <c r="F255" s="303"/>
      <c r="H255" s="289"/>
      <c r="I255" s="290"/>
      <c r="J255" s="289"/>
      <c r="K255" s="289"/>
      <c r="L255" s="289"/>
      <c r="M255" s="289"/>
      <c r="N255" s="289"/>
      <c r="O255" s="289"/>
      <c r="P255" s="289"/>
    </row>
    <row r="256">
      <c r="B256" s="303"/>
      <c r="F256" s="303"/>
      <c r="H256" s="289"/>
      <c r="I256" s="290"/>
      <c r="J256" s="289"/>
      <c r="K256" s="289"/>
      <c r="L256" s="289"/>
      <c r="M256" s="289"/>
      <c r="N256" s="289"/>
      <c r="O256" s="289"/>
      <c r="P256" s="289"/>
    </row>
    <row r="257">
      <c r="B257" s="303"/>
      <c r="F257" s="303"/>
      <c r="H257" s="289"/>
      <c r="I257" s="290"/>
      <c r="J257" s="289"/>
      <c r="K257" s="289"/>
      <c r="L257" s="289"/>
      <c r="M257" s="289"/>
      <c r="N257" s="289"/>
      <c r="O257" s="289"/>
      <c r="P257" s="289"/>
    </row>
    <row r="258">
      <c r="B258" s="303"/>
      <c r="F258" s="303"/>
      <c r="H258" s="289"/>
      <c r="I258" s="290"/>
      <c r="J258" s="289"/>
      <c r="K258" s="289"/>
      <c r="L258" s="289"/>
      <c r="M258" s="289"/>
      <c r="N258" s="289"/>
      <c r="O258" s="289"/>
      <c r="P258" s="289"/>
    </row>
    <row r="259">
      <c r="B259" s="303"/>
      <c r="F259" s="303"/>
      <c r="H259" s="289"/>
      <c r="I259" s="290"/>
      <c r="J259" s="289"/>
      <c r="K259" s="289"/>
      <c r="L259" s="289"/>
      <c r="M259" s="289"/>
      <c r="N259" s="289"/>
      <c r="O259" s="289"/>
      <c r="P259" s="289"/>
    </row>
    <row r="260">
      <c r="B260" s="303"/>
      <c r="F260" s="303"/>
      <c r="H260" s="289"/>
      <c r="I260" s="290"/>
      <c r="J260" s="289"/>
      <c r="K260" s="289"/>
      <c r="L260" s="289"/>
      <c r="M260" s="289"/>
      <c r="N260" s="289"/>
      <c r="O260" s="289"/>
      <c r="P260" s="289"/>
    </row>
    <row r="261">
      <c r="B261" s="303"/>
      <c r="F261" s="303"/>
      <c r="H261" s="289"/>
      <c r="I261" s="290"/>
      <c r="J261" s="289"/>
      <c r="K261" s="289"/>
      <c r="L261" s="289"/>
      <c r="M261" s="289"/>
      <c r="N261" s="289"/>
      <c r="O261" s="289"/>
      <c r="P261" s="289"/>
    </row>
    <row r="262">
      <c r="B262" s="303"/>
      <c r="F262" s="303"/>
      <c r="H262" s="289"/>
      <c r="I262" s="290"/>
      <c r="J262" s="289"/>
      <c r="K262" s="289"/>
      <c r="L262" s="289"/>
      <c r="M262" s="289"/>
      <c r="N262" s="289"/>
      <c r="O262" s="289"/>
      <c r="P262" s="289"/>
    </row>
    <row r="263">
      <c r="B263" s="303"/>
      <c r="F263" s="303"/>
      <c r="H263" s="289"/>
      <c r="I263" s="290"/>
      <c r="J263" s="289"/>
      <c r="K263" s="289"/>
      <c r="L263" s="289"/>
      <c r="M263" s="289"/>
      <c r="N263" s="289"/>
      <c r="O263" s="289"/>
      <c r="P263" s="289"/>
    </row>
    <row r="264">
      <c r="B264" s="303"/>
      <c r="F264" s="303"/>
      <c r="H264" s="289"/>
      <c r="I264" s="290"/>
      <c r="J264" s="289"/>
      <c r="K264" s="289"/>
      <c r="L264" s="289"/>
      <c r="M264" s="289"/>
      <c r="N264" s="289"/>
      <c r="O264" s="289"/>
      <c r="P264" s="289"/>
    </row>
    <row r="265">
      <c r="B265" s="303"/>
      <c r="F265" s="303"/>
      <c r="H265" s="289"/>
      <c r="I265" s="290"/>
      <c r="J265" s="289"/>
      <c r="K265" s="289"/>
      <c r="L265" s="289"/>
      <c r="M265" s="289"/>
      <c r="N265" s="289"/>
      <c r="O265" s="289"/>
      <c r="P265" s="289"/>
    </row>
    <row r="266">
      <c r="B266" s="303"/>
      <c r="F266" s="303"/>
      <c r="H266" s="289"/>
      <c r="I266" s="290"/>
      <c r="J266" s="289"/>
      <c r="K266" s="289"/>
      <c r="L266" s="289"/>
      <c r="M266" s="289"/>
      <c r="N266" s="289"/>
      <c r="O266" s="289"/>
      <c r="P266" s="289"/>
    </row>
    <row r="267">
      <c r="B267" s="303"/>
      <c r="F267" s="303"/>
      <c r="H267" s="289"/>
      <c r="I267" s="290"/>
      <c r="J267" s="289"/>
      <c r="K267" s="289"/>
      <c r="L267" s="289"/>
      <c r="M267" s="289"/>
      <c r="N267" s="289"/>
      <c r="O267" s="289"/>
      <c r="P267" s="289"/>
    </row>
    <row r="268">
      <c r="B268" s="303"/>
      <c r="F268" s="303"/>
      <c r="H268" s="289"/>
      <c r="I268" s="290"/>
      <c r="J268" s="289"/>
      <c r="K268" s="289"/>
      <c r="L268" s="289"/>
      <c r="M268" s="289"/>
      <c r="N268" s="289"/>
      <c r="O268" s="289"/>
      <c r="P268" s="289"/>
    </row>
    <row r="269">
      <c r="B269" s="303"/>
      <c r="F269" s="303"/>
      <c r="H269" s="289"/>
      <c r="I269" s="290"/>
      <c r="J269" s="289"/>
      <c r="K269" s="289"/>
      <c r="L269" s="289"/>
      <c r="M269" s="289"/>
      <c r="N269" s="289"/>
      <c r="O269" s="289"/>
      <c r="P269" s="289"/>
    </row>
    <row r="270">
      <c r="B270" s="303"/>
      <c r="F270" s="303"/>
      <c r="H270" s="289"/>
      <c r="I270" s="290"/>
      <c r="J270" s="289"/>
      <c r="K270" s="289"/>
      <c r="L270" s="289"/>
      <c r="M270" s="289"/>
      <c r="N270" s="289"/>
      <c r="O270" s="289"/>
      <c r="P270" s="289"/>
    </row>
    <row r="271">
      <c r="B271" s="303"/>
      <c r="F271" s="303"/>
      <c r="H271" s="289"/>
      <c r="I271" s="290"/>
      <c r="J271" s="289"/>
      <c r="K271" s="289"/>
      <c r="L271" s="289"/>
      <c r="M271" s="289"/>
      <c r="N271" s="289"/>
      <c r="O271" s="289"/>
      <c r="P271" s="289"/>
    </row>
    <row r="272">
      <c r="B272" s="303"/>
      <c r="F272" s="303"/>
      <c r="H272" s="289"/>
      <c r="I272" s="290"/>
      <c r="J272" s="289"/>
      <c r="K272" s="289"/>
      <c r="L272" s="289"/>
      <c r="M272" s="289"/>
      <c r="N272" s="289"/>
      <c r="O272" s="289"/>
      <c r="P272" s="289"/>
    </row>
    <row r="273">
      <c r="B273" s="303"/>
      <c r="F273" s="303"/>
      <c r="H273" s="289"/>
      <c r="I273" s="290"/>
      <c r="J273" s="289"/>
      <c r="K273" s="289"/>
      <c r="L273" s="289"/>
      <c r="M273" s="289"/>
      <c r="N273" s="289"/>
      <c r="O273" s="289"/>
      <c r="P273" s="289"/>
    </row>
    <row r="274">
      <c r="B274" s="303"/>
      <c r="F274" s="303"/>
      <c r="H274" s="289"/>
      <c r="I274" s="290"/>
      <c r="J274" s="289"/>
      <c r="K274" s="289"/>
      <c r="L274" s="289"/>
      <c r="M274" s="289"/>
      <c r="N274" s="289"/>
      <c r="O274" s="289"/>
      <c r="P274" s="289"/>
    </row>
    <row r="275">
      <c r="B275" s="303"/>
      <c r="F275" s="303"/>
      <c r="H275" s="289"/>
      <c r="I275" s="290"/>
      <c r="J275" s="289"/>
      <c r="K275" s="289"/>
      <c r="L275" s="289"/>
      <c r="M275" s="289"/>
      <c r="N275" s="289"/>
      <c r="O275" s="289"/>
      <c r="P275" s="289"/>
    </row>
    <row r="276">
      <c r="B276" s="303"/>
      <c r="F276" s="303"/>
      <c r="H276" s="289"/>
      <c r="I276" s="290"/>
      <c r="J276" s="289"/>
      <c r="K276" s="289"/>
      <c r="L276" s="289"/>
      <c r="M276" s="289"/>
      <c r="N276" s="289"/>
      <c r="O276" s="289"/>
      <c r="P276" s="289"/>
    </row>
    <row r="277">
      <c r="B277" s="303"/>
      <c r="F277" s="303"/>
      <c r="H277" s="289"/>
      <c r="I277" s="290"/>
      <c r="J277" s="289"/>
      <c r="K277" s="289"/>
      <c r="L277" s="289"/>
      <c r="M277" s="289"/>
      <c r="N277" s="289"/>
      <c r="O277" s="289"/>
      <c r="P277" s="289"/>
    </row>
    <row r="278">
      <c r="B278" s="303"/>
      <c r="F278" s="303"/>
      <c r="H278" s="289"/>
      <c r="I278" s="290"/>
      <c r="J278" s="289"/>
      <c r="K278" s="289"/>
      <c r="L278" s="289"/>
      <c r="M278" s="289"/>
      <c r="N278" s="289"/>
      <c r="O278" s="289"/>
      <c r="P278" s="289"/>
    </row>
    <row r="279">
      <c r="B279" s="303"/>
      <c r="F279" s="303"/>
      <c r="H279" s="289"/>
      <c r="I279" s="290"/>
      <c r="J279" s="289"/>
      <c r="K279" s="289"/>
      <c r="L279" s="289"/>
      <c r="M279" s="289"/>
      <c r="N279" s="289"/>
      <c r="O279" s="289"/>
      <c r="P279" s="289"/>
    </row>
    <row r="280">
      <c r="B280" s="303"/>
      <c r="F280" s="303"/>
      <c r="H280" s="289"/>
      <c r="I280" s="290"/>
      <c r="J280" s="289"/>
      <c r="K280" s="289"/>
      <c r="L280" s="289"/>
      <c r="M280" s="289"/>
      <c r="N280" s="289"/>
      <c r="O280" s="289"/>
      <c r="P280" s="289"/>
    </row>
    <row r="281">
      <c r="B281" s="303"/>
      <c r="F281" s="303"/>
      <c r="H281" s="289"/>
      <c r="I281" s="290"/>
      <c r="J281" s="289"/>
      <c r="K281" s="289"/>
      <c r="L281" s="289"/>
      <c r="M281" s="289"/>
      <c r="N281" s="289"/>
      <c r="O281" s="289"/>
      <c r="P281" s="289"/>
    </row>
    <row r="282">
      <c r="B282" s="303"/>
      <c r="F282" s="303"/>
      <c r="H282" s="289"/>
      <c r="I282" s="290"/>
      <c r="J282" s="289"/>
      <c r="K282" s="289"/>
      <c r="L282" s="289"/>
      <c r="M282" s="289"/>
      <c r="N282" s="289"/>
      <c r="O282" s="289"/>
      <c r="P282" s="289"/>
    </row>
    <row r="283">
      <c r="B283" s="303"/>
      <c r="F283" s="303"/>
      <c r="H283" s="289"/>
      <c r="I283" s="290"/>
      <c r="J283" s="289"/>
      <c r="K283" s="289"/>
      <c r="L283" s="289"/>
      <c r="M283" s="289"/>
      <c r="N283" s="289"/>
      <c r="O283" s="289"/>
      <c r="P283" s="289"/>
    </row>
    <row r="284">
      <c r="B284" s="303"/>
      <c r="F284" s="303"/>
      <c r="H284" s="289"/>
      <c r="I284" s="290"/>
      <c r="J284" s="289"/>
      <c r="K284" s="289"/>
      <c r="L284" s="289"/>
      <c r="M284" s="289"/>
      <c r="N284" s="289"/>
      <c r="O284" s="289"/>
      <c r="P284" s="289"/>
    </row>
    <row r="285">
      <c r="B285" s="303"/>
      <c r="F285" s="303"/>
      <c r="H285" s="289"/>
      <c r="I285" s="290"/>
      <c r="J285" s="289"/>
      <c r="K285" s="289"/>
      <c r="L285" s="289"/>
      <c r="M285" s="289"/>
      <c r="N285" s="289"/>
      <c r="O285" s="289"/>
      <c r="P285" s="289"/>
    </row>
    <row r="286">
      <c r="B286" s="303"/>
      <c r="F286" s="303"/>
      <c r="H286" s="289"/>
      <c r="I286" s="290"/>
      <c r="J286" s="289"/>
      <c r="K286" s="289"/>
      <c r="L286" s="289"/>
      <c r="M286" s="289"/>
      <c r="N286" s="289"/>
      <c r="O286" s="289"/>
      <c r="P286" s="289"/>
    </row>
    <row r="287">
      <c r="B287" s="303"/>
      <c r="F287" s="303"/>
      <c r="H287" s="289"/>
      <c r="I287" s="290"/>
      <c r="J287" s="289"/>
      <c r="K287" s="289"/>
      <c r="L287" s="289"/>
      <c r="M287" s="289"/>
      <c r="N287" s="289"/>
      <c r="O287" s="289"/>
      <c r="P287" s="289"/>
    </row>
    <row r="288">
      <c r="B288" s="303"/>
      <c r="F288" s="303"/>
      <c r="H288" s="289"/>
      <c r="I288" s="290"/>
      <c r="J288" s="289"/>
      <c r="K288" s="289"/>
      <c r="L288" s="289"/>
      <c r="M288" s="289"/>
      <c r="N288" s="289"/>
      <c r="O288" s="289"/>
      <c r="P288" s="289"/>
    </row>
    <row r="289">
      <c r="B289" s="303"/>
      <c r="F289" s="303"/>
      <c r="H289" s="289"/>
      <c r="I289" s="290"/>
      <c r="J289" s="289"/>
      <c r="K289" s="289"/>
      <c r="L289" s="289"/>
      <c r="M289" s="289"/>
      <c r="N289" s="289"/>
      <c r="O289" s="289"/>
      <c r="P289" s="289"/>
    </row>
    <row r="290">
      <c r="B290" s="303"/>
      <c r="F290" s="303"/>
      <c r="H290" s="289"/>
      <c r="I290" s="290"/>
      <c r="J290" s="289"/>
      <c r="K290" s="289"/>
      <c r="L290" s="289"/>
      <c r="M290" s="289"/>
      <c r="N290" s="289"/>
      <c r="O290" s="289"/>
      <c r="P290" s="289"/>
    </row>
    <row r="291">
      <c r="B291" s="303"/>
      <c r="F291" s="303"/>
      <c r="H291" s="289"/>
      <c r="I291" s="290"/>
      <c r="J291" s="289"/>
      <c r="K291" s="289"/>
      <c r="L291" s="289"/>
      <c r="M291" s="289"/>
      <c r="N291" s="289"/>
      <c r="O291" s="289"/>
      <c r="P291" s="289"/>
    </row>
    <row r="292">
      <c r="B292" s="303"/>
      <c r="F292" s="303"/>
      <c r="H292" s="289"/>
      <c r="I292" s="290"/>
      <c r="J292" s="289"/>
      <c r="K292" s="289"/>
      <c r="L292" s="289"/>
      <c r="M292" s="289"/>
      <c r="N292" s="289"/>
      <c r="O292" s="289"/>
      <c r="P292" s="289"/>
    </row>
    <row r="293">
      <c r="B293" s="303"/>
      <c r="F293" s="303"/>
      <c r="H293" s="289"/>
      <c r="I293" s="290"/>
      <c r="J293" s="289"/>
      <c r="K293" s="289"/>
      <c r="L293" s="289"/>
      <c r="M293" s="289"/>
      <c r="N293" s="289"/>
      <c r="O293" s="289"/>
      <c r="P293" s="289"/>
    </row>
    <row r="294">
      <c r="B294" s="303"/>
      <c r="F294" s="303"/>
      <c r="H294" s="289"/>
      <c r="I294" s="290"/>
      <c r="J294" s="289"/>
      <c r="K294" s="289"/>
      <c r="L294" s="289"/>
      <c r="M294" s="289"/>
      <c r="N294" s="289"/>
      <c r="O294" s="289"/>
      <c r="P294" s="289"/>
    </row>
    <row r="295">
      <c r="B295" s="303"/>
      <c r="F295" s="303"/>
      <c r="H295" s="289"/>
      <c r="I295" s="290"/>
      <c r="J295" s="289"/>
      <c r="K295" s="289"/>
      <c r="L295" s="289"/>
      <c r="M295" s="289"/>
      <c r="N295" s="289"/>
      <c r="O295" s="289"/>
      <c r="P295" s="289"/>
    </row>
    <row r="296">
      <c r="B296" s="303"/>
      <c r="F296" s="303"/>
      <c r="H296" s="289"/>
      <c r="I296" s="290"/>
      <c r="J296" s="289"/>
      <c r="K296" s="289"/>
      <c r="L296" s="289"/>
      <c r="M296" s="289"/>
      <c r="N296" s="289"/>
      <c r="O296" s="289"/>
      <c r="P296" s="289"/>
    </row>
    <row r="297">
      <c r="B297" s="303"/>
      <c r="F297" s="303"/>
      <c r="H297" s="289"/>
      <c r="I297" s="290"/>
      <c r="J297" s="289"/>
      <c r="K297" s="289"/>
      <c r="L297" s="289"/>
      <c r="M297" s="289"/>
      <c r="N297" s="289"/>
      <c r="O297" s="289"/>
      <c r="P297" s="289"/>
    </row>
    <row r="298">
      <c r="B298" s="303"/>
      <c r="F298" s="303"/>
      <c r="H298" s="289"/>
      <c r="I298" s="290"/>
      <c r="J298" s="289"/>
      <c r="K298" s="289"/>
      <c r="L298" s="289"/>
      <c r="M298" s="289"/>
      <c r="N298" s="289"/>
      <c r="O298" s="289"/>
      <c r="P298" s="289"/>
    </row>
    <row r="299">
      <c r="B299" s="303"/>
      <c r="F299" s="303"/>
      <c r="H299" s="289"/>
      <c r="I299" s="290"/>
      <c r="J299" s="289"/>
      <c r="K299" s="289"/>
      <c r="L299" s="289"/>
      <c r="M299" s="289"/>
      <c r="N299" s="289"/>
      <c r="O299" s="289"/>
      <c r="P299" s="289"/>
    </row>
    <row r="300">
      <c r="B300" s="303"/>
      <c r="F300" s="303"/>
      <c r="H300" s="289"/>
      <c r="I300" s="290"/>
      <c r="J300" s="289"/>
      <c r="K300" s="289"/>
      <c r="L300" s="289"/>
      <c r="M300" s="289"/>
      <c r="N300" s="289"/>
      <c r="O300" s="289"/>
      <c r="P300" s="289"/>
    </row>
    <row r="301">
      <c r="B301" s="303"/>
      <c r="F301" s="303"/>
      <c r="H301" s="289"/>
      <c r="I301" s="290"/>
      <c r="J301" s="289"/>
      <c r="K301" s="289"/>
      <c r="L301" s="289"/>
      <c r="M301" s="289"/>
      <c r="N301" s="289"/>
      <c r="O301" s="289"/>
      <c r="P301" s="289"/>
    </row>
    <row r="302">
      <c r="B302" s="303"/>
      <c r="F302" s="303"/>
      <c r="H302" s="289"/>
      <c r="I302" s="290"/>
      <c r="J302" s="289"/>
      <c r="K302" s="289"/>
      <c r="L302" s="289"/>
      <c r="M302" s="289"/>
      <c r="N302" s="289"/>
      <c r="O302" s="289"/>
      <c r="P302" s="289"/>
    </row>
    <row r="303">
      <c r="B303" s="303"/>
      <c r="F303" s="303"/>
      <c r="H303" s="289"/>
      <c r="I303" s="290"/>
      <c r="J303" s="289"/>
      <c r="K303" s="289"/>
      <c r="L303" s="289"/>
      <c r="M303" s="289"/>
      <c r="N303" s="289"/>
      <c r="O303" s="289"/>
      <c r="P303" s="289"/>
    </row>
    <row r="304">
      <c r="B304" s="303"/>
      <c r="F304" s="303"/>
      <c r="H304" s="289"/>
      <c r="I304" s="290"/>
      <c r="J304" s="289"/>
      <c r="K304" s="289"/>
      <c r="L304" s="289"/>
      <c r="M304" s="289"/>
      <c r="N304" s="289"/>
      <c r="O304" s="289"/>
      <c r="P304" s="289"/>
    </row>
    <row r="305">
      <c r="B305" s="303"/>
      <c r="F305" s="303"/>
      <c r="H305" s="289"/>
      <c r="I305" s="290"/>
      <c r="J305" s="289"/>
      <c r="K305" s="289"/>
      <c r="L305" s="289"/>
      <c r="M305" s="289"/>
      <c r="N305" s="289"/>
      <c r="O305" s="289"/>
      <c r="P305" s="289"/>
    </row>
    <row r="306">
      <c r="B306" s="303"/>
      <c r="F306" s="303"/>
      <c r="H306" s="289"/>
      <c r="I306" s="290"/>
      <c r="J306" s="289"/>
      <c r="K306" s="289"/>
      <c r="L306" s="289"/>
      <c r="M306" s="289"/>
      <c r="N306" s="289"/>
      <c r="O306" s="289"/>
      <c r="P306" s="289"/>
    </row>
    <row r="307">
      <c r="B307" s="303"/>
      <c r="F307" s="303"/>
      <c r="H307" s="289"/>
      <c r="I307" s="290"/>
      <c r="J307" s="289"/>
      <c r="K307" s="289"/>
      <c r="L307" s="289"/>
      <c r="M307" s="289"/>
      <c r="N307" s="289"/>
      <c r="O307" s="289"/>
      <c r="P307" s="289"/>
    </row>
    <row r="308">
      <c r="B308" s="303"/>
      <c r="F308" s="303"/>
      <c r="H308" s="289"/>
      <c r="I308" s="290"/>
      <c r="J308" s="289"/>
      <c r="K308" s="289"/>
      <c r="L308" s="289"/>
      <c r="M308" s="289"/>
      <c r="N308" s="289"/>
      <c r="O308" s="289"/>
      <c r="P308" s="289"/>
    </row>
    <row r="309">
      <c r="B309" s="303"/>
      <c r="F309" s="303"/>
      <c r="H309" s="289"/>
      <c r="I309" s="290"/>
      <c r="J309" s="289"/>
      <c r="K309" s="289"/>
      <c r="L309" s="289"/>
      <c r="M309" s="289"/>
      <c r="N309" s="289"/>
      <c r="O309" s="289"/>
      <c r="P309" s="289"/>
    </row>
    <row r="310">
      <c r="B310" s="303"/>
      <c r="F310" s="303"/>
      <c r="H310" s="289"/>
      <c r="I310" s="290"/>
      <c r="J310" s="289"/>
      <c r="K310" s="289"/>
      <c r="L310" s="289"/>
      <c r="M310" s="289"/>
      <c r="N310" s="289"/>
      <c r="O310" s="289"/>
      <c r="P310" s="289"/>
    </row>
    <row r="311">
      <c r="B311" s="303"/>
      <c r="F311" s="303"/>
      <c r="H311" s="289"/>
      <c r="I311" s="290"/>
      <c r="J311" s="289"/>
      <c r="K311" s="289"/>
      <c r="L311" s="289"/>
      <c r="M311" s="289"/>
      <c r="N311" s="289"/>
      <c r="O311" s="289"/>
      <c r="P311" s="289"/>
    </row>
    <row r="312">
      <c r="B312" s="303"/>
      <c r="F312" s="303"/>
      <c r="H312" s="289"/>
      <c r="I312" s="290"/>
      <c r="J312" s="289"/>
      <c r="K312" s="289"/>
      <c r="L312" s="289"/>
      <c r="M312" s="289"/>
      <c r="N312" s="289"/>
      <c r="O312" s="289"/>
      <c r="P312" s="289"/>
    </row>
    <row r="313">
      <c r="B313" s="303"/>
      <c r="F313" s="303"/>
      <c r="H313" s="289"/>
      <c r="I313" s="290"/>
      <c r="J313" s="289"/>
      <c r="K313" s="289"/>
      <c r="L313" s="289"/>
      <c r="M313" s="289"/>
      <c r="N313" s="289"/>
      <c r="O313" s="289"/>
      <c r="P313" s="289"/>
    </row>
    <row r="314">
      <c r="B314" s="303"/>
      <c r="F314" s="303"/>
      <c r="H314" s="289"/>
      <c r="I314" s="290"/>
      <c r="J314" s="289"/>
      <c r="K314" s="289"/>
      <c r="L314" s="289"/>
      <c r="M314" s="289"/>
      <c r="N314" s="289"/>
      <c r="O314" s="289"/>
      <c r="P314" s="289"/>
    </row>
    <row r="315">
      <c r="B315" s="303"/>
      <c r="F315" s="303"/>
      <c r="H315" s="289"/>
      <c r="I315" s="290"/>
      <c r="J315" s="289"/>
      <c r="K315" s="289"/>
      <c r="L315" s="289"/>
      <c r="M315" s="289"/>
      <c r="N315" s="289"/>
      <c r="O315" s="289"/>
      <c r="P315" s="289"/>
    </row>
    <row r="316">
      <c r="B316" s="303"/>
      <c r="F316" s="303"/>
      <c r="H316" s="289"/>
      <c r="I316" s="290"/>
      <c r="J316" s="289"/>
      <c r="K316" s="289"/>
      <c r="L316" s="289"/>
      <c r="M316" s="289"/>
      <c r="N316" s="289"/>
      <c r="O316" s="289"/>
      <c r="P316" s="289"/>
    </row>
    <row r="317">
      <c r="B317" s="303"/>
      <c r="F317" s="303"/>
      <c r="H317" s="289"/>
      <c r="I317" s="290"/>
      <c r="J317" s="289"/>
      <c r="K317" s="289"/>
      <c r="L317" s="289"/>
      <c r="M317" s="289"/>
      <c r="N317" s="289"/>
      <c r="O317" s="289"/>
      <c r="P317" s="289"/>
    </row>
    <row r="318">
      <c r="B318" s="303"/>
      <c r="F318" s="303"/>
      <c r="H318" s="289"/>
      <c r="I318" s="290"/>
      <c r="J318" s="289"/>
      <c r="K318" s="289"/>
      <c r="L318" s="289"/>
      <c r="M318" s="289"/>
      <c r="N318" s="289"/>
      <c r="O318" s="289"/>
      <c r="P318" s="289"/>
    </row>
    <row r="319">
      <c r="B319" s="303"/>
      <c r="F319" s="303"/>
      <c r="H319" s="289"/>
      <c r="I319" s="290"/>
      <c r="J319" s="289"/>
      <c r="K319" s="289"/>
      <c r="L319" s="289"/>
      <c r="M319" s="289"/>
      <c r="N319" s="289"/>
      <c r="O319" s="289"/>
      <c r="P319" s="289"/>
    </row>
    <row r="320">
      <c r="B320" s="303"/>
      <c r="F320" s="303"/>
      <c r="H320" s="289"/>
      <c r="I320" s="290"/>
      <c r="J320" s="289"/>
      <c r="K320" s="289"/>
      <c r="L320" s="289"/>
      <c r="M320" s="289"/>
      <c r="N320" s="289"/>
      <c r="O320" s="289"/>
      <c r="P320" s="289"/>
    </row>
    <row r="321">
      <c r="B321" s="303"/>
      <c r="F321" s="303"/>
      <c r="H321" s="289"/>
      <c r="I321" s="290"/>
      <c r="J321" s="289"/>
      <c r="K321" s="289"/>
      <c r="L321" s="289"/>
      <c r="M321" s="289"/>
      <c r="N321" s="289"/>
      <c r="O321" s="289"/>
      <c r="P321" s="289"/>
    </row>
    <row r="322">
      <c r="B322" s="303"/>
      <c r="F322" s="303"/>
      <c r="H322" s="289"/>
      <c r="I322" s="290"/>
      <c r="J322" s="289"/>
      <c r="K322" s="289"/>
      <c r="L322" s="289"/>
      <c r="M322" s="289"/>
      <c r="N322" s="289"/>
      <c r="O322" s="289"/>
      <c r="P322" s="289"/>
    </row>
    <row r="323">
      <c r="B323" s="303"/>
      <c r="F323" s="303"/>
      <c r="H323" s="289"/>
      <c r="I323" s="290"/>
      <c r="J323" s="289"/>
      <c r="K323" s="289"/>
      <c r="L323" s="289"/>
      <c r="M323" s="289"/>
      <c r="N323" s="289"/>
      <c r="O323" s="289"/>
      <c r="P323" s="289"/>
    </row>
    <row r="324">
      <c r="B324" s="303"/>
      <c r="F324" s="303"/>
      <c r="H324" s="289"/>
      <c r="I324" s="290"/>
      <c r="J324" s="289"/>
      <c r="K324" s="289"/>
      <c r="L324" s="289"/>
      <c r="M324" s="289"/>
      <c r="N324" s="289"/>
      <c r="O324" s="289"/>
      <c r="P324" s="289"/>
    </row>
    <row r="325">
      <c r="B325" s="303"/>
      <c r="F325" s="303"/>
      <c r="H325" s="289"/>
      <c r="I325" s="290"/>
      <c r="J325" s="289"/>
      <c r="K325" s="289"/>
      <c r="L325" s="289"/>
      <c r="M325" s="289"/>
      <c r="N325" s="289"/>
      <c r="O325" s="289"/>
      <c r="P325" s="289"/>
    </row>
    <row r="326">
      <c r="B326" s="303"/>
      <c r="F326" s="303"/>
      <c r="H326" s="289"/>
      <c r="I326" s="290"/>
      <c r="J326" s="289"/>
      <c r="K326" s="289"/>
      <c r="L326" s="289"/>
      <c r="M326" s="289"/>
      <c r="N326" s="289"/>
      <c r="O326" s="289"/>
      <c r="P326" s="289"/>
    </row>
    <row r="327">
      <c r="B327" s="303"/>
      <c r="F327" s="303"/>
      <c r="H327" s="289"/>
      <c r="I327" s="290"/>
      <c r="J327" s="289"/>
      <c r="K327" s="289"/>
      <c r="L327" s="289"/>
      <c r="M327" s="289"/>
      <c r="N327" s="289"/>
      <c r="O327" s="289"/>
      <c r="P327" s="289"/>
    </row>
    <row r="328">
      <c r="B328" s="303"/>
      <c r="F328" s="303"/>
      <c r="H328" s="289"/>
      <c r="I328" s="290"/>
      <c r="J328" s="289"/>
      <c r="K328" s="289"/>
      <c r="L328" s="289"/>
      <c r="M328" s="289"/>
      <c r="N328" s="289"/>
      <c r="O328" s="289"/>
      <c r="P328" s="289"/>
    </row>
    <row r="329">
      <c r="B329" s="303"/>
      <c r="F329" s="303"/>
      <c r="H329" s="289"/>
      <c r="I329" s="290"/>
      <c r="J329" s="289"/>
      <c r="K329" s="289"/>
      <c r="L329" s="289"/>
      <c r="M329" s="289"/>
      <c r="N329" s="289"/>
      <c r="O329" s="289"/>
      <c r="P329" s="289"/>
    </row>
    <row r="330">
      <c r="B330" s="303"/>
      <c r="F330" s="303"/>
      <c r="H330" s="289"/>
      <c r="I330" s="290"/>
      <c r="J330" s="289"/>
      <c r="K330" s="289"/>
      <c r="L330" s="289"/>
      <c r="M330" s="289"/>
      <c r="N330" s="289"/>
      <c r="O330" s="289"/>
      <c r="P330" s="289"/>
    </row>
    <row r="331">
      <c r="B331" s="303"/>
      <c r="F331" s="303"/>
      <c r="H331" s="289"/>
      <c r="I331" s="290"/>
      <c r="J331" s="289"/>
      <c r="K331" s="289"/>
      <c r="L331" s="289"/>
      <c r="M331" s="289"/>
      <c r="N331" s="289"/>
      <c r="O331" s="289"/>
      <c r="P331" s="289"/>
    </row>
    <row r="332">
      <c r="B332" s="303"/>
      <c r="F332" s="303"/>
      <c r="H332" s="289"/>
      <c r="I332" s="290"/>
      <c r="J332" s="289"/>
      <c r="K332" s="289"/>
      <c r="L332" s="289"/>
      <c r="M332" s="289"/>
      <c r="N332" s="289"/>
      <c r="O332" s="289"/>
      <c r="P332" s="289"/>
    </row>
    <row r="333">
      <c r="B333" s="303"/>
      <c r="F333" s="303"/>
      <c r="H333" s="289"/>
      <c r="I333" s="290"/>
      <c r="J333" s="289"/>
      <c r="K333" s="289"/>
      <c r="L333" s="289"/>
      <c r="M333" s="289"/>
      <c r="N333" s="289"/>
      <c r="O333" s="289"/>
      <c r="P333" s="289"/>
    </row>
    <row r="334">
      <c r="B334" s="303"/>
      <c r="F334" s="303"/>
      <c r="H334" s="289"/>
      <c r="I334" s="290"/>
      <c r="J334" s="289"/>
      <c r="K334" s="289"/>
      <c r="L334" s="289"/>
      <c r="M334" s="289"/>
      <c r="N334" s="289"/>
      <c r="O334" s="289"/>
      <c r="P334" s="289"/>
    </row>
    <row r="335">
      <c r="B335" s="303"/>
      <c r="F335" s="303"/>
      <c r="H335" s="289"/>
      <c r="I335" s="290"/>
      <c r="J335" s="289"/>
      <c r="K335" s="289"/>
      <c r="L335" s="289"/>
      <c r="M335" s="289"/>
      <c r="N335" s="289"/>
      <c r="O335" s="289"/>
      <c r="P335" s="289"/>
    </row>
    <row r="336">
      <c r="B336" s="303"/>
      <c r="F336" s="303"/>
      <c r="H336" s="289"/>
      <c r="I336" s="290"/>
      <c r="J336" s="289"/>
      <c r="K336" s="289"/>
      <c r="L336" s="289"/>
      <c r="M336" s="289"/>
      <c r="N336" s="289"/>
      <c r="O336" s="289"/>
      <c r="P336" s="289"/>
    </row>
    <row r="337">
      <c r="B337" s="303"/>
      <c r="F337" s="303"/>
      <c r="H337" s="289"/>
      <c r="I337" s="290"/>
      <c r="J337" s="289"/>
      <c r="K337" s="289"/>
      <c r="L337" s="289"/>
      <c r="M337" s="289"/>
      <c r="N337" s="289"/>
      <c r="O337" s="289"/>
      <c r="P337" s="289"/>
    </row>
    <row r="338">
      <c r="B338" s="303"/>
      <c r="F338" s="303"/>
      <c r="H338" s="289"/>
      <c r="I338" s="290"/>
      <c r="J338" s="289"/>
      <c r="K338" s="289"/>
      <c r="L338" s="289"/>
      <c r="M338" s="289"/>
      <c r="N338" s="289"/>
      <c r="O338" s="289"/>
      <c r="P338" s="289"/>
    </row>
    <row r="339">
      <c r="B339" s="303"/>
      <c r="F339" s="303"/>
      <c r="H339" s="289"/>
      <c r="I339" s="290"/>
      <c r="J339" s="289"/>
      <c r="K339" s="289"/>
      <c r="L339" s="289"/>
      <c r="M339" s="289"/>
      <c r="N339" s="289"/>
      <c r="O339" s="289"/>
      <c r="P339" s="289"/>
    </row>
    <row r="340">
      <c r="B340" s="303"/>
      <c r="F340" s="303"/>
      <c r="H340" s="289"/>
      <c r="I340" s="290"/>
      <c r="J340" s="289"/>
      <c r="K340" s="289"/>
      <c r="L340" s="289"/>
      <c r="M340" s="289"/>
      <c r="N340" s="289"/>
      <c r="O340" s="289"/>
      <c r="P340" s="289"/>
    </row>
    <row r="341">
      <c r="B341" s="303"/>
      <c r="F341" s="303"/>
      <c r="H341" s="289"/>
      <c r="I341" s="290"/>
      <c r="J341" s="289"/>
      <c r="K341" s="289"/>
      <c r="L341" s="289"/>
      <c r="M341" s="289"/>
      <c r="N341" s="289"/>
      <c r="O341" s="289"/>
      <c r="P341" s="289"/>
    </row>
    <row r="342">
      <c r="B342" s="303"/>
      <c r="F342" s="303"/>
      <c r="H342" s="289"/>
      <c r="I342" s="290"/>
      <c r="J342" s="289"/>
      <c r="K342" s="289"/>
      <c r="L342" s="289"/>
      <c r="M342" s="289"/>
      <c r="N342" s="289"/>
      <c r="O342" s="289"/>
      <c r="P342" s="289"/>
    </row>
    <row r="343">
      <c r="B343" s="303"/>
      <c r="F343" s="303"/>
      <c r="H343" s="289"/>
      <c r="I343" s="290"/>
      <c r="J343" s="289"/>
      <c r="K343" s="289"/>
      <c r="L343" s="289"/>
      <c r="M343" s="289"/>
      <c r="N343" s="289"/>
      <c r="O343" s="289"/>
      <c r="P343" s="289"/>
    </row>
    <row r="344">
      <c r="B344" s="303"/>
      <c r="F344" s="303"/>
      <c r="H344" s="289"/>
      <c r="I344" s="290"/>
      <c r="J344" s="289"/>
      <c r="K344" s="289"/>
      <c r="L344" s="289"/>
      <c r="M344" s="289"/>
      <c r="N344" s="289"/>
      <c r="O344" s="289"/>
      <c r="P344" s="289"/>
    </row>
    <row r="345">
      <c r="B345" s="303"/>
      <c r="F345" s="303"/>
      <c r="H345" s="289"/>
      <c r="I345" s="290"/>
      <c r="J345" s="289"/>
      <c r="K345" s="289"/>
      <c r="L345" s="289"/>
      <c r="M345" s="289"/>
      <c r="N345" s="289"/>
      <c r="O345" s="289"/>
      <c r="P345" s="289"/>
    </row>
    <row r="346">
      <c r="B346" s="303"/>
      <c r="F346" s="303"/>
      <c r="H346" s="289"/>
      <c r="I346" s="290"/>
      <c r="J346" s="289"/>
      <c r="K346" s="289"/>
      <c r="L346" s="289"/>
      <c r="M346" s="289"/>
      <c r="N346" s="289"/>
      <c r="O346" s="289"/>
      <c r="P346" s="289"/>
    </row>
    <row r="347">
      <c r="B347" s="303"/>
      <c r="F347" s="303"/>
      <c r="H347" s="289"/>
      <c r="I347" s="290"/>
      <c r="J347" s="289"/>
      <c r="K347" s="289"/>
      <c r="L347" s="289"/>
      <c r="M347" s="289"/>
      <c r="N347" s="289"/>
      <c r="O347" s="289"/>
      <c r="P347" s="289"/>
    </row>
    <row r="348">
      <c r="B348" s="303"/>
      <c r="F348" s="303"/>
      <c r="H348" s="289"/>
      <c r="I348" s="290"/>
      <c r="J348" s="289"/>
      <c r="K348" s="289"/>
      <c r="L348" s="289"/>
      <c r="M348" s="289"/>
      <c r="N348" s="289"/>
      <c r="O348" s="289"/>
      <c r="P348" s="289"/>
    </row>
    <row r="349">
      <c r="B349" s="303"/>
      <c r="F349" s="303"/>
      <c r="H349" s="289"/>
      <c r="I349" s="290"/>
      <c r="J349" s="289"/>
      <c r="K349" s="289"/>
      <c r="L349" s="289"/>
      <c r="M349" s="289"/>
      <c r="N349" s="289"/>
      <c r="O349" s="289"/>
      <c r="P349" s="289"/>
    </row>
    <row r="350">
      <c r="B350" s="303"/>
      <c r="F350" s="303"/>
      <c r="H350" s="289"/>
      <c r="I350" s="290"/>
      <c r="J350" s="289"/>
      <c r="K350" s="289"/>
      <c r="L350" s="289"/>
      <c r="M350" s="289"/>
      <c r="N350" s="289"/>
      <c r="O350" s="289"/>
      <c r="P350" s="289"/>
    </row>
    <row r="351">
      <c r="B351" s="303"/>
      <c r="F351" s="303"/>
      <c r="H351" s="289"/>
      <c r="I351" s="290"/>
      <c r="J351" s="289"/>
      <c r="K351" s="289"/>
      <c r="L351" s="289"/>
      <c r="M351" s="289"/>
      <c r="N351" s="289"/>
      <c r="O351" s="289"/>
      <c r="P351" s="289"/>
    </row>
    <row r="352">
      <c r="B352" s="303"/>
      <c r="F352" s="303"/>
      <c r="H352" s="289"/>
      <c r="I352" s="290"/>
      <c r="J352" s="289"/>
      <c r="K352" s="289"/>
      <c r="L352" s="289"/>
      <c r="M352" s="289"/>
      <c r="N352" s="289"/>
      <c r="O352" s="289"/>
      <c r="P352" s="289"/>
    </row>
    <row r="353">
      <c r="B353" s="303"/>
      <c r="F353" s="303"/>
      <c r="H353" s="289"/>
      <c r="I353" s="290"/>
      <c r="J353" s="289"/>
      <c r="K353" s="289"/>
      <c r="L353" s="289"/>
      <c r="M353" s="289"/>
      <c r="N353" s="289"/>
      <c r="O353" s="289"/>
      <c r="P353" s="289"/>
    </row>
    <row r="354">
      <c r="B354" s="303"/>
      <c r="F354" s="303"/>
      <c r="H354" s="289"/>
      <c r="I354" s="290"/>
      <c r="J354" s="289"/>
      <c r="K354" s="289"/>
      <c r="L354" s="289"/>
      <c r="M354" s="289"/>
      <c r="N354" s="289"/>
      <c r="O354" s="289"/>
      <c r="P354" s="289"/>
    </row>
    <row r="355">
      <c r="B355" s="303"/>
      <c r="F355" s="303"/>
      <c r="H355" s="289"/>
      <c r="I355" s="290"/>
      <c r="J355" s="289"/>
      <c r="K355" s="289"/>
      <c r="L355" s="289"/>
      <c r="M355" s="289"/>
      <c r="N355" s="289"/>
      <c r="O355" s="289"/>
      <c r="P355" s="289"/>
    </row>
    <row r="356">
      <c r="B356" s="303"/>
      <c r="F356" s="303"/>
      <c r="H356" s="289"/>
      <c r="I356" s="290"/>
      <c r="J356" s="289"/>
      <c r="K356" s="289"/>
      <c r="L356" s="289"/>
      <c r="M356" s="289"/>
      <c r="N356" s="289"/>
      <c r="O356" s="289"/>
      <c r="P356" s="289"/>
    </row>
    <row r="357">
      <c r="B357" s="303"/>
      <c r="F357" s="303"/>
      <c r="H357" s="289"/>
      <c r="I357" s="290"/>
      <c r="J357" s="289"/>
      <c r="K357" s="289"/>
      <c r="L357" s="289"/>
      <c r="M357" s="289"/>
      <c r="N357" s="289"/>
      <c r="O357" s="289"/>
      <c r="P357" s="289"/>
    </row>
    <row r="358">
      <c r="B358" s="303"/>
      <c r="F358" s="303"/>
      <c r="H358" s="289"/>
      <c r="I358" s="290"/>
      <c r="J358" s="289"/>
      <c r="K358" s="289"/>
      <c r="L358" s="289"/>
      <c r="M358" s="289"/>
      <c r="N358" s="289"/>
      <c r="O358" s="289"/>
      <c r="P358" s="289"/>
    </row>
    <row r="359">
      <c r="B359" s="303"/>
      <c r="F359" s="303"/>
      <c r="H359" s="289"/>
      <c r="I359" s="290"/>
      <c r="J359" s="289"/>
      <c r="K359" s="289"/>
      <c r="L359" s="289"/>
      <c r="M359" s="289"/>
      <c r="N359" s="289"/>
      <c r="O359" s="289"/>
      <c r="P359" s="289"/>
    </row>
    <row r="360">
      <c r="B360" s="303"/>
      <c r="F360" s="303"/>
      <c r="H360" s="289"/>
      <c r="I360" s="290"/>
      <c r="J360" s="289"/>
      <c r="K360" s="289"/>
      <c r="L360" s="289"/>
      <c r="M360" s="289"/>
      <c r="N360" s="289"/>
      <c r="O360" s="289"/>
      <c r="P360" s="289"/>
    </row>
    <row r="361">
      <c r="B361" s="303"/>
      <c r="F361" s="303"/>
      <c r="H361" s="289"/>
      <c r="I361" s="290"/>
      <c r="J361" s="289"/>
      <c r="K361" s="289"/>
      <c r="L361" s="289"/>
      <c r="M361" s="289"/>
      <c r="N361" s="289"/>
      <c r="O361" s="289"/>
      <c r="P361" s="289"/>
    </row>
    <row r="362">
      <c r="B362" s="303"/>
      <c r="F362" s="303"/>
      <c r="H362" s="289"/>
      <c r="I362" s="290"/>
      <c r="J362" s="289"/>
      <c r="K362" s="289"/>
      <c r="L362" s="289"/>
      <c r="M362" s="289"/>
      <c r="N362" s="289"/>
      <c r="O362" s="289"/>
      <c r="P362" s="289"/>
    </row>
    <row r="363">
      <c r="B363" s="303"/>
      <c r="F363" s="303"/>
      <c r="H363" s="289"/>
      <c r="I363" s="290"/>
      <c r="J363" s="289"/>
      <c r="K363" s="289"/>
      <c r="L363" s="289"/>
      <c r="M363" s="289"/>
      <c r="N363" s="289"/>
      <c r="O363" s="289"/>
      <c r="P363" s="289"/>
    </row>
    <row r="364">
      <c r="B364" s="303"/>
      <c r="F364" s="303"/>
      <c r="H364" s="289"/>
      <c r="I364" s="290"/>
      <c r="J364" s="289"/>
      <c r="K364" s="289"/>
      <c r="L364" s="289"/>
      <c r="M364" s="289"/>
      <c r="N364" s="289"/>
      <c r="O364" s="289"/>
      <c r="P364" s="289"/>
    </row>
    <row r="365">
      <c r="B365" s="303"/>
      <c r="F365" s="303"/>
      <c r="H365" s="289"/>
      <c r="I365" s="290"/>
      <c r="J365" s="289"/>
      <c r="K365" s="289"/>
      <c r="L365" s="289"/>
      <c r="M365" s="289"/>
      <c r="N365" s="289"/>
      <c r="O365" s="289"/>
      <c r="P365" s="289"/>
    </row>
    <row r="366">
      <c r="B366" s="303"/>
      <c r="F366" s="303"/>
      <c r="H366" s="289"/>
      <c r="I366" s="290"/>
      <c r="J366" s="289"/>
      <c r="K366" s="289"/>
      <c r="L366" s="289"/>
      <c r="M366" s="289"/>
      <c r="N366" s="289"/>
      <c r="O366" s="289"/>
      <c r="P366" s="289"/>
    </row>
    <row r="367">
      <c r="B367" s="303"/>
      <c r="F367" s="303"/>
      <c r="H367" s="289"/>
      <c r="I367" s="290"/>
      <c r="J367" s="289"/>
      <c r="K367" s="289"/>
      <c r="L367" s="289"/>
      <c r="M367" s="289"/>
      <c r="N367" s="289"/>
      <c r="O367" s="289"/>
      <c r="P367" s="289"/>
    </row>
    <row r="368">
      <c r="B368" s="303"/>
      <c r="F368" s="303"/>
      <c r="H368" s="289"/>
      <c r="I368" s="290"/>
      <c r="J368" s="289"/>
      <c r="K368" s="289"/>
      <c r="L368" s="289"/>
      <c r="M368" s="289"/>
      <c r="N368" s="289"/>
      <c r="O368" s="289"/>
      <c r="P368" s="289"/>
    </row>
    <row r="369">
      <c r="B369" s="303"/>
      <c r="F369" s="303"/>
      <c r="H369" s="289"/>
      <c r="I369" s="290"/>
      <c r="J369" s="289"/>
      <c r="K369" s="289"/>
      <c r="L369" s="289"/>
      <c r="M369" s="289"/>
      <c r="N369" s="289"/>
      <c r="O369" s="289"/>
      <c r="P369" s="289"/>
    </row>
    <row r="370">
      <c r="B370" s="303"/>
      <c r="F370" s="303"/>
      <c r="H370" s="289"/>
      <c r="I370" s="290"/>
      <c r="J370" s="289"/>
      <c r="K370" s="289"/>
      <c r="L370" s="289"/>
      <c r="M370" s="289"/>
      <c r="N370" s="289"/>
      <c r="O370" s="289"/>
      <c r="P370" s="289"/>
    </row>
    <row r="371">
      <c r="B371" s="303"/>
      <c r="F371" s="303"/>
      <c r="H371" s="289"/>
      <c r="I371" s="290"/>
      <c r="J371" s="289"/>
      <c r="K371" s="289"/>
      <c r="L371" s="289"/>
      <c r="M371" s="289"/>
      <c r="N371" s="289"/>
      <c r="O371" s="289"/>
      <c r="P371" s="289"/>
    </row>
    <row r="372">
      <c r="B372" s="303"/>
      <c r="F372" s="303"/>
      <c r="H372" s="289"/>
      <c r="I372" s="290"/>
      <c r="J372" s="289"/>
      <c r="K372" s="289"/>
      <c r="L372" s="289"/>
      <c r="M372" s="289"/>
      <c r="N372" s="289"/>
      <c r="O372" s="289"/>
      <c r="P372" s="289"/>
    </row>
    <row r="373">
      <c r="B373" s="303"/>
      <c r="F373" s="303"/>
      <c r="H373" s="289"/>
      <c r="I373" s="290"/>
      <c r="J373" s="289"/>
      <c r="K373" s="289"/>
      <c r="L373" s="289"/>
      <c r="M373" s="289"/>
      <c r="N373" s="289"/>
      <c r="O373" s="289"/>
      <c r="P373" s="289"/>
    </row>
    <row r="374">
      <c r="B374" s="303"/>
      <c r="F374" s="303"/>
      <c r="H374" s="289"/>
      <c r="I374" s="290"/>
      <c r="J374" s="289"/>
      <c r="K374" s="289"/>
      <c r="L374" s="289"/>
      <c r="M374" s="289"/>
      <c r="N374" s="289"/>
      <c r="O374" s="289"/>
      <c r="P374" s="289"/>
    </row>
    <row r="375">
      <c r="B375" s="303"/>
      <c r="F375" s="303"/>
      <c r="H375" s="289"/>
      <c r="I375" s="290"/>
      <c r="J375" s="289"/>
      <c r="K375" s="289"/>
      <c r="L375" s="289"/>
      <c r="M375" s="289"/>
      <c r="N375" s="289"/>
      <c r="O375" s="289"/>
      <c r="P375" s="289"/>
    </row>
    <row r="376">
      <c r="B376" s="303"/>
      <c r="F376" s="303"/>
      <c r="H376" s="289"/>
      <c r="I376" s="290"/>
      <c r="J376" s="289"/>
      <c r="K376" s="289"/>
      <c r="L376" s="289"/>
      <c r="M376" s="289"/>
      <c r="N376" s="289"/>
      <c r="O376" s="289"/>
      <c r="P376" s="289"/>
    </row>
    <row r="377">
      <c r="B377" s="303"/>
      <c r="F377" s="303"/>
      <c r="H377" s="289"/>
      <c r="I377" s="290"/>
      <c r="J377" s="289"/>
      <c r="K377" s="289"/>
      <c r="L377" s="289"/>
      <c r="M377" s="289"/>
      <c r="N377" s="289"/>
      <c r="O377" s="289"/>
      <c r="P377" s="289"/>
    </row>
    <row r="378">
      <c r="B378" s="303"/>
      <c r="F378" s="303"/>
      <c r="H378" s="289"/>
      <c r="I378" s="290"/>
      <c r="J378" s="289"/>
      <c r="K378" s="289"/>
      <c r="L378" s="289"/>
      <c r="M378" s="289"/>
      <c r="N378" s="289"/>
      <c r="O378" s="289"/>
      <c r="P378" s="289"/>
    </row>
    <row r="379">
      <c r="B379" s="303"/>
      <c r="F379" s="303"/>
      <c r="H379" s="289"/>
      <c r="I379" s="290"/>
      <c r="J379" s="289"/>
      <c r="K379" s="289"/>
      <c r="L379" s="289"/>
      <c r="M379" s="289"/>
      <c r="N379" s="289"/>
      <c r="O379" s="289"/>
      <c r="P379" s="289"/>
    </row>
    <row r="380">
      <c r="B380" s="303"/>
      <c r="F380" s="303"/>
      <c r="H380" s="289"/>
      <c r="I380" s="290"/>
      <c r="J380" s="289"/>
      <c r="K380" s="289"/>
      <c r="L380" s="289"/>
      <c r="M380" s="289"/>
      <c r="N380" s="289"/>
      <c r="O380" s="289"/>
      <c r="P380" s="289"/>
    </row>
    <row r="381">
      <c r="B381" s="303"/>
      <c r="F381" s="303"/>
      <c r="H381" s="289"/>
      <c r="I381" s="290"/>
      <c r="J381" s="289"/>
      <c r="K381" s="289"/>
      <c r="L381" s="289"/>
      <c r="M381" s="289"/>
      <c r="N381" s="289"/>
      <c r="O381" s="289"/>
      <c r="P381" s="289"/>
    </row>
    <row r="382">
      <c r="B382" s="303"/>
      <c r="F382" s="303"/>
      <c r="H382" s="289"/>
      <c r="I382" s="290"/>
      <c r="J382" s="289"/>
      <c r="K382" s="289"/>
      <c r="L382" s="289"/>
      <c r="M382" s="289"/>
      <c r="N382" s="289"/>
      <c r="O382" s="289"/>
      <c r="P382" s="289"/>
    </row>
    <row r="383">
      <c r="B383" s="303"/>
      <c r="F383" s="303"/>
      <c r="H383" s="289"/>
      <c r="I383" s="290"/>
      <c r="J383" s="289"/>
      <c r="K383" s="289"/>
      <c r="L383" s="289"/>
      <c r="M383" s="289"/>
      <c r="N383" s="289"/>
      <c r="O383" s="289"/>
      <c r="P383" s="289"/>
    </row>
    <row r="384">
      <c r="B384" s="303"/>
      <c r="F384" s="303"/>
      <c r="H384" s="289"/>
      <c r="I384" s="290"/>
      <c r="J384" s="289"/>
      <c r="K384" s="289"/>
      <c r="L384" s="289"/>
      <c r="M384" s="289"/>
      <c r="N384" s="289"/>
      <c r="O384" s="289"/>
      <c r="P384" s="289"/>
    </row>
    <row r="385">
      <c r="B385" s="303"/>
      <c r="F385" s="303"/>
      <c r="H385" s="289"/>
      <c r="I385" s="290"/>
      <c r="J385" s="289"/>
      <c r="K385" s="289"/>
      <c r="L385" s="289"/>
      <c r="M385" s="289"/>
      <c r="N385" s="289"/>
      <c r="O385" s="289"/>
      <c r="P385" s="289"/>
    </row>
    <row r="386">
      <c r="B386" s="303"/>
      <c r="F386" s="303"/>
      <c r="H386" s="289"/>
      <c r="I386" s="290"/>
      <c r="J386" s="289"/>
      <c r="K386" s="289"/>
      <c r="L386" s="289"/>
      <c r="M386" s="289"/>
      <c r="N386" s="289"/>
      <c r="O386" s="289"/>
      <c r="P386" s="289"/>
    </row>
    <row r="387">
      <c r="B387" s="303"/>
      <c r="F387" s="303"/>
      <c r="H387" s="289"/>
      <c r="I387" s="290"/>
      <c r="J387" s="289"/>
      <c r="K387" s="289"/>
      <c r="L387" s="289"/>
      <c r="M387" s="289"/>
      <c r="N387" s="289"/>
      <c r="O387" s="289"/>
      <c r="P387" s="289"/>
    </row>
    <row r="388">
      <c r="B388" s="303"/>
      <c r="F388" s="303"/>
      <c r="H388" s="289"/>
      <c r="I388" s="290"/>
      <c r="J388" s="289"/>
      <c r="K388" s="289"/>
      <c r="L388" s="289"/>
      <c r="M388" s="289"/>
      <c r="N388" s="289"/>
      <c r="O388" s="289"/>
      <c r="P388" s="289"/>
    </row>
    <row r="389">
      <c r="B389" s="303"/>
      <c r="F389" s="303"/>
      <c r="H389" s="289"/>
      <c r="I389" s="290"/>
      <c r="J389" s="289"/>
      <c r="K389" s="289"/>
      <c r="L389" s="289"/>
      <c r="M389" s="289"/>
      <c r="N389" s="289"/>
      <c r="O389" s="289"/>
      <c r="P389" s="289"/>
    </row>
    <row r="390">
      <c r="B390" s="303"/>
      <c r="F390" s="303"/>
      <c r="H390" s="289"/>
      <c r="I390" s="290"/>
      <c r="J390" s="289"/>
      <c r="K390" s="289"/>
      <c r="L390" s="289"/>
      <c r="M390" s="289"/>
      <c r="N390" s="289"/>
      <c r="O390" s="289"/>
      <c r="P390" s="289"/>
    </row>
    <row r="391">
      <c r="B391" s="303"/>
      <c r="F391" s="303"/>
      <c r="H391" s="289"/>
      <c r="I391" s="290"/>
      <c r="J391" s="289"/>
      <c r="K391" s="289"/>
      <c r="L391" s="289"/>
      <c r="M391" s="289"/>
      <c r="N391" s="289"/>
      <c r="O391" s="289"/>
      <c r="P391" s="289"/>
    </row>
    <row r="392">
      <c r="B392" s="303"/>
      <c r="F392" s="303"/>
      <c r="H392" s="289"/>
      <c r="I392" s="290"/>
      <c r="J392" s="289"/>
      <c r="K392" s="289"/>
      <c r="L392" s="289"/>
      <c r="M392" s="289"/>
      <c r="N392" s="289"/>
      <c r="O392" s="289"/>
      <c r="P392" s="289"/>
    </row>
    <row r="393">
      <c r="B393" s="303"/>
      <c r="F393" s="303"/>
      <c r="H393" s="289"/>
      <c r="I393" s="290"/>
      <c r="J393" s="289"/>
      <c r="K393" s="289"/>
      <c r="L393" s="289"/>
      <c r="M393" s="289"/>
      <c r="N393" s="289"/>
      <c r="O393" s="289"/>
      <c r="P393" s="289"/>
    </row>
    <row r="394">
      <c r="B394" s="303"/>
      <c r="F394" s="303"/>
      <c r="H394" s="289"/>
      <c r="I394" s="290"/>
      <c r="J394" s="289"/>
      <c r="K394" s="289"/>
      <c r="L394" s="289"/>
      <c r="M394" s="289"/>
      <c r="N394" s="289"/>
      <c r="O394" s="289"/>
      <c r="P394" s="289"/>
    </row>
    <row r="395">
      <c r="B395" s="303"/>
      <c r="F395" s="303"/>
      <c r="H395" s="289"/>
      <c r="I395" s="290"/>
      <c r="J395" s="289"/>
      <c r="K395" s="289"/>
      <c r="L395" s="289"/>
      <c r="M395" s="289"/>
      <c r="N395" s="289"/>
      <c r="O395" s="289"/>
      <c r="P395" s="289"/>
    </row>
    <row r="396">
      <c r="B396" s="303"/>
      <c r="F396" s="303"/>
      <c r="H396" s="289"/>
      <c r="I396" s="290"/>
      <c r="J396" s="289"/>
      <c r="K396" s="289"/>
      <c r="L396" s="289"/>
      <c r="M396" s="289"/>
      <c r="N396" s="289"/>
      <c r="O396" s="289"/>
      <c r="P396" s="289"/>
    </row>
    <row r="397">
      <c r="B397" s="303"/>
      <c r="F397" s="303"/>
      <c r="H397" s="289"/>
      <c r="I397" s="290"/>
      <c r="J397" s="289"/>
      <c r="K397" s="289"/>
      <c r="L397" s="289"/>
      <c r="M397" s="289"/>
      <c r="N397" s="289"/>
      <c r="O397" s="289"/>
      <c r="P397" s="289"/>
    </row>
    <row r="398">
      <c r="B398" s="303"/>
      <c r="F398" s="303"/>
      <c r="H398" s="289"/>
      <c r="I398" s="290"/>
      <c r="J398" s="289"/>
      <c r="K398" s="289"/>
      <c r="L398" s="289"/>
      <c r="M398" s="289"/>
      <c r="N398" s="289"/>
      <c r="O398" s="289"/>
      <c r="P398" s="289"/>
    </row>
    <row r="399">
      <c r="B399" s="303"/>
      <c r="F399" s="303"/>
      <c r="H399" s="289"/>
      <c r="I399" s="290"/>
      <c r="J399" s="289"/>
      <c r="K399" s="289"/>
      <c r="L399" s="289"/>
      <c r="M399" s="289"/>
      <c r="N399" s="289"/>
      <c r="O399" s="289"/>
      <c r="P399" s="289"/>
    </row>
    <row r="400">
      <c r="B400" s="303"/>
      <c r="F400" s="303"/>
      <c r="H400" s="289"/>
      <c r="I400" s="290"/>
      <c r="J400" s="289"/>
      <c r="K400" s="289"/>
      <c r="L400" s="289"/>
      <c r="M400" s="289"/>
      <c r="N400" s="289"/>
      <c r="O400" s="289"/>
      <c r="P400" s="289"/>
    </row>
    <row r="401">
      <c r="B401" s="303"/>
      <c r="F401" s="303"/>
      <c r="H401" s="289"/>
      <c r="I401" s="290"/>
      <c r="J401" s="289"/>
      <c r="K401" s="289"/>
      <c r="L401" s="289"/>
      <c r="M401" s="289"/>
      <c r="N401" s="289"/>
      <c r="O401" s="289"/>
      <c r="P401" s="289"/>
    </row>
    <row r="402">
      <c r="B402" s="303"/>
      <c r="F402" s="303"/>
      <c r="H402" s="289"/>
      <c r="I402" s="290"/>
      <c r="J402" s="289"/>
      <c r="K402" s="289"/>
      <c r="L402" s="289"/>
      <c r="M402" s="289"/>
      <c r="N402" s="289"/>
      <c r="O402" s="289"/>
      <c r="P402" s="289"/>
    </row>
    <row r="403">
      <c r="B403" s="303"/>
      <c r="F403" s="303"/>
      <c r="H403" s="289"/>
      <c r="I403" s="290"/>
      <c r="J403" s="289"/>
      <c r="K403" s="289"/>
      <c r="L403" s="289"/>
      <c r="M403" s="289"/>
      <c r="N403" s="289"/>
      <c r="O403" s="289"/>
      <c r="P403" s="289"/>
    </row>
    <row r="404">
      <c r="B404" s="303"/>
      <c r="F404" s="303"/>
      <c r="H404" s="289"/>
      <c r="I404" s="290"/>
      <c r="J404" s="289"/>
      <c r="K404" s="289"/>
      <c r="L404" s="289"/>
      <c r="M404" s="289"/>
      <c r="N404" s="289"/>
      <c r="O404" s="289"/>
      <c r="P404" s="289"/>
    </row>
    <row r="405">
      <c r="B405" s="303"/>
      <c r="F405" s="303"/>
      <c r="H405" s="289"/>
      <c r="I405" s="290"/>
      <c r="J405" s="289"/>
      <c r="K405" s="289"/>
      <c r="L405" s="289"/>
      <c r="M405" s="289"/>
      <c r="N405" s="289"/>
      <c r="O405" s="289"/>
      <c r="P405" s="289"/>
    </row>
    <row r="406">
      <c r="B406" s="303"/>
      <c r="F406" s="303"/>
      <c r="H406" s="289"/>
      <c r="I406" s="290"/>
      <c r="J406" s="289"/>
      <c r="K406" s="289"/>
      <c r="L406" s="289"/>
      <c r="M406" s="289"/>
      <c r="N406" s="289"/>
      <c r="O406" s="289"/>
      <c r="P406" s="289"/>
    </row>
    <row r="407">
      <c r="B407" s="303"/>
      <c r="F407" s="303"/>
      <c r="H407" s="289"/>
      <c r="I407" s="290"/>
      <c r="J407" s="289"/>
      <c r="K407" s="289"/>
      <c r="L407" s="289"/>
      <c r="M407" s="289"/>
      <c r="N407" s="289"/>
      <c r="O407" s="289"/>
      <c r="P407" s="289"/>
    </row>
    <row r="408">
      <c r="B408" s="303"/>
      <c r="F408" s="303"/>
      <c r="H408" s="289"/>
      <c r="I408" s="290"/>
      <c r="J408" s="289"/>
      <c r="K408" s="289"/>
      <c r="L408" s="289"/>
      <c r="M408" s="289"/>
      <c r="N408" s="289"/>
      <c r="O408" s="289"/>
      <c r="P408" s="289"/>
    </row>
    <row r="409">
      <c r="B409" s="303"/>
      <c r="F409" s="303"/>
      <c r="H409" s="289"/>
      <c r="I409" s="290"/>
      <c r="J409" s="289"/>
      <c r="K409" s="289"/>
      <c r="L409" s="289"/>
      <c r="M409" s="289"/>
      <c r="N409" s="289"/>
      <c r="O409" s="289"/>
      <c r="P409" s="289"/>
    </row>
    <row r="410">
      <c r="B410" s="303"/>
      <c r="F410" s="303"/>
      <c r="H410" s="289"/>
      <c r="I410" s="290"/>
      <c r="J410" s="289"/>
      <c r="K410" s="289"/>
      <c r="L410" s="289"/>
      <c r="M410" s="289"/>
      <c r="N410" s="289"/>
      <c r="O410" s="289"/>
      <c r="P410" s="289"/>
    </row>
    <row r="411">
      <c r="B411" s="303"/>
      <c r="F411" s="303"/>
      <c r="H411" s="289"/>
      <c r="I411" s="290"/>
      <c r="J411" s="289"/>
      <c r="K411" s="289"/>
      <c r="L411" s="289"/>
      <c r="M411" s="289"/>
      <c r="N411" s="289"/>
      <c r="O411" s="289"/>
      <c r="P411" s="289"/>
    </row>
    <row r="412">
      <c r="B412" s="303"/>
      <c r="F412" s="303"/>
      <c r="H412" s="289"/>
      <c r="I412" s="290"/>
      <c r="J412" s="289"/>
      <c r="K412" s="289"/>
      <c r="L412" s="289"/>
      <c r="M412" s="289"/>
      <c r="N412" s="289"/>
      <c r="O412" s="289"/>
      <c r="P412" s="289"/>
    </row>
    <row r="413">
      <c r="B413" s="303"/>
      <c r="F413" s="303"/>
      <c r="H413" s="289"/>
      <c r="I413" s="290"/>
      <c r="J413" s="289"/>
      <c r="K413" s="289"/>
      <c r="L413" s="289"/>
      <c r="M413" s="289"/>
      <c r="N413" s="289"/>
      <c r="O413" s="289"/>
      <c r="P413" s="289"/>
    </row>
    <row r="414">
      <c r="B414" s="303"/>
      <c r="F414" s="303"/>
      <c r="H414" s="289"/>
      <c r="I414" s="290"/>
      <c r="J414" s="289"/>
      <c r="K414" s="289"/>
      <c r="L414" s="289"/>
      <c r="M414" s="289"/>
      <c r="N414" s="289"/>
      <c r="O414" s="289"/>
      <c r="P414" s="289"/>
    </row>
    <row r="415">
      <c r="B415" s="303"/>
      <c r="F415" s="303"/>
      <c r="H415" s="289"/>
      <c r="I415" s="290"/>
      <c r="J415" s="289"/>
      <c r="K415" s="289"/>
      <c r="L415" s="289"/>
      <c r="M415" s="289"/>
      <c r="N415" s="289"/>
      <c r="O415" s="289"/>
      <c r="P415" s="289"/>
    </row>
    <row r="416">
      <c r="B416" s="303"/>
      <c r="F416" s="303"/>
      <c r="H416" s="289"/>
      <c r="I416" s="290"/>
      <c r="J416" s="289"/>
      <c r="K416" s="289"/>
      <c r="L416" s="289"/>
      <c r="M416" s="289"/>
      <c r="N416" s="289"/>
      <c r="O416" s="289"/>
      <c r="P416" s="289"/>
    </row>
    <row r="417">
      <c r="B417" s="303"/>
      <c r="F417" s="303"/>
      <c r="H417" s="289"/>
      <c r="I417" s="290"/>
      <c r="J417" s="289"/>
      <c r="K417" s="289"/>
      <c r="L417" s="289"/>
      <c r="M417" s="289"/>
      <c r="N417" s="289"/>
      <c r="O417" s="289"/>
      <c r="P417" s="289"/>
    </row>
    <row r="418">
      <c r="B418" s="303"/>
      <c r="F418" s="303"/>
      <c r="H418" s="289"/>
      <c r="I418" s="290"/>
      <c r="J418" s="289"/>
      <c r="K418" s="289"/>
      <c r="L418" s="289"/>
      <c r="M418" s="289"/>
      <c r="N418" s="289"/>
      <c r="O418" s="289"/>
      <c r="P418" s="289"/>
    </row>
    <row r="419">
      <c r="B419" s="303"/>
      <c r="F419" s="303"/>
      <c r="H419" s="289"/>
      <c r="I419" s="290"/>
      <c r="J419" s="289"/>
      <c r="K419" s="289"/>
      <c r="L419" s="289"/>
      <c r="M419" s="289"/>
      <c r="N419" s="289"/>
      <c r="O419" s="289"/>
      <c r="P419" s="289"/>
    </row>
    <row r="420">
      <c r="B420" s="303"/>
      <c r="F420" s="303"/>
      <c r="H420" s="289"/>
      <c r="I420" s="290"/>
      <c r="J420" s="289"/>
      <c r="K420" s="289"/>
      <c r="L420" s="289"/>
      <c r="M420" s="289"/>
      <c r="N420" s="289"/>
      <c r="O420" s="289"/>
      <c r="P420" s="289"/>
    </row>
    <row r="421">
      <c r="B421" s="303"/>
      <c r="F421" s="303"/>
      <c r="H421" s="289"/>
      <c r="I421" s="290"/>
      <c r="J421" s="289"/>
      <c r="K421" s="289"/>
      <c r="L421" s="289"/>
      <c r="M421" s="289"/>
      <c r="N421" s="289"/>
      <c r="O421" s="289"/>
      <c r="P421" s="289"/>
    </row>
    <row r="422">
      <c r="B422" s="303"/>
      <c r="F422" s="303"/>
      <c r="H422" s="289"/>
      <c r="I422" s="290"/>
      <c r="J422" s="289"/>
      <c r="K422" s="289"/>
      <c r="L422" s="289"/>
      <c r="M422" s="289"/>
      <c r="N422" s="289"/>
      <c r="O422" s="289"/>
      <c r="P422" s="289"/>
    </row>
    <row r="423">
      <c r="B423" s="303"/>
      <c r="F423" s="303"/>
      <c r="H423" s="289"/>
      <c r="I423" s="290"/>
      <c r="J423" s="289"/>
      <c r="K423" s="289"/>
      <c r="L423" s="289"/>
      <c r="M423" s="289"/>
      <c r="N423" s="289"/>
      <c r="O423" s="289"/>
      <c r="P423" s="289"/>
    </row>
    <row r="424">
      <c r="B424" s="303"/>
      <c r="F424" s="303"/>
      <c r="H424" s="289"/>
      <c r="I424" s="290"/>
      <c r="J424" s="289"/>
      <c r="K424" s="289"/>
      <c r="L424" s="289"/>
      <c r="M424" s="289"/>
      <c r="N424" s="289"/>
      <c r="O424" s="289"/>
      <c r="P424" s="289"/>
    </row>
    <row r="425">
      <c r="B425" s="303"/>
      <c r="F425" s="303"/>
      <c r="H425" s="289"/>
      <c r="I425" s="290"/>
      <c r="J425" s="289"/>
      <c r="K425" s="289"/>
      <c r="L425" s="289"/>
      <c r="M425" s="289"/>
      <c r="N425" s="289"/>
      <c r="O425" s="289"/>
      <c r="P425" s="289"/>
    </row>
    <row r="426">
      <c r="B426" s="303"/>
      <c r="F426" s="303"/>
      <c r="H426" s="289"/>
      <c r="I426" s="290"/>
      <c r="J426" s="289"/>
      <c r="K426" s="289"/>
      <c r="L426" s="289"/>
      <c r="M426" s="289"/>
      <c r="N426" s="289"/>
      <c r="O426" s="289"/>
      <c r="P426" s="289"/>
    </row>
    <row r="427">
      <c r="B427" s="303"/>
      <c r="F427" s="303"/>
      <c r="H427" s="289"/>
      <c r="I427" s="290"/>
      <c r="J427" s="289"/>
      <c r="K427" s="289"/>
      <c r="L427" s="289"/>
      <c r="M427" s="289"/>
      <c r="N427" s="289"/>
      <c r="O427" s="289"/>
      <c r="P427" s="289"/>
    </row>
    <row r="428">
      <c r="B428" s="303"/>
      <c r="F428" s="303"/>
      <c r="H428" s="289"/>
      <c r="I428" s="290"/>
      <c r="J428" s="289"/>
      <c r="K428" s="289"/>
      <c r="L428" s="289"/>
      <c r="M428" s="289"/>
      <c r="N428" s="289"/>
      <c r="O428" s="289"/>
      <c r="P428" s="289"/>
    </row>
    <row r="429">
      <c r="B429" s="303"/>
      <c r="F429" s="303"/>
      <c r="H429" s="289"/>
      <c r="I429" s="290"/>
      <c r="J429" s="289"/>
      <c r="K429" s="289"/>
      <c r="L429" s="289"/>
      <c r="M429" s="289"/>
      <c r="N429" s="289"/>
      <c r="O429" s="289"/>
      <c r="P429" s="289"/>
    </row>
    <row r="430">
      <c r="B430" s="303"/>
      <c r="F430" s="303"/>
      <c r="H430" s="289"/>
      <c r="I430" s="290"/>
      <c r="J430" s="289"/>
      <c r="K430" s="289"/>
      <c r="L430" s="289"/>
      <c r="M430" s="289"/>
      <c r="N430" s="289"/>
      <c r="O430" s="289"/>
      <c r="P430" s="289"/>
    </row>
    <row r="431">
      <c r="B431" s="303"/>
      <c r="F431" s="303"/>
      <c r="H431" s="289"/>
      <c r="I431" s="290"/>
      <c r="J431" s="289"/>
      <c r="K431" s="289"/>
      <c r="L431" s="289"/>
      <c r="M431" s="289"/>
      <c r="N431" s="289"/>
      <c r="O431" s="289"/>
      <c r="P431" s="289"/>
    </row>
    <row r="432">
      <c r="B432" s="303"/>
      <c r="F432" s="303"/>
      <c r="H432" s="289"/>
      <c r="I432" s="290"/>
      <c r="J432" s="289"/>
      <c r="K432" s="289"/>
      <c r="L432" s="289"/>
      <c r="M432" s="289"/>
      <c r="N432" s="289"/>
      <c r="O432" s="289"/>
      <c r="P432" s="289"/>
    </row>
    <row r="433">
      <c r="B433" s="303"/>
      <c r="F433" s="303"/>
      <c r="H433" s="289"/>
      <c r="I433" s="290"/>
      <c r="J433" s="289"/>
      <c r="K433" s="289"/>
      <c r="L433" s="289"/>
      <c r="M433" s="289"/>
      <c r="N433" s="289"/>
      <c r="O433" s="289"/>
      <c r="P433" s="289"/>
    </row>
    <row r="434">
      <c r="B434" s="303"/>
      <c r="F434" s="303"/>
      <c r="H434" s="289"/>
      <c r="I434" s="290"/>
      <c r="J434" s="289"/>
      <c r="K434" s="289"/>
      <c r="L434" s="289"/>
      <c r="M434" s="289"/>
      <c r="N434" s="289"/>
      <c r="O434" s="289"/>
      <c r="P434" s="289"/>
    </row>
    <row r="435">
      <c r="B435" s="303"/>
      <c r="F435" s="303"/>
      <c r="H435" s="289"/>
      <c r="I435" s="290"/>
      <c r="J435" s="289"/>
      <c r="K435" s="289"/>
      <c r="L435" s="289"/>
      <c r="M435" s="289"/>
      <c r="N435" s="289"/>
      <c r="O435" s="289"/>
      <c r="P435" s="289"/>
    </row>
    <row r="436">
      <c r="B436" s="303"/>
      <c r="F436" s="303"/>
      <c r="H436" s="289"/>
      <c r="I436" s="290"/>
      <c r="J436" s="289"/>
      <c r="K436" s="289"/>
      <c r="L436" s="289"/>
      <c r="M436" s="289"/>
      <c r="N436" s="289"/>
      <c r="O436" s="289"/>
      <c r="P436" s="289"/>
    </row>
    <row r="437">
      <c r="B437" s="303"/>
      <c r="F437" s="303"/>
      <c r="H437" s="289"/>
      <c r="I437" s="290"/>
      <c r="J437" s="289"/>
      <c r="K437" s="289"/>
      <c r="L437" s="289"/>
      <c r="M437" s="289"/>
      <c r="N437" s="289"/>
      <c r="O437" s="289"/>
      <c r="P437" s="289"/>
    </row>
    <row r="438">
      <c r="B438" s="303"/>
      <c r="F438" s="303"/>
      <c r="H438" s="289"/>
      <c r="I438" s="290"/>
      <c r="J438" s="289"/>
      <c r="K438" s="289"/>
      <c r="L438" s="289"/>
      <c r="M438" s="289"/>
      <c r="N438" s="289"/>
      <c r="O438" s="289"/>
      <c r="P438" s="289"/>
    </row>
    <row r="439">
      <c r="B439" s="303"/>
      <c r="F439" s="303"/>
      <c r="H439" s="289"/>
      <c r="I439" s="290"/>
      <c r="J439" s="289"/>
      <c r="K439" s="289"/>
      <c r="L439" s="289"/>
      <c r="M439" s="289"/>
      <c r="N439" s="289"/>
      <c r="O439" s="289"/>
      <c r="P439" s="289"/>
    </row>
    <row r="440">
      <c r="B440" s="303"/>
      <c r="F440" s="303"/>
      <c r="H440" s="289"/>
      <c r="I440" s="290"/>
      <c r="J440" s="289"/>
      <c r="K440" s="289"/>
      <c r="L440" s="289"/>
      <c r="M440" s="289"/>
      <c r="N440" s="289"/>
      <c r="O440" s="289"/>
      <c r="P440" s="289"/>
    </row>
    <row r="441">
      <c r="B441" s="303"/>
      <c r="F441" s="303"/>
      <c r="H441" s="289"/>
      <c r="I441" s="290"/>
      <c r="J441" s="289"/>
      <c r="K441" s="289"/>
      <c r="L441" s="289"/>
      <c r="M441" s="289"/>
      <c r="N441" s="289"/>
      <c r="O441" s="289"/>
      <c r="P441" s="289"/>
    </row>
    <row r="442">
      <c r="B442" s="303"/>
      <c r="F442" s="303"/>
      <c r="H442" s="289"/>
      <c r="I442" s="290"/>
      <c r="J442" s="289"/>
      <c r="K442" s="289"/>
      <c r="L442" s="289"/>
      <c r="M442" s="289"/>
      <c r="N442" s="289"/>
      <c r="O442" s="289"/>
      <c r="P442" s="289"/>
    </row>
    <row r="443">
      <c r="B443" s="303"/>
      <c r="F443" s="303"/>
      <c r="H443" s="289"/>
      <c r="I443" s="290"/>
      <c r="J443" s="289"/>
      <c r="K443" s="289"/>
      <c r="L443" s="289"/>
      <c r="M443" s="289"/>
      <c r="N443" s="289"/>
      <c r="O443" s="289"/>
      <c r="P443" s="289"/>
    </row>
    <row r="444">
      <c r="B444" s="303"/>
      <c r="F444" s="303"/>
      <c r="H444" s="289"/>
      <c r="I444" s="290"/>
      <c r="J444" s="289"/>
      <c r="K444" s="289"/>
      <c r="L444" s="289"/>
      <c r="M444" s="289"/>
      <c r="N444" s="289"/>
      <c r="O444" s="289"/>
      <c r="P444" s="289"/>
    </row>
    <row r="445">
      <c r="B445" s="303"/>
      <c r="F445" s="303"/>
      <c r="H445" s="289"/>
      <c r="I445" s="290"/>
      <c r="J445" s="289"/>
      <c r="K445" s="289"/>
      <c r="L445" s="289"/>
      <c r="M445" s="289"/>
      <c r="N445" s="289"/>
      <c r="O445" s="289"/>
      <c r="P445" s="289"/>
    </row>
    <row r="446">
      <c r="B446" s="303"/>
      <c r="F446" s="303"/>
      <c r="H446" s="289"/>
      <c r="I446" s="290"/>
      <c r="J446" s="289"/>
      <c r="K446" s="289"/>
      <c r="L446" s="289"/>
      <c r="M446" s="289"/>
      <c r="N446" s="289"/>
      <c r="O446" s="289"/>
      <c r="P446" s="289"/>
    </row>
    <row r="447">
      <c r="B447" s="303"/>
      <c r="F447" s="303"/>
      <c r="H447" s="289"/>
      <c r="I447" s="290"/>
      <c r="J447" s="289"/>
      <c r="K447" s="289"/>
      <c r="L447" s="289"/>
      <c r="M447" s="289"/>
      <c r="N447" s="289"/>
      <c r="O447" s="289"/>
      <c r="P447" s="289"/>
    </row>
    <row r="448">
      <c r="B448" s="303"/>
      <c r="F448" s="303"/>
      <c r="H448" s="289"/>
      <c r="I448" s="290"/>
      <c r="J448" s="289"/>
      <c r="K448" s="289"/>
      <c r="L448" s="289"/>
      <c r="M448" s="289"/>
      <c r="N448" s="289"/>
      <c r="O448" s="289"/>
      <c r="P448" s="289"/>
    </row>
    <row r="449">
      <c r="B449" s="303"/>
      <c r="F449" s="303"/>
      <c r="H449" s="289"/>
      <c r="I449" s="290"/>
      <c r="J449" s="289"/>
      <c r="K449" s="289"/>
      <c r="L449" s="289"/>
      <c r="M449" s="289"/>
      <c r="N449" s="289"/>
      <c r="O449" s="289"/>
      <c r="P449" s="289"/>
    </row>
    <row r="450">
      <c r="B450" s="303"/>
      <c r="F450" s="303"/>
      <c r="H450" s="289"/>
      <c r="I450" s="290"/>
      <c r="J450" s="289"/>
      <c r="K450" s="289"/>
      <c r="L450" s="289"/>
      <c r="M450" s="289"/>
      <c r="N450" s="289"/>
      <c r="O450" s="289"/>
      <c r="P450" s="289"/>
    </row>
    <row r="451">
      <c r="B451" s="303"/>
      <c r="F451" s="303"/>
      <c r="H451" s="289"/>
      <c r="I451" s="290"/>
      <c r="J451" s="289"/>
      <c r="K451" s="289"/>
      <c r="L451" s="289"/>
      <c r="M451" s="289"/>
      <c r="N451" s="289"/>
      <c r="O451" s="289"/>
      <c r="P451" s="289"/>
    </row>
    <row r="452">
      <c r="B452" s="303"/>
      <c r="F452" s="303"/>
      <c r="H452" s="289"/>
      <c r="I452" s="290"/>
      <c r="J452" s="289"/>
      <c r="K452" s="289"/>
      <c r="L452" s="289"/>
      <c r="M452" s="289"/>
      <c r="N452" s="289"/>
      <c r="O452" s="289"/>
      <c r="P452" s="289"/>
    </row>
    <row r="453">
      <c r="B453" s="303"/>
      <c r="F453" s="303"/>
      <c r="H453" s="289"/>
      <c r="I453" s="290"/>
      <c r="J453" s="289"/>
      <c r="K453" s="289"/>
      <c r="L453" s="289"/>
      <c r="M453" s="289"/>
      <c r="N453" s="289"/>
      <c r="O453" s="289"/>
      <c r="P453" s="289"/>
    </row>
    <row r="454">
      <c r="B454" s="303"/>
      <c r="F454" s="303"/>
      <c r="H454" s="289"/>
      <c r="I454" s="290"/>
      <c r="J454" s="289"/>
      <c r="K454" s="289"/>
      <c r="L454" s="289"/>
      <c r="M454" s="289"/>
      <c r="N454" s="289"/>
      <c r="O454" s="289"/>
      <c r="P454" s="289"/>
    </row>
    <row r="455">
      <c r="B455" s="303"/>
      <c r="F455" s="303"/>
      <c r="H455" s="289"/>
      <c r="I455" s="290"/>
      <c r="J455" s="289"/>
      <c r="K455" s="289"/>
      <c r="L455" s="289"/>
      <c r="M455" s="289"/>
      <c r="N455" s="289"/>
      <c r="O455" s="289"/>
      <c r="P455" s="289"/>
    </row>
    <row r="456">
      <c r="B456" s="303"/>
      <c r="F456" s="303"/>
      <c r="H456" s="289"/>
      <c r="I456" s="290"/>
      <c r="J456" s="289"/>
      <c r="K456" s="289"/>
      <c r="L456" s="289"/>
      <c r="M456" s="289"/>
      <c r="N456" s="289"/>
      <c r="O456" s="289"/>
      <c r="P456" s="289"/>
    </row>
    <row r="457">
      <c r="B457" s="303"/>
      <c r="F457" s="303"/>
      <c r="H457" s="289"/>
      <c r="I457" s="290"/>
      <c r="J457" s="289"/>
      <c r="K457" s="289"/>
      <c r="L457" s="289"/>
      <c r="M457" s="289"/>
      <c r="N457" s="289"/>
      <c r="O457" s="289"/>
      <c r="P457" s="289"/>
    </row>
    <row r="458">
      <c r="B458" s="303"/>
      <c r="F458" s="303"/>
      <c r="H458" s="289"/>
      <c r="I458" s="290"/>
      <c r="J458" s="289"/>
      <c r="K458" s="289"/>
      <c r="L458" s="289"/>
      <c r="M458" s="289"/>
      <c r="N458" s="289"/>
      <c r="O458" s="289"/>
      <c r="P458" s="289"/>
    </row>
    <row r="459">
      <c r="B459" s="303"/>
      <c r="F459" s="303"/>
      <c r="H459" s="289"/>
      <c r="I459" s="290"/>
      <c r="J459" s="289"/>
      <c r="K459" s="289"/>
      <c r="L459" s="289"/>
      <c r="M459" s="289"/>
      <c r="N459" s="289"/>
      <c r="O459" s="289"/>
      <c r="P459" s="289"/>
    </row>
    <row r="460">
      <c r="B460" s="303"/>
      <c r="F460" s="303"/>
      <c r="H460" s="289"/>
      <c r="I460" s="290"/>
      <c r="J460" s="289"/>
      <c r="K460" s="289"/>
      <c r="L460" s="289"/>
      <c r="M460" s="289"/>
      <c r="N460" s="289"/>
      <c r="O460" s="289"/>
      <c r="P460" s="289"/>
    </row>
    <row r="461">
      <c r="B461" s="303"/>
      <c r="F461" s="303"/>
      <c r="H461" s="289"/>
      <c r="I461" s="290"/>
      <c r="J461" s="289"/>
      <c r="K461" s="289"/>
      <c r="L461" s="289"/>
      <c r="M461" s="289"/>
      <c r="N461" s="289"/>
      <c r="O461" s="289"/>
      <c r="P461" s="289"/>
    </row>
    <row r="462">
      <c r="B462" s="303"/>
      <c r="F462" s="303"/>
      <c r="H462" s="289"/>
      <c r="I462" s="290"/>
      <c r="J462" s="289"/>
      <c r="K462" s="289"/>
      <c r="L462" s="289"/>
      <c r="M462" s="289"/>
      <c r="N462" s="289"/>
      <c r="O462" s="289"/>
      <c r="P462" s="289"/>
    </row>
    <row r="463">
      <c r="B463" s="303"/>
      <c r="F463" s="303"/>
      <c r="H463" s="289"/>
      <c r="I463" s="290"/>
      <c r="J463" s="289"/>
      <c r="K463" s="289"/>
      <c r="L463" s="289"/>
      <c r="M463" s="289"/>
      <c r="N463" s="289"/>
      <c r="O463" s="289"/>
      <c r="P463" s="289"/>
    </row>
    <row r="464">
      <c r="B464" s="303"/>
      <c r="F464" s="303"/>
      <c r="H464" s="289"/>
      <c r="I464" s="290"/>
      <c r="J464" s="289"/>
      <c r="K464" s="289"/>
      <c r="L464" s="289"/>
      <c r="M464" s="289"/>
      <c r="N464" s="289"/>
      <c r="O464" s="289"/>
      <c r="P464" s="289"/>
    </row>
    <row r="465">
      <c r="B465" s="303"/>
      <c r="F465" s="303"/>
      <c r="H465" s="289"/>
      <c r="I465" s="290"/>
      <c r="J465" s="289"/>
      <c r="K465" s="289"/>
      <c r="L465" s="289"/>
      <c r="M465" s="289"/>
      <c r="N465" s="289"/>
      <c r="O465" s="289"/>
      <c r="P465" s="289"/>
    </row>
    <row r="466">
      <c r="B466" s="303"/>
      <c r="F466" s="303"/>
      <c r="H466" s="289"/>
      <c r="I466" s="290"/>
      <c r="J466" s="289"/>
      <c r="K466" s="289"/>
      <c r="L466" s="289"/>
      <c r="M466" s="289"/>
      <c r="N466" s="289"/>
      <c r="O466" s="289"/>
      <c r="P466" s="289"/>
    </row>
    <row r="467">
      <c r="B467" s="303"/>
      <c r="F467" s="303"/>
      <c r="H467" s="289"/>
      <c r="I467" s="290"/>
      <c r="J467" s="289"/>
      <c r="K467" s="289"/>
      <c r="L467" s="289"/>
      <c r="M467" s="289"/>
      <c r="N467" s="289"/>
      <c r="O467" s="289"/>
      <c r="P467" s="289"/>
    </row>
    <row r="468">
      <c r="B468" s="303"/>
      <c r="F468" s="303"/>
      <c r="H468" s="289"/>
      <c r="I468" s="290"/>
      <c r="J468" s="289"/>
      <c r="K468" s="289"/>
      <c r="L468" s="289"/>
      <c r="M468" s="289"/>
      <c r="N468" s="289"/>
      <c r="O468" s="289"/>
      <c r="P468" s="289"/>
    </row>
    <row r="469">
      <c r="B469" s="303"/>
      <c r="F469" s="303"/>
      <c r="H469" s="289"/>
      <c r="I469" s="290"/>
      <c r="J469" s="289"/>
      <c r="K469" s="289"/>
      <c r="L469" s="289"/>
      <c r="M469" s="289"/>
      <c r="N469" s="289"/>
      <c r="O469" s="289"/>
      <c r="P469" s="289"/>
    </row>
    <row r="470">
      <c r="B470" s="303"/>
      <c r="F470" s="303"/>
      <c r="H470" s="289"/>
      <c r="I470" s="290"/>
      <c r="J470" s="289"/>
      <c r="K470" s="289"/>
      <c r="L470" s="289"/>
      <c r="M470" s="289"/>
      <c r="N470" s="289"/>
      <c r="O470" s="289"/>
      <c r="P470" s="289"/>
    </row>
    <row r="471">
      <c r="B471" s="303"/>
      <c r="F471" s="303"/>
      <c r="H471" s="289"/>
      <c r="I471" s="290"/>
      <c r="J471" s="289"/>
      <c r="K471" s="289"/>
      <c r="L471" s="289"/>
      <c r="M471" s="289"/>
      <c r="N471" s="289"/>
      <c r="O471" s="289"/>
      <c r="P471" s="289"/>
    </row>
    <row r="472">
      <c r="B472" s="303"/>
      <c r="F472" s="303"/>
      <c r="H472" s="289"/>
      <c r="I472" s="290"/>
      <c r="J472" s="289"/>
      <c r="K472" s="289"/>
      <c r="L472" s="289"/>
      <c r="M472" s="289"/>
      <c r="N472" s="289"/>
      <c r="O472" s="289"/>
      <c r="P472" s="289"/>
    </row>
    <row r="473">
      <c r="B473" s="303"/>
      <c r="F473" s="303"/>
      <c r="H473" s="289"/>
      <c r="I473" s="290"/>
      <c r="J473" s="289"/>
      <c r="K473" s="289"/>
      <c r="L473" s="289"/>
      <c r="M473" s="289"/>
      <c r="N473" s="289"/>
      <c r="O473" s="289"/>
      <c r="P473" s="289"/>
    </row>
    <row r="474">
      <c r="B474" s="303"/>
      <c r="F474" s="303"/>
      <c r="H474" s="289"/>
      <c r="I474" s="290"/>
      <c r="J474" s="289"/>
      <c r="K474" s="289"/>
      <c r="L474" s="289"/>
      <c r="M474" s="289"/>
      <c r="N474" s="289"/>
      <c r="O474" s="289"/>
      <c r="P474" s="289"/>
    </row>
    <row r="475">
      <c r="B475" s="303"/>
      <c r="F475" s="303"/>
      <c r="H475" s="289"/>
      <c r="I475" s="290"/>
      <c r="J475" s="289"/>
      <c r="K475" s="289"/>
      <c r="L475" s="289"/>
      <c r="M475" s="289"/>
      <c r="N475" s="289"/>
      <c r="O475" s="289"/>
      <c r="P475" s="289"/>
    </row>
    <row r="476">
      <c r="B476" s="303"/>
      <c r="F476" s="303"/>
      <c r="H476" s="289"/>
      <c r="I476" s="290"/>
      <c r="J476" s="289"/>
      <c r="K476" s="289"/>
      <c r="L476" s="289"/>
      <c r="M476" s="289"/>
      <c r="N476" s="289"/>
      <c r="O476" s="289"/>
      <c r="P476" s="289"/>
    </row>
    <row r="477">
      <c r="B477" s="303"/>
      <c r="F477" s="303"/>
      <c r="H477" s="289"/>
      <c r="I477" s="290"/>
      <c r="J477" s="289"/>
      <c r="K477" s="289"/>
      <c r="L477" s="289"/>
      <c r="M477" s="289"/>
      <c r="N477" s="289"/>
      <c r="O477" s="289"/>
      <c r="P477" s="289"/>
    </row>
    <row r="478">
      <c r="B478" s="303"/>
      <c r="F478" s="303"/>
      <c r="H478" s="289"/>
      <c r="I478" s="290"/>
      <c r="J478" s="289"/>
      <c r="K478" s="289"/>
      <c r="L478" s="289"/>
      <c r="M478" s="289"/>
      <c r="N478" s="289"/>
      <c r="O478" s="289"/>
      <c r="P478" s="289"/>
    </row>
    <row r="479">
      <c r="B479" s="303"/>
      <c r="F479" s="303"/>
      <c r="H479" s="289"/>
      <c r="I479" s="290"/>
      <c r="J479" s="289"/>
      <c r="K479" s="289"/>
      <c r="L479" s="289"/>
      <c r="M479" s="289"/>
      <c r="N479" s="289"/>
      <c r="O479" s="289"/>
      <c r="P479" s="289"/>
    </row>
    <row r="480">
      <c r="B480" s="303"/>
      <c r="F480" s="303"/>
      <c r="H480" s="289"/>
      <c r="I480" s="290"/>
      <c r="J480" s="289"/>
      <c r="K480" s="289"/>
      <c r="L480" s="289"/>
      <c r="M480" s="289"/>
      <c r="N480" s="289"/>
      <c r="O480" s="289"/>
      <c r="P480" s="289"/>
    </row>
    <row r="481">
      <c r="B481" s="303"/>
      <c r="F481" s="303"/>
      <c r="H481" s="289"/>
      <c r="I481" s="290"/>
      <c r="J481" s="289"/>
      <c r="K481" s="289"/>
      <c r="L481" s="289"/>
      <c r="M481" s="289"/>
      <c r="N481" s="289"/>
      <c r="O481" s="289"/>
      <c r="P481" s="289"/>
    </row>
    <row r="482">
      <c r="B482" s="303"/>
      <c r="F482" s="303"/>
      <c r="H482" s="289"/>
      <c r="I482" s="290"/>
      <c r="J482" s="289"/>
      <c r="K482" s="289"/>
      <c r="L482" s="289"/>
      <c r="M482" s="289"/>
      <c r="N482" s="289"/>
      <c r="O482" s="289"/>
      <c r="P482" s="289"/>
    </row>
    <row r="483">
      <c r="B483" s="303"/>
      <c r="F483" s="303"/>
      <c r="H483" s="289"/>
      <c r="I483" s="290"/>
      <c r="J483" s="289"/>
      <c r="K483" s="289"/>
      <c r="L483" s="289"/>
      <c r="M483" s="289"/>
      <c r="N483" s="289"/>
      <c r="O483" s="289"/>
      <c r="P483" s="289"/>
    </row>
    <row r="484">
      <c r="B484" s="303"/>
      <c r="F484" s="303"/>
      <c r="H484" s="289"/>
      <c r="I484" s="290"/>
      <c r="J484" s="289"/>
      <c r="K484" s="289"/>
      <c r="L484" s="289"/>
      <c r="M484" s="289"/>
      <c r="N484" s="289"/>
      <c r="O484" s="289"/>
      <c r="P484" s="289"/>
    </row>
    <row r="485">
      <c r="B485" s="303"/>
      <c r="F485" s="303"/>
      <c r="H485" s="289"/>
      <c r="I485" s="290"/>
      <c r="J485" s="289"/>
      <c r="K485" s="289"/>
      <c r="L485" s="289"/>
      <c r="M485" s="289"/>
      <c r="N485" s="289"/>
      <c r="O485" s="289"/>
      <c r="P485" s="289"/>
    </row>
    <row r="486">
      <c r="B486" s="303"/>
      <c r="F486" s="303"/>
      <c r="H486" s="289"/>
      <c r="I486" s="290"/>
      <c r="J486" s="289"/>
      <c r="K486" s="289"/>
      <c r="L486" s="289"/>
      <c r="M486" s="289"/>
      <c r="N486" s="289"/>
      <c r="O486" s="289"/>
      <c r="P486" s="289"/>
    </row>
    <row r="487">
      <c r="B487" s="303"/>
      <c r="F487" s="303"/>
      <c r="H487" s="289"/>
      <c r="I487" s="290"/>
      <c r="J487" s="289"/>
      <c r="K487" s="289"/>
      <c r="L487" s="289"/>
      <c r="M487" s="289"/>
      <c r="N487" s="289"/>
      <c r="O487" s="289"/>
      <c r="P487" s="289"/>
    </row>
    <row r="488">
      <c r="B488" s="303"/>
      <c r="F488" s="303"/>
      <c r="H488" s="289"/>
      <c r="I488" s="290"/>
      <c r="J488" s="289"/>
      <c r="K488" s="289"/>
      <c r="L488" s="289"/>
      <c r="M488" s="289"/>
      <c r="N488" s="289"/>
      <c r="O488" s="289"/>
      <c r="P488" s="289"/>
    </row>
    <row r="489">
      <c r="B489" s="303"/>
      <c r="F489" s="303"/>
      <c r="H489" s="289"/>
      <c r="I489" s="290"/>
      <c r="J489" s="289"/>
      <c r="K489" s="289"/>
      <c r="L489" s="289"/>
      <c r="M489" s="289"/>
      <c r="N489" s="289"/>
      <c r="O489" s="289"/>
      <c r="P489" s="289"/>
    </row>
    <row r="490">
      <c r="B490" s="303"/>
      <c r="F490" s="303"/>
      <c r="H490" s="289"/>
      <c r="I490" s="290"/>
      <c r="J490" s="289"/>
      <c r="K490" s="289"/>
      <c r="L490" s="289"/>
      <c r="M490" s="289"/>
      <c r="N490" s="289"/>
      <c r="O490" s="289"/>
      <c r="P490" s="289"/>
    </row>
    <row r="491">
      <c r="B491" s="303"/>
      <c r="F491" s="303"/>
      <c r="H491" s="289"/>
      <c r="I491" s="290"/>
      <c r="J491" s="289"/>
      <c r="K491" s="289"/>
      <c r="L491" s="289"/>
      <c r="M491" s="289"/>
      <c r="N491" s="289"/>
      <c r="O491" s="289"/>
      <c r="P491" s="289"/>
    </row>
    <row r="492">
      <c r="B492" s="303"/>
      <c r="F492" s="303"/>
      <c r="H492" s="289"/>
      <c r="I492" s="290"/>
      <c r="J492" s="289"/>
      <c r="K492" s="289"/>
      <c r="L492" s="289"/>
      <c r="M492" s="289"/>
      <c r="N492" s="289"/>
      <c r="O492" s="289"/>
      <c r="P492" s="289"/>
    </row>
    <row r="493">
      <c r="B493" s="303"/>
      <c r="F493" s="303"/>
      <c r="H493" s="289"/>
      <c r="I493" s="290"/>
      <c r="J493" s="289"/>
      <c r="K493" s="289"/>
      <c r="L493" s="289"/>
      <c r="M493" s="289"/>
      <c r="N493" s="289"/>
      <c r="O493" s="289"/>
      <c r="P493" s="289"/>
    </row>
    <row r="494">
      <c r="B494" s="303"/>
      <c r="F494" s="303"/>
      <c r="H494" s="289"/>
      <c r="I494" s="290"/>
      <c r="J494" s="289"/>
      <c r="K494" s="289"/>
      <c r="L494" s="289"/>
      <c r="M494" s="289"/>
      <c r="N494" s="289"/>
      <c r="O494" s="289"/>
      <c r="P494" s="289"/>
    </row>
    <row r="495">
      <c r="B495" s="303"/>
      <c r="F495" s="303"/>
      <c r="H495" s="289"/>
      <c r="I495" s="290"/>
      <c r="J495" s="289"/>
      <c r="K495" s="289"/>
      <c r="L495" s="289"/>
      <c r="M495" s="289"/>
      <c r="N495" s="289"/>
      <c r="O495" s="289"/>
      <c r="P495" s="289"/>
    </row>
    <row r="496">
      <c r="B496" s="303"/>
      <c r="F496" s="303"/>
      <c r="H496" s="289"/>
      <c r="I496" s="290"/>
      <c r="J496" s="289"/>
      <c r="K496" s="289"/>
      <c r="L496" s="289"/>
      <c r="M496" s="289"/>
      <c r="N496" s="289"/>
      <c r="O496" s="289"/>
      <c r="P496" s="289"/>
    </row>
    <row r="497">
      <c r="B497" s="303"/>
      <c r="F497" s="303"/>
      <c r="H497" s="289"/>
      <c r="I497" s="290"/>
      <c r="J497" s="289"/>
      <c r="K497" s="289"/>
      <c r="L497" s="289"/>
      <c r="M497" s="289"/>
      <c r="N497" s="289"/>
      <c r="O497" s="289"/>
      <c r="P497" s="289"/>
    </row>
    <row r="498">
      <c r="B498" s="303"/>
      <c r="F498" s="303"/>
      <c r="H498" s="289"/>
      <c r="I498" s="290"/>
      <c r="J498" s="289"/>
      <c r="K498" s="289"/>
      <c r="L498" s="289"/>
      <c r="M498" s="289"/>
      <c r="N498" s="289"/>
      <c r="O498" s="289"/>
      <c r="P498" s="289"/>
    </row>
    <row r="499">
      <c r="B499" s="303"/>
      <c r="F499" s="303"/>
      <c r="H499" s="289"/>
      <c r="I499" s="290"/>
      <c r="J499" s="289"/>
      <c r="K499" s="289"/>
      <c r="L499" s="289"/>
      <c r="M499" s="289"/>
      <c r="N499" s="289"/>
      <c r="O499" s="289"/>
      <c r="P499" s="289"/>
    </row>
    <row r="500">
      <c r="B500" s="303"/>
      <c r="F500" s="303"/>
      <c r="H500" s="289"/>
      <c r="I500" s="290"/>
      <c r="J500" s="289"/>
      <c r="K500" s="289"/>
      <c r="L500" s="289"/>
      <c r="M500" s="289"/>
      <c r="N500" s="289"/>
      <c r="O500" s="289"/>
      <c r="P500" s="289"/>
    </row>
    <row r="501">
      <c r="B501" s="303"/>
      <c r="F501" s="303"/>
      <c r="H501" s="289"/>
      <c r="I501" s="290"/>
      <c r="J501" s="289"/>
      <c r="K501" s="289"/>
      <c r="L501" s="289"/>
      <c r="M501" s="289"/>
      <c r="N501" s="289"/>
      <c r="O501" s="289"/>
      <c r="P501" s="289"/>
    </row>
    <row r="502">
      <c r="B502" s="303"/>
      <c r="F502" s="303"/>
      <c r="H502" s="289"/>
      <c r="I502" s="290"/>
      <c r="J502" s="289"/>
      <c r="K502" s="289"/>
      <c r="L502" s="289"/>
      <c r="M502" s="289"/>
      <c r="N502" s="289"/>
      <c r="O502" s="289"/>
      <c r="P502" s="289"/>
    </row>
    <row r="503">
      <c r="B503" s="303"/>
      <c r="F503" s="303"/>
      <c r="H503" s="289"/>
      <c r="I503" s="290"/>
      <c r="J503" s="289"/>
      <c r="K503" s="289"/>
      <c r="L503" s="289"/>
      <c r="M503" s="289"/>
      <c r="N503" s="289"/>
      <c r="O503" s="289"/>
      <c r="P503" s="289"/>
    </row>
    <row r="504">
      <c r="B504" s="303"/>
      <c r="F504" s="303"/>
      <c r="H504" s="289"/>
      <c r="I504" s="290"/>
      <c r="J504" s="289"/>
      <c r="K504" s="289"/>
      <c r="L504" s="289"/>
      <c r="M504" s="289"/>
      <c r="N504" s="289"/>
      <c r="O504" s="289"/>
      <c r="P504" s="289"/>
    </row>
    <row r="505">
      <c r="B505" s="303"/>
      <c r="F505" s="303"/>
      <c r="H505" s="289"/>
      <c r="I505" s="290"/>
      <c r="J505" s="289"/>
      <c r="K505" s="289"/>
      <c r="L505" s="289"/>
      <c r="M505" s="289"/>
      <c r="N505" s="289"/>
      <c r="O505" s="289"/>
      <c r="P505" s="289"/>
    </row>
    <row r="506">
      <c r="B506" s="303"/>
      <c r="F506" s="303"/>
      <c r="H506" s="289"/>
      <c r="I506" s="290"/>
      <c r="J506" s="289"/>
      <c r="K506" s="289"/>
      <c r="L506" s="289"/>
      <c r="M506" s="289"/>
      <c r="N506" s="289"/>
      <c r="O506" s="289"/>
      <c r="P506" s="289"/>
    </row>
    <row r="507">
      <c r="B507" s="303"/>
      <c r="F507" s="303"/>
      <c r="H507" s="289"/>
      <c r="I507" s="290"/>
      <c r="J507" s="289"/>
      <c r="K507" s="289"/>
      <c r="L507" s="289"/>
      <c r="M507" s="289"/>
      <c r="N507" s="289"/>
      <c r="O507" s="289"/>
      <c r="P507" s="289"/>
    </row>
    <row r="508">
      <c r="B508" s="303"/>
      <c r="F508" s="303"/>
      <c r="H508" s="289"/>
      <c r="I508" s="290"/>
      <c r="J508" s="289"/>
      <c r="K508" s="289"/>
      <c r="L508" s="289"/>
      <c r="M508" s="289"/>
      <c r="N508" s="289"/>
      <c r="O508" s="289"/>
      <c r="P508" s="289"/>
    </row>
    <row r="509">
      <c r="B509" s="303"/>
      <c r="F509" s="303"/>
      <c r="H509" s="289"/>
      <c r="I509" s="290"/>
      <c r="J509" s="289"/>
      <c r="K509" s="289"/>
      <c r="L509" s="289"/>
      <c r="M509" s="289"/>
      <c r="N509" s="289"/>
      <c r="O509" s="289"/>
      <c r="P509" s="289"/>
    </row>
    <row r="510">
      <c r="B510" s="303"/>
      <c r="F510" s="303"/>
      <c r="H510" s="289"/>
      <c r="I510" s="290"/>
      <c r="J510" s="289"/>
      <c r="K510" s="289"/>
      <c r="L510" s="289"/>
      <c r="M510" s="289"/>
      <c r="N510" s="289"/>
      <c r="O510" s="289"/>
      <c r="P510" s="289"/>
    </row>
    <row r="511">
      <c r="B511" s="303"/>
      <c r="F511" s="303"/>
      <c r="H511" s="289"/>
      <c r="I511" s="290"/>
      <c r="J511" s="289"/>
      <c r="K511" s="289"/>
      <c r="L511" s="289"/>
      <c r="M511" s="289"/>
      <c r="N511" s="289"/>
      <c r="O511" s="289"/>
      <c r="P511" s="289"/>
    </row>
    <row r="512">
      <c r="B512" s="303"/>
      <c r="F512" s="303"/>
      <c r="H512" s="289"/>
      <c r="I512" s="290"/>
      <c r="J512" s="289"/>
      <c r="K512" s="289"/>
      <c r="L512" s="289"/>
      <c r="M512" s="289"/>
      <c r="N512" s="289"/>
      <c r="O512" s="289"/>
      <c r="P512" s="289"/>
    </row>
    <row r="513">
      <c r="B513" s="303"/>
      <c r="F513" s="303"/>
      <c r="H513" s="289"/>
      <c r="I513" s="290"/>
      <c r="J513" s="289"/>
      <c r="K513" s="289"/>
      <c r="L513" s="289"/>
      <c r="M513" s="289"/>
      <c r="N513" s="289"/>
      <c r="O513" s="289"/>
      <c r="P513" s="289"/>
    </row>
    <row r="514">
      <c r="B514" s="303"/>
      <c r="F514" s="303"/>
      <c r="H514" s="289"/>
      <c r="I514" s="290"/>
      <c r="J514" s="289"/>
      <c r="K514" s="289"/>
      <c r="L514" s="289"/>
      <c r="M514" s="289"/>
      <c r="N514" s="289"/>
      <c r="O514" s="289"/>
      <c r="P514" s="289"/>
    </row>
    <row r="515">
      <c r="B515" s="303"/>
      <c r="F515" s="303"/>
      <c r="H515" s="289"/>
      <c r="I515" s="290"/>
      <c r="J515" s="289"/>
      <c r="K515" s="289"/>
      <c r="L515" s="289"/>
      <c r="M515" s="289"/>
      <c r="N515" s="289"/>
      <c r="O515" s="289"/>
      <c r="P515" s="289"/>
    </row>
    <row r="516">
      <c r="B516" s="303"/>
      <c r="F516" s="303"/>
      <c r="H516" s="289"/>
      <c r="I516" s="290"/>
      <c r="J516" s="289"/>
      <c r="K516" s="289"/>
      <c r="L516" s="289"/>
      <c r="M516" s="289"/>
      <c r="N516" s="289"/>
      <c r="O516" s="289"/>
      <c r="P516" s="289"/>
    </row>
    <row r="517">
      <c r="B517" s="303"/>
      <c r="F517" s="303"/>
      <c r="H517" s="289"/>
      <c r="I517" s="290"/>
      <c r="J517" s="289"/>
      <c r="K517" s="289"/>
      <c r="L517" s="289"/>
      <c r="M517" s="289"/>
      <c r="N517" s="289"/>
      <c r="O517" s="289"/>
      <c r="P517" s="289"/>
    </row>
    <row r="518">
      <c r="B518" s="303"/>
      <c r="F518" s="303"/>
      <c r="H518" s="289"/>
      <c r="I518" s="290"/>
      <c r="J518" s="289"/>
      <c r="K518" s="289"/>
      <c r="L518" s="289"/>
      <c r="M518" s="289"/>
      <c r="N518" s="289"/>
      <c r="O518" s="289"/>
      <c r="P518" s="289"/>
    </row>
    <row r="519">
      <c r="B519" s="303"/>
      <c r="F519" s="303"/>
      <c r="H519" s="289"/>
      <c r="I519" s="290"/>
      <c r="J519" s="289"/>
      <c r="K519" s="289"/>
      <c r="L519" s="289"/>
      <c r="M519" s="289"/>
      <c r="N519" s="289"/>
      <c r="O519" s="289"/>
      <c r="P519" s="289"/>
    </row>
    <row r="520">
      <c r="B520" s="303"/>
      <c r="F520" s="303"/>
      <c r="H520" s="289"/>
      <c r="I520" s="290"/>
      <c r="J520" s="289"/>
      <c r="K520" s="289"/>
      <c r="L520" s="289"/>
      <c r="M520" s="289"/>
      <c r="N520" s="289"/>
      <c r="O520" s="289"/>
      <c r="P520" s="289"/>
    </row>
    <row r="521">
      <c r="B521" s="303"/>
      <c r="F521" s="303"/>
      <c r="H521" s="289"/>
      <c r="I521" s="290"/>
      <c r="J521" s="289"/>
      <c r="K521" s="289"/>
      <c r="L521" s="289"/>
      <c r="M521" s="289"/>
      <c r="N521" s="289"/>
      <c r="O521" s="289"/>
      <c r="P521" s="289"/>
    </row>
    <row r="522">
      <c r="B522" s="303"/>
      <c r="F522" s="303"/>
      <c r="H522" s="289"/>
      <c r="I522" s="290"/>
      <c r="J522" s="289"/>
      <c r="K522" s="289"/>
      <c r="L522" s="289"/>
      <c r="M522" s="289"/>
      <c r="N522" s="289"/>
      <c r="O522" s="289"/>
      <c r="P522" s="289"/>
    </row>
    <row r="523">
      <c r="B523" s="303"/>
      <c r="F523" s="303"/>
      <c r="H523" s="289"/>
      <c r="I523" s="290"/>
      <c r="J523" s="289"/>
      <c r="K523" s="289"/>
      <c r="L523" s="289"/>
      <c r="M523" s="289"/>
      <c r="N523" s="289"/>
      <c r="O523" s="289"/>
      <c r="P523" s="289"/>
    </row>
    <row r="524">
      <c r="B524" s="303"/>
      <c r="F524" s="303"/>
      <c r="H524" s="289"/>
      <c r="I524" s="290"/>
      <c r="J524" s="289"/>
      <c r="K524" s="289"/>
      <c r="L524" s="289"/>
      <c r="M524" s="289"/>
      <c r="N524" s="289"/>
      <c r="O524" s="289"/>
      <c r="P524" s="289"/>
    </row>
    <row r="525">
      <c r="B525" s="303"/>
      <c r="F525" s="303"/>
      <c r="H525" s="289"/>
      <c r="I525" s="290"/>
      <c r="J525" s="289"/>
      <c r="K525" s="289"/>
      <c r="L525" s="289"/>
      <c r="M525" s="289"/>
      <c r="N525" s="289"/>
      <c r="O525" s="289"/>
      <c r="P525" s="289"/>
    </row>
    <row r="526">
      <c r="B526" s="303"/>
      <c r="F526" s="303"/>
      <c r="H526" s="289"/>
      <c r="I526" s="290"/>
      <c r="J526" s="289"/>
      <c r="K526" s="289"/>
      <c r="L526" s="289"/>
      <c r="M526" s="289"/>
      <c r="N526" s="289"/>
      <c r="O526" s="289"/>
      <c r="P526" s="289"/>
    </row>
    <row r="527">
      <c r="B527" s="303"/>
      <c r="F527" s="303"/>
      <c r="H527" s="289"/>
      <c r="I527" s="290"/>
      <c r="J527" s="289"/>
      <c r="K527" s="289"/>
      <c r="L527" s="289"/>
      <c r="M527" s="289"/>
      <c r="N527" s="289"/>
      <c r="O527" s="289"/>
      <c r="P527" s="289"/>
    </row>
    <row r="528">
      <c r="B528" s="303"/>
      <c r="F528" s="303"/>
      <c r="H528" s="289"/>
      <c r="I528" s="290"/>
      <c r="J528" s="289"/>
      <c r="K528" s="289"/>
      <c r="L528" s="289"/>
      <c r="M528" s="289"/>
      <c r="N528" s="289"/>
      <c r="O528" s="289"/>
      <c r="P528" s="289"/>
    </row>
    <row r="529">
      <c r="B529" s="303"/>
      <c r="F529" s="303"/>
      <c r="H529" s="289"/>
      <c r="I529" s="290"/>
      <c r="J529" s="289"/>
      <c r="K529" s="289"/>
      <c r="L529" s="289"/>
      <c r="M529" s="289"/>
      <c r="N529" s="289"/>
      <c r="O529" s="289"/>
      <c r="P529" s="289"/>
    </row>
    <row r="530">
      <c r="B530" s="303"/>
      <c r="F530" s="303"/>
      <c r="H530" s="289"/>
      <c r="I530" s="290"/>
      <c r="J530" s="289"/>
      <c r="K530" s="289"/>
      <c r="L530" s="289"/>
      <c r="M530" s="289"/>
      <c r="N530" s="289"/>
      <c r="O530" s="289"/>
      <c r="P530" s="289"/>
    </row>
    <row r="531">
      <c r="B531" s="303"/>
      <c r="F531" s="303"/>
      <c r="H531" s="289"/>
      <c r="I531" s="290"/>
      <c r="J531" s="289"/>
      <c r="K531" s="289"/>
      <c r="L531" s="289"/>
      <c r="M531" s="289"/>
      <c r="N531" s="289"/>
      <c r="O531" s="289"/>
      <c r="P531" s="289"/>
    </row>
    <row r="532">
      <c r="B532" s="303"/>
      <c r="F532" s="303"/>
      <c r="H532" s="289"/>
      <c r="I532" s="290"/>
      <c r="J532" s="289"/>
      <c r="K532" s="289"/>
      <c r="L532" s="289"/>
      <c r="M532" s="289"/>
      <c r="N532" s="289"/>
      <c r="O532" s="289"/>
      <c r="P532" s="289"/>
    </row>
    <row r="533">
      <c r="B533" s="303"/>
      <c r="F533" s="303"/>
      <c r="H533" s="289"/>
      <c r="I533" s="290"/>
      <c r="J533" s="289"/>
      <c r="K533" s="289"/>
      <c r="L533" s="289"/>
      <c r="M533" s="289"/>
      <c r="N533" s="289"/>
      <c r="O533" s="289"/>
      <c r="P533" s="289"/>
    </row>
    <row r="534">
      <c r="B534" s="303"/>
      <c r="F534" s="303"/>
      <c r="H534" s="289"/>
      <c r="I534" s="290"/>
      <c r="J534" s="289"/>
      <c r="K534" s="289"/>
      <c r="L534" s="289"/>
      <c r="M534" s="289"/>
      <c r="N534" s="289"/>
      <c r="O534" s="289"/>
      <c r="P534" s="289"/>
    </row>
    <row r="535">
      <c r="B535" s="303"/>
      <c r="F535" s="303"/>
      <c r="H535" s="289"/>
      <c r="I535" s="290"/>
      <c r="J535" s="289"/>
      <c r="K535" s="289"/>
      <c r="L535" s="289"/>
      <c r="M535" s="289"/>
      <c r="N535" s="289"/>
      <c r="O535" s="289"/>
      <c r="P535" s="289"/>
    </row>
    <row r="536">
      <c r="B536" s="303"/>
      <c r="F536" s="303"/>
      <c r="H536" s="289"/>
      <c r="I536" s="290"/>
      <c r="J536" s="289"/>
      <c r="K536" s="289"/>
      <c r="L536" s="289"/>
      <c r="M536" s="289"/>
      <c r="N536" s="289"/>
      <c r="O536" s="289"/>
      <c r="P536" s="289"/>
    </row>
    <row r="537">
      <c r="B537" s="303"/>
      <c r="F537" s="303"/>
      <c r="H537" s="289"/>
      <c r="I537" s="290"/>
      <c r="J537" s="289"/>
      <c r="K537" s="289"/>
      <c r="L537" s="289"/>
      <c r="M537" s="289"/>
      <c r="N537" s="289"/>
      <c r="O537" s="289"/>
      <c r="P537" s="289"/>
    </row>
    <row r="538">
      <c r="B538" s="303"/>
      <c r="F538" s="303"/>
      <c r="H538" s="289"/>
      <c r="I538" s="290"/>
      <c r="J538" s="289"/>
      <c r="K538" s="289"/>
      <c r="L538" s="289"/>
      <c r="M538" s="289"/>
      <c r="N538" s="289"/>
      <c r="O538" s="289"/>
      <c r="P538" s="289"/>
    </row>
    <row r="539">
      <c r="B539" s="303"/>
      <c r="F539" s="303"/>
      <c r="H539" s="289"/>
      <c r="I539" s="290"/>
      <c r="J539" s="289"/>
      <c r="K539" s="289"/>
      <c r="L539" s="289"/>
      <c r="M539" s="289"/>
      <c r="N539" s="289"/>
      <c r="O539" s="289"/>
      <c r="P539" s="289"/>
    </row>
    <row r="540">
      <c r="B540" s="303"/>
      <c r="F540" s="303"/>
      <c r="H540" s="289"/>
      <c r="I540" s="290"/>
      <c r="J540" s="289"/>
      <c r="K540" s="289"/>
      <c r="L540" s="289"/>
      <c r="M540" s="289"/>
      <c r="N540" s="289"/>
      <c r="O540" s="289"/>
      <c r="P540" s="289"/>
    </row>
    <row r="541">
      <c r="B541" s="303"/>
      <c r="F541" s="303"/>
      <c r="H541" s="289"/>
      <c r="I541" s="290"/>
      <c r="J541" s="289"/>
      <c r="K541" s="289"/>
      <c r="L541" s="289"/>
      <c r="M541" s="289"/>
      <c r="N541" s="289"/>
      <c r="O541" s="289"/>
      <c r="P541" s="289"/>
    </row>
    <row r="542">
      <c r="B542" s="303"/>
      <c r="F542" s="303"/>
      <c r="H542" s="289"/>
      <c r="I542" s="290"/>
      <c r="J542" s="289"/>
      <c r="K542" s="289"/>
      <c r="L542" s="289"/>
      <c r="M542" s="289"/>
      <c r="N542" s="289"/>
      <c r="O542" s="289"/>
      <c r="P542" s="289"/>
    </row>
    <row r="543">
      <c r="B543" s="303"/>
      <c r="F543" s="303"/>
      <c r="H543" s="289"/>
      <c r="I543" s="290"/>
      <c r="J543" s="289"/>
      <c r="K543" s="289"/>
      <c r="L543" s="289"/>
      <c r="M543" s="289"/>
      <c r="N543" s="289"/>
      <c r="O543" s="289"/>
      <c r="P543" s="289"/>
    </row>
    <row r="544">
      <c r="B544" s="303"/>
      <c r="F544" s="303"/>
      <c r="H544" s="289"/>
      <c r="I544" s="290"/>
      <c r="J544" s="289"/>
      <c r="K544" s="289"/>
      <c r="L544" s="289"/>
      <c r="M544" s="289"/>
      <c r="N544" s="289"/>
      <c r="O544" s="289"/>
      <c r="P544" s="289"/>
    </row>
    <row r="545">
      <c r="B545" s="303"/>
      <c r="F545" s="303"/>
      <c r="H545" s="289"/>
      <c r="I545" s="290"/>
      <c r="J545" s="289"/>
      <c r="K545" s="289"/>
      <c r="L545" s="289"/>
      <c r="M545" s="289"/>
      <c r="N545" s="289"/>
      <c r="O545" s="289"/>
      <c r="P545" s="289"/>
    </row>
    <row r="546">
      <c r="B546" s="303"/>
      <c r="F546" s="303"/>
      <c r="H546" s="289"/>
      <c r="I546" s="290"/>
      <c r="J546" s="289"/>
      <c r="K546" s="289"/>
      <c r="L546" s="289"/>
      <c r="M546" s="289"/>
      <c r="N546" s="289"/>
      <c r="O546" s="289"/>
      <c r="P546" s="289"/>
    </row>
    <row r="547">
      <c r="B547" s="303"/>
      <c r="F547" s="303"/>
      <c r="H547" s="289"/>
      <c r="I547" s="290"/>
      <c r="J547" s="289"/>
      <c r="K547" s="289"/>
      <c r="L547" s="289"/>
      <c r="M547" s="289"/>
      <c r="N547" s="289"/>
      <c r="O547" s="289"/>
      <c r="P547" s="289"/>
    </row>
    <row r="548">
      <c r="B548" s="303"/>
      <c r="F548" s="303"/>
      <c r="H548" s="289"/>
      <c r="I548" s="290"/>
      <c r="J548" s="289"/>
      <c r="K548" s="289"/>
      <c r="L548" s="289"/>
      <c r="M548" s="289"/>
      <c r="N548" s="289"/>
      <c r="O548" s="289"/>
      <c r="P548" s="289"/>
    </row>
    <row r="549">
      <c r="B549" s="303"/>
      <c r="F549" s="303"/>
      <c r="H549" s="289"/>
      <c r="I549" s="290"/>
      <c r="J549" s="289"/>
      <c r="K549" s="289"/>
      <c r="L549" s="289"/>
      <c r="M549" s="289"/>
      <c r="N549" s="289"/>
      <c r="O549" s="289"/>
      <c r="P549" s="289"/>
    </row>
    <row r="550">
      <c r="B550" s="303"/>
      <c r="F550" s="303"/>
      <c r="H550" s="289"/>
      <c r="I550" s="290"/>
      <c r="J550" s="289"/>
      <c r="K550" s="289"/>
      <c r="L550" s="289"/>
      <c r="M550" s="289"/>
      <c r="N550" s="289"/>
      <c r="O550" s="289"/>
      <c r="P550" s="289"/>
    </row>
    <row r="551">
      <c r="B551" s="303"/>
      <c r="F551" s="303"/>
      <c r="H551" s="289"/>
      <c r="I551" s="290"/>
      <c r="J551" s="289"/>
      <c r="K551" s="289"/>
      <c r="L551" s="289"/>
      <c r="M551" s="289"/>
      <c r="N551" s="289"/>
      <c r="O551" s="289"/>
      <c r="P551" s="289"/>
    </row>
    <row r="552">
      <c r="B552" s="303"/>
      <c r="F552" s="303"/>
      <c r="H552" s="289"/>
      <c r="I552" s="290"/>
      <c r="J552" s="289"/>
      <c r="K552" s="289"/>
      <c r="L552" s="289"/>
      <c r="M552" s="289"/>
      <c r="N552" s="289"/>
      <c r="O552" s="289"/>
      <c r="P552" s="289"/>
    </row>
    <row r="553">
      <c r="B553" s="303"/>
      <c r="F553" s="303"/>
      <c r="H553" s="289"/>
      <c r="I553" s="290"/>
      <c r="J553" s="289"/>
      <c r="K553" s="289"/>
      <c r="L553" s="289"/>
      <c r="M553" s="289"/>
      <c r="N553" s="289"/>
      <c r="O553" s="289"/>
      <c r="P553" s="289"/>
    </row>
    <row r="554">
      <c r="B554" s="303"/>
      <c r="F554" s="303"/>
      <c r="H554" s="289"/>
      <c r="I554" s="290"/>
      <c r="J554" s="289"/>
      <c r="K554" s="289"/>
      <c r="L554" s="289"/>
      <c r="M554" s="289"/>
      <c r="N554" s="289"/>
      <c r="O554" s="289"/>
      <c r="P554" s="289"/>
    </row>
    <row r="555">
      <c r="B555" s="303"/>
      <c r="F555" s="303"/>
      <c r="H555" s="289"/>
      <c r="I555" s="290"/>
      <c r="J555" s="289"/>
      <c r="K555" s="289"/>
      <c r="L555" s="289"/>
      <c r="M555" s="289"/>
      <c r="N555" s="289"/>
      <c r="O555" s="289"/>
      <c r="P555" s="289"/>
    </row>
    <row r="556">
      <c r="B556" s="303"/>
      <c r="F556" s="303"/>
      <c r="H556" s="289"/>
      <c r="I556" s="290"/>
      <c r="J556" s="289"/>
      <c r="K556" s="289"/>
      <c r="L556" s="289"/>
      <c r="M556" s="289"/>
      <c r="N556" s="289"/>
      <c r="O556" s="289"/>
      <c r="P556" s="289"/>
    </row>
    <row r="557">
      <c r="B557" s="303"/>
      <c r="F557" s="303"/>
      <c r="H557" s="289"/>
      <c r="I557" s="290"/>
      <c r="J557" s="289"/>
      <c r="K557" s="289"/>
      <c r="L557" s="289"/>
      <c r="M557" s="289"/>
      <c r="N557" s="289"/>
      <c r="O557" s="289"/>
      <c r="P557" s="289"/>
    </row>
    <row r="558">
      <c r="B558" s="303"/>
      <c r="F558" s="303"/>
      <c r="H558" s="289"/>
      <c r="I558" s="290"/>
      <c r="J558" s="289"/>
      <c r="K558" s="289"/>
      <c r="L558" s="289"/>
      <c r="M558" s="289"/>
      <c r="N558" s="289"/>
      <c r="O558" s="289"/>
      <c r="P558" s="289"/>
    </row>
    <row r="559">
      <c r="B559" s="303"/>
      <c r="F559" s="303"/>
      <c r="H559" s="289"/>
      <c r="I559" s="290"/>
      <c r="J559" s="289"/>
      <c r="K559" s="289"/>
      <c r="L559" s="289"/>
      <c r="M559" s="289"/>
      <c r="N559" s="289"/>
      <c r="O559" s="289"/>
      <c r="P559" s="289"/>
    </row>
    <row r="560">
      <c r="B560" s="303"/>
      <c r="F560" s="303"/>
      <c r="H560" s="289"/>
      <c r="I560" s="290"/>
      <c r="J560" s="289"/>
      <c r="K560" s="289"/>
      <c r="L560" s="289"/>
      <c r="M560" s="289"/>
      <c r="N560" s="289"/>
      <c r="O560" s="289"/>
      <c r="P560" s="289"/>
    </row>
    <row r="561">
      <c r="B561" s="303"/>
      <c r="F561" s="303"/>
      <c r="H561" s="289"/>
      <c r="I561" s="290"/>
      <c r="J561" s="289"/>
      <c r="K561" s="289"/>
      <c r="L561" s="289"/>
      <c r="M561" s="289"/>
      <c r="N561" s="289"/>
      <c r="O561" s="289"/>
      <c r="P561" s="289"/>
    </row>
    <row r="562">
      <c r="B562" s="303"/>
      <c r="F562" s="303"/>
      <c r="H562" s="289"/>
      <c r="I562" s="290"/>
      <c r="J562" s="289"/>
      <c r="K562" s="289"/>
      <c r="L562" s="289"/>
      <c r="M562" s="289"/>
      <c r="N562" s="289"/>
      <c r="O562" s="289"/>
      <c r="P562" s="289"/>
    </row>
    <row r="563">
      <c r="B563" s="303"/>
      <c r="F563" s="303"/>
      <c r="H563" s="289"/>
      <c r="I563" s="290"/>
      <c r="J563" s="289"/>
      <c r="K563" s="289"/>
      <c r="L563" s="289"/>
      <c r="M563" s="289"/>
      <c r="N563" s="289"/>
      <c r="O563" s="289"/>
      <c r="P563" s="289"/>
    </row>
    <row r="564">
      <c r="B564" s="303"/>
      <c r="F564" s="303"/>
      <c r="H564" s="289"/>
      <c r="I564" s="290"/>
      <c r="J564" s="289"/>
      <c r="K564" s="289"/>
      <c r="L564" s="289"/>
      <c r="M564" s="289"/>
      <c r="N564" s="289"/>
      <c r="O564" s="289"/>
      <c r="P564" s="289"/>
    </row>
    <row r="565">
      <c r="B565" s="303"/>
      <c r="F565" s="303"/>
      <c r="H565" s="289"/>
      <c r="I565" s="290"/>
      <c r="J565" s="289"/>
      <c r="K565" s="289"/>
      <c r="L565" s="289"/>
      <c r="M565" s="289"/>
      <c r="N565" s="289"/>
      <c r="O565" s="289"/>
      <c r="P565" s="289"/>
    </row>
    <row r="566">
      <c r="B566" s="303"/>
      <c r="F566" s="303"/>
      <c r="H566" s="289"/>
      <c r="I566" s="290"/>
      <c r="J566" s="289"/>
      <c r="K566" s="289"/>
      <c r="L566" s="289"/>
      <c r="M566" s="289"/>
      <c r="N566" s="289"/>
      <c r="O566" s="289"/>
      <c r="P566" s="289"/>
    </row>
    <row r="567">
      <c r="B567" s="303"/>
      <c r="F567" s="303"/>
      <c r="H567" s="289"/>
      <c r="I567" s="290"/>
      <c r="J567" s="289"/>
      <c r="K567" s="289"/>
      <c r="L567" s="289"/>
      <c r="M567" s="289"/>
      <c r="N567" s="289"/>
      <c r="O567" s="289"/>
      <c r="P567" s="289"/>
    </row>
    <row r="568">
      <c r="B568" s="303"/>
      <c r="F568" s="303"/>
      <c r="H568" s="289"/>
      <c r="I568" s="290"/>
      <c r="J568" s="289"/>
      <c r="K568" s="289"/>
      <c r="L568" s="289"/>
      <c r="M568" s="289"/>
      <c r="N568" s="289"/>
      <c r="O568" s="289"/>
      <c r="P568" s="289"/>
    </row>
    <row r="569">
      <c r="B569" s="303"/>
      <c r="F569" s="303"/>
      <c r="H569" s="289"/>
      <c r="I569" s="290"/>
      <c r="J569" s="289"/>
      <c r="K569" s="289"/>
      <c r="L569" s="289"/>
      <c r="M569" s="289"/>
      <c r="N569" s="289"/>
      <c r="O569" s="289"/>
      <c r="P569" s="289"/>
    </row>
    <row r="570">
      <c r="B570" s="303"/>
      <c r="F570" s="303"/>
      <c r="H570" s="289"/>
      <c r="I570" s="290"/>
      <c r="J570" s="289"/>
      <c r="K570" s="289"/>
      <c r="L570" s="289"/>
      <c r="M570" s="289"/>
      <c r="N570" s="289"/>
      <c r="O570" s="289"/>
      <c r="P570" s="289"/>
    </row>
    <row r="571">
      <c r="B571" s="303"/>
      <c r="F571" s="303"/>
      <c r="H571" s="289"/>
      <c r="I571" s="290"/>
      <c r="J571" s="289"/>
      <c r="K571" s="289"/>
      <c r="L571" s="289"/>
      <c r="M571" s="289"/>
      <c r="N571" s="289"/>
      <c r="O571" s="289"/>
      <c r="P571" s="289"/>
    </row>
    <row r="572">
      <c r="B572" s="303"/>
      <c r="F572" s="303"/>
      <c r="H572" s="289"/>
      <c r="I572" s="290"/>
      <c r="J572" s="289"/>
      <c r="K572" s="289"/>
      <c r="L572" s="289"/>
      <c r="M572" s="289"/>
      <c r="N572" s="289"/>
      <c r="O572" s="289"/>
      <c r="P572" s="289"/>
    </row>
    <row r="573">
      <c r="B573" s="303"/>
      <c r="F573" s="303"/>
      <c r="H573" s="289"/>
      <c r="I573" s="290"/>
      <c r="J573" s="289"/>
      <c r="K573" s="289"/>
      <c r="L573" s="289"/>
      <c r="M573" s="289"/>
      <c r="N573" s="289"/>
      <c r="O573" s="289"/>
      <c r="P573" s="289"/>
    </row>
    <row r="574">
      <c r="B574" s="303"/>
      <c r="F574" s="303"/>
      <c r="H574" s="289"/>
      <c r="I574" s="290"/>
      <c r="J574" s="289"/>
      <c r="K574" s="289"/>
      <c r="L574" s="289"/>
      <c r="M574" s="289"/>
      <c r="N574" s="289"/>
      <c r="O574" s="289"/>
      <c r="P574" s="289"/>
    </row>
    <row r="575">
      <c r="B575" s="303"/>
      <c r="F575" s="303"/>
      <c r="H575" s="289"/>
      <c r="I575" s="290"/>
      <c r="J575" s="289"/>
      <c r="K575" s="289"/>
      <c r="L575" s="289"/>
      <c r="M575" s="289"/>
      <c r="N575" s="289"/>
      <c r="O575" s="289"/>
      <c r="P575" s="289"/>
    </row>
    <row r="576">
      <c r="B576" s="303"/>
      <c r="F576" s="303"/>
      <c r="H576" s="289"/>
      <c r="I576" s="290"/>
      <c r="J576" s="289"/>
      <c r="K576" s="289"/>
      <c r="L576" s="289"/>
      <c r="M576" s="289"/>
      <c r="N576" s="289"/>
      <c r="O576" s="289"/>
      <c r="P576" s="289"/>
    </row>
    <row r="577">
      <c r="B577" s="303"/>
      <c r="F577" s="303"/>
      <c r="H577" s="289"/>
      <c r="I577" s="290"/>
      <c r="J577" s="289"/>
      <c r="K577" s="289"/>
      <c r="L577" s="289"/>
      <c r="M577" s="289"/>
      <c r="N577" s="289"/>
      <c r="O577" s="289"/>
      <c r="P577" s="289"/>
    </row>
    <row r="578">
      <c r="B578" s="303"/>
      <c r="F578" s="303"/>
      <c r="H578" s="289"/>
      <c r="I578" s="290"/>
      <c r="J578" s="289"/>
      <c r="K578" s="289"/>
      <c r="L578" s="289"/>
      <c r="M578" s="289"/>
      <c r="N578" s="289"/>
      <c r="O578" s="289"/>
      <c r="P578" s="289"/>
    </row>
    <row r="579">
      <c r="B579" s="303"/>
      <c r="F579" s="303"/>
      <c r="H579" s="289"/>
      <c r="I579" s="290"/>
      <c r="J579" s="289"/>
      <c r="K579" s="289"/>
      <c r="L579" s="289"/>
      <c r="M579" s="289"/>
      <c r="N579" s="289"/>
      <c r="O579" s="289"/>
      <c r="P579" s="289"/>
    </row>
    <row r="580">
      <c r="B580" s="303"/>
      <c r="F580" s="303"/>
      <c r="H580" s="289"/>
      <c r="I580" s="290"/>
      <c r="J580" s="289"/>
      <c r="K580" s="289"/>
      <c r="L580" s="289"/>
      <c r="M580" s="289"/>
      <c r="N580" s="289"/>
      <c r="O580" s="289"/>
      <c r="P580" s="289"/>
    </row>
    <row r="581">
      <c r="B581" s="303"/>
      <c r="F581" s="303"/>
      <c r="H581" s="289"/>
      <c r="I581" s="290"/>
      <c r="J581" s="289"/>
      <c r="K581" s="289"/>
      <c r="L581" s="289"/>
      <c r="M581" s="289"/>
      <c r="N581" s="289"/>
      <c r="O581" s="289"/>
      <c r="P581" s="289"/>
    </row>
    <row r="582">
      <c r="B582" s="303"/>
      <c r="F582" s="303"/>
      <c r="H582" s="289"/>
      <c r="I582" s="290"/>
      <c r="J582" s="289"/>
      <c r="K582" s="289"/>
      <c r="L582" s="289"/>
      <c r="M582" s="289"/>
      <c r="N582" s="289"/>
      <c r="O582" s="289"/>
      <c r="P582" s="289"/>
    </row>
    <row r="583">
      <c r="B583" s="303"/>
      <c r="F583" s="303"/>
      <c r="H583" s="289"/>
      <c r="I583" s="290"/>
      <c r="J583" s="289"/>
      <c r="K583" s="289"/>
      <c r="L583" s="289"/>
      <c r="M583" s="289"/>
      <c r="N583" s="289"/>
      <c r="O583" s="289"/>
      <c r="P583" s="289"/>
    </row>
    <row r="584">
      <c r="B584" s="303"/>
      <c r="F584" s="303"/>
      <c r="H584" s="289"/>
      <c r="I584" s="290"/>
      <c r="J584" s="289"/>
      <c r="K584" s="289"/>
      <c r="L584" s="289"/>
      <c r="M584" s="289"/>
      <c r="N584" s="289"/>
      <c r="O584" s="289"/>
      <c r="P584" s="289"/>
    </row>
    <row r="585">
      <c r="B585" s="303"/>
      <c r="F585" s="303"/>
      <c r="H585" s="289"/>
      <c r="I585" s="290"/>
      <c r="J585" s="289"/>
      <c r="K585" s="289"/>
      <c r="L585" s="289"/>
      <c r="M585" s="289"/>
      <c r="N585" s="289"/>
      <c r="O585" s="289"/>
      <c r="P585" s="289"/>
    </row>
    <row r="586">
      <c r="B586" s="303"/>
      <c r="F586" s="303"/>
      <c r="H586" s="289"/>
      <c r="I586" s="290"/>
      <c r="J586" s="289"/>
      <c r="K586" s="289"/>
      <c r="L586" s="289"/>
      <c r="M586" s="289"/>
      <c r="N586" s="289"/>
      <c r="O586" s="289"/>
      <c r="P586" s="289"/>
    </row>
    <row r="587">
      <c r="B587" s="303"/>
      <c r="F587" s="303"/>
      <c r="H587" s="289"/>
      <c r="I587" s="290"/>
      <c r="J587" s="289"/>
      <c r="K587" s="289"/>
      <c r="L587" s="289"/>
      <c r="M587" s="289"/>
      <c r="N587" s="289"/>
      <c r="O587" s="289"/>
      <c r="P587" s="289"/>
    </row>
    <row r="588">
      <c r="B588" s="303"/>
      <c r="F588" s="303"/>
      <c r="H588" s="289"/>
      <c r="I588" s="290"/>
      <c r="J588" s="289"/>
      <c r="K588" s="289"/>
      <c r="L588" s="289"/>
      <c r="M588" s="289"/>
      <c r="N588" s="289"/>
      <c r="O588" s="289"/>
      <c r="P588" s="289"/>
    </row>
    <row r="589">
      <c r="B589" s="303"/>
      <c r="F589" s="303"/>
      <c r="H589" s="289"/>
      <c r="I589" s="290"/>
      <c r="J589" s="289"/>
      <c r="K589" s="289"/>
      <c r="L589" s="289"/>
      <c r="M589" s="289"/>
      <c r="N589" s="289"/>
      <c r="O589" s="289"/>
      <c r="P589" s="289"/>
    </row>
    <row r="590">
      <c r="B590" s="303"/>
      <c r="F590" s="303"/>
      <c r="H590" s="289"/>
      <c r="I590" s="290"/>
      <c r="J590" s="289"/>
      <c r="K590" s="289"/>
      <c r="L590" s="289"/>
      <c r="M590" s="289"/>
      <c r="N590" s="289"/>
      <c r="O590" s="289"/>
      <c r="P590" s="289"/>
    </row>
    <row r="591">
      <c r="B591" s="303"/>
      <c r="F591" s="303"/>
      <c r="H591" s="289"/>
      <c r="I591" s="290"/>
      <c r="J591" s="289"/>
      <c r="K591" s="289"/>
      <c r="L591" s="289"/>
      <c r="M591" s="289"/>
      <c r="N591" s="289"/>
      <c r="O591" s="289"/>
      <c r="P591" s="289"/>
    </row>
    <row r="592">
      <c r="B592" s="303"/>
      <c r="F592" s="303"/>
      <c r="H592" s="289"/>
      <c r="I592" s="290"/>
      <c r="J592" s="289"/>
      <c r="K592" s="289"/>
      <c r="L592" s="289"/>
      <c r="M592" s="289"/>
      <c r="N592" s="289"/>
      <c r="O592" s="289"/>
      <c r="P592" s="289"/>
    </row>
    <row r="593">
      <c r="B593" s="303"/>
      <c r="F593" s="303"/>
      <c r="H593" s="289"/>
      <c r="I593" s="290"/>
      <c r="J593" s="289"/>
      <c r="K593" s="289"/>
      <c r="L593" s="289"/>
      <c r="M593" s="289"/>
      <c r="N593" s="289"/>
      <c r="O593" s="289"/>
      <c r="P593" s="289"/>
    </row>
    <row r="594">
      <c r="B594" s="303"/>
      <c r="F594" s="303"/>
      <c r="H594" s="289"/>
      <c r="I594" s="290"/>
      <c r="J594" s="289"/>
      <c r="K594" s="289"/>
      <c r="L594" s="289"/>
      <c r="M594" s="289"/>
      <c r="N594" s="289"/>
      <c r="O594" s="289"/>
      <c r="P594" s="289"/>
    </row>
    <row r="595">
      <c r="B595" s="303"/>
      <c r="F595" s="303"/>
      <c r="H595" s="289"/>
      <c r="I595" s="290"/>
      <c r="J595" s="289"/>
      <c r="K595" s="289"/>
      <c r="L595" s="289"/>
      <c r="M595" s="289"/>
      <c r="N595" s="289"/>
      <c r="O595" s="289"/>
      <c r="P595" s="289"/>
    </row>
    <row r="596">
      <c r="B596" s="303"/>
      <c r="F596" s="303"/>
      <c r="H596" s="289"/>
      <c r="I596" s="290"/>
      <c r="J596" s="289"/>
      <c r="K596" s="289"/>
      <c r="L596" s="289"/>
      <c r="M596" s="289"/>
      <c r="N596" s="289"/>
      <c r="O596" s="289"/>
      <c r="P596" s="289"/>
    </row>
    <row r="597">
      <c r="B597" s="303"/>
      <c r="F597" s="303"/>
      <c r="H597" s="289"/>
      <c r="I597" s="290"/>
      <c r="J597" s="289"/>
      <c r="K597" s="289"/>
      <c r="L597" s="289"/>
      <c r="M597" s="289"/>
      <c r="N597" s="289"/>
      <c r="O597" s="289"/>
      <c r="P597" s="289"/>
    </row>
    <row r="598">
      <c r="B598" s="303"/>
      <c r="F598" s="303"/>
      <c r="H598" s="289"/>
      <c r="I598" s="290"/>
      <c r="J598" s="289"/>
      <c r="K598" s="289"/>
      <c r="L598" s="289"/>
      <c r="M598" s="289"/>
      <c r="N598" s="289"/>
      <c r="O598" s="289"/>
      <c r="P598" s="289"/>
    </row>
    <row r="599">
      <c r="B599" s="303"/>
      <c r="F599" s="303"/>
      <c r="H599" s="289"/>
      <c r="I599" s="290"/>
      <c r="J599" s="289"/>
      <c r="K599" s="289"/>
      <c r="L599" s="289"/>
      <c r="M599" s="289"/>
      <c r="N599" s="289"/>
      <c r="O599" s="289"/>
      <c r="P599" s="289"/>
    </row>
    <row r="600">
      <c r="B600" s="303"/>
      <c r="F600" s="303"/>
      <c r="H600" s="289"/>
      <c r="I600" s="290"/>
      <c r="J600" s="289"/>
      <c r="K600" s="289"/>
      <c r="L600" s="289"/>
      <c r="M600" s="289"/>
      <c r="N600" s="289"/>
      <c r="O600" s="289"/>
      <c r="P600" s="289"/>
    </row>
    <row r="601">
      <c r="B601" s="303"/>
      <c r="F601" s="303"/>
      <c r="H601" s="289"/>
      <c r="I601" s="290"/>
      <c r="J601" s="289"/>
      <c r="K601" s="289"/>
      <c r="L601" s="289"/>
      <c r="M601" s="289"/>
      <c r="N601" s="289"/>
      <c r="O601" s="289"/>
      <c r="P601" s="289"/>
    </row>
    <row r="602">
      <c r="B602" s="303"/>
      <c r="F602" s="303"/>
      <c r="H602" s="289"/>
      <c r="I602" s="290"/>
      <c r="J602" s="289"/>
      <c r="K602" s="289"/>
      <c r="L602" s="289"/>
      <c r="M602" s="289"/>
      <c r="N602" s="289"/>
      <c r="O602" s="289"/>
      <c r="P602" s="289"/>
    </row>
    <row r="603">
      <c r="B603" s="303"/>
      <c r="F603" s="303"/>
      <c r="H603" s="289"/>
      <c r="I603" s="290"/>
      <c r="J603" s="289"/>
      <c r="K603" s="289"/>
      <c r="L603" s="289"/>
      <c r="M603" s="289"/>
      <c r="N603" s="289"/>
      <c r="O603" s="289"/>
      <c r="P603" s="289"/>
    </row>
    <row r="604">
      <c r="B604" s="303"/>
      <c r="F604" s="303"/>
      <c r="H604" s="289"/>
      <c r="I604" s="290"/>
      <c r="J604" s="289"/>
      <c r="K604" s="289"/>
      <c r="L604" s="289"/>
      <c r="M604" s="289"/>
      <c r="N604" s="289"/>
      <c r="O604" s="289"/>
      <c r="P604" s="289"/>
    </row>
    <row r="605">
      <c r="B605" s="303"/>
      <c r="F605" s="303"/>
      <c r="H605" s="289"/>
      <c r="I605" s="290"/>
      <c r="J605" s="289"/>
      <c r="K605" s="289"/>
      <c r="L605" s="289"/>
      <c r="M605" s="289"/>
      <c r="N605" s="289"/>
      <c r="O605" s="289"/>
      <c r="P605" s="289"/>
    </row>
    <row r="606">
      <c r="B606" s="303"/>
      <c r="F606" s="303"/>
      <c r="H606" s="289"/>
      <c r="I606" s="290"/>
      <c r="J606" s="289"/>
      <c r="K606" s="289"/>
      <c r="L606" s="289"/>
      <c r="M606" s="289"/>
      <c r="N606" s="289"/>
      <c r="O606" s="289"/>
      <c r="P606" s="289"/>
    </row>
    <row r="607">
      <c r="B607" s="303"/>
      <c r="F607" s="303"/>
      <c r="H607" s="289"/>
      <c r="I607" s="290"/>
      <c r="J607" s="289"/>
      <c r="K607" s="289"/>
      <c r="L607" s="289"/>
      <c r="M607" s="289"/>
      <c r="N607" s="289"/>
      <c r="O607" s="289"/>
      <c r="P607" s="289"/>
    </row>
    <row r="608">
      <c r="B608" s="303"/>
      <c r="F608" s="303"/>
      <c r="H608" s="289"/>
      <c r="I608" s="290"/>
      <c r="J608" s="289"/>
      <c r="K608" s="289"/>
      <c r="L608" s="289"/>
      <c r="M608" s="289"/>
      <c r="N608" s="289"/>
      <c r="O608" s="289"/>
      <c r="P608" s="289"/>
    </row>
    <row r="609">
      <c r="B609" s="303"/>
      <c r="F609" s="303"/>
      <c r="H609" s="289"/>
      <c r="I609" s="290"/>
      <c r="J609" s="289"/>
      <c r="K609" s="289"/>
      <c r="L609" s="289"/>
      <c r="M609" s="289"/>
      <c r="N609" s="289"/>
      <c r="O609" s="289"/>
      <c r="P609" s="289"/>
    </row>
    <row r="610">
      <c r="B610" s="303"/>
      <c r="F610" s="303"/>
      <c r="H610" s="289"/>
      <c r="I610" s="290"/>
      <c r="J610" s="289"/>
      <c r="K610" s="289"/>
      <c r="L610" s="289"/>
      <c r="M610" s="289"/>
      <c r="N610" s="289"/>
      <c r="O610" s="289"/>
      <c r="P610" s="289"/>
    </row>
    <row r="611">
      <c r="B611" s="303"/>
      <c r="F611" s="303"/>
      <c r="H611" s="289"/>
      <c r="I611" s="290"/>
      <c r="J611" s="289"/>
      <c r="K611" s="289"/>
      <c r="L611" s="289"/>
      <c r="M611" s="289"/>
      <c r="N611" s="289"/>
      <c r="O611" s="289"/>
      <c r="P611" s="289"/>
    </row>
    <row r="612">
      <c r="B612" s="303"/>
      <c r="F612" s="303"/>
      <c r="H612" s="289"/>
      <c r="I612" s="290"/>
      <c r="J612" s="289"/>
      <c r="K612" s="289"/>
      <c r="L612" s="289"/>
      <c r="M612" s="289"/>
      <c r="N612" s="289"/>
      <c r="O612" s="289"/>
      <c r="P612" s="289"/>
    </row>
    <row r="613">
      <c r="B613" s="303"/>
      <c r="F613" s="303"/>
      <c r="H613" s="289"/>
      <c r="I613" s="290"/>
      <c r="J613" s="289"/>
      <c r="K613" s="289"/>
      <c r="L613" s="289"/>
      <c r="M613" s="289"/>
      <c r="N613" s="289"/>
      <c r="O613" s="289"/>
      <c r="P613" s="289"/>
    </row>
    <row r="614">
      <c r="B614" s="303"/>
      <c r="F614" s="303"/>
      <c r="H614" s="289"/>
      <c r="I614" s="290"/>
      <c r="J614" s="289"/>
      <c r="K614" s="289"/>
      <c r="L614" s="289"/>
      <c r="M614" s="289"/>
      <c r="N614" s="289"/>
      <c r="O614" s="289"/>
      <c r="P614" s="289"/>
    </row>
    <row r="615">
      <c r="B615" s="303"/>
      <c r="F615" s="303"/>
      <c r="H615" s="289"/>
      <c r="I615" s="290"/>
      <c r="J615" s="289"/>
      <c r="K615" s="289"/>
      <c r="L615" s="289"/>
      <c r="M615" s="289"/>
      <c r="N615" s="289"/>
      <c r="O615" s="289"/>
      <c r="P615" s="289"/>
    </row>
    <row r="616">
      <c r="B616" s="303"/>
      <c r="F616" s="303"/>
      <c r="H616" s="289"/>
      <c r="I616" s="290"/>
      <c r="J616" s="289"/>
      <c r="K616" s="289"/>
      <c r="L616" s="289"/>
      <c r="M616" s="289"/>
      <c r="N616" s="289"/>
      <c r="O616" s="289"/>
      <c r="P616" s="289"/>
    </row>
    <row r="617">
      <c r="B617" s="303"/>
      <c r="F617" s="303"/>
      <c r="H617" s="289"/>
      <c r="I617" s="290"/>
      <c r="J617" s="289"/>
      <c r="K617" s="289"/>
      <c r="L617" s="289"/>
      <c r="M617" s="289"/>
      <c r="N617" s="289"/>
      <c r="O617" s="289"/>
      <c r="P617" s="289"/>
    </row>
    <row r="618">
      <c r="B618" s="303"/>
      <c r="F618" s="303"/>
      <c r="H618" s="289"/>
      <c r="I618" s="290"/>
      <c r="J618" s="289"/>
      <c r="K618" s="289"/>
      <c r="L618" s="289"/>
      <c r="M618" s="289"/>
      <c r="N618" s="289"/>
      <c r="O618" s="289"/>
      <c r="P618" s="289"/>
    </row>
    <row r="619">
      <c r="B619" s="303"/>
      <c r="F619" s="303"/>
      <c r="H619" s="289"/>
      <c r="I619" s="290"/>
      <c r="J619" s="289"/>
      <c r="K619" s="289"/>
      <c r="L619" s="289"/>
      <c r="M619" s="289"/>
      <c r="N619" s="289"/>
      <c r="O619" s="289"/>
      <c r="P619" s="289"/>
    </row>
    <row r="620">
      <c r="B620" s="303"/>
      <c r="F620" s="303"/>
      <c r="H620" s="289"/>
      <c r="I620" s="290"/>
      <c r="J620" s="289"/>
      <c r="K620" s="289"/>
      <c r="L620" s="289"/>
      <c r="M620" s="289"/>
      <c r="N620" s="289"/>
      <c r="O620" s="289"/>
      <c r="P620" s="289"/>
    </row>
    <row r="621">
      <c r="B621" s="303"/>
      <c r="F621" s="303"/>
      <c r="H621" s="289"/>
      <c r="I621" s="290"/>
      <c r="J621" s="289"/>
      <c r="K621" s="289"/>
      <c r="L621" s="289"/>
      <c r="M621" s="289"/>
      <c r="N621" s="289"/>
      <c r="O621" s="289"/>
      <c r="P621" s="289"/>
    </row>
    <row r="622">
      <c r="B622" s="303"/>
      <c r="F622" s="303"/>
      <c r="H622" s="289"/>
      <c r="I622" s="290"/>
      <c r="J622" s="289"/>
      <c r="K622" s="289"/>
      <c r="L622" s="289"/>
      <c r="M622" s="289"/>
      <c r="N622" s="289"/>
      <c r="O622" s="289"/>
      <c r="P622" s="289"/>
    </row>
    <row r="623">
      <c r="B623" s="303"/>
      <c r="F623" s="303"/>
      <c r="H623" s="289"/>
      <c r="I623" s="290"/>
      <c r="J623" s="289"/>
      <c r="K623" s="289"/>
      <c r="L623" s="289"/>
      <c r="M623" s="289"/>
      <c r="N623" s="289"/>
      <c r="O623" s="289"/>
      <c r="P623" s="289"/>
    </row>
    <row r="624">
      <c r="B624" s="303"/>
      <c r="F624" s="303"/>
      <c r="H624" s="289"/>
      <c r="I624" s="290"/>
      <c r="J624" s="289"/>
      <c r="K624" s="289"/>
      <c r="L624" s="289"/>
      <c r="M624" s="289"/>
      <c r="N624" s="289"/>
      <c r="O624" s="289"/>
      <c r="P624" s="289"/>
    </row>
    <row r="625">
      <c r="B625" s="303"/>
      <c r="F625" s="303"/>
      <c r="H625" s="289"/>
      <c r="I625" s="290"/>
      <c r="J625" s="289"/>
      <c r="K625" s="289"/>
      <c r="L625" s="289"/>
      <c r="M625" s="289"/>
      <c r="N625" s="289"/>
      <c r="O625" s="289"/>
      <c r="P625" s="289"/>
    </row>
    <row r="626">
      <c r="B626" s="303"/>
      <c r="F626" s="303"/>
      <c r="H626" s="289"/>
      <c r="I626" s="290"/>
      <c r="J626" s="289"/>
      <c r="K626" s="289"/>
      <c r="L626" s="289"/>
      <c r="M626" s="289"/>
      <c r="N626" s="289"/>
      <c r="O626" s="289"/>
      <c r="P626" s="289"/>
    </row>
    <row r="627">
      <c r="B627" s="303"/>
      <c r="F627" s="303"/>
      <c r="H627" s="289"/>
      <c r="I627" s="290"/>
      <c r="J627" s="289"/>
      <c r="K627" s="289"/>
      <c r="L627" s="289"/>
      <c r="M627" s="289"/>
      <c r="N627" s="289"/>
      <c r="O627" s="289"/>
      <c r="P627" s="289"/>
    </row>
    <row r="628">
      <c r="B628" s="303"/>
      <c r="F628" s="303"/>
      <c r="H628" s="289"/>
      <c r="I628" s="290"/>
      <c r="J628" s="289"/>
      <c r="K628" s="289"/>
      <c r="L628" s="289"/>
      <c r="M628" s="289"/>
      <c r="N628" s="289"/>
      <c r="O628" s="289"/>
      <c r="P628" s="289"/>
    </row>
    <row r="629">
      <c r="B629" s="303"/>
      <c r="F629" s="303"/>
      <c r="H629" s="289"/>
      <c r="I629" s="290"/>
      <c r="J629" s="289"/>
      <c r="K629" s="289"/>
      <c r="L629" s="289"/>
      <c r="M629" s="289"/>
      <c r="N629" s="289"/>
      <c r="O629" s="289"/>
      <c r="P629" s="289"/>
    </row>
    <row r="630">
      <c r="B630" s="303"/>
      <c r="F630" s="303"/>
      <c r="H630" s="289"/>
      <c r="I630" s="290"/>
      <c r="J630" s="289"/>
      <c r="K630" s="289"/>
      <c r="L630" s="289"/>
      <c r="M630" s="289"/>
      <c r="N630" s="289"/>
      <c r="O630" s="289"/>
      <c r="P630" s="289"/>
    </row>
    <row r="631">
      <c r="B631" s="303"/>
      <c r="F631" s="303"/>
      <c r="H631" s="289"/>
      <c r="I631" s="290"/>
      <c r="J631" s="289"/>
      <c r="K631" s="289"/>
      <c r="L631" s="289"/>
      <c r="M631" s="289"/>
      <c r="N631" s="289"/>
      <c r="O631" s="289"/>
      <c r="P631" s="289"/>
    </row>
    <row r="632">
      <c r="B632" s="303"/>
      <c r="F632" s="303"/>
      <c r="H632" s="289"/>
      <c r="I632" s="290"/>
      <c r="J632" s="289"/>
      <c r="K632" s="289"/>
      <c r="L632" s="289"/>
      <c r="M632" s="289"/>
      <c r="N632" s="289"/>
      <c r="O632" s="289"/>
      <c r="P632" s="289"/>
    </row>
    <row r="633">
      <c r="B633" s="303"/>
      <c r="F633" s="303"/>
      <c r="H633" s="289"/>
      <c r="I633" s="290"/>
      <c r="J633" s="289"/>
      <c r="K633" s="289"/>
      <c r="L633" s="289"/>
      <c r="M633" s="289"/>
      <c r="N633" s="289"/>
      <c r="O633" s="289"/>
      <c r="P633" s="289"/>
    </row>
    <row r="634">
      <c r="B634" s="303"/>
      <c r="F634" s="303"/>
      <c r="H634" s="289"/>
      <c r="I634" s="290"/>
      <c r="J634" s="289"/>
      <c r="K634" s="289"/>
      <c r="L634" s="289"/>
      <c r="M634" s="289"/>
      <c r="N634" s="289"/>
      <c r="O634" s="289"/>
      <c r="P634" s="289"/>
    </row>
    <row r="635">
      <c r="B635" s="303"/>
      <c r="F635" s="303"/>
      <c r="H635" s="289"/>
      <c r="I635" s="290"/>
      <c r="J635" s="289"/>
      <c r="K635" s="289"/>
      <c r="L635" s="289"/>
      <c r="M635" s="289"/>
      <c r="N635" s="289"/>
      <c r="O635" s="289"/>
      <c r="P635" s="289"/>
    </row>
    <row r="636">
      <c r="B636" s="303"/>
      <c r="F636" s="303"/>
      <c r="H636" s="289"/>
      <c r="I636" s="290"/>
      <c r="J636" s="289"/>
      <c r="K636" s="289"/>
      <c r="L636" s="289"/>
      <c r="M636" s="289"/>
      <c r="N636" s="289"/>
      <c r="O636" s="289"/>
      <c r="P636" s="289"/>
    </row>
    <row r="637">
      <c r="B637" s="303"/>
      <c r="F637" s="303"/>
      <c r="H637" s="289"/>
      <c r="I637" s="290"/>
      <c r="J637" s="289"/>
      <c r="K637" s="289"/>
      <c r="L637" s="289"/>
      <c r="M637" s="289"/>
      <c r="N637" s="289"/>
      <c r="O637" s="289"/>
      <c r="P637" s="289"/>
    </row>
    <row r="638">
      <c r="B638" s="303"/>
      <c r="F638" s="303"/>
      <c r="H638" s="289"/>
      <c r="I638" s="290"/>
      <c r="J638" s="289"/>
      <c r="K638" s="289"/>
      <c r="L638" s="289"/>
      <c r="M638" s="289"/>
      <c r="N638" s="289"/>
      <c r="O638" s="289"/>
      <c r="P638" s="289"/>
    </row>
    <row r="639">
      <c r="B639" s="303"/>
      <c r="F639" s="303"/>
      <c r="H639" s="289"/>
      <c r="I639" s="290"/>
      <c r="J639" s="289"/>
      <c r="K639" s="289"/>
      <c r="L639" s="289"/>
      <c r="M639" s="289"/>
      <c r="N639" s="289"/>
      <c r="O639" s="289"/>
      <c r="P639" s="289"/>
    </row>
    <row r="640">
      <c r="B640" s="303"/>
      <c r="F640" s="303"/>
      <c r="H640" s="289"/>
      <c r="I640" s="290"/>
      <c r="J640" s="289"/>
      <c r="K640" s="289"/>
      <c r="L640" s="289"/>
      <c r="M640" s="289"/>
      <c r="N640" s="289"/>
      <c r="O640" s="289"/>
      <c r="P640" s="289"/>
    </row>
    <row r="641">
      <c r="B641" s="303"/>
      <c r="F641" s="303"/>
      <c r="H641" s="289"/>
      <c r="I641" s="290"/>
      <c r="J641" s="289"/>
      <c r="K641" s="289"/>
      <c r="L641" s="289"/>
      <c r="M641" s="289"/>
      <c r="N641" s="289"/>
      <c r="O641" s="289"/>
      <c r="P641" s="289"/>
    </row>
    <row r="642">
      <c r="B642" s="303"/>
      <c r="F642" s="303"/>
      <c r="H642" s="289"/>
      <c r="I642" s="290"/>
      <c r="J642" s="289"/>
      <c r="K642" s="289"/>
      <c r="L642" s="289"/>
      <c r="M642" s="289"/>
      <c r="N642" s="289"/>
      <c r="O642" s="289"/>
      <c r="P642" s="289"/>
    </row>
    <row r="643">
      <c r="B643" s="303"/>
      <c r="F643" s="303"/>
      <c r="H643" s="289"/>
      <c r="I643" s="290"/>
      <c r="J643" s="289"/>
      <c r="K643" s="289"/>
      <c r="L643" s="289"/>
      <c r="M643" s="289"/>
      <c r="N643" s="289"/>
      <c r="O643" s="289"/>
      <c r="P643" s="289"/>
    </row>
    <row r="644">
      <c r="B644" s="303"/>
      <c r="F644" s="303"/>
      <c r="H644" s="289"/>
      <c r="I644" s="290"/>
      <c r="J644" s="289"/>
      <c r="K644" s="289"/>
      <c r="L644" s="289"/>
      <c r="M644" s="289"/>
      <c r="N644" s="289"/>
      <c r="O644" s="289"/>
      <c r="P644" s="289"/>
    </row>
    <row r="645">
      <c r="B645" s="303"/>
      <c r="F645" s="303"/>
      <c r="H645" s="289"/>
      <c r="I645" s="290"/>
      <c r="J645" s="289"/>
      <c r="K645" s="289"/>
      <c r="L645" s="289"/>
      <c r="M645" s="289"/>
      <c r="N645" s="289"/>
      <c r="O645" s="289"/>
      <c r="P645" s="289"/>
    </row>
    <row r="646">
      <c r="B646" s="303"/>
      <c r="F646" s="303"/>
      <c r="H646" s="289"/>
      <c r="I646" s="290"/>
      <c r="J646" s="289"/>
      <c r="K646" s="289"/>
      <c r="L646" s="289"/>
      <c r="M646" s="289"/>
      <c r="N646" s="289"/>
      <c r="O646" s="289"/>
      <c r="P646" s="289"/>
    </row>
    <row r="647">
      <c r="B647" s="303"/>
      <c r="F647" s="303"/>
      <c r="H647" s="289"/>
      <c r="I647" s="290"/>
      <c r="J647" s="289"/>
      <c r="K647" s="289"/>
      <c r="L647" s="289"/>
      <c r="M647" s="289"/>
      <c r="N647" s="289"/>
      <c r="O647" s="289"/>
      <c r="P647" s="289"/>
    </row>
    <row r="648">
      <c r="B648" s="303"/>
      <c r="F648" s="303"/>
      <c r="H648" s="289"/>
      <c r="I648" s="290"/>
      <c r="J648" s="289"/>
      <c r="K648" s="289"/>
      <c r="L648" s="289"/>
      <c r="M648" s="289"/>
      <c r="N648" s="289"/>
      <c r="O648" s="289"/>
      <c r="P648" s="289"/>
    </row>
    <row r="649">
      <c r="B649" s="303"/>
      <c r="F649" s="303"/>
      <c r="H649" s="289"/>
      <c r="I649" s="290"/>
      <c r="J649" s="289"/>
      <c r="K649" s="289"/>
      <c r="L649" s="289"/>
      <c r="M649" s="289"/>
      <c r="N649" s="289"/>
      <c r="O649" s="289"/>
      <c r="P649" s="289"/>
    </row>
    <row r="650">
      <c r="B650" s="303"/>
      <c r="F650" s="303"/>
      <c r="H650" s="289"/>
      <c r="I650" s="290"/>
      <c r="J650" s="289"/>
      <c r="K650" s="289"/>
      <c r="L650" s="289"/>
      <c r="M650" s="289"/>
      <c r="N650" s="289"/>
      <c r="O650" s="289"/>
      <c r="P650" s="289"/>
    </row>
    <row r="651">
      <c r="B651" s="303"/>
      <c r="F651" s="303"/>
      <c r="H651" s="289"/>
      <c r="I651" s="290"/>
      <c r="J651" s="289"/>
      <c r="K651" s="289"/>
      <c r="L651" s="289"/>
      <c r="M651" s="289"/>
      <c r="N651" s="289"/>
      <c r="O651" s="289"/>
      <c r="P651" s="289"/>
    </row>
    <row r="652">
      <c r="B652" s="303"/>
      <c r="F652" s="303"/>
      <c r="H652" s="289"/>
      <c r="I652" s="290"/>
      <c r="J652" s="289"/>
      <c r="K652" s="289"/>
      <c r="L652" s="289"/>
      <c r="M652" s="289"/>
      <c r="N652" s="289"/>
      <c r="O652" s="289"/>
      <c r="P652" s="289"/>
    </row>
    <row r="653">
      <c r="B653" s="303"/>
      <c r="F653" s="303"/>
      <c r="H653" s="289"/>
      <c r="I653" s="290"/>
      <c r="J653" s="289"/>
      <c r="K653" s="289"/>
      <c r="L653" s="289"/>
      <c r="M653" s="289"/>
      <c r="N653" s="289"/>
      <c r="O653" s="289"/>
      <c r="P653" s="289"/>
    </row>
    <row r="654">
      <c r="B654" s="303"/>
      <c r="F654" s="303"/>
      <c r="H654" s="289"/>
      <c r="I654" s="290"/>
      <c r="J654" s="289"/>
      <c r="K654" s="289"/>
      <c r="L654" s="289"/>
      <c r="M654" s="289"/>
      <c r="N654" s="289"/>
      <c r="O654" s="289"/>
      <c r="P654" s="289"/>
    </row>
    <row r="655">
      <c r="B655" s="303"/>
      <c r="F655" s="303"/>
      <c r="H655" s="289"/>
      <c r="I655" s="290"/>
      <c r="J655" s="289"/>
      <c r="K655" s="289"/>
      <c r="L655" s="289"/>
      <c r="M655" s="289"/>
      <c r="N655" s="289"/>
      <c r="O655" s="289"/>
      <c r="P655" s="289"/>
    </row>
    <row r="656">
      <c r="B656" s="303"/>
      <c r="F656" s="303"/>
      <c r="H656" s="289"/>
      <c r="I656" s="290"/>
      <c r="J656" s="289"/>
      <c r="K656" s="289"/>
      <c r="L656" s="289"/>
      <c r="M656" s="289"/>
      <c r="N656" s="289"/>
      <c r="O656" s="289"/>
      <c r="P656" s="289"/>
    </row>
    <row r="657">
      <c r="B657" s="303"/>
      <c r="F657" s="303"/>
      <c r="H657" s="289"/>
      <c r="I657" s="290"/>
      <c r="J657" s="289"/>
      <c r="K657" s="289"/>
      <c r="L657" s="289"/>
      <c r="M657" s="289"/>
      <c r="N657" s="289"/>
      <c r="O657" s="289"/>
      <c r="P657" s="289"/>
    </row>
    <row r="658">
      <c r="B658" s="303"/>
      <c r="F658" s="303"/>
      <c r="H658" s="289"/>
      <c r="I658" s="290"/>
      <c r="J658" s="289"/>
      <c r="K658" s="289"/>
      <c r="L658" s="289"/>
      <c r="M658" s="289"/>
      <c r="N658" s="289"/>
      <c r="O658" s="289"/>
      <c r="P658" s="289"/>
    </row>
    <row r="659">
      <c r="B659" s="303"/>
      <c r="F659" s="303"/>
      <c r="H659" s="289"/>
      <c r="I659" s="290"/>
      <c r="J659" s="289"/>
      <c r="K659" s="289"/>
      <c r="L659" s="289"/>
      <c r="M659" s="289"/>
      <c r="N659" s="289"/>
      <c r="O659" s="289"/>
      <c r="P659" s="289"/>
    </row>
    <row r="660">
      <c r="B660" s="303"/>
      <c r="F660" s="303"/>
      <c r="H660" s="289"/>
      <c r="I660" s="290"/>
      <c r="J660" s="289"/>
      <c r="K660" s="289"/>
      <c r="L660" s="289"/>
      <c r="M660" s="289"/>
      <c r="N660" s="289"/>
      <c r="O660" s="289"/>
      <c r="P660" s="289"/>
    </row>
    <row r="661">
      <c r="B661" s="303"/>
      <c r="F661" s="303"/>
      <c r="H661" s="289"/>
      <c r="I661" s="290"/>
      <c r="J661" s="289"/>
      <c r="K661" s="289"/>
      <c r="L661" s="289"/>
      <c r="M661" s="289"/>
      <c r="N661" s="289"/>
      <c r="O661" s="289"/>
      <c r="P661" s="289"/>
    </row>
    <row r="662">
      <c r="B662" s="303"/>
      <c r="F662" s="303"/>
      <c r="H662" s="289"/>
      <c r="I662" s="290"/>
      <c r="J662" s="289"/>
      <c r="K662" s="289"/>
      <c r="L662" s="289"/>
      <c r="M662" s="289"/>
      <c r="N662" s="289"/>
      <c r="O662" s="289"/>
      <c r="P662" s="289"/>
    </row>
    <row r="663">
      <c r="B663" s="303"/>
      <c r="F663" s="303"/>
      <c r="H663" s="289"/>
      <c r="I663" s="290"/>
      <c r="J663" s="289"/>
      <c r="K663" s="289"/>
      <c r="L663" s="289"/>
      <c r="M663" s="289"/>
      <c r="N663" s="289"/>
      <c r="O663" s="289"/>
      <c r="P663" s="289"/>
    </row>
    <row r="664">
      <c r="B664" s="303"/>
      <c r="F664" s="303"/>
      <c r="H664" s="289"/>
      <c r="I664" s="290"/>
      <c r="J664" s="289"/>
      <c r="K664" s="289"/>
      <c r="L664" s="289"/>
      <c r="M664" s="289"/>
      <c r="N664" s="289"/>
      <c r="O664" s="289"/>
      <c r="P664" s="289"/>
    </row>
    <row r="665">
      <c r="B665" s="303"/>
      <c r="F665" s="303"/>
      <c r="H665" s="289"/>
      <c r="I665" s="290"/>
      <c r="J665" s="289"/>
      <c r="K665" s="289"/>
      <c r="L665" s="289"/>
      <c r="M665" s="289"/>
      <c r="N665" s="289"/>
      <c r="O665" s="289"/>
      <c r="P665" s="289"/>
    </row>
    <row r="666">
      <c r="B666" s="303"/>
      <c r="F666" s="303"/>
      <c r="H666" s="289"/>
      <c r="I666" s="290"/>
      <c r="J666" s="289"/>
      <c r="K666" s="289"/>
      <c r="L666" s="289"/>
      <c r="M666" s="289"/>
      <c r="N666" s="289"/>
      <c r="O666" s="289"/>
      <c r="P666" s="289"/>
    </row>
    <row r="667">
      <c r="B667" s="303"/>
      <c r="F667" s="303"/>
      <c r="H667" s="289"/>
      <c r="I667" s="290"/>
      <c r="J667" s="289"/>
      <c r="K667" s="289"/>
      <c r="L667" s="289"/>
      <c r="M667" s="289"/>
      <c r="N667" s="289"/>
      <c r="O667" s="289"/>
      <c r="P667" s="289"/>
    </row>
    <row r="668">
      <c r="B668" s="303"/>
      <c r="F668" s="303"/>
      <c r="H668" s="289"/>
      <c r="I668" s="290"/>
      <c r="J668" s="289"/>
      <c r="K668" s="289"/>
      <c r="L668" s="289"/>
      <c r="M668" s="289"/>
      <c r="N668" s="289"/>
      <c r="O668" s="289"/>
      <c r="P668" s="289"/>
    </row>
    <row r="669">
      <c r="B669" s="303"/>
      <c r="F669" s="303"/>
      <c r="H669" s="289"/>
      <c r="I669" s="290"/>
      <c r="J669" s="289"/>
      <c r="K669" s="289"/>
      <c r="L669" s="289"/>
      <c r="M669" s="289"/>
      <c r="N669" s="289"/>
      <c r="O669" s="289"/>
      <c r="P669" s="289"/>
    </row>
    <row r="670">
      <c r="B670" s="303"/>
      <c r="F670" s="303"/>
      <c r="H670" s="289"/>
      <c r="I670" s="290"/>
      <c r="J670" s="289"/>
      <c r="K670" s="289"/>
      <c r="L670" s="289"/>
      <c r="M670" s="289"/>
      <c r="N670" s="289"/>
      <c r="O670" s="289"/>
      <c r="P670" s="289"/>
    </row>
    <row r="671">
      <c r="B671" s="303"/>
      <c r="F671" s="303"/>
      <c r="H671" s="289"/>
      <c r="I671" s="290"/>
      <c r="J671" s="289"/>
      <c r="K671" s="289"/>
      <c r="L671" s="289"/>
      <c r="M671" s="289"/>
      <c r="N671" s="289"/>
      <c r="O671" s="289"/>
      <c r="P671" s="289"/>
    </row>
    <row r="672">
      <c r="B672" s="303"/>
      <c r="F672" s="303"/>
      <c r="H672" s="289"/>
      <c r="I672" s="290"/>
      <c r="J672" s="289"/>
      <c r="K672" s="289"/>
      <c r="L672" s="289"/>
      <c r="M672" s="289"/>
      <c r="N672" s="289"/>
      <c r="O672" s="289"/>
      <c r="P672" s="289"/>
    </row>
    <row r="673">
      <c r="B673" s="303"/>
      <c r="F673" s="303"/>
      <c r="H673" s="289"/>
      <c r="I673" s="290"/>
      <c r="J673" s="289"/>
      <c r="K673" s="289"/>
      <c r="L673" s="289"/>
      <c r="M673" s="289"/>
      <c r="N673" s="289"/>
      <c r="O673" s="289"/>
      <c r="P673" s="289"/>
    </row>
    <row r="674">
      <c r="B674" s="303"/>
      <c r="F674" s="303"/>
      <c r="H674" s="289"/>
      <c r="I674" s="290"/>
      <c r="J674" s="289"/>
      <c r="K674" s="289"/>
      <c r="L674" s="289"/>
      <c r="M674" s="289"/>
      <c r="N674" s="289"/>
      <c r="O674" s="289"/>
      <c r="P674" s="289"/>
    </row>
    <row r="675">
      <c r="B675" s="303"/>
      <c r="F675" s="303"/>
      <c r="H675" s="289"/>
      <c r="I675" s="290"/>
      <c r="J675" s="289"/>
      <c r="K675" s="289"/>
      <c r="L675" s="289"/>
      <c r="M675" s="289"/>
      <c r="N675" s="289"/>
      <c r="O675" s="289"/>
      <c r="P675" s="289"/>
    </row>
    <row r="676">
      <c r="B676" s="303"/>
      <c r="F676" s="303"/>
      <c r="H676" s="289"/>
      <c r="I676" s="290"/>
      <c r="J676" s="289"/>
      <c r="K676" s="289"/>
      <c r="L676" s="289"/>
      <c r="M676" s="289"/>
      <c r="N676" s="289"/>
      <c r="O676" s="289"/>
      <c r="P676" s="289"/>
    </row>
    <row r="677">
      <c r="B677" s="303"/>
      <c r="F677" s="303"/>
      <c r="H677" s="289"/>
      <c r="I677" s="290"/>
      <c r="J677" s="289"/>
      <c r="K677" s="289"/>
      <c r="L677" s="289"/>
      <c r="M677" s="289"/>
      <c r="N677" s="289"/>
      <c r="O677" s="289"/>
      <c r="P677" s="289"/>
    </row>
    <row r="678">
      <c r="B678" s="303"/>
      <c r="F678" s="303"/>
      <c r="H678" s="289"/>
      <c r="I678" s="290"/>
      <c r="J678" s="289"/>
      <c r="K678" s="289"/>
      <c r="L678" s="289"/>
      <c r="M678" s="289"/>
      <c r="N678" s="289"/>
      <c r="O678" s="289"/>
      <c r="P678" s="289"/>
    </row>
    <row r="679">
      <c r="B679" s="303"/>
      <c r="F679" s="303"/>
      <c r="H679" s="289"/>
      <c r="I679" s="290"/>
      <c r="J679" s="289"/>
      <c r="K679" s="289"/>
      <c r="L679" s="289"/>
      <c r="M679" s="289"/>
      <c r="N679" s="289"/>
      <c r="O679" s="289"/>
      <c r="P679" s="289"/>
    </row>
    <row r="680">
      <c r="B680" s="303"/>
      <c r="F680" s="303"/>
      <c r="H680" s="289"/>
      <c r="I680" s="290"/>
      <c r="J680" s="289"/>
      <c r="K680" s="289"/>
      <c r="L680" s="289"/>
      <c r="M680" s="289"/>
      <c r="N680" s="289"/>
      <c r="O680" s="289"/>
      <c r="P680" s="289"/>
    </row>
    <row r="681">
      <c r="B681" s="303"/>
      <c r="F681" s="303"/>
      <c r="H681" s="289"/>
      <c r="I681" s="290"/>
      <c r="J681" s="289"/>
      <c r="K681" s="289"/>
      <c r="L681" s="289"/>
      <c r="M681" s="289"/>
      <c r="N681" s="289"/>
      <c r="O681" s="289"/>
      <c r="P681" s="289"/>
    </row>
    <row r="682">
      <c r="B682" s="303"/>
      <c r="F682" s="303"/>
      <c r="H682" s="289"/>
      <c r="I682" s="290"/>
      <c r="J682" s="289"/>
      <c r="K682" s="289"/>
      <c r="L682" s="289"/>
      <c r="M682" s="289"/>
      <c r="N682" s="289"/>
      <c r="O682" s="289"/>
      <c r="P682" s="289"/>
    </row>
    <row r="683">
      <c r="B683" s="303"/>
      <c r="F683" s="303"/>
      <c r="H683" s="289"/>
      <c r="I683" s="290"/>
      <c r="J683" s="289"/>
      <c r="K683" s="289"/>
      <c r="L683" s="289"/>
      <c r="M683" s="289"/>
      <c r="N683" s="289"/>
      <c r="O683" s="289"/>
      <c r="P683" s="289"/>
    </row>
    <row r="684">
      <c r="B684" s="303"/>
      <c r="F684" s="303"/>
      <c r="H684" s="289"/>
      <c r="I684" s="290"/>
      <c r="J684" s="289"/>
      <c r="K684" s="289"/>
      <c r="L684" s="289"/>
      <c r="M684" s="289"/>
      <c r="N684" s="289"/>
      <c r="O684" s="289"/>
      <c r="P684" s="289"/>
    </row>
    <row r="685">
      <c r="B685" s="303"/>
      <c r="F685" s="303"/>
      <c r="H685" s="289"/>
      <c r="I685" s="290"/>
      <c r="J685" s="289"/>
      <c r="K685" s="289"/>
      <c r="L685" s="289"/>
      <c r="M685" s="289"/>
      <c r="N685" s="289"/>
      <c r="O685" s="289"/>
      <c r="P685" s="289"/>
    </row>
    <row r="686">
      <c r="B686" s="303"/>
      <c r="F686" s="303"/>
      <c r="H686" s="289"/>
      <c r="I686" s="290"/>
      <c r="J686" s="289"/>
      <c r="K686" s="289"/>
      <c r="L686" s="289"/>
      <c r="M686" s="289"/>
      <c r="N686" s="289"/>
      <c r="O686" s="289"/>
      <c r="P686" s="289"/>
    </row>
    <row r="687">
      <c r="B687" s="303"/>
      <c r="F687" s="303"/>
      <c r="H687" s="289"/>
      <c r="I687" s="290"/>
      <c r="J687" s="289"/>
      <c r="K687" s="289"/>
      <c r="L687" s="289"/>
      <c r="M687" s="289"/>
      <c r="N687" s="289"/>
      <c r="O687" s="289"/>
      <c r="P687" s="289"/>
    </row>
    <row r="688">
      <c r="B688" s="303"/>
      <c r="F688" s="303"/>
      <c r="H688" s="289"/>
      <c r="I688" s="290"/>
      <c r="J688" s="289"/>
      <c r="K688" s="289"/>
      <c r="L688" s="289"/>
      <c r="M688" s="289"/>
      <c r="N688" s="289"/>
      <c r="O688" s="289"/>
      <c r="P688" s="289"/>
    </row>
    <row r="689">
      <c r="B689" s="303"/>
      <c r="F689" s="303"/>
      <c r="H689" s="289"/>
      <c r="I689" s="290"/>
      <c r="J689" s="289"/>
      <c r="K689" s="289"/>
      <c r="L689" s="289"/>
      <c r="M689" s="289"/>
      <c r="N689" s="289"/>
      <c r="O689" s="289"/>
      <c r="P689" s="289"/>
    </row>
    <row r="690">
      <c r="B690" s="303"/>
      <c r="F690" s="303"/>
      <c r="H690" s="289"/>
      <c r="I690" s="290"/>
      <c r="J690" s="289"/>
      <c r="K690" s="289"/>
      <c r="L690" s="289"/>
      <c r="M690" s="289"/>
      <c r="N690" s="289"/>
      <c r="O690" s="289"/>
      <c r="P690" s="289"/>
    </row>
    <row r="691">
      <c r="B691" s="303"/>
      <c r="F691" s="303"/>
      <c r="H691" s="289"/>
      <c r="I691" s="290"/>
      <c r="J691" s="289"/>
      <c r="K691" s="289"/>
      <c r="L691" s="289"/>
      <c r="M691" s="289"/>
      <c r="N691" s="289"/>
      <c r="O691" s="289"/>
      <c r="P691" s="289"/>
    </row>
    <row r="692">
      <c r="B692" s="303"/>
      <c r="F692" s="303"/>
      <c r="H692" s="289"/>
      <c r="I692" s="290"/>
      <c r="J692" s="289"/>
      <c r="K692" s="289"/>
      <c r="L692" s="289"/>
      <c r="M692" s="289"/>
      <c r="N692" s="289"/>
      <c r="O692" s="289"/>
      <c r="P692" s="289"/>
    </row>
    <row r="693">
      <c r="B693" s="303"/>
      <c r="F693" s="303"/>
      <c r="H693" s="289"/>
      <c r="I693" s="290"/>
      <c r="J693" s="289"/>
      <c r="K693" s="289"/>
      <c r="L693" s="289"/>
      <c r="M693" s="289"/>
      <c r="N693" s="289"/>
      <c r="O693" s="289"/>
      <c r="P693" s="289"/>
    </row>
    <row r="694">
      <c r="B694" s="303"/>
      <c r="F694" s="303"/>
      <c r="H694" s="289"/>
      <c r="I694" s="290"/>
      <c r="J694" s="289"/>
      <c r="K694" s="289"/>
      <c r="L694" s="289"/>
      <c r="M694" s="289"/>
      <c r="N694" s="289"/>
      <c r="O694" s="289"/>
      <c r="P694" s="289"/>
    </row>
    <row r="695">
      <c r="B695" s="303"/>
      <c r="F695" s="303"/>
      <c r="H695" s="289"/>
      <c r="I695" s="290"/>
      <c r="J695" s="289"/>
      <c r="K695" s="289"/>
      <c r="L695" s="289"/>
      <c r="M695" s="289"/>
      <c r="N695" s="289"/>
      <c r="O695" s="289"/>
      <c r="P695" s="289"/>
    </row>
    <row r="696">
      <c r="B696" s="303"/>
      <c r="F696" s="303"/>
      <c r="H696" s="289"/>
      <c r="I696" s="290"/>
      <c r="J696" s="289"/>
      <c r="K696" s="289"/>
      <c r="L696" s="289"/>
      <c r="M696" s="289"/>
      <c r="N696" s="289"/>
      <c r="O696" s="289"/>
      <c r="P696" s="289"/>
    </row>
    <row r="697">
      <c r="B697" s="303"/>
      <c r="F697" s="303"/>
      <c r="H697" s="289"/>
      <c r="I697" s="290"/>
      <c r="J697" s="289"/>
      <c r="K697" s="289"/>
      <c r="L697" s="289"/>
      <c r="M697" s="289"/>
      <c r="N697" s="289"/>
      <c r="O697" s="289"/>
      <c r="P697" s="289"/>
    </row>
    <row r="698">
      <c r="B698" s="303"/>
      <c r="F698" s="303"/>
      <c r="H698" s="289"/>
      <c r="I698" s="290"/>
      <c r="J698" s="289"/>
      <c r="K698" s="289"/>
      <c r="L698" s="289"/>
      <c r="M698" s="289"/>
      <c r="N698" s="289"/>
      <c r="O698" s="289"/>
      <c r="P698" s="289"/>
    </row>
    <row r="699">
      <c r="B699" s="303"/>
      <c r="F699" s="303"/>
      <c r="H699" s="289"/>
      <c r="I699" s="290"/>
      <c r="J699" s="289"/>
      <c r="K699" s="289"/>
      <c r="L699" s="289"/>
      <c r="M699" s="289"/>
      <c r="N699" s="289"/>
      <c r="O699" s="289"/>
      <c r="P699" s="289"/>
    </row>
    <row r="700">
      <c r="B700" s="303"/>
      <c r="F700" s="303"/>
      <c r="H700" s="289"/>
      <c r="I700" s="290"/>
      <c r="J700" s="289"/>
      <c r="K700" s="289"/>
      <c r="L700" s="289"/>
      <c r="M700" s="289"/>
      <c r="N700" s="289"/>
      <c r="O700" s="289"/>
      <c r="P700" s="289"/>
    </row>
    <row r="701">
      <c r="B701" s="303"/>
      <c r="F701" s="303"/>
      <c r="H701" s="289"/>
      <c r="I701" s="290"/>
      <c r="J701" s="289"/>
      <c r="K701" s="289"/>
      <c r="L701" s="289"/>
      <c r="M701" s="289"/>
      <c r="N701" s="289"/>
      <c r="O701" s="289"/>
      <c r="P701" s="289"/>
    </row>
    <row r="702">
      <c r="B702" s="303"/>
      <c r="F702" s="303"/>
      <c r="H702" s="289"/>
      <c r="I702" s="290"/>
      <c r="J702" s="289"/>
      <c r="K702" s="289"/>
      <c r="L702" s="289"/>
      <c r="M702" s="289"/>
      <c r="N702" s="289"/>
      <c r="O702" s="289"/>
      <c r="P702" s="289"/>
    </row>
    <row r="703">
      <c r="B703" s="303"/>
      <c r="F703" s="303"/>
      <c r="H703" s="289"/>
      <c r="I703" s="290"/>
      <c r="J703" s="289"/>
      <c r="K703" s="289"/>
      <c r="L703" s="289"/>
      <c r="M703" s="289"/>
      <c r="N703" s="289"/>
      <c r="O703" s="289"/>
      <c r="P703" s="289"/>
    </row>
    <row r="704">
      <c r="B704" s="303"/>
      <c r="F704" s="303"/>
      <c r="H704" s="289"/>
      <c r="I704" s="290"/>
      <c r="J704" s="289"/>
      <c r="K704" s="289"/>
      <c r="L704" s="289"/>
      <c r="M704" s="289"/>
      <c r="N704" s="289"/>
      <c r="O704" s="289"/>
      <c r="P704" s="289"/>
    </row>
    <row r="705">
      <c r="B705" s="303"/>
      <c r="F705" s="303"/>
      <c r="H705" s="289"/>
      <c r="I705" s="290"/>
      <c r="J705" s="289"/>
      <c r="K705" s="289"/>
      <c r="L705" s="289"/>
      <c r="M705" s="289"/>
      <c r="N705" s="289"/>
      <c r="O705" s="289"/>
      <c r="P705" s="289"/>
    </row>
    <row r="706">
      <c r="B706" s="303"/>
      <c r="F706" s="303"/>
      <c r="H706" s="289"/>
      <c r="I706" s="290"/>
      <c r="J706" s="289"/>
      <c r="K706" s="289"/>
      <c r="L706" s="289"/>
      <c r="M706" s="289"/>
      <c r="N706" s="289"/>
      <c r="O706" s="289"/>
      <c r="P706" s="289"/>
    </row>
    <row r="707">
      <c r="B707" s="303"/>
      <c r="F707" s="303"/>
      <c r="H707" s="289"/>
      <c r="I707" s="290"/>
      <c r="J707" s="289"/>
      <c r="K707" s="289"/>
      <c r="L707" s="289"/>
      <c r="M707" s="289"/>
      <c r="N707" s="289"/>
      <c r="O707" s="289"/>
      <c r="P707" s="289"/>
    </row>
    <row r="708">
      <c r="B708" s="303"/>
      <c r="F708" s="303"/>
      <c r="H708" s="289"/>
      <c r="I708" s="290"/>
      <c r="J708" s="289"/>
      <c r="K708" s="289"/>
      <c r="L708" s="289"/>
      <c r="M708" s="289"/>
      <c r="N708" s="289"/>
      <c r="O708" s="289"/>
      <c r="P708" s="289"/>
    </row>
    <row r="709">
      <c r="B709" s="303"/>
      <c r="F709" s="303"/>
      <c r="H709" s="289"/>
      <c r="I709" s="290"/>
      <c r="J709" s="289"/>
      <c r="K709" s="289"/>
      <c r="L709" s="289"/>
      <c r="M709" s="289"/>
      <c r="N709" s="289"/>
      <c r="O709" s="289"/>
      <c r="P709" s="289"/>
    </row>
    <row r="710">
      <c r="B710" s="303"/>
      <c r="F710" s="303"/>
      <c r="H710" s="289"/>
      <c r="I710" s="290"/>
      <c r="J710" s="289"/>
      <c r="K710" s="289"/>
      <c r="L710" s="289"/>
      <c r="M710" s="289"/>
      <c r="N710" s="289"/>
      <c r="O710" s="289"/>
      <c r="P710" s="289"/>
    </row>
    <row r="711">
      <c r="B711" s="303"/>
      <c r="F711" s="303"/>
      <c r="H711" s="289"/>
      <c r="I711" s="290"/>
      <c r="J711" s="289"/>
      <c r="K711" s="289"/>
      <c r="L711" s="289"/>
      <c r="M711" s="289"/>
      <c r="N711" s="289"/>
      <c r="O711" s="289"/>
      <c r="P711" s="289"/>
    </row>
    <row r="712">
      <c r="B712" s="303"/>
      <c r="F712" s="303"/>
      <c r="H712" s="289"/>
      <c r="I712" s="290"/>
      <c r="J712" s="289"/>
      <c r="K712" s="289"/>
      <c r="L712" s="289"/>
      <c r="M712" s="289"/>
      <c r="N712" s="289"/>
      <c r="O712" s="289"/>
      <c r="P712" s="289"/>
    </row>
    <row r="713">
      <c r="B713" s="303"/>
      <c r="F713" s="303"/>
      <c r="H713" s="289"/>
      <c r="I713" s="290"/>
      <c r="J713" s="289"/>
      <c r="K713" s="289"/>
      <c r="L713" s="289"/>
      <c r="M713" s="289"/>
      <c r="N713" s="289"/>
      <c r="O713" s="289"/>
      <c r="P713" s="289"/>
    </row>
    <row r="714">
      <c r="B714" s="303"/>
      <c r="F714" s="303"/>
      <c r="H714" s="289"/>
      <c r="I714" s="290"/>
      <c r="J714" s="289"/>
      <c r="K714" s="289"/>
      <c r="L714" s="289"/>
      <c r="M714" s="289"/>
      <c r="N714" s="289"/>
      <c r="O714" s="289"/>
      <c r="P714" s="289"/>
    </row>
    <row r="715">
      <c r="B715" s="303"/>
      <c r="F715" s="303"/>
      <c r="H715" s="289"/>
      <c r="I715" s="290"/>
      <c r="J715" s="289"/>
      <c r="K715" s="289"/>
      <c r="L715" s="289"/>
      <c r="M715" s="289"/>
      <c r="N715" s="289"/>
      <c r="O715" s="289"/>
      <c r="P715" s="289"/>
    </row>
    <row r="716">
      <c r="B716" s="303"/>
      <c r="F716" s="303"/>
      <c r="H716" s="289"/>
      <c r="I716" s="290"/>
      <c r="J716" s="289"/>
      <c r="K716" s="289"/>
      <c r="L716" s="289"/>
      <c r="M716" s="289"/>
      <c r="N716" s="289"/>
      <c r="O716" s="289"/>
      <c r="P716" s="289"/>
    </row>
    <row r="717">
      <c r="B717" s="303"/>
      <c r="F717" s="303"/>
      <c r="H717" s="289"/>
      <c r="I717" s="290"/>
      <c r="J717" s="289"/>
      <c r="K717" s="289"/>
      <c r="L717" s="289"/>
      <c r="M717" s="289"/>
      <c r="N717" s="289"/>
      <c r="O717" s="289"/>
      <c r="P717" s="289"/>
    </row>
    <row r="718">
      <c r="B718" s="303"/>
      <c r="F718" s="303"/>
      <c r="H718" s="289"/>
      <c r="I718" s="290"/>
      <c r="J718" s="289"/>
      <c r="K718" s="289"/>
      <c r="L718" s="289"/>
      <c r="M718" s="289"/>
      <c r="N718" s="289"/>
      <c r="O718" s="289"/>
      <c r="P718" s="289"/>
    </row>
    <row r="719">
      <c r="B719" s="303"/>
      <c r="F719" s="303"/>
      <c r="H719" s="289"/>
      <c r="I719" s="290"/>
      <c r="J719" s="289"/>
      <c r="K719" s="289"/>
      <c r="L719" s="289"/>
      <c r="M719" s="289"/>
      <c r="N719" s="289"/>
      <c r="O719" s="289"/>
      <c r="P719" s="289"/>
    </row>
    <row r="720">
      <c r="B720" s="303"/>
      <c r="F720" s="303"/>
      <c r="H720" s="289"/>
      <c r="I720" s="290"/>
      <c r="J720" s="289"/>
      <c r="K720" s="289"/>
      <c r="L720" s="289"/>
      <c r="M720" s="289"/>
      <c r="N720" s="289"/>
      <c r="O720" s="289"/>
      <c r="P720" s="289"/>
    </row>
    <row r="721">
      <c r="B721" s="303"/>
      <c r="F721" s="303"/>
      <c r="H721" s="289"/>
      <c r="I721" s="290"/>
      <c r="J721" s="289"/>
      <c r="K721" s="289"/>
      <c r="L721" s="289"/>
      <c r="M721" s="289"/>
      <c r="N721" s="289"/>
      <c r="O721" s="289"/>
      <c r="P721" s="289"/>
    </row>
    <row r="722">
      <c r="B722" s="303"/>
      <c r="F722" s="303"/>
      <c r="H722" s="289"/>
      <c r="I722" s="290"/>
      <c r="J722" s="289"/>
      <c r="K722" s="289"/>
      <c r="L722" s="289"/>
      <c r="M722" s="289"/>
      <c r="N722" s="289"/>
      <c r="O722" s="289"/>
      <c r="P722" s="289"/>
    </row>
    <row r="723">
      <c r="B723" s="303"/>
      <c r="F723" s="303"/>
      <c r="H723" s="289"/>
      <c r="I723" s="290"/>
      <c r="J723" s="289"/>
      <c r="K723" s="289"/>
      <c r="L723" s="289"/>
      <c r="M723" s="289"/>
      <c r="N723" s="289"/>
      <c r="O723" s="289"/>
      <c r="P723" s="289"/>
    </row>
    <row r="724">
      <c r="B724" s="303"/>
      <c r="F724" s="303"/>
      <c r="H724" s="289"/>
      <c r="I724" s="290"/>
      <c r="J724" s="289"/>
      <c r="K724" s="289"/>
      <c r="L724" s="289"/>
      <c r="M724" s="289"/>
      <c r="N724" s="289"/>
      <c r="O724" s="289"/>
      <c r="P724" s="289"/>
    </row>
    <row r="725">
      <c r="B725" s="303"/>
      <c r="F725" s="303"/>
      <c r="H725" s="289"/>
      <c r="I725" s="290"/>
      <c r="J725" s="289"/>
      <c r="K725" s="289"/>
      <c r="L725" s="289"/>
      <c r="M725" s="289"/>
      <c r="N725" s="289"/>
      <c r="O725" s="289"/>
      <c r="P725" s="289"/>
    </row>
    <row r="726">
      <c r="B726" s="303"/>
      <c r="F726" s="303"/>
      <c r="H726" s="289"/>
      <c r="I726" s="290"/>
      <c r="J726" s="289"/>
      <c r="K726" s="289"/>
      <c r="L726" s="289"/>
      <c r="M726" s="289"/>
      <c r="N726" s="289"/>
      <c r="O726" s="289"/>
      <c r="P726" s="289"/>
    </row>
    <row r="727">
      <c r="B727" s="303"/>
      <c r="F727" s="303"/>
      <c r="H727" s="289"/>
      <c r="I727" s="290"/>
      <c r="J727" s="289"/>
      <c r="K727" s="289"/>
      <c r="L727" s="289"/>
      <c r="M727" s="289"/>
      <c r="N727" s="289"/>
      <c r="O727" s="289"/>
      <c r="P727" s="289"/>
    </row>
    <row r="728">
      <c r="B728" s="303"/>
      <c r="F728" s="303"/>
      <c r="H728" s="289"/>
      <c r="I728" s="290"/>
      <c r="J728" s="289"/>
      <c r="K728" s="289"/>
      <c r="L728" s="289"/>
      <c r="M728" s="289"/>
      <c r="N728" s="289"/>
      <c r="O728" s="289"/>
      <c r="P728" s="289"/>
    </row>
    <row r="729">
      <c r="B729" s="303"/>
      <c r="F729" s="303"/>
      <c r="H729" s="289"/>
      <c r="I729" s="290"/>
      <c r="J729" s="289"/>
      <c r="K729" s="289"/>
      <c r="L729" s="289"/>
      <c r="M729" s="289"/>
      <c r="N729" s="289"/>
      <c r="O729" s="289"/>
      <c r="P729" s="289"/>
    </row>
    <row r="730">
      <c r="B730" s="303"/>
      <c r="F730" s="303"/>
      <c r="H730" s="289"/>
      <c r="I730" s="290"/>
      <c r="J730" s="289"/>
      <c r="K730" s="289"/>
      <c r="L730" s="289"/>
      <c r="M730" s="289"/>
      <c r="N730" s="289"/>
      <c r="O730" s="289"/>
      <c r="P730" s="289"/>
    </row>
    <row r="731">
      <c r="B731" s="303"/>
      <c r="F731" s="303"/>
      <c r="H731" s="289"/>
      <c r="I731" s="290"/>
      <c r="J731" s="289"/>
      <c r="K731" s="289"/>
      <c r="L731" s="289"/>
      <c r="M731" s="289"/>
      <c r="N731" s="289"/>
      <c r="O731" s="289"/>
      <c r="P731" s="289"/>
    </row>
    <row r="732">
      <c r="B732" s="303"/>
      <c r="F732" s="303"/>
      <c r="H732" s="289"/>
      <c r="I732" s="290"/>
      <c r="J732" s="289"/>
      <c r="K732" s="289"/>
      <c r="L732" s="289"/>
      <c r="M732" s="289"/>
      <c r="N732" s="289"/>
      <c r="O732" s="289"/>
      <c r="P732" s="289"/>
    </row>
    <row r="733">
      <c r="B733" s="303"/>
      <c r="F733" s="303"/>
      <c r="H733" s="289"/>
      <c r="I733" s="290"/>
      <c r="J733" s="289"/>
      <c r="K733" s="289"/>
      <c r="L733" s="289"/>
      <c r="M733" s="289"/>
      <c r="N733" s="289"/>
      <c r="O733" s="289"/>
      <c r="P733" s="289"/>
    </row>
    <row r="734">
      <c r="B734" s="303"/>
      <c r="F734" s="303"/>
      <c r="H734" s="289"/>
      <c r="I734" s="290"/>
      <c r="J734" s="289"/>
      <c r="K734" s="289"/>
      <c r="L734" s="289"/>
      <c r="M734" s="289"/>
      <c r="N734" s="289"/>
      <c r="O734" s="289"/>
      <c r="P734" s="289"/>
    </row>
    <row r="735">
      <c r="B735" s="303"/>
      <c r="F735" s="303"/>
      <c r="H735" s="289"/>
      <c r="I735" s="290"/>
      <c r="J735" s="289"/>
      <c r="K735" s="289"/>
      <c r="L735" s="289"/>
      <c r="M735" s="289"/>
      <c r="N735" s="289"/>
      <c r="O735" s="289"/>
      <c r="P735" s="289"/>
    </row>
    <row r="736">
      <c r="B736" s="303"/>
      <c r="F736" s="303"/>
      <c r="H736" s="289"/>
      <c r="I736" s="290"/>
      <c r="J736" s="289"/>
      <c r="K736" s="289"/>
      <c r="L736" s="289"/>
      <c r="M736" s="289"/>
      <c r="N736" s="289"/>
      <c r="O736" s="289"/>
      <c r="P736" s="289"/>
    </row>
    <row r="737">
      <c r="B737" s="303"/>
      <c r="F737" s="303"/>
      <c r="H737" s="289"/>
      <c r="I737" s="290"/>
      <c r="J737" s="289"/>
      <c r="K737" s="289"/>
      <c r="L737" s="289"/>
      <c r="M737" s="289"/>
      <c r="N737" s="289"/>
      <c r="O737" s="289"/>
      <c r="P737" s="289"/>
    </row>
    <row r="738">
      <c r="B738" s="303"/>
      <c r="F738" s="303"/>
      <c r="H738" s="289"/>
      <c r="I738" s="290"/>
      <c r="J738" s="289"/>
      <c r="K738" s="289"/>
      <c r="L738" s="289"/>
      <c r="M738" s="289"/>
      <c r="N738" s="289"/>
      <c r="O738" s="289"/>
      <c r="P738" s="289"/>
    </row>
    <row r="739">
      <c r="B739" s="303"/>
      <c r="F739" s="303"/>
      <c r="H739" s="289"/>
      <c r="I739" s="290"/>
      <c r="J739" s="289"/>
      <c r="K739" s="289"/>
      <c r="L739" s="289"/>
      <c r="M739" s="289"/>
      <c r="N739" s="289"/>
      <c r="O739" s="289"/>
      <c r="P739" s="289"/>
    </row>
    <row r="740">
      <c r="B740" s="303"/>
      <c r="F740" s="303"/>
      <c r="H740" s="289"/>
      <c r="I740" s="290"/>
      <c r="J740" s="289"/>
      <c r="K740" s="289"/>
      <c r="L740" s="289"/>
      <c r="M740" s="289"/>
      <c r="N740" s="289"/>
      <c r="O740" s="289"/>
      <c r="P740" s="289"/>
    </row>
    <row r="741">
      <c r="B741" s="303"/>
      <c r="F741" s="303"/>
      <c r="H741" s="289"/>
      <c r="I741" s="290"/>
      <c r="J741" s="289"/>
      <c r="K741" s="289"/>
      <c r="L741" s="289"/>
      <c r="M741" s="289"/>
      <c r="N741" s="289"/>
      <c r="O741" s="289"/>
      <c r="P741" s="289"/>
    </row>
    <row r="742">
      <c r="B742" s="303"/>
      <c r="F742" s="303"/>
      <c r="H742" s="289"/>
      <c r="I742" s="290"/>
      <c r="J742" s="289"/>
      <c r="K742" s="289"/>
      <c r="L742" s="289"/>
      <c r="M742" s="289"/>
      <c r="N742" s="289"/>
      <c r="O742" s="289"/>
      <c r="P742" s="289"/>
    </row>
    <row r="743">
      <c r="B743" s="303"/>
      <c r="F743" s="303"/>
      <c r="H743" s="289"/>
      <c r="I743" s="290"/>
      <c r="J743" s="289"/>
      <c r="K743" s="289"/>
      <c r="L743" s="289"/>
      <c r="M743" s="289"/>
      <c r="N743" s="289"/>
      <c r="O743" s="289"/>
      <c r="P743" s="289"/>
    </row>
    <row r="744">
      <c r="B744" s="303"/>
      <c r="F744" s="303"/>
      <c r="H744" s="289"/>
      <c r="I744" s="290"/>
      <c r="J744" s="289"/>
      <c r="K744" s="289"/>
      <c r="L744" s="289"/>
      <c r="M744" s="289"/>
      <c r="N744" s="289"/>
      <c r="O744" s="289"/>
      <c r="P744" s="289"/>
    </row>
    <row r="745">
      <c r="B745" s="303"/>
      <c r="F745" s="303"/>
      <c r="H745" s="289"/>
      <c r="I745" s="290"/>
      <c r="J745" s="289"/>
      <c r="K745" s="289"/>
      <c r="L745" s="289"/>
      <c r="M745" s="289"/>
      <c r="N745" s="289"/>
      <c r="O745" s="289"/>
      <c r="P745" s="289"/>
    </row>
    <row r="746">
      <c r="B746" s="303"/>
      <c r="F746" s="303"/>
      <c r="H746" s="289"/>
      <c r="I746" s="290"/>
      <c r="J746" s="289"/>
      <c r="K746" s="289"/>
      <c r="L746" s="289"/>
      <c r="M746" s="289"/>
      <c r="N746" s="289"/>
      <c r="O746" s="289"/>
      <c r="P746" s="289"/>
    </row>
    <row r="747">
      <c r="B747" s="303"/>
      <c r="F747" s="303"/>
      <c r="H747" s="289"/>
      <c r="I747" s="290"/>
      <c r="J747" s="289"/>
      <c r="K747" s="289"/>
      <c r="L747" s="289"/>
      <c r="M747" s="289"/>
      <c r="N747" s="289"/>
      <c r="O747" s="289"/>
      <c r="P747" s="289"/>
    </row>
    <row r="748">
      <c r="B748" s="303"/>
      <c r="F748" s="303"/>
      <c r="H748" s="289"/>
      <c r="I748" s="290"/>
      <c r="J748" s="289"/>
      <c r="K748" s="289"/>
      <c r="L748" s="289"/>
      <c r="M748" s="289"/>
      <c r="N748" s="289"/>
      <c r="O748" s="289"/>
      <c r="P748" s="289"/>
    </row>
    <row r="749">
      <c r="B749" s="303"/>
      <c r="F749" s="303"/>
      <c r="H749" s="289"/>
      <c r="I749" s="290"/>
      <c r="J749" s="289"/>
      <c r="K749" s="289"/>
      <c r="L749" s="289"/>
      <c r="M749" s="289"/>
      <c r="N749" s="289"/>
      <c r="O749" s="289"/>
      <c r="P749" s="289"/>
    </row>
    <row r="750">
      <c r="B750" s="303"/>
      <c r="F750" s="303"/>
      <c r="H750" s="289"/>
      <c r="I750" s="290"/>
      <c r="J750" s="289"/>
      <c r="K750" s="289"/>
      <c r="L750" s="289"/>
      <c r="M750" s="289"/>
      <c r="N750" s="289"/>
      <c r="O750" s="289"/>
      <c r="P750" s="289"/>
    </row>
    <row r="751">
      <c r="B751" s="303"/>
      <c r="F751" s="303"/>
      <c r="H751" s="289"/>
      <c r="I751" s="290"/>
      <c r="J751" s="289"/>
      <c r="K751" s="289"/>
      <c r="L751" s="289"/>
      <c r="M751" s="289"/>
      <c r="N751" s="289"/>
      <c r="O751" s="289"/>
      <c r="P751" s="289"/>
    </row>
    <row r="752">
      <c r="B752" s="303"/>
      <c r="F752" s="303"/>
      <c r="H752" s="289"/>
      <c r="I752" s="290"/>
      <c r="J752" s="289"/>
      <c r="K752" s="289"/>
      <c r="L752" s="289"/>
      <c r="M752" s="289"/>
      <c r="N752" s="289"/>
      <c r="O752" s="289"/>
      <c r="P752" s="289"/>
    </row>
    <row r="753">
      <c r="B753" s="303"/>
      <c r="F753" s="303"/>
      <c r="H753" s="289"/>
      <c r="I753" s="290"/>
      <c r="J753" s="289"/>
      <c r="K753" s="289"/>
      <c r="L753" s="289"/>
      <c r="M753" s="289"/>
      <c r="N753" s="289"/>
      <c r="O753" s="289"/>
      <c r="P753" s="289"/>
    </row>
    <row r="754">
      <c r="B754" s="303"/>
      <c r="F754" s="303"/>
      <c r="H754" s="289"/>
      <c r="I754" s="290"/>
      <c r="J754" s="289"/>
      <c r="K754" s="289"/>
      <c r="L754" s="289"/>
      <c r="M754" s="289"/>
      <c r="N754" s="289"/>
      <c r="O754" s="289"/>
      <c r="P754" s="289"/>
    </row>
    <row r="755">
      <c r="B755" s="303"/>
      <c r="F755" s="303"/>
      <c r="H755" s="289"/>
      <c r="I755" s="290"/>
      <c r="J755" s="289"/>
      <c r="K755" s="289"/>
      <c r="L755" s="289"/>
      <c r="M755" s="289"/>
      <c r="N755" s="289"/>
      <c r="O755" s="289"/>
      <c r="P755" s="289"/>
    </row>
    <row r="756">
      <c r="B756" s="303"/>
      <c r="F756" s="303"/>
      <c r="H756" s="289"/>
      <c r="I756" s="290"/>
      <c r="J756" s="289"/>
      <c r="K756" s="289"/>
      <c r="L756" s="289"/>
      <c r="M756" s="289"/>
      <c r="N756" s="289"/>
      <c r="O756" s="289"/>
      <c r="P756" s="289"/>
    </row>
    <row r="757">
      <c r="B757" s="303"/>
      <c r="F757" s="303"/>
      <c r="H757" s="289"/>
      <c r="I757" s="290"/>
      <c r="J757" s="289"/>
      <c r="K757" s="289"/>
      <c r="L757" s="289"/>
      <c r="M757" s="289"/>
      <c r="N757" s="289"/>
      <c r="O757" s="289"/>
      <c r="P757" s="289"/>
    </row>
    <row r="758">
      <c r="B758" s="303"/>
      <c r="F758" s="303"/>
      <c r="H758" s="289"/>
      <c r="I758" s="290"/>
      <c r="J758" s="289"/>
      <c r="K758" s="289"/>
      <c r="L758" s="289"/>
      <c r="M758" s="289"/>
      <c r="N758" s="289"/>
      <c r="O758" s="289"/>
      <c r="P758" s="289"/>
    </row>
    <row r="759">
      <c r="B759" s="303"/>
      <c r="F759" s="303"/>
      <c r="H759" s="289"/>
      <c r="I759" s="290"/>
      <c r="J759" s="289"/>
      <c r="K759" s="289"/>
      <c r="L759" s="289"/>
      <c r="M759" s="289"/>
      <c r="N759" s="289"/>
      <c r="O759" s="289"/>
      <c r="P759" s="289"/>
    </row>
    <row r="760">
      <c r="B760" s="303"/>
      <c r="F760" s="303"/>
      <c r="H760" s="289"/>
      <c r="I760" s="290"/>
      <c r="J760" s="289"/>
      <c r="K760" s="289"/>
      <c r="L760" s="289"/>
      <c r="M760" s="289"/>
      <c r="N760" s="289"/>
      <c r="O760" s="289"/>
      <c r="P760" s="289"/>
    </row>
    <row r="761">
      <c r="B761" s="303"/>
      <c r="F761" s="303"/>
      <c r="H761" s="289"/>
      <c r="I761" s="290"/>
      <c r="J761" s="289"/>
      <c r="K761" s="289"/>
      <c r="L761" s="289"/>
      <c r="M761" s="289"/>
      <c r="N761" s="289"/>
      <c r="O761" s="289"/>
      <c r="P761" s="289"/>
    </row>
    <row r="762">
      <c r="B762" s="303"/>
      <c r="F762" s="303"/>
      <c r="H762" s="289"/>
      <c r="I762" s="290"/>
      <c r="J762" s="289"/>
      <c r="K762" s="289"/>
      <c r="L762" s="289"/>
      <c r="M762" s="289"/>
      <c r="N762" s="289"/>
      <c r="O762" s="289"/>
      <c r="P762" s="289"/>
    </row>
    <row r="763">
      <c r="B763" s="303"/>
      <c r="F763" s="303"/>
      <c r="H763" s="289"/>
      <c r="I763" s="290"/>
      <c r="J763" s="289"/>
      <c r="K763" s="289"/>
      <c r="L763" s="289"/>
      <c r="M763" s="289"/>
      <c r="N763" s="289"/>
      <c r="O763" s="289"/>
      <c r="P763" s="289"/>
    </row>
    <row r="764">
      <c r="B764" s="303"/>
      <c r="F764" s="303"/>
      <c r="H764" s="289"/>
      <c r="I764" s="290"/>
      <c r="J764" s="289"/>
      <c r="K764" s="289"/>
      <c r="L764" s="289"/>
      <c r="M764" s="289"/>
      <c r="N764" s="289"/>
      <c r="O764" s="289"/>
      <c r="P764" s="289"/>
    </row>
    <row r="765">
      <c r="B765" s="303"/>
      <c r="F765" s="303"/>
      <c r="H765" s="289"/>
      <c r="I765" s="290"/>
      <c r="J765" s="289"/>
      <c r="K765" s="289"/>
      <c r="L765" s="289"/>
      <c r="M765" s="289"/>
      <c r="N765" s="289"/>
      <c r="O765" s="289"/>
      <c r="P765" s="289"/>
    </row>
    <row r="766">
      <c r="B766" s="303"/>
      <c r="F766" s="303"/>
      <c r="H766" s="289"/>
      <c r="I766" s="290"/>
      <c r="J766" s="289"/>
      <c r="K766" s="289"/>
      <c r="L766" s="289"/>
      <c r="M766" s="289"/>
      <c r="N766" s="289"/>
      <c r="O766" s="289"/>
      <c r="P766" s="289"/>
    </row>
    <row r="767">
      <c r="B767" s="303"/>
      <c r="F767" s="303"/>
      <c r="H767" s="289"/>
      <c r="I767" s="290"/>
      <c r="J767" s="289"/>
      <c r="K767" s="289"/>
      <c r="L767" s="289"/>
      <c r="M767" s="289"/>
      <c r="N767" s="289"/>
      <c r="O767" s="289"/>
      <c r="P767" s="289"/>
    </row>
    <row r="768">
      <c r="B768" s="303"/>
      <c r="F768" s="303"/>
      <c r="H768" s="289"/>
      <c r="I768" s="290"/>
      <c r="J768" s="289"/>
      <c r="K768" s="289"/>
      <c r="L768" s="289"/>
      <c r="M768" s="289"/>
      <c r="N768" s="289"/>
      <c r="O768" s="289"/>
      <c r="P768" s="289"/>
    </row>
    <row r="769">
      <c r="B769" s="303"/>
      <c r="F769" s="303"/>
      <c r="H769" s="289"/>
      <c r="I769" s="290"/>
      <c r="J769" s="289"/>
      <c r="K769" s="289"/>
      <c r="L769" s="289"/>
      <c r="M769" s="289"/>
      <c r="N769" s="289"/>
      <c r="O769" s="289"/>
      <c r="P769" s="289"/>
    </row>
    <row r="770">
      <c r="B770" s="303"/>
      <c r="F770" s="303"/>
      <c r="H770" s="289"/>
      <c r="I770" s="290"/>
      <c r="J770" s="289"/>
      <c r="K770" s="289"/>
      <c r="L770" s="289"/>
      <c r="M770" s="289"/>
      <c r="N770" s="289"/>
      <c r="O770" s="289"/>
      <c r="P770" s="289"/>
    </row>
    <row r="771">
      <c r="B771" s="303"/>
      <c r="F771" s="303"/>
      <c r="H771" s="289"/>
      <c r="I771" s="290"/>
      <c r="J771" s="289"/>
      <c r="K771" s="289"/>
      <c r="L771" s="289"/>
      <c r="M771" s="289"/>
      <c r="N771" s="289"/>
      <c r="O771" s="289"/>
      <c r="P771" s="289"/>
    </row>
    <row r="772">
      <c r="B772" s="303"/>
      <c r="F772" s="303"/>
      <c r="H772" s="289"/>
      <c r="I772" s="290"/>
      <c r="J772" s="289"/>
      <c r="K772" s="289"/>
      <c r="L772" s="289"/>
      <c r="M772" s="289"/>
      <c r="N772" s="289"/>
      <c r="O772" s="289"/>
      <c r="P772" s="289"/>
    </row>
    <row r="773">
      <c r="B773" s="303"/>
      <c r="F773" s="303"/>
      <c r="H773" s="289"/>
      <c r="I773" s="290"/>
      <c r="J773" s="289"/>
      <c r="K773" s="289"/>
      <c r="L773" s="289"/>
      <c r="M773" s="289"/>
      <c r="N773" s="289"/>
      <c r="O773" s="289"/>
      <c r="P773" s="289"/>
    </row>
    <row r="774">
      <c r="B774" s="303"/>
      <c r="F774" s="303"/>
      <c r="H774" s="289"/>
      <c r="I774" s="290"/>
      <c r="J774" s="289"/>
      <c r="K774" s="289"/>
      <c r="L774" s="289"/>
      <c r="M774" s="289"/>
      <c r="N774" s="289"/>
      <c r="O774" s="289"/>
      <c r="P774" s="289"/>
    </row>
    <row r="775">
      <c r="B775" s="303"/>
      <c r="F775" s="303"/>
      <c r="H775" s="289"/>
      <c r="I775" s="290"/>
      <c r="J775" s="289"/>
      <c r="K775" s="289"/>
      <c r="L775" s="289"/>
      <c r="M775" s="289"/>
      <c r="N775" s="289"/>
      <c r="O775" s="289"/>
      <c r="P775" s="289"/>
    </row>
    <row r="776">
      <c r="B776" s="303"/>
      <c r="F776" s="303"/>
      <c r="H776" s="289"/>
      <c r="I776" s="290"/>
      <c r="J776" s="289"/>
      <c r="K776" s="289"/>
      <c r="L776" s="289"/>
      <c r="M776" s="289"/>
      <c r="N776" s="289"/>
      <c r="O776" s="289"/>
      <c r="P776" s="289"/>
    </row>
    <row r="777">
      <c r="B777" s="303"/>
      <c r="F777" s="303"/>
      <c r="H777" s="289"/>
      <c r="I777" s="290"/>
      <c r="J777" s="289"/>
      <c r="K777" s="289"/>
      <c r="L777" s="289"/>
      <c r="M777" s="289"/>
      <c r="N777" s="289"/>
      <c r="O777" s="289"/>
      <c r="P777" s="289"/>
    </row>
    <row r="778">
      <c r="B778" s="303"/>
      <c r="F778" s="303"/>
      <c r="H778" s="289"/>
      <c r="I778" s="290"/>
      <c r="J778" s="289"/>
      <c r="K778" s="289"/>
      <c r="L778" s="289"/>
      <c r="M778" s="289"/>
      <c r="N778" s="289"/>
      <c r="O778" s="289"/>
      <c r="P778" s="289"/>
    </row>
    <row r="779">
      <c r="B779" s="303"/>
      <c r="F779" s="303"/>
      <c r="H779" s="289"/>
      <c r="I779" s="290"/>
      <c r="J779" s="289"/>
      <c r="K779" s="289"/>
      <c r="L779" s="289"/>
      <c r="M779" s="289"/>
      <c r="N779" s="289"/>
      <c r="O779" s="289"/>
      <c r="P779" s="289"/>
    </row>
    <row r="780">
      <c r="B780" s="303"/>
      <c r="F780" s="303"/>
      <c r="H780" s="289"/>
      <c r="I780" s="290"/>
      <c r="J780" s="289"/>
      <c r="K780" s="289"/>
      <c r="L780" s="289"/>
      <c r="M780" s="289"/>
      <c r="N780" s="289"/>
      <c r="O780" s="289"/>
      <c r="P780" s="289"/>
    </row>
    <row r="781">
      <c r="B781" s="303"/>
      <c r="F781" s="303"/>
      <c r="H781" s="289"/>
      <c r="I781" s="290"/>
      <c r="J781" s="289"/>
      <c r="K781" s="289"/>
      <c r="L781" s="289"/>
      <c r="M781" s="289"/>
      <c r="N781" s="289"/>
      <c r="O781" s="289"/>
      <c r="P781" s="289"/>
    </row>
    <row r="782">
      <c r="B782" s="303"/>
      <c r="F782" s="303"/>
      <c r="H782" s="289"/>
      <c r="I782" s="290"/>
      <c r="J782" s="289"/>
      <c r="K782" s="289"/>
      <c r="L782" s="289"/>
      <c r="M782" s="289"/>
      <c r="N782" s="289"/>
      <c r="O782" s="289"/>
      <c r="P782" s="289"/>
    </row>
    <row r="783">
      <c r="B783" s="303"/>
      <c r="F783" s="303"/>
      <c r="H783" s="289"/>
      <c r="I783" s="290"/>
      <c r="J783" s="289"/>
      <c r="K783" s="289"/>
      <c r="L783" s="289"/>
      <c r="M783" s="289"/>
      <c r="N783" s="289"/>
      <c r="O783" s="289"/>
      <c r="P783" s="289"/>
    </row>
    <row r="784">
      <c r="B784" s="303"/>
      <c r="F784" s="303"/>
      <c r="H784" s="289"/>
      <c r="I784" s="290"/>
      <c r="J784" s="289"/>
      <c r="K784" s="289"/>
      <c r="L784" s="289"/>
      <c r="M784" s="289"/>
      <c r="N784" s="289"/>
      <c r="O784" s="289"/>
      <c r="P784" s="289"/>
    </row>
    <row r="785">
      <c r="B785" s="303"/>
      <c r="F785" s="303"/>
      <c r="H785" s="289"/>
      <c r="I785" s="290"/>
      <c r="J785" s="289"/>
      <c r="K785" s="289"/>
      <c r="L785" s="289"/>
      <c r="M785" s="289"/>
      <c r="N785" s="289"/>
      <c r="O785" s="289"/>
      <c r="P785" s="289"/>
    </row>
    <row r="786">
      <c r="B786" s="303"/>
      <c r="F786" s="303"/>
      <c r="H786" s="289"/>
      <c r="I786" s="290"/>
      <c r="J786" s="289"/>
      <c r="K786" s="289"/>
      <c r="L786" s="289"/>
      <c r="M786" s="289"/>
      <c r="N786" s="289"/>
      <c r="O786" s="289"/>
      <c r="P786" s="289"/>
    </row>
    <row r="787">
      <c r="B787" s="303"/>
      <c r="F787" s="303"/>
      <c r="H787" s="289"/>
      <c r="I787" s="290"/>
      <c r="J787" s="289"/>
      <c r="K787" s="289"/>
      <c r="L787" s="289"/>
      <c r="M787" s="289"/>
      <c r="N787" s="289"/>
      <c r="O787" s="289"/>
      <c r="P787" s="289"/>
    </row>
    <row r="788">
      <c r="B788" s="303"/>
      <c r="F788" s="303"/>
      <c r="H788" s="289"/>
      <c r="I788" s="290"/>
      <c r="J788" s="289"/>
      <c r="K788" s="289"/>
      <c r="L788" s="289"/>
      <c r="M788" s="289"/>
      <c r="N788" s="289"/>
      <c r="O788" s="289"/>
      <c r="P788" s="289"/>
    </row>
    <row r="789">
      <c r="B789" s="303"/>
      <c r="F789" s="303"/>
      <c r="H789" s="289"/>
      <c r="I789" s="290"/>
      <c r="J789" s="289"/>
      <c r="K789" s="289"/>
      <c r="L789" s="289"/>
      <c r="M789" s="289"/>
      <c r="N789" s="289"/>
      <c r="O789" s="289"/>
      <c r="P789" s="289"/>
    </row>
    <row r="790">
      <c r="B790" s="303"/>
      <c r="F790" s="303"/>
      <c r="H790" s="289"/>
      <c r="I790" s="290"/>
      <c r="J790" s="289"/>
      <c r="K790" s="289"/>
      <c r="L790" s="289"/>
      <c r="M790" s="289"/>
      <c r="N790" s="289"/>
      <c r="O790" s="289"/>
      <c r="P790" s="289"/>
    </row>
    <row r="791">
      <c r="B791" s="303"/>
      <c r="F791" s="303"/>
      <c r="H791" s="289"/>
      <c r="I791" s="290"/>
      <c r="J791" s="289"/>
      <c r="K791" s="289"/>
      <c r="L791" s="289"/>
      <c r="M791" s="289"/>
      <c r="N791" s="289"/>
      <c r="O791" s="289"/>
      <c r="P791" s="289"/>
    </row>
    <row r="792">
      <c r="B792" s="303"/>
      <c r="F792" s="303"/>
      <c r="H792" s="289"/>
      <c r="I792" s="290"/>
      <c r="J792" s="289"/>
      <c r="K792" s="289"/>
      <c r="L792" s="289"/>
      <c r="M792" s="289"/>
      <c r="N792" s="289"/>
      <c r="O792" s="289"/>
      <c r="P792" s="289"/>
    </row>
    <row r="793">
      <c r="B793" s="303"/>
      <c r="F793" s="303"/>
      <c r="H793" s="289"/>
      <c r="I793" s="290"/>
      <c r="J793" s="289"/>
      <c r="K793" s="289"/>
      <c r="L793" s="289"/>
      <c r="M793" s="289"/>
      <c r="N793" s="289"/>
      <c r="O793" s="289"/>
      <c r="P793" s="289"/>
    </row>
    <row r="794">
      <c r="B794" s="303"/>
      <c r="F794" s="303"/>
      <c r="H794" s="289"/>
      <c r="I794" s="290"/>
      <c r="J794" s="289"/>
      <c r="K794" s="289"/>
      <c r="L794" s="289"/>
      <c r="M794" s="289"/>
      <c r="N794" s="289"/>
      <c r="O794" s="289"/>
      <c r="P794" s="289"/>
    </row>
    <row r="795">
      <c r="B795" s="303"/>
      <c r="F795" s="303"/>
      <c r="H795" s="289"/>
      <c r="I795" s="290"/>
      <c r="J795" s="289"/>
      <c r="K795" s="289"/>
      <c r="L795" s="289"/>
      <c r="M795" s="289"/>
      <c r="N795" s="289"/>
      <c r="O795" s="289"/>
      <c r="P795" s="289"/>
    </row>
    <row r="796">
      <c r="B796" s="303"/>
      <c r="F796" s="303"/>
      <c r="H796" s="289"/>
      <c r="I796" s="290"/>
      <c r="J796" s="289"/>
      <c r="K796" s="289"/>
      <c r="L796" s="289"/>
      <c r="M796" s="289"/>
      <c r="N796" s="289"/>
      <c r="O796" s="289"/>
      <c r="P796" s="289"/>
    </row>
    <row r="797">
      <c r="B797" s="303"/>
      <c r="F797" s="303"/>
      <c r="H797" s="289"/>
      <c r="I797" s="290"/>
      <c r="J797" s="289"/>
      <c r="K797" s="289"/>
      <c r="L797" s="289"/>
      <c r="M797" s="289"/>
      <c r="N797" s="289"/>
      <c r="O797" s="289"/>
      <c r="P797" s="289"/>
    </row>
    <row r="798">
      <c r="B798" s="303"/>
      <c r="F798" s="303"/>
      <c r="H798" s="289"/>
      <c r="I798" s="290"/>
      <c r="J798" s="289"/>
      <c r="K798" s="289"/>
      <c r="L798" s="289"/>
      <c r="M798" s="289"/>
      <c r="N798" s="289"/>
      <c r="O798" s="289"/>
      <c r="P798" s="289"/>
    </row>
    <row r="799">
      <c r="B799" s="303"/>
      <c r="F799" s="303"/>
      <c r="H799" s="289"/>
      <c r="I799" s="290"/>
      <c r="J799" s="289"/>
      <c r="K799" s="289"/>
      <c r="L799" s="289"/>
      <c r="M799" s="289"/>
      <c r="N799" s="289"/>
      <c r="O799" s="289"/>
      <c r="P799" s="289"/>
    </row>
    <row r="800">
      <c r="B800" s="303"/>
      <c r="F800" s="303"/>
      <c r="H800" s="289"/>
      <c r="I800" s="290"/>
      <c r="J800" s="289"/>
      <c r="K800" s="289"/>
      <c r="L800" s="289"/>
      <c r="M800" s="289"/>
      <c r="N800" s="289"/>
      <c r="O800" s="289"/>
      <c r="P800" s="289"/>
    </row>
    <row r="801">
      <c r="B801" s="303"/>
      <c r="F801" s="303"/>
      <c r="H801" s="289"/>
      <c r="I801" s="290"/>
      <c r="J801" s="289"/>
      <c r="K801" s="289"/>
      <c r="L801" s="289"/>
      <c r="M801" s="289"/>
      <c r="N801" s="289"/>
      <c r="O801" s="289"/>
      <c r="P801" s="289"/>
    </row>
    <row r="802">
      <c r="B802" s="303"/>
      <c r="F802" s="303"/>
      <c r="H802" s="289"/>
      <c r="I802" s="290"/>
      <c r="J802" s="289"/>
      <c r="K802" s="289"/>
      <c r="L802" s="289"/>
      <c r="M802" s="289"/>
      <c r="N802" s="289"/>
      <c r="O802" s="289"/>
      <c r="P802" s="289"/>
    </row>
    <row r="803">
      <c r="B803" s="303"/>
      <c r="F803" s="303"/>
      <c r="H803" s="289"/>
      <c r="I803" s="290"/>
      <c r="J803" s="289"/>
      <c r="K803" s="289"/>
      <c r="L803" s="289"/>
      <c r="M803" s="289"/>
      <c r="N803" s="289"/>
      <c r="O803" s="289"/>
      <c r="P803" s="289"/>
    </row>
    <row r="804">
      <c r="B804" s="303"/>
      <c r="F804" s="303"/>
      <c r="H804" s="289"/>
      <c r="I804" s="290"/>
      <c r="J804" s="289"/>
      <c r="K804" s="289"/>
      <c r="L804" s="289"/>
      <c r="M804" s="289"/>
      <c r="N804" s="289"/>
      <c r="O804" s="289"/>
      <c r="P804" s="289"/>
    </row>
    <row r="805">
      <c r="B805" s="303"/>
      <c r="F805" s="303"/>
      <c r="H805" s="289"/>
      <c r="I805" s="290"/>
      <c r="J805" s="289"/>
      <c r="K805" s="289"/>
      <c r="L805" s="289"/>
      <c r="M805" s="289"/>
      <c r="N805" s="289"/>
      <c r="O805" s="289"/>
      <c r="P805" s="289"/>
    </row>
    <row r="806">
      <c r="B806" s="303"/>
      <c r="F806" s="303"/>
      <c r="H806" s="289"/>
      <c r="I806" s="290"/>
      <c r="J806" s="289"/>
      <c r="K806" s="289"/>
      <c r="L806" s="289"/>
      <c r="M806" s="289"/>
      <c r="N806" s="289"/>
      <c r="O806" s="289"/>
      <c r="P806" s="289"/>
    </row>
    <row r="807">
      <c r="B807" s="303"/>
      <c r="F807" s="303"/>
      <c r="H807" s="289"/>
      <c r="I807" s="290"/>
      <c r="J807" s="289"/>
      <c r="K807" s="289"/>
      <c r="L807" s="289"/>
      <c r="M807" s="289"/>
      <c r="N807" s="289"/>
      <c r="O807" s="289"/>
      <c r="P807" s="289"/>
    </row>
    <row r="808">
      <c r="B808" s="303"/>
      <c r="F808" s="303"/>
      <c r="H808" s="289"/>
      <c r="I808" s="290"/>
      <c r="J808" s="289"/>
      <c r="K808" s="289"/>
      <c r="L808" s="289"/>
      <c r="M808" s="289"/>
      <c r="N808" s="289"/>
      <c r="O808" s="289"/>
      <c r="P808" s="289"/>
    </row>
    <row r="809">
      <c r="B809" s="303"/>
      <c r="F809" s="303"/>
      <c r="H809" s="289"/>
      <c r="I809" s="290"/>
      <c r="J809" s="289"/>
      <c r="K809" s="289"/>
      <c r="L809" s="289"/>
      <c r="M809" s="289"/>
      <c r="N809" s="289"/>
      <c r="O809" s="289"/>
      <c r="P809" s="289"/>
    </row>
    <row r="810">
      <c r="B810" s="303"/>
      <c r="F810" s="303"/>
      <c r="H810" s="289"/>
      <c r="I810" s="290"/>
      <c r="J810" s="289"/>
      <c r="K810" s="289"/>
      <c r="L810" s="289"/>
      <c r="M810" s="289"/>
      <c r="N810" s="289"/>
      <c r="O810" s="289"/>
      <c r="P810" s="289"/>
    </row>
    <row r="811">
      <c r="B811" s="303"/>
      <c r="F811" s="303"/>
      <c r="H811" s="289"/>
      <c r="I811" s="290"/>
      <c r="J811" s="289"/>
      <c r="K811" s="289"/>
      <c r="L811" s="289"/>
      <c r="M811" s="289"/>
      <c r="N811" s="289"/>
      <c r="O811" s="289"/>
      <c r="P811" s="289"/>
    </row>
    <row r="812">
      <c r="B812" s="303"/>
      <c r="F812" s="303"/>
      <c r="H812" s="289"/>
      <c r="I812" s="290"/>
      <c r="J812" s="289"/>
      <c r="K812" s="289"/>
      <c r="L812" s="289"/>
      <c r="M812" s="289"/>
      <c r="N812" s="289"/>
      <c r="O812" s="289"/>
      <c r="P812" s="289"/>
    </row>
    <row r="813">
      <c r="B813" s="303"/>
      <c r="F813" s="303"/>
      <c r="H813" s="289"/>
      <c r="I813" s="290"/>
      <c r="J813" s="289"/>
      <c r="K813" s="289"/>
      <c r="L813" s="289"/>
      <c r="M813" s="289"/>
      <c r="N813" s="289"/>
      <c r="O813" s="289"/>
      <c r="P813" s="289"/>
    </row>
    <row r="814">
      <c r="B814" s="303"/>
      <c r="F814" s="303"/>
      <c r="H814" s="289"/>
      <c r="I814" s="290"/>
      <c r="J814" s="289"/>
      <c r="K814" s="289"/>
      <c r="L814" s="289"/>
      <c r="M814" s="289"/>
      <c r="N814" s="289"/>
      <c r="O814" s="289"/>
      <c r="P814" s="289"/>
    </row>
    <row r="815">
      <c r="B815" s="303"/>
      <c r="F815" s="303"/>
      <c r="H815" s="289"/>
      <c r="I815" s="290"/>
      <c r="J815" s="289"/>
      <c r="K815" s="289"/>
      <c r="L815" s="289"/>
      <c r="M815" s="289"/>
      <c r="N815" s="289"/>
      <c r="O815" s="289"/>
      <c r="P815" s="289"/>
    </row>
    <row r="816">
      <c r="B816" s="303"/>
      <c r="F816" s="303"/>
      <c r="H816" s="289"/>
      <c r="I816" s="290"/>
      <c r="J816" s="289"/>
      <c r="K816" s="289"/>
      <c r="L816" s="289"/>
      <c r="M816" s="289"/>
      <c r="N816" s="289"/>
      <c r="O816" s="289"/>
      <c r="P816" s="289"/>
    </row>
    <row r="817">
      <c r="B817" s="303"/>
      <c r="F817" s="303"/>
      <c r="H817" s="289"/>
      <c r="I817" s="290"/>
      <c r="J817" s="289"/>
      <c r="K817" s="289"/>
      <c r="L817" s="289"/>
      <c r="M817" s="289"/>
      <c r="N817" s="289"/>
      <c r="O817" s="289"/>
      <c r="P817" s="289"/>
    </row>
    <row r="818">
      <c r="B818" s="303"/>
      <c r="F818" s="303"/>
      <c r="H818" s="289"/>
      <c r="I818" s="290"/>
      <c r="J818" s="289"/>
      <c r="K818" s="289"/>
      <c r="L818" s="289"/>
      <c r="M818" s="289"/>
      <c r="N818" s="289"/>
      <c r="O818" s="289"/>
      <c r="P818" s="289"/>
    </row>
    <row r="819">
      <c r="B819" s="303"/>
      <c r="F819" s="303"/>
      <c r="H819" s="289"/>
      <c r="I819" s="290"/>
      <c r="J819" s="289"/>
      <c r="K819" s="289"/>
      <c r="L819" s="289"/>
      <c r="M819" s="289"/>
      <c r="N819" s="289"/>
      <c r="O819" s="289"/>
      <c r="P819" s="289"/>
    </row>
    <row r="820">
      <c r="B820" s="303"/>
      <c r="F820" s="303"/>
      <c r="H820" s="289"/>
      <c r="I820" s="290"/>
      <c r="J820" s="289"/>
      <c r="K820" s="289"/>
      <c r="L820" s="289"/>
      <c r="M820" s="289"/>
      <c r="N820" s="289"/>
      <c r="O820" s="289"/>
      <c r="P820" s="289"/>
    </row>
    <row r="821">
      <c r="B821" s="303"/>
      <c r="F821" s="303"/>
      <c r="H821" s="289"/>
      <c r="I821" s="290"/>
      <c r="J821" s="289"/>
      <c r="K821" s="289"/>
      <c r="L821" s="289"/>
      <c r="M821" s="289"/>
      <c r="N821" s="289"/>
      <c r="O821" s="289"/>
      <c r="P821" s="289"/>
    </row>
    <row r="822">
      <c r="B822" s="303"/>
      <c r="F822" s="303"/>
      <c r="H822" s="289"/>
      <c r="I822" s="290"/>
      <c r="J822" s="289"/>
      <c r="K822" s="289"/>
      <c r="L822" s="289"/>
      <c r="M822" s="289"/>
      <c r="N822" s="289"/>
      <c r="O822" s="289"/>
      <c r="P822" s="289"/>
    </row>
    <row r="823">
      <c r="B823" s="303"/>
      <c r="F823" s="303"/>
      <c r="H823" s="289"/>
      <c r="I823" s="290"/>
      <c r="J823" s="289"/>
      <c r="K823" s="289"/>
      <c r="L823" s="289"/>
      <c r="M823" s="289"/>
      <c r="N823" s="289"/>
      <c r="O823" s="289"/>
      <c r="P823" s="289"/>
    </row>
    <row r="824">
      <c r="B824" s="303"/>
      <c r="F824" s="303"/>
      <c r="H824" s="289"/>
      <c r="I824" s="290"/>
      <c r="J824" s="289"/>
      <c r="K824" s="289"/>
      <c r="L824" s="289"/>
      <c r="M824" s="289"/>
      <c r="N824" s="289"/>
      <c r="O824" s="289"/>
      <c r="P824" s="289"/>
    </row>
    <row r="825">
      <c r="B825" s="303"/>
      <c r="F825" s="303"/>
      <c r="H825" s="289"/>
      <c r="I825" s="290"/>
      <c r="J825" s="289"/>
      <c r="K825" s="289"/>
      <c r="L825" s="289"/>
      <c r="M825" s="289"/>
      <c r="N825" s="289"/>
      <c r="O825" s="289"/>
      <c r="P825" s="289"/>
    </row>
    <row r="826">
      <c r="B826" s="303"/>
      <c r="F826" s="303"/>
      <c r="H826" s="289"/>
      <c r="I826" s="290"/>
      <c r="J826" s="289"/>
      <c r="K826" s="289"/>
      <c r="L826" s="289"/>
      <c r="M826" s="289"/>
      <c r="N826" s="289"/>
      <c r="O826" s="289"/>
      <c r="P826" s="289"/>
    </row>
    <row r="827">
      <c r="B827" s="303"/>
      <c r="F827" s="303"/>
      <c r="H827" s="289"/>
      <c r="I827" s="290"/>
      <c r="J827" s="289"/>
      <c r="K827" s="289"/>
      <c r="L827" s="289"/>
      <c r="M827" s="289"/>
      <c r="N827" s="289"/>
      <c r="O827" s="289"/>
      <c r="P827" s="289"/>
    </row>
    <row r="828">
      <c r="B828" s="303"/>
      <c r="F828" s="303"/>
      <c r="H828" s="289"/>
      <c r="I828" s="290"/>
      <c r="J828" s="289"/>
      <c r="K828" s="289"/>
      <c r="L828" s="289"/>
      <c r="M828" s="289"/>
      <c r="N828" s="289"/>
      <c r="O828" s="289"/>
      <c r="P828" s="289"/>
    </row>
    <row r="829">
      <c r="B829" s="303"/>
      <c r="F829" s="303"/>
      <c r="H829" s="289"/>
      <c r="I829" s="290"/>
      <c r="J829" s="289"/>
      <c r="K829" s="289"/>
      <c r="L829" s="289"/>
      <c r="M829" s="289"/>
      <c r="N829" s="289"/>
      <c r="O829" s="289"/>
      <c r="P829" s="289"/>
    </row>
    <row r="830">
      <c r="B830" s="303"/>
      <c r="F830" s="303"/>
      <c r="H830" s="289"/>
      <c r="I830" s="290"/>
      <c r="J830" s="289"/>
      <c r="K830" s="289"/>
      <c r="L830" s="289"/>
      <c r="M830" s="289"/>
      <c r="N830" s="289"/>
      <c r="O830" s="289"/>
      <c r="P830" s="289"/>
    </row>
    <row r="831">
      <c r="B831" s="303"/>
      <c r="F831" s="303"/>
      <c r="H831" s="289"/>
      <c r="I831" s="290"/>
      <c r="J831" s="289"/>
      <c r="K831" s="289"/>
      <c r="L831" s="289"/>
      <c r="M831" s="289"/>
      <c r="N831" s="289"/>
      <c r="O831" s="289"/>
      <c r="P831" s="289"/>
    </row>
    <row r="832">
      <c r="B832" s="303"/>
      <c r="F832" s="303"/>
      <c r="H832" s="289"/>
      <c r="I832" s="290"/>
      <c r="J832" s="289"/>
      <c r="K832" s="289"/>
      <c r="L832" s="289"/>
      <c r="M832" s="289"/>
      <c r="N832" s="289"/>
      <c r="O832" s="289"/>
      <c r="P832" s="289"/>
    </row>
    <row r="833">
      <c r="B833" s="303"/>
      <c r="F833" s="303"/>
      <c r="H833" s="289"/>
      <c r="I833" s="290"/>
      <c r="J833" s="289"/>
      <c r="K833" s="289"/>
      <c r="L833" s="289"/>
      <c r="M833" s="289"/>
      <c r="N833" s="289"/>
      <c r="O833" s="289"/>
      <c r="P833" s="289"/>
    </row>
    <row r="834">
      <c r="B834" s="303"/>
      <c r="F834" s="303"/>
      <c r="H834" s="289"/>
      <c r="I834" s="290"/>
      <c r="J834" s="289"/>
      <c r="K834" s="289"/>
      <c r="L834" s="289"/>
      <c r="M834" s="289"/>
      <c r="N834" s="289"/>
      <c r="O834" s="289"/>
      <c r="P834" s="289"/>
    </row>
    <row r="835">
      <c r="B835" s="303"/>
      <c r="F835" s="303"/>
      <c r="H835" s="289"/>
      <c r="I835" s="290"/>
      <c r="J835" s="289"/>
      <c r="K835" s="289"/>
      <c r="L835" s="289"/>
      <c r="M835" s="289"/>
      <c r="N835" s="289"/>
      <c r="O835" s="289"/>
      <c r="P835" s="289"/>
    </row>
    <row r="836">
      <c r="B836" s="303"/>
      <c r="F836" s="303"/>
      <c r="H836" s="289"/>
      <c r="I836" s="290"/>
      <c r="J836" s="289"/>
      <c r="K836" s="289"/>
      <c r="L836" s="289"/>
      <c r="M836" s="289"/>
      <c r="N836" s="289"/>
      <c r="O836" s="289"/>
      <c r="P836" s="289"/>
    </row>
    <row r="837">
      <c r="B837" s="303"/>
      <c r="F837" s="303"/>
      <c r="H837" s="289"/>
      <c r="I837" s="290"/>
      <c r="J837" s="289"/>
      <c r="K837" s="289"/>
      <c r="L837" s="289"/>
      <c r="M837" s="289"/>
      <c r="N837" s="289"/>
      <c r="O837" s="289"/>
      <c r="P837" s="289"/>
    </row>
    <row r="838">
      <c r="B838" s="303"/>
      <c r="F838" s="303"/>
      <c r="H838" s="289"/>
      <c r="I838" s="290"/>
      <c r="J838" s="289"/>
      <c r="K838" s="289"/>
      <c r="L838" s="289"/>
      <c r="M838" s="289"/>
      <c r="N838" s="289"/>
      <c r="O838" s="289"/>
      <c r="P838" s="289"/>
    </row>
    <row r="839">
      <c r="B839" s="303"/>
      <c r="F839" s="303"/>
      <c r="H839" s="289"/>
      <c r="I839" s="290"/>
      <c r="J839" s="289"/>
      <c r="K839" s="289"/>
      <c r="L839" s="289"/>
      <c r="M839" s="289"/>
      <c r="N839" s="289"/>
      <c r="O839" s="289"/>
      <c r="P839" s="289"/>
    </row>
    <row r="840">
      <c r="B840" s="303"/>
      <c r="F840" s="303"/>
      <c r="H840" s="289"/>
      <c r="I840" s="290"/>
      <c r="J840" s="289"/>
      <c r="K840" s="289"/>
      <c r="L840" s="289"/>
      <c r="M840" s="289"/>
      <c r="N840" s="289"/>
      <c r="O840" s="289"/>
      <c r="P840" s="289"/>
    </row>
    <row r="841">
      <c r="B841" s="303"/>
      <c r="F841" s="303"/>
      <c r="H841" s="289"/>
      <c r="I841" s="290"/>
      <c r="J841" s="289"/>
      <c r="K841" s="289"/>
      <c r="L841" s="289"/>
      <c r="M841" s="289"/>
      <c r="N841" s="289"/>
      <c r="O841" s="289"/>
      <c r="P841" s="289"/>
    </row>
    <row r="842">
      <c r="B842" s="303"/>
      <c r="F842" s="303"/>
      <c r="H842" s="289"/>
      <c r="I842" s="290"/>
      <c r="J842" s="289"/>
      <c r="K842" s="289"/>
      <c r="L842" s="289"/>
      <c r="M842" s="289"/>
      <c r="N842" s="289"/>
      <c r="O842" s="289"/>
      <c r="P842" s="289"/>
    </row>
    <row r="843">
      <c r="B843" s="303"/>
      <c r="F843" s="303"/>
      <c r="H843" s="289"/>
      <c r="I843" s="290"/>
      <c r="J843" s="289"/>
      <c r="K843" s="289"/>
      <c r="L843" s="289"/>
      <c r="M843" s="289"/>
      <c r="N843" s="289"/>
      <c r="O843" s="289"/>
      <c r="P843" s="289"/>
    </row>
    <row r="844">
      <c r="B844" s="303"/>
      <c r="F844" s="303"/>
      <c r="H844" s="289"/>
      <c r="I844" s="290"/>
      <c r="J844" s="289"/>
      <c r="K844" s="289"/>
      <c r="L844" s="289"/>
      <c r="M844" s="289"/>
      <c r="N844" s="289"/>
      <c r="O844" s="289"/>
      <c r="P844" s="289"/>
    </row>
    <row r="845">
      <c r="B845" s="303"/>
      <c r="F845" s="303"/>
      <c r="H845" s="289"/>
      <c r="I845" s="290"/>
      <c r="J845" s="289"/>
      <c r="K845" s="289"/>
      <c r="L845" s="289"/>
      <c r="M845" s="289"/>
      <c r="N845" s="289"/>
      <c r="O845" s="289"/>
      <c r="P845" s="289"/>
    </row>
    <row r="846">
      <c r="B846" s="303"/>
      <c r="F846" s="303"/>
      <c r="H846" s="289"/>
      <c r="I846" s="290"/>
      <c r="J846" s="289"/>
      <c r="K846" s="289"/>
      <c r="L846" s="289"/>
      <c r="M846" s="289"/>
      <c r="N846" s="289"/>
      <c r="O846" s="289"/>
      <c r="P846" s="289"/>
    </row>
    <row r="847">
      <c r="B847" s="303"/>
      <c r="F847" s="303"/>
      <c r="H847" s="289"/>
      <c r="I847" s="290"/>
      <c r="J847" s="289"/>
      <c r="K847" s="289"/>
      <c r="L847" s="289"/>
      <c r="M847" s="289"/>
      <c r="N847" s="289"/>
      <c r="O847" s="289"/>
      <c r="P847" s="289"/>
    </row>
    <row r="848">
      <c r="B848" s="303"/>
      <c r="F848" s="303"/>
      <c r="H848" s="289"/>
      <c r="I848" s="290"/>
      <c r="J848" s="289"/>
      <c r="K848" s="289"/>
      <c r="L848" s="289"/>
      <c r="M848" s="289"/>
      <c r="N848" s="289"/>
      <c r="O848" s="289"/>
      <c r="P848" s="289"/>
    </row>
    <row r="849">
      <c r="B849" s="303"/>
      <c r="F849" s="303"/>
      <c r="H849" s="289"/>
      <c r="I849" s="290"/>
      <c r="J849" s="289"/>
      <c r="K849" s="289"/>
      <c r="L849" s="289"/>
      <c r="M849" s="289"/>
      <c r="N849" s="289"/>
      <c r="O849" s="289"/>
      <c r="P849" s="289"/>
    </row>
    <row r="850">
      <c r="B850" s="303"/>
      <c r="F850" s="303"/>
      <c r="H850" s="289"/>
      <c r="I850" s="290"/>
      <c r="J850" s="289"/>
      <c r="K850" s="289"/>
      <c r="L850" s="289"/>
      <c r="M850" s="289"/>
      <c r="N850" s="289"/>
      <c r="O850" s="289"/>
      <c r="P850" s="289"/>
    </row>
    <row r="851">
      <c r="B851" s="303"/>
      <c r="F851" s="303"/>
      <c r="H851" s="289"/>
      <c r="I851" s="290"/>
      <c r="J851" s="289"/>
      <c r="K851" s="289"/>
      <c r="L851" s="289"/>
      <c r="M851" s="289"/>
      <c r="N851" s="289"/>
      <c r="O851" s="289"/>
      <c r="P851" s="289"/>
    </row>
    <row r="852">
      <c r="B852" s="303"/>
      <c r="F852" s="303"/>
      <c r="H852" s="289"/>
      <c r="I852" s="290"/>
      <c r="J852" s="289"/>
      <c r="K852" s="289"/>
      <c r="L852" s="289"/>
      <c r="M852" s="289"/>
      <c r="N852" s="289"/>
      <c r="O852" s="289"/>
      <c r="P852" s="289"/>
    </row>
    <row r="853">
      <c r="B853" s="303"/>
      <c r="F853" s="303"/>
      <c r="H853" s="289"/>
      <c r="I853" s="290"/>
      <c r="J853" s="289"/>
      <c r="K853" s="289"/>
      <c r="L853" s="289"/>
      <c r="M853" s="289"/>
      <c r="N853" s="289"/>
      <c r="O853" s="289"/>
      <c r="P853" s="289"/>
    </row>
    <row r="854">
      <c r="B854" s="303"/>
      <c r="F854" s="303"/>
      <c r="H854" s="289"/>
      <c r="I854" s="290"/>
      <c r="J854" s="289"/>
      <c r="K854" s="289"/>
      <c r="L854" s="289"/>
      <c r="M854" s="289"/>
      <c r="N854" s="289"/>
      <c r="O854" s="289"/>
      <c r="P854" s="289"/>
    </row>
    <row r="855">
      <c r="B855" s="303"/>
      <c r="F855" s="303"/>
      <c r="H855" s="289"/>
      <c r="I855" s="290"/>
      <c r="J855" s="289"/>
      <c r="K855" s="289"/>
      <c r="L855" s="289"/>
      <c r="M855" s="289"/>
      <c r="N855" s="289"/>
      <c r="O855" s="289"/>
      <c r="P855" s="289"/>
    </row>
    <row r="856">
      <c r="B856" s="303"/>
      <c r="F856" s="303"/>
      <c r="H856" s="289"/>
      <c r="I856" s="290"/>
      <c r="J856" s="289"/>
      <c r="K856" s="289"/>
      <c r="L856" s="289"/>
      <c r="M856" s="289"/>
      <c r="N856" s="289"/>
      <c r="O856" s="289"/>
      <c r="P856" s="289"/>
    </row>
    <row r="857">
      <c r="B857" s="303"/>
      <c r="F857" s="303"/>
      <c r="H857" s="289"/>
      <c r="I857" s="290"/>
      <c r="J857" s="289"/>
      <c r="K857" s="289"/>
      <c r="L857" s="289"/>
      <c r="M857" s="289"/>
      <c r="N857" s="289"/>
      <c r="O857" s="289"/>
      <c r="P857" s="289"/>
    </row>
    <row r="858">
      <c r="B858" s="303"/>
      <c r="F858" s="303"/>
      <c r="H858" s="289"/>
      <c r="I858" s="290"/>
      <c r="J858" s="289"/>
      <c r="K858" s="289"/>
      <c r="L858" s="289"/>
      <c r="M858" s="289"/>
      <c r="N858" s="289"/>
      <c r="O858" s="289"/>
      <c r="P858" s="289"/>
    </row>
    <row r="859">
      <c r="B859" s="303"/>
      <c r="F859" s="303"/>
      <c r="H859" s="289"/>
      <c r="I859" s="290"/>
      <c r="J859" s="289"/>
      <c r="K859" s="289"/>
      <c r="L859" s="289"/>
      <c r="M859" s="289"/>
      <c r="N859" s="289"/>
      <c r="O859" s="289"/>
      <c r="P859" s="289"/>
    </row>
    <row r="860">
      <c r="B860" s="303"/>
      <c r="F860" s="303"/>
      <c r="H860" s="289"/>
      <c r="I860" s="290"/>
      <c r="J860" s="289"/>
      <c r="K860" s="289"/>
      <c r="L860" s="289"/>
      <c r="M860" s="289"/>
      <c r="N860" s="289"/>
      <c r="O860" s="289"/>
      <c r="P860" s="289"/>
    </row>
    <row r="861">
      <c r="B861" s="303"/>
      <c r="F861" s="303"/>
      <c r="H861" s="289"/>
      <c r="I861" s="290"/>
      <c r="J861" s="289"/>
      <c r="K861" s="289"/>
      <c r="L861" s="289"/>
      <c r="M861" s="289"/>
      <c r="N861" s="289"/>
      <c r="O861" s="289"/>
      <c r="P861" s="289"/>
    </row>
    <row r="862">
      <c r="B862" s="303"/>
      <c r="F862" s="303"/>
      <c r="H862" s="289"/>
      <c r="I862" s="290"/>
      <c r="J862" s="289"/>
      <c r="K862" s="289"/>
      <c r="L862" s="289"/>
      <c r="M862" s="289"/>
      <c r="N862" s="289"/>
      <c r="O862" s="289"/>
      <c r="P862" s="289"/>
    </row>
    <row r="863">
      <c r="B863" s="303"/>
      <c r="F863" s="303"/>
      <c r="H863" s="289"/>
      <c r="I863" s="290"/>
      <c r="J863" s="289"/>
      <c r="K863" s="289"/>
      <c r="L863" s="289"/>
      <c r="M863" s="289"/>
      <c r="N863" s="289"/>
      <c r="O863" s="289"/>
      <c r="P863" s="289"/>
    </row>
    <row r="864">
      <c r="B864" s="303"/>
      <c r="F864" s="303"/>
      <c r="H864" s="289"/>
      <c r="I864" s="290"/>
      <c r="J864" s="289"/>
      <c r="K864" s="289"/>
      <c r="L864" s="289"/>
      <c r="M864" s="289"/>
      <c r="N864" s="289"/>
      <c r="O864" s="289"/>
      <c r="P864" s="289"/>
    </row>
    <row r="865">
      <c r="B865" s="303"/>
      <c r="F865" s="303"/>
      <c r="H865" s="289"/>
      <c r="I865" s="290"/>
      <c r="J865" s="289"/>
      <c r="K865" s="289"/>
      <c r="L865" s="289"/>
      <c r="M865" s="289"/>
      <c r="N865" s="289"/>
      <c r="O865" s="289"/>
      <c r="P865" s="289"/>
    </row>
    <row r="866">
      <c r="B866" s="303"/>
      <c r="F866" s="303"/>
      <c r="H866" s="289"/>
      <c r="I866" s="290"/>
      <c r="J866" s="289"/>
      <c r="K866" s="289"/>
      <c r="L866" s="289"/>
      <c r="M866" s="289"/>
      <c r="N866" s="289"/>
      <c r="O866" s="289"/>
      <c r="P866" s="289"/>
    </row>
    <row r="867">
      <c r="B867" s="303"/>
      <c r="F867" s="303"/>
      <c r="H867" s="289"/>
      <c r="I867" s="290"/>
      <c r="J867" s="289"/>
      <c r="K867" s="289"/>
      <c r="L867" s="289"/>
      <c r="M867" s="289"/>
      <c r="N867" s="289"/>
      <c r="O867" s="289"/>
      <c r="P867" s="289"/>
    </row>
    <row r="868">
      <c r="B868" s="303"/>
      <c r="F868" s="303"/>
      <c r="H868" s="289"/>
      <c r="I868" s="290"/>
      <c r="J868" s="289"/>
      <c r="K868" s="289"/>
      <c r="L868" s="289"/>
      <c r="M868" s="289"/>
      <c r="N868" s="289"/>
      <c r="O868" s="289"/>
      <c r="P868" s="289"/>
    </row>
    <row r="869">
      <c r="B869" s="303"/>
      <c r="F869" s="303"/>
      <c r="H869" s="289"/>
      <c r="I869" s="290"/>
      <c r="J869" s="289"/>
      <c r="K869" s="289"/>
      <c r="L869" s="289"/>
      <c r="M869" s="289"/>
      <c r="N869" s="289"/>
      <c r="O869" s="289"/>
      <c r="P869" s="289"/>
    </row>
    <row r="870">
      <c r="B870" s="303"/>
      <c r="F870" s="303"/>
      <c r="H870" s="289"/>
      <c r="I870" s="290"/>
      <c r="J870" s="289"/>
      <c r="K870" s="289"/>
      <c r="L870" s="289"/>
      <c r="M870" s="289"/>
      <c r="N870" s="289"/>
      <c r="O870" s="289"/>
      <c r="P870" s="289"/>
    </row>
    <row r="871">
      <c r="B871" s="303"/>
      <c r="F871" s="303"/>
      <c r="H871" s="289"/>
      <c r="I871" s="290"/>
      <c r="J871" s="289"/>
      <c r="K871" s="289"/>
      <c r="L871" s="289"/>
      <c r="M871" s="289"/>
      <c r="N871" s="289"/>
      <c r="O871" s="289"/>
      <c r="P871" s="289"/>
    </row>
    <row r="872">
      <c r="B872" s="303"/>
      <c r="F872" s="303"/>
      <c r="H872" s="289"/>
      <c r="I872" s="290"/>
      <c r="J872" s="289"/>
      <c r="K872" s="289"/>
      <c r="L872" s="289"/>
      <c r="M872" s="289"/>
      <c r="N872" s="289"/>
      <c r="O872" s="289"/>
      <c r="P872" s="289"/>
    </row>
    <row r="873">
      <c r="B873" s="303"/>
      <c r="F873" s="303"/>
      <c r="H873" s="289"/>
      <c r="I873" s="290"/>
      <c r="J873" s="289"/>
      <c r="K873" s="289"/>
      <c r="L873" s="289"/>
      <c r="M873" s="289"/>
      <c r="N873" s="289"/>
      <c r="O873" s="289"/>
      <c r="P873" s="289"/>
    </row>
    <row r="874">
      <c r="B874" s="303"/>
      <c r="F874" s="303"/>
      <c r="H874" s="289"/>
      <c r="I874" s="290"/>
      <c r="J874" s="289"/>
      <c r="K874" s="289"/>
      <c r="L874" s="289"/>
      <c r="M874" s="289"/>
      <c r="N874" s="289"/>
      <c r="O874" s="289"/>
      <c r="P874" s="289"/>
    </row>
    <row r="875">
      <c r="B875" s="303"/>
      <c r="F875" s="303"/>
      <c r="H875" s="289"/>
      <c r="I875" s="290"/>
      <c r="J875" s="289"/>
      <c r="K875" s="289"/>
      <c r="L875" s="289"/>
      <c r="M875" s="289"/>
      <c r="N875" s="289"/>
      <c r="O875" s="289"/>
      <c r="P875" s="289"/>
    </row>
    <row r="876">
      <c r="B876" s="303"/>
      <c r="F876" s="303"/>
      <c r="H876" s="289"/>
      <c r="I876" s="290"/>
      <c r="J876" s="289"/>
      <c r="K876" s="289"/>
      <c r="L876" s="289"/>
      <c r="M876" s="289"/>
      <c r="N876" s="289"/>
      <c r="O876" s="289"/>
      <c r="P876" s="289"/>
    </row>
    <row r="877">
      <c r="B877" s="303"/>
      <c r="F877" s="303"/>
      <c r="H877" s="289"/>
      <c r="I877" s="290"/>
      <c r="J877" s="289"/>
      <c r="K877" s="289"/>
      <c r="L877" s="289"/>
      <c r="M877" s="289"/>
      <c r="N877" s="289"/>
      <c r="O877" s="289"/>
      <c r="P877" s="289"/>
    </row>
    <row r="878">
      <c r="B878" s="303"/>
      <c r="F878" s="303"/>
      <c r="H878" s="289"/>
      <c r="I878" s="290"/>
      <c r="J878" s="289"/>
      <c r="K878" s="289"/>
      <c r="L878" s="289"/>
      <c r="M878" s="289"/>
      <c r="N878" s="289"/>
      <c r="O878" s="289"/>
      <c r="P878" s="289"/>
    </row>
    <row r="879">
      <c r="B879" s="303"/>
      <c r="F879" s="303"/>
      <c r="H879" s="289"/>
      <c r="I879" s="290"/>
      <c r="J879" s="289"/>
      <c r="K879" s="289"/>
      <c r="L879" s="289"/>
      <c r="M879" s="289"/>
      <c r="N879" s="289"/>
      <c r="O879" s="289"/>
      <c r="P879" s="289"/>
    </row>
    <row r="880">
      <c r="B880" s="303"/>
      <c r="F880" s="303"/>
      <c r="H880" s="289"/>
      <c r="I880" s="290"/>
      <c r="J880" s="289"/>
      <c r="K880" s="289"/>
      <c r="L880" s="289"/>
      <c r="M880" s="289"/>
      <c r="N880" s="289"/>
      <c r="O880" s="289"/>
      <c r="P880" s="289"/>
    </row>
    <row r="881">
      <c r="B881" s="303"/>
      <c r="F881" s="303"/>
      <c r="H881" s="289"/>
      <c r="I881" s="290"/>
      <c r="J881" s="289"/>
      <c r="K881" s="289"/>
      <c r="L881" s="289"/>
      <c r="M881" s="289"/>
      <c r="N881" s="289"/>
      <c r="O881" s="289"/>
      <c r="P881" s="289"/>
    </row>
    <row r="882">
      <c r="B882" s="303"/>
      <c r="F882" s="303"/>
      <c r="H882" s="289"/>
      <c r="I882" s="290"/>
      <c r="J882" s="289"/>
      <c r="K882" s="289"/>
      <c r="L882" s="289"/>
      <c r="M882" s="289"/>
      <c r="N882" s="289"/>
      <c r="O882" s="289"/>
      <c r="P882" s="289"/>
    </row>
    <row r="883">
      <c r="B883" s="303"/>
      <c r="F883" s="303"/>
      <c r="H883" s="289"/>
      <c r="I883" s="290"/>
      <c r="J883" s="289"/>
      <c r="K883" s="289"/>
      <c r="L883" s="289"/>
      <c r="M883" s="289"/>
      <c r="N883" s="289"/>
      <c r="O883" s="289"/>
      <c r="P883" s="289"/>
    </row>
    <row r="884">
      <c r="B884" s="303"/>
      <c r="F884" s="303"/>
      <c r="H884" s="289"/>
      <c r="I884" s="290"/>
      <c r="J884" s="289"/>
      <c r="K884" s="289"/>
      <c r="L884" s="289"/>
      <c r="M884" s="289"/>
      <c r="N884" s="289"/>
      <c r="O884" s="289"/>
      <c r="P884" s="289"/>
    </row>
    <row r="885">
      <c r="B885" s="303"/>
      <c r="F885" s="303"/>
      <c r="H885" s="289"/>
      <c r="I885" s="290"/>
      <c r="J885" s="289"/>
      <c r="K885" s="289"/>
      <c r="L885" s="289"/>
      <c r="M885" s="289"/>
      <c r="N885" s="289"/>
      <c r="O885" s="289"/>
      <c r="P885" s="289"/>
    </row>
    <row r="886">
      <c r="B886" s="303"/>
      <c r="F886" s="303"/>
      <c r="H886" s="289"/>
      <c r="I886" s="290"/>
      <c r="J886" s="289"/>
      <c r="K886" s="289"/>
      <c r="L886" s="289"/>
      <c r="M886" s="289"/>
      <c r="N886" s="289"/>
      <c r="O886" s="289"/>
      <c r="P886" s="289"/>
    </row>
    <row r="887">
      <c r="B887" s="303"/>
      <c r="F887" s="303"/>
      <c r="H887" s="289"/>
      <c r="I887" s="290"/>
      <c r="J887" s="289"/>
      <c r="K887" s="289"/>
      <c r="L887" s="289"/>
      <c r="M887" s="289"/>
      <c r="N887" s="289"/>
      <c r="O887" s="289"/>
      <c r="P887" s="289"/>
    </row>
    <row r="888">
      <c r="B888" s="303"/>
      <c r="F888" s="303"/>
      <c r="H888" s="289"/>
      <c r="I888" s="290"/>
      <c r="J888" s="289"/>
      <c r="K888" s="289"/>
      <c r="L888" s="289"/>
      <c r="M888" s="289"/>
      <c r="N888" s="289"/>
      <c r="O888" s="289"/>
      <c r="P888" s="289"/>
    </row>
    <row r="889">
      <c r="B889" s="303"/>
      <c r="F889" s="303"/>
      <c r="H889" s="289"/>
      <c r="I889" s="290"/>
      <c r="J889" s="289"/>
      <c r="K889" s="289"/>
      <c r="L889" s="289"/>
      <c r="M889" s="289"/>
      <c r="N889" s="289"/>
      <c r="O889" s="289"/>
      <c r="P889" s="289"/>
    </row>
    <row r="890">
      <c r="B890" s="303"/>
      <c r="F890" s="303"/>
      <c r="H890" s="289"/>
      <c r="I890" s="290"/>
      <c r="J890" s="289"/>
      <c r="K890" s="289"/>
      <c r="L890" s="289"/>
      <c r="M890" s="289"/>
      <c r="N890" s="289"/>
      <c r="O890" s="289"/>
      <c r="P890" s="289"/>
    </row>
    <row r="891">
      <c r="B891" s="303"/>
      <c r="F891" s="303"/>
      <c r="H891" s="289"/>
      <c r="I891" s="290"/>
      <c r="J891" s="289"/>
      <c r="K891" s="289"/>
      <c r="L891" s="289"/>
      <c r="M891" s="289"/>
      <c r="N891" s="289"/>
      <c r="O891" s="289"/>
      <c r="P891" s="289"/>
    </row>
    <row r="892">
      <c r="B892" s="303"/>
      <c r="F892" s="303"/>
      <c r="H892" s="289"/>
      <c r="I892" s="290"/>
      <c r="J892" s="289"/>
      <c r="K892" s="289"/>
      <c r="L892" s="289"/>
      <c r="M892" s="289"/>
      <c r="N892" s="289"/>
      <c r="O892" s="289"/>
      <c r="P892" s="289"/>
    </row>
    <row r="893">
      <c r="B893" s="303"/>
      <c r="F893" s="303"/>
      <c r="H893" s="289"/>
      <c r="I893" s="290"/>
      <c r="J893" s="289"/>
      <c r="K893" s="289"/>
      <c r="L893" s="289"/>
      <c r="M893" s="289"/>
      <c r="N893" s="289"/>
      <c r="O893" s="289"/>
      <c r="P893" s="289"/>
    </row>
    <row r="894">
      <c r="B894" s="303"/>
      <c r="F894" s="303"/>
      <c r="H894" s="289"/>
      <c r="I894" s="290"/>
      <c r="J894" s="289"/>
      <c r="K894" s="289"/>
      <c r="L894" s="289"/>
      <c r="M894" s="289"/>
      <c r="N894" s="289"/>
      <c r="O894" s="289"/>
      <c r="P894" s="289"/>
    </row>
    <row r="895">
      <c r="B895" s="303"/>
      <c r="F895" s="303"/>
      <c r="H895" s="289"/>
      <c r="I895" s="290"/>
      <c r="J895" s="289"/>
      <c r="K895" s="289"/>
      <c r="L895" s="289"/>
      <c r="M895" s="289"/>
      <c r="N895" s="289"/>
      <c r="O895" s="289"/>
      <c r="P895" s="289"/>
    </row>
    <row r="896">
      <c r="B896" s="303"/>
      <c r="F896" s="303"/>
      <c r="H896" s="289"/>
      <c r="I896" s="290"/>
      <c r="J896" s="289"/>
      <c r="K896" s="289"/>
      <c r="L896" s="289"/>
      <c r="M896" s="289"/>
      <c r="N896" s="289"/>
      <c r="O896" s="289"/>
      <c r="P896" s="289"/>
    </row>
    <row r="897">
      <c r="B897" s="303"/>
      <c r="F897" s="303"/>
      <c r="H897" s="289"/>
      <c r="I897" s="290"/>
      <c r="J897" s="289"/>
      <c r="K897" s="289"/>
      <c r="L897" s="289"/>
      <c r="M897" s="289"/>
      <c r="N897" s="289"/>
      <c r="O897" s="289"/>
      <c r="P897" s="289"/>
    </row>
    <row r="898">
      <c r="B898" s="303"/>
      <c r="F898" s="303"/>
      <c r="H898" s="289"/>
      <c r="I898" s="290"/>
      <c r="J898" s="289"/>
      <c r="K898" s="289"/>
      <c r="L898" s="289"/>
      <c r="M898" s="289"/>
      <c r="N898" s="289"/>
      <c r="O898" s="289"/>
      <c r="P898" s="289"/>
    </row>
    <row r="899">
      <c r="B899" s="303"/>
      <c r="F899" s="303"/>
      <c r="H899" s="289"/>
      <c r="I899" s="290"/>
      <c r="J899" s="289"/>
      <c r="K899" s="289"/>
      <c r="L899" s="289"/>
      <c r="M899" s="289"/>
      <c r="N899" s="289"/>
      <c r="O899" s="289"/>
      <c r="P899" s="289"/>
    </row>
    <row r="900">
      <c r="B900" s="303"/>
      <c r="F900" s="303"/>
      <c r="H900" s="289"/>
      <c r="I900" s="290"/>
      <c r="J900" s="289"/>
      <c r="K900" s="289"/>
      <c r="L900" s="289"/>
      <c r="M900" s="289"/>
      <c r="N900" s="289"/>
      <c r="O900" s="289"/>
      <c r="P900" s="289"/>
    </row>
    <row r="901">
      <c r="B901" s="303"/>
      <c r="F901" s="303"/>
      <c r="H901" s="289"/>
      <c r="I901" s="290"/>
      <c r="J901" s="289"/>
      <c r="K901" s="289"/>
      <c r="L901" s="289"/>
      <c r="M901" s="289"/>
      <c r="N901" s="289"/>
      <c r="O901" s="289"/>
      <c r="P901" s="289"/>
    </row>
    <row r="902">
      <c r="B902" s="303"/>
      <c r="F902" s="303"/>
      <c r="H902" s="289"/>
      <c r="I902" s="290"/>
      <c r="J902" s="289"/>
      <c r="K902" s="289"/>
      <c r="L902" s="289"/>
      <c r="M902" s="289"/>
      <c r="N902" s="289"/>
      <c r="O902" s="289"/>
      <c r="P902" s="289"/>
    </row>
    <row r="903">
      <c r="B903" s="303"/>
      <c r="F903" s="303"/>
      <c r="H903" s="289"/>
      <c r="I903" s="290"/>
      <c r="J903" s="289"/>
      <c r="K903" s="289"/>
      <c r="L903" s="289"/>
      <c r="M903" s="289"/>
      <c r="N903" s="289"/>
      <c r="O903" s="289"/>
      <c r="P903" s="289"/>
    </row>
    <row r="904">
      <c r="B904" s="303"/>
      <c r="F904" s="303"/>
      <c r="H904" s="289"/>
      <c r="I904" s="290"/>
      <c r="J904" s="289"/>
      <c r="K904" s="289"/>
      <c r="L904" s="289"/>
      <c r="M904" s="289"/>
      <c r="N904" s="289"/>
      <c r="O904" s="289"/>
      <c r="P904" s="289"/>
    </row>
    <row r="905">
      <c r="B905" s="303"/>
      <c r="F905" s="303"/>
      <c r="H905" s="289"/>
      <c r="I905" s="290"/>
      <c r="J905" s="289"/>
      <c r="K905" s="289"/>
      <c r="L905" s="289"/>
      <c r="M905" s="289"/>
      <c r="N905" s="289"/>
      <c r="O905" s="289"/>
      <c r="P905" s="289"/>
    </row>
    <row r="906">
      <c r="B906" s="303"/>
      <c r="F906" s="303"/>
      <c r="H906" s="289"/>
      <c r="I906" s="290"/>
      <c r="J906" s="289"/>
      <c r="K906" s="289"/>
      <c r="L906" s="289"/>
      <c r="M906" s="289"/>
      <c r="N906" s="289"/>
      <c r="O906" s="289"/>
      <c r="P906" s="289"/>
    </row>
    <row r="907">
      <c r="B907" s="303"/>
      <c r="F907" s="303"/>
      <c r="H907" s="289"/>
      <c r="I907" s="290"/>
      <c r="J907" s="289"/>
      <c r="K907" s="289"/>
      <c r="L907" s="289"/>
      <c r="M907" s="289"/>
      <c r="N907" s="289"/>
      <c r="O907" s="289"/>
      <c r="P907" s="289"/>
    </row>
    <row r="908">
      <c r="B908" s="303"/>
      <c r="F908" s="303"/>
      <c r="H908" s="289"/>
      <c r="I908" s="290"/>
      <c r="J908" s="289"/>
      <c r="K908" s="289"/>
      <c r="L908" s="289"/>
      <c r="M908" s="289"/>
      <c r="N908" s="289"/>
      <c r="O908" s="289"/>
      <c r="P908" s="289"/>
    </row>
    <row r="909">
      <c r="B909" s="303"/>
      <c r="F909" s="303"/>
      <c r="H909" s="289"/>
      <c r="I909" s="290"/>
      <c r="J909" s="289"/>
      <c r="K909" s="289"/>
      <c r="L909" s="289"/>
      <c r="M909" s="289"/>
      <c r="N909" s="289"/>
      <c r="O909" s="289"/>
      <c r="P909" s="289"/>
    </row>
    <row r="910">
      <c r="B910" s="303"/>
      <c r="F910" s="303"/>
      <c r="H910" s="289"/>
      <c r="I910" s="290"/>
      <c r="J910" s="289"/>
      <c r="K910" s="289"/>
      <c r="L910" s="289"/>
      <c r="M910" s="289"/>
      <c r="N910" s="289"/>
      <c r="O910" s="289"/>
      <c r="P910" s="289"/>
    </row>
    <row r="911">
      <c r="B911" s="303"/>
      <c r="F911" s="303"/>
      <c r="H911" s="289"/>
      <c r="I911" s="290"/>
      <c r="J911" s="289"/>
      <c r="K911" s="289"/>
      <c r="L911" s="289"/>
      <c r="M911" s="289"/>
      <c r="N911" s="289"/>
      <c r="O911" s="289"/>
      <c r="P911" s="289"/>
    </row>
    <row r="912">
      <c r="B912" s="303"/>
      <c r="F912" s="303"/>
      <c r="H912" s="289"/>
      <c r="I912" s="290"/>
      <c r="J912" s="289"/>
      <c r="K912" s="289"/>
      <c r="L912" s="289"/>
      <c r="M912" s="289"/>
      <c r="N912" s="289"/>
      <c r="O912" s="289"/>
      <c r="P912" s="289"/>
    </row>
    <row r="913">
      <c r="B913" s="303"/>
      <c r="F913" s="303"/>
      <c r="H913" s="289"/>
      <c r="I913" s="290"/>
      <c r="J913" s="289"/>
      <c r="K913" s="289"/>
      <c r="L913" s="289"/>
      <c r="M913" s="289"/>
      <c r="N913" s="289"/>
      <c r="O913" s="289"/>
      <c r="P913" s="289"/>
    </row>
    <row r="914">
      <c r="B914" s="303"/>
      <c r="F914" s="303"/>
      <c r="H914" s="289"/>
      <c r="I914" s="290"/>
      <c r="J914" s="289"/>
      <c r="K914" s="289"/>
      <c r="L914" s="289"/>
      <c r="M914" s="289"/>
      <c r="N914" s="289"/>
      <c r="O914" s="289"/>
      <c r="P914" s="289"/>
    </row>
    <row r="915">
      <c r="B915" s="303"/>
      <c r="F915" s="303"/>
      <c r="H915" s="289"/>
      <c r="I915" s="290"/>
      <c r="J915" s="289"/>
      <c r="K915" s="289"/>
      <c r="L915" s="289"/>
      <c r="M915" s="289"/>
      <c r="N915" s="289"/>
      <c r="O915" s="289"/>
      <c r="P915" s="289"/>
    </row>
    <row r="916">
      <c r="B916" s="303"/>
      <c r="F916" s="303"/>
      <c r="H916" s="289"/>
      <c r="I916" s="290"/>
      <c r="J916" s="289"/>
      <c r="K916" s="289"/>
      <c r="L916" s="289"/>
      <c r="M916" s="289"/>
      <c r="N916" s="289"/>
      <c r="O916" s="289"/>
      <c r="P916" s="289"/>
    </row>
    <row r="917">
      <c r="B917" s="303"/>
      <c r="F917" s="303"/>
      <c r="H917" s="289"/>
      <c r="I917" s="290"/>
      <c r="J917" s="289"/>
      <c r="K917" s="289"/>
      <c r="L917" s="289"/>
      <c r="M917" s="289"/>
      <c r="N917" s="289"/>
      <c r="O917" s="289"/>
      <c r="P917" s="289"/>
    </row>
    <row r="918">
      <c r="B918" s="303"/>
      <c r="F918" s="303"/>
      <c r="H918" s="289"/>
      <c r="I918" s="290"/>
      <c r="J918" s="289"/>
      <c r="K918" s="289"/>
      <c r="L918" s="289"/>
      <c r="M918" s="289"/>
      <c r="N918" s="289"/>
      <c r="O918" s="289"/>
      <c r="P918" s="289"/>
    </row>
    <row r="919">
      <c r="B919" s="303"/>
      <c r="F919" s="303"/>
      <c r="H919" s="289"/>
      <c r="I919" s="290"/>
      <c r="J919" s="289"/>
      <c r="K919" s="289"/>
      <c r="L919" s="289"/>
      <c r="M919" s="289"/>
      <c r="N919" s="289"/>
      <c r="O919" s="289"/>
      <c r="P919" s="289"/>
    </row>
    <row r="920">
      <c r="B920" s="303"/>
      <c r="F920" s="303"/>
      <c r="H920" s="289"/>
      <c r="I920" s="290"/>
      <c r="J920" s="289"/>
      <c r="K920" s="289"/>
      <c r="L920" s="289"/>
      <c r="M920" s="289"/>
      <c r="N920" s="289"/>
      <c r="O920" s="289"/>
      <c r="P920" s="289"/>
    </row>
    <row r="921">
      <c r="B921" s="303"/>
      <c r="F921" s="303"/>
      <c r="H921" s="289"/>
      <c r="I921" s="290"/>
      <c r="J921" s="289"/>
      <c r="K921" s="289"/>
      <c r="L921" s="289"/>
      <c r="M921" s="289"/>
      <c r="N921" s="289"/>
      <c r="O921" s="289"/>
      <c r="P921" s="289"/>
    </row>
    <row r="922">
      <c r="B922" s="303"/>
      <c r="F922" s="303"/>
      <c r="H922" s="289"/>
      <c r="I922" s="290"/>
      <c r="J922" s="289"/>
      <c r="K922" s="289"/>
      <c r="L922" s="289"/>
      <c r="M922" s="289"/>
      <c r="N922" s="289"/>
      <c r="O922" s="289"/>
      <c r="P922" s="289"/>
    </row>
    <row r="923">
      <c r="B923" s="303"/>
      <c r="F923" s="303"/>
      <c r="H923" s="289"/>
      <c r="I923" s="290"/>
      <c r="J923" s="289"/>
      <c r="K923" s="289"/>
      <c r="L923" s="289"/>
      <c r="M923" s="289"/>
      <c r="N923" s="289"/>
      <c r="O923" s="289"/>
      <c r="P923" s="289"/>
    </row>
    <row r="924">
      <c r="B924" s="303"/>
      <c r="F924" s="303"/>
      <c r="H924" s="289"/>
      <c r="I924" s="290"/>
      <c r="J924" s="289"/>
      <c r="K924" s="289"/>
      <c r="L924" s="289"/>
      <c r="M924" s="289"/>
      <c r="N924" s="289"/>
      <c r="O924" s="289"/>
      <c r="P924" s="289"/>
    </row>
    <row r="925">
      <c r="B925" s="303"/>
      <c r="F925" s="303"/>
      <c r="H925" s="289"/>
      <c r="I925" s="290"/>
      <c r="J925" s="289"/>
      <c r="K925" s="289"/>
      <c r="L925" s="289"/>
      <c r="M925" s="289"/>
      <c r="N925" s="289"/>
      <c r="O925" s="289"/>
      <c r="P925" s="289"/>
    </row>
    <row r="926">
      <c r="B926" s="303"/>
      <c r="F926" s="303"/>
      <c r="H926" s="289"/>
      <c r="I926" s="290"/>
      <c r="J926" s="289"/>
      <c r="K926" s="289"/>
      <c r="L926" s="289"/>
      <c r="M926" s="289"/>
      <c r="N926" s="289"/>
      <c r="O926" s="289"/>
      <c r="P926" s="289"/>
    </row>
    <row r="927">
      <c r="B927" s="303"/>
      <c r="F927" s="303"/>
      <c r="H927" s="289"/>
      <c r="I927" s="290"/>
      <c r="J927" s="289"/>
      <c r="K927" s="289"/>
      <c r="L927" s="289"/>
      <c r="M927" s="289"/>
      <c r="N927" s="289"/>
      <c r="O927" s="289"/>
      <c r="P927" s="289"/>
    </row>
    <row r="928">
      <c r="B928" s="303"/>
      <c r="F928" s="303"/>
      <c r="H928" s="289"/>
      <c r="I928" s="290"/>
      <c r="J928" s="289"/>
      <c r="K928" s="289"/>
      <c r="L928" s="289"/>
      <c r="M928" s="289"/>
      <c r="N928" s="289"/>
      <c r="O928" s="289"/>
      <c r="P928" s="289"/>
    </row>
    <row r="929">
      <c r="B929" s="303"/>
      <c r="F929" s="303"/>
      <c r="H929" s="289"/>
      <c r="I929" s="290"/>
      <c r="J929" s="289"/>
      <c r="K929" s="289"/>
      <c r="L929" s="289"/>
      <c r="M929" s="289"/>
      <c r="N929" s="289"/>
      <c r="O929" s="289"/>
      <c r="P929" s="289"/>
    </row>
    <row r="930">
      <c r="B930" s="303"/>
      <c r="F930" s="303"/>
      <c r="H930" s="289"/>
      <c r="I930" s="290"/>
      <c r="J930" s="289"/>
      <c r="K930" s="289"/>
      <c r="L930" s="289"/>
      <c r="M930" s="289"/>
      <c r="N930" s="289"/>
      <c r="O930" s="289"/>
      <c r="P930" s="289"/>
    </row>
    <row r="931">
      <c r="B931" s="303"/>
      <c r="F931" s="303"/>
      <c r="H931" s="289"/>
      <c r="I931" s="290"/>
      <c r="J931" s="289"/>
      <c r="K931" s="289"/>
      <c r="L931" s="289"/>
      <c r="M931" s="289"/>
      <c r="N931" s="289"/>
      <c r="O931" s="289"/>
      <c r="P931" s="289"/>
    </row>
    <row r="932">
      <c r="B932" s="303"/>
      <c r="F932" s="303"/>
      <c r="H932" s="289"/>
      <c r="I932" s="290"/>
      <c r="J932" s="289"/>
      <c r="K932" s="289"/>
      <c r="L932" s="289"/>
      <c r="M932" s="289"/>
      <c r="N932" s="289"/>
      <c r="O932" s="289"/>
      <c r="P932" s="289"/>
    </row>
    <row r="933">
      <c r="B933" s="303"/>
      <c r="F933" s="303"/>
      <c r="H933" s="289"/>
      <c r="I933" s="290"/>
      <c r="J933" s="289"/>
      <c r="K933" s="289"/>
      <c r="L933" s="289"/>
      <c r="M933" s="289"/>
      <c r="N933" s="289"/>
      <c r="O933" s="289"/>
      <c r="P933" s="289"/>
    </row>
    <row r="934">
      <c r="B934" s="303"/>
      <c r="F934" s="303"/>
      <c r="H934" s="289"/>
      <c r="I934" s="290"/>
      <c r="J934" s="289"/>
      <c r="K934" s="289"/>
      <c r="L934" s="289"/>
      <c r="M934" s="289"/>
      <c r="N934" s="289"/>
      <c r="O934" s="289"/>
      <c r="P934" s="289"/>
    </row>
    <row r="935">
      <c r="B935" s="303"/>
      <c r="F935" s="303"/>
      <c r="H935" s="289"/>
      <c r="I935" s="290"/>
      <c r="J935" s="289"/>
      <c r="K935" s="289"/>
      <c r="L935" s="289"/>
      <c r="M935" s="289"/>
      <c r="N935" s="289"/>
      <c r="O935" s="289"/>
      <c r="P935" s="289"/>
    </row>
    <row r="936">
      <c r="B936" s="303"/>
      <c r="F936" s="303"/>
      <c r="H936" s="289"/>
      <c r="I936" s="290"/>
      <c r="J936" s="289"/>
      <c r="K936" s="289"/>
      <c r="L936" s="289"/>
      <c r="M936" s="289"/>
      <c r="N936" s="289"/>
      <c r="O936" s="289"/>
      <c r="P936" s="289"/>
    </row>
    <row r="937">
      <c r="B937" s="303"/>
      <c r="F937" s="303"/>
      <c r="H937" s="289"/>
      <c r="I937" s="290"/>
      <c r="J937" s="289"/>
      <c r="K937" s="289"/>
      <c r="L937" s="289"/>
      <c r="M937" s="289"/>
      <c r="N937" s="289"/>
      <c r="O937" s="289"/>
      <c r="P937" s="289"/>
    </row>
    <row r="938">
      <c r="B938" s="303"/>
      <c r="F938" s="303"/>
      <c r="H938" s="289"/>
      <c r="I938" s="290"/>
      <c r="J938" s="289"/>
      <c r="K938" s="289"/>
      <c r="L938" s="289"/>
      <c r="M938" s="289"/>
      <c r="N938" s="289"/>
      <c r="O938" s="289"/>
      <c r="P938" s="289"/>
    </row>
    <row r="939">
      <c r="B939" s="303"/>
      <c r="F939" s="303"/>
      <c r="H939" s="289"/>
      <c r="I939" s="290"/>
      <c r="J939" s="289"/>
      <c r="K939" s="289"/>
      <c r="L939" s="289"/>
      <c r="M939" s="289"/>
      <c r="N939" s="289"/>
      <c r="O939" s="289"/>
      <c r="P939" s="289"/>
    </row>
    <row r="940">
      <c r="B940" s="303"/>
      <c r="F940" s="303"/>
      <c r="H940" s="289"/>
      <c r="I940" s="290"/>
      <c r="J940" s="289"/>
      <c r="K940" s="289"/>
      <c r="L940" s="289"/>
      <c r="M940" s="289"/>
      <c r="N940" s="289"/>
      <c r="O940" s="289"/>
      <c r="P940" s="289"/>
    </row>
    <row r="941">
      <c r="B941" s="303"/>
      <c r="F941" s="303"/>
      <c r="H941" s="289"/>
      <c r="I941" s="290"/>
      <c r="J941" s="289"/>
      <c r="K941" s="289"/>
      <c r="L941" s="289"/>
      <c r="M941" s="289"/>
      <c r="N941" s="289"/>
      <c r="O941" s="289"/>
      <c r="P941" s="289"/>
    </row>
    <row r="942">
      <c r="B942" s="303"/>
      <c r="F942" s="303"/>
      <c r="H942" s="289"/>
      <c r="I942" s="290"/>
      <c r="J942" s="289"/>
      <c r="K942" s="289"/>
      <c r="L942" s="289"/>
      <c r="M942" s="289"/>
      <c r="N942" s="289"/>
      <c r="O942" s="289"/>
      <c r="P942" s="289"/>
    </row>
    <row r="943">
      <c r="B943" s="303"/>
      <c r="F943" s="303"/>
      <c r="H943" s="289"/>
      <c r="I943" s="290"/>
      <c r="J943" s="289"/>
      <c r="K943" s="289"/>
      <c r="L943" s="289"/>
      <c r="M943" s="289"/>
      <c r="N943" s="289"/>
      <c r="O943" s="289"/>
      <c r="P943" s="289"/>
    </row>
    <row r="944">
      <c r="B944" s="303"/>
      <c r="F944" s="303"/>
      <c r="H944" s="289"/>
      <c r="I944" s="290"/>
      <c r="J944" s="289"/>
      <c r="K944" s="289"/>
      <c r="L944" s="289"/>
      <c r="M944" s="289"/>
      <c r="N944" s="289"/>
      <c r="O944" s="289"/>
      <c r="P944" s="289"/>
    </row>
    <row r="945">
      <c r="B945" s="303"/>
      <c r="F945" s="303"/>
      <c r="H945" s="289"/>
      <c r="I945" s="290"/>
      <c r="J945" s="289"/>
      <c r="K945" s="289"/>
      <c r="L945" s="289"/>
      <c r="M945" s="289"/>
      <c r="N945" s="289"/>
      <c r="O945" s="289"/>
      <c r="P945" s="289"/>
    </row>
    <row r="946">
      <c r="B946" s="303"/>
      <c r="F946" s="303"/>
      <c r="H946" s="289"/>
      <c r="I946" s="290"/>
      <c r="J946" s="289"/>
      <c r="K946" s="289"/>
      <c r="L946" s="289"/>
      <c r="M946" s="289"/>
      <c r="N946" s="289"/>
      <c r="O946" s="289"/>
      <c r="P946" s="289"/>
    </row>
    <row r="947">
      <c r="B947" s="303"/>
      <c r="F947" s="303"/>
      <c r="H947" s="289"/>
      <c r="I947" s="290"/>
      <c r="J947" s="289"/>
      <c r="K947" s="289"/>
      <c r="L947" s="289"/>
      <c r="M947" s="289"/>
      <c r="N947" s="289"/>
      <c r="O947" s="289"/>
      <c r="P947" s="289"/>
    </row>
    <row r="948">
      <c r="B948" s="303"/>
      <c r="F948" s="303"/>
      <c r="H948" s="289"/>
      <c r="I948" s="290"/>
      <c r="J948" s="289"/>
      <c r="K948" s="289"/>
      <c r="L948" s="289"/>
      <c r="M948" s="289"/>
      <c r="N948" s="289"/>
      <c r="O948" s="289"/>
      <c r="P948" s="289"/>
    </row>
    <row r="949">
      <c r="B949" s="303"/>
      <c r="F949" s="303"/>
      <c r="H949" s="289"/>
      <c r="I949" s="290"/>
      <c r="J949" s="289"/>
      <c r="K949" s="289"/>
      <c r="L949" s="289"/>
      <c r="M949" s="289"/>
      <c r="N949" s="289"/>
      <c r="O949" s="289"/>
      <c r="P949" s="289"/>
    </row>
    <row r="950">
      <c r="B950" s="303"/>
      <c r="F950" s="303"/>
      <c r="H950" s="289"/>
      <c r="I950" s="290"/>
      <c r="J950" s="289"/>
      <c r="K950" s="289"/>
      <c r="L950" s="289"/>
      <c r="M950" s="289"/>
      <c r="N950" s="289"/>
      <c r="O950" s="289"/>
      <c r="P950" s="289"/>
    </row>
    <row r="951">
      <c r="B951" s="303"/>
      <c r="F951" s="303"/>
      <c r="H951" s="289"/>
      <c r="I951" s="290"/>
      <c r="J951" s="289"/>
      <c r="K951" s="289"/>
      <c r="L951" s="289"/>
      <c r="M951" s="289"/>
      <c r="N951" s="289"/>
      <c r="O951" s="289"/>
      <c r="P951" s="289"/>
    </row>
    <row r="952">
      <c r="B952" s="303"/>
      <c r="F952" s="303"/>
      <c r="H952" s="289"/>
      <c r="I952" s="290"/>
      <c r="J952" s="289"/>
      <c r="K952" s="289"/>
      <c r="L952" s="289"/>
      <c r="M952" s="289"/>
      <c r="N952" s="289"/>
      <c r="O952" s="289"/>
      <c r="P952" s="289"/>
    </row>
    <row r="953">
      <c r="B953" s="303"/>
      <c r="F953" s="303"/>
      <c r="H953" s="289"/>
      <c r="I953" s="290"/>
      <c r="J953" s="289"/>
      <c r="K953" s="289"/>
      <c r="L953" s="289"/>
      <c r="M953" s="289"/>
      <c r="N953" s="289"/>
      <c r="O953" s="289"/>
      <c r="P953" s="289"/>
    </row>
    <row r="954">
      <c r="B954" s="303"/>
      <c r="F954" s="303"/>
      <c r="H954" s="289"/>
      <c r="I954" s="290"/>
      <c r="J954" s="289"/>
      <c r="K954" s="289"/>
      <c r="L954" s="289"/>
      <c r="M954" s="289"/>
      <c r="N954" s="289"/>
      <c r="O954" s="289"/>
      <c r="P954" s="289"/>
    </row>
    <row r="955">
      <c r="B955" s="303"/>
      <c r="F955" s="303"/>
      <c r="H955" s="289"/>
      <c r="I955" s="290"/>
      <c r="J955" s="289"/>
      <c r="K955" s="289"/>
      <c r="L955" s="289"/>
      <c r="M955" s="289"/>
      <c r="N955" s="289"/>
      <c r="O955" s="289"/>
      <c r="P955" s="289"/>
    </row>
    <row r="956">
      <c r="B956" s="303"/>
      <c r="F956" s="303"/>
      <c r="H956" s="289"/>
      <c r="I956" s="290"/>
      <c r="J956" s="289"/>
      <c r="K956" s="289"/>
      <c r="L956" s="289"/>
      <c r="M956" s="289"/>
      <c r="N956" s="289"/>
      <c r="O956" s="289"/>
      <c r="P956" s="289"/>
    </row>
    <row r="957">
      <c r="B957" s="303"/>
      <c r="F957" s="303"/>
      <c r="H957" s="289"/>
      <c r="I957" s="290"/>
      <c r="J957" s="289"/>
      <c r="K957" s="289"/>
      <c r="L957" s="289"/>
      <c r="M957" s="289"/>
      <c r="N957" s="289"/>
      <c r="O957" s="289"/>
      <c r="P957" s="289"/>
    </row>
    <row r="958">
      <c r="B958" s="303"/>
      <c r="F958" s="303"/>
      <c r="H958" s="289"/>
      <c r="I958" s="290"/>
      <c r="J958" s="289"/>
      <c r="K958" s="289"/>
      <c r="L958" s="289"/>
      <c r="M958" s="289"/>
      <c r="N958" s="289"/>
      <c r="O958" s="289"/>
      <c r="P958" s="289"/>
    </row>
    <row r="959">
      <c r="B959" s="303"/>
      <c r="F959" s="303"/>
      <c r="H959" s="289"/>
      <c r="I959" s="290"/>
      <c r="J959" s="289"/>
      <c r="K959" s="289"/>
      <c r="L959" s="289"/>
      <c r="M959" s="289"/>
      <c r="N959" s="289"/>
      <c r="O959" s="289"/>
      <c r="P959" s="289"/>
    </row>
    <row r="960">
      <c r="B960" s="303"/>
      <c r="F960" s="303"/>
      <c r="H960" s="289"/>
      <c r="I960" s="290"/>
      <c r="J960" s="289"/>
      <c r="K960" s="289"/>
      <c r="L960" s="289"/>
      <c r="M960" s="289"/>
      <c r="N960" s="289"/>
      <c r="O960" s="289"/>
      <c r="P960" s="289"/>
    </row>
    <row r="961">
      <c r="B961" s="303"/>
      <c r="F961" s="303"/>
      <c r="H961" s="289"/>
      <c r="I961" s="290"/>
      <c r="J961" s="289"/>
      <c r="K961" s="289"/>
      <c r="L961" s="289"/>
      <c r="M961" s="289"/>
      <c r="N961" s="289"/>
      <c r="O961" s="289"/>
      <c r="P961" s="289"/>
    </row>
    <row r="962">
      <c r="B962" s="303"/>
      <c r="F962" s="303"/>
      <c r="H962" s="289"/>
      <c r="I962" s="290"/>
      <c r="J962" s="289"/>
      <c r="K962" s="289"/>
      <c r="L962" s="289"/>
      <c r="M962" s="289"/>
      <c r="N962" s="289"/>
      <c r="O962" s="289"/>
      <c r="P962" s="289"/>
    </row>
    <row r="963">
      <c r="B963" s="303"/>
      <c r="F963" s="303"/>
      <c r="H963" s="289"/>
      <c r="I963" s="290"/>
      <c r="J963" s="289"/>
      <c r="K963" s="289"/>
      <c r="L963" s="289"/>
      <c r="M963" s="289"/>
      <c r="N963" s="289"/>
      <c r="O963" s="289"/>
      <c r="P963" s="289"/>
    </row>
    <row r="964">
      <c r="B964" s="303"/>
      <c r="F964" s="303"/>
      <c r="H964" s="289"/>
      <c r="I964" s="290"/>
      <c r="J964" s="289"/>
      <c r="K964" s="289"/>
      <c r="L964" s="289"/>
      <c r="M964" s="289"/>
      <c r="N964" s="289"/>
      <c r="O964" s="289"/>
      <c r="P964" s="289"/>
    </row>
    <row r="965">
      <c r="B965" s="303"/>
      <c r="F965" s="303"/>
      <c r="H965" s="289"/>
      <c r="I965" s="290"/>
      <c r="J965" s="289"/>
      <c r="K965" s="289"/>
      <c r="L965" s="289"/>
      <c r="M965" s="289"/>
      <c r="N965" s="289"/>
      <c r="O965" s="289"/>
      <c r="P965" s="289"/>
    </row>
    <row r="966">
      <c r="B966" s="303"/>
      <c r="F966" s="303"/>
      <c r="H966" s="289"/>
      <c r="I966" s="290"/>
      <c r="J966" s="289"/>
      <c r="K966" s="289"/>
      <c r="L966" s="289"/>
      <c r="M966" s="289"/>
      <c r="N966" s="289"/>
      <c r="O966" s="289"/>
      <c r="P966" s="289"/>
    </row>
    <row r="967">
      <c r="B967" s="303"/>
      <c r="F967" s="303"/>
      <c r="H967" s="289"/>
      <c r="I967" s="290"/>
      <c r="J967" s="289"/>
      <c r="K967" s="289"/>
      <c r="L967" s="289"/>
      <c r="M967" s="289"/>
      <c r="N967" s="289"/>
      <c r="O967" s="289"/>
      <c r="P967" s="289"/>
    </row>
    <row r="968">
      <c r="B968" s="303"/>
      <c r="F968" s="303"/>
      <c r="H968" s="289"/>
      <c r="I968" s="290"/>
      <c r="J968" s="289"/>
      <c r="K968" s="289"/>
      <c r="L968" s="289"/>
      <c r="M968" s="289"/>
      <c r="N968" s="289"/>
      <c r="O968" s="289"/>
      <c r="P968" s="289"/>
    </row>
    <row r="969">
      <c r="B969" s="303"/>
      <c r="F969" s="303"/>
      <c r="H969" s="289"/>
      <c r="I969" s="290"/>
      <c r="J969" s="289"/>
      <c r="K969" s="289"/>
      <c r="L969" s="289"/>
      <c r="M969" s="289"/>
      <c r="N969" s="289"/>
      <c r="O969" s="289"/>
      <c r="P969" s="289"/>
    </row>
    <row r="970">
      <c r="B970" s="303"/>
      <c r="F970" s="303"/>
      <c r="H970" s="289"/>
      <c r="I970" s="290"/>
      <c r="J970" s="289"/>
      <c r="K970" s="289"/>
      <c r="L970" s="289"/>
      <c r="M970" s="289"/>
      <c r="N970" s="289"/>
      <c r="O970" s="289"/>
      <c r="P970" s="289"/>
    </row>
    <row r="971">
      <c r="B971" s="303"/>
      <c r="F971" s="303"/>
      <c r="H971" s="289"/>
      <c r="I971" s="290"/>
      <c r="J971" s="289"/>
      <c r="K971" s="289"/>
      <c r="L971" s="289"/>
      <c r="M971" s="289"/>
      <c r="N971" s="289"/>
      <c r="O971" s="289"/>
      <c r="P971" s="289"/>
    </row>
    <row r="972">
      <c r="B972" s="303"/>
      <c r="F972" s="303"/>
      <c r="H972" s="289"/>
      <c r="I972" s="290"/>
      <c r="J972" s="289"/>
      <c r="K972" s="289"/>
      <c r="L972" s="289"/>
      <c r="M972" s="289"/>
      <c r="N972" s="289"/>
      <c r="O972" s="289"/>
      <c r="P972" s="289"/>
    </row>
    <row r="973">
      <c r="B973" s="303"/>
      <c r="F973" s="303"/>
      <c r="H973" s="289"/>
      <c r="I973" s="290"/>
      <c r="J973" s="289"/>
      <c r="K973" s="289"/>
      <c r="L973" s="289"/>
      <c r="M973" s="289"/>
      <c r="N973" s="289"/>
      <c r="O973" s="289"/>
      <c r="P973" s="289"/>
    </row>
    <row r="974">
      <c r="B974" s="303"/>
      <c r="F974" s="303"/>
      <c r="H974" s="289"/>
      <c r="I974" s="290"/>
      <c r="J974" s="289"/>
      <c r="K974" s="289"/>
      <c r="L974" s="289"/>
      <c r="M974" s="289"/>
      <c r="N974" s="289"/>
      <c r="O974" s="289"/>
      <c r="P974" s="289"/>
    </row>
    <row r="975">
      <c r="B975" s="303"/>
      <c r="F975" s="303"/>
      <c r="H975" s="289"/>
      <c r="I975" s="290"/>
      <c r="J975" s="289"/>
      <c r="K975" s="289"/>
      <c r="L975" s="289"/>
      <c r="M975" s="289"/>
      <c r="N975" s="289"/>
      <c r="O975" s="289"/>
      <c r="P975" s="289"/>
    </row>
    <row r="976">
      <c r="B976" s="303"/>
      <c r="F976" s="303"/>
      <c r="H976" s="289"/>
      <c r="I976" s="290"/>
      <c r="J976" s="289"/>
      <c r="K976" s="289"/>
      <c r="L976" s="289"/>
      <c r="M976" s="289"/>
      <c r="N976" s="289"/>
      <c r="O976" s="289"/>
      <c r="P976" s="289"/>
    </row>
    <row r="977">
      <c r="B977" s="303"/>
      <c r="F977" s="303"/>
      <c r="H977" s="289"/>
      <c r="I977" s="290"/>
      <c r="J977" s="289"/>
      <c r="K977" s="289"/>
      <c r="L977" s="289"/>
      <c r="M977" s="289"/>
      <c r="N977" s="289"/>
      <c r="O977" s="289"/>
      <c r="P977" s="289"/>
    </row>
    <row r="978">
      <c r="B978" s="303"/>
      <c r="F978" s="303"/>
      <c r="H978" s="289"/>
      <c r="I978" s="290"/>
      <c r="J978" s="289"/>
      <c r="K978" s="289"/>
      <c r="L978" s="289"/>
      <c r="M978" s="289"/>
      <c r="N978" s="289"/>
      <c r="O978" s="289"/>
      <c r="P978" s="289"/>
    </row>
    <row r="979">
      <c r="B979" s="303"/>
      <c r="F979" s="303"/>
      <c r="H979" s="289"/>
      <c r="I979" s="290"/>
      <c r="J979" s="289"/>
      <c r="K979" s="289"/>
      <c r="L979" s="289"/>
      <c r="M979" s="289"/>
      <c r="N979" s="289"/>
      <c r="O979" s="289"/>
      <c r="P979" s="289"/>
    </row>
    <row r="980">
      <c r="B980" s="303"/>
      <c r="F980" s="303"/>
      <c r="H980" s="289"/>
      <c r="I980" s="290"/>
      <c r="J980" s="289"/>
      <c r="K980" s="289"/>
      <c r="L980" s="289"/>
      <c r="M980" s="289"/>
      <c r="N980" s="289"/>
      <c r="O980" s="289"/>
      <c r="P980" s="289"/>
    </row>
    <row r="981">
      <c r="B981" s="303"/>
      <c r="F981" s="303"/>
      <c r="H981" s="289"/>
      <c r="I981" s="290"/>
      <c r="J981" s="289"/>
      <c r="K981" s="289"/>
      <c r="L981" s="289"/>
      <c r="M981" s="289"/>
      <c r="N981" s="289"/>
      <c r="O981" s="289"/>
      <c r="P981" s="289"/>
    </row>
    <row r="982">
      <c r="B982" s="303"/>
      <c r="F982" s="303"/>
      <c r="H982" s="289"/>
      <c r="I982" s="290"/>
      <c r="J982" s="289"/>
      <c r="K982" s="289"/>
      <c r="L982" s="289"/>
      <c r="M982" s="289"/>
      <c r="N982" s="289"/>
      <c r="O982" s="289"/>
      <c r="P982" s="289"/>
    </row>
    <row r="983">
      <c r="B983" s="303"/>
      <c r="F983" s="303"/>
      <c r="H983" s="289"/>
      <c r="I983" s="290"/>
      <c r="J983" s="289"/>
      <c r="K983" s="289"/>
      <c r="L983" s="289"/>
      <c r="M983" s="289"/>
      <c r="N983" s="289"/>
      <c r="O983" s="289"/>
      <c r="P983" s="289"/>
    </row>
    <row r="984">
      <c r="B984" s="303"/>
      <c r="F984" s="303"/>
      <c r="H984" s="289"/>
      <c r="I984" s="290"/>
      <c r="J984" s="289"/>
      <c r="K984" s="289"/>
      <c r="L984" s="289"/>
      <c r="M984" s="289"/>
      <c r="N984" s="289"/>
      <c r="O984" s="289"/>
      <c r="P984" s="289"/>
    </row>
    <row r="985">
      <c r="B985" s="303"/>
      <c r="F985" s="303"/>
      <c r="H985" s="289"/>
      <c r="I985" s="290"/>
      <c r="J985" s="289"/>
      <c r="K985" s="289"/>
      <c r="L985" s="289"/>
      <c r="M985" s="289"/>
      <c r="N985" s="289"/>
      <c r="O985" s="289"/>
      <c r="P985" s="289"/>
    </row>
    <row r="986">
      <c r="B986" s="303"/>
      <c r="F986" s="303"/>
      <c r="H986" s="289"/>
      <c r="I986" s="290"/>
      <c r="J986" s="289"/>
      <c r="K986" s="289"/>
      <c r="L986" s="289"/>
      <c r="M986" s="289"/>
      <c r="N986" s="289"/>
      <c r="O986" s="289"/>
      <c r="P986" s="289"/>
    </row>
    <row r="987">
      <c r="B987" s="303"/>
      <c r="F987" s="303"/>
      <c r="H987" s="289"/>
      <c r="I987" s="290"/>
      <c r="J987" s="289"/>
      <c r="K987" s="289"/>
      <c r="L987" s="289"/>
      <c r="M987" s="289"/>
      <c r="N987" s="289"/>
      <c r="O987" s="289"/>
      <c r="P987" s="289"/>
    </row>
    <row r="988">
      <c r="B988" s="303"/>
      <c r="F988" s="303"/>
      <c r="H988" s="289"/>
      <c r="I988" s="290"/>
      <c r="J988" s="289"/>
      <c r="K988" s="289"/>
      <c r="L988" s="289"/>
      <c r="M988" s="289"/>
      <c r="N988" s="289"/>
      <c r="O988" s="289"/>
      <c r="P988" s="289"/>
    </row>
    <row r="989">
      <c r="B989" s="303"/>
      <c r="F989" s="303"/>
      <c r="H989" s="289"/>
      <c r="I989" s="290"/>
      <c r="J989" s="289"/>
      <c r="K989" s="289"/>
      <c r="L989" s="289"/>
      <c r="M989" s="289"/>
      <c r="N989" s="289"/>
      <c r="O989" s="289"/>
      <c r="P989" s="289"/>
    </row>
    <row r="990">
      <c r="B990" s="303"/>
      <c r="F990" s="303"/>
      <c r="H990" s="289"/>
      <c r="I990" s="290"/>
      <c r="J990" s="289"/>
      <c r="K990" s="289"/>
      <c r="L990" s="289"/>
      <c r="M990" s="289"/>
      <c r="N990" s="289"/>
      <c r="O990" s="289"/>
      <c r="P990" s="289"/>
    </row>
    <row r="991">
      <c r="B991" s="303"/>
      <c r="F991" s="303"/>
      <c r="H991" s="289"/>
      <c r="I991" s="290"/>
      <c r="J991" s="289"/>
      <c r="K991" s="289"/>
      <c r="L991" s="289"/>
      <c r="M991" s="289"/>
      <c r="N991" s="289"/>
      <c r="O991" s="289"/>
      <c r="P991" s="289"/>
    </row>
    <row r="992">
      <c r="B992" s="303"/>
      <c r="F992" s="303"/>
      <c r="H992" s="289"/>
      <c r="I992" s="290"/>
      <c r="J992" s="289"/>
      <c r="K992" s="289"/>
      <c r="L992" s="289"/>
      <c r="M992" s="289"/>
      <c r="N992" s="289"/>
      <c r="O992" s="289"/>
      <c r="P992" s="289"/>
    </row>
    <row r="993">
      <c r="B993" s="303"/>
      <c r="F993" s="303"/>
      <c r="H993" s="289"/>
      <c r="I993" s="290"/>
      <c r="J993" s="289"/>
      <c r="K993" s="289"/>
      <c r="L993" s="289"/>
      <c r="M993" s="289"/>
      <c r="N993" s="289"/>
      <c r="O993" s="289"/>
      <c r="P993" s="289"/>
    </row>
    <row r="994">
      <c r="B994" s="303"/>
      <c r="F994" s="303"/>
      <c r="H994" s="289"/>
      <c r="I994" s="290"/>
      <c r="J994" s="289"/>
      <c r="K994" s="289"/>
      <c r="L994" s="289"/>
      <c r="M994" s="289"/>
      <c r="N994" s="289"/>
      <c r="O994" s="289"/>
      <c r="P994" s="289"/>
    </row>
    <row r="995">
      <c r="B995" s="303"/>
      <c r="F995" s="303"/>
      <c r="H995" s="289"/>
      <c r="I995" s="290"/>
      <c r="J995" s="289"/>
      <c r="K995" s="289"/>
      <c r="L995" s="289"/>
      <c r="M995" s="289"/>
      <c r="N995" s="289"/>
      <c r="O995" s="289"/>
      <c r="P995" s="289"/>
    </row>
    <row r="996">
      <c r="B996" s="303"/>
      <c r="F996" s="303"/>
      <c r="H996" s="289"/>
      <c r="I996" s="290"/>
      <c r="J996" s="289"/>
      <c r="K996" s="289"/>
      <c r="L996" s="289"/>
      <c r="M996" s="289"/>
      <c r="N996" s="289"/>
      <c r="O996" s="289"/>
      <c r="P996" s="289"/>
    </row>
    <row r="997">
      <c r="B997" s="303"/>
      <c r="F997" s="303"/>
      <c r="H997" s="289"/>
      <c r="I997" s="290"/>
      <c r="J997" s="289"/>
      <c r="K997" s="289"/>
      <c r="L997" s="289"/>
      <c r="M997" s="289"/>
      <c r="N997" s="289"/>
      <c r="O997" s="289"/>
      <c r="P997" s="289"/>
    </row>
    <row r="998">
      <c r="B998" s="303"/>
      <c r="F998" s="303"/>
      <c r="H998" s="289"/>
      <c r="I998" s="290"/>
      <c r="J998" s="289"/>
      <c r="K998" s="289"/>
      <c r="L998" s="289"/>
      <c r="M998" s="289"/>
      <c r="N998" s="289"/>
      <c r="O998" s="289"/>
      <c r="P998" s="289"/>
    </row>
    <row r="999">
      <c r="B999" s="303"/>
      <c r="F999" s="303"/>
      <c r="H999" s="289"/>
      <c r="I999" s="290"/>
      <c r="J999" s="289"/>
      <c r="K999" s="289"/>
      <c r="L999" s="289"/>
      <c r="M999" s="289"/>
      <c r="N999" s="289"/>
      <c r="O999" s="289"/>
      <c r="P999" s="289"/>
    </row>
    <row r="1000">
      <c r="B1000" s="303"/>
      <c r="F1000" s="303"/>
      <c r="H1000" s="289"/>
      <c r="I1000" s="290"/>
      <c r="J1000" s="289"/>
      <c r="K1000" s="289"/>
      <c r="L1000" s="289"/>
      <c r="M1000" s="289"/>
      <c r="N1000" s="289"/>
      <c r="O1000" s="289"/>
      <c r="P1000" s="289"/>
    </row>
    <row r="1001">
      <c r="B1001" s="303"/>
      <c r="F1001" s="303"/>
      <c r="H1001" s="289"/>
      <c r="I1001" s="290"/>
      <c r="J1001" s="289"/>
      <c r="K1001" s="289"/>
      <c r="L1001" s="289"/>
      <c r="M1001" s="289"/>
      <c r="N1001" s="289"/>
      <c r="O1001" s="289"/>
      <c r="P1001" s="289"/>
    </row>
    <row r="1002">
      <c r="B1002" s="303"/>
      <c r="F1002" s="303"/>
      <c r="H1002" s="289"/>
      <c r="I1002" s="290"/>
      <c r="J1002" s="289"/>
      <c r="K1002" s="289"/>
      <c r="L1002" s="289"/>
      <c r="M1002" s="289"/>
      <c r="N1002" s="289"/>
      <c r="O1002" s="289"/>
      <c r="P1002" s="289"/>
    </row>
    <row r="1003">
      <c r="B1003" s="303"/>
      <c r="F1003" s="303"/>
      <c r="H1003" s="289"/>
      <c r="I1003" s="290"/>
      <c r="J1003" s="289"/>
      <c r="K1003" s="289"/>
      <c r="L1003" s="289"/>
      <c r="M1003" s="289"/>
      <c r="N1003" s="289"/>
      <c r="O1003" s="289"/>
      <c r="P1003" s="289"/>
    </row>
    <row r="1004">
      <c r="B1004" s="303"/>
      <c r="F1004" s="303"/>
      <c r="H1004" s="289"/>
      <c r="I1004" s="290"/>
      <c r="J1004" s="289"/>
      <c r="K1004" s="289"/>
      <c r="L1004" s="289"/>
      <c r="M1004" s="289"/>
      <c r="N1004" s="289"/>
      <c r="O1004" s="289"/>
      <c r="P1004" s="289"/>
    </row>
    <row r="1005">
      <c r="B1005" s="303"/>
      <c r="F1005" s="303"/>
      <c r="H1005" s="289"/>
      <c r="I1005" s="290"/>
      <c r="J1005" s="289"/>
      <c r="K1005" s="289"/>
      <c r="L1005" s="289"/>
      <c r="M1005" s="289"/>
      <c r="N1005" s="289"/>
      <c r="O1005" s="289"/>
      <c r="P1005" s="289"/>
    </row>
    <row r="1006">
      <c r="B1006" s="303"/>
      <c r="F1006" s="303"/>
      <c r="H1006" s="289"/>
      <c r="I1006" s="290"/>
      <c r="J1006" s="289"/>
      <c r="K1006" s="289"/>
      <c r="L1006" s="289"/>
      <c r="M1006" s="289"/>
      <c r="N1006" s="289"/>
      <c r="O1006" s="289"/>
      <c r="P1006" s="289"/>
    </row>
    <row r="1007">
      <c r="B1007" s="303"/>
      <c r="F1007" s="303"/>
      <c r="H1007" s="289"/>
      <c r="I1007" s="290"/>
      <c r="J1007" s="289"/>
      <c r="K1007" s="289"/>
      <c r="L1007" s="289"/>
      <c r="M1007" s="289"/>
      <c r="N1007" s="289"/>
      <c r="O1007" s="289"/>
      <c r="P1007" s="289"/>
    </row>
    <row r="1008">
      <c r="B1008" s="303"/>
      <c r="F1008" s="303"/>
      <c r="H1008" s="289"/>
      <c r="I1008" s="290"/>
      <c r="J1008" s="289"/>
      <c r="K1008" s="289"/>
      <c r="L1008" s="289"/>
      <c r="M1008" s="289"/>
      <c r="N1008" s="289"/>
      <c r="O1008" s="289"/>
      <c r="P1008" s="289"/>
    </row>
    <row r="1009">
      <c r="B1009" s="303"/>
      <c r="F1009" s="303"/>
      <c r="H1009" s="289"/>
      <c r="I1009" s="290"/>
      <c r="J1009" s="289"/>
      <c r="K1009" s="289"/>
      <c r="L1009" s="289"/>
      <c r="M1009" s="289"/>
      <c r="N1009" s="289"/>
      <c r="O1009" s="289"/>
      <c r="P1009" s="289"/>
    </row>
    <row r="1010">
      <c r="B1010" s="303"/>
      <c r="F1010" s="303"/>
      <c r="H1010" s="289"/>
      <c r="I1010" s="290"/>
      <c r="J1010" s="289"/>
      <c r="K1010" s="289"/>
      <c r="L1010" s="289"/>
      <c r="M1010" s="289"/>
      <c r="N1010" s="289"/>
      <c r="O1010" s="289"/>
      <c r="P1010" s="289"/>
    </row>
    <row r="1011">
      <c r="B1011" s="303"/>
      <c r="F1011" s="303"/>
      <c r="H1011" s="289"/>
      <c r="I1011" s="290"/>
      <c r="J1011" s="289"/>
      <c r="K1011" s="289"/>
      <c r="L1011" s="289"/>
      <c r="M1011" s="289"/>
      <c r="N1011" s="289"/>
      <c r="O1011" s="289"/>
      <c r="P1011" s="289"/>
    </row>
    <row r="1012">
      <c r="B1012" s="303"/>
      <c r="F1012" s="303"/>
      <c r="H1012" s="289"/>
      <c r="I1012" s="290"/>
      <c r="J1012" s="289"/>
      <c r="K1012" s="289"/>
      <c r="L1012" s="289"/>
      <c r="M1012" s="289"/>
      <c r="N1012" s="289"/>
      <c r="O1012" s="289"/>
      <c r="P1012" s="289"/>
    </row>
    <row r="1013">
      <c r="B1013" s="303"/>
      <c r="F1013" s="303"/>
      <c r="H1013" s="289"/>
      <c r="I1013" s="290"/>
      <c r="J1013" s="289"/>
      <c r="K1013" s="289"/>
      <c r="L1013" s="289"/>
      <c r="M1013" s="289"/>
      <c r="N1013" s="289"/>
      <c r="O1013" s="289"/>
      <c r="P1013" s="289"/>
    </row>
    <row r="1014">
      <c r="B1014" s="303"/>
      <c r="F1014" s="303"/>
      <c r="H1014" s="289"/>
      <c r="I1014" s="290"/>
      <c r="J1014" s="289"/>
      <c r="K1014" s="289"/>
      <c r="L1014" s="289"/>
      <c r="M1014" s="289"/>
      <c r="N1014" s="289"/>
      <c r="O1014" s="289"/>
      <c r="P1014" s="289"/>
    </row>
    <row r="1015">
      <c r="B1015" s="303"/>
      <c r="F1015" s="303"/>
      <c r="H1015" s="289"/>
      <c r="I1015" s="290"/>
      <c r="J1015" s="289"/>
      <c r="K1015" s="289"/>
      <c r="L1015" s="289"/>
      <c r="M1015" s="289"/>
      <c r="N1015" s="289"/>
      <c r="O1015" s="289"/>
      <c r="P1015" s="289"/>
    </row>
    <row r="1016">
      <c r="B1016" s="303"/>
      <c r="F1016" s="303"/>
      <c r="H1016" s="289"/>
      <c r="I1016" s="290"/>
      <c r="J1016" s="289"/>
      <c r="K1016" s="289"/>
      <c r="L1016" s="289"/>
      <c r="M1016" s="289"/>
      <c r="N1016" s="289"/>
      <c r="O1016" s="289"/>
      <c r="P1016" s="289"/>
    </row>
    <row r="1017">
      <c r="B1017" s="303"/>
      <c r="F1017" s="303"/>
      <c r="H1017" s="289"/>
      <c r="I1017" s="290"/>
      <c r="J1017" s="289"/>
      <c r="K1017" s="289"/>
      <c r="L1017" s="289"/>
      <c r="M1017" s="289"/>
      <c r="N1017" s="289"/>
      <c r="O1017" s="289"/>
      <c r="P1017" s="289"/>
    </row>
    <row r="1018">
      <c r="B1018" s="303"/>
      <c r="F1018" s="303"/>
      <c r="H1018" s="289"/>
      <c r="I1018" s="290"/>
      <c r="J1018" s="289"/>
      <c r="K1018" s="289"/>
      <c r="L1018" s="289"/>
      <c r="M1018" s="289"/>
      <c r="N1018" s="289"/>
      <c r="O1018" s="289"/>
      <c r="P1018" s="289"/>
    </row>
  </sheetData>
  <autoFilter ref="$A$1:$B$231"/>
  <mergeCells count="1">
    <mergeCell ref="G2:G75"/>
  </mergeCells>
  <conditionalFormatting sqref="C2:C38">
    <cfRule type="expression" dxfId="6" priority="1">
      <formula>COUNTIF($C$2:$C$38,C2)&gt;1</formula>
    </cfRule>
  </conditionalFormatting>
  <conditionalFormatting sqref="C39:C75">
    <cfRule type="expression" dxfId="6" priority="2">
      <formula>COUNTIF($C$2:$C$38,C2)&gt;1</formula>
    </cfRule>
  </conditionalFormatting>
  <dataValidations>
    <dataValidation type="list" allowBlank="1" sqref="B219:B234">
      <formula1>$E$2:$E$80</formula1>
    </dataValidation>
  </dataValidation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37.88"/>
    <col customWidth="1" min="3" max="3" width="19.25"/>
    <col customWidth="1" min="6" max="6" width="14.63"/>
    <col customWidth="1" min="10" max="10" width="3.75"/>
    <col customWidth="1" min="11" max="11" width="19.5"/>
    <col customWidth="1" min="12" max="12" width="37.88"/>
    <col customWidth="1" min="13" max="13" width="19.25"/>
    <col customWidth="1" min="16" max="16" width="14.63"/>
  </cols>
  <sheetData>
    <row r="1">
      <c r="A1" s="308" t="s">
        <v>97</v>
      </c>
      <c r="J1" s="309"/>
      <c r="K1" s="308" t="s">
        <v>100</v>
      </c>
    </row>
    <row r="2">
      <c r="A2" s="310" t="s">
        <v>313</v>
      </c>
      <c r="B2" s="55"/>
      <c r="C2" s="55"/>
      <c r="D2" s="55"/>
      <c r="E2" s="55"/>
      <c r="F2" s="55"/>
      <c r="G2" s="55"/>
      <c r="H2" s="55"/>
      <c r="I2" s="15"/>
      <c r="J2" s="309"/>
      <c r="K2" s="310" t="s">
        <v>313</v>
      </c>
      <c r="L2" s="55"/>
      <c r="M2" s="55"/>
      <c r="N2" s="55"/>
      <c r="O2" s="55"/>
      <c r="P2" s="55"/>
      <c r="Q2" s="55"/>
      <c r="R2" s="55"/>
      <c r="S2" s="15"/>
    </row>
    <row r="3">
      <c r="A3" s="244" t="s">
        <v>174</v>
      </c>
      <c r="B3" s="244">
        <v>0.0</v>
      </c>
      <c r="C3" s="244">
        <v>0.0</v>
      </c>
      <c r="D3" s="244">
        <v>0.0</v>
      </c>
      <c r="E3" s="244">
        <v>0.0</v>
      </c>
      <c r="F3" s="244">
        <v>0.0</v>
      </c>
      <c r="G3" s="245"/>
      <c r="H3" s="246"/>
      <c r="I3" s="247" t="s">
        <v>175</v>
      </c>
      <c r="J3" s="309"/>
      <c r="K3" s="244" t="s">
        <v>215</v>
      </c>
      <c r="L3" s="244">
        <v>0.0</v>
      </c>
      <c r="M3" s="244">
        <v>0.0</v>
      </c>
      <c r="N3" s="244">
        <v>0.0</v>
      </c>
      <c r="O3" s="244">
        <v>0.0</v>
      </c>
      <c r="P3" s="244">
        <v>0.0</v>
      </c>
      <c r="Q3" s="245"/>
      <c r="R3" s="246"/>
      <c r="S3" s="247" t="s">
        <v>179</v>
      </c>
    </row>
    <row r="4">
      <c r="A4" s="244" t="s">
        <v>176</v>
      </c>
      <c r="B4" s="244">
        <v>0.0</v>
      </c>
      <c r="C4" s="244">
        <v>0.0</v>
      </c>
      <c r="D4" s="244">
        <v>0.0</v>
      </c>
      <c r="E4" s="244">
        <v>0.0</v>
      </c>
      <c r="F4" s="244">
        <v>0.0</v>
      </c>
      <c r="G4" s="245"/>
      <c r="H4" s="246"/>
      <c r="I4" s="247" t="s">
        <v>177</v>
      </c>
      <c r="J4" s="309"/>
      <c r="K4" s="244" t="s">
        <v>159</v>
      </c>
      <c r="L4" s="244">
        <v>0.0</v>
      </c>
      <c r="M4" s="244">
        <v>0.0</v>
      </c>
      <c r="N4" s="244">
        <v>0.0</v>
      </c>
      <c r="O4" s="244">
        <v>0.0</v>
      </c>
      <c r="P4" s="244">
        <v>0.0</v>
      </c>
      <c r="Q4" s="245"/>
      <c r="R4" s="246"/>
      <c r="S4" s="247" t="s">
        <v>216</v>
      </c>
    </row>
    <row r="5">
      <c r="A5" s="244" t="s">
        <v>178</v>
      </c>
      <c r="B5" s="245">
        <v>0.0</v>
      </c>
      <c r="C5" s="245">
        <v>0.0</v>
      </c>
      <c r="D5" s="245">
        <v>0.0</v>
      </c>
      <c r="E5" s="245">
        <v>0.0</v>
      </c>
      <c r="F5" s="245">
        <v>0.0</v>
      </c>
      <c r="G5" s="247"/>
      <c r="H5" s="246"/>
      <c r="I5" s="247" t="s">
        <v>179</v>
      </c>
      <c r="J5" s="311"/>
      <c r="K5" s="244" t="s">
        <v>162</v>
      </c>
      <c r="L5" s="244">
        <v>0.0</v>
      </c>
      <c r="M5" s="244">
        <v>0.0</v>
      </c>
      <c r="N5" s="244">
        <v>0.0</v>
      </c>
      <c r="O5" s="244">
        <v>0.0</v>
      </c>
      <c r="P5" s="244">
        <v>0.0</v>
      </c>
      <c r="Q5" s="245"/>
      <c r="R5" s="246"/>
      <c r="S5" s="247" t="s">
        <v>177</v>
      </c>
    </row>
    <row r="6">
      <c r="A6" s="249" t="s">
        <v>180</v>
      </c>
      <c r="B6" s="249">
        <v>0.0</v>
      </c>
      <c r="C6" s="249">
        <v>0.0</v>
      </c>
      <c r="D6" s="249">
        <v>0.0</v>
      </c>
      <c r="E6" s="249">
        <v>0.0</v>
      </c>
      <c r="F6" s="249">
        <v>0.0</v>
      </c>
      <c r="G6" s="249"/>
      <c r="H6" s="250"/>
      <c r="I6" s="249" t="s">
        <v>181</v>
      </c>
      <c r="J6" s="311"/>
      <c r="K6" s="266" t="s">
        <v>164</v>
      </c>
      <c r="L6" s="245">
        <v>0.0</v>
      </c>
      <c r="M6" s="245">
        <v>0.0</v>
      </c>
      <c r="N6" s="245">
        <v>0.0</v>
      </c>
      <c r="O6" s="245">
        <v>0.0</v>
      </c>
      <c r="P6" s="245">
        <v>0.0</v>
      </c>
      <c r="Q6" s="247"/>
      <c r="R6" s="246"/>
      <c r="S6" s="247" t="s">
        <v>175</v>
      </c>
    </row>
    <row r="7">
      <c r="A7" s="249" t="s">
        <v>182</v>
      </c>
      <c r="B7" s="249">
        <v>0.0</v>
      </c>
      <c r="C7" s="249">
        <v>0.0</v>
      </c>
      <c r="D7" s="249">
        <v>0.0</v>
      </c>
      <c r="E7" s="249">
        <v>0.0</v>
      </c>
      <c r="F7" s="249">
        <v>0.0</v>
      </c>
      <c r="G7" s="249"/>
      <c r="H7" s="250"/>
      <c r="I7" s="249" t="s">
        <v>183</v>
      </c>
      <c r="J7" s="311"/>
      <c r="K7" s="255" t="s">
        <v>217</v>
      </c>
      <c r="L7" s="255">
        <v>0.0</v>
      </c>
      <c r="M7" s="255">
        <v>0.0</v>
      </c>
      <c r="N7" s="255">
        <v>0.0</v>
      </c>
      <c r="O7" s="255">
        <v>0.0</v>
      </c>
      <c r="P7" s="255">
        <v>0.0</v>
      </c>
      <c r="Q7" s="255"/>
      <c r="R7" s="256"/>
      <c r="S7" s="255" t="s">
        <v>153</v>
      </c>
    </row>
    <row r="8">
      <c r="A8" s="249" t="s">
        <v>184</v>
      </c>
      <c r="B8" s="249">
        <v>0.0</v>
      </c>
      <c r="C8" s="249">
        <v>0.0</v>
      </c>
      <c r="D8" s="249">
        <v>0.0</v>
      </c>
      <c r="E8" s="251">
        <v>0.0</v>
      </c>
      <c r="F8" s="251">
        <v>0.0</v>
      </c>
      <c r="G8" s="252"/>
      <c r="H8" s="253"/>
      <c r="I8" s="252" t="s">
        <v>185</v>
      </c>
      <c r="J8" s="309"/>
      <c r="K8" s="255" t="s">
        <v>314</v>
      </c>
      <c r="L8" s="255">
        <v>0.0</v>
      </c>
      <c r="M8" s="255">
        <v>0.0</v>
      </c>
      <c r="N8" s="255">
        <v>0.0</v>
      </c>
      <c r="O8" s="255">
        <v>0.0</v>
      </c>
      <c r="P8" s="255">
        <v>0.0</v>
      </c>
      <c r="Q8" s="255"/>
      <c r="R8" s="256"/>
      <c r="S8" s="255" t="s">
        <v>203</v>
      </c>
    </row>
    <row r="9">
      <c r="A9" s="249" t="s">
        <v>186</v>
      </c>
      <c r="B9" s="249">
        <v>0.0</v>
      </c>
      <c r="C9" s="249">
        <v>0.0</v>
      </c>
      <c r="D9" s="249">
        <v>0.0</v>
      </c>
      <c r="E9" s="251">
        <v>0.0</v>
      </c>
      <c r="F9" s="251">
        <v>0.0</v>
      </c>
      <c r="G9" s="252"/>
      <c r="H9" s="253"/>
      <c r="I9" s="252" t="s">
        <v>187</v>
      </c>
      <c r="J9" s="309"/>
    </row>
    <row r="10">
      <c r="A10" s="249" t="s">
        <v>188</v>
      </c>
      <c r="B10" s="249">
        <v>0.0</v>
      </c>
      <c r="C10" s="249">
        <v>0.0</v>
      </c>
      <c r="D10" s="249">
        <v>0.0</v>
      </c>
      <c r="E10" s="249">
        <v>0.0</v>
      </c>
      <c r="F10" s="249">
        <v>0.0</v>
      </c>
      <c r="G10" s="249"/>
      <c r="H10" s="250"/>
      <c r="I10" s="249" t="s">
        <v>189</v>
      </c>
      <c r="J10" s="309"/>
    </row>
    <row r="11">
      <c r="A11" s="249" t="s">
        <v>190</v>
      </c>
      <c r="B11" s="249">
        <v>0.0</v>
      </c>
      <c r="C11" s="249">
        <v>0.0</v>
      </c>
      <c r="D11" s="249">
        <v>0.0</v>
      </c>
      <c r="E11" s="249">
        <v>0.0</v>
      </c>
      <c r="F11" s="249">
        <v>0.0</v>
      </c>
      <c r="G11" s="249"/>
      <c r="H11" s="250"/>
      <c r="I11" s="249" t="s">
        <v>191</v>
      </c>
      <c r="J11" s="309"/>
    </row>
    <row r="12">
      <c r="A12" s="254" t="s">
        <v>192</v>
      </c>
      <c r="B12" s="255">
        <v>0.0</v>
      </c>
      <c r="C12" s="255">
        <v>0.0</v>
      </c>
      <c r="D12" s="255">
        <v>0.0</v>
      </c>
      <c r="E12" s="255">
        <v>0.0</v>
      </c>
      <c r="F12" s="255">
        <v>0.0</v>
      </c>
      <c r="G12" s="255"/>
      <c r="H12" s="256"/>
      <c r="I12" s="255" t="s">
        <v>193</v>
      </c>
      <c r="J12" s="309"/>
    </row>
    <row r="13">
      <c r="A13" s="255" t="s">
        <v>194</v>
      </c>
      <c r="B13" s="255">
        <v>0.0</v>
      </c>
      <c r="C13" s="255">
        <v>0.0</v>
      </c>
      <c r="D13" s="255">
        <v>0.0</v>
      </c>
      <c r="E13" s="255">
        <v>0.0</v>
      </c>
      <c r="F13" s="255">
        <v>0.0</v>
      </c>
      <c r="G13" s="255"/>
      <c r="H13" s="256"/>
      <c r="I13" s="255" t="s">
        <v>195</v>
      </c>
      <c r="J13" s="309"/>
    </row>
    <row r="14">
      <c r="A14" s="255" t="s">
        <v>196</v>
      </c>
      <c r="B14" s="255">
        <v>0.0</v>
      </c>
      <c r="C14" s="255">
        <v>0.0</v>
      </c>
      <c r="D14" s="255">
        <v>0.0</v>
      </c>
      <c r="E14" s="255">
        <v>0.0</v>
      </c>
      <c r="F14" s="255">
        <v>0.0</v>
      </c>
      <c r="G14" s="255"/>
      <c r="H14" s="256"/>
      <c r="I14" s="255" t="s">
        <v>197</v>
      </c>
      <c r="J14" s="309"/>
    </row>
    <row r="15">
      <c r="A15" s="255" t="s">
        <v>198</v>
      </c>
      <c r="B15" s="255">
        <v>0.0</v>
      </c>
      <c r="C15" s="255">
        <v>0.0</v>
      </c>
      <c r="D15" s="255">
        <v>0.0</v>
      </c>
      <c r="E15" s="255">
        <v>0.0</v>
      </c>
      <c r="F15" s="255">
        <v>0.0</v>
      </c>
      <c r="G15" s="255"/>
      <c r="H15" s="256"/>
      <c r="I15" s="255" t="s">
        <v>199</v>
      </c>
      <c r="J15" s="309"/>
    </row>
    <row r="16">
      <c r="A16" s="255" t="s">
        <v>200</v>
      </c>
      <c r="B16" s="255">
        <v>0.0</v>
      </c>
      <c r="C16" s="255">
        <v>0.0</v>
      </c>
      <c r="D16" s="255">
        <v>0.0</v>
      </c>
      <c r="E16" s="255">
        <v>0.0</v>
      </c>
      <c r="F16" s="255">
        <v>0.0</v>
      </c>
      <c r="G16" s="255"/>
      <c r="H16" s="256"/>
      <c r="I16" s="255" t="s">
        <v>201</v>
      </c>
      <c r="J16" s="309"/>
    </row>
    <row r="17">
      <c r="A17" s="255" t="s">
        <v>202</v>
      </c>
      <c r="B17" s="255">
        <v>0.0</v>
      </c>
      <c r="C17" s="255">
        <v>0.0</v>
      </c>
      <c r="D17" s="255">
        <v>0.0</v>
      </c>
      <c r="E17" s="255">
        <v>0.0</v>
      </c>
      <c r="F17" s="255">
        <v>0.0</v>
      </c>
      <c r="G17" s="255"/>
      <c r="H17" s="256"/>
      <c r="I17" s="255" t="s">
        <v>203</v>
      </c>
      <c r="J17" s="309"/>
    </row>
    <row r="18">
      <c r="A18" s="255" t="s">
        <v>204</v>
      </c>
      <c r="B18" s="255">
        <v>0.0</v>
      </c>
      <c r="C18" s="255">
        <v>0.0</v>
      </c>
      <c r="D18" s="255">
        <v>0.0</v>
      </c>
      <c r="E18" s="255">
        <v>0.0</v>
      </c>
      <c r="F18" s="255">
        <v>0.0</v>
      </c>
      <c r="G18" s="255"/>
      <c r="H18" s="256"/>
      <c r="I18" s="255" t="s">
        <v>20</v>
      </c>
      <c r="J18" s="309"/>
    </row>
    <row r="19">
      <c r="A19" s="255" t="s">
        <v>205</v>
      </c>
      <c r="B19" s="255">
        <v>0.0</v>
      </c>
      <c r="C19" s="255">
        <v>0.0</v>
      </c>
      <c r="D19" s="255">
        <v>0.0</v>
      </c>
      <c r="E19" s="255">
        <v>0.0</v>
      </c>
      <c r="F19" s="255">
        <v>0.0</v>
      </c>
      <c r="G19" s="255"/>
      <c r="H19" s="256"/>
      <c r="I19" s="255" t="s">
        <v>206</v>
      </c>
      <c r="J19" s="309"/>
    </row>
    <row r="20">
      <c r="A20" s="255" t="s">
        <v>207</v>
      </c>
      <c r="B20" s="255">
        <v>0.0</v>
      </c>
      <c r="C20" s="255">
        <v>0.0</v>
      </c>
      <c r="D20" s="255">
        <v>0.0</v>
      </c>
      <c r="E20" s="255">
        <v>0.0</v>
      </c>
      <c r="F20" s="255">
        <v>0.0</v>
      </c>
      <c r="G20" s="255"/>
      <c r="H20" s="256"/>
      <c r="I20" s="255" t="s">
        <v>208</v>
      </c>
      <c r="J20" s="309"/>
    </row>
    <row r="21">
      <c r="A21" s="255" t="s">
        <v>315</v>
      </c>
      <c r="B21" s="255">
        <v>0.0</v>
      </c>
      <c r="C21" s="255">
        <v>0.0</v>
      </c>
      <c r="D21" s="255">
        <v>0.0</v>
      </c>
      <c r="E21" s="255">
        <v>0.0</v>
      </c>
      <c r="F21" s="255">
        <v>0.0</v>
      </c>
      <c r="G21" s="255"/>
      <c r="H21" s="256"/>
      <c r="I21" s="255"/>
      <c r="J21" s="309"/>
      <c r="L21" s="12"/>
      <c r="M21" s="12"/>
      <c r="N21" s="12"/>
    </row>
    <row r="22">
      <c r="A22" s="255" t="s">
        <v>316</v>
      </c>
      <c r="B22" s="255">
        <v>0.0</v>
      </c>
      <c r="C22" s="255">
        <v>0.0</v>
      </c>
      <c r="D22" s="255">
        <v>0.0</v>
      </c>
      <c r="E22" s="255">
        <v>0.0</v>
      </c>
      <c r="F22" s="255">
        <v>0.0</v>
      </c>
      <c r="G22" s="255"/>
      <c r="H22" s="256"/>
      <c r="I22" s="255"/>
      <c r="J22" s="309"/>
      <c r="K22" s="12"/>
      <c r="L22" s="12"/>
      <c r="M22" s="12"/>
      <c r="N22" s="12"/>
    </row>
    <row r="23">
      <c r="A23" s="257" t="s">
        <v>209</v>
      </c>
      <c r="B23" s="258">
        <v>48.0</v>
      </c>
      <c r="C23" s="259" t="s">
        <v>210</v>
      </c>
      <c r="D23" s="259" t="s">
        <v>210</v>
      </c>
      <c r="E23" s="259" t="s">
        <v>210</v>
      </c>
      <c r="F23" s="259" t="s">
        <v>210</v>
      </c>
      <c r="G23" s="260"/>
      <c r="H23" s="260"/>
      <c r="I23" s="257" t="s">
        <v>317</v>
      </c>
      <c r="J23" s="309"/>
      <c r="K23" s="12"/>
      <c r="L23" s="12"/>
      <c r="M23" s="12"/>
      <c r="N23" s="12"/>
    </row>
    <row r="24">
      <c r="A24" s="257" t="s">
        <v>211</v>
      </c>
      <c r="B24" s="258">
        <v>56.0</v>
      </c>
      <c r="C24" s="259" t="s">
        <v>210</v>
      </c>
      <c r="D24" s="259" t="s">
        <v>210</v>
      </c>
      <c r="E24" s="259" t="s">
        <v>210</v>
      </c>
      <c r="F24" s="259" t="s">
        <v>210</v>
      </c>
      <c r="G24" s="260"/>
      <c r="H24" s="260"/>
      <c r="I24" s="257" t="s">
        <v>318</v>
      </c>
      <c r="J24" s="309"/>
    </row>
    <row r="25">
      <c r="A25" s="257" t="s">
        <v>213</v>
      </c>
      <c r="B25" s="258">
        <v>36.0</v>
      </c>
      <c r="C25" s="259" t="s">
        <v>210</v>
      </c>
      <c r="D25" s="259" t="s">
        <v>210</v>
      </c>
      <c r="E25" s="259" t="s">
        <v>210</v>
      </c>
      <c r="F25" s="259" t="s">
        <v>210</v>
      </c>
      <c r="G25" s="260"/>
      <c r="H25" s="260"/>
      <c r="I25" s="257" t="s">
        <v>208</v>
      </c>
      <c r="J25" s="312"/>
      <c r="K25" s="12"/>
      <c r="L25" s="12"/>
      <c r="M25" s="12"/>
      <c r="N25" s="12"/>
      <c r="S25" s="12"/>
    </row>
    <row r="26">
      <c r="A26" s="16" t="s">
        <v>11</v>
      </c>
      <c r="B26" s="261">
        <v>2751.0</v>
      </c>
      <c r="C26" s="16">
        <v>0.0</v>
      </c>
      <c r="D26" s="16">
        <v>0.0</v>
      </c>
      <c r="E26" s="16">
        <v>0.0</v>
      </c>
      <c r="F26" s="16">
        <v>0.0</v>
      </c>
      <c r="G26" s="16"/>
      <c r="H26" s="17"/>
      <c r="I26" s="16" t="s">
        <v>129</v>
      </c>
      <c r="J26" s="312"/>
      <c r="K26" s="313" t="s">
        <v>319</v>
      </c>
      <c r="L26" s="55"/>
      <c r="M26" s="55"/>
      <c r="N26" s="55"/>
      <c r="O26" s="55"/>
      <c r="P26" s="55"/>
      <c r="Q26" s="55"/>
      <c r="R26" s="55"/>
      <c r="S26" s="15"/>
    </row>
    <row r="27">
      <c r="A27" s="16" t="s">
        <v>16</v>
      </c>
      <c r="B27" s="261">
        <v>2366.0</v>
      </c>
      <c r="C27" s="16">
        <v>0.0</v>
      </c>
      <c r="D27" s="16">
        <v>0.0</v>
      </c>
      <c r="E27" s="16">
        <v>0.0</v>
      </c>
      <c r="F27" s="16">
        <v>0.0</v>
      </c>
      <c r="G27" s="17"/>
      <c r="H27" s="17"/>
      <c r="I27" s="16" t="s">
        <v>17</v>
      </c>
      <c r="J27" s="312"/>
      <c r="K27" s="277" t="s">
        <v>215</v>
      </c>
      <c r="L27" s="277" t="s">
        <v>215</v>
      </c>
      <c r="M27" s="277" t="s">
        <v>215</v>
      </c>
      <c r="N27" s="277" t="s">
        <v>99</v>
      </c>
      <c r="O27" s="278"/>
      <c r="P27" s="277">
        <v>1.0</v>
      </c>
      <c r="Q27" s="278"/>
      <c r="R27" s="277" t="s">
        <v>262</v>
      </c>
    </row>
    <row r="28">
      <c r="A28" s="16" t="s">
        <v>19</v>
      </c>
      <c r="B28" s="261">
        <v>2751.0</v>
      </c>
      <c r="C28" s="16">
        <v>0.0</v>
      </c>
      <c r="D28" s="16">
        <v>0.0</v>
      </c>
      <c r="E28" s="16">
        <v>0.0</v>
      </c>
      <c r="F28" s="16">
        <v>0.0</v>
      </c>
      <c r="G28" s="17"/>
      <c r="H28" s="17"/>
      <c r="I28" s="16" t="s">
        <v>20</v>
      </c>
      <c r="J28" s="309"/>
      <c r="K28" s="277" t="s">
        <v>159</v>
      </c>
      <c r="L28" s="277" t="s">
        <v>159</v>
      </c>
      <c r="M28" s="277" t="s">
        <v>159</v>
      </c>
      <c r="N28" s="277" t="s">
        <v>99</v>
      </c>
      <c r="O28" s="278"/>
      <c r="P28" s="277">
        <v>1.0</v>
      </c>
      <c r="Q28" s="278"/>
      <c r="R28" s="277" t="s">
        <v>262</v>
      </c>
    </row>
    <row r="29">
      <c r="A29" s="39"/>
      <c r="B29" s="39"/>
      <c r="C29" s="39"/>
      <c r="D29" s="39"/>
      <c r="E29" s="4"/>
      <c r="F29" s="263"/>
      <c r="G29" s="4"/>
      <c r="H29" s="39"/>
      <c r="J29" s="309"/>
      <c r="K29" s="277" t="s">
        <v>162</v>
      </c>
      <c r="L29" s="277" t="s">
        <v>162</v>
      </c>
      <c r="M29" s="277" t="s">
        <v>162</v>
      </c>
      <c r="N29" s="277" t="s">
        <v>99</v>
      </c>
      <c r="O29" s="278"/>
      <c r="P29" s="277">
        <v>1.0</v>
      </c>
      <c r="Q29" s="278"/>
      <c r="R29" s="277" t="s">
        <v>262</v>
      </c>
    </row>
    <row r="30">
      <c r="A30" s="270" t="s">
        <v>178</v>
      </c>
      <c r="B30" s="270" t="s">
        <v>178</v>
      </c>
      <c r="C30" s="270" t="s">
        <v>178</v>
      </c>
      <c r="D30" s="270" t="s">
        <v>96</v>
      </c>
      <c r="E30" s="271"/>
      <c r="F30" s="272">
        <v>1.0</v>
      </c>
      <c r="G30" s="271"/>
      <c r="H30" s="270" t="s">
        <v>262</v>
      </c>
      <c r="J30" s="309"/>
      <c r="K30" s="277" t="s">
        <v>164</v>
      </c>
      <c r="L30" s="277" t="s">
        <v>164</v>
      </c>
      <c r="M30" s="277" t="s">
        <v>164</v>
      </c>
      <c r="N30" s="277" t="s">
        <v>99</v>
      </c>
      <c r="O30" s="278"/>
      <c r="P30" s="277">
        <v>1.0</v>
      </c>
      <c r="Q30" s="278"/>
      <c r="R30" s="277" t="s">
        <v>262</v>
      </c>
    </row>
    <row r="31">
      <c r="A31" s="270" t="s">
        <v>176</v>
      </c>
      <c r="B31" s="270" t="s">
        <v>176</v>
      </c>
      <c r="C31" s="270" t="s">
        <v>176</v>
      </c>
      <c r="D31" s="270" t="s">
        <v>96</v>
      </c>
      <c r="E31" s="271"/>
      <c r="F31" s="272">
        <v>1.0</v>
      </c>
      <c r="G31" s="271"/>
      <c r="H31" s="270" t="s">
        <v>262</v>
      </c>
      <c r="J31" s="309"/>
      <c r="K31" s="274" t="s">
        <v>266</v>
      </c>
      <c r="L31" s="274" t="s">
        <v>217</v>
      </c>
      <c r="M31" s="274" t="s">
        <v>264</v>
      </c>
      <c r="N31" s="274" t="s">
        <v>99</v>
      </c>
      <c r="O31" s="274"/>
      <c r="P31" s="280">
        <v>1.0</v>
      </c>
      <c r="Q31" s="274"/>
      <c r="R31" s="274" t="s">
        <v>265</v>
      </c>
    </row>
    <row r="32">
      <c r="A32" s="270" t="s">
        <v>174</v>
      </c>
      <c r="B32" s="270" t="s">
        <v>174</v>
      </c>
      <c r="C32" s="270" t="s">
        <v>174</v>
      </c>
      <c r="D32" s="270" t="s">
        <v>96</v>
      </c>
      <c r="E32" s="271"/>
      <c r="F32" s="272">
        <v>1.0</v>
      </c>
      <c r="G32" s="271"/>
      <c r="H32" s="270" t="s">
        <v>262</v>
      </c>
      <c r="J32" s="309"/>
      <c r="K32" s="274"/>
      <c r="L32" s="274"/>
      <c r="M32" s="274"/>
      <c r="N32" s="274"/>
      <c r="O32" s="274"/>
      <c r="P32" s="280"/>
      <c r="Q32" s="274"/>
      <c r="R32" s="274"/>
    </row>
    <row r="33">
      <c r="A33" s="247" t="s">
        <v>184</v>
      </c>
      <c r="B33" s="247" t="s">
        <v>184</v>
      </c>
      <c r="C33" s="247" t="s">
        <v>184</v>
      </c>
      <c r="D33" s="247" t="s">
        <v>96</v>
      </c>
      <c r="E33" s="273"/>
      <c r="F33" s="245">
        <v>1.0</v>
      </c>
      <c r="G33" s="273"/>
      <c r="H33" s="247" t="s">
        <v>262</v>
      </c>
      <c r="J33" s="309"/>
      <c r="K33" s="281" t="s">
        <v>285</v>
      </c>
      <c r="L33" s="281" t="s">
        <v>11</v>
      </c>
      <c r="M33" s="281" t="s">
        <v>275</v>
      </c>
      <c r="N33" s="281" t="s">
        <v>99</v>
      </c>
      <c r="O33" s="282"/>
      <c r="P33" s="283">
        <v>2.0</v>
      </c>
      <c r="Q33" s="282"/>
      <c r="R33" s="281" t="s">
        <v>265</v>
      </c>
    </row>
    <row r="34" ht="14.25" customHeight="1">
      <c r="A34" s="247" t="s">
        <v>186</v>
      </c>
      <c r="B34" s="247" t="s">
        <v>186</v>
      </c>
      <c r="C34" s="247" t="s">
        <v>186</v>
      </c>
      <c r="D34" s="247" t="s">
        <v>96</v>
      </c>
      <c r="E34" s="273"/>
      <c r="F34" s="245">
        <v>1.0</v>
      </c>
      <c r="G34" s="273"/>
      <c r="H34" s="247" t="s">
        <v>262</v>
      </c>
      <c r="J34" s="309"/>
      <c r="K34" s="281" t="s">
        <v>286</v>
      </c>
      <c r="L34" s="281" t="s">
        <v>11</v>
      </c>
      <c r="M34" s="281" t="s">
        <v>275</v>
      </c>
      <c r="N34" s="281" t="s">
        <v>99</v>
      </c>
      <c r="O34" s="282"/>
      <c r="P34" s="283">
        <v>4.0</v>
      </c>
      <c r="Q34" s="282"/>
      <c r="R34" s="281" t="s">
        <v>265</v>
      </c>
    </row>
    <row r="35">
      <c r="A35" s="247" t="s">
        <v>180</v>
      </c>
      <c r="B35" s="247" t="s">
        <v>180</v>
      </c>
      <c r="C35" s="247" t="s">
        <v>180</v>
      </c>
      <c r="D35" s="247" t="s">
        <v>96</v>
      </c>
      <c r="E35" s="273"/>
      <c r="F35" s="245">
        <v>1.0</v>
      </c>
      <c r="G35" s="273"/>
      <c r="H35" s="247" t="s">
        <v>262</v>
      </c>
      <c r="J35" s="309"/>
      <c r="K35" s="314"/>
      <c r="L35" s="314"/>
      <c r="M35" s="314"/>
      <c r="N35" s="314"/>
      <c r="O35" s="314"/>
      <c r="P35" s="314"/>
      <c r="Q35" s="314"/>
      <c r="R35" s="314"/>
    </row>
    <row r="36">
      <c r="A36" s="247" t="s">
        <v>182</v>
      </c>
      <c r="B36" s="247" t="s">
        <v>182</v>
      </c>
      <c r="C36" s="247" t="s">
        <v>182</v>
      </c>
      <c r="D36" s="247" t="s">
        <v>96</v>
      </c>
      <c r="E36" s="273"/>
      <c r="F36" s="245">
        <v>1.0</v>
      </c>
      <c r="G36" s="273"/>
      <c r="H36" s="247" t="s">
        <v>262</v>
      </c>
      <c r="J36" s="309"/>
      <c r="K36" s="314"/>
      <c r="L36" s="314"/>
      <c r="M36" s="314"/>
      <c r="N36" s="314"/>
      <c r="O36" s="314"/>
      <c r="P36" s="314"/>
      <c r="Q36" s="314"/>
      <c r="R36" s="314"/>
    </row>
    <row r="37">
      <c r="A37" s="247" t="s">
        <v>188</v>
      </c>
      <c r="B37" s="247" t="s">
        <v>188</v>
      </c>
      <c r="C37" s="247" t="s">
        <v>188</v>
      </c>
      <c r="D37" s="247" t="s">
        <v>96</v>
      </c>
      <c r="E37" s="273"/>
      <c r="F37" s="245">
        <v>1.0</v>
      </c>
      <c r="G37" s="273"/>
      <c r="H37" s="247" t="s">
        <v>262</v>
      </c>
      <c r="J37" s="309"/>
      <c r="K37" s="314"/>
      <c r="L37" s="314"/>
      <c r="M37" s="314"/>
      <c r="N37" s="314"/>
      <c r="O37" s="314"/>
      <c r="P37" s="314"/>
      <c r="Q37" s="314"/>
      <c r="R37" s="314"/>
    </row>
    <row r="38">
      <c r="A38" s="247" t="s">
        <v>190</v>
      </c>
      <c r="B38" s="247" t="s">
        <v>190</v>
      </c>
      <c r="C38" s="247" t="s">
        <v>190</v>
      </c>
      <c r="D38" s="247" t="s">
        <v>96</v>
      </c>
      <c r="E38" s="273"/>
      <c r="F38" s="245">
        <v>1.0</v>
      </c>
      <c r="G38" s="273"/>
      <c r="H38" s="247" t="s">
        <v>262</v>
      </c>
      <c r="J38" s="309"/>
      <c r="K38" s="314"/>
      <c r="L38" s="314"/>
      <c r="M38" s="314"/>
      <c r="N38" s="314"/>
      <c r="O38" s="314"/>
      <c r="P38" s="314"/>
      <c r="Q38" s="314"/>
      <c r="R38" s="314"/>
    </row>
    <row r="39">
      <c r="A39" s="255" t="s">
        <v>263</v>
      </c>
      <c r="B39" s="254" t="s">
        <v>192</v>
      </c>
      <c r="C39" s="255" t="s">
        <v>264</v>
      </c>
      <c r="D39" s="255" t="s">
        <v>96</v>
      </c>
      <c r="E39" s="255"/>
      <c r="F39" s="255">
        <v>1.0</v>
      </c>
      <c r="G39" s="255"/>
      <c r="H39" s="274" t="s">
        <v>265</v>
      </c>
      <c r="J39" s="309"/>
      <c r="K39" s="314"/>
      <c r="L39" s="314"/>
      <c r="M39" s="314"/>
      <c r="N39" s="314"/>
      <c r="O39" s="314"/>
      <c r="P39" s="314"/>
      <c r="Q39" s="314"/>
      <c r="R39" s="314"/>
    </row>
    <row r="40">
      <c r="A40" s="255" t="s">
        <v>266</v>
      </c>
      <c r="B40" s="254" t="s">
        <v>194</v>
      </c>
      <c r="C40" s="255" t="s">
        <v>264</v>
      </c>
      <c r="D40" s="255" t="s">
        <v>96</v>
      </c>
      <c r="E40" s="255"/>
      <c r="F40" s="255">
        <v>1.0</v>
      </c>
      <c r="G40" s="255"/>
      <c r="H40" s="274" t="s">
        <v>265</v>
      </c>
      <c r="J40" s="309"/>
      <c r="K40" s="314"/>
      <c r="L40" s="314"/>
      <c r="M40" s="314"/>
      <c r="N40" s="314"/>
      <c r="O40" s="314"/>
      <c r="P40" s="314"/>
      <c r="Q40" s="314"/>
      <c r="R40" s="314"/>
    </row>
    <row r="41">
      <c r="A41" s="255" t="s">
        <v>267</v>
      </c>
      <c r="B41" s="255" t="s">
        <v>196</v>
      </c>
      <c r="C41" s="255" t="s">
        <v>264</v>
      </c>
      <c r="D41" s="255" t="s">
        <v>96</v>
      </c>
      <c r="E41" s="255"/>
      <c r="F41" s="255">
        <v>1.0</v>
      </c>
      <c r="G41" s="255"/>
      <c r="H41" s="274" t="s">
        <v>265</v>
      </c>
      <c r="J41" s="309"/>
      <c r="K41" s="314"/>
      <c r="L41" s="314"/>
      <c r="M41" s="314"/>
      <c r="N41" s="314"/>
      <c r="O41" s="314"/>
      <c r="P41" s="314"/>
      <c r="Q41" s="314"/>
      <c r="R41" s="314"/>
    </row>
    <row r="42">
      <c r="A42" s="255" t="s">
        <v>268</v>
      </c>
      <c r="B42" s="255" t="s">
        <v>198</v>
      </c>
      <c r="C42" s="255" t="s">
        <v>264</v>
      </c>
      <c r="D42" s="255" t="s">
        <v>96</v>
      </c>
      <c r="E42" s="255"/>
      <c r="F42" s="255">
        <v>1.0</v>
      </c>
      <c r="G42" s="255"/>
      <c r="H42" s="274" t="s">
        <v>265</v>
      </c>
      <c r="J42" s="309"/>
      <c r="K42" s="314"/>
      <c r="L42" s="314"/>
      <c r="M42" s="314"/>
      <c r="N42" s="314"/>
      <c r="O42" s="314"/>
      <c r="P42" s="314"/>
      <c r="Q42" s="314"/>
      <c r="R42" s="314"/>
    </row>
    <row r="43">
      <c r="A43" s="255" t="s">
        <v>269</v>
      </c>
      <c r="B43" s="255" t="s">
        <v>200</v>
      </c>
      <c r="C43" s="255" t="s">
        <v>264</v>
      </c>
      <c r="D43" s="255" t="s">
        <v>96</v>
      </c>
      <c r="E43" s="255"/>
      <c r="F43" s="255">
        <v>1.0</v>
      </c>
      <c r="G43" s="255"/>
      <c r="H43" s="274" t="s">
        <v>265</v>
      </c>
      <c r="J43" s="309"/>
      <c r="K43" s="314"/>
      <c r="L43" s="314"/>
      <c r="M43" s="314"/>
      <c r="N43" s="314"/>
      <c r="O43" s="314"/>
      <c r="P43" s="314"/>
      <c r="Q43" s="314"/>
      <c r="R43" s="314"/>
    </row>
    <row r="44">
      <c r="A44" s="255" t="s">
        <v>270</v>
      </c>
      <c r="B44" s="255" t="s">
        <v>202</v>
      </c>
      <c r="C44" s="255" t="s">
        <v>264</v>
      </c>
      <c r="D44" s="255" t="s">
        <v>96</v>
      </c>
      <c r="E44" s="255"/>
      <c r="F44" s="255">
        <v>1.0</v>
      </c>
      <c r="G44" s="255"/>
      <c r="H44" s="274" t="s">
        <v>265</v>
      </c>
      <c r="J44" s="309"/>
      <c r="K44" s="314"/>
      <c r="L44" s="314"/>
      <c r="M44" s="314"/>
      <c r="N44" s="314"/>
      <c r="O44" s="314"/>
      <c r="P44" s="314"/>
      <c r="Q44" s="314"/>
      <c r="R44" s="314"/>
      <c r="T44" s="12"/>
    </row>
    <row r="45">
      <c r="A45" s="255" t="s">
        <v>271</v>
      </c>
      <c r="B45" s="255" t="s">
        <v>204</v>
      </c>
      <c r="C45" s="255" t="s">
        <v>264</v>
      </c>
      <c r="D45" s="255" t="s">
        <v>96</v>
      </c>
      <c r="E45" s="255"/>
      <c r="F45" s="255">
        <v>1.0</v>
      </c>
      <c r="G45" s="255"/>
      <c r="H45" s="274" t="s">
        <v>265</v>
      </c>
      <c r="J45" s="309"/>
      <c r="K45" s="314"/>
      <c r="L45" s="314"/>
      <c r="M45" s="314"/>
      <c r="N45" s="314"/>
      <c r="O45" s="314"/>
      <c r="P45" s="314"/>
      <c r="Q45" s="314"/>
      <c r="R45" s="314"/>
      <c r="T45" s="12"/>
    </row>
    <row r="46">
      <c r="A46" s="255" t="s">
        <v>272</v>
      </c>
      <c r="B46" s="255" t="s">
        <v>205</v>
      </c>
      <c r="C46" s="255" t="s">
        <v>264</v>
      </c>
      <c r="D46" s="255" t="s">
        <v>96</v>
      </c>
      <c r="E46" s="255"/>
      <c r="F46" s="255">
        <v>1.0</v>
      </c>
      <c r="G46" s="255"/>
      <c r="H46" s="274" t="s">
        <v>265</v>
      </c>
      <c r="J46" s="309"/>
      <c r="K46" s="314"/>
      <c r="L46" s="314"/>
      <c r="M46" s="314"/>
      <c r="N46" s="314"/>
      <c r="O46" s="314"/>
      <c r="P46" s="314"/>
      <c r="Q46" s="314"/>
      <c r="R46" s="314"/>
      <c r="T46" s="12"/>
    </row>
    <row r="47">
      <c r="A47" s="255" t="s">
        <v>273</v>
      </c>
      <c r="B47" s="255" t="s">
        <v>207</v>
      </c>
      <c r="C47" s="255" t="s">
        <v>264</v>
      </c>
      <c r="D47" s="255" t="s">
        <v>96</v>
      </c>
      <c r="E47" s="255"/>
      <c r="F47" s="255">
        <v>1.0</v>
      </c>
      <c r="G47" s="255"/>
      <c r="H47" s="274" t="s">
        <v>265</v>
      </c>
      <c r="J47" s="309"/>
      <c r="K47" s="314"/>
      <c r="L47" s="314"/>
      <c r="M47" s="314"/>
      <c r="N47" s="314"/>
      <c r="O47" s="314"/>
      <c r="P47" s="314"/>
      <c r="Q47" s="314"/>
      <c r="R47" s="314"/>
      <c r="T47" s="12"/>
    </row>
    <row r="48">
      <c r="A48" s="255" t="s">
        <v>320</v>
      </c>
      <c r="B48" s="255" t="s">
        <v>315</v>
      </c>
      <c r="C48" s="255" t="s">
        <v>264</v>
      </c>
      <c r="D48" s="255" t="s">
        <v>96</v>
      </c>
      <c r="E48" s="255"/>
      <c r="F48" s="255">
        <v>1.0</v>
      </c>
      <c r="G48" s="255"/>
      <c r="H48" s="274" t="s">
        <v>265</v>
      </c>
      <c r="J48" s="309"/>
      <c r="K48" s="314"/>
      <c r="L48" s="314"/>
      <c r="M48" s="314"/>
      <c r="N48" s="314"/>
      <c r="O48" s="314"/>
      <c r="P48" s="314"/>
      <c r="Q48" s="314"/>
      <c r="R48" s="314"/>
      <c r="T48" s="12"/>
    </row>
    <row r="49">
      <c r="A49" s="255" t="s">
        <v>321</v>
      </c>
      <c r="B49" s="255" t="s">
        <v>316</v>
      </c>
      <c r="C49" s="255" t="s">
        <v>264</v>
      </c>
      <c r="D49" s="255" t="s">
        <v>96</v>
      </c>
      <c r="E49" s="255"/>
      <c r="F49" s="255">
        <v>1.0</v>
      </c>
      <c r="G49" s="255"/>
      <c r="H49" s="274" t="s">
        <v>265</v>
      </c>
      <c r="J49" s="309"/>
      <c r="K49" s="314"/>
      <c r="L49" s="314"/>
      <c r="M49" s="314"/>
      <c r="N49" s="314"/>
      <c r="O49" s="314"/>
      <c r="P49" s="314"/>
      <c r="Q49" s="314"/>
      <c r="R49" s="314"/>
      <c r="T49" s="12"/>
    </row>
    <row r="50">
      <c r="A50" s="16" t="s">
        <v>274</v>
      </c>
      <c r="B50" s="16" t="s">
        <v>11</v>
      </c>
      <c r="C50" s="16" t="s">
        <v>275</v>
      </c>
      <c r="D50" s="16" t="s">
        <v>96</v>
      </c>
      <c r="E50" s="17"/>
      <c r="F50" s="16">
        <v>1.0</v>
      </c>
      <c r="G50" s="17"/>
      <c r="H50" s="16" t="s">
        <v>265</v>
      </c>
      <c r="J50" s="309"/>
      <c r="K50" s="314"/>
      <c r="L50" s="314"/>
      <c r="M50" s="314"/>
      <c r="N50" s="314"/>
      <c r="O50" s="314"/>
      <c r="P50" s="314"/>
      <c r="Q50" s="314"/>
      <c r="R50" s="314"/>
      <c r="T50" s="12"/>
    </row>
    <row r="51">
      <c r="A51" s="16" t="s">
        <v>276</v>
      </c>
      <c r="B51" s="16" t="s">
        <v>11</v>
      </c>
      <c r="C51" s="16" t="s">
        <v>275</v>
      </c>
      <c r="D51" s="16" t="s">
        <v>96</v>
      </c>
      <c r="E51" s="17"/>
      <c r="F51" s="16">
        <v>1.0</v>
      </c>
      <c r="G51" s="17"/>
      <c r="H51" s="16" t="s">
        <v>265</v>
      </c>
      <c r="J51" s="309"/>
      <c r="K51" s="314"/>
      <c r="L51" s="314"/>
      <c r="M51" s="314"/>
      <c r="N51" s="314"/>
      <c r="O51" s="314"/>
      <c r="P51" s="314"/>
      <c r="Q51" s="314"/>
      <c r="R51" s="314"/>
      <c r="T51" s="12"/>
    </row>
    <row r="52">
      <c r="A52" s="16" t="s">
        <v>277</v>
      </c>
      <c r="B52" s="16" t="s">
        <v>11</v>
      </c>
      <c r="C52" s="16" t="s">
        <v>275</v>
      </c>
      <c r="D52" s="16" t="s">
        <v>96</v>
      </c>
      <c r="E52" s="17"/>
      <c r="F52" s="16">
        <v>2.0</v>
      </c>
      <c r="G52" s="17"/>
      <c r="H52" s="16" t="s">
        <v>265</v>
      </c>
      <c r="I52" s="314"/>
      <c r="J52" s="309"/>
      <c r="K52" s="314"/>
      <c r="L52" s="314"/>
      <c r="M52" s="314"/>
      <c r="N52" s="314"/>
      <c r="O52" s="314"/>
      <c r="P52" s="314"/>
      <c r="Q52" s="314"/>
      <c r="R52" s="314"/>
      <c r="S52" s="314"/>
      <c r="T52" s="39"/>
    </row>
    <row r="53">
      <c r="A53" s="16" t="s">
        <v>274</v>
      </c>
      <c r="B53" s="16" t="s">
        <v>16</v>
      </c>
      <c r="C53" s="16" t="s">
        <v>275</v>
      </c>
      <c r="D53" s="16" t="s">
        <v>96</v>
      </c>
      <c r="E53" s="17"/>
      <c r="F53" s="16">
        <v>0.0</v>
      </c>
      <c r="G53" s="17"/>
      <c r="H53" s="16" t="s">
        <v>265</v>
      </c>
      <c r="I53" s="314"/>
      <c r="J53" s="309"/>
      <c r="K53" s="314"/>
      <c r="L53" s="314"/>
      <c r="M53" s="314"/>
      <c r="N53" s="314"/>
      <c r="O53" s="314"/>
      <c r="P53" s="314"/>
      <c r="Q53" s="314"/>
      <c r="R53" s="314"/>
      <c r="S53" s="314"/>
      <c r="T53" s="39"/>
    </row>
    <row r="54">
      <c r="A54" s="16" t="s">
        <v>276</v>
      </c>
      <c r="B54" s="16" t="s">
        <v>16</v>
      </c>
      <c r="C54" s="16" t="s">
        <v>275</v>
      </c>
      <c r="D54" s="16" t="s">
        <v>96</v>
      </c>
      <c r="E54" s="17"/>
      <c r="F54" s="16">
        <v>1.0</v>
      </c>
      <c r="G54" s="17"/>
      <c r="H54" s="16" t="s">
        <v>265</v>
      </c>
      <c r="I54" s="314"/>
      <c r="J54" s="309"/>
      <c r="K54" s="314"/>
      <c r="L54" s="314"/>
      <c r="M54" s="314"/>
      <c r="N54" s="314"/>
      <c r="O54" s="314"/>
      <c r="P54" s="314"/>
      <c r="Q54" s="314"/>
      <c r="R54" s="314"/>
      <c r="S54" s="314"/>
      <c r="T54" s="39"/>
    </row>
    <row r="55">
      <c r="A55" s="16" t="s">
        <v>277</v>
      </c>
      <c r="B55" s="16" t="s">
        <v>16</v>
      </c>
      <c r="C55" s="16" t="s">
        <v>275</v>
      </c>
      <c r="D55" s="16" t="s">
        <v>96</v>
      </c>
      <c r="E55" s="17"/>
      <c r="F55" s="16">
        <v>0.0</v>
      </c>
      <c r="G55" s="17"/>
      <c r="H55" s="16" t="s">
        <v>265</v>
      </c>
      <c r="I55" s="314"/>
      <c r="K55" s="314"/>
      <c r="L55" s="314"/>
      <c r="M55" s="314"/>
      <c r="N55" s="314"/>
      <c r="O55" s="314"/>
      <c r="P55" s="314"/>
      <c r="Q55" s="314"/>
      <c r="R55" s="314"/>
      <c r="S55" s="314"/>
      <c r="T55" s="39"/>
    </row>
    <row r="56">
      <c r="A56" s="16" t="s">
        <v>274</v>
      </c>
      <c r="B56" s="16" t="s">
        <v>19</v>
      </c>
      <c r="C56" s="16" t="s">
        <v>275</v>
      </c>
      <c r="D56" s="16" t="s">
        <v>96</v>
      </c>
      <c r="E56" s="17"/>
      <c r="F56" s="16">
        <v>1.0</v>
      </c>
      <c r="G56" s="17"/>
      <c r="H56" s="16" t="s">
        <v>265</v>
      </c>
      <c r="I56" s="314"/>
      <c r="K56" s="314"/>
      <c r="L56" s="314"/>
      <c r="M56" s="314"/>
      <c r="N56" s="314"/>
      <c r="O56" s="314"/>
      <c r="P56" s="314"/>
      <c r="Q56" s="314"/>
      <c r="R56" s="314"/>
      <c r="S56" s="314"/>
      <c r="T56" s="39"/>
    </row>
    <row r="57">
      <c r="A57" s="16" t="s">
        <v>276</v>
      </c>
      <c r="B57" s="16" t="s">
        <v>19</v>
      </c>
      <c r="C57" s="16" t="s">
        <v>275</v>
      </c>
      <c r="D57" s="16" t="s">
        <v>96</v>
      </c>
      <c r="E57" s="17"/>
      <c r="F57" s="16">
        <v>1.0</v>
      </c>
      <c r="G57" s="17"/>
      <c r="H57" s="16" t="s">
        <v>265</v>
      </c>
      <c r="I57" s="314"/>
      <c r="K57" s="314"/>
      <c r="L57" s="314"/>
      <c r="M57" s="314"/>
      <c r="N57" s="314"/>
      <c r="O57" s="314"/>
      <c r="P57" s="314"/>
      <c r="Q57" s="314"/>
      <c r="R57" s="314"/>
      <c r="S57" s="314"/>
      <c r="T57" s="39"/>
    </row>
    <row r="58">
      <c r="A58" s="16" t="s">
        <v>277</v>
      </c>
      <c r="B58" s="16" t="s">
        <v>19</v>
      </c>
      <c r="C58" s="16" t="s">
        <v>275</v>
      </c>
      <c r="D58" s="16" t="s">
        <v>96</v>
      </c>
      <c r="E58" s="17"/>
      <c r="F58" s="16">
        <v>2.0</v>
      </c>
      <c r="G58" s="17"/>
      <c r="H58" s="16" t="s">
        <v>265</v>
      </c>
      <c r="I58" s="314"/>
      <c r="K58" s="314"/>
      <c r="L58" s="314"/>
      <c r="M58" s="314"/>
      <c r="N58" s="314"/>
      <c r="O58" s="314"/>
      <c r="P58" s="314"/>
      <c r="Q58" s="314"/>
      <c r="R58" s="314"/>
      <c r="S58" s="314"/>
      <c r="T58" s="39"/>
    </row>
    <row r="59">
      <c r="A59" s="37" t="s">
        <v>278</v>
      </c>
      <c r="B59" s="37" t="s">
        <v>209</v>
      </c>
      <c r="C59" s="37" t="s">
        <v>279</v>
      </c>
      <c r="D59" s="37" t="s">
        <v>96</v>
      </c>
      <c r="E59" s="275"/>
      <c r="F59" s="276" t="s">
        <v>280</v>
      </c>
      <c r="G59" s="275"/>
      <c r="H59" s="37" t="s">
        <v>265</v>
      </c>
      <c r="I59" s="314"/>
      <c r="K59" s="314"/>
      <c r="L59" s="314"/>
      <c r="M59" s="314"/>
      <c r="N59" s="314"/>
      <c r="O59" s="314"/>
      <c r="P59" s="314"/>
      <c r="Q59" s="314"/>
      <c r="R59" s="314"/>
      <c r="S59" s="314"/>
    </row>
    <row r="60">
      <c r="A60" s="37" t="s">
        <v>281</v>
      </c>
      <c r="B60" s="37" t="s">
        <v>211</v>
      </c>
      <c r="C60" s="37" t="s">
        <v>282</v>
      </c>
      <c r="D60" s="37" t="s">
        <v>96</v>
      </c>
      <c r="E60" s="275"/>
      <c r="F60" s="276" t="s">
        <v>280</v>
      </c>
      <c r="G60" s="275"/>
      <c r="H60" s="37" t="s">
        <v>265</v>
      </c>
      <c r="I60" s="314"/>
      <c r="K60" s="314"/>
      <c r="L60" s="314"/>
      <c r="M60" s="314"/>
      <c r="N60" s="314"/>
      <c r="O60" s="314"/>
      <c r="P60" s="314"/>
      <c r="Q60" s="314"/>
      <c r="R60" s="314"/>
      <c r="S60" s="314"/>
    </row>
    <row r="61">
      <c r="A61" s="37" t="s">
        <v>283</v>
      </c>
      <c r="B61" s="37" t="s">
        <v>213</v>
      </c>
      <c r="C61" s="37" t="s">
        <v>284</v>
      </c>
      <c r="D61" s="37" t="s">
        <v>96</v>
      </c>
      <c r="E61" s="275"/>
      <c r="F61" s="276" t="s">
        <v>280</v>
      </c>
      <c r="G61" s="275"/>
      <c r="H61" s="37" t="s">
        <v>265</v>
      </c>
      <c r="I61" s="314"/>
      <c r="K61" s="314"/>
      <c r="L61" s="314"/>
      <c r="M61" s="314"/>
      <c r="N61" s="314"/>
      <c r="O61" s="314"/>
      <c r="P61" s="314"/>
      <c r="Q61" s="314"/>
      <c r="R61" s="314"/>
      <c r="S61" s="314"/>
    </row>
    <row r="62">
      <c r="A62" s="314"/>
      <c r="B62" s="314"/>
      <c r="C62" s="314"/>
      <c r="D62" s="314"/>
      <c r="E62" s="314"/>
      <c r="F62" s="314"/>
      <c r="G62" s="314"/>
      <c r="H62" s="314"/>
      <c r="I62" s="314"/>
      <c r="K62" s="314"/>
      <c r="L62" s="314"/>
      <c r="M62" s="314"/>
      <c r="N62" s="314"/>
      <c r="O62" s="314"/>
      <c r="P62" s="314"/>
      <c r="Q62" s="314"/>
      <c r="R62" s="314"/>
      <c r="S62" s="314"/>
    </row>
    <row r="63">
      <c r="A63" s="314"/>
      <c r="B63" s="314"/>
      <c r="C63" s="314"/>
      <c r="D63" s="314"/>
      <c r="E63" s="314"/>
      <c r="F63" s="314"/>
      <c r="G63" s="314"/>
      <c r="H63" s="314"/>
      <c r="I63" s="314"/>
      <c r="K63" s="314"/>
      <c r="L63" s="314"/>
      <c r="M63" s="314"/>
      <c r="N63" s="314"/>
      <c r="O63" s="314"/>
      <c r="P63" s="314"/>
      <c r="Q63" s="314"/>
      <c r="R63" s="314"/>
      <c r="S63" s="314"/>
    </row>
    <row r="64">
      <c r="A64" s="314"/>
      <c r="B64" s="314"/>
      <c r="C64" s="314"/>
      <c r="D64" s="314"/>
      <c r="E64" s="314"/>
      <c r="F64" s="314"/>
      <c r="G64" s="314"/>
      <c r="H64" s="314"/>
      <c r="I64" s="314"/>
      <c r="K64" s="314"/>
      <c r="L64" s="314"/>
      <c r="M64" s="314"/>
      <c r="N64" s="314"/>
      <c r="O64" s="314"/>
      <c r="P64" s="314"/>
      <c r="Q64" s="314"/>
      <c r="R64" s="314"/>
      <c r="S64" s="314"/>
    </row>
    <row r="65">
      <c r="A65" s="314"/>
      <c r="B65" s="314"/>
      <c r="C65" s="314"/>
      <c r="D65" s="314"/>
      <c r="E65" s="314"/>
      <c r="F65" s="314"/>
      <c r="G65" s="314"/>
      <c r="H65" s="314"/>
      <c r="I65" s="314"/>
      <c r="K65" s="314"/>
      <c r="L65" s="314"/>
      <c r="M65" s="314"/>
      <c r="N65" s="314"/>
      <c r="O65" s="314"/>
      <c r="P65" s="314"/>
      <c r="Q65" s="314"/>
      <c r="R65" s="314"/>
      <c r="S65" s="314"/>
    </row>
  </sheetData>
  <mergeCells count="5">
    <mergeCell ref="A1:I1"/>
    <mergeCell ref="K1:S1"/>
    <mergeCell ref="A2:I2"/>
    <mergeCell ref="K2:S2"/>
    <mergeCell ref="K26:S26"/>
  </mergeCell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hidden="1" min="5" max="5" width="12.63"/>
    <col customWidth="1" min="11" max="11" width="13.25"/>
  </cols>
  <sheetData>
    <row r="1">
      <c r="A1" s="12" t="s">
        <v>322</v>
      </c>
      <c r="B1" s="12" t="s">
        <v>261</v>
      </c>
      <c r="C1" s="39" t="s">
        <v>323</v>
      </c>
      <c r="D1" s="39" t="s">
        <v>324</v>
      </c>
      <c r="E1" s="4" t="s">
        <v>325</v>
      </c>
      <c r="F1" s="4" t="s">
        <v>326</v>
      </c>
      <c r="G1" s="4" t="s">
        <v>327</v>
      </c>
      <c r="H1" s="12" t="s">
        <v>328</v>
      </c>
      <c r="I1" s="12" t="s">
        <v>329</v>
      </c>
      <c r="J1" s="12" t="s">
        <v>330</v>
      </c>
      <c r="K1" s="12" t="s">
        <v>331</v>
      </c>
      <c r="L1" s="12" t="s">
        <v>332</v>
      </c>
    </row>
    <row r="2">
      <c r="A2" s="186">
        <v>1.0</v>
      </c>
      <c r="B2" s="4" t="s">
        <v>96</v>
      </c>
      <c r="C2" s="186" t="s">
        <v>333</v>
      </c>
      <c r="D2" s="12">
        <v>1.0</v>
      </c>
      <c r="E2" s="186" t="s">
        <v>236</v>
      </c>
      <c r="F2" s="12">
        <v>1.0</v>
      </c>
      <c r="G2" s="12">
        <v>1.0</v>
      </c>
      <c r="H2" s="186" t="s">
        <v>262</v>
      </c>
      <c r="I2" s="315" t="b">
        <v>0</v>
      </c>
      <c r="J2" s="12">
        <v>1.0</v>
      </c>
      <c r="K2" s="186">
        <f t="shared" ref="K2:K157" si="1">D2-3</f>
        <v>-2</v>
      </c>
      <c r="L2" s="186" t="str">
        <f>YEAR(NOW()) &amp; "-W" &amp; CONTROL_CENTER!$J$3</f>
        <v>2026-W19</v>
      </c>
    </row>
    <row r="3">
      <c r="A3" s="186">
        <v>2.0</v>
      </c>
      <c r="B3" s="4" t="s">
        <v>96</v>
      </c>
      <c r="C3" s="186" t="s">
        <v>175</v>
      </c>
      <c r="D3" s="12">
        <v>1.0</v>
      </c>
      <c r="E3" s="186" t="s">
        <v>236</v>
      </c>
      <c r="F3" s="12">
        <v>1.0</v>
      </c>
      <c r="G3" s="12">
        <v>2.0</v>
      </c>
      <c r="H3" s="186" t="s">
        <v>262</v>
      </c>
      <c r="I3" s="315" t="b">
        <v>1</v>
      </c>
      <c r="J3" s="12">
        <v>1.0</v>
      </c>
      <c r="K3" s="186">
        <f t="shared" si="1"/>
        <v>-2</v>
      </c>
      <c r="L3" s="186" t="str">
        <f>YEAR(NOW()) &amp; "-W" &amp; CONTROL_CENTER!$J$3</f>
        <v>2026-W19</v>
      </c>
    </row>
    <row r="4">
      <c r="A4" s="186">
        <v>3.0</v>
      </c>
      <c r="B4" s="4" t="s">
        <v>96</v>
      </c>
      <c r="C4" s="186" t="s">
        <v>177</v>
      </c>
      <c r="D4" s="12">
        <v>1.0</v>
      </c>
      <c r="E4" s="186" t="s">
        <v>236</v>
      </c>
      <c r="F4" s="12">
        <v>1.0</v>
      </c>
      <c r="G4" s="12">
        <v>3.0</v>
      </c>
      <c r="H4" s="186" t="s">
        <v>262</v>
      </c>
      <c r="I4" s="315" t="b">
        <v>1</v>
      </c>
      <c r="J4" s="12">
        <v>1.0</v>
      </c>
      <c r="K4" s="186">
        <f t="shared" si="1"/>
        <v>-2</v>
      </c>
      <c r="L4" s="186" t="str">
        <f>YEAR(NOW()) &amp; "-W" &amp; CONTROL_CENTER!$J$3</f>
        <v>2026-W19</v>
      </c>
    </row>
    <row r="5">
      <c r="A5" s="186">
        <v>4.0</v>
      </c>
      <c r="B5" s="4" t="s">
        <v>96</v>
      </c>
      <c r="C5" s="186" t="s">
        <v>216</v>
      </c>
      <c r="D5" s="12">
        <v>1.0</v>
      </c>
      <c r="E5" s="186" t="s">
        <v>236</v>
      </c>
      <c r="F5" s="12">
        <v>1.0</v>
      </c>
      <c r="G5" s="12">
        <v>4.0</v>
      </c>
      <c r="H5" s="186" t="s">
        <v>262</v>
      </c>
      <c r="I5" s="315" t="b">
        <v>0</v>
      </c>
      <c r="J5" s="12">
        <v>1.0</v>
      </c>
      <c r="K5" s="186">
        <f t="shared" si="1"/>
        <v>-2</v>
      </c>
      <c r="L5" s="186" t="str">
        <f>YEAR(NOW()) &amp; "-W" &amp; CONTROL_CENTER!$J$3</f>
        <v>2026-W19</v>
      </c>
    </row>
    <row r="6">
      <c r="A6" s="186">
        <v>5.0</v>
      </c>
      <c r="B6" s="4" t="s">
        <v>96</v>
      </c>
      <c r="C6" s="186" t="s">
        <v>179</v>
      </c>
      <c r="D6" s="12">
        <v>1.0</v>
      </c>
      <c r="E6" s="186" t="s">
        <v>236</v>
      </c>
      <c r="F6" s="12">
        <v>1.0</v>
      </c>
      <c r="G6" s="12">
        <v>5.0</v>
      </c>
      <c r="H6" s="186" t="s">
        <v>262</v>
      </c>
      <c r="I6" s="315" t="b">
        <v>1</v>
      </c>
      <c r="J6" s="12">
        <v>1.0</v>
      </c>
      <c r="K6" s="186">
        <f t="shared" si="1"/>
        <v>-2</v>
      </c>
      <c r="L6" s="186" t="str">
        <f>YEAR(NOW()) &amp; "-W" &amp; CONTROL_CENTER!$J$3</f>
        <v>2026-W19</v>
      </c>
    </row>
    <row r="7">
      <c r="A7" s="186">
        <v>6.0</v>
      </c>
      <c r="B7" s="4" t="s">
        <v>96</v>
      </c>
      <c r="C7" s="186" t="s">
        <v>189</v>
      </c>
      <c r="D7" s="12">
        <v>2.0</v>
      </c>
      <c r="E7" s="186" t="s">
        <v>236</v>
      </c>
      <c r="F7" s="12">
        <v>2.0</v>
      </c>
      <c r="G7" s="12">
        <v>6.0</v>
      </c>
      <c r="H7" s="186" t="s">
        <v>262</v>
      </c>
      <c r="I7" s="315" t="b">
        <v>1</v>
      </c>
      <c r="J7" s="12">
        <v>1.0</v>
      </c>
      <c r="K7" s="186">
        <f t="shared" si="1"/>
        <v>-1</v>
      </c>
      <c r="L7" s="186" t="str">
        <f>YEAR(NOW()) &amp; "-W" &amp; CONTROL_CENTER!$J$3</f>
        <v>2026-W19</v>
      </c>
    </row>
    <row r="8">
      <c r="A8" s="186">
        <v>7.0</v>
      </c>
      <c r="B8" s="4" t="s">
        <v>96</v>
      </c>
      <c r="C8" s="186" t="s">
        <v>181</v>
      </c>
      <c r="D8" s="12">
        <v>2.0</v>
      </c>
      <c r="E8" s="186" t="s">
        <v>236</v>
      </c>
      <c r="F8" s="12">
        <v>1.0</v>
      </c>
      <c r="G8" s="12">
        <v>7.0</v>
      </c>
      <c r="H8" s="186" t="s">
        <v>262</v>
      </c>
      <c r="I8" s="315" t="b">
        <v>1</v>
      </c>
      <c r="J8" s="12">
        <v>1.0</v>
      </c>
      <c r="K8" s="186">
        <f t="shared" si="1"/>
        <v>-1</v>
      </c>
      <c r="L8" s="186" t="str">
        <f>YEAR(NOW()) &amp; "-W" &amp; CONTROL_CENTER!$J$3</f>
        <v>2026-W19</v>
      </c>
    </row>
    <row r="9">
      <c r="A9" s="186">
        <v>8.0</v>
      </c>
      <c r="B9" s="4" t="s">
        <v>96</v>
      </c>
      <c r="C9" s="186" t="s">
        <v>185</v>
      </c>
      <c r="D9" s="12">
        <v>2.0</v>
      </c>
      <c r="E9" s="186" t="s">
        <v>236</v>
      </c>
      <c r="F9" s="12">
        <v>2.0</v>
      </c>
      <c r="G9" s="12">
        <v>7.0</v>
      </c>
      <c r="H9" s="186" t="s">
        <v>262</v>
      </c>
      <c r="I9" s="315" t="b">
        <v>1</v>
      </c>
      <c r="J9" s="12">
        <v>1.0</v>
      </c>
      <c r="K9" s="186">
        <f t="shared" si="1"/>
        <v>-1</v>
      </c>
      <c r="L9" s="186" t="str">
        <f>YEAR(NOW()) &amp; "-W" &amp; CONTROL_CENTER!$J$3</f>
        <v>2026-W19</v>
      </c>
    </row>
    <row r="10">
      <c r="A10" s="186">
        <v>9.0</v>
      </c>
      <c r="B10" s="4" t="s">
        <v>96</v>
      </c>
      <c r="C10" s="186" t="s">
        <v>334</v>
      </c>
      <c r="D10" s="12">
        <v>2.0</v>
      </c>
      <c r="E10" s="186" t="s">
        <v>236</v>
      </c>
      <c r="F10" s="12">
        <v>1.0</v>
      </c>
      <c r="G10" s="12">
        <v>8.0</v>
      </c>
      <c r="H10" s="186" t="s">
        <v>262</v>
      </c>
      <c r="I10" s="315" t="b">
        <v>0</v>
      </c>
      <c r="J10" s="12">
        <v>1.0</v>
      </c>
      <c r="K10" s="186">
        <f t="shared" si="1"/>
        <v>-1</v>
      </c>
      <c r="L10" s="186" t="str">
        <f>YEAR(NOW()) &amp; "-W" &amp; CONTROL_CENTER!$J$3</f>
        <v>2026-W19</v>
      </c>
    </row>
    <row r="11">
      <c r="A11" s="186">
        <v>10.0</v>
      </c>
      <c r="B11" s="4" t="s">
        <v>96</v>
      </c>
      <c r="C11" s="186" t="s">
        <v>191</v>
      </c>
      <c r="D11" s="12">
        <v>2.0</v>
      </c>
      <c r="E11" s="186" t="s">
        <v>236</v>
      </c>
      <c r="F11" s="12">
        <v>2.0</v>
      </c>
      <c r="G11" s="12">
        <v>8.0</v>
      </c>
      <c r="H11" s="186" t="s">
        <v>262</v>
      </c>
      <c r="I11" s="315" t="b">
        <v>1</v>
      </c>
      <c r="J11" s="12">
        <v>1.0</v>
      </c>
      <c r="K11" s="186">
        <f t="shared" si="1"/>
        <v>-1</v>
      </c>
      <c r="L11" s="186" t="str">
        <f>YEAR(NOW()) &amp; "-W" &amp; CONTROL_CENTER!$J$3</f>
        <v>2026-W19</v>
      </c>
    </row>
    <row r="12">
      <c r="A12" s="186">
        <v>11.0</v>
      </c>
      <c r="B12" s="4" t="s">
        <v>96</v>
      </c>
      <c r="C12" s="186" t="s">
        <v>183</v>
      </c>
      <c r="D12" s="12">
        <v>2.0</v>
      </c>
      <c r="E12" s="186" t="s">
        <v>236</v>
      </c>
      <c r="F12" s="12">
        <v>1.0</v>
      </c>
      <c r="G12" s="12">
        <v>9.0</v>
      </c>
      <c r="H12" s="186" t="s">
        <v>262</v>
      </c>
      <c r="I12" s="315" t="b">
        <v>1</v>
      </c>
      <c r="J12" s="12">
        <v>1.0</v>
      </c>
      <c r="K12" s="186">
        <f t="shared" si="1"/>
        <v>-1</v>
      </c>
      <c r="L12" s="186" t="str">
        <f>YEAR(NOW()) &amp; "-W" &amp; CONTROL_CENTER!$J$3</f>
        <v>2026-W19</v>
      </c>
    </row>
    <row r="13">
      <c r="A13" s="186">
        <v>12.0</v>
      </c>
      <c r="B13" s="4" t="s">
        <v>96</v>
      </c>
      <c r="C13" s="186" t="s">
        <v>187</v>
      </c>
      <c r="D13" s="12">
        <v>2.0</v>
      </c>
      <c r="E13" s="186" t="s">
        <v>236</v>
      </c>
      <c r="F13" s="12">
        <v>2.0</v>
      </c>
      <c r="G13" s="12">
        <v>9.0</v>
      </c>
      <c r="H13" s="186" t="s">
        <v>262</v>
      </c>
      <c r="I13" s="315" t="b">
        <v>1</v>
      </c>
      <c r="J13" s="12">
        <v>1.0</v>
      </c>
      <c r="K13" s="186">
        <f t="shared" si="1"/>
        <v>-1</v>
      </c>
      <c r="L13" s="186" t="str">
        <f>YEAR(NOW()) &amp; "-W" &amp; CONTROL_CENTER!$J$3</f>
        <v>2026-W19</v>
      </c>
    </row>
    <row r="14">
      <c r="A14" s="316">
        <v>13.0</v>
      </c>
      <c r="B14" s="140" t="s">
        <v>96</v>
      </c>
      <c r="C14" s="316" t="s">
        <v>335</v>
      </c>
      <c r="D14" s="317">
        <v>3.0</v>
      </c>
      <c r="E14" s="316">
        <v>1.0</v>
      </c>
      <c r="F14" s="316">
        <v>1.0</v>
      </c>
      <c r="G14" s="317">
        <v>10.0</v>
      </c>
      <c r="H14" s="316" t="s">
        <v>265</v>
      </c>
      <c r="I14" s="315" t="b">
        <v>0</v>
      </c>
      <c r="J14" s="317">
        <v>4.0</v>
      </c>
      <c r="K14" s="316">
        <f t="shared" si="1"/>
        <v>0</v>
      </c>
      <c r="L14" s="186" t="str">
        <f>YEAR(NOW()) &amp; "-W" &amp; CONTROL_CENTER!$J$3</f>
        <v>2026-W19</v>
      </c>
    </row>
    <row r="15">
      <c r="A15" s="316">
        <v>14.0</v>
      </c>
      <c r="B15" s="140" t="s">
        <v>96</v>
      </c>
      <c r="C15" s="316" t="s">
        <v>336</v>
      </c>
      <c r="D15" s="317">
        <v>3.0</v>
      </c>
      <c r="E15" s="316">
        <v>1.0</v>
      </c>
      <c r="F15" s="316">
        <v>2.0</v>
      </c>
      <c r="G15" s="317">
        <v>10.0</v>
      </c>
      <c r="H15" s="316" t="s">
        <v>265</v>
      </c>
      <c r="I15" s="315" t="b">
        <v>0</v>
      </c>
      <c r="J15" s="317">
        <v>2.0</v>
      </c>
      <c r="K15" s="316">
        <f t="shared" si="1"/>
        <v>0</v>
      </c>
      <c r="L15" s="186" t="str">
        <f>YEAR(NOW()) &amp; "-W" &amp; CONTROL_CENTER!$J$3</f>
        <v>2026-W19</v>
      </c>
    </row>
    <row r="16">
      <c r="A16" s="186">
        <v>15.0</v>
      </c>
      <c r="B16" s="140" t="s">
        <v>96</v>
      </c>
      <c r="C16" s="316" t="s">
        <v>337</v>
      </c>
      <c r="D16" s="317">
        <v>3.0</v>
      </c>
      <c r="E16" s="316">
        <v>1.0</v>
      </c>
      <c r="F16" s="316">
        <v>3.0</v>
      </c>
      <c r="G16" s="317">
        <v>10.0</v>
      </c>
      <c r="H16" s="316" t="s">
        <v>265</v>
      </c>
      <c r="I16" s="315" t="b">
        <v>0</v>
      </c>
      <c r="J16" s="317">
        <v>6.0</v>
      </c>
      <c r="K16" s="316">
        <f t="shared" si="1"/>
        <v>0</v>
      </c>
      <c r="L16" s="186" t="str">
        <f>YEAR(NOW()) &amp; "-W" &amp; CONTROL_CENTER!$J$3</f>
        <v>2026-W19</v>
      </c>
    </row>
    <row r="17">
      <c r="A17" s="186">
        <v>16.0</v>
      </c>
      <c r="B17" s="140" t="s">
        <v>96</v>
      </c>
      <c r="C17" s="316" t="s">
        <v>338</v>
      </c>
      <c r="D17" s="317">
        <v>3.0</v>
      </c>
      <c r="E17" s="316">
        <v>0.0</v>
      </c>
      <c r="F17" s="316">
        <v>1.0</v>
      </c>
      <c r="G17" s="317">
        <v>11.0</v>
      </c>
      <c r="H17" s="316" t="s">
        <v>265</v>
      </c>
      <c r="I17" s="315" t="b">
        <v>0</v>
      </c>
      <c r="J17" s="317">
        <v>3.0</v>
      </c>
      <c r="K17" s="316">
        <f t="shared" si="1"/>
        <v>0</v>
      </c>
      <c r="L17" s="186" t="str">
        <f>YEAR(NOW()) &amp; "-W" &amp; CONTROL_CENTER!$J$3</f>
        <v>2026-W19</v>
      </c>
    </row>
    <row r="18">
      <c r="A18" s="186">
        <v>17.0</v>
      </c>
      <c r="B18" s="140" t="s">
        <v>96</v>
      </c>
      <c r="C18" s="316" t="s">
        <v>339</v>
      </c>
      <c r="D18" s="317">
        <v>3.0</v>
      </c>
      <c r="E18" s="316">
        <v>0.0</v>
      </c>
      <c r="F18" s="316">
        <v>2.0</v>
      </c>
      <c r="G18" s="317">
        <v>11.0</v>
      </c>
      <c r="H18" s="316" t="s">
        <v>265</v>
      </c>
      <c r="I18" s="315" t="b">
        <v>0</v>
      </c>
      <c r="J18" s="317">
        <v>1.0</v>
      </c>
      <c r="K18" s="316">
        <f t="shared" si="1"/>
        <v>0</v>
      </c>
      <c r="L18" s="186" t="str">
        <f>YEAR(NOW()) &amp; "-W" &amp; CONTROL_CENTER!$J$3</f>
        <v>2026-W19</v>
      </c>
      <c r="N18" s="12" t="s">
        <v>236</v>
      </c>
    </row>
    <row r="19">
      <c r="A19" s="186">
        <v>18.0</v>
      </c>
      <c r="B19" s="140" t="s">
        <v>96</v>
      </c>
      <c r="C19" s="316" t="s">
        <v>340</v>
      </c>
      <c r="D19" s="317">
        <v>3.0</v>
      </c>
      <c r="E19" s="316">
        <v>0.0</v>
      </c>
      <c r="F19" s="316">
        <v>3.0</v>
      </c>
      <c r="G19" s="317">
        <v>11.0</v>
      </c>
      <c r="H19" s="316" t="s">
        <v>265</v>
      </c>
      <c r="I19" s="315" t="b">
        <v>0</v>
      </c>
      <c r="J19" s="317">
        <v>5.0</v>
      </c>
      <c r="K19" s="316">
        <f t="shared" si="1"/>
        <v>0</v>
      </c>
      <c r="L19" s="186" t="str">
        <f>YEAR(NOW()) &amp; "-W" &amp; CONTROL_CENTER!$J$3</f>
        <v>2026-W19</v>
      </c>
      <c r="N19" s="12" t="s">
        <v>236</v>
      </c>
    </row>
    <row r="20">
      <c r="A20" s="186">
        <v>19.0</v>
      </c>
      <c r="B20" s="140" t="s">
        <v>96</v>
      </c>
      <c r="C20" s="316" t="s">
        <v>341</v>
      </c>
      <c r="D20" s="317">
        <v>4.0</v>
      </c>
      <c r="E20" s="316">
        <v>2.0</v>
      </c>
      <c r="F20" s="316">
        <v>1.0</v>
      </c>
      <c r="G20" s="318">
        <v>12.0</v>
      </c>
      <c r="H20" s="316" t="s">
        <v>265</v>
      </c>
      <c r="I20" s="315" t="b">
        <v>0</v>
      </c>
      <c r="J20" s="317">
        <v>6.0</v>
      </c>
      <c r="K20" s="316">
        <f t="shared" si="1"/>
        <v>1</v>
      </c>
      <c r="L20" s="186" t="str">
        <f>YEAR(NOW()) &amp; "-W" &amp; CONTROL_CENTER!$J$3</f>
        <v>2026-W19</v>
      </c>
      <c r="N20" s="12" t="s">
        <v>236</v>
      </c>
    </row>
    <row r="21">
      <c r="A21" s="186">
        <v>20.0</v>
      </c>
      <c r="B21" s="140" t="s">
        <v>96</v>
      </c>
      <c r="C21" s="316" t="s">
        <v>342</v>
      </c>
      <c r="D21" s="317">
        <v>4.0</v>
      </c>
      <c r="E21" s="316">
        <v>2.0</v>
      </c>
      <c r="F21" s="316">
        <v>2.0</v>
      </c>
      <c r="G21" s="318">
        <v>12.0</v>
      </c>
      <c r="H21" s="316" t="s">
        <v>265</v>
      </c>
      <c r="I21" s="315" t="b">
        <v>0</v>
      </c>
      <c r="J21" s="317">
        <v>3.0</v>
      </c>
      <c r="K21" s="316">
        <f t="shared" si="1"/>
        <v>1</v>
      </c>
      <c r="L21" s="186" t="str">
        <f>YEAR(NOW()) &amp; "-W" &amp; CONTROL_CENTER!$J$3</f>
        <v>2026-W19</v>
      </c>
      <c r="N21" s="12" t="s">
        <v>236</v>
      </c>
    </row>
    <row r="22">
      <c r="A22" s="186">
        <v>21.0</v>
      </c>
      <c r="B22" s="140" t="s">
        <v>96</v>
      </c>
      <c r="C22" s="316" t="s">
        <v>343</v>
      </c>
      <c r="D22" s="317">
        <v>4.0</v>
      </c>
      <c r="E22" s="316">
        <v>2.0</v>
      </c>
      <c r="F22" s="316">
        <v>3.0</v>
      </c>
      <c r="G22" s="318">
        <v>12.0</v>
      </c>
      <c r="H22" s="316" t="s">
        <v>265</v>
      </c>
      <c r="I22" s="315" t="b">
        <v>0</v>
      </c>
      <c r="J22" s="317">
        <v>9.0</v>
      </c>
      <c r="K22" s="316">
        <f t="shared" si="1"/>
        <v>1</v>
      </c>
      <c r="L22" s="186" t="str">
        <f>YEAR(NOW()) &amp; "-W" &amp; CONTROL_CENTER!$J$3</f>
        <v>2026-W19</v>
      </c>
    </row>
    <row r="23">
      <c r="A23" s="186">
        <v>22.0</v>
      </c>
      <c r="B23" s="140" t="s">
        <v>96</v>
      </c>
      <c r="C23" s="316" t="s">
        <v>344</v>
      </c>
      <c r="D23" s="317">
        <v>4.0</v>
      </c>
      <c r="E23" s="316">
        <v>1.0</v>
      </c>
      <c r="F23" s="316">
        <v>1.0</v>
      </c>
      <c r="G23" s="318">
        <v>13.0</v>
      </c>
      <c r="H23" s="316" t="s">
        <v>265</v>
      </c>
      <c r="I23" s="315" t="b">
        <v>0</v>
      </c>
      <c r="J23" s="317">
        <v>4.0</v>
      </c>
      <c r="K23" s="316">
        <f t="shared" si="1"/>
        <v>1</v>
      </c>
      <c r="L23" s="186" t="str">
        <f>YEAR(NOW()) &amp; "-W" &amp; CONTROL_CENTER!$J$3</f>
        <v>2026-W19</v>
      </c>
    </row>
    <row r="24">
      <c r="A24" s="186">
        <v>23.0</v>
      </c>
      <c r="B24" s="140" t="s">
        <v>96</v>
      </c>
      <c r="C24" s="316" t="s">
        <v>345</v>
      </c>
      <c r="D24" s="317">
        <v>4.0</v>
      </c>
      <c r="E24" s="316">
        <v>1.0</v>
      </c>
      <c r="F24" s="316">
        <v>2.0</v>
      </c>
      <c r="G24" s="318">
        <v>13.0</v>
      </c>
      <c r="H24" s="316" t="s">
        <v>265</v>
      </c>
      <c r="I24" s="315" t="b">
        <v>0</v>
      </c>
      <c r="J24" s="317">
        <v>1.0</v>
      </c>
      <c r="K24" s="316">
        <f t="shared" si="1"/>
        <v>1</v>
      </c>
      <c r="L24" s="186" t="str">
        <f>YEAR(NOW()) &amp; "-W" &amp; CONTROL_CENTER!$J$3</f>
        <v>2026-W19</v>
      </c>
    </row>
    <row r="25">
      <c r="A25" s="186">
        <v>24.0</v>
      </c>
      <c r="B25" s="140" t="s">
        <v>96</v>
      </c>
      <c r="C25" s="316" t="s">
        <v>346</v>
      </c>
      <c r="D25" s="317">
        <v>4.0</v>
      </c>
      <c r="E25" s="316">
        <v>1.0</v>
      </c>
      <c r="F25" s="316">
        <v>3.0</v>
      </c>
      <c r="G25" s="318">
        <v>13.0</v>
      </c>
      <c r="H25" s="316" t="s">
        <v>265</v>
      </c>
      <c r="I25" s="315" t="b">
        <v>0</v>
      </c>
      <c r="J25" s="317">
        <v>7.0</v>
      </c>
      <c r="K25" s="316">
        <f t="shared" si="1"/>
        <v>1</v>
      </c>
      <c r="L25" s="186" t="str">
        <f>YEAR(NOW()) &amp; "-W" &amp; CONTROL_CENTER!$J$3</f>
        <v>2026-W19</v>
      </c>
    </row>
    <row r="26">
      <c r="A26" s="186">
        <v>25.0</v>
      </c>
      <c r="B26" s="140" t="s">
        <v>96</v>
      </c>
      <c r="C26" s="316" t="s">
        <v>347</v>
      </c>
      <c r="D26" s="317">
        <v>4.0</v>
      </c>
      <c r="E26" s="316">
        <v>0.0</v>
      </c>
      <c r="F26" s="316">
        <v>1.0</v>
      </c>
      <c r="G26" s="318">
        <v>14.0</v>
      </c>
      <c r="H26" s="316" t="s">
        <v>265</v>
      </c>
      <c r="I26" s="315" t="b">
        <v>0</v>
      </c>
      <c r="J26" s="317">
        <v>5.0</v>
      </c>
      <c r="K26" s="316">
        <f t="shared" si="1"/>
        <v>1</v>
      </c>
      <c r="L26" s="186" t="str">
        <f>YEAR(NOW()) &amp; "-W" &amp; CONTROL_CENTER!$J$3</f>
        <v>2026-W19</v>
      </c>
    </row>
    <row r="27">
      <c r="A27" s="186">
        <v>26.0</v>
      </c>
      <c r="B27" s="140" t="s">
        <v>96</v>
      </c>
      <c r="C27" s="316" t="s">
        <v>348</v>
      </c>
      <c r="D27" s="317">
        <v>4.0</v>
      </c>
      <c r="E27" s="316">
        <v>0.0</v>
      </c>
      <c r="F27" s="316">
        <v>2.0</v>
      </c>
      <c r="G27" s="318">
        <v>14.0</v>
      </c>
      <c r="H27" s="316" t="s">
        <v>265</v>
      </c>
      <c r="I27" s="315" t="b">
        <v>0</v>
      </c>
      <c r="J27" s="317">
        <v>2.0</v>
      </c>
      <c r="K27" s="316">
        <f t="shared" si="1"/>
        <v>1</v>
      </c>
      <c r="L27" s="186" t="str">
        <f>YEAR(NOW()) &amp; "-W" &amp; CONTROL_CENTER!$J$3</f>
        <v>2026-W19</v>
      </c>
    </row>
    <row r="28">
      <c r="A28" s="186">
        <v>27.0</v>
      </c>
      <c r="B28" s="140" t="s">
        <v>96</v>
      </c>
      <c r="C28" s="316" t="s">
        <v>349</v>
      </c>
      <c r="D28" s="317">
        <v>4.0</v>
      </c>
      <c r="E28" s="316">
        <v>0.0</v>
      </c>
      <c r="F28" s="316">
        <v>3.0</v>
      </c>
      <c r="G28" s="318">
        <v>14.0</v>
      </c>
      <c r="H28" s="316" t="s">
        <v>265</v>
      </c>
      <c r="I28" s="315" t="b">
        <v>0</v>
      </c>
      <c r="J28" s="317">
        <v>8.0</v>
      </c>
      <c r="K28" s="316">
        <f t="shared" si="1"/>
        <v>1</v>
      </c>
      <c r="L28" s="186" t="str">
        <f>YEAR(NOW()) &amp; "-W" &amp; CONTROL_CENTER!$J$3</f>
        <v>2026-W19</v>
      </c>
    </row>
    <row r="29">
      <c r="A29" s="186">
        <v>28.0</v>
      </c>
      <c r="B29" s="140" t="s">
        <v>96</v>
      </c>
      <c r="C29" s="316" t="s">
        <v>350</v>
      </c>
      <c r="D29" s="317">
        <v>5.0</v>
      </c>
      <c r="E29" s="316">
        <v>2.0</v>
      </c>
      <c r="F29" s="316">
        <v>1.0</v>
      </c>
      <c r="G29" s="318">
        <v>15.0</v>
      </c>
      <c r="H29" s="316" t="s">
        <v>265</v>
      </c>
      <c r="I29" s="315" t="b">
        <v>0</v>
      </c>
      <c r="J29" s="317">
        <v>6.0</v>
      </c>
      <c r="K29" s="316">
        <f t="shared" si="1"/>
        <v>2</v>
      </c>
      <c r="L29" s="186" t="str">
        <f>YEAR(NOW()) &amp; "-W" &amp; CONTROL_CENTER!$J$3</f>
        <v>2026-W19</v>
      </c>
    </row>
    <row r="30">
      <c r="A30" s="186">
        <v>29.0</v>
      </c>
      <c r="B30" s="140" t="s">
        <v>96</v>
      </c>
      <c r="C30" s="316" t="s">
        <v>12</v>
      </c>
      <c r="D30" s="317">
        <v>5.0</v>
      </c>
      <c r="E30" s="316">
        <v>2.0</v>
      </c>
      <c r="F30" s="316">
        <v>2.0</v>
      </c>
      <c r="G30" s="318">
        <v>15.0</v>
      </c>
      <c r="H30" s="316" t="s">
        <v>265</v>
      </c>
      <c r="I30" s="315" t="b">
        <v>0</v>
      </c>
      <c r="J30" s="317">
        <v>3.0</v>
      </c>
      <c r="K30" s="316">
        <f t="shared" si="1"/>
        <v>2</v>
      </c>
      <c r="L30" s="186" t="str">
        <f>YEAR(NOW()) &amp; "-W" &amp; CONTROL_CENTER!$J$3</f>
        <v>2026-W19</v>
      </c>
    </row>
    <row r="31">
      <c r="A31" s="186">
        <v>30.0</v>
      </c>
      <c r="B31" s="140" t="s">
        <v>96</v>
      </c>
      <c r="C31" s="316" t="s">
        <v>351</v>
      </c>
      <c r="D31" s="317">
        <v>5.0</v>
      </c>
      <c r="E31" s="316">
        <v>2.0</v>
      </c>
      <c r="F31" s="316">
        <v>3.0</v>
      </c>
      <c r="G31" s="318">
        <v>15.0</v>
      </c>
      <c r="H31" s="316" t="s">
        <v>265</v>
      </c>
      <c r="I31" s="315" t="b">
        <v>0</v>
      </c>
      <c r="J31" s="317">
        <v>9.0</v>
      </c>
      <c r="K31" s="316">
        <f t="shared" si="1"/>
        <v>2</v>
      </c>
      <c r="L31" s="186" t="str">
        <f>YEAR(NOW()) &amp; "-W" &amp; CONTROL_CENTER!$J$3</f>
        <v>2026-W19</v>
      </c>
    </row>
    <row r="32">
      <c r="A32" s="186">
        <v>31.0</v>
      </c>
      <c r="B32" s="140" t="s">
        <v>96</v>
      </c>
      <c r="C32" s="316" t="s">
        <v>352</v>
      </c>
      <c r="D32" s="317">
        <v>5.0</v>
      </c>
      <c r="E32" s="316">
        <v>1.0</v>
      </c>
      <c r="F32" s="316">
        <v>1.0</v>
      </c>
      <c r="G32" s="318">
        <v>16.0</v>
      </c>
      <c r="H32" s="316" t="s">
        <v>265</v>
      </c>
      <c r="I32" s="315" t="b">
        <v>0</v>
      </c>
      <c r="J32" s="317">
        <v>4.0</v>
      </c>
      <c r="K32" s="316">
        <f t="shared" si="1"/>
        <v>2</v>
      </c>
      <c r="L32" s="186" t="str">
        <f>YEAR(NOW()) &amp; "-W" &amp; CONTROL_CENTER!$J$3</f>
        <v>2026-W19</v>
      </c>
    </row>
    <row r="33">
      <c r="A33" s="186">
        <v>32.0</v>
      </c>
      <c r="B33" s="140" t="s">
        <v>96</v>
      </c>
      <c r="C33" s="316" t="s">
        <v>71</v>
      </c>
      <c r="D33" s="317">
        <v>5.0</v>
      </c>
      <c r="E33" s="316">
        <v>1.0</v>
      </c>
      <c r="F33" s="316">
        <v>2.0</v>
      </c>
      <c r="G33" s="318">
        <v>16.0</v>
      </c>
      <c r="H33" s="316" t="s">
        <v>265</v>
      </c>
      <c r="I33" s="315" t="b">
        <v>0</v>
      </c>
      <c r="J33" s="317">
        <v>1.0</v>
      </c>
      <c r="K33" s="316">
        <f t="shared" si="1"/>
        <v>2</v>
      </c>
      <c r="L33" s="186" t="str">
        <f>YEAR(NOW()) &amp; "-W" &amp; CONTROL_CENTER!$J$3</f>
        <v>2026-W19</v>
      </c>
    </row>
    <row r="34">
      <c r="A34" s="316">
        <v>33.0</v>
      </c>
      <c r="B34" s="140" t="s">
        <v>96</v>
      </c>
      <c r="C34" s="316" t="s">
        <v>353</v>
      </c>
      <c r="D34" s="317">
        <v>5.0</v>
      </c>
      <c r="E34" s="316">
        <v>1.0</v>
      </c>
      <c r="F34" s="316">
        <v>3.0</v>
      </c>
      <c r="G34" s="318">
        <v>16.0</v>
      </c>
      <c r="H34" s="316" t="s">
        <v>265</v>
      </c>
      <c r="I34" s="315" t="b">
        <v>0</v>
      </c>
      <c r="J34" s="317">
        <v>7.0</v>
      </c>
      <c r="K34" s="316">
        <f t="shared" si="1"/>
        <v>2</v>
      </c>
      <c r="L34" s="186" t="str">
        <f>YEAR(NOW()) &amp; "-W" &amp; CONTROL_CENTER!$J$3</f>
        <v>2026-W19</v>
      </c>
    </row>
    <row r="35">
      <c r="A35" s="316">
        <v>34.0</v>
      </c>
      <c r="B35" s="140" t="s">
        <v>96</v>
      </c>
      <c r="C35" s="316" t="s">
        <v>354</v>
      </c>
      <c r="D35" s="317">
        <v>5.0</v>
      </c>
      <c r="E35" s="316">
        <v>0.0</v>
      </c>
      <c r="F35" s="316">
        <v>1.0</v>
      </c>
      <c r="G35" s="318">
        <v>17.0</v>
      </c>
      <c r="H35" s="316" t="s">
        <v>265</v>
      </c>
      <c r="I35" s="315" t="b">
        <v>0</v>
      </c>
      <c r="J35" s="317">
        <v>5.0</v>
      </c>
      <c r="K35" s="316">
        <f t="shared" si="1"/>
        <v>2</v>
      </c>
      <c r="L35" s="186" t="str">
        <f>YEAR(NOW()) &amp; "-W" &amp; CONTROL_CENTER!$J$3</f>
        <v>2026-W19</v>
      </c>
    </row>
    <row r="36">
      <c r="A36" s="186">
        <v>35.0</v>
      </c>
      <c r="B36" s="140" t="s">
        <v>96</v>
      </c>
      <c r="C36" s="316" t="s">
        <v>355</v>
      </c>
      <c r="D36" s="317">
        <v>5.0</v>
      </c>
      <c r="E36" s="316">
        <v>0.0</v>
      </c>
      <c r="F36" s="316">
        <v>2.0</v>
      </c>
      <c r="G36" s="318">
        <v>17.0</v>
      </c>
      <c r="H36" s="316" t="s">
        <v>265</v>
      </c>
      <c r="I36" s="315" t="b">
        <v>0</v>
      </c>
      <c r="J36" s="317">
        <v>2.0</v>
      </c>
      <c r="K36" s="316">
        <f t="shared" si="1"/>
        <v>2</v>
      </c>
      <c r="L36" s="186" t="str">
        <f>YEAR(NOW()) &amp; "-W" &amp; CONTROL_CENTER!$J$3</f>
        <v>2026-W19</v>
      </c>
    </row>
    <row r="37">
      <c r="A37" s="186">
        <v>36.0</v>
      </c>
      <c r="B37" s="140" t="s">
        <v>96</v>
      </c>
      <c r="C37" s="316" t="s">
        <v>356</v>
      </c>
      <c r="D37" s="317">
        <v>5.0</v>
      </c>
      <c r="E37" s="317">
        <v>0.0</v>
      </c>
      <c r="F37" s="319">
        <v>3.0</v>
      </c>
      <c r="G37" s="318">
        <v>17.0</v>
      </c>
      <c r="H37" s="317" t="s">
        <v>265</v>
      </c>
      <c r="I37" s="315" t="b">
        <v>0</v>
      </c>
      <c r="J37" s="317">
        <v>8.0</v>
      </c>
      <c r="K37" s="316">
        <f t="shared" si="1"/>
        <v>2</v>
      </c>
      <c r="L37" s="186" t="str">
        <f>YEAR(NOW()) &amp; "-W" &amp; CONTROL_CENTER!$J$3</f>
        <v>2026-W19</v>
      </c>
    </row>
    <row r="38">
      <c r="A38" s="186">
        <v>37.0</v>
      </c>
      <c r="B38" s="140" t="s">
        <v>96</v>
      </c>
      <c r="C38" s="316" t="s">
        <v>357</v>
      </c>
      <c r="D38" s="317">
        <v>6.0</v>
      </c>
      <c r="E38" s="316">
        <v>2.0</v>
      </c>
      <c r="F38" s="316">
        <v>1.0</v>
      </c>
      <c r="G38" s="318">
        <v>18.0</v>
      </c>
      <c r="H38" s="316" t="s">
        <v>265</v>
      </c>
      <c r="I38" s="315" t="b">
        <v>0</v>
      </c>
      <c r="J38" s="317">
        <v>6.0</v>
      </c>
      <c r="K38" s="316">
        <f t="shared" si="1"/>
        <v>3</v>
      </c>
      <c r="L38" s="186" t="str">
        <f>YEAR(NOW()) &amp; "-W" &amp; CONTROL_CENTER!$J$3</f>
        <v>2026-W19</v>
      </c>
    </row>
    <row r="39">
      <c r="A39" s="186">
        <v>38.0</v>
      </c>
      <c r="B39" s="140" t="s">
        <v>96</v>
      </c>
      <c r="C39" s="316" t="s">
        <v>358</v>
      </c>
      <c r="D39" s="317">
        <v>6.0</v>
      </c>
      <c r="E39" s="316">
        <v>2.0</v>
      </c>
      <c r="F39" s="316">
        <v>2.0</v>
      </c>
      <c r="G39" s="318">
        <v>18.0</v>
      </c>
      <c r="H39" s="316" t="s">
        <v>265</v>
      </c>
      <c r="I39" s="315" t="b">
        <v>0</v>
      </c>
      <c r="J39" s="317">
        <v>3.0</v>
      </c>
      <c r="K39" s="316">
        <f t="shared" si="1"/>
        <v>3</v>
      </c>
      <c r="L39" s="186" t="str">
        <f>YEAR(NOW()) &amp; "-W" &amp; CONTROL_CENTER!$J$3</f>
        <v>2026-W19</v>
      </c>
    </row>
    <row r="40">
      <c r="A40" s="186">
        <v>39.0</v>
      </c>
      <c r="B40" s="140" t="s">
        <v>96</v>
      </c>
      <c r="C40" s="316" t="s">
        <v>359</v>
      </c>
      <c r="D40" s="317">
        <v>6.0</v>
      </c>
      <c r="E40" s="317">
        <v>2.0</v>
      </c>
      <c r="F40" s="316">
        <v>3.0</v>
      </c>
      <c r="G40" s="318">
        <v>18.0</v>
      </c>
      <c r="H40" s="317" t="s">
        <v>265</v>
      </c>
      <c r="I40" s="315" t="b">
        <v>0</v>
      </c>
      <c r="J40" s="317">
        <v>9.0</v>
      </c>
      <c r="K40" s="316">
        <f t="shared" si="1"/>
        <v>3</v>
      </c>
      <c r="L40" s="186" t="str">
        <f>YEAR(NOW()) &amp; "-W" &amp; CONTROL_CENTER!$J$3</f>
        <v>2026-W19</v>
      </c>
    </row>
    <row r="41">
      <c r="A41" s="186">
        <v>40.0</v>
      </c>
      <c r="B41" s="140" t="s">
        <v>96</v>
      </c>
      <c r="C41" s="316" t="s">
        <v>360</v>
      </c>
      <c r="D41" s="317">
        <v>6.0</v>
      </c>
      <c r="E41" s="316">
        <v>1.0</v>
      </c>
      <c r="F41" s="316">
        <v>1.0</v>
      </c>
      <c r="G41" s="318">
        <v>19.0</v>
      </c>
      <c r="H41" s="316" t="s">
        <v>265</v>
      </c>
      <c r="I41" s="315" t="b">
        <v>0</v>
      </c>
      <c r="J41" s="317">
        <v>4.0</v>
      </c>
      <c r="K41" s="316">
        <f t="shared" si="1"/>
        <v>3</v>
      </c>
      <c r="L41" s="186" t="str">
        <f>YEAR(NOW()) &amp; "-W" &amp; CONTROL_CENTER!$J$3</f>
        <v>2026-W19</v>
      </c>
    </row>
    <row r="42">
      <c r="A42" s="186">
        <v>41.0</v>
      </c>
      <c r="B42" s="140" t="s">
        <v>96</v>
      </c>
      <c r="C42" s="316" t="s">
        <v>361</v>
      </c>
      <c r="D42" s="317">
        <v>6.0</v>
      </c>
      <c r="E42" s="316">
        <v>1.0</v>
      </c>
      <c r="F42" s="316">
        <v>2.0</v>
      </c>
      <c r="G42" s="318">
        <v>19.0</v>
      </c>
      <c r="H42" s="316" t="s">
        <v>265</v>
      </c>
      <c r="I42" s="315" t="b">
        <v>0</v>
      </c>
      <c r="J42" s="317">
        <v>1.0</v>
      </c>
      <c r="K42" s="316">
        <f t="shared" si="1"/>
        <v>3</v>
      </c>
      <c r="L42" s="186" t="str">
        <f>YEAR(NOW()) &amp; "-W" &amp; CONTROL_CENTER!$J$3</f>
        <v>2026-W19</v>
      </c>
    </row>
    <row r="43">
      <c r="A43" s="186">
        <v>42.0</v>
      </c>
      <c r="B43" s="140" t="s">
        <v>96</v>
      </c>
      <c r="C43" s="316" t="s">
        <v>362</v>
      </c>
      <c r="D43" s="317">
        <v>6.0</v>
      </c>
      <c r="E43" s="317">
        <v>1.0</v>
      </c>
      <c r="F43" s="316">
        <v>3.0</v>
      </c>
      <c r="G43" s="318">
        <v>19.0</v>
      </c>
      <c r="H43" s="317" t="s">
        <v>265</v>
      </c>
      <c r="I43" s="315" t="b">
        <v>0</v>
      </c>
      <c r="J43" s="317">
        <v>7.0</v>
      </c>
      <c r="K43" s="316">
        <f t="shared" si="1"/>
        <v>3</v>
      </c>
      <c r="L43" s="186" t="str">
        <f>YEAR(NOW()) &amp; "-W" &amp; CONTROL_CENTER!$J$3</f>
        <v>2026-W19</v>
      </c>
    </row>
    <row r="44">
      <c r="A44" s="186">
        <v>43.0</v>
      </c>
      <c r="B44" s="140" t="s">
        <v>96</v>
      </c>
      <c r="C44" s="316" t="s">
        <v>363</v>
      </c>
      <c r="D44" s="317">
        <v>6.0</v>
      </c>
      <c r="E44" s="316">
        <v>0.0</v>
      </c>
      <c r="F44" s="316">
        <v>1.0</v>
      </c>
      <c r="G44" s="318">
        <v>20.0</v>
      </c>
      <c r="H44" s="316" t="s">
        <v>265</v>
      </c>
      <c r="I44" s="315" t="b">
        <v>0</v>
      </c>
      <c r="J44" s="317">
        <v>5.0</v>
      </c>
      <c r="K44" s="316">
        <f t="shared" si="1"/>
        <v>3</v>
      </c>
      <c r="L44" s="186" t="str">
        <f>YEAR(NOW()) &amp; "-W" &amp; CONTROL_CENTER!$J$3</f>
        <v>2026-W19</v>
      </c>
    </row>
    <row r="45">
      <c r="A45" s="186">
        <v>44.0</v>
      </c>
      <c r="B45" s="140" t="s">
        <v>96</v>
      </c>
      <c r="C45" s="316" t="s">
        <v>364</v>
      </c>
      <c r="D45" s="317">
        <v>6.0</v>
      </c>
      <c r="E45" s="316">
        <v>0.0</v>
      </c>
      <c r="F45" s="316">
        <v>2.0</v>
      </c>
      <c r="G45" s="318">
        <v>20.0</v>
      </c>
      <c r="H45" s="316" t="s">
        <v>265</v>
      </c>
      <c r="I45" s="315" t="b">
        <v>0</v>
      </c>
      <c r="J45" s="317">
        <v>2.0</v>
      </c>
      <c r="K45" s="316">
        <f t="shared" si="1"/>
        <v>3</v>
      </c>
      <c r="L45" s="186" t="str">
        <f>YEAR(NOW()) &amp; "-W" &amp; CONTROL_CENTER!$J$3</f>
        <v>2026-W19</v>
      </c>
    </row>
    <row r="46">
      <c r="A46" s="186">
        <v>45.0</v>
      </c>
      <c r="B46" s="140" t="s">
        <v>96</v>
      </c>
      <c r="C46" s="316" t="s">
        <v>365</v>
      </c>
      <c r="D46" s="317">
        <v>6.0</v>
      </c>
      <c r="E46" s="317">
        <v>0.0</v>
      </c>
      <c r="F46" s="316">
        <v>3.0</v>
      </c>
      <c r="G46" s="318">
        <v>20.0</v>
      </c>
      <c r="H46" s="317" t="s">
        <v>265</v>
      </c>
      <c r="I46" s="315" t="b">
        <v>0</v>
      </c>
      <c r="J46" s="317">
        <v>8.0</v>
      </c>
      <c r="K46" s="316">
        <f t="shared" si="1"/>
        <v>3</v>
      </c>
      <c r="L46" s="186" t="str">
        <f>YEAR(NOW()) &amp; "-W" &amp; CONTROL_CENTER!$J$3</f>
        <v>2026-W19</v>
      </c>
    </row>
    <row r="47">
      <c r="A47" s="186">
        <v>46.0</v>
      </c>
      <c r="B47" s="140" t="s">
        <v>96</v>
      </c>
      <c r="C47" s="316" t="s">
        <v>366</v>
      </c>
      <c r="D47" s="317">
        <v>7.0</v>
      </c>
      <c r="E47" s="316">
        <v>2.0</v>
      </c>
      <c r="F47" s="316">
        <v>1.0</v>
      </c>
      <c r="G47" s="318">
        <v>21.0</v>
      </c>
      <c r="H47" s="316" t="s">
        <v>265</v>
      </c>
      <c r="I47" s="315" t="b">
        <v>0</v>
      </c>
      <c r="J47" s="317">
        <v>6.0</v>
      </c>
      <c r="K47" s="316">
        <f t="shared" si="1"/>
        <v>4</v>
      </c>
      <c r="L47" s="186" t="str">
        <f>YEAR(NOW()) &amp; "-W" &amp; CONTROL_CENTER!$J$3</f>
        <v>2026-W19</v>
      </c>
    </row>
    <row r="48">
      <c r="A48" s="186">
        <v>47.0</v>
      </c>
      <c r="B48" s="140" t="s">
        <v>96</v>
      </c>
      <c r="C48" s="316" t="s">
        <v>367</v>
      </c>
      <c r="D48" s="317">
        <v>7.0</v>
      </c>
      <c r="E48" s="316">
        <v>2.0</v>
      </c>
      <c r="F48" s="316">
        <v>2.0</v>
      </c>
      <c r="G48" s="318">
        <v>21.0</v>
      </c>
      <c r="H48" s="316" t="s">
        <v>265</v>
      </c>
      <c r="I48" s="315" t="b">
        <v>0</v>
      </c>
      <c r="J48" s="317">
        <v>3.0</v>
      </c>
      <c r="K48" s="316">
        <f t="shared" si="1"/>
        <v>4</v>
      </c>
      <c r="L48" s="186" t="str">
        <f>YEAR(NOW()) &amp; "-W" &amp; CONTROL_CENTER!$J$3</f>
        <v>2026-W19</v>
      </c>
    </row>
    <row r="49">
      <c r="A49" s="186">
        <v>48.0</v>
      </c>
      <c r="B49" s="140" t="s">
        <v>96</v>
      </c>
      <c r="C49" s="316" t="s">
        <v>368</v>
      </c>
      <c r="D49" s="317">
        <v>7.0</v>
      </c>
      <c r="E49" s="317">
        <v>2.0</v>
      </c>
      <c r="F49" s="316">
        <v>3.0</v>
      </c>
      <c r="G49" s="318">
        <v>21.0</v>
      </c>
      <c r="H49" s="317" t="s">
        <v>265</v>
      </c>
      <c r="I49" s="315" t="b">
        <v>0</v>
      </c>
      <c r="J49" s="317">
        <v>9.0</v>
      </c>
      <c r="K49" s="316">
        <f t="shared" si="1"/>
        <v>4</v>
      </c>
      <c r="L49" s="186" t="str">
        <f>YEAR(NOW()) &amp; "-W" &amp; CONTROL_CENTER!$J$3</f>
        <v>2026-W19</v>
      </c>
    </row>
    <row r="50">
      <c r="A50" s="186">
        <v>49.0</v>
      </c>
      <c r="B50" s="140" t="s">
        <v>96</v>
      </c>
      <c r="C50" s="316" t="s">
        <v>369</v>
      </c>
      <c r="D50" s="317">
        <v>7.0</v>
      </c>
      <c r="E50" s="316">
        <v>1.0</v>
      </c>
      <c r="F50" s="316">
        <v>1.0</v>
      </c>
      <c r="G50" s="318">
        <v>22.0</v>
      </c>
      <c r="H50" s="316" t="s">
        <v>265</v>
      </c>
      <c r="I50" s="315" t="b">
        <v>0</v>
      </c>
      <c r="J50" s="317">
        <v>4.0</v>
      </c>
      <c r="K50" s="316">
        <f t="shared" si="1"/>
        <v>4</v>
      </c>
      <c r="L50" s="186" t="str">
        <f>YEAR(NOW()) &amp; "-W" &amp; CONTROL_CENTER!$J$3</f>
        <v>2026-W19</v>
      </c>
    </row>
    <row r="51">
      <c r="A51" s="186">
        <v>50.0</v>
      </c>
      <c r="B51" s="140" t="s">
        <v>96</v>
      </c>
      <c r="C51" s="316" t="s">
        <v>370</v>
      </c>
      <c r="D51" s="317">
        <v>7.0</v>
      </c>
      <c r="E51" s="316">
        <v>1.0</v>
      </c>
      <c r="F51" s="316">
        <v>2.0</v>
      </c>
      <c r="G51" s="318">
        <v>22.0</v>
      </c>
      <c r="H51" s="316" t="s">
        <v>265</v>
      </c>
      <c r="I51" s="315" t="b">
        <v>0</v>
      </c>
      <c r="J51" s="317">
        <v>1.0</v>
      </c>
      <c r="K51" s="316">
        <f t="shared" si="1"/>
        <v>4</v>
      </c>
      <c r="L51" s="186" t="str">
        <f>YEAR(NOW()) &amp; "-W" &amp; CONTROL_CENTER!$J$3</f>
        <v>2026-W19</v>
      </c>
    </row>
    <row r="52">
      <c r="A52" s="186">
        <v>51.0</v>
      </c>
      <c r="B52" s="140" t="s">
        <v>96</v>
      </c>
      <c r="C52" s="316" t="s">
        <v>371</v>
      </c>
      <c r="D52" s="317">
        <v>7.0</v>
      </c>
      <c r="E52" s="316">
        <v>1.0</v>
      </c>
      <c r="F52" s="316">
        <v>3.0</v>
      </c>
      <c r="G52" s="318">
        <v>22.0</v>
      </c>
      <c r="H52" s="316" t="s">
        <v>265</v>
      </c>
      <c r="I52" s="315" t="b">
        <v>0</v>
      </c>
      <c r="J52" s="317">
        <v>7.0</v>
      </c>
      <c r="K52" s="316">
        <f t="shared" si="1"/>
        <v>4</v>
      </c>
      <c r="L52" s="186" t="str">
        <f>YEAR(NOW()) &amp; "-W" &amp; CONTROL_CENTER!$J$3</f>
        <v>2026-W19</v>
      </c>
    </row>
    <row r="53">
      <c r="A53" s="186">
        <v>52.0</v>
      </c>
      <c r="B53" s="140" t="s">
        <v>96</v>
      </c>
      <c r="C53" s="316" t="s">
        <v>372</v>
      </c>
      <c r="D53" s="317">
        <v>7.0</v>
      </c>
      <c r="E53" s="316">
        <v>0.0</v>
      </c>
      <c r="F53" s="316">
        <v>1.0</v>
      </c>
      <c r="G53" s="318">
        <v>23.0</v>
      </c>
      <c r="H53" s="316" t="s">
        <v>265</v>
      </c>
      <c r="I53" s="315" t="b">
        <v>0</v>
      </c>
      <c r="J53" s="317">
        <v>5.0</v>
      </c>
      <c r="K53" s="316">
        <f t="shared" si="1"/>
        <v>4</v>
      </c>
      <c r="L53" s="186" t="str">
        <f>YEAR(NOW()) &amp; "-W" &amp; CONTROL_CENTER!$J$3</f>
        <v>2026-W19</v>
      </c>
    </row>
    <row r="54">
      <c r="A54" s="316">
        <v>53.0</v>
      </c>
      <c r="B54" s="140" t="s">
        <v>96</v>
      </c>
      <c r="C54" s="316" t="s">
        <v>373</v>
      </c>
      <c r="D54" s="317">
        <v>7.0</v>
      </c>
      <c r="E54" s="316">
        <v>0.0</v>
      </c>
      <c r="F54" s="316">
        <v>2.0</v>
      </c>
      <c r="G54" s="318">
        <v>23.0</v>
      </c>
      <c r="H54" s="316" t="s">
        <v>265</v>
      </c>
      <c r="I54" s="315" t="b">
        <v>0</v>
      </c>
      <c r="J54" s="317">
        <v>2.0</v>
      </c>
      <c r="K54" s="316">
        <f t="shared" si="1"/>
        <v>4</v>
      </c>
      <c r="L54" s="186" t="str">
        <f>YEAR(NOW()) &amp; "-W" &amp; CONTROL_CENTER!$J$3</f>
        <v>2026-W19</v>
      </c>
    </row>
    <row r="55">
      <c r="A55" s="316">
        <v>54.0</v>
      </c>
      <c r="B55" s="140" t="s">
        <v>96</v>
      </c>
      <c r="C55" s="316" t="s">
        <v>374</v>
      </c>
      <c r="D55" s="317">
        <v>7.0</v>
      </c>
      <c r="E55" s="317">
        <v>0.0</v>
      </c>
      <c r="F55" s="316">
        <v>3.0</v>
      </c>
      <c r="G55" s="318">
        <v>23.0</v>
      </c>
      <c r="H55" s="317" t="s">
        <v>265</v>
      </c>
      <c r="I55" s="315" t="b">
        <v>0</v>
      </c>
      <c r="J55" s="317">
        <v>8.0</v>
      </c>
      <c r="K55" s="316">
        <f t="shared" si="1"/>
        <v>4</v>
      </c>
      <c r="L55" s="186" t="str">
        <f>YEAR(NOW()) &amp; "-W" &amp; CONTROL_CENTER!$J$3</f>
        <v>2026-W19</v>
      </c>
    </row>
    <row r="56">
      <c r="A56" s="186">
        <v>55.0</v>
      </c>
      <c r="B56" s="140" t="s">
        <v>96</v>
      </c>
      <c r="C56" s="316" t="s">
        <v>375</v>
      </c>
      <c r="D56" s="317">
        <v>8.0</v>
      </c>
      <c r="E56" s="316">
        <v>2.0</v>
      </c>
      <c r="F56" s="316">
        <v>1.0</v>
      </c>
      <c r="G56" s="318">
        <v>24.0</v>
      </c>
      <c r="H56" s="316" t="s">
        <v>265</v>
      </c>
      <c r="I56" s="315" t="b">
        <v>1</v>
      </c>
      <c r="J56" s="317">
        <v>6.0</v>
      </c>
      <c r="K56" s="316">
        <f t="shared" si="1"/>
        <v>5</v>
      </c>
      <c r="L56" s="186" t="str">
        <f>YEAR(NOW()) &amp; "-W" &amp; CONTROL_CENTER!$J$3</f>
        <v>2026-W19</v>
      </c>
    </row>
    <row r="57">
      <c r="A57" s="186">
        <v>56.0</v>
      </c>
      <c r="B57" s="140" t="s">
        <v>96</v>
      </c>
      <c r="C57" s="316" t="s">
        <v>376</v>
      </c>
      <c r="D57" s="317">
        <v>8.0</v>
      </c>
      <c r="E57" s="316">
        <v>2.0</v>
      </c>
      <c r="F57" s="316">
        <v>2.0</v>
      </c>
      <c r="G57" s="318">
        <v>24.0</v>
      </c>
      <c r="H57" s="316" t="s">
        <v>265</v>
      </c>
      <c r="I57" s="315" t="b">
        <v>1</v>
      </c>
      <c r="J57" s="317">
        <v>3.0</v>
      </c>
      <c r="K57" s="316">
        <f t="shared" si="1"/>
        <v>5</v>
      </c>
      <c r="L57" s="186" t="str">
        <f>YEAR(NOW()) &amp; "-W" &amp; CONTROL_CENTER!$J$3</f>
        <v>2026-W19</v>
      </c>
    </row>
    <row r="58">
      <c r="A58" s="186">
        <v>57.0</v>
      </c>
      <c r="B58" s="140" t="s">
        <v>96</v>
      </c>
      <c r="C58" s="316" t="s">
        <v>377</v>
      </c>
      <c r="D58" s="317">
        <v>8.0</v>
      </c>
      <c r="E58" s="317">
        <v>2.0</v>
      </c>
      <c r="F58" s="316">
        <v>3.0</v>
      </c>
      <c r="G58" s="318">
        <v>24.0</v>
      </c>
      <c r="H58" s="317" t="s">
        <v>265</v>
      </c>
      <c r="I58" s="315" t="b">
        <v>0</v>
      </c>
      <c r="J58" s="317">
        <v>9.0</v>
      </c>
      <c r="K58" s="316">
        <f t="shared" si="1"/>
        <v>5</v>
      </c>
      <c r="L58" s="186" t="str">
        <f>YEAR(NOW()) &amp; "-W" &amp; CONTROL_CENTER!$J$3</f>
        <v>2026-W19</v>
      </c>
    </row>
    <row r="59">
      <c r="A59" s="186">
        <v>58.0</v>
      </c>
      <c r="B59" s="140" t="s">
        <v>96</v>
      </c>
      <c r="C59" s="316" t="s">
        <v>146</v>
      </c>
      <c r="D59" s="317">
        <v>8.0</v>
      </c>
      <c r="E59" s="316">
        <v>1.0</v>
      </c>
      <c r="F59" s="316">
        <v>1.0</v>
      </c>
      <c r="G59" s="318">
        <v>25.0</v>
      </c>
      <c r="H59" s="316" t="s">
        <v>265</v>
      </c>
      <c r="I59" s="315" t="b">
        <v>1</v>
      </c>
      <c r="J59" s="317">
        <v>4.0</v>
      </c>
      <c r="K59" s="316">
        <f t="shared" si="1"/>
        <v>5</v>
      </c>
      <c r="L59" s="186" t="str">
        <f>YEAR(NOW()) &amp; "-W" &amp; CONTROL_CENTER!$J$3</f>
        <v>2026-W19</v>
      </c>
    </row>
    <row r="60">
      <c r="A60" s="186">
        <v>59.0</v>
      </c>
      <c r="B60" s="140" t="s">
        <v>96</v>
      </c>
      <c r="C60" s="316" t="s">
        <v>378</v>
      </c>
      <c r="D60" s="317">
        <v>8.0</v>
      </c>
      <c r="E60" s="316">
        <v>1.0</v>
      </c>
      <c r="F60" s="316">
        <v>2.0</v>
      </c>
      <c r="G60" s="318">
        <v>25.0</v>
      </c>
      <c r="H60" s="316" t="s">
        <v>265</v>
      </c>
      <c r="I60" s="315" t="b">
        <v>1</v>
      </c>
      <c r="J60" s="317">
        <v>1.0</v>
      </c>
      <c r="K60" s="316">
        <f t="shared" si="1"/>
        <v>5</v>
      </c>
      <c r="L60" s="186" t="str">
        <f>YEAR(NOW()) &amp; "-W" &amp; CONTROL_CENTER!$J$3</f>
        <v>2026-W19</v>
      </c>
    </row>
    <row r="61">
      <c r="A61" s="186">
        <v>60.0</v>
      </c>
      <c r="B61" s="140" t="s">
        <v>96</v>
      </c>
      <c r="C61" s="316" t="s">
        <v>379</v>
      </c>
      <c r="D61" s="317">
        <v>8.0</v>
      </c>
      <c r="E61" s="316">
        <v>1.0</v>
      </c>
      <c r="F61" s="316">
        <v>3.0</v>
      </c>
      <c r="G61" s="318">
        <v>25.0</v>
      </c>
      <c r="H61" s="316" t="s">
        <v>265</v>
      </c>
      <c r="I61" s="315" t="b">
        <v>0</v>
      </c>
      <c r="J61" s="317">
        <v>7.0</v>
      </c>
      <c r="K61" s="316">
        <f t="shared" si="1"/>
        <v>5</v>
      </c>
      <c r="L61" s="186" t="str">
        <f>YEAR(NOW()) &amp; "-W" &amp; CONTROL_CENTER!$J$3</f>
        <v>2026-W19</v>
      </c>
    </row>
    <row r="62">
      <c r="A62" s="186">
        <v>61.0</v>
      </c>
      <c r="B62" s="140" t="s">
        <v>96</v>
      </c>
      <c r="C62" s="316" t="s">
        <v>380</v>
      </c>
      <c r="D62" s="317">
        <v>8.0</v>
      </c>
      <c r="E62" s="316">
        <v>0.0</v>
      </c>
      <c r="F62" s="316">
        <v>1.0</v>
      </c>
      <c r="G62" s="318">
        <v>26.0</v>
      </c>
      <c r="H62" s="316" t="s">
        <v>265</v>
      </c>
      <c r="I62" s="315" t="b">
        <v>1</v>
      </c>
      <c r="J62" s="317">
        <v>5.0</v>
      </c>
      <c r="K62" s="316">
        <f t="shared" si="1"/>
        <v>5</v>
      </c>
      <c r="L62" s="186" t="str">
        <f>YEAR(NOW()) &amp; "-W" &amp; CONTROL_CENTER!$J$3</f>
        <v>2026-W19</v>
      </c>
    </row>
    <row r="63">
      <c r="A63" s="186">
        <v>62.0</v>
      </c>
      <c r="B63" s="140" t="s">
        <v>96</v>
      </c>
      <c r="C63" s="316" t="s">
        <v>381</v>
      </c>
      <c r="D63" s="317">
        <v>8.0</v>
      </c>
      <c r="E63" s="316">
        <v>0.0</v>
      </c>
      <c r="F63" s="316">
        <v>2.0</v>
      </c>
      <c r="G63" s="318">
        <v>26.0</v>
      </c>
      <c r="H63" s="316" t="s">
        <v>265</v>
      </c>
      <c r="I63" s="315" t="b">
        <v>1</v>
      </c>
      <c r="J63" s="317">
        <v>2.0</v>
      </c>
      <c r="K63" s="316">
        <f t="shared" si="1"/>
        <v>5</v>
      </c>
      <c r="L63" s="186" t="str">
        <f>YEAR(NOW()) &amp; "-W" &amp; CONTROL_CENTER!$J$3</f>
        <v>2026-W19</v>
      </c>
    </row>
    <row r="64">
      <c r="A64" s="186">
        <v>63.0</v>
      </c>
      <c r="B64" s="140" t="s">
        <v>96</v>
      </c>
      <c r="C64" s="316" t="s">
        <v>382</v>
      </c>
      <c r="D64" s="317">
        <v>8.0</v>
      </c>
      <c r="E64" s="317">
        <v>0.0</v>
      </c>
      <c r="F64" s="316">
        <v>3.0</v>
      </c>
      <c r="G64" s="318">
        <v>26.0</v>
      </c>
      <c r="H64" s="317" t="s">
        <v>265</v>
      </c>
      <c r="I64" s="315" t="b">
        <v>0</v>
      </c>
      <c r="J64" s="317">
        <v>8.0</v>
      </c>
      <c r="K64" s="316">
        <f t="shared" si="1"/>
        <v>5</v>
      </c>
      <c r="L64" s="186" t="str">
        <f>YEAR(NOW()) &amp; "-W" &amp; CONTROL_CENTER!$J$3</f>
        <v>2026-W19</v>
      </c>
    </row>
    <row r="65">
      <c r="A65" s="186">
        <v>64.0</v>
      </c>
      <c r="B65" s="140" t="s">
        <v>96</v>
      </c>
      <c r="C65" s="316" t="s">
        <v>383</v>
      </c>
      <c r="D65" s="317">
        <v>9.0</v>
      </c>
      <c r="E65" s="316">
        <v>2.0</v>
      </c>
      <c r="F65" s="316">
        <v>1.0</v>
      </c>
      <c r="G65" s="318">
        <v>27.0</v>
      </c>
      <c r="H65" s="316" t="s">
        <v>265</v>
      </c>
      <c r="I65" s="315" t="b">
        <v>1</v>
      </c>
      <c r="J65" s="317">
        <v>6.0</v>
      </c>
      <c r="K65" s="316">
        <f t="shared" si="1"/>
        <v>6</v>
      </c>
      <c r="L65" s="186" t="str">
        <f>YEAR(NOW()) &amp; "-W" &amp; CONTROL_CENTER!$J$3</f>
        <v>2026-W19</v>
      </c>
    </row>
    <row r="66">
      <c r="A66" s="186">
        <v>65.0</v>
      </c>
      <c r="B66" s="140" t="s">
        <v>96</v>
      </c>
      <c r="C66" s="316" t="s">
        <v>384</v>
      </c>
      <c r="D66" s="317">
        <v>9.0</v>
      </c>
      <c r="E66" s="316">
        <v>2.0</v>
      </c>
      <c r="F66" s="316">
        <v>2.0</v>
      </c>
      <c r="G66" s="318">
        <v>27.0</v>
      </c>
      <c r="H66" s="316" t="s">
        <v>265</v>
      </c>
      <c r="I66" s="315" t="b">
        <v>1</v>
      </c>
      <c r="J66" s="317">
        <v>3.0</v>
      </c>
      <c r="K66" s="316">
        <f t="shared" si="1"/>
        <v>6</v>
      </c>
      <c r="L66" s="186" t="str">
        <f>YEAR(NOW()) &amp; "-W" &amp; CONTROL_CENTER!$J$3</f>
        <v>2026-W19</v>
      </c>
    </row>
    <row r="67">
      <c r="A67" s="186">
        <v>66.0</v>
      </c>
      <c r="B67" s="140" t="s">
        <v>96</v>
      </c>
      <c r="C67" s="316" t="s">
        <v>385</v>
      </c>
      <c r="D67" s="317">
        <v>9.0</v>
      </c>
      <c r="E67" s="317">
        <v>2.0</v>
      </c>
      <c r="F67" s="316">
        <v>3.0</v>
      </c>
      <c r="G67" s="318">
        <v>27.0</v>
      </c>
      <c r="H67" s="317" t="s">
        <v>265</v>
      </c>
      <c r="I67" s="315" t="b">
        <v>0</v>
      </c>
      <c r="J67" s="317">
        <v>9.0</v>
      </c>
      <c r="K67" s="316">
        <f t="shared" si="1"/>
        <v>6</v>
      </c>
      <c r="L67" s="186" t="str">
        <f>YEAR(NOW()) &amp; "-W" &amp; CONTROL_CENTER!$J$3</f>
        <v>2026-W19</v>
      </c>
    </row>
    <row r="68">
      <c r="A68" s="186">
        <v>67.0</v>
      </c>
      <c r="B68" s="140" t="s">
        <v>96</v>
      </c>
      <c r="C68" s="316" t="s">
        <v>386</v>
      </c>
      <c r="D68" s="317">
        <v>9.0</v>
      </c>
      <c r="E68" s="316">
        <v>1.0</v>
      </c>
      <c r="F68" s="316">
        <v>1.0</v>
      </c>
      <c r="G68" s="318">
        <v>28.0</v>
      </c>
      <c r="H68" s="316" t="s">
        <v>265</v>
      </c>
      <c r="I68" s="315" t="b">
        <v>0</v>
      </c>
      <c r="J68" s="317">
        <v>4.0</v>
      </c>
      <c r="K68" s="316">
        <f t="shared" si="1"/>
        <v>6</v>
      </c>
      <c r="L68" s="186" t="str">
        <f>YEAR(NOW()) &amp; "-W" &amp; CONTROL_CENTER!$J$3</f>
        <v>2026-W19</v>
      </c>
    </row>
    <row r="69">
      <c r="A69" s="186">
        <v>68.0</v>
      </c>
      <c r="B69" s="140" t="s">
        <v>96</v>
      </c>
      <c r="C69" s="316" t="s">
        <v>387</v>
      </c>
      <c r="D69" s="317">
        <v>9.0</v>
      </c>
      <c r="E69" s="316">
        <v>1.0</v>
      </c>
      <c r="F69" s="316">
        <v>2.0</v>
      </c>
      <c r="G69" s="318">
        <v>28.0</v>
      </c>
      <c r="H69" s="316" t="s">
        <v>265</v>
      </c>
      <c r="I69" s="315" t="b">
        <v>0</v>
      </c>
      <c r="J69" s="317">
        <v>1.0</v>
      </c>
      <c r="K69" s="316">
        <f t="shared" si="1"/>
        <v>6</v>
      </c>
      <c r="L69" s="186" t="str">
        <f>YEAR(NOW()) &amp; "-W" &amp; CONTROL_CENTER!$J$3</f>
        <v>2026-W19</v>
      </c>
    </row>
    <row r="70">
      <c r="A70" s="186">
        <v>69.0</v>
      </c>
      <c r="B70" s="140" t="s">
        <v>96</v>
      </c>
      <c r="C70" s="316" t="s">
        <v>388</v>
      </c>
      <c r="D70" s="317">
        <v>9.0</v>
      </c>
      <c r="E70" s="317">
        <v>1.0</v>
      </c>
      <c r="F70" s="316">
        <v>3.0</v>
      </c>
      <c r="G70" s="318">
        <v>28.0</v>
      </c>
      <c r="H70" s="317" t="s">
        <v>265</v>
      </c>
      <c r="I70" s="315" t="b">
        <v>0</v>
      </c>
      <c r="J70" s="317">
        <v>7.0</v>
      </c>
      <c r="K70" s="316">
        <f t="shared" si="1"/>
        <v>6</v>
      </c>
      <c r="L70" s="186" t="str">
        <f>YEAR(NOW()) &amp; "-W" &amp; CONTROL_CENTER!$J$3</f>
        <v>2026-W19</v>
      </c>
    </row>
    <row r="71">
      <c r="A71" s="186">
        <v>70.0</v>
      </c>
      <c r="B71" s="140" t="s">
        <v>96</v>
      </c>
      <c r="C71" s="316" t="s">
        <v>389</v>
      </c>
      <c r="D71" s="317">
        <v>9.0</v>
      </c>
      <c r="E71" s="317">
        <v>0.0</v>
      </c>
      <c r="F71" s="316">
        <v>1.0</v>
      </c>
      <c r="G71" s="318">
        <v>29.0</v>
      </c>
      <c r="H71" s="317" t="s">
        <v>265</v>
      </c>
      <c r="I71" s="315" t="b">
        <v>0</v>
      </c>
      <c r="J71" s="317">
        <v>5.0</v>
      </c>
      <c r="K71" s="316">
        <f t="shared" si="1"/>
        <v>6</v>
      </c>
      <c r="L71" s="186" t="str">
        <f>YEAR(NOW()) &amp; "-W" &amp; CONTROL_CENTER!$J$3</f>
        <v>2026-W19</v>
      </c>
    </row>
    <row r="72">
      <c r="A72" s="186">
        <v>71.0</v>
      </c>
      <c r="B72" s="140" t="s">
        <v>96</v>
      </c>
      <c r="C72" s="316" t="s">
        <v>390</v>
      </c>
      <c r="D72" s="317">
        <v>9.0</v>
      </c>
      <c r="E72" s="316">
        <v>0.0</v>
      </c>
      <c r="F72" s="316">
        <v>2.0</v>
      </c>
      <c r="G72" s="318">
        <v>29.0</v>
      </c>
      <c r="H72" s="316" t="s">
        <v>265</v>
      </c>
      <c r="I72" s="315" t="b">
        <v>0</v>
      </c>
      <c r="J72" s="317">
        <v>2.0</v>
      </c>
      <c r="K72" s="316">
        <f t="shared" si="1"/>
        <v>6</v>
      </c>
      <c r="L72" s="186" t="str">
        <f>YEAR(NOW()) &amp; "-W" &amp; CONTROL_CENTER!$J$3</f>
        <v>2026-W19</v>
      </c>
    </row>
    <row r="73">
      <c r="A73" s="186">
        <v>72.0</v>
      </c>
      <c r="B73" s="140" t="s">
        <v>96</v>
      </c>
      <c r="C73" s="316" t="s">
        <v>391</v>
      </c>
      <c r="D73" s="317">
        <v>9.0</v>
      </c>
      <c r="E73" s="317">
        <v>0.0</v>
      </c>
      <c r="F73" s="316">
        <v>3.0</v>
      </c>
      <c r="G73" s="318">
        <v>29.0</v>
      </c>
      <c r="H73" s="317" t="s">
        <v>265</v>
      </c>
      <c r="I73" s="315" t="b">
        <v>0</v>
      </c>
      <c r="J73" s="317">
        <v>8.0</v>
      </c>
      <c r="K73" s="316">
        <f t="shared" si="1"/>
        <v>6</v>
      </c>
      <c r="L73" s="186" t="str">
        <f>YEAR(NOW()) &amp; "-W" &amp; CONTROL_CENTER!$J$3</f>
        <v>2026-W19</v>
      </c>
    </row>
    <row r="74">
      <c r="A74" s="316">
        <v>73.0</v>
      </c>
      <c r="B74" s="140" t="s">
        <v>96</v>
      </c>
      <c r="C74" s="316" t="s">
        <v>392</v>
      </c>
      <c r="D74" s="317">
        <v>10.0</v>
      </c>
      <c r="E74" s="316"/>
      <c r="F74" s="316">
        <v>1.0</v>
      </c>
      <c r="G74" s="318">
        <v>30.0</v>
      </c>
      <c r="H74" s="317" t="s">
        <v>265</v>
      </c>
      <c r="I74" s="315" t="b">
        <v>0</v>
      </c>
      <c r="J74" s="317">
        <v>4.0</v>
      </c>
      <c r="K74" s="316">
        <f t="shared" si="1"/>
        <v>7</v>
      </c>
      <c r="L74" s="186" t="str">
        <f>YEAR(NOW()) &amp; "-W" &amp; CONTROL_CENTER!$J$3</f>
        <v>2026-W19</v>
      </c>
    </row>
    <row r="75">
      <c r="A75" s="316">
        <v>74.0</v>
      </c>
      <c r="B75" s="140" t="s">
        <v>96</v>
      </c>
      <c r="C75" s="316" t="s">
        <v>393</v>
      </c>
      <c r="D75" s="317">
        <v>10.0</v>
      </c>
      <c r="E75" s="316"/>
      <c r="F75" s="316">
        <v>2.0</v>
      </c>
      <c r="G75" s="318">
        <v>30.0</v>
      </c>
      <c r="H75" s="317" t="s">
        <v>265</v>
      </c>
      <c r="I75" s="315" t="b">
        <v>0</v>
      </c>
      <c r="J75" s="317">
        <v>2.0</v>
      </c>
      <c r="K75" s="316">
        <f t="shared" si="1"/>
        <v>7</v>
      </c>
      <c r="L75" s="186" t="str">
        <f>YEAR(NOW()) &amp; "-W" &amp; CONTROL_CENTER!$J$3</f>
        <v>2026-W19</v>
      </c>
    </row>
    <row r="76">
      <c r="A76" s="186">
        <v>75.0</v>
      </c>
      <c r="B76" s="140" t="s">
        <v>96</v>
      </c>
      <c r="C76" s="316" t="s">
        <v>394</v>
      </c>
      <c r="D76" s="317">
        <v>10.0</v>
      </c>
      <c r="E76" s="316"/>
      <c r="F76" s="316">
        <v>3.0</v>
      </c>
      <c r="G76" s="318">
        <v>30.0</v>
      </c>
      <c r="H76" s="317" t="s">
        <v>265</v>
      </c>
      <c r="I76" s="315" t="b">
        <v>0</v>
      </c>
      <c r="J76" s="317">
        <v>6.0</v>
      </c>
      <c r="K76" s="316">
        <f t="shared" si="1"/>
        <v>7</v>
      </c>
      <c r="L76" s="186" t="str">
        <f>YEAR(NOW()) &amp; "-W" &amp; CONTROL_CENTER!$J$3</f>
        <v>2026-W19</v>
      </c>
    </row>
    <row r="77">
      <c r="A77" s="186">
        <v>76.0</v>
      </c>
      <c r="B77" s="140" t="s">
        <v>96</v>
      </c>
      <c r="C77" s="316" t="s">
        <v>395</v>
      </c>
      <c r="D77" s="317">
        <v>10.0</v>
      </c>
      <c r="E77" s="316"/>
      <c r="F77" s="316">
        <v>1.0</v>
      </c>
      <c r="G77" s="318">
        <v>31.0</v>
      </c>
      <c r="H77" s="317" t="s">
        <v>265</v>
      </c>
      <c r="I77" s="315" t="b">
        <v>0</v>
      </c>
      <c r="J77" s="317">
        <v>3.0</v>
      </c>
      <c r="K77" s="316">
        <f t="shared" si="1"/>
        <v>7</v>
      </c>
      <c r="L77" s="186" t="str">
        <f>YEAR(NOW()) &amp; "-W" &amp; CONTROL_CENTER!$J$3</f>
        <v>2026-W19</v>
      </c>
    </row>
    <row r="78">
      <c r="A78" s="186">
        <v>77.0</v>
      </c>
      <c r="B78" s="140" t="s">
        <v>96</v>
      </c>
      <c r="C78" s="316" t="s">
        <v>396</v>
      </c>
      <c r="D78" s="317">
        <v>10.0</v>
      </c>
      <c r="E78" s="316"/>
      <c r="F78" s="316">
        <v>2.0</v>
      </c>
      <c r="G78" s="318">
        <v>31.0</v>
      </c>
      <c r="H78" s="317" t="s">
        <v>265</v>
      </c>
      <c r="I78" s="315" t="b">
        <v>0</v>
      </c>
      <c r="J78" s="317">
        <v>1.0</v>
      </c>
      <c r="K78" s="316">
        <f t="shared" si="1"/>
        <v>7</v>
      </c>
      <c r="L78" s="186" t="str">
        <f>YEAR(NOW()) &amp; "-W" &amp; CONTROL_CENTER!$J$3</f>
        <v>2026-W19</v>
      </c>
    </row>
    <row r="79">
      <c r="A79" s="186">
        <v>78.0</v>
      </c>
      <c r="B79" s="140" t="s">
        <v>96</v>
      </c>
      <c r="C79" s="316" t="s">
        <v>397</v>
      </c>
      <c r="D79" s="317">
        <v>10.0</v>
      </c>
      <c r="E79" s="316"/>
      <c r="F79" s="316">
        <v>3.0</v>
      </c>
      <c r="G79" s="318">
        <v>31.0</v>
      </c>
      <c r="H79" s="317" t="s">
        <v>265</v>
      </c>
      <c r="I79" s="315" t="b">
        <v>0</v>
      </c>
      <c r="J79" s="317">
        <v>5.0</v>
      </c>
      <c r="K79" s="316">
        <f t="shared" si="1"/>
        <v>7</v>
      </c>
      <c r="L79" s="186" t="str">
        <f>YEAR(NOW()) &amp; "-W" &amp; CONTROL_CENTER!$J$3</f>
        <v>2026-W19</v>
      </c>
    </row>
    <row r="80">
      <c r="A80" s="186">
        <v>79.0</v>
      </c>
      <c r="B80" s="140" t="s">
        <v>96</v>
      </c>
      <c r="C80" s="316" t="s">
        <v>398</v>
      </c>
      <c r="D80" s="316">
        <v>11.0</v>
      </c>
      <c r="E80" s="316"/>
      <c r="F80" s="316">
        <v>1.0</v>
      </c>
      <c r="G80" s="318">
        <v>32.0</v>
      </c>
      <c r="H80" s="317" t="s">
        <v>265</v>
      </c>
      <c r="I80" s="315" t="b">
        <v>0</v>
      </c>
      <c r="J80" s="317">
        <v>4.0</v>
      </c>
      <c r="K80" s="316">
        <f t="shared" si="1"/>
        <v>8</v>
      </c>
      <c r="L80" s="186" t="str">
        <f>YEAR(NOW()) &amp; "-W" &amp; CONTROL_CENTER!$J$3</f>
        <v>2026-W19</v>
      </c>
    </row>
    <row r="81">
      <c r="A81" s="186">
        <v>80.0</v>
      </c>
      <c r="B81" s="140" t="s">
        <v>96</v>
      </c>
      <c r="C81" s="316" t="s">
        <v>399</v>
      </c>
      <c r="D81" s="316">
        <v>11.0</v>
      </c>
      <c r="E81" s="316"/>
      <c r="F81" s="316">
        <v>2.0</v>
      </c>
      <c r="G81" s="318">
        <v>32.0</v>
      </c>
      <c r="H81" s="317" t="s">
        <v>265</v>
      </c>
      <c r="I81" s="315" t="b">
        <v>0</v>
      </c>
      <c r="J81" s="317">
        <v>2.0</v>
      </c>
      <c r="K81" s="316">
        <f t="shared" si="1"/>
        <v>8</v>
      </c>
      <c r="L81" s="186" t="str">
        <f>YEAR(NOW()) &amp; "-W" &amp; CONTROL_CENTER!$J$3</f>
        <v>2026-W19</v>
      </c>
    </row>
    <row r="82">
      <c r="A82" s="186">
        <v>81.0</v>
      </c>
      <c r="B82" s="140" t="s">
        <v>96</v>
      </c>
      <c r="C82" s="316" t="s">
        <v>400</v>
      </c>
      <c r="D82" s="316">
        <v>11.0</v>
      </c>
      <c r="E82" s="316"/>
      <c r="F82" s="316">
        <v>3.0</v>
      </c>
      <c r="G82" s="318">
        <v>32.0</v>
      </c>
      <c r="H82" s="317" t="s">
        <v>265</v>
      </c>
      <c r="I82" s="315" t="b">
        <v>0</v>
      </c>
      <c r="J82" s="317">
        <v>6.0</v>
      </c>
      <c r="K82" s="316">
        <f t="shared" si="1"/>
        <v>8</v>
      </c>
      <c r="L82" s="186" t="str">
        <f>YEAR(NOW()) &amp; "-W" &amp; CONTROL_CENTER!$J$3</f>
        <v>2026-W19</v>
      </c>
    </row>
    <row r="83">
      <c r="A83" s="186">
        <v>82.0</v>
      </c>
      <c r="B83" s="140" t="s">
        <v>96</v>
      </c>
      <c r="C83" s="316" t="s">
        <v>401</v>
      </c>
      <c r="D83" s="316">
        <v>11.0</v>
      </c>
      <c r="E83" s="316"/>
      <c r="F83" s="320">
        <v>1.0</v>
      </c>
      <c r="G83" s="318">
        <v>33.0</v>
      </c>
      <c r="H83" s="317" t="s">
        <v>265</v>
      </c>
      <c r="I83" s="315" t="b">
        <v>0</v>
      </c>
      <c r="J83" s="317">
        <v>3.0</v>
      </c>
      <c r="K83" s="316">
        <f t="shared" si="1"/>
        <v>8</v>
      </c>
      <c r="L83" s="186" t="str">
        <f>YEAR(NOW()) &amp; "-W" &amp; CONTROL_CENTER!$J$3</f>
        <v>2026-W19</v>
      </c>
    </row>
    <row r="84">
      <c r="A84" s="186">
        <v>83.0</v>
      </c>
      <c r="B84" s="140" t="s">
        <v>96</v>
      </c>
      <c r="C84" s="316" t="s">
        <v>402</v>
      </c>
      <c r="D84" s="316">
        <v>11.0</v>
      </c>
      <c r="E84" s="316"/>
      <c r="F84" s="320">
        <v>2.0</v>
      </c>
      <c r="G84" s="318">
        <v>33.0</v>
      </c>
      <c r="H84" s="317" t="s">
        <v>265</v>
      </c>
      <c r="I84" s="315" t="b">
        <v>0</v>
      </c>
      <c r="J84" s="317">
        <v>1.0</v>
      </c>
      <c r="K84" s="316">
        <f t="shared" si="1"/>
        <v>8</v>
      </c>
      <c r="L84" s="186" t="str">
        <f>YEAR(NOW()) &amp; "-W" &amp; CONTROL_CENTER!$J$3</f>
        <v>2026-W19</v>
      </c>
    </row>
    <row r="85">
      <c r="A85" s="186">
        <v>84.0</v>
      </c>
      <c r="B85" s="140" t="s">
        <v>96</v>
      </c>
      <c r="C85" s="316" t="s">
        <v>403</v>
      </c>
      <c r="D85" s="316">
        <v>11.0</v>
      </c>
      <c r="E85" s="316"/>
      <c r="F85" s="320">
        <v>3.0</v>
      </c>
      <c r="G85" s="318">
        <v>33.0</v>
      </c>
      <c r="H85" s="317" t="s">
        <v>265</v>
      </c>
      <c r="I85" s="315" t="b">
        <v>0</v>
      </c>
      <c r="J85" s="317">
        <v>5.0</v>
      </c>
      <c r="K85" s="316">
        <f t="shared" si="1"/>
        <v>8</v>
      </c>
      <c r="L85" s="186" t="str">
        <f>YEAR(NOW()) &amp; "-W" &amp; CONTROL_CENTER!$J$3</f>
        <v>2026-W19</v>
      </c>
    </row>
    <row r="86">
      <c r="A86" s="186">
        <v>85.0</v>
      </c>
      <c r="B86" s="140" t="s">
        <v>96</v>
      </c>
      <c r="C86" s="316" t="s">
        <v>404</v>
      </c>
      <c r="D86" s="316">
        <v>12.0</v>
      </c>
      <c r="E86" s="316"/>
      <c r="F86" s="320">
        <v>1.0</v>
      </c>
      <c r="G86" s="318">
        <v>34.0</v>
      </c>
      <c r="H86" s="317" t="s">
        <v>265</v>
      </c>
      <c r="I86" s="315" t="b">
        <v>1</v>
      </c>
      <c r="J86" s="317">
        <v>4.0</v>
      </c>
      <c r="K86" s="316">
        <f t="shared" si="1"/>
        <v>9</v>
      </c>
      <c r="L86" s="186" t="str">
        <f>YEAR(NOW()) &amp; "-W" &amp; CONTROL_CENTER!$J$3</f>
        <v>2026-W19</v>
      </c>
    </row>
    <row r="87">
      <c r="A87" s="186">
        <v>86.0</v>
      </c>
      <c r="B87" s="140" t="s">
        <v>96</v>
      </c>
      <c r="C87" s="316" t="s">
        <v>149</v>
      </c>
      <c r="D87" s="316">
        <v>12.0</v>
      </c>
      <c r="E87" s="316"/>
      <c r="F87" s="320">
        <v>2.0</v>
      </c>
      <c r="G87" s="318">
        <v>34.0</v>
      </c>
      <c r="H87" s="317" t="s">
        <v>265</v>
      </c>
      <c r="I87" s="315" t="b">
        <v>1</v>
      </c>
      <c r="J87" s="317">
        <v>2.0</v>
      </c>
      <c r="K87" s="316">
        <f t="shared" si="1"/>
        <v>9</v>
      </c>
      <c r="L87" s="186" t="str">
        <f>YEAR(NOW()) &amp; "-W" &amp; CONTROL_CENTER!$J$3</f>
        <v>2026-W19</v>
      </c>
    </row>
    <row r="88">
      <c r="A88" s="186">
        <v>87.0</v>
      </c>
      <c r="B88" s="140" t="s">
        <v>96</v>
      </c>
      <c r="C88" s="316" t="s">
        <v>405</v>
      </c>
      <c r="D88" s="316">
        <v>12.0</v>
      </c>
      <c r="E88" s="316"/>
      <c r="F88" s="320">
        <v>3.0</v>
      </c>
      <c r="G88" s="318">
        <v>34.0</v>
      </c>
      <c r="H88" s="317" t="s">
        <v>265</v>
      </c>
      <c r="I88" s="315" t="b">
        <v>0</v>
      </c>
      <c r="J88" s="317">
        <v>6.0</v>
      </c>
      <c r="K88" s="316">
        <f t="shared" si="1"/>
        <v>9</v>
      </c>
      <c r="L88" s="186" t="str">
        <f>YEAR(NOW()) &amp; "-W" &amp; CONTROL_CENTER!$J$3</f>
        <v>2026-W19</v>
      </c>
    </row>
    <row r="89">
      <c r="A89" s="186">
        <v>88.0</v>
      </c>
      <c r="B89" s="140" t="s">
        <v>96</v>
      </c>
      <c r="C89" s="316" t="s">
        <v>406</v>
      </c>
      <c r="D89" s="316">
        <v>12.0</v>
      </c>
      <c r="E89" s="316"/>
      <c r="F89" s="320">
        <v>1.0</v>
      </c>
      <c r="G89" s="318">
        <v>35.0</v>
      </c>
      <c r="H89" s="317" t="s">
        <v>265</v>
      </c>
      <c r="I89" s="315" t="b">
        <v>1</v>
      </c>
      <c r="J89" s="317">
        <v>3.0</v>
      </c>
      <c r="K89" s="316">
        <f t="shared" si="1"/>
        <v>9</v>
      </c>
      <c r="L89" s="186" t="str">
        <f>YEAR(NOW()) &amp; "-W" &amp; CONTROL_CENTER!$J$3</f>
        <v>2026-W19</v>
      </c>
    </row>
    <row r="90">
      <c r="A90" s="186">
        <v>89.0</v>
      </c>
      <c r="B90" s="140" t="s">
        <v>96</v>
      </c>
      <c r="C90" s="316" t="s">
        <v>166</v>
      </c>
      <c r="D90" s="316">
        <v>12.0</v>
      </c>
      <c r="E90" s="316"/>
      <c r="F90" s="320">
        <v>2.0</v>
      </c>
      <c r="G90" s="318">
        <v>35.0</v>
      </c>
      <c r="H90" s="317" t="s">
        <v>265</v>
      </c>
      <c r="I90" s="315" t="b">
        <v>1</v>
      </c>
      <c r="J90" s="317">
        <v>1.0</v>
      </c>
      <c r="K90" s="316">
        <f t="shared" si="1"/>
        <v>9</v>
      </c>
      <c r="L90" s="186" t="str">
        <f>YEAR(NOW()) &amp; "-W" &amp; CONTROL_CENTER!$J$3</f>
        <v>2026-W19</v>
      </c>
    </row>
    <row r="91">
      <c r="A91" s="186">
        <v>90.0</v>
      </c>
      <c r="B91" s="140" t="s">
        <v>96</v>
      </c>
      <c r="C91" s="316" t="s">
        <v>407</v>
      </c>
      <c r="D91" s="316">
        <v>12.0</v>
      </c>
      <c r="E91" s="316"/>
      <c r="F91" s="320">
        <v>3.0</v>
      </c>
      <c r="G91" s="318">
        <v>35.0</v>
      </c>
      <c r="H91" s="317" t="s">
        <v>265</v>
      </c>
      <c r="I91" s="315" t="b">
        <v>0</v>
      </c>
      <c r="J91" s="317">
        <v>5.0</v>
      </c>
      <c r="K91" s="316">
        <f t="shared" si="1"/>
        <v>9</v>
      </c>
      <c r="L91" s="186" t="str">
        <f>YEAR(NOW()) &amp; "-W" &amp; CONTROL_CENTER!$J$3</f>
        <v>2026-W19</v>
      </c>
    </row>
    <row r="92">
      <c r="A92" s="186">
        <v>91.0</v>
      </c>
      <c r="B92" s="4" t="s">
        <v>96</v>
      </c>
      <c r="C92" s="186" t="s">
        <v>408</v>
      </c>
      <c r="D92" s="186">
        <v>13.0</v>
      </c>
      <c r="F92" s="58">
        <v>1.0</v>
      </c>
      <c r="G92" s="321">
        <v>36.0</v>
      </c>
      <c r="H92" s="12" t="s">
        <v>265</v>
      </c>
      <c r="I92" s="315" t="b">
        <v>1</v>
      </c>
      <c r="J92" s="12">
        <v>4.0</v>
      </c>
      <c r="K92" s="186">
        <f t="shared" si="1"/>
        <v>10</v>
      </c>
      <c r="L92" s="186" t="str">
        <f>YEAR(NOW()) &amp; "-W" &amp; CONTROL_CENTER!$J$3</f>
        <v>2026-W19</v>
      </c>
    </row>
    <row r="93">
      <c r="A93" s="186">
        <v>92.0</v>
      </c>
      <c r="B93" s="4" t="s">
        <v>96</v>
      </c>
      <c r="C93" s="186" t="s">
        <v>409</v>
      </c>
      <c r="D93" s="186">
        <v>13.0</v>
      </c>
      <c r="F93" s="58">
        <v>2.0</v>
      </c>
      <c r="G93" s="321">
        <v>36.0</v>
      </c>
      <c r="H93" s="12" t="s">
        <v>265</v>
      </c>
      <c r="I93" s="315" t="b">
        <v>1</v>
      </c>
      <c r="J93" s="12">
        <v>8.0</v>
      </c>
      <c r="K93" s="186">
        <f t="shared" si="1"/>
        <v>10</v>
      </c>
      <c r="L93" s="186" t="str">
        <f>YEAR(NOW()) &amp; "-W" &amp; CONTROL_CENTER!$J$3</f>
        <v>2026-W19</v>
      </c>
    </row>
    <row r="94">
      <c r="A94" s="316">
        <v>93.0</v>
      </c>
      <c r="B94" s="4" t="s">
        <v>96</v>
      </c>
      <c r="C94" s="186" t="s">
        <v>410</v>
      </c>
      <c r="D94" s="186">
        <v>13.0</v>
      </c>
      <c r="F94" s="58">
        <v>3.0</v>
      </c>
      <c r="G94" s="321">
        <v>36.0</v>
      </c>
      <c r="H94" s="12" t="s">
        <v>265</v>
      </c>
      <c r="I94" s="315" t="b">
        <v>0</v>
      </c>
      <c r="J94" s="12">
        <v>12.0</v>
      </c>
      <c r="K94" s="186">
        <f t="shared" si="1"/>
        <v>10</v>
      </c>
      <c r="L94" s="186" t="str">
        <f>YEAR(NOW()) &amp; "-W" &amp; CONTROL_CENTER!$J$3</f>
        <v>2026-W19</v>
      </c>
    </row>
    <row r="95">
      <c r="A95" s="316">
        <v>94.0</v>
      </c>
      <c r="B95" s="4" t="s">
        <v>96</v>
      </c>
      <c r="C95" s="186" t="s">
        <v>411</v>
      </c>
      <c r="D95" s="186">
        <v>13.0</v>
      </c>
      <c r="F95" s="58">
        <v>1.0</v>
      </c>
      <c r="G95" s="321">
        <v>37.0</v>
      </c>
      <c r="H95" s="12" t="s">
        <v>265</v>
      </c>
      <c r="I95" s="315" t="b">
        <v>1</v>
      </c>
      <c r="J95" s="12">
        <v>3.0</v>
      </c>
      <c r="K95" s="186">
        <f t="shared" si="1"/>
        <v>10</v>
      </c>
      <c r="L95" s="186" t="str">
        <f>YEAR(NOW()) &amp; "-W" &amp; CONTROL_CENTER!$J$3</f>
        <v>2026-W19</v>
      </c>
    </row>
    <row r="96">
      <c r="A96" s="186">
        <v>95.0</v>
      </c>
      <c r="B96" s="4" t="s">
        <v>96</v>
      </c>
      <c r="C96" s="186" t="s">
        <v>412</v>
      </c>
      <c r="D96" s="186">
        <v>13.0</v>
      </c>
      <c r="F96" s="58">
        <v>2.0</v>
      </c>
      <c r="G96" s="321">
        <v>37.0</v>
      </c>
      <c r="H96" s="12" t="s">
        <v>265</v>
      </c>
      <c r="I96" s="315" t="b">
        <v>1</v>
      </c>
      <c r="J96" s="12">
        <v>7.0</v>
      </c>
      <c r="K96" s="186">
        <f t="shared" si="1"/>
        <v>10</v>
      </c>
      <c r="L96" s="186" t="str">
        <f>YEAR(NOW()) &amp; "-W" &amp; CONTROL_CENTER!$J$3</f>
        <v>2026-W19</v>
      </c>
    </row>
    <row r="97">
      <c r="A97" s="186">
        <v>96.0</v>
      </c>
      <c r="B97" s="4" t="s">
        <v>96</v>
      </c>
      <c r="C97" s="186" t="s">
        <v>413</v>
      </c>
      <c r="D97" s="186">
        <v>13.0</v>
      </c>
      <c r="F97" s="58">
        <v>3.0</v>
      </c>
      <c r="G97" s="321">
        <v>37.0</v>
      </c>
      <c r="H97" s="12" t="s">
        <v>265</v>
      </c>
      <c r="I97" s="315" t="b">
        <v>1</v>
      </c>
      <c r="J97" s="12">
        <v>11.0</v>
      </c>
      <c r="K97" s="186">
        <f t="shared" si="1"/>
        <v>10</v>
      </c>
      <c r="L97" s="186" t="str">
        <f>YEAR(NOW()) &amp; "-W" &amp; CONTROL_CENTER!$J$3</f>
        <v>2026-W19</v>
      </c>
    </row>
    <row r="98">
      <c r="A98" s="186">
        <v>97.0</v>
      </c>
      <c r="B98" s="4" t="s">
        <v>96</v>
      </c>
      <c r="C98" s="186" t="s">
        <v>414</v>
      </c>
      <c r="D98" s="12">
        <v>13.0</v>
      </c>
      <c r="F98" s="58">
        <v>1.0</v>
      </c>
      <c r="G98" s="321">
        <v>38.0</v>
      </c>
      <c r="H98" s="12" t="s">
        <v>265</v>
      </c>
      <c r="I98" s="315" t="b">
        <v>1</v>
      </c>
      <c r="J98" s="12">
        <v>1.0</v>
      </c>
      <c r="K98" s="186">
        <f t="shared" si="1"/>
        <v>10</v>
      </c>
      <c r="L98" s="186" t="str">
        <f>YEAR(NOW()) &amp; "-W" &amp; CONTROL_CENTER!$J$3</f>
        <v>2026-W19</v>
      </c>
    </row>
    <row r="99">
      <c r="A99" s="186">
        <v>98.0</v>
      </c>
      <c r="B99" s="4" t="s">
        <v>96</v>
      </c>
      <c r="C99" s="186" t="s">
        <v>76</v>
      </c>
      <c r="D99" s="12">
        <v>13.0</v>
      </c>
      <c r="F99" s="58">
        <v>2.0</v>
      </c>
      <c r="G99" s="321">
        <v>38.0</v>
      </c>
      <c r="H99" s="12" t="s">
        <v>265</v>
      </c>
      <c r="I99" s="315" t="b">
        <v>1</v>
      </c>
      <c r="J99" s="12">
        <v>6.0</v>
      </c>
      <c r="K99" s="186">
        <f t="shared" si="1"/>
        <v>10</v>
      </c>
      <c r="L99" s="186" t="str">
        <f>YEAR(NOW()) &amp; "-W" &amp; CONTROL_CENTER!$J$3</f>
        <v>2026-W19</v>
      </c>
    </row>
    <row r="100">
      <c r="A100" s="186">
        <v>99.0</v>
      </c>
      <c r="B100" s="4" t="s">
        <v>96</v>
      </c>
      <c r="C100" s="186" t="s">
        <v>415</v>
      </c>
      <c r="D100" s="12">
        <v>13.0</v>
      </c>
      <c r="F100" s="58">
        <v>3.0</v>
      </c>
      <c r="G100" s="321">
        <v>38.0</v>
      </c>
      <c r="H100" s="12" t="s">
        <v>265</v>
      </c>
      <c r="I100" s="315" t="b">
        <v>0</v>
      </c>
      <c r="J100" s="12">
        <v>10.0</v>
      </c>
      <c r="K100" s="186">
        <f t="shared" si="1"/>
        <v>10</v>
      </c>
      <c r="L100" s="186" t="str">
        <f>YEAR(NOW()) &amp; "-W" &amp; CONTROL_CENTER!$J$3</f>
        <v>2026-W19</v>
      </c>
    </row>
    <row r="101">
      <c r="A101" s="186">
        <v>100.0</v>
      </c>
      <c r="B101" s="4" t="s">
        <v>96</v>
      </c>
      <c r="C101" s="186" t="s">
        <v>416</v>
      </c>
      <c r="D101" s="12">
        <v>13.0</v>
      </c>
      <c r="F101" s="58">
        <v>1.0</v>
      </c>
      <c r="G101" s="321">
        <v>39.0</v>
      </c>
      <c r="H101" s="12" t="s">
        <v>265</v>
      </c>
      <c r="I101" s="315" t="b">
        <v>1</v>
      </c>
      <c r="J101" s="12">
        <v>2.0</v>
      </c>
      <c r="K101" s="186">
        <f t="shared" si="1"/>
        <v>10</v>
      </c>
      <c r="L101" s="186" t="str">
        <f>YEAR(NOW()) &amp; "-W" &amp; CONTROL_CENTER!$J$3</f>
        <v>2026-W19</v>
      </c>
    </row>
    <row r="102">
      <c r="A102" s="186">
        <v>101.0</v>
      </c>
      <c r="B102" s="4" t="s">
        <v>96</v>
      </c>
      <c r="C102" s="186" t="s">
        <v>317</v>
      </c>
      <c r="D102" s="12">
        <v>13.0</v>
      </c>
      <c r="F102" s="58">
        <v>2.0</v>
      </c>
      <c r="G102" s="321">
        <v>39.0</v>
      </c>
      <c r="H102" s="12" t="s">
        <v>265</v>
      </c>
      <c r="I102" s="315" t="b">
        <v>1</v>
      </c>
      <c r="J102" s="12">
        <v>5.0</v>
      </c>
      <c r="K102" s="186">
        <f t="shared" si="1"/>
        <v>10</v>
      </c>
      <c r="L102" s="186" t="str">
        <f>YEAR(NOW()) &amp; "-W" &amp; CONTROL_CENTER!$J$3</f>
        <v>2026-W19</v>
      </c>
    </row>
    <row r="103">
      <c r="A103" s="186">
        <v>102.0</v>
      </c>
      <c r="B103" s="4" t="s">
        <v>96</v>
      </c>
      <c r="C103" s="186" t="s">
        <v>417</v>
      </c>
      <c r="D103" s="12">
        <v>13.0</v>
      </c>
      <c r="F103" s="58">
        <v>3.0</v>
      </c>
      <c r="G103" s="321">
        <v>39.0</v>
      </c>
      <c r="H103" s="12" t="s">
        <v>265</v>
      </c>
      <c r="I103" s="315" t="b">
        <v>0</v>
      </c>
      <c r="J103" s="12">
        <v>9.0</v>
      </c>
      <c r="K103" s="186">
        <f t="shared" si="1"/>
        <v>10</v>
      </c>
      <c r="L103" s="186" t="str">
        <f>YEAR(NOW()) &amp; "-W" &amp; CONTROL_CENTER!$J$3</f>
        <v>2026-W19</v>
      </c>
    </row>
    <row r="104">
      <c r="A104" s="186">
        <v>103.0</v>
      </c>
      <c r="B104" s="4" t="s">
        <v>96</v>
      </c>
      <c r="C104" s="186" t="s">
        <v>418</v>
      </c>
      <c r="D104" s="12">
        <v>14.0</v>
      </c>
      <c r="E104" s="186">
        <v>2.0</v>
      </c>
      <c r="F104" s="186">
        <v>1.0</v>
      </c>
      <c r="G104" s="12">
        <v>40.0</v>
      </c>
      <c r="H104" s="12" t="s">
        <v>265</v>
      </c>
      <c r="I104" s="315" t="b">
        <v>1</v>
      </c>
      <c r="J104" s="12">
        <v>9.0</v>
      </c>
      <c r="K104" s="186">
        <f t="shared" si="1"/>
        <v>11</v>
      </c>
      <c r="L104" s="186" t="str">
        <f>YEAR(NOW()) &amp; "-W" &amp; CONTROL_CENTER!$J$3</f>
        <v>2026-W19</v>
      </c>
    </row>
    <row r="105">
      <c r="A105" s="186">
        <v>104.0</v>
      </c>
      <c r="B105" s="4" t="s">
        <v>96</v>
      </c>
      <c r="C105" s="186" t="s">
        <v>419</v>
      </c>
      <c r="D105" s="12">
        <v>14.0</v>
      </c>
      <c r="E105" s="186">
        <v>2.0</v>
      </c>
      <c r="F105" s="186">
        <v>2.0</v>
      </c>
      <c r="G105" s="12">
        <v>40.0</v>
      </c>
      <c r="H105" s="12" t="s">
        <v>265</v>
      </c>
      <c r="I105" s="315" t="b">
        <v>1</v>
      </c>
      <c r="J105" s="12">
        <v>10.0</v>
      </c>
      <c r="K105" s="186">
        <f t="shared" si="1"/>
        <v>11</v>
      </c>
      <c r="L105" s="186" t="str">
        <f>YEAR(NOW()) &amp; "-W" &amp; CONTROL_CENTER!$J$3</f>
        <v>2026-W19</v>
      </c>
    </row>
    <row r="106">
      <c r="A106" s="186">
        <v>105.0</v>
      </c>
      <c r="B106" s="4" t="s">
        <v>96</v>
      </c>
      <c r="C106" s="186" t="s">
        <v>17</v>
      </c>
      <c r="D106" s="12">
        <v>14.0</v>
      </c>
      <c r="E106" s="186">
        <v>1.0</v>
      </c>
      <c r="F106" s="186">
        <v>1.0</v>
      </c>
      <c r="G106" s="12">
        <v>41.0</v>
      </c>
      <c r="H106" s="12" t="s">
        <v>265</v>
      </c>
      <c r="I106" s="315" t="b">
        <v>1</v>
      </c>
      <c r="J106" s="12">
        <v>7.0</v>
      </c>
      <c r="K106" s="186">
        <f t="shared" si="1"/>
        <v>11</v>
      </c>
      <c r="L106" s="186" t="str">
        <f>YEAR(NOW()) &amp; "-W" &amp; CONTROL_CENTER!$J$3</f>
        <v>2026-W19</v>
      </c>
    </row>
    <row r="107">
      <c r="A107" s="186">
        <v>106.0</v>
      </c>
      <c r="B107" s="4" t="s">
        <v>96</v>
      </c>
      <c r="C107" s="186" t="s">
        <v>171</v>
      </c>
      <c r="D107" s="12">
        <v>14.0</v>
      </c>
      <c r="E107" s="186">
        <v>1.0</v>
      </c>
      <c r="F107" s="186">
        <v>2.0</v>
      </c>
      <c r="G107" s="12">
        <v>41.0</v>
      </c>
      <c r="H107" s="12" t="s">
        <v>265</v>
      </c>
      <c r="I107" s="315" t="b">
        <v>1</v>
      </c>
      <c r="J107" s="12">
        <v>8.0</v>
      </c>
      <c r="K107" s="186">
        <f t="shared" si="1"/>
        <v>11</v>
      </c>
      <c r="L107" s="186" t="str">
        <f>YEAR(NOW()) &amp; "-W" &amp; CONTROL_CENTER!$J$3</f>
        <v>2026-W19</v>
      </c>
    </row>
    <row r="108">
      <c r="A108" s="186">
        <v>107.0</v>
      </c>
      <c r="B108" s="4" t="s">
        <v>96</v>
      </c>
      <c r="C108" s="186" t="s">
        <v>420</v>
      </c>
      <c r="D108" s="12">
        <v>14.0</v>
      </c>
      <c r="E108" s="186">
        <v>0.0</v>
      </c>
      <c r="F108" s="186">
        <v>1.0</v>
      </c>
      <c r="G108" s="12">
        <v>42.0</v>
      </c>
      <c r="H108" s="12" t="s">
        <v>265</v>
      </c>
      <c r="I108" s="315" t="b">
        <v>1</v>
      </c>
      <c r="J108" s="12">
        <v>2.0</v>
      </c>
      <c r="K108" s="186">
        <f t="shared" si="1"/>
        <v>11</v>
      </c>
      <c r="L108" s="186" t="str">
        <f>YEAR(NOW()) &amp; "-W" &amp; CONTROL_CENTER!$J$3</f>
        <v>2026-W19</v>
      </c>
    </row>
    <row r="109">
      <c r="A109" s="186">
        <v>108.0</v>
      </c>
      <c r="B109" s="4" t="s">
        <v>96</v>
      </c>
      <c r="C109" s="186" t="s">
        <v>77</v>
      </c>
      <c r="D109" s="12">
        <v>14.0</v>
      </c>
      <c r="E109" s="186">
        <v>0.0</v>
      </c>
      <c r="F109" s="186">
        <v>2.0</v>
      </c>
      <c r="G109" s="12">
        <v>42.0</v>
      </c>
      <c r="H109" s="12" t="s">
        <v>265</v>
      </c>
      <c r="I109" s="315" t="b">
        <v>1</v>
      </c>
      <c r="J109" s="12">
        <v>4.0</v>
      </c>
      <c r="K109" s="186">
        <f t="shared" si="1"/>
        <v>11</v>
      </c>
      <c r="L109" s="186" t="str">
        <f>YEAR(NOW()) &amp; "-W" &amp; CONTROL_CENTER!$J$3</f>
        <v>2026-W19</v>
      </c>
    </row>
    <row r="110">
      <c r="A110" s="186">
        <v>109.0</v>
      </c>
      <c r="B110" s="4" t="s">
        <v>96</v>
      </c>
      <c r="C110" s="186" t="s">
        <v>421</v>
      </c>
      <c r="D110" s="12">
        <v>14.0</v>
      </c>
      <c r="E110" s="186">
        <v>2.0</v>
      </c>
      <c r="F110" s="186">
        <v>1.0</v>
      </c>
      <c r="G110" s="12">
        <v>43.0</v>
      </c>
      <c r="H110" s="12" t="s">
        <v>265</v>
      </c>
      <c r="I110" s="315" t="b">
        <v>1</v>
      </c>
      <c r="J110" s="12">
        <v>1.0</v>
      </c>
      <c r="K110" s="186">
        <f t="shared" si="1"/>
        <v>11</v>
      </c>
      <c r="L110" s="186" t="str">
        <f>YEAR(NOW()) &amp; "-W" &amp; CONTROL_CENTER!$J$3</f>
        <v>2026-W19</v>
      </c>
    </row>
    <row r="111">
      <c r="A111" s="186">
        <v>110.0</v>
      </c>
      <c r="B111" s="4" t="s">
        <v>96</v>
      </c>
      <c r="C111" s="186" t="s">
        <v>150</v>
      </c>
      <c r="D111" s="12">
        <v>14.0</v>
      </c>
      <c r="E111" s="186">
        <v>2.0</v>
      </c>
      <c r="F111" s="186">
        <v>2.0</v>
      </c>
      <c r="G111" s="12">
        <v>43.0</v>
      </c>
      <c r="H111" s="12" t="s">
        <v>265</v>
      </c>
      <c r="I111" s="315" t="b">
        <v>1</v>
      </c>
      <c r="J111" s="12">
        <v>3.0</v>
      </c>
      <c r="K111" s="186">
        <f t="shared" si="1"/>
        <v>11</v>
      </c>
      <c r="L111" s="186" t="str">
        <f>YEAR(NOW()) &amp; "-W" &amp; CONTROL_CENTER!$J$3</f>
        <v>2026-W19</v>
      </c>
    </row>
    <row r="112">
      <c r="A112" s="186">
        <v>111.0</v>
      </c>
      <c r="B112" s="4" t="s">
        <v>96</v>
      </c>
      <c r="C112" s="186" t="s">
        <v>422</v>
      </c>
      <c r="D112" s="12">
        <v>14.0</v>
      </c>
      <c r="E112" s="186">
        <v>1.0</v>
      </c>
      <c r="F112" s="186">
        <v>1.0</v>
      </c>
      <c r="G112" s="12">
        <v>44.0</v>
      </c>
      <c r="H112" s="12" t="s">
        <v>265</v>
      </c>
      <c r="I112" s="315" t="b">
        <v>1</v>
      </c>
      <c r="J112" s="12">
        <v>5.0</v>
      </c>
      <c r="K112" s="186">
        <f t="shared" si="1"/>
        <v>11</v>
      </c>
      <c r="L112" s="186" t="str">
        <f>YEAR(NOW()) &amp; "-W" &amp; CONTROL_CENTER!$J$3</f>
        <v>2026-W19</v>
      </c>
    </row>
    <row r="113">
      <c r="A113" s="186">
        <v>112.0</v>
      </c>
      <c r="B113" s="4" t="s">
        <v>96</v>
      </c>
      <c r="C113" s="186" t="s">
        <v>212</v>
      </c>
      <c r="D113" s="12">
        <v>14.0</v>
      </c>
      <c r="E113" s="186">
        <v>1.0</v>
      </c>
      <c r="F113" s="186">
        <v>2.0</v>
      </c>
      <c r="G113" s="12">
        <v>44.0</v>
      </c>
      <c r="H113" s="12" t="s">
        <v>265</v>
      </c>
      <c r="I113" s="315" t="b">
        <v>1</v>
      </c>
      <c r="J113" s="12">
        <v>6.0</v>
      </c>
      <c r="K113" s="186">
        <f t="shared" si="1"/>
        <v>11</v>
      </c>
      <c r="L113" s="186" t="str">
        <f>YEAR(NOW()) &amp; "-W" &amp; CONTROL_CENTER!$J$3</f>
        <v>2026-W19</v>
      </c>
    </row>
    <row r="114">
      <c r="A114" s="316">
        <v>113.0</v>
      </c>
      <c r="B114" s="4" t="s">
        <v>96</v>
      </c>
      <c r="C114" s="186" t="s">
        <v>423</v>
      </c>
      <c r="D114" s="12">
        <v>15.0</v>
      </c>
      <c r="E114" s="186">
        <v>0.0</v>
      </c>
      <c r="F114" s="186">
        <v>1.0</v>
      </c>
      <c r="G114" s="12">
        <v>45.0</v>
      </c>
      <c r="H114" s="12" t="s">
        <v>265</v>
      </c>
      <c r="I114" s="315" t="b">
        <v>0</v>
      </c>
      <c r="J114" s="12">
        <v>7.0</v>
      </c>
      <c r="K114" s="186">
        <f t="shared" si="1"/>
        <v>12</v>
      </c>
      <c r="L114" s="186" t="str">
        <f>YEAR(NOW()) &amp; "-W" &amp; CONTROL_CENTER!$J$3</f>
        <v>2026-W19</v>
      </c>
    </row>
    <row r="115">
      <c r="A115" s="316">
        <v>114.0</v>
      </c>
      <c r="B115" s="4" t="s">
        <v>96</v>
      </c>
      <c r="C115" s="186" t="s">
        <v>424</v>
      </c>
      <c r="D115" s="12">
        <v>15.0</v>
      </c>
      <c r="E115" s="186">
        <v>0.0</v>
      </c>
      <c r="F115" s="186">
        <v>2.0</v>
      </c>
      <c r="G115" s="12">
        <v>45.0</v>
      </c>
      <c r="H115" s="12" t="s">
        <v>265</v>
      </c>
      <c r="I115" s="315" t="b">
        <v>0</v>
      </c>
      <c r="J115" s="12">
        <v>8.0</v>
      </c>
      <c r="K115" s="186">
        <f t="shared" si="1"/>
        <v>12</v>
      </c>
      <c r="L115" s="186" t="str">
        <f>YEAR(NOW()) &amp; "-W" &amp; CONTROL_CENTER!$J$3</f>
        <v>2026-W19</v>
      </c>
    </row>
    <row r="116">
      <c r="A116" s="186">
        <v>115.0</v>
      </c>
      <c r="B116" s="4" t="s">
        <v>96</v>
      </c>
      <c r="C116" s="186" t="s">
        <v>425</v>
      </c>
      <c r="D116" s="12">
        <v>15.0</v>
      </c>
      <c r="E116" s="186">
        <v>2.0</v>
      </c>
      <c r="F116" s="186">
        <v>1.0</v>
      </c>
      <c r="G116" s="12">
        <v>46.0</v>
      </c>
      <c r="H116" s="12" t="s">
        <v>265</v>
      </c>
      <c r="I116" s="315" t="b">
        <v>0</v>
      </c>
      <c r="J116" s="12">
        <v>2.0</v>
      </c>
      <c r="K116" s="186">
        <f t="shared" si="1"/>
        <v>12</v>
      </c>
      <c r="L116" s="186" t="str">
        <f>YEAR(NOW()) &amp; "-W" &amp; CONTROL_CENTER!$J$3</f>
        <v>2026-W19</v>
      </c>
    </row>
    <row r="117">
      <c r="A117" s="186">
        <v>116.0</v>
      </c>
      <c r="B117" s="4" t="s">
        <v>96</v>
      </c>
      <c r="C117" s="186" t="s">
        <v>426</v>
      </c>
      <c r="D117" s="12">
        <v>15.0</v>
      </c>
      <c r="E117" s="186">
        <v>2.0</v>
      </c>
      <c r="F117" s="186">
        <v>2.0</v>
      </c>
      <c r="G117" s="12">
        <v>46.0</v>
      </c>
      <c r="H117" s="12" t="s">
        <v>265</v>
      </c>
      <c r="I117" s="315" t="b">
        <v>0</v>
      </c>
      <c r="J117" s="12">
        <v>4.0</v>
      </c>
      <c r="K117" s="186">
        <f t="shared" si="1"/>
        <v>12</v>
      </c>
      <c r="L117" s="186" t="str">
        <f>YEAR(NOW()) &amp; "-W" &amp; CONTROL_CENTER!$J$3</f>
        <v>2026-W19</v>
      </c>
    </row>
    <row r="118">
      <c r="A118" s="186">
        <v>117.0</v>
      </c>
      <c r="B118" s="4" t="s">
        <v>96</v>
      </c>
      <c r="C118" s="186" t="s">
        <v>427</v>
      </c>
      <c r="D118" s="12">
        <v>15.0</v>
      </c>
      <c r="E118" s="186">
        <v>1.0</v>
      </c>
      <c r="F118" s="186">
        <v>1.0</v>
      </c>
      <c r="G118" s="12">
        <v>47.0</v>
      </c>
      <c r="H118" s="12" t="s">
        <v>265</v>
      </c>
      <c r="I118" s="315" t="b">
        <v>0</v>
      </c>
      <c r="J118" s="12">
        <v>1.0</v>
      </c>
      <c r="K118" s="186">
        <f t="shared" si="1"/>
        <v>12</v>
      </c>
      <c r="L118" s="186" t="str">
        <f>YEAR(NOW()) &amp; "-W" &amp; CONTROL_CENTER!$J$3</f>
        <v>2026-W19</v>
      </c>
    </row>
    <row r="119">
      <c r="A119" s="186">
        <v>118.0</v>
      </c>
      <c r="B119" s="4" t="s">
        <v>96</v>
      </c>
      <c r="C119" s="186" t="s">
        <v>428</v>
      </c>
      <c r="D119" s="12">
        <v>15.0</v>
      </c>
      <c r="E119" s="186">
        <v>1.0</v>
      </c>
      <c r="F119" s="186">
        <v>2.0</v>
      </c>
      <c r="G119" s="12">
        <v>47.0</v>
      </c>
      <c r="H119" s="12" t="s">
        <v>265</v>
      </c>
      <c r="I119" s="315" t="b">
        <v>0</v>
      </c>
      <c r="J119" s="12">
        <v>3.0</v>
      </c>
      <c r="K119" s="186">
        <f t="shared" si="1"/>
        <v>12</v>
      </c>
      <c r="L119" s="186" t="str">
        <f>YEAR(NOW()) &amp; "-W" &amp; CONTROL_CENTER!$J$3</f>
        <v>2026-W19</v>
      </c>
    </row>
    <row r="120">
      <c r="A120" s="186">
        <v>119.0</v>
      </c>
      <c r="B120" s="4" t="s">
        <v>96</v>
      </c>
      <c r="C120" s="186" t="s">
        <v>429</v>
      </c>
      <c r="D120" s="12">
        <v>15.0</v>
      </c>
      <c r="E120" s="186">
        <v>0.0</v>
      </c>
      <c r="F120" s="186">
        <v>1.0</v>
      </c>
      <c r="G120" s="12">
        <v>48.0</v>
      </c>
      <c r="H120" s="12" t="s">
        <v>265</v>
      </c>
      <c r="I120" s="315" t="b">
        <v>0</v>
      </c>
      <c r="J120" s="12">
        <v>5.0</v>
      </c>
      <c r="K120" s="186">
        <f t="shared" si="1"/>
        <v>12</v>
      </c>
      <c r="L120" s="186" t="str">
        <f>YEAR(NOW()) &amp; "-W" &amp; CONTROL_CENTER!$J$3</f>
        <v>2026-W19</v>
      </c>
    </row>
    <row r="121">
      <c r="A121" s="186">
        <v>120.0</v>
      </c>
      <c r="B121" s="4" t="s">
        <v>96</v>
      </c>
      <c r="C121" s="186" t="s">
        <v>430</v>
      </c>
      <c r="D121" s="12">
        <v>15.0</v>
      </c>
      <c r="E121" s="186">
        <v>0.0</v>
      </c>
      <c r="F121" s="186">
        <v>2.0</v>
      </c>
      <c r="G121" s="12">
        <v>48.0</v>
      </c>
      <c r="H121" s="12" t="s">
        <v>265</v>
      </c>
      <c r="I121" s="315" t="b">
        <v>0</v>
      </c>
      <c r="J121" s="12">
        <v>6.0</v>
      </c>
      <c r="K121" s="186">
        <f t="shared" si="1"/>
        <v>12</v>
      </c>
      <c r="L121" s="186" t="str">
        <f>YEAR(NOW()) &amp; "-W" &amp; CONTROL_CENTER!$J$3</f>
        <v>2026-W19</v>
      </c>
    </row>
    <row r="122">
      <c r="A122" s="186">
        <v>121.0</v>
      </c>
      <c r="B122" s="4" t="s">
        <v>96</v>
      </c>
      <c r="C122" s="186" t="s">
        <v>431</v>
      </c>
      <c r="D122" s="12">
        <v>16.0</v>
      </c>
      <c r="E122" s="186">
        <v>2.0</v>
      </c>
      <c r="F122" s="186">
        <v>1.0</v>
      </c>
      <c r="G122" s="12">
        <v>49.0</v>
      </c>
      <c r="H122" s="12" t="s">
        <v>265</v>
      </c>
      <c r="I122" s="315" t="b">
        <v>1</v>
      </c>
      <c r="J122" s="12">
        <v>7.0</v>
      </c>
      <c r="K122" s="186">
        <f t="shared" si="1"/>
        <v>13</v>
      </c>
      <c r="L122" s="186" t="str">
        <f>YEAR(NOW()) &amp; "-W" &amp; CONTROL_CENTER!$J$3</f>
        <v>2026-W19</v>
      </c>
    </row>
    <row r="123">
      <c r="A123" s="186">
        <v>122.0</v>
      </c>
      <c r="B123" s="4" t="s">
        <v>96</v>
      </c>
      <c r="C123" s="186" t="s">
        <v>153</v>
      </c>
      <c r="D123" s="12">
        <v>16.0</v>
      </c>
      <c r="E123" s="186">
        <v>2.0</v>
      </c>
      <c r="F123" s="186">
        <v>2.0</v>
      </c>
      <c r="G123" s="12">
        <v>49.0</v>
      </c>
      <c r="H123" s="12" t="s">
        <v>265</v>
      </c>
      <c r="I123" s="315" t="b">
        <v>1</v>
      </c>
      <c r="J123" s="12">
        <v>8.0</v>
      </c>
      <c r="K123" s="186">
        <f t="shared" si="1"/>
        <v>13</v>
      </c>
      <c r="L123" s="186" t="str">
        <f>YEAR(NOW()) &amp; "-W" &amp; CONTROL_CENTER!$J$3</f>
        <v>2026-W19</v>
      </c>
    </row>
    <row r="124">
      <c r="A124" s="186">
        <v>123.0</v>
      </c>
      <c r="B124" s="4" t="s">
        <v>96</v>
      </c>
      <c r="C124" s="186" t="s">
        <v>78</v>
      </c>
      <c r="D124" s="12">
        <v>16.0</v>
      </c>
      <c r="E124" s="186">
        <v>1.0</v>
      </c>
      <c r="F124" s="186">
        <v>1.0</v>
      </c>
      <c r="G124" s="12">
        <v>50.0</v>
      </c>
      <c r="H124" s="12" t="s">
        <v>265</v>
      </c>
      <c r="I124" s="315" t="b">
        <v>1</v>
      </c>
      <c r="J124" s="12">
        <v>2.0</v>
      </c>
      <c r="K124" s="186">
        <f t="shared" si="1"/>
        <v>13</v>
      </c>
      <c r="L124" s="186" t="str">
        <f>YEAR(NOW()) &amp; "-W" &amp; CONTROL_CENTER!$J$3</f>
        <v>2026-W19</v>
      </c>
    </row>
    <row r="125">
      <c r="A125" s="186">
        <v>124.0</v>
      </c>
      <c r="B125" s="4" t="s">
        <v>96</v>
      </c>
      <c r="C125" s="186" t="s">
        <v>214</v>
      </c>
      <c r="D125" s="12">
        <v>16.0</v>
      </c>
      <c r="E125" s="186">
        <v>1.0</v>
      </c>
      <c r="F125" s="186">
        <v>2.0</v>
      </c>
      <c r="G125" s="12">
        <v>50.0</v>
      </c>
      <c r="H125" s="12" t="s">
        <v>265</v>
      </c>
      <c r="I125" s="315" t="b">
        <v>1</v>
      </c>
      <c r="J125" s="12">
        <v>4.0</v>
      </c>
      <c r="K125" s="186">
        <f t="shared" si="1"/>
        <v>13</v>
      </c>
      <c r="L125" s="186" t="str">
        <f>YEAR(NOW()) &amp; "-W" &amp; CONTROL_CENTER!$J$3</f>
        <v>2026-W19</v>
      </c>
    </row>
    <row r="126">
      <c r="A126" s="186">
        <v>125.0</v>
      </c>
      <c r="B126" s="4" t="s">
        <v>96</v>
      </c>
      <c r="C126" s="186" t="s">
        <v>432</v>
      </c>
      <c r="D126" s="12">
        <v>16.0</v>
      </c>
      <c r="E126" s="186">
        <v>0.0</v>
      </c>
      <c r="F126" s="186">
        <v>1.0</v>
      </c>
      <c r="G126" s="12">
        <v>51.0</v>
      </c>
      <c r="H126" s="12" t="s">
        <v>265</v>
      </c>
      <c r="I126" s="315" t="b">
        <v>1</v>
      </c>
      <c r="J126" s="12">
        <v>1.0</v>
      </c>
      <c r="K126" s="186">
        <f t="shared" si="1"/>
        <v>13</v>
      </c>
      <c r="L126" s="186" t="str">
        <f>YEAR(NOW()) &amp; "-W" &amp; CONTROL_CENTER!$J$3</f>
        <v>2026-W19</v>
      </c>
    </row>
    <row r="127">
      <c r="A127" s="186">
        <v>126.0</v>
      </c>
      <c r="B127" s="4" t="s">
        <v>96</v>
      </c>
      <c r="C127" s="186" t="s">
        <v>318</v>
      </c>
      <c r="D127" s="12">
        <v>16.0</v>
      </c>
      <c r="F127" s="186">
        <v>2.0</v>
      </c>
      <c r="G127" s="12">
        <v>51.0</v>
      </c>
      <c r="H127" s="12" t="s">
        <v>265</v>
      </c>
      <c r="I127" s="315" t="b">
        <v>1</v>
      </c>
      <c r="J127" s="12">
        <v>3.0</v>
      </c>
      <c r="K127" s="186">
        <f t="shared" si="1"/>
        <v>13</v>
      </c>
      <c r="L127" s="186" t="str">
        <f>YEAR(NOW()) &amp; "-W" &amp; CONTROL_CENTER!$J$3</f>
        <v>2026-W19</v>
      </c>
    </row>
    <row r="128">
      <c r="A128" s="186">
        <v>127.0</v>
      </c>
      <c r="B128" s="4" t="s">
        <v>96</v>
      </c>
      <c r="C128" s="186" t="s">
        <v>145</v>
      </c>
      <c r="D128" s="12">
        <v>16.0</v>
      </c>
      <c r="E128" s="186">
        <v>2.0</v>
      </c>
      <c r="F128" s="186">
        <v>1.0</v>
      </c>
      <c r="G128" s="12">
        <v>52.0</v>
      </c>
      <c r="H128" s="12" t="s">
        <v>265</v>
      </c>
      <c r="I128" s="315" t="b">
        <v>1</v>
      </c>
      <c r="J128" s="12">
        <v>5.0</v>
      </c>
      <c r="K128" s="186">
        <f t="shared" si="1"/>
        <v>13</v>
      </c>
      <c r="L128" s="186" t="str">
        <f>YEAR(NOW()) &amp; "-W" &amp; CONTROL_CENTER!$J$3</f>
        <v>2026-W19</v>
      </c>
    </row>
    <row r="129">
      <c r="A129" s="186">
        <v>128.0</v>
      </c>
      <c r="B129" s="4" t="s">
        <v>96</v>
      </c>
      <c r="C129" s="186" t="s">
        <v>433</v>
      </c>
      <c r="D129" s="12">
        <v>16.0</v>
      </c>
      <c r="E129" s="186">
        <v>2.0</v>
      </c>
      <c r="F129" s="186">
        <v>2.0</v>
      </c>
      <c r="G129" s="12">
        <v>52.0</v>
      </c>
      <c r="H129" s="12" t="s">
        <v>265</v>
      </c>
      <c r="I129" s="315" t="b">
        <v>0</v>
      </c>
      <c r="J129" s="12">
        <v>6.0</v>
      </c>
      <c r="K129" s="186">
        <f t="shared" si="1"/>
        <v>13</v>
      </c>
      <c r="L129" s="186" t="str">
        <f>YEAR(NOW()) &amp; "-W" &amp; CONTROL_CENTER!$J$3</f>
        <v>2026-W19</v>
      </c>
    </row>
    <row r="130">
      <c r="A130" s="186">
        <v>129.0</v>
      </c>
      <c r="B130" s="4" t="s">
        <v>96</v>
      </c>
      <c r="C130" s="186" t="s">
        <v>434</v>
      </c>
      <c r="D130" s="12">
        <v>17.0</v>
      </c>
      <c r="E130" s="186">
        <v>1.0</v>
      </c>
      <c r="F130" s="186">
        <v>1.0</v>
      </c>
      <c r="G130" s="12">
        <v>53.0</v>
      </c>
      <c r="H130" s="12" t="s">
        <v>265</v>
      </c>
      <c r="I130" s="315" t="b">
        <v>1</v>
      </c>
      <c r="J130" s="12">
        <v>7.0</v>
      </c>
      <c r="K130" s="186">
        <f t="shared" si="1"/>
        <v>14</v>
      </c>
      <c r="L130" s="186" t="str">
        <f>YEAR(NOW()) &amp; "-W" &amp; CONTROL_CENTER!$J$3</f>
        <v>2026-W19</v>
      </c>
    </row>
    <row r="131">
      <c r="A131" s="186">
        <v>130.0</v>
      </c>
      <c r="B131" s="4" t="s">
        <v>96</v>
      </c>
      <c r="C131" s="186" t="s">
        <v>435</v>
      </c>
      <c r="D131" s="12">
        <v>17.0</v>
      </c>
      <c r="E131" s="186">
        <v>1.0</v>
      </c>
      <c r="F131" s="186">
        <v>2.0</v>
      </c>
      <c r="G131" s="12">
        <v>53.0</v>
      </c>
      <c r="H131" s="12" t="s">
        <v>265</v>
      </c>
      <c r="I131" s="315" t="b">
        <v>0</v>
      </c>
      <c r="J131" s="12">
        <v>8.0</v>
      </c>
      <c r="K131" s="186">
        <f t="shared" si="1"/>
        <v>14</v>
      </c>
      <c r="L131" s="186" t="str">
        <f>YEAR(NOW()) &amp; "-W" &amp; CONTROL_CENTER!$J$3</f>
        <v>2026-W19</v>
      </c>
    </row>
    <row r="132">
      <c r="A132" s="186">
        <v>131.0</v>
      </c>
      <c r="B132" s="4" t="s">
        <v>96</v>
      </c>
      <c r="C132" s="186" t="s">
        <v>436</v>
      </c>
      <c r="D132" s="12">
        <v>17.0</v>
      </c>
      <c r="E132" s="186">
        <v>0.0</v>
      </c>
      <c r="F132" s="186">
        <v>1.0</v>
      </c>
      <c r="G132" s="12">
        <v>54.0</v>
      </c>
      <c r="H132" s="12" t="s">
        <v>265</v>
      </c>
      <c r="I132" s="315" t="b">
        <v>1</v>
      </c>
      <c r="J132" s="12">
        <v>2.0</v>
      </c>
      <c r="K132" s="186">
        <f t="shared" si="1"/>
        <v>14</v>
      </c>
      <c r="L132" s="186" t="str">
        <f>YEAR(NOW()) &amp; "-W" &amp; CONTROL_CENTER!$J$3</f>
        <v>2026-W19</v>
      </c>
    </row>
    <row r="133">
      <c r="A133" s="186">
        <v>132.0</v>
      </c>
      <c r="B133" s="4" t="s">
        <v>96</v>
      </c>
      <c r="C133" s="186" t="s">
        <v>437</v>
      </c>
      <c r="D133" s="12">
        <v>17.0</v>
      </c>
      <c r="E133" s="186">
        <v>0.0</v>
      </c>
      <c r="F133" s="186">
        <v>2.0</v>
      </c>
      <c r="G133" s="12">
        <v>54.0</v>
      </c>
      <c r="H133" s="12" t="s">
        <v>265</v>
      </c>
      <c r="I133" s="315" t="b">
        <v>1</v>
      </c>
      <c r="J133" s="12">
        <v>4.0</v>
      </c>
      <c r="K133" s="186">
        <f t="shared" si="1"/>
        <v>14</v>
      </c>
      <c r="L133" s="186" t="str">
        <f>YEAR(NOW()) &amp; "-W" &amp; CONTROL_CENTER!$J$3</f>
        <v>2026-W19</v>
      </c>
    </row>
    <row r="134">
      <c r="A134" s="316">
        <v>133.0</v>
      </c>
      <c r="B134" s="4" t="s">
        <v>96</v>
      </c>
      <c r="C134" s="186" t="s">
        <v>438</v>
      </c>
      <c r="D134" s="12">
        <v>17.0</v>
      </c>
      <c r="E134" s="186">
        <v>2.0</v>
      </c>
      <c r="F134" s="186">
        <v>1.0</v>
      </c>
      <c r="G134" s="12">
        <v>55.0</v>
      </c>
      <c r="H134" s="12" t="s">
        <v>265</v>
      </c>
      <c r="I134" s="315" t="b">
        <v>1</v>
      </c>
      <c r="J134" s="12">
        <v>1.0</v>
      </c>
      <c r="K134" s="186">
        <f t="shared" si="1"/>
        <v>14</v>
      </c>
      <c r="L134" s="186" t="str">
        <f>YEAR(NOW()) &amp; "-W" &amp; CONTROL_CENTER!$J$3</f>
        <v>2026-W19</v>
      </c>
    </row>
    <row r="135">
      <c r="A135" s="316">
        <v>134.0</v>
      </c>
      <c r="B135" s="4" t="s">
        <v>96</v>
      </c>
      <c r="C135" s="186" t="s">
        <v>79</v>
      </c>
      <c r="D135" s="12">
        <v>17.0</v>
      </c>
      <c r="E135" s="186">
        <v>2.0</v>
      </c>
      <c r="F135" s="186">
        <v>2.0</v>
      </c>
      <c r="G135" s="12">
        <v>55.0</v>
      </c>
      <c r="H135" s="12" t="s">
        <v>265</v>
      </c>
      <c r="I135" s="315" t="b">
        <v>1</v>
      </c>
      <c r="J135" s="12">
        <v>3.0</v>
      </c>
      <c r="K135" s="186">
        <f t="shared" si="1"/>
        <v>14</v>
      </c>
      <c r="L135" s="186" t="str">
        <f>YEAR(NOW()) &amp; "-W" &amp; CONTROL_CENTER!$J$3</f>
        <v>2026-W19</v>
      </c>
    </row>
    <row r="136">
      <c r="A136" s="186">
        <v>135.0</v>
      </c>
      <c r="B136" s="4" t="s">
        <v>96</v>
      </c>
      <c r="C136" s="186" t="s">
        <v>206</v>
      </c>
      <c r="D136" s="12">
        <v>17.0</v>
      </c>
      <c r="E136" s="186">
        <v>1.0</v>
      </c>
      <c r="F136" s="186">
        <v>1.0</v>
      </c>
      <c r="G136" s="12">
        <v>56.0</v>
      </c>
      <c r="H136" s="12" t="s">
        <v>265</v>
      </c>
      <c r="I136" s="315" t="b">
        <v>1</v>
      </c>
      <c r="J136" s="12">
        <v>5.0</v>
      </c>
      <c r="K136" s="186">
        <f t="shared" si="1"/>
        <v>14</v>
      </c>
      <c r="L136" s="186" t="str">
        <f>YEAR(NOW()) &amp; "-W" &amp; CONTROL_CENTER!$J$3</f>
        <v>2026-W19</v>
      </c>
    </row>
    <row r="137">
      <c r="A137" s="186">
        <v>136.0</v>
      </c>
      <c r="B137" s="4" t="s">
        <v>96</v>
      </c>
      <c r="C137" s="186" t="s">
        <v>208</v>
      </c>
      <c r="D137" s="12">
        <v>17.0</v>
      </c>
      <c r="E137" s="186">
        <v>1.0</v>
      </c>
      <c r="F137" s="186">
        <v>2.0</v>
      </c>
      <c r="G137" s="12">
        <v>56.0</v>
      </c>
      <c r="H137" s="12" t="s">
        <v>265</v>
      </c>
      <c r="I137" s="315" t="b">
        <v>1</v>
      </c>
      <c r="J137" s="12">
        <v>6.0</v>
      </c>
      <c r="K137" s="186">
        <f t="shared" si="1"/>
        <v>14</v>
      </c>
      <c r="L137" s="186" t="str">
        <f>YEAR(NOW()) &amp; "-W" &amp; CONTROL_CENTER!$J$3</f>
        <v>2026-W19</v>
      </c>
    </row>
    <row r="138">
      <c r="A138" s="186">
        <v>137.0</v>
      </c>
      <c r="B138" s="4" t="s">
        <v>96</v>
      </c>
      <c r="C138" s="186" t="s">
        <v>20</v>
      </c>
      <c r="D138" s="12">
        <v>18.0</v>
      </c>
      <c r="E138" s="186">
        <v>0.0</v>
      </c>
      <c r="F138" s="186">
        <v>1.0</v>
      </c>
      <c r="G138" s="12">
        <v>57.0</v>
      </c>
      <c r="H138" s="12" t="s">
        <v>265</v>
      </c>
      <c r="I138" s="315" t="b">
        <v>1</v>
      </c>
      <c r="J138" s="12">
        <v>7.0</v>
      </c>
      <c r="K138" s="186">
        <f t="shared" si="1"/>
        <v>15</v>
      </c>
      <c r="L138" s="186" t="str">
        <f>YEAR(NOW()) &amp; "-W" &amp; CONTROL_CENTER!$J$3</f>
        <v>2026-W19</v>
      </c>
    </row>
    <row r="139">
      <c r="A139" s="186">
        <v>138.0</v>
      </c>
      <c r="B139" s="4" t="s">
        <v>96</v>
      </c>
      <c r="C139" s="186" t="s">
        <v>203</v>
      </c>
      <c r="D139" s="12">
        <v>18.0</v>
      </c>
      <c r="E139" s="186">
        <v>0.0</v>
      </c>
      <c r="F139" s="186">
        <v>2.0</v>
      </c>
      <c r="G139" s="12">
        <v>57.0</v>
      </c>
      <c r="H139" s="12" t="s">
        <v>265</v>
      </c>
      <c r="I139" s="315" t="b">
        <v>1</v>
      </c>
      <c r="J139" s="12">
        <v>8.0</v>
      </c>
      <c r="K139" s="186">
        <f t="shared" si="1"/>
        <v>15</v>
      </c>
      <c r="L139" s="186" t="str">
        <f>YEAR(NOW()) &amp; "-W" &amp; CONTROL_CENTER!$J$3</f>
        <v>2026-W19</v>
      </c>
    </row>
    <row r="140">
      <c r="A140" s="186">
        <v>139.0</v>
      </c>
      <c r="B140" s="4" t="s">
        <v>96</v>
      </c>
      <c r="C140" s="186" t="s">
        <v>199</v>
      </c>
      <c r="D140" s="12">
        <v>18.0</v>
      </c>
      <c r="E140" s="186">
        <v>2.0</v>
      </c>
      <c r="F140" s="186">
        <v>1.0</v>
      </c>
      <c r="G140" s="12">
        <v>58.0</v>
      </c>
      <c r="H140" s="12" t="s">
        <v>265</v>
      </c>
      <c r="I140" s="315" t="b">
        <v>1</v>
      </c>
      <c r="J140" s="12">
        <v>2.0</v>
      </c>
      <c r="K140" s="186">
        <f t="shared" si="1"/>
        <v>15</v>
      </c>
      <c r="L140" s="186" t="str">
        <f>YEAR(NOW()) &amp; "-W" &amp; CONTROL_CENTER!$J$3</f>
        <v>2026-W19</v>
      </c>
    </row>
    <row r="141">
      <c r="A141" s="186">
        <v>140.0</v>
      </c>
      <c r="B141" s="4" t="s">
        <v>96</v>
      </c>
      <c r="C141" s="186" t="s">
        <v>201</v>
      </c>
      <c r="D141" s="12">
        <v>18.0</v>
      </c>
      <c r="E141" s="186">
        <v>2.0</v>
      </c>
      <c r="F141" s="186">
        <v>2.0</v>
      </c>
      <c r="G141" s="12">
        <v>58.0</v>
      </c>
      <c r="H141" s="12" t="s">
        <v>265</v>
      </c>
      <c r="I141" s="315" t="b">
        <v>1</v>
      </c>
      <c r="J141" s="12">
        <v>4.0</v>
      </c>
      <c r="K141" s="186">
        <f t="shared" si="1"/>
        <v>15</v>
      </c>
      <c r="L141" s="186" t="str">
        <f>YEAR(NOW()) &amp; "-W" &amp; CONTROL_CENTER!$J$3</f>
        <v>2026-W19</v>
      </c>
    </row>
    <row r="142">
      <c r="A142" s="186">
        <v>141.0</v>
      </c>
      <c r="B142" s="4" t="s">
        <v>96</v>
      </c>
      <c r="C142" s="186" t="s">
        <v>197</v>
      </c>
      <c r="D142" s="12">
        <v>18.0</v>
      </c>
      <c r="E142" s="186">
        <v>1.0</v>
      </c>
      <c r="F142" s="186">
        <v>1.0</v>
      </c>
      <c r="G142" s="12">
        <v>59.0</v>
      </c>
      <c r="H142" s="12" t="s">
        <v>265</v>
      </c>
      <c r="I142" s="315" t="b">
        <v>1</v>
      </c>
      <c r="J142" s="12">
        <v>1.0</v>
      </c>
      <c r="K142" s="186">
        <f t="shared" si="1"/>
        <v>15</v>
      </c>
      <c r="L142" s="186" t="str">
        <f>YEAR(NOW()) &amp; "-W" &amp; CONTROL_CENTER!$J$3</f>
        <v>2026-W19</v>
      </c>
    </row>
    <row r="143">
      <c r="A143" s="186">
        <v>142.0</v>
      </c>
      <c r="B143" s="4" t="s">
        <v>96</v>
      </c>
      <c r="C143" s="186" t="s">
        <v>195</v>
      </c>
      <c r="D143" s="12">
        <v>18.0</v>
      </c>
      <c r="E143" s="186">
        <v>1.0</v>
      </c>
      <c r="F143" s="186">
        <v>2.0</v>
      </c>
      <c r="G143" s="12">
        <v>59.0</v>
      </c>
      <c r="H143" s="12" t="s">
        <v>265</v>
      </c>
      <c r="I143" s="315" t="b">
        <v>1</v>
      </c>
      <c r="J143" s="12">
        <v>3.0</v>
      </c>
      <c r="K143" s="186">
        <f t="shared" si="1"/>
        <v>15</v>
      </c>
      <c r="L143" s="186" t="str">
        <f>YEAR(NOW()) &amp; "-W" &amp; CONTROL_CENTER!$J$3</f>
        <v>2026-W19</v>
      </c>
    </row>
    <row r="144">
      <c r="A144" s="186">
        <v>143.0</v>
      </c>
      <c r="B144" s="4" t="s">
        <v>96</v>
      </c>
      <c r="C144" s="186" t="s">
        <v>193</v>
      </c>
      <c r="D144" s="12">
        <v>18.0</v>
      </c>
      <c r="E144" s="186">
        <v>0.0</v>
      </c>
      <c r="F144" s="186">
        <v>1.0</v>
      </c>
      <c r="G144" s="12">
        <v>60.0</v>
      </c>
      <c r="H144" s="12" t="s">
        <v>265</v>
      </c>
      <c r="I144" s="315" t="b">
        <v>1</v>
      </c>
      <c r="J144" s="12">
        <v>5.0</v>
      </c>
      <c r="K144" s="186">
        <f t="shared" si="1"/>
        <v>15</v>
      </c>
      <c r="L144" s="186" t="str">
        <f>YEAR(NOW()) &amp; "-W" &amp; CONTROL_CENTER!$J$3</f>
        <v>2026-W19</v>
      </c>
    </row>
    <row r="145">
      <c r="A145" s="186">
        <v>144.0</v>
      </c>
      <c r="B145" s="4" t="s">
        <v>96</v>
      </c>
      <c r="C145" s="186" t="s">
        <v>129</v>
      </c>
      <c r="D145" s="12">
        <v>18.0</v>
      </c>
      <c r="E145" s="186">
        <v>0.0</v>
      </c>
      <c r="F145" s="186">
        <v>2.0</v>
      </c>
      <c r="G145" s="12">
        <v>60.0</v>
      </c>
      <c r="H145" s="12" t="s">
        <v>265</v>
      </c>
      <c r="I145" s="315" t="b">
        <v>1</v>
      </c>
      <c r="J145" s="12">
        <v>6.0</v>
      </c>
      <c r="K145" s="186">
        <f t="shared" si="1"/>
        <v>15</v>
      </c>
      <c r="L145" s="186" t="str">
        <f>YEAR(NOW()) &amp; "-W" &amp; CONTROL_CENTER!$J$3</f>
        <v>2026-W19</v>
      </c>
    </row>
    <row r="146">
      <c r="A146" s="186">
        <v>145.0</v>
      </c>
      <c r="B146" s="4" t="s">
        <v>96</v>
      </c>
      <c r="C146" s="186" t="s">
        <v>439</v>
      </c>
      <c r="D146" s="12">
        <v>19.0</v>
      </c>
      <c r="F146" s="186">
        <v>1.0</v>
      </c>
      <c r="G146" s="12">
        <v>61.0</v>
      </c>
      <c r="H146" s="186" t="s">
        <v>264</v>
      </c>
      <c r="I146" s="315" t="b">
        <v>0</v>
      </c>
      <c r="J146" s="12">
        <v>1.0</v>
      </c>
      <c r="K146" s="186">
        <f t="shared" si="1"/>
        <v>16</v>
      </c>
      <c r="L146" s="186" t="str">
        <f>YEAR(NOW()) &amp; "-W" &amp; CONTROL_CENTER!$J$3</f>
        <v>2026-W19</v>
      </c>
    </row>
    <row r="147">
      <c r="A147" s="186">
        <v>146.0</v>
      </c>
      <c r="B147" s="4" t="s">
        <v>96</v>
      </c>
      <c r="C147" s="186" t="s">
        <v>440</v>
      </c>
      <c r="D147" s="12">
        <v>19.0</v>
      </c>
      <c r="E147" s="186" t="s">
        <v>236</v>
      </c>
      <c r="F147" s="186">
        <v>2.0</v>
      </c>
      <c r="G147" s="12">
        <v>61.0</v>
      </c>
      <c r="H147" s="186" t="s">
        <v>264</v>
      </c>
      <c r="I147" s="315" t="b">
        <v>0</v>
      </c>
      <c r="J147" s="12">
        <v>1.0</v>
      </c>
      <c r="K147" s="186">
        <f t="shared" si="1"/>
        <v>16</v>
      </c>
      <c r="L147" s="186" t="str">
        <f>YEAR(NOW()) &amp; "-W" &amp; CONTROL_CENTER!$J$3</f>
        <v>2026-W19</v>
      </c>
    </row>
    <row r="148">
      <c r="A148" s="186">
        <v>147.0</v>
      </c>
      <c r="B148" s="4" t="s">
        <v>96</v>
      </c>
      <c r="C148" s="186" t="s">
        <v>441</v>
      </c>
      <c r="D148" s="12">
        <v>19.0</v>
      </c>
      <c r="F148" s="186">
        <v>3.0</v>
      </c>
      <c r="G148" s="12">
        <v>61.0</v>
      </c>
      <c r="H148" s="186" t="s">
        <v>264</v>
      </c>
      <c r="I148" s="315" t="b">
        <v>0</v>
      </c>
      <c r="J148" s="12">
        <v>1.0</v>
      </c>
      <c r="K148" s="186">
        <f t="shared" si="1"/>
        <v>16</v>
      </c>
      <c r="L148" s="186" t="str">
        <f>YEAR(NOW()) &amp; "-W" &amp; CONTROL_CENTER!$J$3</f>
        <v>2026-W19</v>
      </c>
    </row>
    <row r="149">
      <c r="A149" s="186">
        <v>148.0</v>
      </c>
      <c r="B149" s="4" t="s">
        <v>96</v>
      </c>
      <c r="C149" s="186" t="s">
        <v>442</v>
      </c>
      <c r="D149" s="12">
        <v>19.0</v>
      </c>
      <c r="E149" s="186" t="s">
        <v>236</v>
      </c>
      <c r="F149" s="186">
        <v>4.0</v>
      </c>
      <c r="G149" s="12">
        <v>61.0</v>
      </c>
      <c r="H149" s="186" t="s">
        <v>264</v>
      </c>
      <c r="I149" s="315" t="b">
        <v>0</v>
      </c>
      <c r="J149" s="12">
        <v>1.0</v>
      </c>
      <c r="K149" s="186">
        <f t="shared" si="1"/>
        <v>16</v>
      </c>
      <c r="L149" s="186" t="str">
        <f>YEAR(NOW()) &amp; "-W" &amp; CONTROL_CENTER!$J$3</f>
        <v>2026-W19</v>
      </c>
    </row>
    <row r="150">
      <c r="A150" s="186">
        <v>149.0</v>
      </c>
      <c r="B150" s="4" t="s">
        <v>96</v>
      </c>
      <c r="C150" s="186" t="s">
        <v>443</v>
      </c>
      <c r="D150" s="12">
        <v>19.0</v>
      </c>
      <c r="E150" s="186" t="s">
        <v>236</v>
      </c>
      <c r="F150" s="186">
        <v>1.0</v>
      </c>
      <c r="G150" s="321">
        <v>62.0</v>
      </c>
      <c r="H150" s="186" t="s">
        <v>264</v>
      </c>
      <c r="I150" s="315" t="b">
        <v>0</v>
      </c>
      <c r="J150" s="12">
        <v>1.0</v>
      </c>
      <c r="K150" s="186">
        <f t="shared" si="1"/>
        <v>16</v>
      </c>
      <c r="L150" s="186" t="str">
        <f>YEAR(NOW()) &amp; "-W" &amp; CONTROL_CENTER!$J$3</f>
        <v>2026-W19</v>
      </c>
    </row>
    <row r="151">
      <c r="A151" s="186">
        <v>150.0</v>
      </c>
      <c r="B151" s="4" t="s">
        <v>96</v>
      </c>
      <c r="C151" s="186" t="s">
        <v>444</v>
      </c>
      <c r="D151" s="12">
        <v>19.0</v>
      </c>
      <c r="F151" s="186">
        <v>2.0</v>
      </c>
      <c r="G151" s="321">
        <v>62.0</v>
      </c>
      <c r="H151" s="186" t="s">
        <v>264</v>
      </c>
      <c r="I151" s="315" t="b">
        <v>0</v>
      </c>
      <c r="J151" s="12">
        <v>1.0</v>
      </c>
      <c r="K151" s="186">
        <f t="shared" si="1"/>
        <v>16</v>
      </c>
      <c r="L151" s="186" t="str">
        <f>YEAR(NOW()) &amp; "-W" &amp; CONTROL_CENTER!$J$3</f>
        <v>2026-W19</v>
      </c>
    </row>
    <row r="152">
      <c r="A152" s="186">
        <v>151.0</v>
      </c>
      <c r="B152" s="4" t="s">
        <v>96</v>
      </c>
      <c r="C152" s="186" t="s">
        <v>445</v>
      </c>
      <c r="D152" s="12">
        <v>19.0</v>
      </c>
      <c r="F152" s="186">
        <v>3.0</v>
      </c>
      <c r="G152" s="321">
        <v>62.0</v>
      </c>
      <c r="H152" s="186" t="s">
        <v>264</v>
      </c>
      <c r="I152" s="315" t="b">
        <v>0</v>
      </c>
      <c r="J152" s="12">
        <v>1.0</v>
      </c>
      <c r="K152" s="186">
        <f t="shared" si="1"/>
        <v>16</v>
      </c>
      <c r="L152" s="186" t="str">
        <f>YEAR(NOW()) &amp; "-W" &amp; CONTROL_CENTER!$J$3</f>
        <v>2026-W19</v>
      </c>
    </row>
    <row r="153">
      <c r="A153" s="186">
        <v>152.0</v>
      </c>
      <c r="B153" s="4" t="s">
        <v>96</v>
      </c>
      <c r="C153" s="186" t="s">
        <v>446</v>
      </c>
      <c r="D153" s="12">
        <v>19.0</v>
      </c>
      <c r="F153" s="186">
        <v>4.0</v>
      </c>
      <c r="G153" s="321">
        <v>62.0</v>
      </c>
      <c r="H153" s="186" t="s">
        <v>264</v>
      </c>
      <c r="I153" s="315" t="b">
        <v>0</v>
      </c>
      <c r="J153" s="12">
        <v>1.0</v>
      </c>
      <c r="K153" s="186">
        <f t="shared" si="1"/>
        <v>16</v>
      </c>
      <c r="L153" s="186" t="str">
        <f>YEAR(NOW()) &amp; "-W" &amp; CONTROL_CENTER!$J$3</f>
        <v>2026-W19</v>
      </c>
    </row>
    <row r="154">
      <c r="A154" s="316">
        <v>153.0</v>
      </c>
      <c r="B154" s="4" t="s">
        <v>96</v>
      </c>
      <c r="C154" s="186" t="s">
        <v>447</v>
      </c>
      <c r="D154" s="12">
        <v>19.0</v>
      </c>
      <c r="F154" s="186">
        <v>1.0</v>
      </c>
      <c r="G154" s="321">
        <v>63.0</v>
      </c>
      <c r="H154" s="186" t="s">
        <v>264</v>
      </c>
      <c r="I154" s="315" t="b">
        <v>0</v>
      </c>
      <c r="J154" s="12">
        <v>1.0</v>
      </c>
      <c r="K154" s="186">
        <f t="shared" si="1"/>
        <v>16</v>
      </c>
      <c r="L154" s="186" t="str">
        <f>YEAR(NOW()) &amp; "-W" &amp; CONTROL_CENTER!$J$3</f>
        <v>2026-W19</v>
      </c>
    </row>
    <row r="155">
      <c r="A155" s="316">
        <v>154.0</v>
      </c>
      <c r="B155" s="4" t="s">
        <v>96</v>
      </c>
      <c r="C155" s="186" t="s">
        <v>448</v>
      </c>
      <c r="D155" s="12">
        <v>19.0</v>
      </c>
      <c r="E155" s="186" t="s">
        <v>236</v>
      </c>
      <c r="F155" s="186">
        <v>2.0</v>
      </c>
      <c r="G155" s="321">
        <v>63.0</v>
      </c>
      <c r="H155" s="186" t="s">
        <v>264</v>
      </c>
      <c r="I155" s="315" t="b">
        <v>0</v>
      </c>
      <c r="J155" s="12">
        <v>1.0</v>
      </c>
      <c r="K155" s="186">
        <f t="shared" si="1"/>
        <v>16</v>
      </c>
      <c r="L155" s="186" t="str">
        <f>YEAR(NOW()) &amp; "-W" &amp; CONTROL_CENTER!$J$3</f>
        <v>2026-W19</v>
      </c>
    </row>
    <row r="156">
      <c r="A156" s="186">
        <v>155.0</v>
      </c>
      <c r="B156" s="4" t="s">
        <v>96</v>
      </c>
      <c r="C156" s="186" t="s">
        <v>449</v>
      </c>
      <c r="D156" s="12">
        <v>19.0</v>
      </c>
      <c r="F156" s="186">
        <v>3.0</v>
      </c>
      <c r="G156" s="321">
        <v>63.0</v>
      </c>
      <c r="H156" s="186" t="s">
        <v>264</v>
      </c>
      <c r="I156" s="315" t="b">
        <v>0</v>
      </c>
      <c r="J156" s="12">
        <v>1.0</v>
      </c>
      <c r="K156" s="186">
        <f t="shared" si="1"/>
        <v>16</v>
      </c>
      <c r="L156" s="186" t="str">
        <f>YEAR(NOW()) &amp; "-W" &amp; CONTROL_CENTER!$J$3</f>
        <v>2026-W19</v>
      </c>
    </row>
    <row r="157">
      <c r="A157" s="322">
        <v>156.0</v>
      </c>
      <c r="B157" s="323" t="s">
        <v>96</v>
      </c>
      <c r="C157" s="322" t="s">
        <v>450</v>
      </c>
      <c r="D157" s="324">
        <v>19.0</v>
      </c>
      <c r="E157" s="322" t="s">
        <v>236</v>
      </c>
      <c r="F157" s="322">
        <v>4.0</v>
      </c>
      <c r="G157" s="325">
        <v>63.0</v>
      </c>
      <c r="H157" s="322" t="s">
        <v>264</v>
      </c>
      <c r="I157" s="326" t="b">
        <v>0</v>
      </c>
      <c r="J157" s="324">
        <v>1.0</v>
      </c>
      <c r="K157" s="322">
        <f t="shared" si="1"/>
        <v>16</v>
      </c>
      <c r="L157" s="322" t="str">
        <f>YEAR(NOW()) &amp; "-W" &amp; CONTROL_CENTER!$J$3</f>
        <v>2026-W19</v>
      </c>
      <c r="M157" s="322"/>
      <c r="N157" s="322"/>
    </row>
    <row r="158">
      <c r="A158" s="186">
        <v>157.0</v>
      </c>
      <c r="B158" s="12" t="s">
        <v>99</v>
      </c>
      <c r="C158" s="186" t="s">
        <v>333</v>
      </c>
      <c r="D158" s="12">
        <v>1.0</v>
      </c>
      <c r="E158" s="186" t="s">
        <v>236</v>
      </c>
      <c r="F158" s="12">
        <v>1.0</v>
      </c>
      <c r="G158" s="12">
        <v>1.0</v>
      </c>
      <c r="H158" s="186" t="s">
        <v>262</v>
      </c>
      <c r="I158" s="327" t="b">
        <v>0</v>
      </c>
      <c r="J158" s="12">
        <v>1.0</v>
      </c>
      <c r="K158" s="186">
        <v>-2.0</v>
      </c>
      <c r="L158" s="186" t="str">
        <f>YEAR(NOW()) &amp; "-W" &amp; CONTROL_CENTER!$J$3</f>
        <v>2026-W19</v>
      </c>
    </row>
    <row r="159">
      <c r="A159" s="186">
        <v>158.0</v>
      </c>
      <c r="B159" s="12" t="s">
        <v>99</v>
      </c>
      <c r="C159" s="186" t="s">
        <v>175</v>
      </c>
      <c r="D159" s="12">
        <v>1.0</v>
      </c>
      <c r="E159" s="186" t="s">
        <v>236</v>
      </c>
      <c r="F159" s="12">
        <v>1.0</v>
      </c>
      <c r="G159" s="12">
        <v>2.0</v>
      </c>
      <c r="H159" s="186" t="s">
        <v>262</v>
      </c>
      <c r="I159" s="327" t="b">
        <v>1</v>
      </c>
      <c r="J159" s="12">
        <v>1.0</v>
      </c>
      <c r="K159" s="186">
        <v>-2.0</v>
      </c>
      <c r="L159" s="186" t="str">
        <f>YEAR(NOW()) &amp; "-W" &amp; CONTROL_CENTER!$J$3</f>
        <v>2026-W19</v>
      </c>
    </row>
    <row r="160">
      <c r="A160" s="186">
        <v>159.0</v>
      </c>
      <c r="B160" s="12" t="s">
        <v>99</v>
      </c>
      <c r="C160" s="186" t="s">
        <v>177</v>
      </c>
      <c r="D160" s="12">
        <v>1.0</v>
      </c>
      <c r="E160" s="186" t="s">
        <v>236</v>
      </c>
      <c r="F160" s="12">
        <v>1.0</v>
      </c>
      <c r="G160" s="12">
        <v>3.0</v>
      </c>
      <c r="H160" s="186" t="s">
        <v>262</v>
      </c>
      <c r="I160" s="327" t="b">
        <v>1</v>
      </c>
      <c r="J160" s="12">
        <v>1.0</v>
      </c>
      <c r="K160" s="186">
        <v>-2.0</v>
      </c>
      <c r="L160" s="186" t="str">
        <f>YEAR(NOW()) &amp; "-W" &amp; CONTROL_CENTER!$J$3</f>
        <v>2026-W19</v>
      </c>
    </row>
    <row r="161">
      <c r="A161" s="186">
        <v>160.0</v>
      </c>
      <c r="B161" s="12" t="s">
        <v>99</v>
      </c>
      <c r="C161" s="186" t="s">
        <v>216</v>
      </c>
      <c r="D161" s="12">
        <v>1.0</v>
      </c>
      <c r="E161" s="186" t="s">
        <v>236</v>
      </c>
      <c r="F161" s="12">
        <v>1.0</v>
      </c>
      <c r="G161" s="12">
        <v>4.0</v>
      </c>
      <c r="H161" s="186" t="s">
        <v>262</v>
      </c>
      <c r="I161" s="327" t="b">
        <v>1</v>
      </c>
      <c r="J161" s="12">
        <v>1.0</v>
      </c>
      <c r="K161" s="186">
        <v>-2.0</v>
      </c>
      <c r="L161" s="186" t="str">
        <f>YEAR(NOW()) &amp; "-W" &amp; CONTROL_CENTER!$J$3</f>
        <v>2026-W19</v>
      </c>
    </row>
    <row r="162">
      <c r="A162" s="186">
        <v>161.0</v>
      </c>
      <c r="B162" s="12" t="s">
        <v>99</v>
      </c>
      <c r="C162" s="186" t="s">
        <v>179</v>
      </c>
      <c r="D162" s="12">
        <v>1.0</v>
      </c>
      <c r="E162" s="186" t="s">
        <v>236</v>
      </c>
      <c r="F162" s="12">
        <v>1.0</v>
      </c>
      <c r="G162" s="12">
        <v>5.0</v>
      </c>
      <c r="H162" s="186" t="s">
        <v>262</v>
      </c>
      <c r="I162" s="327" t="b">
        <v>1</v>
      </c>
      <c r="J162" s="12">
        <v>1.0</v>
      </c>
      <c r="K162" s="186">
        <v>-2.0</v>
      </c>
      <c r="L162" s="186" t="str">
        <f>YEAR(NOW()) &amp; "-W" &amp; CONTROL_CENTER!$J$3</f>
        <v>2026-W19</v>
      </c>
    </row>
    <row r="163">
      <c r="A163" s="186">
        <v>162.0</v>
      </c>
      <c r="B163" s="12" t="s">
        <v>99</v>
      </c>
      <c r="C163" s="186" t="s">
        <v>189</v>
      </c>
      <c r="D163" s="12">
        <v>2.0</v>
      </c>
      <c r="E163" s="186" t="s">
        <v>236</v>
      </c>
      <c r="F163" s="12">
        <v>2.0</v>
      </c>
      <c r="G163" s="12">
        <v>6.0</v>
      </c>
      <c r="H163" s="186" t="s">
        <v>262</v>
      </c>
      <c r="I163" s="327" t="b">
        <v>0</v>
      </c>
      <c r="J163" s="12">
        <v>1.0</v>
      </c>
      <c r="K163" s="186">
        <v>-1.0</v>
      </c>
      <c r="L163" s="186" t="str">
        <f>YEAR(NOW()) &amp; "-W" &amp; CONTROL_CENTER!$J$3</f>
        <v>2026-W19</v>
      </c>
    </row>
    <row r="164">
      <c r="A164" s="186">
        <v>163.0</v>
      </c>
      <c r="B164" s="12" t="s">
        <v>99</v>
      </c>
      <c r="C164" s="186" t="s">
        <v>181</v>
      </c>
      <c r="D164" s="12">
        <v>2.0</v>
      </c>
      <c r="E164" s="186" t="s">
        <v>236</v>
      </c>
      <c r="F164" s="12">
        <v>1.0</v>
      </c>
      <c r="G164" s="12">
        <v>7.0</v>
      </c>
      <c r="H164" s="186" t="s">
        <v>262</v>
      </c>
      <c r="I164" s="327" t="b">
        <v>0</v>
      </c>
      <c r="J164" s="12">
        <v>1.0</v>
      </c>
      <c r="K164" s="186">
        <v>-1.0</v>
      </c>
      <c r="L164" s="186" t="str">
        <f>YEAR(NOW()) &amp; "-W" &amp; CONTROL_CENTER!$J$3</f>
        <v>2026-W19</v>
      </c>
    </row>
    <row r="165">
      <c r="A165" s="186">
        <v>164.0</v>
      </c>
      <c r="B165" s="12" t="s">
        <v>99</v>
      </c>
      <c r="C165" s="186" t="s">
        <v>185</v>
      </c>
      <c r="D165" s="12">
        <v>2.0</v>
      </c>
      <c r="E165" s="186" t="s">
        <v>236</v>
      </c>
      <c r="F165" s="12">
        <v>2.0</v>
      </c>
      <c r="G165" s="12">
        <v>7.0</v>
      </c>
      <c r="H165" s="186" t="s">
        <v>262</v>
      </c>
      <c r="I165" s="327" t="b">
        <v>0</v>
      </c>
      <c r="J165" s="12">
        <v>1.0</v>
      </c>
      <c r="K165" s="186">
        <v>-1.0</v>
      </c>
      <c r="L165" s="186" t="str">
        <f>YEAR(NOW()) &amp; "-W" &amp; CONTROL_CENTER!$J$3</f>
        <v>2026-W19</v>
      </c>
    </row>
    <row r="166">
      <c r="A166" s="186">
        <v>165.0</v>
      </c>
      <c r="B166" s="12" t="s">
        <v>99</v>
      </c>
      <c r="C166" s="186" t="s">
        <v>334</v>
      </c>
      <c r="D166" s="12">
        <v>2.0</v>
      </c>
      <c r="E166" s="186" t="s">
        <v>236</v>
      </c>
      <c r="F166" s="12">
        <v>1.0</v>
      </c>
      <c r="G166" s="12">
        <v>8.0</v>
      </c>
      <c r="H166" s="186" t="s">
        <v>262</v>
      </c>
      <c r="I166" s="327" t="b">
        <v>0</v>
      </c>
      <c r="J166" s="12">
        <v>1.0</v>
      </c>
      <c r="K166" s="186">
        <v>-1.0</v>
      </c>
      <c r="L166" s="186" t="str">
        <f>YEAR(NOW()) &amp; "-W" &amp; CONTROL_CENTER!$J$3</f>
        <v>2026-W19</v>
      </c>
    </row>
    <row r="167">
      <c r="A167" s="186">
        <v>166.0</v>
      </c>
      <c r="B167" s="12" t="s">
        <v>99</v>
      </c>
      <c r="C167" s="186" t="s">
        <v>191</v>
      </c>
      <c r="D167" s="12">
        <v>2.0</v>
      </c>
      <c r="E167" s="186" t="s">
        <v>236</v>
      </c>
      <c r="F167" s="12">
        <v>2.0</v>
      </c>
      <c r="G167" s="12">
        <v>8.0</v>
      </c>
      <c r="H167" s="186" t="s">
        <v>262</v>
      </c>
      <c r="I167" s="327" t="b">
        <v>0</v>
      </c>
      <c r="J167" s="12">
        <v>1.0</v>
      </c>
      <c r="K167" s="186">
        <v>-1.0</v>
      </c>
      <c r="L167" s="186" t="str">
        <f>YEAR(NOW()) &amp; "-W" &amp; CONTROL_CENTER!$J$3</f>
        <v>2026-W19</v>
      </c>
    </row>
    <row r="168">
      <c r="A168" s="186">
        <v>167.0</v>
      </c>
      <c r="B168" s="12" t="s">
        <v>99</v>
      </c>
      <c r="C168" s="186" t="s">
        <v>183</v>
      </c>
      <c r="D168" s="12">
        <v>2.0</v>
      </c>
      <c r="E168" s="186" t="s">
        <v>236</v>
      </c>
      <c r="F168" s="12">
        <v>1.0</v>
      </c>
      <c r="G168" s="12">
        <v>9.0</v>
      </c>
      <c r="H168" s="186" t="s">
        <v>262</v>
      </c>
      <c r="I168" s="327" t="b">
        <v>0</v>
      </c>
      <c r="J168" s="12">
        <v>1.0</v>
      </c>
      <c r="K168" s="186">
        <v>-1.0</v>
      </c>
      <c r="L168" s="186" t="str">
        <f>YEAR(NOW()) &amp; "-W" &amp; CONTROL_CENTER!$J$3</f>
        <v>2026-W19</v>
      </c>
    </row>
    <row r="169">
      <c r="A169" s="186">
        <v>168.0</v>
      </c>
      <c r="B169" s="12" t="s">
        <v>99</v>
      </c>
      <c r="C169" s="186" t="s">
        <v>187</v>
      </c>
      <c r="D169" s="12">
        <v>2.0</v>
      </c>
      <c r="E169" s="186" t="s">
        <v>236</v>
      </c>
      <c r="F169" s="12">
        <v>2.0</v>
      </c>
      <c r="G169" s="12">
        <v>9.0</v>
      </c>
      <c r="H169" s="186" t="s">
        <v>262</v>
      </c>
      <c r="I169" s="327" t="b">
        <v>0</v>
      </c>
      <c r="J169" s="12">
        <v>1.0</v>
      </c>
      <c r="K169" s="186">
        <v>-1.0</v>
      </c>
      <c r="L169" s="186" t="str">
        <f>YEAR(NOW()) &amp; "-W" &amp; CONTROL_CENTER!$J$3</f>
        <v>2026-W19</v>
      </c>
    </row>
    <row r="170">
      <c r="A170" s="186">
        <v>169.0</v>
      </c>
      <c r="B170" s="12" t="s">
        <v>99</v>
      </c>
      <c r="C170" s="186" t="s">
        <v>335</v>
      </c>
      <c r="D170" s="12">
        <v>3.0</v>
      </c>
      <c r="E170" s="186">
        <v>1.0</v>
      </c>
      <c r="F170" s="186">
        <v>1.0</v>
      </c>
      <c r="G170" s="12">
        <v>10.0</v>
      </c>
      <c r="H170" s="186" t="s">
        <v>265</v>
      </c>
      <c r="I170" s="327" t="b">
        <v>0</v>
      </c>
      <c r="J170" s="12">
        <v>4.0</v>
      </c>
      <c r="K170" s="186">
        <v>0.0</v>
      </c>
      <c r="L170" s="186" t="str">
        <f>YEAR(NOW()) &amp; "-W" &amp; CONTROL_CENTER!$J$3</f>
        <v>2026-W19</v>
      </c>
    </row>
    <row r="171">
      <c r="A171" s="186">
        <v>170.0</v>
      </c>
      <c r="B171" s="12" t="s">
        <v>99</v>
      </c>
      <c r="C171" s="186" t="s">
        <v>336</v>
      </c>
      <c r="D171" s="12">
        <v>3.0</v>
      </c>
      <c r="E171" s="186">
        <v>1.0</v>
      </c>
      <c r="F171" s="186">
        <v>2.0</v>
      </c>
      <c r="G171" s="12">
        <v>10.0</v>
      </c>
      <c r="H171" s="186" t="s">
        <v>265</v>
      </c>
      <c r="I171" s="327" t="b">
        <v>0</v>
      </c>
      <c r="J171" s="12">
        <v>2.0</v>
      </c>
      <c r="K171" s="186">
        <v>0.0</v>
      </c>
      <c r="L171" s="186" t="str">
        <f>YEAR(NOW()) &amp; "-W" &amp; CONTROL_CENTER!$J$3</f>
        <v>2026-W19</v>
      </c>
    </row>
    <row r="172">
      <c r="A172" s="186">
        <v>171.0</v>
      </c>
      <c r="B172" s="12" t="s">
        <v>99</v>
      </c>
      <c r="C172" s="186" t="s">
        <v>337</v>
      </c>
      <c r="D172" s="12">
        <v>3.0</v>
      </c>
      <c r="E172" s="186">
        <v>1.0</v>
      </c>
      <c r="F172" s="186">
        <v>3.0</v>
      </c>
      <c r="G172" s="12">
        <v>10.0</v>
      </c>
      <c r="H172" s="186" t="s">
        <v>265</v>
      </c>
      <c r="I172" s="327" t="b">
        <v>0</v>
      </c>
      <c r="J172" s="12">
        <v>6.0</v>
      </c>
      <c r="K172" s="186">
        <v>0.0</v>
      </c>
      <c r="L172" s="186" t="str">
        <f>YEAR(NOW()) &amp; "-W" &amp; CONTROL_CENTER!$J$3</f>
        <v>2026-W19</v>
      </c>
    </row>
    <row r="173">
      <c r="A173" s="186">
        <v>172.0</v>
      </c>
      <c r="B173" s="12" t="s">
        <v>99</v>
      </c>
      <c r="C173" s="186" t="s">
        <v>338</v>
      </c>
      <c r="D173" s="12">
        <v>3.0</v>
      </c>
      <c r="E173" s="186">
        <v>0.0</v>
      </c>
      <c r="F173" s="186">
        <v>1.0</v>
      </c>
      <c r="G173" s="12">
        <v>11.0</v>
      </c>
      <c r="H173" s="186" t="s">
        <v>265</v>
      </c>
      <c r="I173" s="327" t="b">
        <v>0</v>
      </c>
      <c r="J173" s="12">
        <v>3.0</v>
      </c>
      <c r="K173" s="186">
        <v>0.0</v>
      </c>
      <c r="L173" s="186" t="str">
        <f>YEAR(NOW()) &amp; "-W" &amp; CONTROL_CENTER!$J$3</f>
        <v>2026-W19</v>
      </c>
    </row>
    <row r="174">
      <c r="A174" s="316">
        <v>173.0</v>
      </c>
      <c r="B174" s="12" t="s">
        <v>99</v>
      </c>
      <c r="C174" s="186" t="s">
        <v>339</v>
      </c>
      <c r="D174" s="12">
        <v>3.0</v>
      </c>
      <c r="E174" s="186">
        <v>0.0</v>
      </c>
      <c r="F174" s="186">
        <v>2.0</v>
      </c>
      <c r="G174" s="12">
        <v>11.0</v>
      </c>
      <c r="H174" s="186" t="s">
        <v>265</v>
      </c>
      <c r="I174" s="327" t="b">
        <v>0</v>
      </c>
      <c r="J174" s="12">
        <v>1.0</v>
      </c>
      <c r="K174" s="186">
        <v>0.0</v>
      </c>
      <c r="L174" s="186" t="str">
        <f>YEAR(NOW()) &amp; "-W" &amp; CONTROL_CENTER!$J$3</f>
        <v>2026-W19</v>
      </c>
    </row>
    <row r="175">
      <c r="A175" s="316">
        <v>174.0</v>
      </c>
      <c r="B175" s="12" t="s">
        <v>99</v>
      </c>
      <c r="C175" s="186" t="s">
        <v>340</v>
      </c>
      <c r="D175" s="12">
        <v>3.0</v>
      </c>
      <c r="E175" s="186">
        <v>0.0</v>
      </c>
      <c r="F175" s="186">
        <v>3.0</v>
      </c>
      <c r="G175" s="12">
        <v>11.0</v>
      </c>
      <c r="H175" s="186" t="s">
        <v>265</v>
      </c>
      <c r="I175" s="327" t="b">
        <v>0</v>
      </c>
      <c r="J175" s="12">
        <v>5.0</v>
      </c>
      <c r="K175" s="186">
        <v>0.0</v>
      </c>
      <c r="L175" s="186" t="str">
        <f>YEAR(NOW()) &amp; "-W" &amp; CONTROL_CENTER!$J$3</f>
        <v>2026-W19</v>
      </c>
    </row>
    <row r="176">
      <c r="A176" s="186">
        <v>175.0</v>
      </c>
      <c r="B176" s="12" t="s">
        <v>99</v>
      </c>
      <c r="C176" s="186" t="s">
        <v>341</v>
      </c>
      <c r="D176" s="12">
        <v>4.0</v>
      </c>
      <c r="E176" s="186">
        <v>2.0</v>
      </c>
      <c r="F176" s="186">
        <v>1.0</v>
      </c>
      <c r="G176" s="321">
        <v>12.0</v>
      </c>
      <c r="H176" s="186" t="s">
        <v>265</v>
      </c>
      <c r="I176" s="327" t="b">
        <v>1</v>
      </c>
      <c r="J176" s="12">
        <v>6.0</v>
      </c>
      <c r="K176" s="186">
        <v>1.0</v>
      </c>
      <c r="L176" s="186" t="str">
        <f>YEAR(NOW()) &amp; "-W" &amp; CONTROL_CENTER!$J$3</f>
        <v>2026-W19</v>
      </c>
    </row>
    <row r="177">
      <c r="A177" s="186">
        <v>176.0</v>
      </c>
      <c r="B177" s="12" t="s">
        <v>99</v>
      </c>
      <c r="C177" s="186" t="s">
        <v>342</v>
      </c>
      <c r="D177" s="12">
        <v>4.0</v>
      </c>
      <c r="E177" s="186">
        <v>2.0</v>
      </c>
      <c r="F177" s="186">
        <v>2.0</v>
      </c>
      <c r="G177" s="321">
        <v>12.0</v>
      </c>
      <c r="H177" s="186" t="s">
        <v>265</v>
      </c>
      <c r="I177" s="327" t="b">
        <v>1</v>
      </c>
      <c r="J177" s="12">
        <v>3.0</v>
      </c>
      <c r="K177" s="186">
        <v>1.0</v>
      </c>
      <c r="L177" s="186" t="str">
        <f>YEAR(NOW()) &amp; "-W" &amp; CONTROL_CENTER!$J$3</f>
        <v>2026-W19</v>
      </c>
    </row>
    <row r="178">
      <c r="A178" s="186">
        <v>177.0</v>
      </c>
      <c r="B178" s="12" t="s">
        <v>99</v>
      </c>
      <c r="C178" s="186" t="s">
        <v>343</v>
      </c>
      <c r="D178" s="12">
        <v>4.0</v>
      </c>
      <c r="E178" s="186">
        <v>2.0</v>
      </c>
      <c r="F178" s="186">
        <v>3.0</v>
      </c>
      <c r="G178" s="321">
        <v>12.0</v>
      </c>
      <c r="H178" s="186" t="s">
        <v>265</v>
      </c>
      <c r="I178" s="327" t="b">
        <v>0</v>
      </c>
      <c r="J178" s="12">
        <v>9.0</v>
      </c>
      <c r="K178" s="186">
        <v>1.0</v>
      </c>
      <c r="L178" s="186" t="str">
        <f>YEAR(NOW()) &amp; "-W" &amp; CONTROL_CENTER!$J$3</f>
        <v>2026-W19</v>
      </c>
    </row>
    <row r="179">
      <c r="A179" s="186">
        <v>178.0</v>
      </c>
      <c r="B179" s="12" t="s">
        <v>99</v>
      </c>
      <c r="C179" s="186" t="s">
        <v>344</v>
      </c>
      <c r="D179" s="12">
        <v>4.0</v>
      </c>
      <c r="E179" s="186">
        <v>1.0</v>
      </c>
      <c r="F179" s="186">
        <v>1.0</v>
      </c>
      <c r="G179" s="321">
        <v>13.0</v>
      </c>
      <c r="H179" s="186" t="s">
        <v>265</v>
      </c>
      <c r="I179" s="327" t="b">
        <v>1</v>
      </c>
      <c r="J179" s="12">
        <v>4.0</v>
      </c>
      <c r="K179" s="186">
        <v>1.0</v>
      </c>
      <c r="L179" s="186" t="str">
        <f>YEAR(NOW()) &amp; "-W" &amp; CONTROL_CENTER!$J$3</f>
        <v>2026-W19</v>
      </c>
    </row>
    <row r="180">
      <c r="A180" s="186">
        <v>179.0</v>
      </c>
      <c r="B180" s="12" t="s">
        <v>99</v>
      </c>
      <c r="C180" s="186" t="s">
        <v>345</v>
      </c>
      <c r="D180" s="12">
        <v>4.0</v>
      </c>
      <c r="E180" s="186">
        <v>1.0</v>
      </c>
      <c r="F180" s="186">
        <v>2.0</v>
      </c>
      <c r="G180" s="321">
        <v>13.0</v>
      </c>
      <c r="H180" s="186" t="s">
        <v>265</v>
      </c>
      <c r="I180" s="327" t="b">
        <v>1</v>
      </c>
      <c r="J180" s="12">
        <v>1.0</v>
      </c>
      <c r="K180" s="186">
        <v>1.0</v>
      </c>
      <c r="L180" s="186" t="str">
        <f>YEAR(NOW()) &amp; "-W" &amp; CONTROL_CENTER!$J$3</f>
        <v>2026-W19</v>
      </c>
    </row>
    <row r="181">
      <c r="A181" s="186">
        <v>180.0</v>
      </c>
      <c r="B181" s="12" t="s">
        <v>99</v>
      </c>
      <c r="C181" s="186" t="s">
        <v>346</v>
      </c>
      <c r="D181" s="12">
        <v>4.0</v>
      </c>
      <c r="E181" s="186">
        <v>1.0</v>
      </c>
      <c r="F181" s="186">
        <v>3.0</v>
      </c>
      <c r="G181" s="321">
        <v>13.0</v>
      </c>
      <c r="H181" s="186" t="s">
        <v>265</v>
      </c>
      <c r="I181" s="327" t="b">
        <v>0</v>
      </c>
      <c r="J181" s="12">
        <v>7.0</v>
      </c>
      <c r="K181" s="186">
        <v>1.0</v>
      </c>
      <c r="L181" s="186" t="str">
        <f>YEAR(NOW()) &amp; "-W" &amp; CONTROL_CENTER!$J$3</f>
        <v>2026-W19</v>
      </c>
    </row>
    <row r="182">
      <c r="A182" s="186">
        <v>181.0</v>
      </c>
      <c r="B182" s="12" t="s">
        <v>99</v>
      </c>
      <c r="C182" s="186" t="s">
        <v>347</v>
      </c>
      <c r="D182" s="12">
        <v>4.0</v>
      </c>
      <c r="E182" s="186">
        <v>0.0</v>
      </c>
      <c r="F182" s="186">
        <v>1.0</v>
      </c>
      <c r="G182" s="321">
        <v>14.0</v>
      </c>
      <c r="H182" s="186" t="s">
        <v>265</v>
      </c>
      <c r="I182" s="327" t="b">
        <v>1</v>
      </c>
      <c r="J182" s="12">
        <v>5.0</v>
      </c>
      <c r="K182" s="186">
        <v>1.0</v>
      </c>
      <c r="L182" s="186" t="str">
        <f>YEAR(NOW()) &amp; "-W" &amp; CONTROL_CENTER!$J$3</f>
        <v>2026-W19</v>
      </c>
    </row>
    <row r="183">
      <c r="A183" s="186">
        <v>182.0</v>
      </c>
      <c r="B183" s="12" t="s">
        <v>99</v>
      </c>
      <c r="C183" s="186" t="s">
        <v>348</v>
      </c>
      <c r="D183" s="12">
        <v>4.0</v>
      </c>
      <c r="E183" s="186">
        <v>0.0</v>
      </c>
      <c r="F183" s="186">
        <v>2.0</v>
      </c>
      <c r="G183" s="321">
        <v>14.0</v>
      </c>
      <c r="H183" s="186" t="s">
        <v>265</v>
      </c>
      <c r="I183" s="327" t="b">
        <v>1</v>
      </c>
      <c r="J183" s="12">
        <v>2.0</v>
      </c>
      <c r="K183" s="186">
        <v>1.0</v>
      </c>
      <c r="L183" s="186" t="str">
        <f>YEAR(NOW()) &amp; "-W" &amp; CONTROL_CENTER!$J$3</f>
        <v>2026-W19</v>
      </c>
    </row>
    <row r="184">
      <c r="A184" s="186">
        <v>183.0</v>
      </c>
      <c r="B184" s="12" t="s">
        <v>99</v>
      </c>
      <c r="C184" s="186" t="s">
        <v>349</v>
      </c>
      <c r="D184" s="12">
        <v>4.0</v>
      </c>
      <c r="E184" s="186">
        <v>0.0</v>
      </c>
      <c r="F184" s="186">
        <v>3.0</v>
      </c>
      <c r="G184" s="321">
        <v>14.0</v>
      </c>
      <c r="H184" s="186" t="s">
        <v>265</v>
      </c>
      <c r="I184" s="327" t="b">
        <v>0</v>
      </c>
      <c r="J184" s="12">
        <v>8.0</v>
      </c>
      <c r="K184" s="186">
        <v>1.0</v>
      </c>
      <c r="L184" s="186" t="str">
        <f>YEAR(NOW()) &amp; "-W" &amp; CONTROL_CENTER!$J$3</f>
        <v>2026-W19</v>
      </c>
    </row>
    <row r="185">
      <c r="A185" s="186">
        <v>184.0</v>
      </c>
      <c r="B185" s="12" t="s">
        <v>99</v>
      </c>
      <c r="C185" s="186" t="s">
        <v>350</v>
      </c>
      <c r="D185" s="12">
        <v>5.0</v>
      </c>
      <c r="E185" s="186">
        <v>2.0</v>
      </c>
      <c r="F185" s="186">
        <v>1.0</v>
      </c>
      <c r="G185" s="321">
        <v>15.0</v>
      </c>
      <c r="H185" s="186" t="s">
        <v>265</v>
      </c>
      <c r="I185" s="327" t="b">
        <v>0</v>
      </c>
      <c r="J185" s="12">
        <v>6.0</v>
      </c>
      <c r="K185" s="186">
        <v>2.0</v>
      </c>
      <c r="L185" s="186" t="str">
        <f>YEAR(NOW()) &amp; "-W" &amp; CONTROL_CENTER!$J$3</f>
        <v>2026-W19</v>
      </c>
    </row>
    <row r="186">
      <c r="A186" s="186">
        <v>185.0</v>
      </c>
      <c r="B186" s="12" t="s">
        <v>99</v>
      </c>
      <c r="C186" s="186" t="s">
        <v>12</v>
      </c>
      <c r="D186" s="12">
        <v>5.0</v>
      </c>
      <c r="E186" s="186">
        <v>2.0</v>
      </c>
      <c r="F186" s="186">
        <v>2.0</v>
      </c>
      <c r="G186" s="321">
        <v>15.0</v>
      </c>
      <c r="H186" s="186" t="s">
        <v>265</v>
      </c>
      <c r="I186" s="327" t="b">
        <v>0</v>
      </c>
      <c r="J186" s="12">
        <v>3.0</v>
      </c>
      <c r="K186" s="186">
        <v>2.0</v>
      </c>
      <c r="L186" s="186" t="str">
        <f>YEAR(NOW()) &amp; "-W" &amp; CONTROL_CENTER!$J$3</f>
        <v>2026-W19</v>
      </c>
    </row>
    <row r="187">
      <c r="A187" s="186">
        <v>186.0</v>
      </c>
      <c r="B187" s="12" t="s">
        <v>99</v>
      </c>
      <c r="C187" s="186" t="s">
        <v>351</v>
      </c>
      <c r="D187" s="12">
        <v>5.0</v>
      </c>
      <c r="E187" s="186">
        <v>2.0</v>
      </c>
      <c r="F187" s="186">
        <v>3.0</v>
      </c>
      <c r="G187" s="321">
        <v>15.0</v>
      </c>
      <c r="H187" s="186" t="s">
        <v>265</v>
      </c>
      <c r="I187" s="327" t="b">
        <v>0</v>
      </c>
      <c r="J187" s="12">
        <v>9.0</v>
      </c>
      <c r="K187" s="186">
        <v>2.0</v>
      </c>
      <c r="L187" s="186" t="str">
        <f>YEAR(NOW()) &amp; "-W" &amp; CONTROL_CENTER!$J$3</f>
        <v>2026-W19</v>
      </c>
    </row>
    <row r="188">
      <c r="A188" s="186">
        <v>187.0</v>
      </c>
      <c r="B188" s="12" t="s">
        <v>99</v>
      </c>
      <c r="C188" s="186" t="s">
        <v>352</v>
      </c>
      <c r="D188" s="12">
        <v>5.0</v>
      </c>
      <c r="E188" s="186">
        <v>1.0</v>
      </c>
      <c r="F188" s="186">
        <v>1.0</v>
      </c>
      <c r="G188" s="321">
        <v>16.0</v>
      </c>
      <c r="H188" s="186" t="s">
        <v>265</v>
      </c>
      <c r="I188" s="327" t="b">
        <v>0</v>
      </c>
      <c r="J188" s="12">
        <v>4.0</v>
      </c>
      <c r="K188" s="186">
        <v>2.0</v>
      </c>
      <c r="L188" s="186" t="str">
        <f>YEAR(NOW()) &amp; "-W" &amp; CONTROL_CENTER!$J$3</f>
        <v>2026-W19</v>
      </c>
    </row>
    <row r="189">
      <c r="A189" s="186">
        <v>188.0</v>
      </c>
      <c r="B189" s="12" t="s">
        <v>99</v>
      </c>
      <c r="C189" s="186" t="s">
        <v>71</v>
      </c>
      <c r="D189" s="12">
        <v>5.0</v>
      </c>
      <c r="E189" s="186">
        <v>1.0</v>
      </c>
      <c r="F189" s="186">
        <v>2.0</v>
      </c>
      <c r="G189" s="321">
        <v>16.0</v>
      </c>
      <c r="H189" s="186" t="s">
        <v>265</v>
      </c>
      <c r="I189" s="327" t="b">
        <v>0</v>
      </c>
      <c r="J189" s="12">
        <v>1.0</v>
      </c>
      <c r="K189" s="186">
        <v>2.0</v>
      </c>
      <c r="L189" s="186" t="str">
        <f>YEAR(NOW()) &amp; "-W" &amp; CONTROL_CENTER!$J$3</f>
        <v>2026-W19</v>
      </c>
    </row>
    <row r="190">
      <c r="A190" s="186">
        <v>189.0</v>
      </c>
      <c r="B190" s="12" t="s">
        <v>99</v>
      </c>
      <c r="C190" s="186" t="s">
        <v>353</v>
      </c>
      <c r="D190" s="12">
        <v>5.0</v>
      </c>
      <c r="E190" s="186">
        <v>1.0</v>
      </c>
      <c r="F190" s="186">
        <v>3.0</v>
      </c>
      <c r="G190" s="321">
        <v>16.0</v>
      </c>
      <c r="H190" s="186" t="s">
        <v>265</v>
      </c>
      <c r="I190" s="327" t="b">
        <v>0</v>
      </c>
      <c r="J190" s="12">
        <v>7.0</v>
      </c>
      <c r="K190" s="186">
        <v>2.0</v>
      </c>
      <c r="L190" s="186" t="str">
        <f>YEAR(NOW()) &amp; "-W" &amp; CONTROL_CENTER!$J$3</f>
        <v>2026-W19</v>
      </c>
    </row>
    <row r="191">
      <c r="A191" s="186">
        <v>190.0</v>
      </c>
      <c r="B191" s="12" t="s">
        <v>99</v>
      </c>
      <c r="C191" s="186" t="s">
        <v>354</v>
      </c>
      <c r="D191" s="12">
        <v>5.0</v>
      </c>
      <c r="E191" s="186">
        <v>0.0</v>
      </c>
      <c r="F191" s="186">
        <v>1.0</v>
      </c>
      <c r="G191" s="321">
        <v>17.0</v>
      </c>
      <c r="H191" s="186" t="s">
        <v>265</v>
      </c>
      <c r="I191" s="327" t="b">
        <v>0</v>
      </c>
      <c r="J191" s="12">
        <v>5.0</v>
      </c>
      <c r="K191" s="186">
        <v>2.0</v>
      </c>
      <c r="L191" s="186" t="str">
        <f>YEAR(NOW()) &amp; "-W" &amp; CONTROL_CENTER!$J$3</f>
        <v>2026-W19</v>
      </c>
    </row>
    <row r="192">
      <c r="A192" s="186">
        <v>191.0</v>
      </c>
      <c r="B192" s="12" t="s">
        <v>99</v>
      </c>
      <c r="C192" s="186" t="s">
        <v>355</v>
      </c>
      <c r="D192" s="12">
        <v>5.0</v>
      </c>
      <c r="E192" s="186">
        <v>0.0</v>
      </c>
      <c r="F192" s="186">
        <v>2.0</v>
      </c>
      <c r="G192" s="321">
        <v>17.0</v>
      </c>
      <c r="H192" s="186" t="s">
        <v>265</v>
      </c>
      <c r="I192" s="327" t="b">
        <v>0</v>
      </c>
      <c r="J192" s="12">
        <v>2.0</v>
      </c>
      <c r="K192" s="186">
        <v>2.0</v>
      </c>
      <c r="L192" s="186" t="str">
        <f>YEAR(NOW()) &amp; "-W" &amp; CONTROL_CENTER!$J$3</f>
        <v>2026-W19</v>
      </c>
    </row>
    <row r="193">
      <c r="A193" s="186">
        <v>192.0</v>
      </c>
      <c r="B193" s="12" t="s">
        <v>99</v>
      </c>
      <c r="C193" s="186" t="s">
        <v>356</v>
      </c>
      <c r="D193" s="12">
        <v>5.0</v>
      </c>
      <c r="E193" s="12">
        <v>0.0</v>
      </c>
      <c r="F193" s="314">
        <v>3.0</v>
      </c>
      <c r="G193" s="321">
        <v>17.0</v>
      </c>
      <c r="H193" s="12" t="s">
        <v>265</v>
      </c>
      <c r="I193" s="327" t="b">
        <v>0</v>
      </c>
      <c r="J193" s="12">
        <v>8.0</v>
      </c>
      <c r="K193" s="186">
        <v>2.0</v>
      </c>
      <c r="L193" s="186" t="str">
        <f>YEAR(NOW()) &amp; "-W" &amp; CONTROL_CENTER!$J$3</f>
        <v>2026-W19</v>
      </c>
    </row>
    <row r="194">
      <c r="A194" s="316">
        <v>193.0</v>
      </c>
      <c r="B194" s="12" t="s">
        <v>99</v>
      </c>
      <c r="C194" s="186" t="s">
        <v>357</v>
      </c>
      <c r="D194" s="12">
        <v>6.0</v>
      </c>
      <c r="E194" s="186">
        <v>2.0</v>
      </c>
      <c r="F194" s="186">
        <v>1.0</v>
      </c>
      <c r="G194" s="321">
        <v>18.0</v>
      </c>
      <c r="H194" s="186" t="s">
        <v>265</v>
      </c>
      <c r="I194" s="327" t="b">
        <v>1</v>
      </c>
      <c r="J194" s="12">
        <v>6.0</v>
      </c>
      <c r="K194" s="186">
        <v>3.0</v>
      </c>
      <c r="L194" s="186" t="str">
        <f>YEAR(NOW()) &amp; "-W" &amp; CONTROL_CENTER!$J$3</f>
        <v>2026-W19</v>
      </c>
    </row>
    <row r="195">
      <c r="A195" s="316">
        <v>194.0</v>
      </c>
      <c r="B195" s="12" t="s">
        <v>99</v>
      </c>
      <c r="C195" s="186" t="s">
        <v>358</v>
      </c>
      <c r="D195" s="12">
        <v>6.0</v>
      </c>
      <c r="E195" s="186">
        <v>2.0</v>
      </c>
      <c r="F195" s="186">
        <v>2.0</v>
      </c>
      <c r="G195" s="321">
        <v>18.0</v>
      </c>
      <c r="H195" s="186" t="s">
        <v>265</v>
      </c>
      <c r="I195" s="327" t="b">
        <v>1</v>
      </c>
      <c r="J195" s="12">
        <v>3.0</v>
      </c>
      <c r="K195" s="186">
        <v>3.0</v>
      </c>
      <c r="L195" s="186" t="str">
        <f>YEAR(NOW()) &amp; "-W" &amp; CONTROL_CENTER!$J$3</f>
        <v>2026-W19</v>
      </c>
    </row>
    <row r="196">
      <c r="A196" s="186">
        <v>195.0</v>
      </c>
      <c r="B196" s="12" t="s">
        <v>99</v>
      </c>
      <c r="C196" s="186" t="s">
        <v>359</v>
      </c>
      <c r="D196" s="12">
        <v>6.0</v>
      </c>
      <c r="E196" s="12">
        <v>2.0</v>
      </c>
      <c r="F196" s="186">
        <v>3.0</v>
      </c>
      <c r="G196" s="321">
        <v>18.0</v>
      </c>
      <c r="H196" s="12" t="s">
        <v>265</v>
      </c>
      <c r="I196" s="327" t="b">
        <v>0</v>
      </c>
      <c r="J196" s="12">
        <v>9.0</v>
      </c>
      <c r="K196" s="186">
        <v>3.0</v>
      </c>
      <c r="L196" s="186" t="str">
        <f>YEAR(NOW()) &amp; "-W" &amp; CONTROL_CENTER!$J$3</f>
        <v>2026-W19</v>
      </c>
    </row>
    <row r="197">
      <c r="A197" s="186">
        <v>196.0</v>
      </c>
      <c r="B197" s="12" t="s">
        <v>99</v>
      </c>
      <c r="C197" s="186" t="s">
        <v>360</v>
      </c>
      <c r="D197" s="12">
        <v>6.0</v>
      </c>
      <c r="E197" s="186">
        <v>1.0</v>
      </c>
      <c r="F197" s="186">
        <v>1.0</v>
      </c>
      <c r="G197" s="321">
        <v>19.0</v>
      </c>
      <c r="H197" s="186" t="s">
        <v>265</v>
      </c>
      <c r="I197" s="327" t="b">
        <v>1</v>
      </c>
      <c r="J197" s="12">
        <v>4.0</v>
      </c>
      <c r="K197" s="186">
        <v>3.0</v>
      </c>
      <c r="L197" s="186" t="str">
        <f>YEAR(NOW()) &amp; "-W" &amp; CONTROL_CENTER!$J$3</f>
        <v>2026-W19</v>
      </c>
    </row>
    <row r="198" ht="15.0" customHeight="1">
      <c r="A198" s="186">
        <v>197.0</v>
      </c>
      <c r="B198" s="12" t="s">
        <v>99</v>
      </c>
      <c r="C198" s="186" t="s">
        <v>361</v>
      </c>
      <c r="D198" s="12">
        <v>6.0</v>
      </c>
      <c r="E198" s="186">
        <v>1.0</v>
      </c>
      <c r="F198" s="186">
        <v>2.0</v>
      </c>
      <c r="G198" s="321">
        <v>19.0</v>
      </c>
      <c r="H198" s="186" t="s">
        <v>265</v>
      </c>
      <c r="I198" s="327" t="b">
        <v>1</v>
      </c>
      <c r="J198" s="12">
        <v>1.0</v>
      </c>
      <c r="K198" s="186">
        <v>3.0</v>
      </c>
      <c r="L198" s="186" t="str">
        <f>YEAR(NOW()) &amp; "-W" &amp; CONTROL_CENTER!$J$3</f>
        <v>2026-W19</v>
      </c>
    </row>
    <row r="199">
      <c r="A199" s="186">
        <v>198.0</v>
      </c>
      <c r="B199" s="12" t="s">
        <v>99</v>
      </c>
      <c r="C199" s="186" t="s">
        <v>362</v>
      </c>
      <c r="D199" s="12">
        <v>6.0</v>
      </c>
      <c r="E199" s="12">
        <v>1.0</v>
      </c>
      <c r="F199" s="186">
        <v>3.0</v>
      </c>
      <c r="G199" s="321">
        <v>19.0</v>
      </c>
      <c r="H199" s="12" t="s">
        <v>265</v>
      </c>
      <c r="I199" s="327" t="b">
        <v>0</v>
      </c>
      <c r="J199" s="12">
        <v>7.0</v>
      </c>
      <c r="K199" s="186">
        <v>3.0</v>
      </c>
      <c r="L199" s="186" t="str">
        <f>YEAR(NOW()) &amp; "-W" &amp; CONTROL_CENTER!$J$3</f>
        <v>2026-W19</v>
      </c>
    </row>
    <row r="200">
      <c r="A200" s="186">
        <v>199.0</v>
      </c>
      <c r="B200" s="12" t="s">
        <v>99</v>
      </c>
      <c r="C200" s="186" t="s">
        <v>363</v>
      </c>
      <c r="D200" s="12">
        <v>6.0</v>
      </c>
      <c r="E200" s="186">
        <v>0.0</v>
      </c>
      <c r="F200" s="186">
        <v>1.0</v>
      </c>
      <c r="G200" s="321">
        <v>20.0</v>
      </c>
      <c r="H200" s="186" t="s">
        <v>265</v>
      </c>
      <c r="I200" s="327" t="b">
        <v>1</v>
      </c>
      <c r="J200" s="12">
        <v>5.0</v>
      </c>
      <c r="K200" s="186">
        <v>3.0</v>
      </c>
      <c r="L200" s="186" t="str">
        <f>YEAR(NOW()) &amp; "-W" &amp; CONTROL_CENTER!$J$3</f>
        <v>2026-W19</v>
      </c>
    </row>
    <row r="201">
      <c r="A201" s="186">
        <v>200.0</v>
      </c>
      <c r="B201" s="12" t="s">
        <v>99</v>
      </c>
      <c r="C201" s="186" t="s">
        <v>364</v>
      </c>
      <c r="D201" s="12">
        <v>6.0</v>
      </c>
      <c r="E201" s="186">
        <v>0.0</v>
      </c>
      <c r="F201" s="186">
        <v>2.0</v>
      </c>
      <c r="G201" s="321">
        <v>20.0</v>
      </c>
      <c r="H201" s="186" t="s">
        <v>265</v>
      </c>
      <c r="I201" s="327" t="b">
        <v>1</v>
      </c>
      <c r="J201" s="12">
        <v>2.0</v>
      </c>
      <c r="K201" s="186">
        <v>3.0</v>
      </c>
      <c r="L201" s="186" t="str">
        <f>YEAR(NOW()) &amp; "-W" &amp; CONTROL_CENTER!$J$3</f>
        <v>2026-W19</v>
      </c>
    </row>
    <row r="202">
      <c r="A202" s="186">
        <v>201.0</v>
      </c>
      <c r="B202" s="12" t="s">
        <v>99</v>
      </c>
      <c r="C202" s="186" t="s">
        <v>365</v>
      </c>
      <c r="D202" s="12">
        <v>6.0</v>
      </c>
      <c r="E202" s="12">
        <v>0.0</v>
      </c>
      <c r="F202" s="186">
        <v>3.0</v>
      </c>
      <c r="G202" s="321">
        <v>20.0</v>
      </c>
      <c r="H202" s="12" t="s">
        <v>265</v>
      </c>
      <c r="I202" s="327" t="b">
        <v>0</v>
      </c>
      <c r="J202" s="12">
        <v>8.0</v>
      </c>
      <c r="K202" s="186">
        <v>3.0</v>
      </c>
      <c r="L202" s="186" t="str">
        <f>YEAR(NOW()) &amp; "-W" &amp; CONTROL_CENTER!$J$3</f>
        <v>2026-W19</v>
      </c>
    </row>
    <row r="203">
      <c r="A203" s="186">
        <v>202.0</v>
      </c>
      <c r="B203" s="12" t="s">
        <v>99</v>
      </c>
      <c r="C203" s="186" t="s">
        <v>366</v>
      </c>
      <c r="D203" s="12">
        <v>7.0</v>
      </c>
      <c r="E203" s="186">
        <v>2.0</v>
      </c>
      <c r="F203" s="186">
        <v>1.0</v>
      </c>
      <c r="G203" s="321">
        <v>21.0</v>
      </c>
      <c r="H203" s="186" t="s">
        <v>265</v>
      </c>
      <c r="I203" s="327" t="b">
        <v>0</v>
      </c>
      <c r="J203" s="12">
        <v>6.0</v>
      </c>
      <c r="K203" s="186">
        <v>4.0</v>
      </c>
      <c r="L203" s="186" t="str">
        <f>YEAR(NOW()) &amp; "-W" &amp; CONTROL_CENTER!$J$3</f>
        <v>2026-W19</v>
      </c>
    </row>
    <row r="204">
      <c r="A204" s="186">
        <v>203.0</v>
      </c>
      <c r="B204" s="12" t="s">
        <v>99</v>
      </c>
      <c r="C204" s="186" t="s">
        <v>367</v>
      </c>
      <c r="D204" s="12">
        <v>7.0</v>
      </c>
      <c r="E204" s="186">
        <v>2.0</v>
      </c>
      <c r="F204" s="186">
        <v>2.0</v>
      </c>
      <c r="G204" s="321">
        <v>21.0</v>
      </c>
      <c r="H204" s="186" t="s">
        <v>265</v>
      </c>
      <c r="I204" s="327" t="b">
        <v>0</v>
      </c>
      <c r="J204" s="12">
        <v>3.0</v>
      </c>
      <c r="K204" s="186">
        <v>4.0</v>
      </c>
      <c r="L204" s="186" t="str">
        <f>YEAR(NOW()) &amp; "-W" &amp; CONTROL_CENTER!$J$3</f>
        <v>2026-W19</v>
      </c>
    </row>
    <row r="205">
      <c r="A205" s="186">
        <v>204.0</v>
      </c>
      <c r="B205" s="12" t="s">
        <v>99</v>
      </c>
      <c r="C205" s="186" t="s">
        <v>368</v>
      </c>
      <c r="D205" s="12">
        <v>7.0</v>
      </c>
      <c r="E205" s="12">
        <v>2.0</v>
      </c>
      <c r="F205" s="186">
        <v>3.0</v>
      </c>
      <c r="G205" s="321">
        <v>21.0</v>
      </c>
      <c r="H205" s="12" t="s">
        <v>265</v>
      </c>
      <c r="I205" s="327" t="b">
        <v>0</v>
      </c>
      <c r="J205" s="12">
        <v>9.0</v>
      </c>
      <c r="K205" s="186">
        <v>4.0</v>
      </c>
      <c r="L205" s="186" t="str">
        <f>YEAR(NOW()) &amp; "-W" &amp; CONTROL_CENTER!$J$3</f>
        <v>2026-W19</v>
      </c>
    </row>
    <row r="206">
      <c r="A206" s="186">
        <v>205.0</v>
      </c>
      <c r="B206" s="12" t="s">
        <v>99</v>
      </c>
      <c r="C206" s="186" t="s">
        <v>369</v>
      </c>
      <c r="D206" s="12">
        <v>7.0</v>
      </c>
      <c r="E206" s="186">
        <v>1.0</v>
      </c>
      <c r="F206" s="186">
        <v>1.0</v>
      </c>
      <c r="G206" s="321">
        <v>22.0</v>
      </c>
      <c r="H206" s="186" t="s">
        <v>265</v>
      </c>
      <c r="I206" s="327" t="b">
        <v>0</v>
      </c>
      <c r="J206" s="12">
        <v>4.0</v>
      </c>
      <c r="K206" s="186">
        <v>4.0</v>
      </c>
      <c r="L206" s="186" t="str">
        <f>YEAR(NOW()) &amp; "-W" &amp; CONTROL_CENTER!$J$3</f>
        <v>2026-W19</v>
      </c>
    </row>
    <row r="207">
      <c r="A207" s="186">
        <v>206.0</v>
      </c>
      <c r="B207" s="12" t="s">
        <v>99</v>
      </c>
      <c r="C207" s="186" t="s">
        <v>370</v>
      </c>
      <c r="D207" s="12">
        <v>7.0</v>
      </c>
      <c r="E207" s="186">
        <v>1.0</v>
      </c>
      <c r="F207" s="186">
        <v>2.0</v>
      </c>
      <c r="G207" s="321">
        <v>22.0</v>
      </c>
      <c r="H207" s="186" t="s">
        <v>265</v>
      </c>
      <c r="I207" s="327" t="b">
        <v>0</v>
      </c>
      <c r="J207" s="12">
        <v>1.0</v>
      </c>
      <c r="K207" s="186">
        <v>4.0</v>
      </c>
      <c r="L207" s="186" t="str">
        <f>YEAR(NOW()) &amp; "-W" &amp; CONTROL_CENTER!$J$3</f>
        <v>2026-W19</v>
      </c>
    </row>
    <row r="208">
      <c r="A208" s="186">
        <v>207.0</v>
      </c>
      <c r="B208" s="12" t="s">
        <v>99</v>
      </c>
      <c r="C208" s="186" t="s">
        <v>371</v>
      </c>
      <c r="D208" s="12">
        <v>7.0</v>
      </c>
      <c r="E208" s="186">
        <v>1.0</v>
      </c>
      <c r="F208" s="186">
        <v>3.0</v>
      </c>
      <c r="G208" s="321">
        <v>22.0</v>
      </c>
      <c r="H208" s="186" t="s">
        <v>265</v>
      </c>
      <c r="I208" s="327" t="b">
        <v>0</v>
      </c>
      <c r="J208" s="12">
        <v>7.0</v>
      </c>
      <c r="K208" s="186">
        <v>4.0</v>
      </c>
      <c r="L208" s="186" t="str">
        <f>YEAR(NOW()) &amp; "-W" &amp; CONTROL_CENTER!$J$3</f>
        <v>2026-W19</v>
      </c>
    </row>
    <row r="209">
      <c r="A209" s="186">
        <v>208.0</v>
      </c>
      <c r="B209" s="12" t="s">
        <v>99</v>
      </c>
      <c r="C209" s="186" t="s">
        <v>372</v>
      </c>
      <c r="D209" s="12">
        <v>7.0</v>
      </c>
      <c r="E209" s="186">
        <v>0.0</v>
      </c>
      <c r="F209" s="186">
        <v>1.0</v>
      </c>
      <c r="G209" s="321">
        <v>23.0</v>
      </c>
      <c r="H209" s="186" t="s">
        <v>265</v>
      </c>
      <c r="I209" s="327" t="b">
        <v>0</v>
      </c>
      <c r="J209" s="12">
        <v>5.0</v>
      </c>
      <c r="K209" s="186">
        <v>4.0</v>
      </c>
      <c r="L209" s="186" t="str">
        <f>YEAR(NOW()) &amp; "-W" &amp; CONTROL_CENTER!$J$3</f>
        <v>2026-W19</v>
      </c>
    </row>
    <row r="210">
      <c r="A210" s="186">
        <v>209.0</v>
      </c>
      <c r="B210" s="12" t="s">
        <v>99</v>
      </c>
      <c r="C210" s="186" t="s">
        <v>373</v>
      </c>
      <c r="D210" s="12">
        <v>7.0</v>
      </c>
      <c r="E210" s="186">
        <v>0.0</v>
      </c>
      <c r="F210" s="186">
        <v>2.0</v>
      </c>
      <c r="G210" s="321">
        <v>23.0</v>
      </c>
      <c r="H210" s="186" t="s">
        <v>265</v>
      </c>
      <c r="I210" s="327" t="b">
        <v>0</v>
      </c>
      <c r="J210" s="12">
        <v>2.0</v>
      </c>
      <c r="K210" s="186">
        <v>4.0</v>
      </c>
      <c r="L210" s="186" t="str">
        <f>YEAR(NOW()) &amp; "-W" &amp; CONTROL_CENTER!$J$3</f>
        <v>2026-W19</v>
      </c>
    </row>
    <row r="211">
      <c r="A211" s="186">
        <v>210.0</v>
      </c>
      <c r="B211" s="12" t="s">
        <v>99</v>
      </c>
      <c r="C211" s="186" t="s">
        <v>374</v>
      </c>
      <c r="D211" s="12">
        <v>7.0</v>
      </c>
      <c r="E211" s="12">
        <v>0.0</v>
      </c>
      <c r="F211" s="186">
        <v>3.0</v>
      </c>
      <c r="G211" s="321">
        <v>23.0</v>
      </c>
      <c r="H211" s="12" t="s">
        <v>265</v>
      </c>
      <c r="I211" s="327" t="b">
        <v>0</v>
      </c>
      <c r="J211" s="12">
        <v>8.0</v>
      </c>
      <c r="K211" s="186">
        <v>4.0</v>
      </c>
      <c r="L211" s="186" t="str">
        <f>YEAR(NOW()) &amp; "-W" &amp; CONTROL_CENTER!$J$3</f>
        <v>2026-W19</v>
      </c>
    </row>
    <row r="212">
      <c r="A212" s="186">
        <v>211.0</v>
      </c>
      <c r="B212" s="12" t="s">
        <v>99</v>
      </c>
      <c r="C212" s="186" t="s">
        <v>375</v>
      </c>
      <c r="D212" s="12">
        <v>8.0</v>
      </c>
      <c r="E212" s="186">
        <v>2.0</v>
      </c>
      <c r="F212" s="186">
        <v>1.0</v>
      </c>
      <c r="G212" s="321">
        <v>24.0</v>
      </c>
      <c r="H212" s="186" t="s">
        <v>265</v>
      </c>
      <c r="I212" s="327" t="b">
        <v>0</v>
      </c>
      <c r="J212" s="12">
        <v>6.0</v>
      </c>
      <c r="K212" s="186">
        <v>5.0</v>
      </c>
      <c r="L212" s="186" t="str">
        <f>YEAR(NOW()) &amp; "-W" &amp; CONTROL_CENTER!$J$3</f>
        <v>2026-W19</v>
      </c>
    </row>
    <row r="213">
      <c r="A213" s="186">
        <v>212.0</v>
      </c>
      <c r="B213" s="12" t="s">
        <v>99</v>
      </c>
      <c r="C213" s="186" t="s">
        <v>376</v>
      </c>
      <c r="D213" s="12">
        <v>8.0</v>
      </c>
      <c r="E213" s="186">
        <v>2.0</v>
      </c>
      <c r="F213" s="186">
        <v>2.0</v>
      </c>
      <c r="G213" s="321">
        <v>24.0</v>
      </c>
      <c r="H213" s="186" t="s">
        <v>265</v>
      </c>
      <c r="I213" s="327" t="b">
        <v>0</v>
      </c>
      <c r="J213" s="12">
        <v>3.0</v>
      </c>
      <c r="K213" s="186">
        <v>5.0</v>
      </c>
      <c r="L213" s="186" t="str">
        <f>YEAR(NOW()) &amp; "-W" &amp; CONTROL_CENTER!$J$3</f>
        <v>2026-W19</v>
      </c>
    </row>
    <row r="214">
      <c r="A214" s="316">
        <v>213.0</v>
      </c>
      <c r="B214" s="12" t="s">
        <v>99</v>
      </c>
      <c r="C214" s="186" t="s">
        <v>377</v>
      </c>
      <c r="D214" s="12">
        <v>8.0</v>
      </c>
      <c r="E214" s="12">
        <v>2.0</v>
      </c>
      <c r="F214" s="186">
        <v>3.0</v>
      </c>
      <c r="G214" s="321">
        <v>24.0</v>
      </c>
      <c r="H214" s="12" t="s">
        <v>265</v>
      </c>
      <c r="I214" s="327" t="b">
        <v>0</v>
      </c>
      <c r="J214" s="12">
        <v>9.0</v>
      </c>
      <c r="K214" s="186">
        <v>5.0</v>
      </c>
      <c r="L214" s="186" t="str">
        <f>YEAR(NOW()) &amp; "-W" &amp; CONTROL_CENTER!$J$3</f>
        <v>2026-W19</v>
      </c>
    </row>
    <row r="215">
      <c r="A215" s="316">
        <v>214.0</v>
      </c>
      <c r="B215" s="12" t="s">
        <v>99</v>
      </c>
      <c r="C215" s="186" t="s">
        <v>146</v>
      </c>
      <c r="D215" s="12">
        <v>8.0</v>
      </c>
      <c r="E215" s="186">
        <v>1.0</v>
      </c>
      <c r="F215" s="186">
        <v>1.0</v>
      </c>
      <c r="G215" s="321">
        <v>25.0</v>
      </c>
      <c r="H215" s="186" t="s">
        <v>265</v>
      </c>
      <c r="I215" s="327" t="b">
        <v>0</v>
      </c>
      <c r="J215" s="12">
        <v>4.0</v>
      </c>
      <c r="K215" s="186">
        <v>5.0</v>
      </c>
      <c r="L215" s="186" t="str">
        <f>YEAR(NOW()) &amp; "-W" &amp; CONTROL_CENTER!$J$3</f>
        <v>2026-W19</v>
      </c>
    </row>
    <row r="216">
      <c r="A216" s="186">
        <v>215.0</v>
      </c>
      <c r="B216" s="12" t="s">
        <v>99</v>
      </c>
      <c r="C216" s="186" t="s">
        <v>378</v>
      </c>
      <c r="D216" s="12">
        <v>8.0</v>
      </c>
      <c r="E216" s="186">
        <v>1.0</v>
      </c>
      <c r="F216" s="186">
        <v>2.0</v>
      </c>
      <c r="G216" s="321">
        <v>25.0</v>
      </c>
      <c r="H216" s="186" t="s">
        <v>265</v>
      </c>
      <c r="I216" s="327" t="b">
        <v>0</v>
      </c>
      <c r="J216" s="12">
        <v>1.0</v>
      </c>
      <c r="K216" s="186">
        <v>5.0</v>
      </c>
      <c r="L216" s="186" t="str">
        <f>YEAR(NOW()) &amp; "-W" &amp; CONTROL_CENTER!$J$3</f>
        <v>2026-W19</v>
      </c>
    </row>
    <row r="217">
      <c r="A217" s="186">
        <v>216.0</v>
      </c>
      <c r="B217" s="12" t="s">
        <v>99</v>
      </c>
      <c r="C217" s="186" t="s">
        <v>379</v>
      </c>
      <c r="D217" s="12">
        <v>8.0</v>
      </c>
      <c r="E217" s="186">
        <v>1.0</v>
      </c>
      <c r="F217" s="186">
        <v>3.0</v>
      </c>
      <c r="G217" s="321">
        <v>25.0</v>
      </c>
      <c r="H217" s="186" t="s">
        <v>265</v>
      </c>
      <c r="I217" s="327" t="b">
        <v>0</v>
      </c>
      <c r="J217" s="12">
        <v>7.0</v>
      </c>
      <c r="K217" s="186">
        <v>5.0</v>
      </c>
      <c r="L217" s="186" t="str">
        <f>YEAR(NOW()) &amp; "-W" &amp; CONTROL_CENTER!$J$3</f>
        <v>2026-W19</v>
      </c>
    </row>
    <row r="218">
      <c r="A218" s="186">
        <v>217.0</v>
      </c>
      <c r="B218" s="12" t="s">
        <v>99</v>
      </c>
      <c r="C218" s="186" t="s">
        <v>380</v>
      </c>
      <c r="D218" s="12">
        <v>8.0</v>
      </c>
      <c r="E218" s="186">
        <v>0.0</v>
      </c>
      <c r="F218" s="186">
        <v>1.0</v>
      </c>
      <c r="G218" s="321">
        <v>26.0</v>
      </c>
      <c r="H218" s="186" t="s">
        <v>265</v>
      </c>
      <c r="I218" s="327" t="b">
        <v>0</v>
      </c>
      <c r="J218" s="12">
        <v>5.0</v>
      </c>
      <c r="K218" s="186">
        <v>5.0</v>
      </c>
      <c r="L218" s="186" t="str">
        <f>YEAR(NOW()) &amp; "-W" &amp; CONTROL_CENTER!$J$3</f>
        <v>2026-W19</v>
      </c>
    </row>
    <row r="219">
      <c r="A219" s="186">
        <v>218.0</v>
      </c>
      <c r="B219" s="12" t="s">
        <v>99</v>
      </c>
      <c r="C219" s="186" t="s">
        <v>381</v>
      </c>
      <c r="D219" s="12">
        <v>8.0</v>
      </c>
      <c r="E219" s="186">
        <v>0.0</v>
      </c>
      <c r="F219" s="186">
        <v>2.0</v>
      </c>
      <c r="G219" s="321">
        <v>26.0</v>
      </c>
      <c r="H219" s="186" t="s">
        <v>265</v>
      </c>
      <c r="I219" s="327" t="b">
        <v>0</v>
      </c>
      <c r="J219" s="12">
        <v>2.0</v>
      </c>
      <c r="K219" s="186">
        <v>5.0</v>
      </c>
      <c r="L219" s="186" t="str">
        <f>YEAR(NOW()) &amp; "-W" &amp; CONTROL_CENTER!$J$3</f>
        <v>2026-W19</v>
      </c>
    </row>
    <row r="220">
      <c r="A220" s="186">
        <v>219.0</v>
      </c>
      <c r="B220" s="12" t="s">
        <v>99</v>
      </c>
      <c r="C220" s="186" t="s">
        <v>382</v>
      </c>
      <c r="D220" s="12">
        <v>8.0</v>
      </c>
      <c r="E220" s="12">
        <v>0.0</v>
      </c>
      <c r="F220" s="186">
        <v>3.0</v>
      </c>
      <c r="G220" s="321">
        <v>26.0</v>
      </c>
      <c r="H220" s="12" t="s">
        <v>265</v>
      </c>
      <c r="I220" s="327" t="b">
        <v>0</v>
      </c>
      <c r="J220" s="12">
        <v>8.0</v>
      </c>
      <c r="K220" s="186">
        <v>5.0</v>
      </c>
      <c r="L220" s="186" t="str">
        <f>YEAR(NOW()) &amp; "-W" &amp; CONTROL_CENTER!$J$3</f>
        <v>2026-W19</v>
      </c>
    </row>
    <row r="221">
      <c r="A221" s="186">
        <v>220.0</v>
      </c>
      <c r="B221" s="12" t="s">
        <v>99</v>
      </c>
      <c r="C221" s="186" t="s">
        <v>383</v>
      </c>
      <c r="D221" s="12">
        <v>9.0</v>
      </c>
      <c r="E221" s="186">
        <v>2.0</v>
      </c>
      <c r="F221" s="186">
        <v>1.0</v>
      </c>
      <c r="G221" s="321">
        <v>27.0</v>
      </c>
      <c r="H221" s="186" t="s">
        <v>265</v>
      </c>
      <c r="I221" s="327" t="b">
        <v>1</v>
      </c>
      <c r="J221" s="12">
        <v>6.0</v>
      </c>
      <c r="K221" s="186">
        <v>6.0</v>
      </c>
      <c r="L221" s="186" t="str">
        <f>YEAR(NOW()) &amp; "-W" &amp; CONTROL_CENTER!$J$3</f>
        <v>2026-W19</v>
      </c>
    </row>
    <row r="222">
      <c r="A222" s="186">
        <v>221.0</v>
      </c>
      <c r="B222" s="12" t="s">
        <v>99</v>
      </c>
      <c r="C222" s="186" t="s">
        <v>384</v>
      </c>
      <c r="D222" s="12">
        <v>9.0</v>
      </c>
      <c r="E222" s="186">
        <v>2.0</v>
      </c>
      <c r="F222" s="186">
        <v>2.0</v>
      </c>
      <c r="G222" s="321">
        <v>27.0</v>
      </c>
      <c r="H222" s="186" t="s">
        <v>265</v>
      </c>
      <c r="I222" s="327" t="b">
        <v>1</v>
      </c>
      <c r="J222" s="12">
        <v>3.0</v>
      </c>
      <c r="K222" s="186">
        <v>6.0</v>
      </c>
      <c r="L222" s="186" t="str">
        <f>YEAR(NOW()) &amp; "-W" &amp; CONTROL_CENTER!$J$3</f>
        <v>2026-W19</v>
      </c>
    </row>
    <row r="223">
      <c r="A223" s="186">
        <v>222.0</v>
      </c>
      <c r="B223" s="12" t="s">
        <v>99</v>
      </c>
      <c r="C223" s="186" t="s">
        <v>385</v>
      </c>
      <c r="D223" s="12">
        <v>9.0</v>
      </c>
      <c r="E223" s="12">
        <v>2.0</v>
      </c>
      <c r="F223" s="186">
        <v>3.0</v>
      </c>
      <c r="G223" s="321">
        <v>27.0</v>
      </c>
      <c r="H223" s="12" t="s">
        <v>265</v>
      </c>
      <c r="I223" s="327" t="b">
        <v>0</v>
      </c>
      <c r="J223" s="12">
        <v>9.0</v>
      </c>
      <c r="K223" s="186">
        <v>6.0</v>
      </c>
      <c r="L223" s="186" t="str">
        <f>YEAR(NOW()) &amp; "-W" &amp; CONTROL_CENTER!$J$3</f>
        <v>2026-W19</v>
      </c>
    </row>
    <row r="224">
      <c r="A224" s="186">
        <v>223.0</v>
      </c>
      <c r="B224" s="12" t="s">
        <v>99</v>
      </c>
      <c r="C224" s="186" t="s">
        <v>386</v>
      </c>
      <c r="D224" s="12">
        <v>9.0</v>
      </c>
      <c r="E224" s="186">
        <v>1.0</v>
      </c>
      <c r="F224" s="186">
        <v>1.0</v>
      </c>
      <c r="G224" s="321">
        <v>28.0</v>
      </c>
      <c r="H224" s="186" t="s">
        <v>265</v>
      </c>
      <c r="I224" s="327" t="b">
        <v>1</v>
      </c>
      <c r="J224" s="12">
        <v>4.0</v>
      </c>
      <c r="K224" s="186">
        <v>6.0</v>
      </c>
      <c r="L224" s="186" t="str">
        <f>YEAR(NOW()) &amp; "-W" &amp; CONTROL_CENTER!$J$3</f>
        <v>2026-W19</v>
      </c>
    </row>
    <row r="225">
      <c r="A225" s="186">
        <v>224.0</v>
      </c>
      <c r="B225" s="12" t="s">
        <v>99</v>
      </c>
      <c r="C225" s="186" t="s">
        <v>387</v>
      </c>
      <c r="D225" s="12">
        <v>9.0</v>
      </c>
      <c r="E225" s="186">
        <v>1.0</v>
      </c>
      <c r="F225" s="186">
        <v>2.0</v>
      </c>
      <c r="G225" s="321">
        <v>28.0</v>
      </c>
      <c r="H225" s="186" t="s">
        <v>265</v>
      </c>
      <c r="I225" s="327" t="b">
        <v>1</v>
      </c>
      <c r="J225" s="12">
        <v>1.0</v>
      </c>
      <c r="K225" s="186">
        <v>6.0</v>
      </c>
      <c r="L225" s="186" t="str">
        <f>YEAR(NOW()) &amp; "-W" &amp; CONTROL_CENTER!$J$3</f>
        <v>2026-W19</v>
      </c>
    </row>
    <row r="226">
      <c r="A226" s="186">
        <v>225.0</v>
      </c>
      <c r="B226" s="12" t="s">
        <v>99</v>
      </c>
      <c r="C226" s="186" t="s">
        <v>388</v>
      </c>
      <c r="D226" s="12">
        <v>9.0</v>
      </c>
      <c r="E226" s="12">
        <v>1.0</v>
      </c>
      <c r="F226" s="186">
        <v>3.0</v>
      </c>
      <c r="G226" s="321">
        <v>28.0</v>
      </c>
      <c r="H226" s="12" t="s">
        <v>265</v>
      </c>
      <c r="I226" s="327" t="b">
        <v>0</v>
      </c>
      <c r="J226" s="12">
        <v>7.0</v>
      </c>
      <c r="K226" s="186">
        <v>6.0</v>
      </c>
      <c r="L226" s="186" t="str">
        <f>YEAR(NOW()) &amp; "-W" &amp; CONTROL_CENTER!$J$3</f>
        <v>2026-W19</v>
      </c>
    </row>
    <row r="227">
      <c r="A227" s="186">
        <v>226.0</v>
      </c>
      <c r="B227" s="12" t="s">
        <v>99</v>
      </c>
      <c r="C227" s="186" t="s">
        <v>389</v>
      </c>
      <c r="D227" s="12">
        <v>9.0</v>
      </c>
      <c r="E227" s="12">
        <v>0.0</v>
      </c>
      <c r="F227" s="186">
        <v>1.0</v>
      </c>
      <c r="G227" s="321">
        <v>29.0</v>
      </c>
      <c r="H227" s="12" t="s">
        <v>265</v>
      </c>
      <c r="I227" s="327" t="b">
        <v>1</v>
      </c>
      <c r="J227" s="12">
        <v>5.0</v>
      </c>
      <c r="K227" s="186">
        <v>6.0</v>
      </c>
      <c r="L227" s="186" t="str">
        <f>YEAR(NOW()) &amp; "-W" &amp; CONTROL_CENTER!$J$3</f>
        <v>2026-W19</v>
      </c>
    </row>
    <row r="228">
      <c r="A228" s="186">
        <v>227.0</v>
      </c>
      <c r="B228" s="12" t="s">
        <v>99</v>
      </c>
      <c r="C228" s="186" t="s">
        <v>390</v>
      </c>
      <c r="D228" s="12">
        <v>9.0</v>
      </c>
      <c r="E228" s="186">
        <v>0.0</v>
      </c>
      <c r="F228" s="186">
        <v>2.0</v>
      </c>
      <c r="G228" s="321">
        <v>29.0</v>
      </c>
      <c r="H228" s="186" t="s">
        <v>265</v>
      </c>
      <c r="I228" s="327" t="b">
        <v>1</v>
      </c>
      <c r="J228" s="12">
        <v>2.0</v>
      </c>
      <c r="K228" s="186">
        <v>6.0</v>
      </c>
      <c r="L228" s="186" t="str">
        <f>YEAR(NOW()) &amp; "-W" &amp; CONTROL_CENTER!$J$3</f>
        <v>2026-W19</v>
      </c>
    </row>
    <row r="229">
      <c r="A229" s="186">
        <v>228.0</v>
      </c>
      <c r="B229" s="12" t="s">
        <v>99</v>
      </c>
      <c r="C229" s="186" t="s">
        <v>391</v>
      </c>
      <c r="D229" s="12">
        <v>9.0</v>
      </c>
      <c r="E229" s="12">
        <v>0.0</v>
      </c>
      <c r="F229" s="186">
        <v>3.0</v>
      </c>
      <c r="G229" s="321">
        <v>29.0</v>
      </c>
      <c r="H229" s="12" t="s">
        <v>265</v>
      </c>
      <c r="I229" s="327" t="b">
        <v>0</v>
      </c>
      <c r="J229" s="12">
        <v>8.0</v>
      </c>
      <c r="K229" s="186">
        <v>6.0</v>
      </c>
      <c r="L229" s="186" t="str">
        <f>YEAR(NOW()) &amp; "-W" &amp; CONTROL_CENTER!$J$3</f>
        <v>2026-W19</v>
      </c>
    </row>
    <row r="230">
      <c r="A230" s="186">
        <v>229.0</v>
      </c>
      <c r="B230" s="12" t="s">
        <v>99</v>
      </c>
      <c r="C230" s="186" t="s">
        <v>392</v>
      </c>
      <c r="D230" s="12">
        <v>10.0</v>
      </c>
      <c r="F230" s="186">
        <v>1.0</v>
      </c>
      <c r="G230" s="321">
        <v>30.0</v>
      </c>
      <c r="H230" s="12" t="s">
        <v>265</v>
      </c>
      <c r="I230" s="327" t="b">
        <v>0</v>
      </c>
      <c r="J230" s="12">
        <v>4.0</v>
      </c>
      <c r="K230" s="186">
        <v>7.0</v>
      </c>
      <c r="L230" s="186" t="str">
        <f>YEAR(NOW()) &amp; "-W" &amp; CONTROL_CENTER!$J$3</f>
        <v>2026-W19</v>
      </c>
    </row>
    <row r="231">
      <c r="A231" s="186">
        <v>230.0</v>
      </c>
      <c r="B231" s="12" t="s">
        <v>99</v>
      </c>
      <c r="C231" s="186" t="s">
        <v>393</v>
      </c>
      <c r="D231" s="12">
        <v>10.0</v>
      </c>
      <c r="F231" s="186">
        <v>2.0</v>
      </c>
      <c r="G231" s="321">
        <v>30.0</v>
      </c>
      <c r="H231" s="12" t="s">
        <v>265</v>
      </c>
      <c r="I231" s="327" t="b">
        <v>0</v>
      </c>
      <c r="J231" s="12">
        <v>2.0</v>
      </c>
      <c r="K231" s="186">
        <v>7.0</v>
      </c>
      <c r="L231" s="186" t="str">
        <f>YEAR(NOW()) &amp; "-W" &amp; CONTROL_CENTER!$J$3</f>
        <v>2026-W19</v>
      </c>
    </row>
    <row r="232">
      <c r="A232" s="186">
        <v>231.0</v>
      </c>
      <c r="B232" s="12" t="s">
        <v>99</v>
      </c>
      <c r="C232" s="186" t="s">
        <v>394</v>
      </c>
      <c r="D232" s="12">
        <v>10.0</v>
      </c>
      <c r="F232" s="186">
        <v>3.0</v>
      </c>
      <c r="G232" s="321">
        <v>30.0</v>
      </c>
      <c r="H232" s="12" t="s">
        <v>265</v>
      </c>
      <c r="I232" s="327" t="b">
        <v>0</v>
      </c>
      <c r="J232" s="12">
        <v>6.0</v>
      </c>
      <c r="K232" s="186">
        <v>7.0</v>
      </c>
      <c r="L232" s="186" t="str">
        <f>YEAR(NOW()) &amp; "-W" &amp; CONTROL_CENTER!$J$3</f>
        <v>2026-W19</v>
      </c>
    </row>
    <row r="233">
      <c r="A233" s="186">
        <v>232.0</v>
      </c>
      <c r="B233" s="12" t="s">
        <v>99</v>
      </c>
      <c r="C233" s="186" t="s">
        <v>395</v>
      </c>
      <c r="D233" s="12">
        <v>10.0</v>
      </c>
      <c r="F233" s="186">
        <v>1.0</v>
      </c>
      <c r="G233" s="321">
        <v>31.0</v>
      </c>
      <c r="H233" s="12" t="s">
        <v>265</v>
      </c>
      <c r="I233" s="327" t="b">
        <v>0</v>
      </c>
      <c r="J233" s="12">
        <v>3.0</v>
      </c>
      <c r="K233" s="186">
        <v>7.0</v>
      </c>
      <c r="L233" s="186" t="str">
        <f>YEAR(NOW()) &amp; "-W" &amp; CONTROL_CENTER!$J$3</f>
        <v>2026-W19</v>
      </c>
    </row>
    <row r="234">
      <c r="A234" s="316">
        <v>233.0</v>
      </c>
      <c r="B234" s="12" t="s">
        <v>99</v>
      </c>
      <c r="C234" s="186" t="s">
        <v>396</v>
      </c>
      <c r="D234" s="12">
        <v>10.0</v>
      </c>
      <c r="F234" s="186">
        <v>2.0</v>
      </c>
      <c r="G234" s="321">
        <v>31.0</v>
      </c>
      <c r="H234" s="12" t="s">
        <v>265</v>
      </c>
      <c r="I234" s="327" t="b">
        <v>0</v>
      </c>
      <c r="J234" s="12">
        <v>1.0</v>
      </c>
      <c r="K234" s="186">
        <v>7.0</v>
      </c>
      <c r="L234" s="186" t="str">
        <f>YEAR(NOW()) &amp; "-W" &amp; CONTROL_CENTER!$J$3</f>
        <v>2026-W19</v>
      </c>
    </row>
    <row r="235">
      <c r="A235" s="316">
        <v>234.0</v>
      </c>
      <c r="B235" s="12" t="s">
        <v>99</v>
      </c>
      <c r="C235" s="186" t="s">
        <v>397</v>
      </c>
      <c r="D235" s="12">
        <v>10.0</v>
      </c>
      <c r="F235" s="186">
        <v>3.0</v>
      </c>
      <c r="G235" s="321">
        <v>31.0</v>
      </c>
      <c r="H235" s="12" t="s">
        <v>265</v>
      </c>
      <c r="I235" s="327" t="b">
        <v>0</v>
      </c>
      <c r="J235" s="12">
        <v>5.0</v>
      </c>
      <c r="K235" s="186">
        <v>7.0</v>
      </c>
      <c r="L235" s="186" t="str">
        <f>YEAR(NOW()) &amp; "-W" &amp; CONTROL_CENTER!$J$3</f>
        <v>2026-W19</v>
      </c>
    </row>
    <row r="236">
      <c r="A236" s="186">
        <v>235.0</v>
      </c>
      <c r="B236" s="12" t="s">
        <v>99</v>
      </c>
      <c r="C236" s="186" t="s">
        <v>398</v>
      </c>
      <c r="D236" s="186">
        <v>11.0</v>
      </c>
      <c r="F236" s="186">
        <v>1.0</v>
      </c>
      <c r="G236" s="321">
        <v>32.0</v>
      </c>
      <c r="H236" s="12" t="s">
        <v>265</v>
      </c>
      <c r="I236" s="327" t="b">
        <v>0</v>
      </c>
      <c r="J236" s="12">
        <v>4.0</v>
      </c>
      <c r="K236" s="186">
        <v>8.0</v>
      </c>
      <c r="L236" s="186" t="str">
        <f>YEAR(NOW()) &amp; "-W" &amp; CONTROL_CENTER!$J$3</f>
        <v>2026-W19</v>
      </c>
    </row>
    <row r="237">
      <c r="A237" s="186">
        <v>236.0</v>
      </c>
      <c r="B237" s="12" t="s">
        <v>99</v>
      </c>
      <c r="C237" s="186" t="s">
        <v>399</v>
      </c>
      <c r="D237" s="186">
        <v>11.0</v>
      </c>
      <c r="F237" s="186">
        <v>2.0</v>
      </c>
      <c r="G237" s="321">
        <v>32.0</v>
      </c>
      <c r="H237" s="12" t="s">
        <v>265</v>
      </c>
      <c r="I237" s="327" t="b">
        <v>0</v>
      </c>
      <c r="J237" s="12">
        <v>2.0</v>
      </c>
      <c r="K237" s="186">
        <v>8.0</v>
      </c>
      <c r="L237" s="186" t="str">
        <f>YEAR(NOW()) &amp; "-W" &amp; CONTROL_CENTER!$J$3</f>
        <v>2026-W19</v>
      </c>
    </row>
    <row r="238">
      <c r="A238" s="186">
        <v>237.0</v>
      </c>
      <c r="B238" s="12" t="s">
        <v>99</v>
      </c>
      <c r="C238" s="186" t="s">
        <v>400</v>
      </c>
      <c r="D238" s="186">
        <v>11.0</v>
      </c>
      <c r="F238" s="186">
        <v>3.0</v>
      </c>
      <c r="G238" s="321">
        <v>32.0</v>
      </c>
      <c r="H238" s="12" t="s">
        <v>265</v>
      </c>
      <c r="I238" s="327" t="b">
        <v>0</v>
      </c>
      <c r="J238" s="12">
        <v>6.0</v>
      </c>
      <c r="K238" s="186">
        <v>8.0</v>
      </c>
      <c r="L238" s="186" t="str">
        <f>YEAR(NOW()) &amp; "-W" &amp; CONTROL_CENTER!$J$3</f>
        <v>2026-W19</v>
      </c>
    </row>
    <row r="239">
      <c r="A239" s="186">
        <v>238.0</v>
      </c>
      <c r="B239" s="12" t="s">
        <v>99</v>
      </c>
      <c r="C239" s="186" t="s">
        <v>401</v>
      </c>
      <c r="D239" s="186">
        <v>11.0</v>
      </c>
      <c r="F239" s="186">
        <v>1.0</v>
      </c>
      <c r="G239" s="321">
        <v>33.0</v>
      </c>
      <c r="H239" s="12" t="s">
        <v>265</v>
      </c>
      <c r="I239" s="327" t="b">
        <v>0</v>
      </c>
      <c r="J239" s="12">
        <v>3.0</v>
      </c>
      <c r="K239" s="186">
        <v>8.0</v>
      </c>
      <c r="L239" s="186" t="str">
        <f>YEAR(NOW()) &amp; "-W" &amp; CONTROL_CENTER!$J$3</f>
        <v>2026-W19</v>
      </c>
    </row>
    <row r="240">
      <c r="A240" s="186">
        <v>239.0</v>
      </c>
      <c r="B240" s="12" t="s">
        <v>99</v>
      </c>
      <c r="C240" s="186" t="s">
        <v>402</v>
      </c>
      <c r="D240" s="186">
        <v>11.0</v>
      </c>
      <c r="F240" s="186">
        <v>2.0</v>
      </c>
      <c r="G240" s="321">
        <v>33.0</v>
      </c>
      <c r="H240" s="12" t="s">
        <v>265</v>
      </c>
      <c r="I240" s="327" t="b">
        <v>0</v>
      </c>
      <c r="J240" s="12">
        <v>1.0</v>
      </c>
      <c r="K240" s="186">
        <v>8.0</v>
      </c>
      <c r="L240" s="186" t="str">
        <f>YEAR(NOW()) &amp; "-W" &amp; CONTROL_CENTER!$J$3</f>
        <v>2026-W19</v>
      </c>
    </row>
    <row r="241">
      <c r="A241" s="186">
        <v>240.0</v>
      </c>
      <c r="B241" s="12" t="s">
        <v>99</v>
      </c>
      <c r="C241" s="186" t="s">
        <v>403</v>
      </c>
      <c r="D241" s="186">
        <v>11.0</v>
      </c>
      <c r="F241" s="186">
        <v>3.0</v>
      </c>
      <c r="G241" s="321">
        <v>33.0</v>
      </c>
      <c r="H241" s="12" t="s">
        <v>265</v>
      </c>
      <c r="I241" s="327" t="b">
        <v>0</v>
      </c>
      <c r="J241" s="12">
        <v>5.0</v>
      </c>
      <c r="K241" s="186">
        <v>8.0</v>
      </c>
      <c r="L241" s="186" t="str">
        <f>YEAR(NOW()) &amp; "-W" &amp; CONTROL_CENTER!$J$3</f>
        <v>2026-W19</v>
      </c>
    </row>
    <row r="242">
      <c r="A242" s="186">
        <v>241.0</v>
      </c>
      <c r="B242" s="12" t="s">
        <v>99</v>
      </c>
      <c r="C242" s="186" t="s">
        <v>404</v>
      </c>
      <c r="D242" s="186">
        <v>12.0</v>
      </c>
      <c r="F242" s="186">
        <v>1.0</v>
      </c>
      <c r="G242" s="321">
        <v>34.0</v>
      </c>
      <c r="H242" s="12" t="s">
        <v>265</v>
      </c>
      <c r="I242" s="327" t="b">
        <v>1</v>
      </c>
      <c r="J242" s="12">
        <v>4.0</v>
      </c>
      <c r="K242" s="186">
        <v>9.0</v>
      </c>
      <c r="L242" s="186" t="str">
        <f>YEAR(NOW()) &amp; "-W" &amp; CONTROL_CENTER!$J$3</f>
        <v>2026-W19</v>
      </c>
    </row>
    <row r="243">
      <c r="A243" s="186">
        <v>242.0</v>
      </c>
      <c r="B243" s="12" t="s">
        <v>99</v>
      </c>
      <c r="C243" s="186" t="s">
        <v>149</v>
      </c>
      <c r="D243" s="186">
        <v>12.0</v>
      </c>
      <c r="F243" s="186">
        <v>2.0</v>
      </c>
      <c r="G243" s="321">
        <v>34.0</v>
      </c>
      <c r="H243" s="12" t="s">
        <v>265</v>
      </c>
      <c r="I243" s="327" t="b">
        <v>1</v>
      </c>
      <c r="J243" s="12">
        <v>2.0</v>
      </c>
      <c r="K243" s="186">
        <v>9.0</v>
      </c>
      <c r="L243" s="186" t="str">
        <f>YEAR(NOW()) &amp; "-W" &amp; CONTROL_CENTER!$J$3</f>
        <v>2026-W19</v>
      </c>
    </row>
    <row r="244">
      <c r="A244" s="186">
        <v>243.0</v>
      </c>
      <c r="B244" s="12" t="s">
        <v>99</v>
      </c>
      <c r="C244" s="186" t="s">
        <v>405</v>
      </c>
      <c r="D244" s="186">
        <v>12.0</v>
      </c>
      <c r="F244" s="186">
        <v>3.0</v>
      </c>
      <c r="G244" s="321">
        <v>34.0</v>
      </c>
      <c r="H244" s="12" t="s">
        <v>265</v>
      </c>
      <c r="I244" s="327" t="b">
        <v>0</v>
      </c>
      <c r="J244" s="12">
        <v>6.0</v>
      </c>
      <c r="K244" s="186">
        <v>9.0</v>
      </c>
      <c r="L244" s="186" t="str">
        <f>YEAR(NOW()) &amp; "-W" &amp; CONTROL_CENTER!$J$3</f>
        <v>2026-W19</v>
      </c>
    </row>
    <row r="245">
      <c r="A245" s="186">
        <v>244.0</v>
      </c>
      <c r="B245" s="12" t="s">
        <v>99</v>
      </c>
      <c r="C245" s="186" t="s">
        <v>406</v>
      </c>
      <c r="D245" s="186">
        <v>12.0</v>
      </c>
      <c r="F245" s="186">
        <v>1.0</v>
      </c>
      <c r="G245" s="321">
        <v>35.0</v>
      </c>
      <c r="H245" s="12" t="s">
        <v>265</v>
      </c>
      <c r="I245" s="327" t="b">
        <v>1</v>
      </c>
      <c r="J245" s="12">
        <v>3.0</v>
      </c>
      <c r="K245" s="186">
        <v>9.0</v>
      </c>
      <c r="L245" s="186" t="str">
        <f>YEAR(NOW()) &amp; "-W" &amp; CONTROL_CENTER!$J$3</f>
        <v>2026-W19</v>
      </c>
    </row>
    <row r="246">
      <c r="A246" s="186">
        <v>245.0</v>
      </c>
      <c r="B246" s="12" t="s">
        <v>99</v>
      </c>
      <c r="C246" s="186" t="s">
        <v>166</v>
      </c>
      <c r="D246" s="186">
        <v>12.0</v>
      </c>
      <c r="F246" s="186">
        <v>2.0</v>
      </c>
      <c r="G246" s="321">
        <v>35.0</v>
      </c>
      <c r="H246" s="12" t="s">
        <v>265</v>
      </c>
      <c r="I246" s="327" t="b">
        <v>1</v>
      </c>
      <c r="J246" s="12">
        <v>1.0</v>
      </c>
      <c r="K246" s="186">
        <v>9.0</v>
      </c>
      <c r="L246" s="186" t="str">
        <f>YEAR(NOW()) &amp; "-W" &amp; CONTROL_CENTER!$J$3</f>
        <v>2026-W19</v>
      </c>
    </row>
    <row r="247">
      <c r="A247" s="186">
        <v>246.0</v>
      </c>
      <c r="B247" s="12" t="s">
        <v>99</v>
      </c>
      <c r="C247" s="186" t="s">
        <v>407</v>
      </c>
      <c r="D247" s="186">
        <v>12.0</v>
      </c>
      <c r="F247" s="186">
        <v>3.0</v>
      </c>
      <c r="G247" s="321">
        <v>35.0</v>
      </c>
      <c r="H247" s="12" t="s">
        <v>265</v>
      </c>
      <c r="I247" s="327" t="b">
        <v>0</v>
      </c>
      <c r="J247" s="12">
        <v>5.0</v>
      </c>
      <c r="K247" s="186">
        <v>9.0</v>
      </c>
      <c r="L247" s="186" t="str">
        <f>YEAR(NOW()) &amp; "-W" &amp; CONTROL_CENTER!$J$3</f>
        <v>2026-W19</v>
      </c>
    </row>
    <row r="248">
      <c r="A248" s="186">
        <v>247.0</v>
      </c>
      <c r="B248" s="12" t="s">
        <v>99</v>
      </c>
      <c r="C248" s="186" t="s">
        <v>408</v>
      </c>
      <c r="D248" s="186">
        <v>13.0</v>
      </c>
      <c r="F248" s="186">
        <v>1.0</v>
      </c>
      <c r="G248" s="321">
        <v>36.0</v>
      </c>
      <c r="H248" s="12" t="s">
        <v>265</v>
      </c>
      <c r="I248" s="327" t="b">
        <v>0</v>
      </c>
      <c r="J248" s="12">
        <v>4.0</v>
      </c>
      <c r="K248" s="186">
        <v>10.0</v>
      </c>
      <c r="L248" s="186" t="str">
        <f>YEAR(NOW()) &amp; "-W" &amp; CONTROL_CENTER!$J$3</f>
        <v>2026-W19</v>
      </c>
    </row>
    <row r="249">
      <c r="A249" s="186">
        <v>248.0</v>
      </c>
      <c r="B249" s="12" t="s">
        <v>99</v>
      </c>
      <c r="C249" s="186" t="s">
        <v>409</v>
      </c>
      <c r="D249" s="186">
        <v>13.0</v>
      </c>
      <c r="F249" s="186">
        <v>2.0</v>
      </c>
      <c r="G249" s="321">
        <v>36.0</v>
      </c>
      <c r="H249" s="12" t="s">
        <v>265</v>
      </c>
      <c r="I249" s="327" t="b">
        <v>0</v>
      </c>
      <c r="J249" s="12">
        <v>8.0</v>
      </c>
      <c r="K249" s="186">
        <v>10.0</v>
      </c>
      <c r="L249" s="186" t="str">
        <f>YEAR(NOW()) &amp; "-W" &amp; CONTROL_CENTER!$J$3</f>
        <v>2026-W19</v>
      </c>
    </row>
    <row r="250">
      <c r="A250" s="186">
        <v>249.0</v>
      </c>
      <c r="B250" s="12" t="s">
        <v>99</v>
      </c>
      <c r="C250" s="186" t="s">
        <v>410</v>
      </c>
      <c r="D250" s="186">
        <v>13.0</v>
      </c>
      <c r="F250" s="186">
        <v>3.0</v>
      </c>
      <c r="G250" s="321">
        <v>36.0</v>
      </c>
      <c r="H250" s="12" t="s">
        <v>265</v>
      </c>
      <c r="I250" s="327" t="b">
        <v>0</v>
      </c>
      <c r="J250" s="12">
        <v>12.0</v>
      </c>
      <c r="K250" s="186">
        <v>10.0</v>
      </c>
      <c r="L250" s="186" t="str">
        <f>YEAR(NOW()) &amp; "-W" &amp; CONTROL_CENTER!$J$3</f>
        <v>2026-W19</v>
      </c>
    </row>
    <row r="251">
      <c r="A251" s="186">
        <v>250.0</v>
      </c>
      <c r="B251" s="12" t="s">
        <v>99</v>
      </c>
      <c r="C251" s="186" t="s">
        <v>411</v>
      </c>
      <c r="D251" s="186">
        <v>13.0</v>
      </c>
      <c r="F251" s="186">
        <v>1.0</v>
      </c>
      <c r="G251" s="321">
        <v>37.0</v>
      </c>
      <c r="H251" s="12" t="s">
        <v>265</v>
      </c>
      <c r="I251" s="327" t="b">
        <v>0</v>
      </c>
      <c r="J251" s="12">
        <v>3.0</v>
      </c>
      <c r="K251" s="186">
        <v>10.0</v>
      </c>
      <c r="L251" s="186" t="str">
        <f>YEAR(NOW()) &amp; "-W" &amp; CONTROL_CENTER!$J$3</f>
        <v>2026-W19</v>
      </c>
    </row>
    <row r="252">
      <c r="A252" s="186">
        <v>251.0</v>
      </c>
      <c r="B252" s="12" t="s">
        <v>99</v>
      </c>
      <c r="C252" s="186" t="s">
        <v>412</v>
      </c>
      <c r="D252" s="186">
        <v>13.0</v>
      </c>
      <c r="F252" s="186">
        <v>2.0</v>
      </c>
      <c r="G252" s="321">
        <v>37.0</v>
      </c>
      <c r="H252" s="12" t="s">
        <v>265</v>
      </c>
      <c r="I252" s="327" t="b">
        <v>0</v>
      </c>
      <c r="J252" s="12">
        <v>7.0</v>
      </c>
      <c r="K252" s="186">
        <v>10.0</v>
      </c>
      <c r="L252" s="186" t="str">
        <f>YEAR(NOW()) &amp; "-W" &amp; CONTROL_CENTER!$J$3</f>
        <v>2026-W19</v>
      </c>
    </row>
    <row r="253">
      <c r="A253" s="186">
        <v>252.0</v>
      </c>
      <c r="B253" s="12" t="s">
        <v>99</v>
      </c>
      <c r="C253" s="186" t="s">
        <v>413</v>
      </c>
      <c r="D253" s="186">
        <v>13.0</v>
      </c>
      <c r="F253" s="186">
        <v>3.0</v>
      </c>
      <c r="G253" s="321">
        <v>37.0</v>
      </c>
      <c r="H253" s="12" t="s">
        <v>265</v>
      </c>
      <c r="I253" s="327" t="b">
        <v>0</v>
      </c>
      <c r="J253" s="12">
        <v>11.0</v>
      </c>
      <c r="K253" s="186">
        <v>10.0</v>
      </c>
      <c r="L253" s="186" t="str">
        <f>YEAR(NOW()) &amp; "-W" &amp; CONTROL_CENTER!$J$3</f>
        <v>2026-W19</v>
      </c>
    </row>
    <row r="254">
      <c r="A254" s="316">
        <v>253.0</v>
      </c>
      <c r="B254" s="12" t="s">
        <v>99</v>
      </c>
      <c r="C254" s="186" t="s">
        <v>414</v>
      </c>
      <c r="D254" s="12">
        <v>13.0</v>
      </c>
      <c r="F254" s="186">
        <v>1.0</v>
      </c>
      <c r="G254" s="321">
        <v>38.0</v>
      </c>
      <c r="H254" s="12" t="s">
        <v>265</v>
      </c>
      <c r="I254" s="327" t="b">
        <v>0</v>
      </c>
      <c r="J254" s="12">
        <v>2.0</v>
      </c>
      <c r="K254" s="186">
        <v>10.0</v>
      </c>
      <c r="L254" s="186" t="str">
        <f>YEAR(NOW()) &amp; "-W" &amp; CONTROL_CENTER!$J$3</f>
        <v>2026-W19</v>
      </c>
    </row>
    <row r="255">
      <c r="A255" s="316">
        <v>254.0</v>
      </c>
      <c r="B255" s="12" t="s">
        <v>99</v>
      </c>
      <c r="C255" s="186" t="s">
        <v>76</v>
      </c>
      <c r="D255" s="12">
        <v>13.0</v>
      </c>
      <c r="F255" s="186">
        <v>2.0</v>
      </c>
      <c r="G255" s="321">
        <v>38.0</v>
      </c>
      <c r="H255" s="12" t="s">
        <v>265</v>
      </c>
      <c r="I255" s="327" t="b">
        <v>0</v>
      </c>
      <c r="J255" s="12">
        <v>6.0</v>
      </c>
      <c r="K255" s="186">
        <v>10.0</v>
      </c>
      <c r="L255" s="186" t="str">
        <f>YEAR(NOW()) &amp; "-W" &amp; CONTROL_CENTER!$J$3</f>
        <v>2026-W19</v>
      </c>
    </row>
    <row r="256">
      <c r="A256" s="186">
        <v>255.0</v>
      </c>
      <c r="B256" s="12" t="s">
        <v>99</v>
      </c>
      <c r="C256" s="186" t="s">
        <v>415</v>
      </c>
      <c r="D256" s="12">
        <v>13.0</v>
      </c>
      <c r="F256" s="186">
        <v>3.0</v>
      </c>
      <c r="G256" s="321">
        <v>38.0</v>
      </c>
      <c r="H256" s="12" t="s">
        <v>265</v>
      </c>
      <c r="I256" s="327" t="b">
        <v>0</v>
      </c>
      <c r="J256" s="12">
        <v>10.0</v>
      </c>
      <c r="K256" s="186">
        <v>10.0</v>
      </c>
      <c r="L256" s="186" t="str">
        <f>YEAR(NOW()) &amp; "-W" &amp; CONTROL_CENTER!$J$3</f>
        <v>2026-W19</v>
      </c>
    </row>
    <row r="257">
      <c r="A257" s="186">
        <v>256.0</v>
      </c>
      <c r="B257" s="12" t="s">
        <v>99</v>
      </c>
      <c r="C257" s="186" t="s">
        <v>416</v>
      </c>
      <c r="D257" s="12">
        <v>13.0</v>
      </c>
      <c r="F257" s="186">
        <v>1.0</v>
      </c>
      <c r="G257" s="321">
        <v>39.0</v>
      </c>
      <c r="H257" s="12" t="s">
        <v>265</v>
      </c>
      <c r="I257" s="327" t="b">
        <v>0</v>
      </c>
      <c r="J257" s="12">
        <v>1.0</v>
      </c>
      <c r="K257" s="186">
        <v>10.0</v>
      </c>
      <c r="L257" s="186" t="str">
        <f>YEAR(NOW()) &amp; "-W" &amp; CONTROL_CENTER!$J$3</f>
        <v>2026-W19</v>
      </c>
    </row>
    <row r="258">
      <c r="A258" s="186">
        <v>257.0</v>
      </c>
      <c r="B258" s="12" t="s">
        <v>99</v>
      </c>
      <c r="C258" s="186" t="s">
        <v>317</v>
      </c>
      <c r="D258" s="12">
        <v>13.0</v>
      </c>
      <c r="F258" s="186">
        <v>2.0</v>
      </c>
      <c r="G258" s="321">
        <v>39.0</v>
      </c>
      <c r="H258" s="12" t="s">
        <v>265</v>
      </c>
      <c r="I258" s="327" t="b">
        <v>0</v>
      </c>
      <c r="J258" s="12">
        <v>5.0</v>
      </c>
      <c r="K258" s="186">
        <v>10.0</v>
      </c>
      <c r="L258" s="186" t="str">
        <f>YEAR(NOW()) &amp; "-W" &amp; CONTROL_CENTER!$J$3</f>
        <v>2026-W19</v>
      </c>
    </row>
    <row r="259">
      <c r="A259" s="186">
        <v>258.0</v>
      </c>
      <c r="B259" s="12" t="s">
        <v>99</v>
      </c>
      <c r="C259" s="186" t="s">
        <v>417</v>
      </c>
      <c r="D259" s="12">
        <v>13.0</v>
      </c>
      <c r="F259" s="186">
        <v>3.0</v>
      </c>
      <c r="G259" s="321">
        <v>39.0</v>
      </c>
      <c r="H259" s="12" t="s">
        <v>265</v>
      </c>
      <c r="I259" s="327" t="b">
        <v>0</v>
      </c>
      <c r="J259" s="12">
        <v>9.0</v>
      </c>
      <c r="K259" s="186">
        <v>10.0</v>
      </c>
      <c r="L259" s="186" t="str">
        <f>YEAR(NOW()) &amp; "-W" &amp; CONTROL_CENTER!$J$3</f>
        <v>2026-W19</v>
      </c>
    </row>
    <row r="260">
      <c r="A260" s="186">
        <v>259.0</v>
      </c>
      <c r="B260" s="12" t="s">
        <v>99</v>
      </c>
      <c r="C260" s="186" t="s">
        <v>418</v>
      </c>
      <c r="D260" s="12">
        <v>14.0</v>
      </c>
      <c r="E260" s="186">
        <v>2.0</v>
      </c>
      <c r="F260" s="186">
        <v>1.0</v>
      </c>
      <c r="G260" s="12">
        <v>40.0</v>
      </c>
      <c r="H260" s="12" t="s">
        <v>265</v>
      </c>
      <c r="I260" s="327" t="b">
        <v>0</v>
      </c>
      <c r="J260" s="12">
        <v>9.0</v>
      </c>
      <c r="K260" s="186">
        <v>11.0</v>
      </c>
      <c r="L260" s="186" t="str">
        <f>YEAR(NOW()) &amp; "-W" &amp; CONTROL_CENTER!$J$3</f>
        <v>2026-W19</v>
      </c>
    </row>
    <row r="261">
      <c r="A261" s="186">
        <v>260.0</v>
      </c>
      <c r="B261" s="12" t="s">
        <v>99</v>
      </c>
      <c r="C261" s="186" t="s">
        <v>419</v>
      </c>
      <c r="D261" s="12">
        <v>14.0</v>
      </c>
      <c r="E261" s="186">
        <v>2.0</v>
      </c>
      <c r="F261" s="186">
        <v>2.0</v>
      </c>
      <c r="G261" s="12">
        <v>40.0</v>
      </c>
      <c r="H261" s="12" t="s">
        <v>265</v>
      </c>
      <c r="I261" s="327" t="b">
        <v>0</v>
      </c>
      <c r="J261" s="12">
        <v>10.0</v>
      </c>
      <c r="K261" s="186">
        <v>11.0</v>
      </c>
      <c r="L261" s="186" t="str">
        <f>YEAR(NOW()) &amp; "-W" &amp; CONTROL_CENTER!$J$3</f>
        <v>2026-W19</v>
      </c>
    </row>
    <row r="262">
      <c r="A262" s="186">
        <v>261.0</v>
      </c>
      <c r="B262" s="12" t="s">
        <v>99</v>
      </c>
      <c r="C262" s="186" t="s">
        <v>17</v>
      </c>
      <c r="D262" s="12">
        <v>14.0</v>
      </c>
      <c r="E262" s="186">
        <v>1.0</v>
      </c>
      <c r="F262" s="186">
        <v>1.0</v>
      </c>
      <c r="G262" s="12">
        <v>41.0</v>
      </c>
      <c r="H262" s="12" t="s">
        <v>265</v>
      </c>
      <c r="I262" s="327" t="b">
        <v>1</v>
      </c>
      <c r="J262" s="12">
        <v>7.0</v>
      </c>
      <c r="K262" s="186">
        <v>11.0</v>
      </c>
      <c r="L262" s="186" t="str">
        <f>YEAR(NOW()) &amp; "-W" &amp; CONTROL_CENTER!$J$3</f>
        <v>2026-W19</v>
      </c>
    </row>
    <row r="263">
      <c r="A263" s="186">
        <v>262.0</v>
      </c>
      <c r="B263" s="12" t="s">
        <v>99</v>
      </c>
      <c r="C263" s="186" t="s">
        <v>171</v>
      </c>
      <c r="D263" s="12">
        <v>14.0</v>
      </c>
      <c r="E263" s="186">
        <v>1.0</v>
      </c>
      <c r="F263" s="186">
        <v>2.0</v>
      </c>
      <c r="G263" s="12">
        <v>41.0</v>
      </c>
      <c r="H263" s="12" t="s">
        <v>265</v>
      </c>
      <c r="I263" s="327" t="b">
        <v>1</v>
      </c>
      <c r="J263" s="12">
        <v>8.0</v>
      </c>
      <c r="K263" s="186">
        <v>11.0</v>
      </c>
      <c r="L263" s="186" t="str">
        <f>YEAR(NOW()) &amp; "-W" &amp; CONTROL_CENTER!$J$3</f>
        <v>2026-W19</v>
      </c>
    </row>
    <row r="264">
      <c r="A264" s="186">
        <v>263.0</v>
      </c>
      <c r="B264" s="12" t="s">
        <v>99</v>
      </c>
      <c r="C264" s="186" t="s">
        <v>420</v>
      </c>
      <c r="D264" s="12">
        <v>14.0</v>
      </c>
      <c r="E264" s="186">
        <v>0.0</v>
      </c>
      <c r="F264" s="186">
        <v>1.0</v>
      </c>
      <c r="G264" s="12">
        <v>42.0</v>
      </c>
      <c r="H264" s="12" t="s">
        <v>265</v>
      </c>
      <c r="I264" s="327" t="b">
        <v>1</v>
      </c>
      <c r="J264" s="12">
        <v>2.0</v>
      </c>
      <c r="K264" s="186">
        <v>11.0</v>
      </c>
      <c r="L264" s="186" t="str">
        <f>YEAR(NOW()) &amp; "-W" &amp; CONTROL_CENTER!$J$3</f>
        <v>2026-W19</v>
      </c>
    </row>
    <row r="265">
      <c r="A265" s="186">
        <v>264.0</v>
      </c>
      <c r="B265" s="12" t="s">
        <v>99</v>
      </c>
      <c r="C265" s="186" t="s">
        <v>77</v>
      </c>
      <c r="D265" s="12">
        <v>14.0</v>
      </c>
      <c r="E265" s="186">
        <v>0.0</v>
      </c>
      <c r="F265" s="186">
        <v>2.0</v>
      </c>
      <c r="G265" s="12">
        <v>42.0</v>
      </c>
      <c r="H265" s="12" t="s">
        <v>265</v>
      </c>
      <c r="I265" s="327" t="b">
        <v>1</v>
      </c>
      <c r="J265" s="12">
        <v>4.0</v>
      </c>
      <c r="K265" s="186">
        <v>11.0</v>
      </c>
      <c r="L265" s="186" t="str">
        <f>YEAR(NOW()) &amp; "-W" &amp; CONTROL_CENTER!$J$3</f>
        <v>2026-W19</v>
      </c>
    </row>
    <row r="266">
      <c r="A266" s="186">
        <v>265.0</v>
      </c>
      <c r="B266" s="12" t="s">
        <v>99</v>
      </c>
      <c r="C266" s="186" t="s">
        <v>421</v>
      </c>
      <c r="D266" s="12">
        <v>14.0</v>
      </c>
      <c r="E266" s="186">
        <v>2.0</v>
      </c>
      <c r="F266" s="186">
        <v>1.0</v>
      </c>
      <c r="G266" s="12">
        <v>43.0</v>
      </c>
      <c r="H266" s="12" t="s">
        <v>265</v>
      </c>
      <c r="I266" s="327" t="b">
        <v>1</v>
      </c>
      <c r="J266" s="12">
        <v>1.0</v>
      </c>
      <c r="K266" s="186">
        <v>11.0</v>
      </c>
      <c r="L266" s="186" t="str">
        <f>YEAR(NOW()) &amp; "-W" &amp; CONTROL_CENTER!$J$3</f>
        <v>2026-W19</v>
      </c>
    </row>
    <row r="267">
      <c r="A267" s="186">
        <v>266.0</v>
      </c>
      <c r="B267" s="12" t="s">
        <v>99</v>
      </c>
      <c r="C267" s="186" t="s">
        <v>150</v>
      </c>
      <c r="D267" s="12">
        <v>14.0</v>
      </c>
      <c r="E267" s="186">
        <v>2.0</v>
      </c>
      <c r="F267" s="186">
        <v>2.0</v>
      </c>
      <c r="G267" s="12">
        <v>43.0</v>
      </c>
      <c r="H267" s="12" t="s">
        <v>265</v>
      </c>
      <c r="I267" s="327" t="b">
        <v>1</v>
      </c>
      <c r="J267" s="12">
        <v>3.0</v>
      </c>
      <c r="K267" s="186">
        <v>11.0</v>
      </c>
      <c r="L267" s="186" t="str">
        <f>YEAR(NOW()) &amp; "-W" &amp; CONTROL_CENTER!$J$3</f>
        <v>2026-W19</v>
      </c>
    </row>
    <row r="268">
      <c r="A268" s="186">
        <v>267.0</v>
      </c>
      <c r="B268" s="12" t="s">
        <v>99</v>
      </c>
      <c r="C268" s="186" t="s">
        <v>422</v>
      </c>
      <c r="D268" s="12">
        <v>14.0</v>
      </c>
      <c r="E268" s="186">
        <v>1.0</v>
      </c>
      <c r="F268" s="186">
        <v>1.0</v>
      </c>
      <c r="G268" s="12">
        <v>44.0</v>
      </c>
      <c r="H268" s="12" t="s">
        <v>265</v>
      </c>
      <c r="I268" s="327" t="b">
        <v>1</v>
      </c>
      <c r="J268" s="12">
        <v>5.0</v>
      </c>
      <c r="K268" s="186">
        <v>11.0</v>
      </c>
      <c r="L268" s="186" t="str">
        <f>YEAR(NOW()) &amp; "-W" &amp; CONTROL_CENTER!$J$3</f>
        <v>2026-W19</v>
      </c>
    </row>
    <row r="269">
      <c r="A269" s="186">
        <v>268.0</v>
      </c>
      <c r="B269" s="12" t="s">
        <v>99</v>
      </c>
      <c r="C269" s="186" t="s">
        <v>212</v>
      </c>
      <c r="D269" s="12">
        <v>14.0</v>
      </c>
      <c r="E269" s="186">
        <v>1.0</v>
      </c>
      <c r="F269" s="186">
        <v>2.0</v>
      </c>
      <c r="G269" s="12">
        <v>44.0</v>
      </c>
      <c r="H269" s="12" t="s">
        <v>265</v>
      </c>
      <c r="I269" s="327" t="b">
        <v>1</v>
      </c>
      <c r="J269" s="12">
        <v>6.0</v>
      </c>
      <c r="K269" s="186">
        <v>11.0</v>
      </c>
      <c r="L269" s="186" t="str">
        <f>YEAR(NOW()) &amp; "-W" &amp; CONTROL_CENTER!$J$3</f>
        <v>2026-W19</v>
      </c>
    </row>
    <row r="270">
      <c r="A270" s="186">
        <v>269.0</v>
      </c>
      <c r="B270" s="12" t="s">
        <v>99</v>
      </c>
      <c r="C270" s="186" t="s">
        <v>423</v>
      </c>
      <c r="D270" s="12">
        <v>15.0</v>
      </c>
      <c r="E270" s="186">
        <v>0.0</v>
      </c>
      <c r="F270" s="186">
        <v>1.0</v>
      </c>
      <c r="G270" s="12">
        <v>45.0</v>
      </c>
      <c r="H270" s="12" t="s">
        <v>265</v>
      </c>
      <c r="I270" s="327" t="b">
        <v>0</v>
      </c>
      <c r="J270" s="12">
        <v>7.0</v>
      </c>
      <c r="K270" s="186">
        <v>12.0</v>
      </c>
      <c r="L270" s="186" t="str">
        <f>YEAR(NOW()) &amp; "-W" &amp; CONTROL_CENTER!$J$3</f>
        <v>2026-W19</v>
      </c>
    </row>
    <row r="271">
      <c r="A271" s="186">
        <v>270.0</v>
      </c>
      <c r="B271" s="12" t="s">
        <v>99</v>
      </c>
      <c r="C271" s="186" t="s">
        <v>424</v>
      </c>
      <c r="D271" s="12">
        <v>15.0</v>
      </c>
      <c r="E271" s="186">
        <v>0.0</v>
      </c>
      <c r="F271" s="186">
        <v>2.0</v>
      </c>
      <c r="G271" s="12">
        <v>45.0</v>
      </c>
      <c r="H271" s="12" t="s">
        <v>265</v>
      </c>
      <c r="I271" s="327" t="b">
        <v>0</v>
      </c>
      <c r="J271" s="12">
        <v>8.0</v>
      </c>
      <c r="K271" s="186">
        <v>12.0</v>
      </c>
      <c r="L271" s="186" t="str">
        <f>YEAR(NOW()) &amp; "-W" &amp; CONTROL_CENTER!$J$3</f>
        <v>2026-W19</v>
      </c>
    </row>
    <row r="272">
      <c r="A272" s="186">
        <v>271.0</v>
      </c>
      <c r="B272" s="12" t="s">
        <v>99</v>
      </c>
      <c r="C272" s="186" t="s">
        <v>425</v>
      </c>
      <c r="D272" s="12">
        <v>15.0</v>
      </c>
      <c r="E272" s="186">
        <v>2.0</v>
      </c>
      <c r="F272" s="186">
        <v>1.0</v>
      </c>
      <c r="G272" s="12">
        <v>46.0</v>
      </c>
      <c r="H272" s="12" t="s">
        <v>265</v>
      </c>
      <c r="I272" s="327" t="b">
        <v>0</v>
      </c>
      <c r="J272" s="12">
        <v>2.0</v>
      </c>
      <c r="K272" s="186">
        <v>12.0</v>
      </c>
      <c r="L272" s="186" t="str">
        <f>YEAR(NOW()) &amp; "-W" &amp; CONTROL_CENTER!$J$3</f>
        <v>2026-W19</v>
      </c>
    </row>
    <row r="273">
      <c r="A273" s="186">
        <v>272.0</v>
      </c>
      <c r="B273" s="12" t="s">
        <v>99</v>
      </c>
      <c r="C273" s="186" t="s">
        <v>426</v>
      </c>
      <c r="D273" s="12">
        <v>15.0</v>
      </c>
      <c r="E273" s="186">
        <v>2.0</v>
      </c>
      <c r="F273" s="186">
        <v>2.0</v>
      </c>
      <c r="G273" s="12">
        <v>46.0</v>
      </c>
      <c r="H273" s="12" t="s">
        <v>265</v>
      </c>
      <c r="I273" s="327" t="b">
        <v>0</v>
      </c>
      <c r="J273" s="12">
        <v>4.0</v>
      </c>
      <c r="K273" s="186">
        <v>12.0</v>
      </c>
      <c r="L273" s="186" t="str">
        <f>YEAR(NOW()) &amp; "-W" &amp; CONTROL_CENTER!$J$3</f>
        <v>2026-W19</v>
      </c>
    </row>
    <row r="274">
      <c r="A274" s="316">
        <v>273.0</v>
      </c>
      <c r="B274" s="12" t="s">
        <v>99</v>
      </c>
      <c r="C274" s="186" t="s">
        <v>427</v>
      </c>
      <c r="D274" s="12">
        <v>15.0</v>
      </c>
      <c r="E274" s="186">
        <v>1.0</v>
      </c>
      <c r="F274" s="186">
        <v>1.0</v>
      </c>
      <c r="G274" s="12">
        <v>47.0</v>
      </c>
      <c r="H274" s="12" t="s">
        <v>265</v>
      </c>
      <c r="I274" s="327" t="b">
        <v>0</v>
      </c>
      <c r="J274" s="12">
        <v>1.0</v>
      </c>
      <c r="K274" s="186">
        <v>12.0</v>
      </c>
      <c r="L274" s="186" t="str">
        <f>YEAR(NOW()) &amp; "-W" &amp; CONTROL_CENTER!$J$3</f>
        <v>2026-W19</v>
      </c>
    </row>
    <row r="275">
      <c r="A275" s="316">
        <v>274.0</v>
      </c>
      <c r="B275" s="12" t="s">
        <v>99</v>
      </c>
      <c r="C275" s="186" t="s">
        <v>428</v>
      </c>
      <c r="D275" s="12">
        <v>15.0</v>
      </c>
      <c r="E275" s="186">
        <v>1.0</v>
      </c>
      <c r="F275" s="186">
        <v>2.0</v>
      </c>
      <c r="G275" s="12">
        <v>47.0</v>
      </c>
      <c r="H275" s="12" t="s">
        <v>265</v>
      </c>
      <c r="I275" s="327" t="b">
        <v>0</v>
      </c>
      <c r="J275" s="12">
        <v>3.0</v>
      </c>
      <c r="K275" s="186">
        <v>12.0</v>
      </c>
      <c r="L275" s="186" t="str">
        <f>YEAR(NOW()) &amp; "-W" &amp; CONTROL_CENTER!$J$3</f>
        <v>2026-W19</v>
      </c>
    </row>
    <row r="276">
      <c r="A276" s="186">
        <v>275.0</v>
      </c>
      <c r="B276" s="12" t="s">
        <v>99</v>
      </c>
      <c r="C276" s="186" t="s">
        <v>429</v>
      </c>
      <c r="D276" s="12">
        <v>15.0</v>
      </c>
      <c r="E276" s="186">
        <v>0.0</v>
      </c>
      <c r="F276" s="186">
        <v>1.0</v>
      </c>
      <c r="G276" s="12">
        <v>48.0</v>
      </c>
      <c r="H276" s="12" t="s">
        <v>265</v>
      </c>
      <c r="I276" s="327" t="b">
        <v>0</v>
      </c>
      <c r="J276" s="12">
        <v>5.0</v>
      </c>
      <c r="K276" s="186">
        <v>12.0</v>
      </c>
      <c r="L276" s="186" t="str">
        <f>YEAR(NOW()) &amp; "-W" &amp; CONTROL_CENTER!$J$3</f>
        <v>2026-W19</v>
      </c>
    </row>
    <row r="277">
      <c r="A277" s="186">
        <v>276.0</v>
      </c>
      <c r="B277" s="12" t="s">
        <v>99</v>
      </c>
      <c r="C277" s="186" t="s">
        <v>430</v>
      </c>
      <c r="D277" s="12">
        <v>15.0</v>
      </c>
      <c r="E277" s="186">
        <v>0.0</v>
      </c>
      <c r="F277" s="186">
        <v>2.0</v>
      </c>
      <c r="G277" s="12">
        <v>48.0</v>
      </c>
      <c r="H277" s="12" t="s">
        <v>265</v>
      </c>
      <c r="I277" s="327" t="b">
        <v>0</v>
      </c>
      <c r="J277" s="12">
        <v>6.0</v>
      </c>
      <c r="K277" s="186">
        <v>12.0</v>
      </c>
      <c r="L277" s="186" t="str">
        <f>YEAR(NOW()) &amp; "-W" &amp; CONTROL_CENTER!$J$3</f>
        <v>2026-W19</v>
      </c>
    </row>
    <row r="278">
      <c r="A278" s="186">
        <v>277.0</v>
      </c>
      <c r="B278" s="12" t="s">
        <v>99</v>
      </c>
      <c r="C278" s="186" t="s">
        <v>431</v>
      </c>
      <c r="D278" s="12">
        <v>16.0</v>
      </c>
      <c r="E278" s="186">
        <v>2.0</v>
      </c>
      <c r="F278" s="186">
        <v>1.0</v>
      </c>
      <c r="G278" s="12">
        <v>49.0</v>
      </c>
      <c r="H278" s="12" t="s">
        <v>265</v>
      </c>
      <c r="I278" s="327" t="b">
        <v>1</v>
      </c>
      <c r="J278" s="12">
        <v>7.0</v>
      </c>
      <c r="K278" s="186">
        <v>13.0</v>
      </c>
      <c r="L278" s="186" t="str">
        <f>YEAR(NOW()) &amp; "-W" &amp; CONTROL_CENTER!$J$3</f>
        <v>2026-W19</v>
      </c>
    </row>
    <row r="279">
      <c r="A279" s="186">
        <v>278.0</v>
      </c>
      <c r="B279" s="12" t="s">
        <v>99</v>
      </c>
      <c r="C279" s="186" t="s">
        <v>153</v>
      </c>
      <c r="D279" s="12">
        <v>16.0</v>
      </c>
      <c r="E279" s="186">
        <v>2.0</v>
      </c>
      <c r="F279" s="186">
        <v>2.0</v>
      </c>
      <c r="G279" s="12">
        <v>49.0</v>
      </c>
      <c r="H279" s="12" t="s">
        <v>265</v>
      </c>
      <c r="I279" s="327" t="b">
        <v>1</v>
      </c>
      <c r="J279" s="12">
        <v>8.0</v>
      </c>
      <c r="K279" s="186">
        <v>13.0</v>
      </c>
      <c r="L279" s="186" t="str">
        <f>YEAR(NOW()) &amp; "-W" &amp; CONTROL_CENTER!$J$3</f>
        <v>2026-W19</v>
      </c>
    </row>
    <row r="280">
      <c r="A280" s="186">
        <v>279.0</v>
      </c>
      <c r="B280" s="12" t="s">
        <v>99</v>
      </c>
      <c r="C280" s="186" t="s">
        <v>78</v>
      </c>
      <c r="D280" s="12">
        <v>16.0</v>
      </c>
      <c r="E280" s="186">
        <v>1.0</v>
      </c>
      <c r="F280" s="186">
        <v>1.0</v>
      </c>
      <c r="G280" s="12">
        <v>50.0</v>
      </c>
      <c r="H280" s="12" t="s">
        <v>265</v>
      </c>
      <c r="I280" s="327" t="b">
        <v>1</v>
      </c>
      <c r="J280" s="12">
        <v>2.0</v>
      </c>
      <c r="K280" s="186">
        <v>13.0</v>
      </c>
      <c r="L280" s="186" t="str">
        <f>YEAR(NOW()) &amp; "-W" &amp; CONTROL_CENTER!$J$3</f>
        <v>2026-W19</v>
      </c>
    </row>
    <row r="281">
      <c r="A281" s="186">
        <v>280.0</v>
      </c>
      <c r="B281" s="12" t="s">
        <v>99</v>
      </c>
      <c r="C281" s="186" t="s">
        <v>214</v>
      </c>
      <c r="D281" s="12">
        <v>16.0</v>
      </c>
      <c r="E281" s="186">
        <v>1.0</v>
      </c>
      <c r="F281" s="186">
        <v>2.0</v>
      </c>
      <c r="G281" s="12">
        <v>50.0</v>
      </c>
      <c r="H281" s="12" t="s">
        <v>265</v>
      </c>
      <c r="I281" s="327" t="b">
        <v>1</v>
      </c>
      <c r="J281" s="12">
        <v>4.0</v>
      </c>
      <c r="K281" s="186">
        <v>13.0</v>
      </c>
      <c r="L281" s="186" t="str">
        <f>YEAR(NOW()) &amp; "-W" &amp; CONTROL_CENTER!$J$3</f>
        <v>2026-W19</v>
      </c>
    </row>
    <row r="282">
      <c r="A282" s="186">
        <v>281.0</v>
      </c>
      <c r="B282" s="12" t="s">
        <v>99</v>
      </c>
      <c r="C282" s="186" t="s">
        <v>432</v>
      </c>
      <c r="D282" s="12">
        <v>16.0</v>
      </c>
      <c r="E282" s="186">
        <v>0.0</v>
      </c>
      <c r="F282" s="186">
        <v>1.0</v>
      </c>
      <c r="G282" s="12">
        <v>51.0</v>
      </c>
      <c r="H282" s="12" t="s">
        <v>265</v>
      </c>
      <c r="I282" s="327" t="b">
        <v>1</v>
      </c>
      <c r="J282" s="12">
        <v>1.0</v>
      </c>
      <c r="K282" s="186">
        <v>13.0</v>
      </c>
      <c r="L282" s="186" t="str">
        <f>YEAR(NOW()) &amp; "-W" &amp; CONTROL_CENTER!$J$3</f>
        <v>2026-W19</v>
      </c>
    </row>
    <row r="283">
      <c r="A283" s="186">
        <v>282.0</v>
      </c>
      <c r="B283" s="12" t="s">
        <v>99</v>
      </c>
      <c r="C283" s="186" t="s">
        <v>318</v>
      </c>
      <c r="D283" s="12">
        <v>16.0</v>
      </c>
      <c r="F283" s="186">
        <v>2.0</v>
      </c>
      <c r="G283" s="12">
        <v>51.0</v>
      </c>
      <c r="H283" s="12" t="s">
        <v>265</v>
      </c>
      <c r="I283" s="327" t="b">
        <v>1</v>
      </c>
      <c r="J283" s="12">
        <v>3.0</v>
      </c>
      <c r="K283" s="186">
        <v>13.0</v>
      </c>
      <c r="L283" s="186" t="str">
        <f>YEAR(NOW()) &amp; "-W" &amp; CONTROL_CENTER!$J$3</f>
        <v>2026-W19</v>
      </c>
    </row>
    <row r="284">
      <c r="A284" s="186">
        <v>283.0</v>
      </c>
      <c r="B284" s="12" t="s">
        <v>99</v>
      </c>
      <c r="C284" s="186" t="s">
        <v>145</v>
      </c>
      <c r="D284" s="12">
        <v>16.0</v>
      </c>
      <c r="E284" s="186">
        <v>2.0</v>
      </c>
      <c r="F284" s="186">
        <v>1.0</v>
      </c>
      <c r="G284" s="12">
        <v>52.0</v>
      </c>
      <c r="H284" s="12" t="s">
        <v>265</v>
      </c>
      <c r="I284" s="327" t="b">
        <v>1</v>
      </c>
      <c r="J284" s="12">
        <v>5.0</v>
      </c>
      <c r="K284" s="186">
        <v>13.0</v>
      </c>
      <c r="L284" s="186" t="str">
        <f>YEAR(NOW()) &amp; "-W" &amp; CONTROL_CENTER!$J$3</f>
        <v>2026-W19</v>
      </c>
    </row>
    <row r="285">
      <c r="A285" s="186">
        <v>284.0</v>
      </c>
      <c r="B285" s="12" t="s">
        <v>99</v>
      </c>
      <c r="C285" s="186" t="s">
        <v>433</v>
      </c>
      <c r="D285" s="12">
        <v>16.0</v>
      </c>
      <c r="E285" s="186">
        <v>2.0</v>
      </c>
      <c r="F285" s="186">
        <v>2.0</v>
      </c>
      <c r="G285" s="12">
        <v>52.0</v>
      </c>
      <c r="H285" s="12" t="s">
        <v>265</v>
      </c>
      <c r="I285" s="327" t="b">
        <v>1</v>
      </c>
      <c r="J285" s="12">
        <v>6.0</v>
      </c>
      <c r="K285" s="186">
        <v>13.0</v>
      </c>
      <c r="L285" s="186" t="str">
        <f>YEAR(NOW()) &amp; "-W" &amp; CONTROL_CENTER!$J$3</f>
        <v>2026-W19</v>
      </c>
    </row>
    <row r="286">
      <c r="A286" s="186">
        <v>285.0</v>
      </c>
      <c r="B286" s="12" t="s">
        <v>99</v>
      </c>
      <c r="C286" s="186" t="s">
        <v>434</v>
      </c>
      <c r="D286" s="12">
        <v>17.0</v>
      </c>
      <c r="E286" s="186">
        <v>1.0</v>
      </c>
      <c r="F286" s="186">
        <v>1.0</v>
      </c>
      <c r="G286" s="12">
        <v>53.0</v>
      </c>
      <c r="H286" s="12" t="s">
        <v>265</v>
      </c>
      <c r="I286" s="327" t="b">
        <v>0</v>
      </c>
      <c r="J286" s="12">
        <v>7.0</v>
      </c>
      <c r="K286" s="186">
        <v>14.0</v>
      </c>
      <c r="L286" s="186" t="str">
        <f>YEAR(NOW()) &amp; "-W" &amp; CONTROL_CENTER!$J$3</f>
        <v>2026-W19</v>
      </c>
    </row>
    <row r="287">
      <c r="A287" s="186">
        <v>286.0</v>
      </c>
      <c r="B287" s="12" t="s">
        <v>99</v>
      </c>
      <c r="C287" s="186" t="s">
        <v>435</v>
      </c>
      <c r="D287" s="12">
        <v>17.0</v>
      </c>
      <c r="E287" s="186">
        <v>1.0</v>
      </c>
      <c r="F287" s="186">
        <v>2.0</v>
      </c>
      <c r="G287" s="12">
        <v>53.0</v>
      </c>
      <c r="H287" s="12" t="s">
        <v>265</v>
      </c>
      <c r="I287" s="327" t="b">
        <v>0</v>
      </c>
      <c r="J287" s="12">
        <v>8.0</v>
      </c>
      <c r="K287" s="186">
        <v>14.0</v>
      </c>
      <c r="L287" s="186" t="str">
        <f>YEAR(NOW()) &amp; "-W" &amp; CONTROL_CENTER!$J$3</f>
        <v>2026-W19</v>
      </c>
    </row>
    <row r="288">
      <c r="A288" s="186">
        <v>287.0</v>
      </c>
      <c r="B288" s="12" t="s">
        <v>99</v>
      </c>
      <c r="C288" s="186" t="s">
        <v>436</v>
      </c>
      <c r="D288" s="12">
        <v>17.0</v>
      </c>
      <c r="E288" s="186">
        <v>0.0</v>
      </c>
      <c r="F288" s="186">
        <v>1.0</v>
      </c>
      <c r="G288" s="12">
        <v>54.0</v>
      </c>
      <c r="H288" s="12" t="s">
        <v>265</v>
      </c>
      <c r="I288" s="327" t="b">
        <v>0</v>
      </c>
      <c r="J288" s="12">
        <v>2.0</v>
      </c>
      <c r="K288" s="186">
        <v>14.0</v>
      </c>
      <c r="L288" s="186" t="str">
        <f>YEAR(NOW()) &amp; "-W" &amp; CONTROL_CENTER!$J$3</f>
        <v>2026-W19</v>
      </c>
    </row>
    <row r="289">
      <c r="A289" s="186">
        <v>288.0</v>
      </c>
      <c r="B289" s="12" t="s">
        <v>99</v>
      </c>
      <c r="C289" s="186" t="s">
        <v>437</v>
      </c>
      <c r="D289" s="12">
        <v>17.0</v>
      </c>
      <c r="E289" s="186">
        <v>0.0</v>
      </c>
      <c r="F289" s="186">
        <v>2.0</v>
      </c>
      <c r="G289" s="12">
        <v>54.0</v>
      </c>
      <c r="H289" s="12" t="s">
        <v>265</v>
      </c>
      <c r="I289" s="327" t="b">
        <v>0</v>
      </c>
      <c r="J289" s="12">
        <v>4.0</v>
      </c>
      <c r="K289" s="186">
        <v>14.0</v>
      </c>
      <c r="L289" s="186" t="str">
        <f>YEAR(NOW()) &amp; "-W" &amp; CONTROL_CENTER!$J$3</f>
        <v>2026-W19</v>
      </c>
    </row>
    <row r="290">
      <c r="A290" s="186">
        <v>289.0</v>
      </c>
      <c r="B290" s="12" t="s">
        <v>99</v>
      </c>
      <c r="C290" s="186" t="s">
        <v>438</v>
      </c>
      <c r="D290" s="12">
        <v>17.0</v>
      </c>
      <c r="E290" s="186">
        <v>2.0</v>
      </c>
      <c r="F290" s="186">
        <v>1.0</v>
      </c>
      <c r="G290" s="12">
        <v>55.0</v>
      </c>
      <c r="H290" s="12" t="s">
        <v>265</v>
      </c>
      <c r="I290" s="327" t="b">
        <v>0</v>
      </c>
      <c r="J290" s="12">
        <v>1.0</v>
      </c>
      <c r="K290" s="186">
        <v>14.0</v>
      </c>
      <c r="L290" s="186" t="str">
        <f>YEAR(NOW()) &amp; "-W" &amp; CONTROL_CENTER!$J$3</f>
        <v>2026-W19</v>
      </c>
    </row>
    <row r="291">
      <c r="A291" s="186">
        <v>290.0</v>
      </c>
      <c r="B291" s="12" t="s">
        <v>99</v>
      </c>
      <c r="C291" s="186" t="s">
        <v>79</v>
      </c>
      <c r="D291" s="12">
        <v>17.0</v>
      </c>
      <c r="E291" s="186">
        <v>2.0</v>
      </c>
      <c r="F291" s="186">
        <v>2.0</v>
      </c>
      <c r="G291" s="12">
        <v>55.0</v>
      </c>
      <c r="H291" s="12" t="s">
        <v>265</v>
      </c>
      <c r="I291" s="327" t="b">
        <v>0</v>
      </c>
      <c r="J291" s="12">
        <v>3.0</v>
      </c>
      <c r="K291" s="186">
        <v>14.0</v>
      </c>
      <c r="L291" s="186" t="str">
        <f>YEAR(NOW()) &amp; "-W" &amp; CONTROL_CENTER!$J$3</f>
        <v>2026-W19</v>
      </c>
    </row>
    <row r="292">
      <c r="A292" s="186">
        <v>291.0</v>
      </c>
      <c r="B292" s="12" t="s">
        <v>99</v>
      </c>
      <c r="C292" s="186" t="s">
        <v>206</v>
      </c>
      <c r="D292" s="12">
        <v>17.0</v>
      </c>
      <c r="E292" s="186">
        <v>1.0</v>
      </c>
      <c r="F292" s="186">
        <v>1.0</v>
      </c>
      <c r="G292" s="12">
        <v>56.0</v>
      </c>
      <c r="H292" s="12" t="s">
        <v>265</v>
      </c>
      <c r="I292" s="327" t="b">
        <v>0</v>
      </c>
      <c r="J292" s="12">
        <v>5.0</v>
      </c>
      <c r="K292" s="186">
        <v>14.0</v>
      </c>
      <c r="L292" s="186" t="str">
        <f>YEAR(NOW()) &amp; "-W" &amp; CONTROL_CENTER!$J$3</f>
        <v>2026-W19</v>
      </c>
    </row>
    <row r="293">
      <c r="A293" s="186">
        <v>292.0</v>
      </c>
      <c r="B293" s="12" t="s">
        <v>99</v>
      </c>
      <c r="C293" s="186" t="s">
        <v>208</v>
      </c>
      <c r="D293" s="12">
        <v>17.0</v>
      </c>
      <c r="E293" s="186">
        <v>1.0</v>
      </c>
      <c r="F293" s="186">
        <v>2.0</v>
      </c>
      <c r="G293" s="12">
        <v>56.0</v>
      </c>
      <c r="H293" s="12" t="s">
        <v>265</v>
      </c>
      <c r="I293" s="327" t="b">
        <v>0</v>
      </c>
      <c r="J293" s="12">
        <v>6.0</v>
      </c>
      <c r="K293" s="186">
        <v>14.0</v>
      </c>
      <c r="L293" s="186" t="str">
        <f>YEAR(NOW()) &amp; "-W" &amp; CONTROL_CENTER!$J$3</f>
        <v>2026-W19</v>
      </c>
    </row>
    <row r="294">
      <c r="A294" s="316">
        <v>293.0</v>
      </c>
      <c r="B294" s="12" t="s">
        <v>99</v>
      </c>
      <c r="C294" s="186" t="s">
        <v>20</v>
      </c>
      <c r="D294" s="12">
        <v>18.0</v>
      </c>
      <c r="E294" s="186">
        <v>0.0</v>
      </c>
      <c r="F294" s="186">
        <v>1.0</v>
      </c>
      <c r="G294" s="12">
        <v>57.0</v>
      </c>
      <c r="H294" s="12" t="s">
        <v>265</v>
      </c>
      <c r="I294" s="327" t="b">
        <v>1</v>
      </c>
      <c r="J294" s="12">
        <v>7.0</v>
      </c>
      <c r="K294" s="186">
        <v>15.0</v>
      </c>
      <c r="L294" s="186" t="str">
        <f>YEAR(NOW()) &amp; "-W" &amp; CONTROL_CENTER!$J$3</f>
        <v>2026-W19</v>
      </c>
    </row>
    <row r="295">
      <c r="A295" s="316">
        <v>294.0</v>
      </c>
      <c r="B295" s="12" t="s">
        <v>99</v>
      </c>
      <c r="C295" s="186" t="s">
        <v>203</v>
      </c>
      <c r="D295" s="12">
        <v>18.0</v>
      </c>
      <c r="E295" s="186">
        <v>0.0</v>
      </c>
      <c r="F295" s="186">
        <v>2.0</v>
      </c>
      <c r="G295" s="12">
        <v>57.0</v>
      </c>
      <c r="H295" s="12" t="s">
        <v>265</v>
      </c>
      <c r="I295" s="327" t="b">
        <v>1</v>
      </c>
      <c r="J295" s="12">
        <v>8.0</v>
      </c>
      <c r="K295" s="186">
        <v>15.0</v>
      </c>
      <c r="L295" s="186" t="str">
        <f>YEAR(NOW()) &amp; "-W" &amp; CONTROL_CENTER!$J$3</f>
        <v>2026-W19</v>
      </c>
    </row>
    <row r="296">
      <c r="A296" s="186">
        <v>295.0</v>
      </c>
      <c r="B296" s="12" t="s">
        <v>99</v>
      </c>
      <c r="C296" s="186" t="s">
        <v>199</v>
      </c>
      <c r="D296" s="12">
        <v>18.0</v>
      </c>
      <c r="E296" s="186">
        <v>2.0</v>
      </c>
      <c r="F296" s="186">
        <v>1.0</v>
      </c>
      <c r="G296" s="12">
        <v>58.0</v>
      </c>
      <c r="H296" s="12" t="s">
        <v>265</v>
      </c>
      <c r="I296" s="327" t="b">
        <v>0</v>
      </c>
      <c r="J296" s="12">
        <v>2.0</v>
      </c>
      <c r="K296" s="186">
        <v>15.0</v>
      </c>
      <c r="L296" s="186" t="str">
        <f>YEAR(NOW()) &amp; "-W" &amp; CONTROL_CENTER!$J$3</f>
        <v>2026-W19</v>
      </c>
    </row>
    <row r="297">
      <c r="A297" s="186">
        <v>296.0</v>
      </c>
      <c r="B297" s="12" t="s">
        <v>99</v>
      </c>
      <c r="C297" s="186" t="s">
        <v>201</v>
      </c>
      <c r="D297" s="12">
        <v>18.0</v>
      </c>
      <c r="E297" s="186">
        <v>2.0</v>
      </c>
      <c r="F297" s="186">
        <v>2.0</v>
      </c>
      <c r="G297" s="12">
        <v>58.0</v>
      </c>
      <c r="H297" s="12" t="s">
        <v>265</v>
      </c>
      <c r="I297" s="327" t="b">
        <v>0</v>
      </c>
      <c r="J297" s="12">
        <v>4.0</v>
      </c>
      <c r="K297" s="186">
        <v>15.0</v>
      </c>
      <c r="L297" s="186" t="str">
        <f>YEAR(NOW()) &amp; "-W" &amp; CONTROL_CENTER!$J$3</f>
        <v>2026-W19</v>
      </c>
    </row>
    <row r="298">
      <c r="A298" s="186">
        <v>297.0</v>
      </c>
      <c r="B298" s="12" t="s">
        <v>99</v>
      </c>
      <c r="C298" s="186" t="s">
        <v>197</v>
      </c>
      <c r="D298" s="12">
        <v>18.0</v>
      </c>
      <c r="E298" s="186">
        <v>1.0</v>
      </c>
      <c r="F298" s="186">
        <v>1.0</v>
      </c>
      <c r="G298" s="12">
        <v>59.0</v>
      </c>
      <c r="H298" s="12" t="s">
        <v>265</v>
      </c>
      <c r="I298" s="327" t="b">
        <v>0</v>
      </c>
      <c r="J298" s="12">
        <v>1.0</v>
      </c>
      <c r="K298" s="186">
        <v>15.0</v>
      </c>
      <c r="L298" s="186" t="str">
        <f>YEAR(NOW()) &amp; "-W" &amp; CONTROL_CENTER!$J$3</f>
        <v>2026-W19</v>
      </c>
    </row>
    <row r="299">
      <c r="A299" s="186">
        <v>298.0</v>
      </c>
      <c r="B299" s="12" t="s">
        <v>99</v>
      </c>
      <c r="C299" s="186" t="s">
        <v>195</v>
      </c>
      <c r="D299" s="12">
        <v>18.0</v>
      </c>
      <c r="E299" s="186">
        <v>1.0</v>
      </c>
      <c r="F299" s="186">
        <v>2.0</v>
      </c>
      <c r="G299" s="12">
        <v>59.0</v>
      </c>
      <c r="H299" s="12" t="s">
        <v>265</v>
      </c>
      <c r="I299" s="327" t="b">
        <v>0</v>
      </c>
      <c r="J299" s="12">
        <v>3.0</v>
      </c>
      <c r="K299" s="186">
        <v>15.0</v>
      </c>
      <c r="L299" s="186" t="str">
        <f>YEAR(NOW()) &amp; "-W" &amp; CONTROL_CENTER!$J$3</f>
        <v>2026-W19</v>
      </c>
    </row>
    <row r="300">
      <c r="A300" s="186">
        <v>299.0</v>
      </c>
      <c r="B300" s="12" t="s">
        <v>99</v>
      </c>
      <c r="C300" s="186" t="s">
        <v>193</v>
      </c>
      <c r="D300" s="12">
        <v>18.0</v>
      </c>
      <c r="E300" s="186">
        <v>0.0</v>
      </c>
      <c r="F300" s="186">
        <v>1.0</v>
      </c>
      <c r="G300" s="12">
        <v>60.0</v>
      </c>
      <c r="H300" s="12" t="s">
        <v>265</v>
      </c>
      <c r="I300" s="327" t="b">
        <v>0</v>
      </c>
      <c r="J300" s="12">
        <v>5.0</v>
      </c>
      <c r="K300" s="186">
        <v>15.0</v>
      </c>
      <c r="L300" s="186" t="str">
        <f>YEAR(NOW()) &amp; "-W" &amp; CONTROL_CENTER!$J$3</f>
        <v>2026-W19</v>
      </c>
    </row>
    <row r="301">
      <c r="A301" s="186">
        <v>300.0</v>
      </c>
      <c r="B301" s="12" t="s">
        <v>99</v>
      </c>
      <c r="C301" s="186" t="s">
        <v>129</v>
      </c>
      <c r="D301" s="12">
        <v>18.0</v>
      </c>
      <c r="E301" s="186">
        <v>0.0</v>
      </c>
      <c r="F301" s="186">
        <v>2.0</v>
      </c>
      <c r="G301" s="12">
        <v>60.0</v>
      </c>
      <c r="H301" s="12" t="s">
        <v>265</v>
      </c>
      <c r="I301" s="327" t="b">
        <v>0</v>
      </c>
      <c r="J301" s="12">
        <v>6.0</v>
      </c>
      <c r="K301" s="186">
        <v>15.0</v>
      </c>
      <c r="L301" s="186" t="str">
        <f>YEAR(NOW()) &amp; "-W" &amp; CONTROL_CENTER!$J$3</f>
        <v>2026-W19</v>
      </c>
    </row>
    <row r="302">
      <c r="A302" s="186">
        <v>301.0</v>
      </c>
      <c r="B302" s="12" t="s">
        <v>99</v>
      </c>
      <c r="C302" s="186" t="s">
        <v>439</v>
      </c>
      <c r="D302" s="12">
        <v>19.0</v>
      </c>
      <c r="F302" s="186">
        <v>1.0</v>
      </c>
      <c r="G302" s="12">
        <v>61.0</v>
      </c>
      <c r="H302" s="186" t="s">
        <v>264</v>
      </c>
      <c r="I302" s="327" t="b">
        <v>0</v>
      </c>
      <c r="J302" s="12">
        <v>1.0</v>
      </c>
      <c r="K302" s="186">
        <v>16.0</v>
      </c>
      <c r="L302" s="186" t="str">
        <f>YEAR(NOW()) &amp; "-W" &amp; CONTROL_CENTER!$J$3</f>
        <v>2026-W19</v>
      </c>
    </row>
    <row r="303">
      <c r="A303" s="186">
        <v>302.0</v>
      </c>
      <c r="B303" s="12" t="s">
        <v>99</v>
      </c>
      <c r="C303" s="186" t="s">
        <v>440</v>
      </c>
      <c r="D303" s="12">
        <v>19.0</v>
      </c>
      <c r="E303" s="186" t="s">
        <v>236</v>
      </c>
      <c r="F303" s="186">
        <v>2.0</v>
      </c>
      <c r="G303" s="12">
        <v>61.0</v>
      </c>
      <c r="H303" s="186" t="s">
        <v>264</v>
      </c>
      <c r="I303" s="327" t="b">
        <v>0</v>
      </c>
      <c r="J303" s="12">
        <v>1.0</v>
      </c>
      <c r="K303" s="186">
        <v>16.0</v>
      </c>
      <c r="L303" s="186" t="str">
        <f>YEAR(NOW()) &amp; "-W" &amp; CONTROL_CENTER!$J$3</f>
        <v>2026-W19</v>
      </c>
    </row>
    <row r="304">
      <c r="A304" s="186">
        <v>303.0</v>
      </c>
      <c r="B304" s="12" t="s">
        <v>99</v>
      </c>
      <c r="C304" s="186" t="s">
        <v>441</v>
      </c>
      <c r="D304" s="12">
        <v>19.0</v>
      </c>
      <c r="F304" s="186">
        <v>3.0</v>
      </c>
      <c r="G304" s="12">
        <v>61.0</v>
      </c>
      <c r="H304" s="186" t="s">
        <v>264</v>
      </c>
      <c r="I304" s="327" t="b">
        <v>0</v>
      </c>
      <c r="J304" s="12">
        <v>1.0</v>
      </c>
      <c r="K304" s="186">
        <v>16.0</v>
      </c>
      <c r="L304" s="186" t="str">
        <f>YEAR(NOW()) &amp; "-W" &amp; CONTROL_CENTER!$J$3</f>
        <v>2026-W19</v>
      </c>
    </row>
    <row r="305">
      <c r="A305" s="186">
        <v>304.0</v>
      </c>
      <c r="B305" s="12" t="s">
        <v>99</v>
      </c>
      <c r="C305" s="186" t="s">
        <v>442</v>
      </c>
      <c r="D305" s="12">
        <v>19.0</v>
      </c>
      <c r="E305" s="186" t="s">
        <v>236</v>
      </c>
      <c r="F305" s="186">
        <v>4.0</v>
      </c>
      <c r="G305" s="12">
        <v>61.0</v>
      </c>
      <c r="H305" s="186" t="s">
        <v>264</v>
      </c>
      <c r="I305" s="327" t="b">
        <v>0</v>
      </c>
      <c r="J305" s="12">
        <v>1.0</v>
      </c>
      <c r="K305" s="186">
        <v>16.0</v>
      </c>
      <c r="L305" s="186" t="str">
        <f>YEAR(NOW()) &amp; "-W" &amp; CONTROL_CENTER!$J$3</f>
        <v>2026-W19</v>
      </c>
    </row>
    <row r="306">
      <c r="A306" s="186">
        <v>305.0</v>
      </c>
      <c r="B306" s="12" t="s">
        <v>99</v>
      </c>
      <c r="C306" s="186" t="s">
        <v>443</v>
      </c>
      <c r="D306" s="12">
        <v>19.0</v>
      </c>
      <c r="E306" s="186" t="s">
        <v>236</v>
      </c>
      <c r="F306" s="186">
        <v>1.0</v>
      </c>
      <c r="G306" s="321">
        <v>62.0</v>
      </c>
      <c r="H306" s="186" t="s">
        <v>264</v>
      </c>
      <c r="I306" s="327" t="b">
        <v>0</v>
      </c>
      <c r="J306" s="12">
        <v>1.0</v>
      </c>
      <c r="K306" s="186">
        <v>16.0</v>
      </c>
      <c r="L306" s="186" t="str">
        <f>YEAR(NOW()) &amp; "-W" &amp; CONTROL_CENTER!$J$3</f>
        <v>2026-W19</v>
      </c>
    </row>
    <row r="307">
      <c r="A307" s="186">
        <v>306.0</v>
      </c>
      <c r="B307" s="12" t="s">
        <v>99</v>
      </c>
      <c r="C307" s="186" t="s">
        <v>444</v>
      </c>
      <c r="D307" s="12">
        <v>19.0</v>
      </c>
      <c r="F307" s="186">
        <v>2.0</v>
      </c>
      <c r="G307" s="321">
        <v>62.0</v>
      </c>
      <c r="H307" s="186" t="s">
        <v>264</v>
      </c>
      <c r="I307" s="327" t="b">
        <v>0</v>
      </c>
      <c r="J307" s="12">
        <v>1.0</v>
      </c>
      <c r="K307" s="186">
        <v>16.0</v>
      </c>
      <c r="L307" s="186" t="str">
        <f>YEAR(NOW()) &amp; "-W" &amp; CONTROL_CENTER!$J$3</f>
        <v>2026-W19</v>
      </c>
    </row>
    <row r="308">
      <c r="A308" s="186">
        <v>307.0</v>
      </c>
      <c r="B308" s="12" t="s">
        <v>99</v>
      </c>
      <c r="C308" s="186" t="s">
        <v>445</v>
      </c>
      <c r="D308" s="12">
        <v>19.0</v>
      </c>
      <c r="F308" s="186">
        <v>3.0</v>
      </c>
      <c r="G308" s="321">
        <v>62.0</v>
      </c>
      <c r="H308" s="186" t="s">
        <v>264</v>
      </c>
      <c r="I308" s="327" t="b">
        <v>0</v>
      </c>
      <c r="J308" s="12">
        <v>1.0</v>
      </c>
      <c r="K308" s="186">
        <v>16.0</v>
      </c>
      <c r="L308" s="186" t="str">
        <f>YEAR(NOW()) &amp; "-W" &amp; CONTROL_CENTER!$J$3</f>
        <v>2026-W19</v>
      </c>
    </row>
    <row r="309">
      <c r="A309" s="186">
        <v>308.0</v>
      </c>
      <c r="B309" s="12" t="s">
        <v>99</v>
      </c>
      <c r="C309" s="186" t="s">
        <v>446</v>
      </c>
      <c r="D309" s="12">
        <v>19.0</v>
      </c>
      <c r="F309" s="186">
        <v>4.0</v>
      </c>
      <c r="G309" s="321">
        <v>62.0</v>
      </c>
      <c r="H309" s="186" t="s">
        <v>264</v>
      </c>
      <c r="I309" s="327" t="b">
        <v>0</v>
      </c>
      <c r="J309" s="12">
        <v>1.0</v>
      </c>
      <c r="K309" s="186">
        <v>16.0</v>
      </c>
      <c r="L309" s="186" t="str">
        <f>YEAR(NOW()) &amp; "-W" &amp; CONTROL_CENTER!$J$3</f>
        <v>2026-W19</v>
      </c>
    </row>
    <row r="310">
      <c r="A310" s="186">
        <v>309.0</v>
      </c>
      <c r="B310" s="12" t="s">
        <v>99</v>
      </c>
      <c r="C310" s="186" t="s">
        <v>447</v>
      </c>
      <c r="D310" s="12">
        <v>19.0</v>
      </c>
      <c r="F310" s="186">
        <v>1.0</v>
      </c>
      <c r="G310" s="321">
        <v>63.0</v>
      </c>
      <c r="H310" s="186" t="s">
        <v>264</v>
      </c>
      <c r="I310" s="327" t="b">
        <v>0</v>
      </c>
      <c r="J310" s="12">
        <v>1.0</v>
      </c>
      <c r="K310" s="186">
        <v>16.0</v>
      </c>
      <c r="L310" s="186" t="str">
        <f>YEAR(NOW()) &amp; "-W" &amp; CONTROL_CENTER!$J$3</f>
        <v>2026-W19</v>
      </c>
    </row>
    <row r="311">
      <c r="A311" s="186">
        <v>310.0</v>
      </c>
      <c r="B311" s="12" t="s">
        <v>99</v>
      </c>
      <c r="C311" s="186" t="s">
        <v>448</v>
      </c>
      <c r="D311" s="12">
        <v>19.0</v>
      </c>
      <c r="E311" s="186" t="s">
        <v>236</v>
      </c>
      <c r="F311" s="186">
        <v>2.0</v>
      </c>
      <c r="G311" s="321">
        <v>63.0</v>
      </c>
      <c r="H311" s="186" t="s">
        <v>264</v>
      </c>
      <c r="I311" s="327" t="b">
        <v>0</v>
      </c>
      <c r="J311" s="12">
        <v>1.0</v>
      </c>
      <c r="K311" s="186">
        <v>16.0</v>
      </c>
      <c r="L311" s="186" t="str">
        <f>YEAR(NOW()) &amp; "-W" &amp; CONTROL_CENTER!$J$3</f>
        <v>2026-W19</v>
      </c>
    </row>
    <row r="312">
      <c r="A312" s="186">
        <v>311.0</v>
      </c>
      <c r="B312" s="12" t="s">
        <v>99</v>
      </c>
      <c r="C312" s="186" t="s">
        <v>449</v>
      </c>
      <c r="D312" s="12">
        <v>19.0</v>
      </c>
      <c r="F312" s="186">
        <v>3.0</v>
      </c>
      <c r="G312" s="321">
        <v>63.0</v>
      </c>
      <c r="H312" s="186" t="s">
        <v>264</v>
      </c>
      <c r="I312" s="327" t="b">
        <v>0</v>
      </c>
      <c r="J312" s="12">
        <v>1.0</v>
      </c>
      <c r="K312" s="186">
        <v>16.0</v>
      </c>
      <c r="L312" s="186" t="str">
        <f>YEAR(NOW()) &amp; "-W" &amp; CONTROL_CENTER!$J$3</f>
        <v>2026-W19</v>
      </c>
    </row>
    <row r="313">
      <c r="A313" s="186">
        <v>312.0</v>
      </c>
      <c r="B313" s="12" t="s">
        <v>99</v>
      </c>
      <c r="C313" s="186" t="s">
        <v>450</v>
      </c>
      <c r="D313" s="12">
        <v>19.0</v>
      </c>
      <c r="E313" s="186" t="s">
        <v>236</v>
      </c>
      <c r="F313" s="186">
        <v>4.0</v>
      </c>
      <c r="G313" s="321">
        <v>63.0</v>
      </c>
      <c r="H313" s="186" t="s">
        <v>264</v>
      </c>
      <c r="I313" s="327" t="b">
        <v>0</v>
      </c>
      <c r="J313" s="12">
        <v>1.0</v>
      </c>
      <c r="K313" s="186">
        <v>16.0</v>
      </c>
      <c r="L313" s="186" t="str">
        <f>YEAR(NOW()) &amp; "-W" &amp; CONTROL_CENTER!$J$3</f>
        <v>2026-W19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14.75"/>
    <col customWidth="1" min="3" max="3" width="47.75"/>
    <col customWidth="1" min="4" max="4" width="45.38"/>
    <col customWidth="1" min="7" max="7" width="10.5"/>
  </cols>
  <sheetData>
    <row r="1">
      <c r="A1" s="328" t="s">
        <v>29</v>
      </c>
      <c r="B1" s="329" t="s">
        <v>30</v>
      </c>
      <c r="C1" s="329" t="s">
        <v>31</v>
      </c>
      <c r="D1" s="329" t="s">
        <v>32</v>
      </c>
      <c r="E1" s="329" t="s">
        <v>33</v>
      </c>
      <c r="F1" s="329" t="s">
        <v>34</v>
      </c>
      <c r="G1" s="329" t="s">
        <v>35</v>
      </c>
    </row>
    <row r="2">
      <c r="B2" s="284"/>
      <c r="C2" s="284"/>
      <c r="D2" s="284"/>
      <c r="E2" s="330"/>
      <c r="F2" s="331"/>
      <c r="G2" s="331"/>
    </row>
    <row r="3">
      <c r="A3" s="330"/>
      <c r="B3" s="284"/>
      <c r="C3" s="284"/>
      <c r="D3" s="284"/>
      <c r="E3" s="330"/>
      <c r="F3" s="331"/>
      <c r="G3" s="331"/>
    </row>
    <row r="4">
      <c r="A4" s="330"/>
      <c r="B4" s="284"/>
      <c r="C4" s="284"/>
      <c r="D4" s="284"/>
      <c r="E4" s="330"/>
      <c r="F4" s="331"/>
      <c r="G4" s="331"/>
    </row>
    <row r="5">
      <c r="A5" s="330"/>
      <c r="B5" s="284"/>
      <c r="C5" s="284"/>
      <c r="D5" s="284"/>
      <c r="E5" s="330"/>
      <c r="F5" s="331"/>
      <c r="G5" s="331"/>
    </row>
    <row r="6">
      <c r="A6" s="330"/>
      <c r="B6" s="284"/>
      <c r="C6" s="284"/>
      <c r="D6" s="284"/>
      <c r="E6" s="330"/>
      <c r="F6" s="331"/>
      <c r="G6" s="331"/>
    </row>
    <row r="7">
      <c r="A7" s="330"/>
      <c r="B7" s="284"/>
      <c r="C7" s="284"/>
      <c r="D7" s="284"/>
      <c r="E7" s="330"/>
      <c r="F7" s="331"/>
      <c r="G7" s="331"/>
    </row>
    <row r="8">
      <c r="A8" s="330"/>
      <c r="B8" s="284"/>
      <c r="C8" s="284"/>
      <c r="D8" s="284"/>
      <c r="E8" s="330"/>
      <c r="F8" s="331"/>
      <c r="G8" s="331"/>
    </row>
    <row r="9">
      <c r="A9" s="330"/>
      <c r="B9" s="284"/>
      <c r="C9" s="284"/>
      <c r="D9" s="284"/>
      <c r="E9" s="330"/>
      <c r="F9" s="331"/>
      <c r="G9" s="331"/>
    </row>
    <row r="10">
      <c r="A10" s="330"/>
      <c r="B10" s="284"/>
      <c r="C10" s="284"/>
      <c r="D10" s="284"/>
      <c r="E10" s="330"/>
      <c r="F10" s="331"/>
      <c r="G10" s="331"/>
    </row>
    <row r="11">
      <c r="A11" s="330"/>
      <c r="B11" s="284"/>
      <c r="C11" s="284"/>
      <c r="D11" s="284"/>
      <c r="E11" s="330"/>
      <c r="F11" s="331"/>
      <c r="G11" s="331"/>
    </row>
    <row r="12">
      <c r="A12" s="330"/>
      <c r="B12" s="284"/>
      <c r="C12" s="284"/>
      <c r="D12" s="284"/>
      <c r="E12" s="330"/>
      <c r="F12" s="331"/>
      <c r="G12" s="331"/>
    </row>
    <row r="13">
      <c r="A13" s="330"/>
      <c r="B13" s="284"/>
      <c r="C13" s="284"/>
      <c r="D13" s="284"/>
      <c r="E13" s="330"/>
      <c r="F13" s="331"/>
      <c r="G13" s="331"/>
    </row>
    <row r="14">
      <c r="A14" s="330"/>
      <c r="B14" s="284"/>
      <c r="C14" s="284"/>
      <c r="D14" s="284"/>
      <c r="E14" s="330"/>
      <c r="F14" s="331"/>
      <c r="G14" s="331"/>
    </row>
    <row r="15">
      <c r="A15" s="330"/>
      <c r="B15" s="284"/>
      <c r="C15" s="284"/>
      <c r="D15" s="284"/>
      <c r="E15" s="330"/>
      <c r="F15" s="331"/>
      <c r="G15" s="331"/>
    </row>
    <row r="16">
      <c r="A16" s="330"/>
      <c r="E16" s="330"/>
      <c r="F16" s="331"/>
      <c r="G16" s="331"/>
    </row>
    <row r="17">
      <c r="A17" s="330"/>
      <c r="B17" s="284"/>
      <c r="C17" s="284"/>
      <c r="D17" s="284"/>
      <c r="E17" s="330"/>
      <c r="F17" s="331"/>
      <c r="G17" s="331"/>
    </row>
    <row r="18">
      <c r="A18" s="330"/>
      <c r="B18" s="284"/>
      <c r="C18" s="284"/>
      <c r="D18" s="284"/>
      <c r="E18" s="330"/>
      <c r="F18" s="331"/>
      <c r="G18" s="331"/>
      <c r="J18" s="331"/>
      <c r="K18" s="285"/>
      <c r="L18" s="285"/>
      <c r="M18" s="285"/>
      <c r="N18" s="331"/>
      <c r="O18" s="284"/>
    </row>
    <row r="19">
      <c r="A19" s="330"/>
      <c r="B19" s="284"/>
      <c r="C19" s="284"/>
      <c r="D19" s="284"/>
      <c r="E19" s="330"/>
      <c r="F19" s="331"/>
      <c r="G19" s="331"/>
      <c r="J19" s="331"/>
      <c r="K19" s="285"/>
      <c r="L19" s="285"/>
      <c r="M19" s="285"/>
      <c r="N19" s="331"/>
      <c r="O19" s="284"/>
    </row>
    <row r="20">
      <c r="A20" s="330"/>
      <c r="B20" s="284"/>
      <c r="C20" s="284"/>
      <c r="D20" s="284"/>
      <c r="E20" s="330"/>
      <c r="F20" s="331"/>
      <c r="G20" s="331"/>
    </row>
    <row r="21">
      <c r="A21" s="330"/>
      <c r="B21" s="284"/>
      <c r="C21" s="284"/>
      <c r="D21" s="284"/>
      <c r="E21" s="330"/>
      <c r="F21" s="331"/>
      <c r="G21" s="331"/>
    </row>
    <row r="22">
      <c r="A22" s="330"/>
      <c r="B22" s="284"/>
      <c r="C22" s="284"/>
      <c r="D22" s="284"/>
      <c r="E22" s="330"/>
      <c r="F22" s="331"/>
      <c r="G22" s="331"/>
    </row>
    <row r="23">
      <c r="A23" s="330"/>
      <c r="B23" s="284"/>
      <c r="C23" s="284"/>
      <c r="D23" s="284"/>
      <c r="E23" s="330"/>
      <c r="F23" s="331"/>
      <c r="G23" s="331"/>
    </row>
    <row r="24">
      <c r="A24" s="331"/>
      <c r="B24" s="285"/>
      <c r="C24" s="285"/>
      <c r="D24" s="285"/>
      <c r="E24" s="331"/>
      <c r="F24" s="331"/>
      <c r="G24" s="331"/>
    </row>
    <row r="25">
      <c r="A25" s="331"/>
      <c r="B25" s="285"/>
      <c r="C25" s="285"/>
      <c r="D25" s="285"/>
      <c r="E25" s="331"/>
      <c r="F25" s="331"/>
      <c r="G25" s="331"/>
    </row>
    <row r="26">
      <c r="A26" s="331"/>
      <c r="B26" s="285"/>
      <c r="C26" s="285"/>
      <c r="D26" s="285"/>
      <c r="E26" s="331"/>
      <c r="F26" s="331"/>
      <c r="G26" s="331"/>
    </row>
    <row r="27">
      <c r="A27" s="331"/>
      <c r="B27" s="285"/>
      <c r="C27" s="285"/>
      <c r="D27" s="285"/>
      <c r="E27" s="331"/>
      <c r="F27" s="331"/>
      <c r="G27" s="331"/>
    </row>
    <row r="28">
      <c r="A28" s="331"/>
      <c r="B28" s="285"/>
      <c r="C28" s="285"/>
      <c r="D28" s="285"/>
      <c r="E28" s="331"/>
      <c r="F28" s="331"/>
      <c r="G28" s="331"/>
    </row>
    <row r="29">
      <c r="A29" s="331"/>
      <c r="B29" s="285"/>
      <c r="C29" s="285"/>
      <c r="D29" s="285"/>
      <c r="E29" s="331"/>
      <c r="F29" s="331"/>
      <c r="G29" s="331"/>
    </row>
    <row r="30">
      <c r="A30" s="331"/>
      <c r="B30" s="285"/>
      <c r="C30" s="285"/>
      <c r="D30" s="285"/>
      <c r="E30" s="331"/>
      <c r="F30" s="331"/>
      <c r="G30" s="331"/>
    </row>
    <row r="31">
      <c r="A31" s="331"/>
      <c r="B31" s="285"/>
      <c r="C31" s="285"/>
      <c r="D31" s="285"/>
      <c r="E31" s="331"/>
      <c r="F31" s="331"/>
      <c r="G31" s="331"/>
    </row>
    <row r="32">
      <c r="A32" s="331"/>
      <c r="B32" s="285"/>
      <c r="C32" s="285"/>
      <c r="D32" s="285"/>
      <c r="E32" s="331"/>
      <c r="F32" s="331"/>
      <c r="G32" s="331"/>
    </row>
    <row r="33">
      <c r="A33" s="331"/>
      <c r="B33" s="285"/>
      <c r="C33" s="285"/>
      <c r="D33" s="285"/>
      <c r="E33" s="331"/>
      <c r="F33" s="331"/>
      <c r="G33" s="331"/>
    </row>
    <row r="34">
      <c r="A34" s="331"/>
      <c r="B34" s="285"/>
      <c r="C34" s="285"/>
      <c r="D34" s="285"/>
      <c r="E34" s="331"/>
      <c r="F34" s="331"/>
      <c r="G34" s="331"/>
    </row>
    <row r="35">
      <c r="A35" s="331"/>
      <c r="B35" s="285"/>
      <c r="C35" s="285"/>
      <c r="D35" s="285"/>
      <c r="E35" s="331"/>
      <c r="F35" s="331"/>
      <c r="G35" s="331"/>
      <c r="I35" s="331"/>
      <c r="J35" s="331"/>
      <c r="K35" s="285"/>
      <c r="L35" s="285"/>
      <c r="M35" s="285"/>
      <c r="N35" s="331"/>
      <c r="O35" s="284"/>
    </row>
    <row r="36">
      <c r="A36" s="331"/>
      <c r="B36" s="285"/>
      <c r="C36" s="285"/>
      <c r="D36" s="285"/>
      <c r="E36" s="331"/>
      <c r="F36" s="331"/>
      <c r="G36" s="331"/>
    </row>
    <row r="37">
      <c r="A37" s="331"/>
      <c r="B37" s="285"/>
      <c r="C37" s="285"/>
      <c r="D37" s="285"/>
      <c r="E37" s="331"/>
      <c r="F37" s="331"/>
      <c r="G37" s="331"/>
    </row>
    <row r="38">
      <c r="A38" s="331"/>
      <c r="B38" s="285"/>
      <c r="C38" s="285"/>
      <c r="D38" s="285"/>
      <c r="E38" s="331"/>
      <c r="F38" s="331"/>
      <c r="G38" s="331"/>
    </row>
    <row r="39">
      <c r="A39" s="331"/>
      <c r="B39" s="285"/>
      <c r="C39" s="285"/>
      <c r="D39" s="285"/>
      <c r="E39" s="331"/>
      <c r="F39" s="331"/>
      <c r="G39" s="331"/>
    </row>
    <row r="40">
      <c r="A40" s="331"/>
      <c r="B40" s="285"/>
      <c r="C40" s="285"/>
      <c r="D40" s="285"/>
      <c r="E40" s="331"/>
      <c r="F40" s="331"/>
      <c r="G40" s="331"/>
    </row>
    <row r="41">
      <c r="A41" s="331"/>
      <c r="B41" s="285"/>
      <c r="C41" s="285"/>
      <c r="D41" s="285"/>
      <c r="E41" s="331"/>
      <c r="F41" s="331"/>
      <c r="G41" s="331"/>
    </row>
    <row r="42">
      <c r="A42" s="331"/>
      <c r="B42" s="285"/>
      <c r="C42" s="285"/>
      <c r="D42" s="285"/>
      <c r="E42" s="331"/>
      <c r="F42" s="331"/>
      <c r="G42" s="331"/>
    </row>
    <row r="43">
      <c r="A43" s="331"/>
      <c r="B43" s="285"/>
      <c r="C43" s="285"/>
      <c r="D43" s="285"/>
      <c r="E43" s="331"/>
      <c r="F43" s="331"/>
      <c r="G43" s="331"/>
    </row>
    <row r="44">
      <c r="A44" s="331"/>
      <c r="B44" s="285"/>
      <c r="C44" s="285"/>
      <c r="D44" s="285"/>
      <c r="E44" s="331"/>
      <c r="F44" s="331"/>
      <c r="G44" s="331"/>
    </row>
    <row r="45">
      <c r="A45" s="331"/>
      <c r="B45" s="285"/>
      <c r="C45" s="285"/>
      <c r="D45" s="285"/>
      <c r="E45" s="331"/>
      <c r="F45" s="331"/>
      <c r="G45" s="331"/>
    </row>
    <row r="46">
      <c r="A46" s="331"/>
      <c r="B46" s="285"/>
      <c r="C46" s="285"/>
      <c r="D46" s="285"/>
      <c r="E46" s="331"/>
      <c r="F46" s="331"/>
      <c r="G46" s="331"/>
    </row>
    <row r="47">
      <c r="A47" s="331"/>
      <c r="B47" s="285"/>
      <c r="C47" s="285"/>
      <c r="D47" s="285"/>
      <c r="E47" s="331"/>
      <c r="F47" s="331"/>
      <c r="G47" s="331"/>
    </row>
    <row r="48">
      <c r="A48" s="331"/>
      <c r="B48" s="285"/>
      <c r="C48" s="285"/>
      <c r="D48" s="285"/>
      <c r="E48" s="331"/>
      <c r="F48" s="331"/>
      <c r="G48" s="331"/>
    </row>
    <row r="49">
      <c r="A49" s="331"/>
      <c r="B49" s="285"/>
      <c r="C49" s="285"/>
      <c r="D49" s="285"/>
      <c r="E49" s="331"/>
      <c r="F49" s="331"/>
      <c r="G49" s="331"/>
    </row>
    <row r="50">
      <c r="A50" s="331"/>
      <c r="B50" s="285"/>
      <c r="C50" s="285"/>
      <c r="D50" s="285"/>
      <c r="E50" s="331"/>
      <c r="F50" s="331"/>
      <c r="G50" s="331"/>
    </row>
    <row r="51">
      <c r="A51" s="331"/>
      <c r="B51" s="285"/>
      <c r="C51" s="285"/>
      <c r="D51" s="285"/>
      <c r="E51" s="331"/>
      <c r="F51" s="331"/>
      <c r="G51" s="331"/>
    </row>
    <row r="52">
      <c r="A52" s="331"/>
      <c r="B52" s="285"/>
      <c r="C52" s="285"/>
      <c r="D52" s="285"/>
      <c r="E52" s="331"/>
      <c r="F52" s="331"/>
      <c r="G52" s="331"/>
    </row>
    <row r="53">
      <c r="A53" s="331"/>
      <c r="B53" s="285"/>
      <c r="C53" s="285"/>
      <c r="D53" s="285"/>
      <c r="E53" s="331"/>
      <c r="F53" s="331"/>
      <c r="G53" s="331"/>
    </row>
    <row r="54">
      <c r="A54" s="331"/>
      <c r="B54" s="285"/>
      <c r="C54" s="285"/>
      <c r="D54" s="285"/>
      <c r="E54" s="331"/>
      <c r="F54" s="331"/>
      <c r="G54" s="331"/>
      <c r="I54" s="331"/>
      <c r="J54" s="331"/>
      <c r="K54" s="285"/>
      <c r="L54" s="285"/>
      <c r="M54" s="285"/>
      <c r="N54" s="331"/>
      <c r="O54" s="284"/>
    </row>
    <row r="55">
      <c r="A55" s="331"/>
      <c r="B55" s="285"/>
      <c r="C55" s="285"/>
      <c r="D55" s="285"/>
      <c r="E55" s="331"/>
      <c r="F55" s="331"/>
      <c r="G55" s="331"/>
    </row>
    <row r="56">
      <c r="A56" s="331"/>
      <c r="B56" s="285"/>
      <c r="C56" s="285"/>
      <c r="D56" s="285"/>
      <c r="E56" s="331"/>
      <c r="F56" s="331"/>
      <c r="G56" s="331"/>
    </row>
    <row r="57">
      <c r="A57" s="331"/>
      <c r="B57" s="285"/>
      <c r="C57" s="285"/>
      <c r="D57" s="285"/>
      <c r="E57" s="331"/>
      <c r="F57" s="331"/>
      <c r="G57" s="331"/>
    </row>
    <row r="58">
      <c r="A58" s="331"/>
      <c r="B58" s="285"/>
      <c r="C58" s="285"/>
      <c r="D58" s="285"/>
      <c r="E58" s="331"/>
      <c r="F58" s="331"/>
      <c r="G58" s="331"/>
    </row>
    <row r="59">
      <c r="A59" s="331"/>
      <c r="B59" s="285"/>
      <c r="C59" s="285"/>
      <c r="D59" s="285"/>
      <c r="E59" s="331"/>
      <c r="F59" s="331"/>
      <c r="G59" s="331"/>
    </row>
    <row r="60">
      <c r="A60" s="331"/>
      <c r="B60" s="285"/>
      <c r="C60" s="285"/>
      <c r="D60" s="285"/>
      <c r="E60" s="331"/>
      <c r="F60" s="331"/>
      <c r="G60" s="331"/>
    </row>
    <row r="61">
      <c r="A61" s="331"/>
      <c r="B61" s="285"/>
      <c r="C61" s="285"/>
      <c r="D61" s="285"/>
      <c r="E61" s="331"/>
      <c r="F61" s="331"/>
      <c r="G61" s="331"/>
    </row>
    <row r="62">
      <c r="A62" s="331"/>
      <c r="B62" s="285"/>
      <c r="C62" s="285"/>
      <c r="D62" s="285"/>
      <c r="E62" s="331"/>
      <c r="F62" s="331"/>
      <c r="G62" s="331"/>
    </row>
    <row r="63">
      <c r="A63" s="331"/>
      <c r="B63" s="285"/>
      <c r="C63" s="285"/>
      <c r="D63" s="285"/>
      <c r="E63" s="331"/>
      <c r="F63" s="331"/>
      <c r="G63" s="331"/>
    </row>
    <row r="64">
      <c r="A64" s="331"/>
      <c r="B64" s="285"/>
      <c r="C64" s="285"/>
      <c r="D64" s="285"/>
      <c r="E64" s="331"/>
      <c r="F64" s="331"/>
      <c r="G64" s="331"/>
    </row>
    <row r="65">
      <c r="A65" s="331"/>
      <c r="B65" s="285"/>
      <c r="C65" s="285"/>
      <c r="D65" s="285"/>
      <c r="E65" s="331"/>
      <c r="F65" s="331"/>
      <c r="G65" s="331"/>
    </row>
    <row r="66">
      <c r="A66" s="331"/>
      <c r="B66" s="285"/>
      <c r="C66" s="285"/>
      <c r="D66" s="285"/>
      <c r="E66" s="331"/>
      <c r="F66" s="331"/>
      <c r="G66" s="331"/>
    </row>
    <row r="67">
      <c r="A67" s="331"/>
      <c r="B67" s="285"/>
      <c r="C67" s="285"/>
      <c r="D67" s="285"/>
      <c r="E67" s="331"/>
      <c r="F67" s="331"/>
      <c r="G67" s="331"/>
    </row>
    <row r="68">
      <c r="A68" s="331"/>
      <c r="B68" s="285"/>
      <c r="C68" s="285"/>
      <c r="D68" s="285"/>
      <c r="E68" s="331"/>
      <c r="F68" s="331"/>
      <c r="G68" s="331"/>
    </row>
    <row r="69">
      <c r="A69" s="331"/>
      <c r="B69" s="285"/>
      <c r="C69" s="285"/>
      <c r="D69" s="285"/>
      <c r="E69" s="331"/>
      <c r="F69" s="331"/>
      <c r="G69" s="331"/>
    </row>
    <row r="70">
      <c r="A70" s="331"/>
      <c r="B70" s="285"/>
      <c r="C70" s="285"/>
      <c r="D70" s="285"/>
      <c r="E70" s="331"/>
      <c r="F70" s="331"/>
      <c r="G70" s="331"/>
    </row>
    <row r="71">
      <c r="A71" s="331"/>
      <c r="B71" s="285"/>
      <c r="C71" s="285"/>
      <c r="D71" s="285"/>
      <c r="E71" s="331"/>
      <c r="F71" s="331"/>
      <c r="G71" s="331"/>
    </row>
    <row r="72">
      <c r="A72" s="331"/>
      <c r="B72" s="285"/>
      <c r="C72" s="285"/>
      <c r="D72" s="285"/>
      <c r="E72" s="331"/>
      <c r="F72" s="331"/>
      <c r="G72" s="331"/>
    </row>
    <row r="73">
      <c r="A73" s="331"/>
      <c r="B73" s="285"/>
      <c r="C73" s="285"/>
      <c r="D73" s="285"/>
      <c r="E73" s="331"/>
      <c r="F73" s="331"/>
      <c r="G73" s="331"/>
    </row>
    <row r="74">
      <c r="A74" s="331"/>
      <c r="B74" s="285"/>
      <c r="C74" s="285"/>
      <c r="D74" s="285"/>
      <c r="E74" s="331"/>
      <c r="F74" s="331"/>
      <c r="G74" s="331"/>
    </row>
    <row r="75">
      <c r="A75" s="331"/>
      <c r="B75" s="285"/>
      <c r="C75" s="285"/>
      <c r="D75" s="285"/>
      <c r="E75" s="331"/>
      <c r="F75" s="331"/>
      <c r="G75" s="331"/>
    </row>
    <row r="76">
      <c r="A76" s="331"/>
      <c r="B76" s="285"/>
      <c r="C76" s="285"/>
      <c r="D76" s="285"/>
      <c r="E76" s="331"/>
      <c r="F76" s="331"/>
      <c r="G76" s="331"/>
    </row>
    <row r="77">
      <c r="A77" s="331"/>
      <c r="B77" s="285"/>
      <c r="C77" s="285"/>
      <c r="D77" s="285"/>
      <c r="E77" s="331"/>
      <c r="F77" s="331"/>
      <c r="G77" s="331"/>
    </row>
    <row r="78">
      <c r="A78" s="331"/>
      <c r="B78" s="285"/>
      <c r="C78" s="285"/>
      <c r="D78" s="285"/>
      <c r="E78" s="331"/>
      <c r="F78" s="331"/>
      <c r="G78" s="331"/>
    </row>
    <row r="79">
      <c r="A79" s="331"/>
      <c r="B79" s="285"/>
      <c r="C79" s="285"/>
      <c r="D79" s="285"/>
      <c r="E79" s="331"/>
      <c r="F79" s="331"/>
      <c r="G79" s="331"/>
    </row>
    <row r="80">
      <c r="A80" s="331"/>
      <c r="B80" s="285"/>
      <c r="C80" s="285"/>
      <c r="D80" s="285"/>
      <c r="E80" s="331"/>
      <c r="F80" s="331"/>
      <c r="G80" s="331"/>
    </row>
    <row r="81">
      <c r="A81" s="331"/>
      <c r="B81" s="285"/>
      <c r="C81" s="285"/>
      <c r="D81" s="285"/>
      <c r="E81" s="331"/>
      <c r="F81" s="331"/>
      <c r="G81" s="331"/>
    </row>
    <row r="82">
      <c r="A82" s="331"/>
      <c r="B82" s="285"/>
      <c r="C82" s="285"/>
      <c r="D82" s="285"/>
      <c r="E82" s="331"/>
      <c r="F82" s="331"/>
      <c r="G82" s="331"/>
    </row>
    <row r="83">
      <c r="A83" s="331"/>
      <c r="B83" s="285"/>
      <c r="C83" s="285"/>
      <c r="D83" s="285"/>
      <c r="E83" s="331"/>
      <c r="F83" s="331"/>
      <c r="G83" s="331"/>
    </row>
    <row r="84">
      <c r="A84" s="331"/>
      <c r="B84" s="285"/>
      <c r="C84" s="285"/>
      <c r="D84" s="285"/>
      <c r="E84" s="331"/>
      <c r="F84" s="331"/>
      <c r="G84" s="331"/>
    </row>
    <row r="85">
      <c r="A85" s="331"/>
      <c r="B85" s="285"/>
      <c r="C85" s="285"/>
      <c r="D85" s="285"/>
      <c r="E85" s="331"/>
      <c r="F85" s="331"/>
      <c r="G85" s="331"/>
    </row>
    <row r="86">
      <c r="A86" s="331"/>
      <c r="B86" s="285"/>
      <c r="C86" s="285"/>
      <c r="D86" s="285"/>
      <c r="E86" s="331"/>
      <c r="F86" s="331"/>
      <c r="G86" s="331"/>
    </row>
    <row r="87">
      <c r="A87" s="331"/>
      <c r="B87" s="285"/>
      <c r="C87" s="285"/>
      <c r="D87" s="285"/>
      <c r="E87" s="331"/>
      <c r="F87" s="331"/>
      <c r="G87" s="331"/>
    </row>
    <row r="88">
      <c r="A88" s="331"/>
      <c r="B88" s="285"/>
      <c r="C88" s="285"/>
      <c r="D88" s="285"/>
      <c r="E88" s="331"/>
      <c r="F88" s="331"/>
      <c r="G88" s="331"/>
    </row>
    <row r="89">
      <c r="A89" s="331"/>
      <c r="B89" s="285"/>
      <c r="C89" s="285"/>
      <c r="D89" s="285"/>
      <c r="E89" s="331"/>
      <c r="F89" s="331"/>
      <c r="G89" s="331"/>
    </row>
    <row r="90">
      <c r="A90" s="331"/>
      <c r="B90" s="285"/>
      <c r="C90" s="285"/>
      <c r="D90" s="285"/>
      <c r="E90" s="331"/>
      <c r="F90" s="331"/>
      <c r="G90" s="331"/>
    </row>
    <row r="91">
      <c r="A91" s="331"/>
      <c r="B91" s="285"/>
      <c r="C91" s="285"/>
      <c r="D91" s="285"/>
      <c r="E91" s="331"/>
      <c r="F91" s="331"/>
      <c r="G91" s="331"/>
    </row>
    <row r="92">
      <c r="A92" s="331"/>
      <c r="B92" s="285"/>
      <c r="C92" s="285"/>
      <c r="D92" s="285"/>
      <c r="E92" s="331"/>
      <c r="F92" s="331"/>
      <c r="G92" s="331"/>
    </row>
    <row r="93">
      <c r="A93" s="331"/>
      <c r="B93" s="285"/>
      <c r="C93" s="285"/>
      <c r="D93" s="285"/>
      <c r="E93" s="331"/>
      <c r="F93" s="331"/>
      <c r="G93" s="331"/>
    </row>
    <row r="94">
      <c r="A94" s="331"/>
      <c r="B94" s="285"/>
      <c r="C94" s="285"/>
      <c r="D94" s="285"/>
      <c r="E94" s="331"/>
      <c r="F94" s="331"/>
      <c r="G94" s="331"/>
    </row>
    <row r="95">
      <c r="A95" s="331"/>
      <c r="B95" s="285"/>
      <c r="C95" s="285"/>
      <c r="D95" s="285"/>
      <c r="E95" s="331"/>
      <c r="F95" s="331"/>
      <c r="G95" s="331"/>
    </row>
    <row r="96">
      <c r="A96" s="331"/>
      <c r="B96" s="285"/>
      <c r="C96" s="285"/>
      <c r="D96" s="285"/>
      <c r="E96" s="331"/>
      <c r="F96" s="331"/>
      <c r="G96" s="331"/>
    </row>
    <row r="97">
      <c r="A97" s="331"/>
      <c r="B97" s="285"/>
      <c r="C97" s="285"/>
      <c r="D97" s="285"/>
      <c r="E97" s="331"/>
      <c r="F97" s="331"/>
      <c r="G97" s="331"/>
    </row>
    <row r="98">
      <c r="A98" s="331"/>
      <c r="B98" s="285"/>
      <c r="C98" s="285"/>
      <c r="D98" s="285"/>
      <c r="E98" s="331"/>
      <c r="F98" s="331"/>
      <c r="G98" s="331"/>
    </row>
    <row r="99">
      <c r="A99" s="331"/>
      <c r="B99" s="285"/>
      <c r="C99" s="285"/>
      <c r="D99" s="285"/>
      <c r="E99" s="331"/>
      <c r="F99" s="331"/>
      <c r="G99" s="331"/>
    </row>
    <row r="100">
      <c r="A100" s="331"/>
      <c r="B100" s="285"/>
      <c r="C100" s="285"/>
      <c r="D100" s="285"/>
      <c r="E100" s="331"/>
      <c r="F100" s="331"/>
      <c r="G100" s="331"/>
    </row>
    <row r="101">
      <c r="A101" s="331"/>
      <c r="B101" s="285"/>
      <c r="C101" s="285"/>
      <c r="D101" s="285"/>
      <c r="E101" s="331"/>
      <c r="F101" s="331"/>
      <c r="G101" s="331"/>
    </row>
    <row r="102">
      <c r="A102" s="331"/>
      <c r="B102" s="285"/>
      <c r="C102" s="285"/>
      <c r="D102" s="285"/>
      <c r="E102" s="331"/>
      <c r="F102" s="331"/>
      <c r="G102" s="331"/>
    </row>
    <row r="103">
      <c r="A103" s="331"/>
      <c r="B103" s="285"/>
      <c r="C103" s="285"/>
      <c r="D103" s="285"/>
      <c r="E103" s="331"/>
      <c r="F103" s="331"/>
      <c r="G103" s="331"/>
    </row>
    <row r="104">
      <c r="A104" s="331"/>
      <c r="B104" s="285"/>
      <c r="C104" s="285"/>
      <c r="D104" s="285"/>
      <c r="E104" s="331"/>
      <c r="F104" s="331"/>
      <c r="G104" s="331"/>
    </row>
    <row r="105">
      <c r="A105" s="331"/>
      <c r="B105" s="285"/>
      <c r="C105" s="285"/>
      <c r="D105" s="285"/>
      <c r="E105" s="331"/>
      <c r="F105" s="331"/>
      <c r="G105" s="331"/>
    </row>
    <row r="106">
      <c r="A106" s="331"/>
      <c r="B106" s="285"/>
      <c r="C106" s="285"/>
      <c r="D106" s="285"/>
      <c r="E106" s="331"/>
      <c r="F106" s="331"/>
      <c r="G106" s="331"/>
    </row>
    <row r="107">
      <c r="A107" s="331"/>
      <c r="B107" s="285"/>
      <c r="C107" s="285"/>
      <c r="D107" s="285"/>
      <c r="E107" s="331"/>
      <c r="F107" s="331"/>
      <c r="G107" s="331"/>
    </row>
    <row r="108">
      <c r="A108" s="331"/>
      <c r="B108" s="285"/>
      <c r="C108" s="285"/>
      <c r="D108" s="285"/>
      <c r="E108" s="331"/>
      <c r="F108" s="331"/>
      <c r="G108" s="331"/>
    </row>
    <row r="109">
      <c r="A109" s="331"/>
      <c r="B109" s="285"/>
      <c r="C109" s="285"/>
      <c r="D109" s="285"/>
      <c r="E109" s="331"/>
      <c r="F109" s="331"/>
      <c r="G109" s="331"/>
    </row>
    <row r="110">
      <c r="A110" s="331"/>
      <c r="B110" s="285"/>
      <c r="C110" s="285"/>
      <c r="D110" s="285"/>
      <c r="E110" s="331"/>
      <c r="F110" s="331"/>
      <c r="G110" s="331"/>
    </row>
    <row r="111">
      <c r="A111" s="331"/>
      <c r="B111" s="285"/>
      <c r="C111" s="285"/>
      <c r="D111" s="285"/>
      <c r="E111" s="331"/>
      <c r="F111" s="331"/>
      <c r="G111" s="331"/>
    </row>
    <row r="112">
      <c r="A112" s="331"/>
      <c r="B112" s="285"/>
      <c r="C112" s="285"/>
      <c r="D112" s="285"/>
      <c r="E112" s="331"/>
      <c r="F112" s="331"/>
      <c r="G112" s="331"/>
    </row>
    <row r="113">
      <c r="A113" s="331"/>
      <c r="B113" s="285"/>
      <c r="C113" s="285"/>
      <c r="D113" s="285"/>
      <c r="E113" s="331"/>
      <c r="F113" s="331"/>
      <c r="G113" s="331"/>
    </row>
    <row r="114">
      <c r="A114" s="331"/>
      <c r="B114" s="285"/>
      <c r="C114" s="285"/>
      <c r="D114" s="285"/>
      <c r="E114" s="331"/>
      <c r="F114" s="331"/>
      <c r="G114" s="331"/>
    </row>
    <row r="115">
      <c r="A115" s="331"/>
      <c r="B115" s="285"/>
      <c r="C115" s="285"/>
      <c r="D115" s="285"/>
      <c r="E115" s="331"/>
      <c r="F115" s="331"/>
      <c r="G115" s="331"/>
    </row>
    <row r="116">
      <c r="A116" s="331"/>
      <c r="B116" s="285"/>
      <c r="C116" s="285"/>
      <c r="D116" s="285"/>
      <c r="E116" s="331"/>
      <c r="F116" s="331"/>
      <c r="G116" s="331"/>
    </row>
    <row r="117">
      <c r="A117" s="331"/>
      <c r="B117" s="285"/>
      <c r="C117" s="285"/>
      <c r="D117" s="285"/>
      <c r="E117" s="331"/>
      <c r="F117" s="331"/>
      <c r="G117" s="331"/>
    </row>
    <row r="118">
      <c r="A118" s="331"/>
      <c r="B118" s="285"/>
      <c r="C118" s="285"/>
      <c r="D118" s="285"/>
      <c r="E118" s="331"/>
      <c r="F118" s="331"/>
      <c r="G118" s="331"/>
    </row>
    <row r="119">
      <c r="A119" s="331"/>
      <c r="B119" s="285"/>
      <c r="C119" s="285"/>
      <c r="D119" s="285"/>
      <c r="E119" s="331"/>
      <c r="F119" s="331"/>
      <c r="G119" s="331"/>
    </row>
    <row r="120">
      <c r="A120" s="331"/>
      <c r="B120" s="285"/>
      <c r="C120" s="285"/>
      <c r="D120" s="285"/>
      <c r="E120" s="331"/>
      <c r="F120" s="331"/>
      <c r="G120" s="331"/>
    </row>
    <row r="121">
      <c r="A121" s="331"/>
      <c r="B121" s="285"/>
      <c r="C121" s="285"/>
      <c r="D121" s="285"/>
      <c r="E121" s="331"/>
      <c r="F121" s="331"/>
      <c r="G121" s="331"/>
    </row>
    <row r="122">
      <c r="A122" s="331"/>
      <c r="B122" s="285"/>
      <c r="C122" s="285"/>
      <c r="D122" s="285"/>
      <c r="E122" s="331"/>
      <c r="F122" s="331"/>
      <c r="G122" s="331"/>
    </row>
    <row r="123">
      <c r="A123" s="331"/>
      <c r="B123" s="285"/>
      <c r="C123" s="285"/>
      <c r="D123" s="285"/>
      <c r="E123" s="331"/>
      <c r="F123" s="331"/>
      <c r="G123" s="331"/>
    </row>
    <row r="124">
      <c r="A124" s="331"/>
      <c r="B124" s="285"/>
      <c r="C124" s="285"/>
      <c r="D124" s="285"/>
      <c r="E124" s="331"/>
      <c r="F124" s="331"/>
      <c r="G124" s="331"/>
    </row>
    <row r="125">
      <c r="A125" s="331"/>
      <c r="B125" s="285"/>
      <c r="C125" s="285"/>
      <c r="D125" s="285"/>
      <c r="E125" s="331"/>
      <c r="F125" s="331"/>
      <c r="G125" s="331"/>
    </row>
    <row r="126">
      <c r="A126" s="331"/>
      <c r="B126" s="285"/>
      <c r="C126" s="285"/>
      <c r="D126" s="285"/>
      <c r="E126" s="331"/>
      <c r="F126" s="331"/>
      <c r="G126" s="331"/>
    </row>
    <row r="127">
      <c r="A127" s="331"/>
      <c r="B127" s="285"/>
      <c r="C127" s="285"/>
      <c r="D127" s="285"/>
      <c r="E127" s="331"/>
      <c r="F127" s="331"/>
      <c r="G127" s="331"/>
    </row>
    <row r="128">
      <c r="A128" s="331"/>
      <c r="B128" s="285"/>
      <c r="C128" s="285"/>
      <c r="D128" s="285"/>
      <c r="E128" s="331"/>
      <c r="F128" s="331"/>
      <c r="G128" s="331"/>
    </row>
    <row r="129">
      <c r="A129" s="331"/>
      <c r="B129" s="285"/>
      <c r="C129" s="285"/>
      <c r="D129" s="285"/>
      <c r="E129" s="331"/>
      <c r="F129" s="331"/>
      <c r="G129" s="331"/>
    </row>
    <row r="130">
      <c r="A130" s="331"/>
      <c r="B130" s="285"/>
      <c r="C130" s="285"/>
      <c r="D130" s="285"/>
      <c r="E130" s="331"/>
      <c r="F130" s="331"/>
      <c r="G130" s="331"/>
    </row>
    <row r="131">
      <c r="A131" s="331"/>
      <c r="B131" s="285"/>
      <c r="C131" s="285"/>
      <c r="D131" s="285"/>
      <c r="E131" s="331"/>
      <c r="F131" s="331"/>
      <c r="G131" s="331"/>
    </row>
    <row r="132">
      <c r="A132" s="331"/>
      <c r="B132" s="285"/>
      <c r="C132" s="285"/>
      <c r="D132" s="285"/>
      <c r="E132" s="331"/>
      <c r="F132" s="331"/>
      <c r="G132" s="331"/>
    </row>
    <row r="133">
      <c r="A133" s="331"/>
      <c r="B133" s="285"/>
      <c r="C133" s="285"/>
      <c r="D133" s="285"/>
      <c r="E133" s="331"/>
      <c r="F133" s="331"/>
      <c r="G133" s="331"/>
    </row>
    <row r="134">
      <c r="A134" s="331"/>
      <c r="B134" s="285"/>
      <c r="C134" s="285"/>
      <c r="D134" s="285"/>
      <c r="E134" s="331"/>
      <c r="F134" s="331"/>
      <c r="G134" s="331"/>
    </row>
    <row r="135">
      <c r="A135" s="331"/>
      <c r="B135" s="285"/>
      <c r="C135" s="285"/>
      <c r="D135" s="285"/>
      <c r="E135" s="331"/>
      <c r="F135" s="331"/>
      <c r="G135" s="331"/>
    </row>
    <row r="136">
      <c r="A136" s="331"/>
      <c r="B136" s="285"/>
      <c r="C136" s="285"/>
      <c r="D136" s="285"/>
      <c r="E136" s="331"/>
      <c r="F136" s="331"/>
      <c r="G136" s="331"/>
    </row>
    <row r="137">
      <c r="A137" s="331"/>
      <c r="B137" s="285"/>
      <c r="C137" s="285"/>
      <c r="D137" s="285"/>
      <c r="E137" s="331"/>
      <c r="F137" s="331"/>
      <c r="G137" s="331"/>
    </row>
    <row r="138">
      <c r="A138" s="331"/>
      <c r="B138" s="285"/>
      <c r="C138" s="285"/>
      <c r="D138" s="285"/>
      <c r="E138" s="331"/>
      <c r="F138" s="331"/>
      <c r="G138" s="331"/>
    </row>
    <row r="139">
      <c r="A139" s="331"/>
      <c r="B139" s="285"/>
      <c r="C139" s="285"/>
      <c r="D139" s="285"/>
      <c r="E139" s="331"/>
      <c r="F139" s="331"/>
      <c r="G139" s="331"/>
    </row>
    <row r="140">
      <c r="A140" s="331"/>
      <c r="B140" s="285"/>
      <c r="C140" s="285"/>
      <c r="D140" s="285"/>
      <c r="E140" s="331"/>
      <c r="F140" s="331"/>
      <c r="G140" s="331"/>
    </row>
    <row r="141">
      <c r="A141" s="331"/>
      <c r="B141" s="285"/>
      <c r="C141" s="285"/>
      <c r="D141" s="285"/>
      <c r="E141" s="331"/>
      <c r="F141" s="331"/>
      <c r="G141" s="331"/>
    </row>
    <row r="142">
      <c r="A142" s="331"/>
      <c r="B142" s="285"/>
      <c r="C142" s="285"/>
      <c r="D142" s="285"/>
      <c r="E142" s="331"/>
      <c r="F142" s="331"/>
      <c r="G142" s="331"/>
    </row>
    <row r="143">
      <c r="A143" s="331"/>
      <c r="B143" s="285"/>
      <c r="C143" s="285"/>
      <c r="D143" s="285"/>
      <c r="E143" s="331"/>
      <c r="F143" s="331"/>
      <c r="G143" s="331"/>
    </row>
    <row r="144">
      <c r="A144" s="331"/>
      <c r="B144" s="285"/>
      <c r="C144" s="285"/>
      <c r="D144" s="285"/>
      <c r="E144" s="331"/>
      <c r="F144" s="331"/>
      <c r="G144" s="331"/>
    </row>
    <row r="145">
      <c r="A145" s="331"/>
      <c r="B145" s="285"/>
      <c r="C145" s="285"/>
      <c r="D145" s="285"/>
      <c r="E145" s="331"/>
      <c r="F145" s="331"/>
      <c r="G145" s="331"/>
    </row>
    <row r="146">
      <c r="A146" s="331"/>
      <c r="B146" s="285"/>
      <c r="C146" s="285"/>
      <c r="D146" s="285"/>
      <c r="E146" s="331"/>
      <c r="F146" s="331"/>
      <c r="G146" s="331"/>
    </row>
    <row r="147">
      <c r="A147" s="331"/>
      <c r="B147" s="285"/>
      <c r="C147" s="285"/>
      <c r="D147" s="285"/>
      <c r="E147" s="331"/>
      <c r="F147" s="331"/>
      <c r="G147" s="331"/>
    </row>
    <row r="148">
      <c r="A148" s="331"/>
      <c r="B148" s="285"/>
      <c r="C148" s="285"/>
      <c r="D148" s="285"/>
      <c r="E148" s="331"/>
      <c r="F148" s="331"/>
      <c r="G148" s="331"/>
    </row>
    <row r="149">
      <c r="A149" s="331"/>
      <c r="B149" s="285"/>
      <c r="C149" s="285"/>
      <c r="D149" s="285"/>
      <c r="E149" s="331"/>
      <c r="F149" s="331"/>
      <c r="G149" s="331"/>
    </row>
    <row r="150">
      <c r="A150" s="331"/>
      <c r="B150" s="285"/>
      <c r="C150" s="285"/>
      <c r="D150" s="285"/>
      <c r="E150" s="331"/>
      <c r="F150" s="331"/>
      <c r="G150" s="331"/>
    </row>
    <row r="151">
      <c r="A151" s="331"/>
      <c r="B151" s="285"/>
      <c r="C151" s="285"/>
      <c r="D151" s="285"/>
      <c r="E151" s="331"/>
      <c r="F151" s="331"/>
      <c r="G151" s="331"/>
    </row>
    <row r="152">
      <c r="A152" s="331"/>
      <c r="B152" s="285"/>
      <c r="C152" s="285"/>
      <c r="D152" s="285"/>
      <c r="E152" s="331"/>
      <c r="F152" s="331"/>
      <c r="G152" s="331"/>
    </row>
    <row r="153">
      <c r="A153" s="331"/>
      <c r="B153" s="285"/>
      <c r="C153" s="285"/>
      <c r="D153" s="285"/>
      <c r="E153" s="331"/>
      <c r="F153" s="331"/>
      <c r="G153" s="331"/>
    </row>
    <row r="154">
      <c r="A154" s="331"/>
      <c r="B154" s="285"/>
      <c r="C154" s="285"/>
      <c r="D154" s="285"/>
      <c r="E154" s="331"/>
      <c r="F154" s="331"/>
      <c r="G154" s="331"/>
    </row>
    <row r="155">
      <c r="A155" s="331"/>
      <c r="B155" s="285"/>
      <c r="C155" s="285"/>
      <c r="D155" s="285"/>
      <c r="E155" s="331"/>
      <c r="F155" s="331"/>
      <c r="G155" s="331"/>
    </row>
    <row r="156">
      <c r="A156" s="331"/>
      <c r="B156" s="285"/>
      <c r="C156" s="285"/>
      <c r="D156" s="285"/>
      <c r="E156" s="331"/>
      <c r="F156" s="331"/>
      <c r="G156" s="331"/>
    </row>
    <row r="157">
      <c r="A157" s="331"/>
      <c r="B157" s="285"/>
      <c r="C157" s="285"/>
      <c r="D157" s="285"/>
      <c r="E157" s="331"/>
      <c r="F157" s="331"/>
      <c r="G157" s="331"/>
    </row>
    <row r="158">
      <c r="A158" s="331"/>
      <c r="B158" s="285"/>
      <c r="C158" s="285"/>
      <c r="D158" s="285"/>
      <c r="E158" s="331"/>
      <c r="F158" s="331"/>
      <c r="G158" s="331"/>
    </row>
    <row r="159">
      <c r="A159" s="331"/>
      <c r="B159" s="285"/>
      <c r="C159" s="285"/>
      <c r="D159" s="285"/>
      <c r="E159" s="331"/>
      <c r="F159" s="331"/>
      <c r="G159" s="331"/>
    </row>
    <row r="160">
      <c r="A160" s="331"/>
      <c r="B160" s="285"/>
      <c r="C160" s="285"/>
      <c r="D160" s="285"/>
      <c r="E160" s="331"/>
      <c r="F160" s="331"/>
      <c r="G160" s="331"/>
    </row>
    <row r="161">
      <c r="A161" s="331"/>
      <c r="B161" s="285"/>
      <c r="C161" s="285"/>
      <c r="D161" s="285"/>
      <c r="E161" s="331"/>
      <c r="F161" s="331"/>
      <c r="G161" s="331"/>
    </row>
    <row r="162">
      <c r="A162" s="331"/>
      <c r="B162" s="285"/>
      <c r="C162" s="285"/>
      <c r="D162" s="285"/>
      <c r="E162" s="331"/>
      <c r="F162" s="331"/>
      <c r="G162" s="331"/>
    </row>
    <row r="163">
      <c r="A163" s="331"/>
      <c r="B163" s="285"/>
      <c r="C163" s="285"/>
      <c r="D163" s="285"/>
      <c r="E163" s="331"/>
      <c r="F163" s="331"/>
      <c r="G163" s="331"/>
    </row>
    <row r="164">
      <c r="A164" s="331"/>
      <c r="B164" s="285"/>
      <c r="C164" s="285"/>
      <c r="D164" s="285"/>
      <c r="E164" s="331"/>
      <c r="F164" s="331"/>
      <c r="G164" s="331"/>
    </row>
    <row r="165">
      <c r="A165" s="331"/>
      <c r="B165" s="285"/>
      <c r="C165" s="285"/>
      <c r="D165" s="285"/>
      <c r="E165" s="331"/>
      <c r="F165" s="331"/>
      <c r="G165" s="331"/>
    </row>
    <row r="166">
      <c r="A166" s="331"/>
      <c r="B166" s="285"/>
      <c r="C166" s="285"/>
      <c r="D166" s="285"/>
      <c r="E166" s="331"/>
      <c r="F166" s="331"/>
      <c r="G166" s="331"/>
    </row>
    <row r="167">
      <c r="A167" s="331"/>
      <c r="B167" s="285"/>
      <c r="C167" s="285"/>
      <c r="D167" s="285"/>
      <c r="E167" s="331"/>
      <c r="F167" s="331"/>
      <c r="G167" s="331"/>
    </row>
    <row r="168">
      <c r="A168" s="331"/>
      <c r="B168" s="285"/>
      <c r="C168" s="285"/>
      <c r="D168" s="285"/>
      <c r="E168" s="331"/>
      <c r="F168" s="331"/>
      <c r="G168" s="331"/>
    </row>
    <row r="169">
      <c r="A169" s="331"/>
      <c r="B169" s="285"/>
      <c r="C169" s="285"/>
      <c r="D169" s="285"/>
      <c r="E169" s="331"/>
      <c r="F169" s="331"/>
      <c r="G169" s="331"/>
    </row>
    <row r="170">
      <c r="A170" s="331"/>
      <c r="B170" s="285"/>
      <c r="C170" s="285"/>
      <c r="D170" s="285"/>
      <c r="E170" s="331"/>
      <c r="F170" s="331"/>
      <c r="G170" s="331"/>
    </row>
    <row r="171">
      <c r="A171" s="331"/>
      <c r="B171" s="285"/>
      <c r="C171" s="285"/>
      <c r="D171" s="285"/>
      <c r="E171" s="331"/>
      <c r="F171" s="331"/>
      <c r="G171" s="331"/>
    </row>
    <row r="172">
      <c r="A172" s="331"/>
      <c r="B172" s="285"/>
      <c r="C172" s="285"/>
      <c r="D172" s="285"/>
      <c r="E172" s="331"/>
      <c r="F172" s="331"/>
      <c r="G172" s="331"/>
    </row>
    <row r="173">
      <c r="A173" s="331"/>
      <c r="B173" s="285"/>
      <c r="C173" s="285"/>
      <c r="D173" s="285"/>
      <c r="E173" s="331"/>
      <c r="F173" s="331"/>
      <c r="G173" s="331"/>
    </row>
    <row r="174">
      <c r="A174" s="331"/>
      <c r="B174" s="285"/>
      <c r="C174" s="285"/>
      <c r="D174" s="285"/>
      <c r="E174" s="331"/>
      <c r="F174" s="331"/>
      <c r="G174" s="331"/>
    </row>
    <row r="175">
      <c r="A175" s="331"/>
      <c r="B175" s="285"/>
      <c r="C175" s="285"/>
      <c r="D175" s="285"/>
      <c r="E175" s="331"/>
      <c r="F175" s="331"/>
      <c r="G175" s="331"/>
    </row>
    <row r="176">
      <c r="A176" s="331"/>
      <c r="B176" s="285"/>
      <c r="C176" s="285"/>
      <c r="D176" s="285"/>
      <c r="E176" s="331"/>
      <c r="F176" s="331"/>
      <c r="G176" s="331"/>
    </row>
    <row r="177">
      <c r="A177" s="331"/>
      <c r="B177" s="285"/>
      <c r="C177" s="285"/>
      <c r="D177" s="285"/>
      <c r="E177" s="331"/>
      <c r="F177" s="331"/>
      <c r="G177" s="331"/>
    </row>
    <row r="178">
      <c r="A178" s="331"/>
      <c r="B178" s="285"/>
      <c r="C178" s="285"/>
      <c r="D178" s="285"/>
      <c r="E178" s="331"/>
      <c r="F178" s="331"/>
      <c r="G178" s="331"/>
    </row>
    <row r="179">
      <c r="A179" s="331"/>
      <c r="B179" s="285"/>
      <c r="C179" s="285"/>
      <c r="D179" s="285"/>
      <c r="E179" s="331"/>
      <c r="F179" s="331"/>
      <c r="G179" s="331"/>
    </row>
    <row r="180">
      <c r="A180" s="331"/>
      <c r="B180" s="285"/>
      <c r="C180" s="285"/>
      <c r="D180" s="285"/>
      <c r="E180" s="331"/>
      <c r="F180" s="331"/>
      <c r="G180" s="331"/>
    </row>
    <row r="181">
      <c r="A181" s="331"/>
      <c r="B181" s="285"/>
      <c r="C181" s="285"/>
      <c r="D181" s="285"/>
      <c r="E181" s="331"/>
      <c r="F181" s="331"/>
      <c r="G181" s="331"/>
      <c r="H181" s="285"/>
    </row>
    <row r="182">
      <c r="A182" s="331"/>
      <c r="B182" s="285"/>
      <c r="C182" s="285"/>
      <c r="D182" s="285"/>
      <c r="E182" s="331"/>
      <c r="F182" s="331"/>
      <c r="G182" s="331"/>
    </row>
    <row r="183">
      <c r="A183" s="331"/>
      <c r="B183" s="285"/>
      <c r="C183" s="285"/>
      <c r="D183" s="285"/>
      <c r="E183" s="331"/>
      <c r="F183" s="331"/>
      <c r="G183" s="331"/>
    </row>
    <row r="184">
      <c r="A184" s="331"/>
      <c r="B184" s="285"/>
      <c r="C184" s="285"/>
      <c r="D184" s="285"/>
      <c r="E184" s="331"/>
      <c r="F184" s="331"/>
      <c r="G184" s="331"/>
    </row>
    <row r="185">
      <c r="A185" s="331"/>
      <c r="B185" s="285"/>
      <c r="C185" s="285"/>
      <c r="D185" s="285"/>
      <c r="E185" s="331"/>
      <c r="F185" s="331"/>
      <c r="G185" s="331"/>
    </row>
    <row r="186">
      <c r="A186" s="331"/>
      <c r="B186" s="285"/>
      <c r="C186" s="285"/>
      <c r="D186" s="285"/>
      <c r="E186" s="331"/>
      <c r="F186" s="331"/>
      <c r="G186" s="331"/>
    </row>
    <row r="187">
      <c r="A187" s="331"/>
      <c r="B187" s="285"/>
      <c r="C187" s="285"/>
      <c r="D187" s="285"/>
      <c r="E187" s="331"/>
      <c r="F187" s="331"/>
      <c r="G187" s="331"/>
    </row>
    <row r="188">
      <c r="A188" s="331"/>
      <c r="B188" s="285"/>
      <c r="C188" s="285"/>
      <c r="D188" s="285"/>
      <c r="E188" s="331"/>
      <c r="F188" s="331"/>
      <c r="G188" s="331"/>
    </row>
    <row r="189">
      <c r="A189" s="331"/>
      <c r="B189" s="285"/>
      <c r="C189" s="285"/>
      <c r="D189" s="285"/>
      <c r="E189" s="331"/>
      <c r="F189" s="331"/>
      <c r="G189" s="331"/>
    </row>
    <row r="190">
      <c r="A190" s="331"/>
      <c r="B190" s="285"/>
      <c r="C190" s="285"/>
      <c r="D190" s="285"/>
      <c r="E190" s="331"/>
      <c r="F190" s="331"/>
      <c r="G190" s="331"/>
    </row>
    <row r="191">
      <c r="A191" s="331"/>
      <c r="B191" s="285"/>
      <c r="C191" s="285"/>
      <c r="D191" s="285"/>
      <c r="E191" s="331"/>
      <c r="F191" s="331"/>
      <c r="G191" s="331"/>
    </row>
    <row r="192">
      <c r="A192" s="331"/>
      <c r="B192" s="285"/>
      <c r="C192" s="285"/>
      <c r="D192" s="285"/>
      <c r="E192" s="331"/>
      <c r="F192" s="331"/>
      <c r="G192" s="331"/>
    </row>
    <row r="193">
      <c r="A193" s="331"/>
      <c r="B193" s="285"/>
      <c r="C193" s="285"/>
      <c r="D193" s="285"/>
      <c r="E193" s="331"/>
      <c r="F193" s="331"/>
      <c r="G193" s="331"/>
    </row>
    <row r="194">
      <c r="A194" s="331"/>
      <c r="B194" s="285"/>
      <c r="C194" s="285"/>
      <c r="D194" s="285"/>
      <c r="E194" s="331"/>
      <c r="F194" s="331"/>
      <c r="G194" s="331"/>
    </row>
    <row r="195">
      <c r="A195" s="331"/>
      <c r="B195" s="285"/>
      <c r="C195" s="285"/>
      <c r="D195" s="285"/>
      <c r="E195" s="331"/>
      <c r="F195" s="331"/>
      <c r="G195" s="331"/>
    </row>
    <row r="196">
      <c r="A196" s="331"/>
      <c r="B196" s="285"/>
      <c r="C196" s="285"/>
      <c r="D196" s="285"/>
      <c r="E196" s="331"/>
      <c r="F196" s="331"/>
      <c r="G196" s="331"/>
    </row>
    <row r="197">
      <c r="A197" s="331"/>
      <c r="B197" s="285"/>
      <c r="C197" s="285"/>
      <c r="D197" s="285"/>
      <c r="E197" s="331"/>
      <c r="F197" s="331"/>
      <c r="G197" s="331"/>
    </row>
    <row r="198">
      <c r="A198" s="331"/>
      <c r="B198" s="285"/>
      <c r="C198" s="285"/>
      <c r="D198" s="285"/>
      <c r="E198" s="331"/>
      <c r="F198" s="331"/>
      <c r="G198" s="331"/>
    </row>
    <row r="199">
      <c r="A199" s="331"/>
      <c r="B199" s="285"/>
      <c r="C199" s="285"/>
      <c r="D199" s="285"/>
      <c r="E199" s="331"/>
      <c r="F199" s="331"/>
      <c r="G199" s="331"/>
    </row>
    <row r="200">
      <c r="A200" s="331"/>
      <c r="B200" s="285"/>
      <c r="C200" s="285"/>
      <c r="D200" s="285"/>
      <c r="E200" s="331"/>
      <c r="F200" s="331"/>
      <c r="G200" s="331"/>
    </row>
    <row r="201">
      <c r="A201" s="331"/>
      <c r="B201" s="285"/>
      <c r="C201" s="285"/>
      <c r="D201" s="285"/>
      <c r="E201" s="331"/>
      <c r="F201" s="331"/>
      <c r="G201" s="331"/>
    </row>
    <row r="202">
      <c r="A202" s="331"/>
      <c r="B202" s="285"/>
      <c r="C202" s="285"/>
      <c r="D202" s="285"/>
      <c r="E202" s="331"/>
      <c r="F202" s="331"/>
      <c r="G202" s="331"/>
    </row>
    <row r="203">
      <c r="A203" s="331"/>
      <c r="B203" s="285"/>
      <c r="C203" s="285"/>
      <c r="D203" s="285"/>
      <c r="E203" s="331"/>
      <c r="F203" s="331"/>
      <c r="G203" s="331"/>
    </row>
    <row r="204">
      <c r="A204" s="331"/>
      <c r="B204" s="285"/>
      <c r="C204" s="285"/>
      <c r="D204" s="285"/>
      <c r="E204" s="331"/>
      <c r="F204" s="331"/>
      <c r="G204" s="331"/>
    </row>
    <row r="205">
      <c r="A205" s="331"/>
      <c r="B205" s="285"/>
      <c r="C205" s="285"/>
      <c r="D205" s="285"/>
      <c r="E205" s="331"/>
      <c r="F205" s="331"/>
      <c r="G205" s="331"/>
    </row>
    <row r="206">
      <c r="A206" s="331"/>
      <c r="B206" s="285"/>
      <c r="C206" s="285"/>
      <c r="D206" s="285"/>
      <c r="E206" s="331"/>
      <c r="F206" s="331"/>
      <c r="G206" s="331"/>
    </row>
    <row r="207">
      <c r="A207" s="331"/>
      <c r="B207" s="285"/>
      <c r="C207" s="285"/>
      <c r="D207" s="285"/>
      <c r="E207" s="331"/>
      <c r="F207" s="331"/>
      <c r="G207" s="331"/>
    </row>
    <row r="208">
      <c r="A208" s="331"/>
      <c r="B208" s="285"/>
      <c r="C208" s="285"/>
      <c r="D208" s="285"/>
      <c r="E208" s="331"/>
      <c r="F208" s="331"/>
      <c r="G208" s="331"/>
    </row>
    <row r="209">
      <c r="A209" s="331"/>
      <c r="B209" s="285"/>
      <c r="C209" s="285"/>
      <c r="D209" s="285"/>
      <c r="E209" s="331"/>
      <c r="F209" s="331"/>
      <c r="G209" s="331"/>
    </row>
    <row r="210">
      <c r="A210" s="331"/>
      <c r="B210" s="285"/>
      <c r="C210" s="285"/>
      <c r="D210" s="285"/>
      <c r="E210" s="331"/>
      <c r="F210" s="331"/>
      <c r="G210" s="331"/>
    </row>
    <row r="211">
      <c r="A211" s="331"/>
      <c r="B211" s="285"/>
      <c r="C211" s="285"/>
      <c r="D211" s="285"/>
      <c r="E211" s="331"/>
      <c r="F211" s="331"/>
      <c r="G211" s="331"/>
    </row>
    <row r="212">
      <c r="A212" s="331"/>
      <c r="B212" s="285"/>
      <c r="C212" s="285"/>
      <c r="D212" s="285"/>
      <c r="E212" s="331"/>
      <c r="F212" s="331"/>
      <c r="G212" s="331"/>
    </row>
    <row r="213">
      <c r="A213" s="331"/>
      <c r="B213" s="285"/>
      <c r="C213" s="285"/>
      <c r="D213" s="285"/>
      <c r="E213" s="331"/>
      <c r="F213" s="331"/>
      <c r="G213" s="331"/>
    </row>
    <row r="214">
      <c r="A214" s="331"/>
      <c r="B214" s="285"/>
      <c r="C214" s="285"/>
      <c r="D214" s="285"/>
      <c r="E214" s="331"/>
      <c r="F214" s="331"/>
      <c r="G214" s="331"/>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13"/>
    <col customWidth="1" min="2" max="15" width="17.5"/>
    <col customWidth="1" min="16" max="16" width="17.25"/>
  </cols>
  <sheetData>
    <row r="1">
      <c r="A1" s="118" t="str">
        <f t="array" ref="A1:I969">VolumeFile_combined!A:I</f>
        <v>name</v>
      </c>
      <c r="B1" s="118" t="s">
        <v>2</v>
      </c>
      <c r="C1" s="118" t="s">
        <v>3</v>
      </c>
      <c r="D1" s="118" t="s">
        <v>4</v>
      </c>
      <c r="E1" s="118" t="s">
        <v>5</v>
      </c>
      <c r="F1" s="118" t="s">
        <v>6</v>
      </c>
      <c r="G1" s="118" t="s">
        <v>7</v>
      </c>
      <c r="H1" s="332" t="s">
        <v>8</v>
      </c>
      <c r="I1" s="332" t="s">
        <v>9</v>
      </c>
      <c r="J1" s="118" t="s">
        <v>10</v>
      </c>
      <c r="K1" s="333" t="s">
        <v>451</v>
      </c>
      <c r="L1" s="334" t="s">
        <v>328</v>
      </c>
      <c r="M1" s="333" t="s">
        <v>452</v>
      </c>
      <c r="N1" s="334" t="str">
        <f t="array" ref="N1:N969">VolumeFile_combined!K:K</f>
        <v>market</v>
      </c>
      <c r="O1" s="12" t="s">
        <v>453</v>
      </c>
      <c r="P1" s="8" t="s">
        <v>454</v>
      </c>
    </row>
    <row r="2">
      <c r="A2" s="186" t="s">
        <v>174</v>
      </c>
      <c r="B2" s="265">
        <v>0.0</v>
      </c>
      <c r="C2" s="265">
        <v>0.0</v>
      </c>
      <c r="D2" s="265">
        <v>0.0</v>
      </c>
      <c r="E2" s="265">
        <v>0.0</v>
      </c>
      <c r="F2" s="265">
        <v>0.0</v>
      </c>
      <c r="G2" s="265"/>
      <c r="H2" s="4"/>
      <c r="I2" s="8" t="s">
        <v>175</v>
      </c>
      <c r="J2" s="4" t="str">
        <f>IFERROR(VLOOKUP(A2,VolumeFile_combined!A:J,10,false),"")</f>
        <v/>
      </c>
      <c r="K2" s="4" t="str">
        <f>IFERROR(VLOOKUP(A2,SeparateFamily!A:B,2,false),"")</f>
        <v/>
      </c>
      <c r="L2" s="185" t="str">
        <f>IFERROR(VLOOKUP(A2,Rackfile_combined!B:H,7,false),"")</f>
        <v>Packaging</v>
      </c>
      <c r="M2" s="186">
        <f t="shared" ref="M2:M172" si="1">IF(A2&lt;&gt;"",SUM(B2:D2),"")</f>
        <v>0</v>
      </c>
      <c r="N2" s="335" t="s">
        <v>97</v>
      </c>
      <c r="P2" s="4" t="str">
        <f>IF(A2&lt;&gt;"",VLOOKUP(A2,Rackfile_combined!$B:$C,2,false),"")</f>
        <v>Factor Box Large</v>
      </c>
    </row>
    <row r="3">
      <c r="A3" s="186" t="s">
        <v>176</v>
      </c>
      <c r="B3" s="265">
        <v>0.0</v>
      </c>
      <c r="C3" s="265">
        <v>0.0</v>
      </c>
      <c r="D3" s="265">
        <v>0.0</v>
      </c>
      <c r="E3" s="265">
        <v>0.0</v>
      </c>
      <c r="F3" s="265">
        <v>0.0</v>
      </c>
      <c r="G3" s="265"/>
      <c r="H3" s="4"/>
      <c r="I3" s="8" t="s">
        <v>177</v>
      </c>
      <c r="J3" s="4" t="str">
        <f>IFERROR(VLOOKUP(A3,VolumeFile_combined!A:J,10,false),"")</f>
        <v/>
      </c>
      <c r="K3" s="4" t="str">
        <f>IFERROR(VLOOKUP(A3,SeparateFamily!A:B,2,false),"")</f>
        <v/>
      </c>
      <c r="L3" s="185" t="str">
        <f>IFERROR(VLOOKUP(A3,Rackfile_combined!B:H,7,false),"")</f>
        <v>Packaging</v>
      </c>
      <c r="M3" s="186">
        <f t="shared" si="1"/>
        <v>0</v>
      </c>
      <c r="N3" s="335" t="s">
        <v>97</v>
      </c>
      <c r="P3" s="4" t="str">
        <f>IF(A3&lt;&gt;"",VLOOKUP(A3,Rackfile_combined!$B:$C,2,false),"")</f>
        <v>Factor Box Medium</v>
      </c>
    </row>
    <row r="4">
      <c r="A4" s="186" t="s">
        <v>178</v>
      </c>
      <c r="B4" s="265">
        <v>0.0</v>
      </c>
      <c r="C4" s="265">
        <v>0.0</v>
      </c>
      <c r="D4" s="265">
        <v>0.0</v>
      </c>
      <c r="E4" s="265">
        <v>0.0</v>
      </c>
      <c r="F4" s="265">
        <v>0.0</v>
      </c>
      <c r="G4" s="265"/>
      <c r="H4" s="4"/>
      <c r="I4" s="8" t="s">
        <v>179</v>
      </c>
      <c r="J4" s="4" t="str">
        <f>IFERROR(VLOOKUP(A4,VolumeFile_combined!A:J,10,false),"")</f>
        <v/>
      </c>
      <c r="K4" s="4" t="str">
        <f>IFERROR(VLOOKUP(A4,SeparateFamily!A:B,2,false),"")</f>
        <v/>
      </c>
      <c r="L4" s="185" t="str">
        <f>IFERROR(VLOOKUP(A4,Rackfile_combined!B:H,7,false),"")</f>
        <v>Packaging</v>
      </c>
      <c r="M4" s="186">
        <f t="shared" si="1"/>
        <v>0</v>
      </c>
      <c r="N4" s="335" t="s">
        <v>97</v>
      </c>
      <c r="P4" s="4" t="str">
        <f>IF(A4&lt;&gt;"",VLOOKUP(A4,Rackfile_combined!$B:$C,2,false),"")</f>
        <v>Factor Box Small</v>
      </c>
    </row>
    <row r="5">
      <c r="A5" s="186" t="s">
        <v>180</v>
      </c>
      <c r="B5" s="265">
        <v>0.0</v>
      </c>
      <c r="C5" s="265">
        <v>0.0</v>
      </c>
      <c r="D5" s="265">
        <v>0.0</v>
      </c>
      <c r="E5" s="265">
        <v>0.0</v>
      </c>
      <c r="F5" s="265">
        <v>0.0</v>
      </c>
      <c r="G5" s="265"/>
      <c r="H5" s="4"/>
      <c r="I5" s="8" t="s">
        <v>181</v>
      </c>
      <c r="J5" s="4" t="str">
        <f>IFERROR(VLOOKUP(A5,VolumeFile_combined!A:J,10,false),"")</f>
        <v/>
      </c>
      <c r="K5" s="4" t="str">
        <f>IFERROR(VLOOKUP(A5,SeparateFamily!A:B,2,false),"")</f>
        <v/>
      </c>
      <c r="L5" s="185" t="str">
        <f>IFERROR(VLOOKUP(A5,Rackfile_combined!B:H,7,false),"")</f>
        <v>Packaging</v>
      </c>
      <c r="M5" s="186">
        <f t="shared" si="1"/>
        <v>0</v>
      </c>
      <c r="N5" s="335" t="s">
        <v>97</v>
      </c>
      <c r="P5" s="4" t="str">
        <f>IF(A5&lt;&gt;"",VLOOKUP(A5,Rackfile_combined!$B:$C,2,false),"")</f>
        <v>Factor Liner Large1</v>
      </c>
    </row>
    <row r="6">
      <c r="A6" s="186" t="s">
        <v>182</v>
      </c>
      <c r="B6" s="265">
        <v>0.0</v>
      </c>
      <c r="C6" s="265">
        <v>0.0</v>
      </c>
      <c r="D6" s="265">
        <v>0.0</v>
      </c>
      <c r="E6" s="265">
        <v>0.0</v>
      </c>
      <c r="F6" s="265">
        <v>0.0</v>
      </c>
      <c r="G6" s="265"/>
      <c r="H6" s="4"/>
      <c r="I6" s="8" t="s">
        <v>183</v>
      </c>
      <c r="J6" s="4" t="str">
        <f>IFERROR(VLOOKUP(A6,VolumeFile_combined!A:J,10,false),"")</f>
        <v/>
      </c>
      <c r="K6" s="4" t="str">
        <f>IFERROR(VLOOKUP(A6,SeparateFamily!A:B,2,false),"")</f>
        <v/>
      </c>
      <c r="L6" s="185" t="str">
        <f>IFERROR(VLOOKUP(A6,Rackfile_combined!B:H,7,false),"")</f>
        <v>Packaging</v>
      </c>
      <c r="M6" s="186">
        <f t="shared" si="1"/>
        <v>0</v>
      </c>
      <c r="N6" s="335" t="s">
        <v>97</v>
      </c>
      <c r="P6" s="4" t="str">
        <f>IF(A6&lt;&gt;"",VLOOKUP(A6,Rackfile_combined!$B:$C,2,false),"")</f>
        <v>Factor Liner Large2</v>
      </c>
    </row>
    <row r="7">
      <c r="A7" s="186" t="s">
        <v>184</v>
      </c>
      <c r="B7" s="265">
        <v>0.0</v>
      </c>
      <c r="C7" s="265">
        <v>0.0</v>
      </c>
      <c r="D7" s="265">
        <v>0.0</v>
      </c>
      <c r="E7" s="265">
        <v>0.0</v>
      </c>
      <c r="F7" s="265">
        <v>0.0</v>
      </c>
      <c r="G7" s="265"/>
      <c r="H7" s="4"/>
      <c r="I7" s="8" t="s">
        <v>185</v>
      </c>
      <c r="J7" s="4" t="str">
        <f>IFERROR(VLOOKUP(A7,VolumeFile_combined!A:J,10,false),"")</f>
        <v/>
      </c>
      <c r="K7" s="4" t="str">
        <f>IFERROR(VLOOKUP(A7,SeparateFamily!A:B,2,false),"")</f>
        <v/>
      </c>
      <c r="L7" s="185" t="str">
        <f>IFERROR(VLOOKUP(A7,Rackfile_combined!B:H,7,false),"")</f>
        <v>Packaging</v>
      </c>
      <c r="M7" s="186">
        <f t="shared" si="1"/>
        <v>0</v>
      </c>
      <c r="N7" s="335" t="s">
        <v>97</v>
      </c>
      <c r="P7" s="4" t="str">
        <f>IF(A7&lt;&gt;"",VLOOKUP(A7,Rackfile_combined!$B:$C,2,false),"")</f>
        <v>Factor Liner Medium1</v>
      </c>
    </row>
    <row r="8">
      <c r="A8" s="186" t="s">
        <v>186</v>
      </c>
      <c r="B8" s="265">
        <v>0.0</v>
      </c>
      <c r="C8" s="265">
        <v>0.0</v>
      </c>
      <c r="D8" s="265">
        <v>0.0</v>
      </c>
      <c r="E8" s="265">
        <v>0.0</v>
      </c>
      <c r="F8" s="265">
        <v>0.0</v>
      </c>
      <c r="G8" s="265"/>
      <c r="H8" s="4"/>
      <c r="I8" s="8" t="s">
        <v>187</v>
      </c>
      <c r="J8" s="4" t="str">
        <f>IFERROR(VLOOKUP(A8,VolumeFile_combined!A:J,10,false),"")</f>
        <v/>
      </c>
      <c r="K8" s="4" t="str">
        <f>IFERROR(VLOOKUP(A8,SeparateFamily!A:B,2,false),"")</f>
        <v/>
      </c>
      <c r="L8" s="185" t="str">
        <f>IFERROR(VLOOKUP(A8,Rackfile_combined!B:H,7,false),"")</f>
        <v>Packaging</v>
      </c>
      <c r="M8" s="186">
        <f t="shared" si="1"/>
        <v>0</v>
      </c>
      <c r="N8" s="335" t="s">
        <v>97</v>
      </c>
      <c r="P8" s="4" t="str">
        <f>IF(A8&lt;&gt;"",VLOOKUP(A8,Rackfile_combined!$B:$C,2,false),"")</f>
        <v>Factor Liner Medium2</v>
      </c>
    </row>
    <row r="9">
      <c r="A9" s="186" t="s">
        <v>188</v>
      </c>
      <c r="B9" s="265">
        <v>0.0</v>
      </c>
      <c r="C9" s="265">
        <v>0.0</v>
      </c>
      <c r="D9" s="265">
        <v>0.0</v>
      </c>
      <c r="E9" s="265">
        <v>0.0</v>
      </c>
      <c r="F9" s="265">
        <v>0.0</v>
      </c>
      <c r="G9" s="265"/>
      <c r="H9" s="4"/>
      <c r="I9" s="8" t="s">
        <v>189</v>
      </c>
      <c r="J9" s="4" t="str">
        <f>IFERROR(VLOOKUP(A9,VolumeFile_combined!A:J,10,false),"")</f>
        <v/>
      </c>
      <c r="K9" s="4" t="str">
        <f>IFERROR(VLOOKUP(A9,SeparateFamily!A:B,2,false),"")</f>
        <v/>
      </c>
      <c r="L9" s="185" t="str">
        <f>IFERROR(VLOOKUP(A9,Rackfile_combined!B:H,7,false),"")</f>
        <v>Packaging</v>
      </c>
      <c r="M9" s="186">
        <f t="shared" si="1"/>
        <v>0</v>
      </c>
      <c r="N9" s="335" t="s">
        <v>97</v>
      </c>
      <c r="P9" s="4" t="str">
        <f>IF(A9&lt;&gt;"",VLOOKUP(A9,Rackfile_combined!$B:$C,2,false),"")</f>
        <v>Factor Liner Small1</v>
      </c>
    </row>
    <row r="10">
      <c r="A10" s="186" t="s">
        <v>190</v>
      </c>
      <c r="B10" s="265">
        <v>0.0</v>
      </c>
      <c r="C10" s="265">
        <v>0.0</v>
      </c>
      <c r="D10" s="265">
        <v>0.0</v>
      </c>
      <c r="E10" s="265">
        <v>0.0</v>
      </c>
      <c r="F10" s="265">
        <v>0.0</v>
      </c>
      <c r="G10" s="265"/>
      <c r="H10" s="4"/>
      <c r="I10" s="8" t="s">
        <v>191</v>
      </c>
      <c r="J10" s="4" t="str">
        <f>IFERROR(VLOOKUP(A10,VolumeFile_combined!A:J,10,false),"")</f>
        <v/>
      </c>
      <c r="K10" s="4" t="str">
        <f>IFERROR(VLOOKUP(A10,SeparateFamily!A:B,2,false),"")</f>
        <v/>
      </c>
      <c r="L10" s="185" t="str">
        <f>IFERROR(VLOOKUP(A10,Rackfile_combined!B:H,7,false),"")</f>
        <v>Packaging</v>
      </c>
      <c r="M10" s="186">
        <f t="shared" si="1"/>
        <v>0</v>
      </c>
      <c r="N10" s="335" t="s">
        <v>97</v>
      </c>
      <c r="P10" s="4" t="str">
        <f>IF(A10&lt;&gt;"",VLOOKUP(A10,Rackfile_combined!$B:$C,2,false),"")</f>
        <v>Factor Liner Small2</v>
      </c>
    </row>
    <row r="11">
      <c r="A11" s="186" t="s">
        <v>192</v>
      </c>
      <c r="B11" s="265">
        <v>0.0</v>
      </c>
      <c r="C11" s="265">
        <v>0.0</v>
      </c>
      <c r="D11" s="265">
        <v>0.0</v>
      </c>
      <c r="E11" s="265">
        <v>0.0</v>
      </c>
      <c r="F11" s="265">
        <v>0.0</v>
      </c>
      <c r="G11" s="265"/>
      <c r="H11" s="4"/>
      <c r="I11" s="8" t="s">
        <v>193</v>
      </c>
      <c r="J11" s="4" t="str">
        <f>IFERROR(VLOOKUP(A11,VolumeFile_combined!A:J,10,false),"")</f>
        <v/>
      </c>
      <c r="K11" s="4" t="str">
        <f>IFERROR(VLOOKUP(A11,SeparateFamily!A:B,2,false),"")</f>
        <v/>
      </c>
      <c r="L11" s="185" t="str">
        <f>IFERROR(VLOOKUP(A11,Rackfile_combined!B:H,7,false),"")</f>
        <v>Chilled</v>
      </c>
      <c r="M11" s="186">
        <f t="shared" si="1"/>
        <v>0</v>
      </c>
      <c r="N11" s="335" t="s">
        <v>97</v>
      </c>
      <c r="P11" s="4" t="str">
        <f>IF(A11&lt;&gt;"",VLOOKUP(A11,Rackfile_combined!$B:$C,2,false),"")</f>
        <v>Loyalties</v>
      </c>
    </row>
    <row r="12">
      <c r="A12" s="186" t="s">
        <v>194</v>
      </c>
      <c r="B12" s="265">
        <v>0.0</v>
      </c>
      <c r="C12" s="265">
        <v>0.0</v>
      </c>
      <c r="D12" s="265">
        <v>0.0</v>
      </c>
      <c r="E12" s="265">
        <v>0.0</v>
      </c>
      <c r="F12" s="265">
        <v>0.0</v>
      </c>
      <c r="G12" s="265"/>
      <c r="H12" s="4"/>
      <c r="I12" s="8" t="s">
        <v>195</v>
      </c>
      <c r="J12" s="4" t="str">
        <f>IFERROR(VLOOKUP(A12,VolumeFile_combined!A:J,10,false),"")</f>
        <v/>
      </c>
      <c r="K12" s="4" t="str">
        <f>IFERROR(VLOOKUP(A12,SeparateFamily!A:B,2,false),"")</f>
        <v/>
      </c>
      <c r="L12" s="185" t="str">
        <f>IFERROR(VLOOKUP(A12,Rackfile_combined!B:H,7,false),"")</f>
        <v>Chilled</v>
      </c>
      <c r="M12" s="186">
        <f t="shared" si="1"/>
        <v>0</v>
      </c>
      <c r="N12" s="335" t="s">
        <v>97</v>
      </c>
      <c r="P12" s="4" t="str">
        <f>IF(A12&lt;&gt;"",VLOOKUP(A12,Rackfile_combined!$B:$C,2,false),"")</f>
        <v>Loyalties</v>
      </c>
    </row>
    <row r="13">
      <c r="A13" s="186" t="s">
        <v>196</v>
      </c>
      <c r="B13" s="265">
        <v>0.0</v>
      </c>
      <c r="C13" s="265">
        <v>0.0</v>
      </c>
      <c r="D13" s="265">
        <v>0.0</v>
      </c>
      <c r="E13" s="265">
        <v>0.0</v>
      </c>
      <c r="F13" s="265">
        <v>0.0</v>
      </c>
      <c r="G13" s="265"/>
      <c r="H13" s="4"/>
      <c r="I13" s="8" t="s">
        <v>197</v>
      </c>
      <c r="J13" s="4" t="str">
        <f>IFERROR(VLOOKUP(A13,VolumeFile_combined!A:J,10,false),"")</f>
        <v/>
      </c>
      <c r="K13" s="4" t="str">
        <f>IFERROR(VLOOKUP(A13,SeparateFamily!A:B,2,false),"")</f>
        <v/>
      </c>
      <c r="L13" s="185" t="str">
        <f>IFERROR(VLOOKUP(A13,Rackfile_combined!B:H,7,false),"")</f>
        <v>Chilled</v>
      </c>
      <c r="M13" s="186">
        <f t="shared" si="1"/>
        <v>0</v>
      </c>
      <c r="N13" s="335" t="s">
        <v>97</v>
      </c>
      <c r="P13" s="4" t="str">
        <f>IF(A13&lt;&gt;"",VLOOKUP(A13,Rackfile_combined!$B:$C,2,false),"")</f>
        <v>Loyalties</v>
      </c>
    </row>
    <row r="14">
      <c r="A14" s="186" t="s">
        <v>198</v>
      </c>
      <c r="B14" s="265">
        <v>0.0</v>
      </c>
      <c r="C14" s="265">
        <v>0.0</v>
      </c>
      <c r="D14" s="265">
        <v>0.0</v>
      </c>
      <c r="E14" s="265">
        <v>0.0</v>
      </c>
      <c r="F14" s="265">
        <v>0.0</v>
      </c>
      <c r="G14" s="265"/>
      <c r="H14" s="4"/>
      <c r="I14" s="8" t="s">
        <v>199</v>
      </c>
      <c r="J14" s="4" t="str">
        <f>IFERROR(VLOOKUP(A14,VolumeFile_combined!A:J,10,false),"")</f>
        <v/>
      </c>
      <c r="K14" s="4" t="str">
        <f>IFERROR(VLOOKUP(A14,SeparateFamily!A:B,2,false),"")</f>
        <v/>
      </c>
      <c r="L14" s="185" t="str">
        <f>IFERROR(VLOOKUP(A14,Rackfile_combined!B:H,7,false),"")</f>
        <v>Chilled</v>
      </c>
      <c r="M14" s="186">
        <f t="shared" si="1"/>
        <v>0</v>
      </c>
      <c r="N14" s="335" t="s">
        <v>97</v>
      </c>
      <c r="P14" s="4" t="str">
        <f>IF(A14&lt;&gt;"",VLOOKUP(A14,Rackfile_combined!$B:$C,2,false),"")</f>
        <v>Loyalties</v>
      </c>
    </row>
    <row r="15">
      <c r="A15" s="186" t="s">
        <v>200</v>
      </c>
      <c r="B15" s="265">
        <v>0.0</v>
      </c>
      <c r="C15" s="265">
        <v>0.0</v>
      </c>
      <c r="D15" s="265">
        <v>0.0</v>
      </c>
      <c r="E15" s="265">
        <v>0.0</v>
      </c>
      <c r="F15" s="265">
        <v>0.0</v>
      </c>
      <c r="G15" s="265"/>
      <c r="H15" s="4"/>
      <c r="I15" s="8" t="s">
        <v>201</v>
      </c>
      <c r="J15" s="4" t="str">
        <f>IFERROR(VLOOKUP(A15,VolumeFile_combined!A:J,10,false),"")</f>
        <v/>
      </c>
      <c r="K15" s="4" t="str">
        <f>IFERROR(VLOOKUP(A15,SeparateFamily!A:B,2,false),"")</f>
        <v/>
      </c>
      <c r="L15" s="185" t="str">
        <f>IFERROR(VLOOKUP(A15,Rackfile_combined!B:H,7,false),"")</f>
        <v>Chilled</v>
      </c>
      <c r="M15" s="186">
        <f t="shared" si="1"/>
        <v>0</v>
      </c>
      <c r="N15" s="335" t="s">
        <v>97</v>
      </c>
      <c r="P15" s="4" t="str">
        <f>IF(A15&lt;&gt;"",VLOOKUP(A15,Rackfile_combined!$B:$C,2,false),"")</f>
        <v>Loyalties</v>
      </c>
    </row>
    <row r="16">
      <c r="A16" s="186" t="s">
        <v>202</v>
      </c>
      <c r="B16" s="336">
        <v>0.0</v>
      </c>
      <c r="C16" s="268">
        <v>0.0</v>
      </c>
      <c r="D16" s="268">
        <v>0.0</v>
      </c>
      <c r="E16" s="268">
        <v>0.0</v>
      </c>
      <c r="F16" s="268">
        <v>0.0</v>
      </c>
      <c r="G16" s="265"/>
      <c r="H16" s="4"/>
      <c r="I16" s="8" t="s">
        <v>203</v>
      </c>
      <c r="J16" s="4" t="str">
        <f>IFERROR(VLOOKUP(A16,VolumeFile_combined!A:J,10,false),"")</f>
        <v/>
      </c>
      <c r="K16" s="4" t="str">
        <f>IFERROR(VLOOKUP(A16,SeparateFamily!A:B,2,false),"")</f>
        <v/>
      </c>
      <c r="L16" s="185" t="str">
        <f>IFERROR(VLOOKUP(A16,Rackfile_combined!B:H,7,false),"")</f>
        <v>Chilled</v>
      </c>
      <c r="M16" s="189">
        <f t="shared" si="1"/>
        <v>0</v>
      </c>
      <c r="N16" s="335" t="s">
        <v>97</v>
      </c>
      <c r="P16" s="4" t="str">
        <f>IF(A16&lt;&gt;"",VLOOKUP(A16,Rackfile_combined!$B:$C,2,false),"")</f>
        <v>Loyalties</v>
      </c>
    </row>
    <row r="17">
      <c r="A17" s="186" t="s">
        <v>204</v>
      </c>
      <c r="B17" s="336">
        <v>0.0</v>
      </c>
      <c r="C17" s="268">
        <v>0.0</v>
      </c>
      <c r="D17" s="268">
        <v>0.0</v>
      </c>
      <c r="E17" s="268">
        <v>0.0</v>
      </c>
      <c r="F17" s="268">
        <v>0.0</v>
      </c>
      <c r="G17" s="265"/>
      <c r="H17" s="4"/>
      <c r="I17" s="8" t="s">
        <v>20</v>
      </c>
      <c r="J17" s="4" t="str">
        <f>IFERROR(VLOOKUP(A17,VolumeFile_combined!A:J,10,false),"")</f>
        <v/>
      </c>
      <c r="K17" s="4" t="str">
        <f>IFERROR(VLOOKUP(A17,SeparateFamily!A:B,2,false),"")</f>
        <v/>
      </c>
      <c r="L17" s="185" t="str">
        <f>IFERROR(VLOOKUP(A17,Rackfile_combined!B:H,7,false),"")</f>
        <v>Chilled</v>
      </c>
      <c r="M17" s="189">
        <f t="shared" si="1"/>
        <v>0</v>
      </c>
      <c r="N17" s="335" t="s">
        <v>97</v>
      </c>
      <c r="P17" s="4" t="str">
        <f>IF(A17&lt;&gt;"",VLOOKUP(A17,Rackfile_combined!$B:$C,2,false),"")</f>
        <v>Loyalties</v>
      </c>
    </row>
    <row r="18">
      <c r="A18" s="186" t="s">
        <v>205</v>
      </c>
      <c r="B18" s="336">
        <v>0.0</v>
      </c>
      <c r="C18" s="268">
        <v>0.0</v>
      </c>
      <c r="D18" s="268">
        <v>0.0</v>
      </c>
      <c r="E18" s="268">
        <v>0.0</v>
      </c>
      <c r="F18" s="268">
        <v>0.0</v>
      </c>
      <c r="G18" s="265"/>
      <c r="H18" s="4"/>
      <c r="I18" s="8" t="s">
        <v>206</v>
      </c>
      <c r="J18" s="4" t="str">
        <f>IFERROR(VLOOKUP(A18,VolumeFile_combined!A:J,10,false),"")</f>
        <v/>
      </c>
      <c r="K18" s="4" t="str">
        <f>IFERROR(VLOOKUP(A18,SeparateFamily!A:B,2,false),"")</f>
        <v/>
      </c>
      <c r="L18" s="185" t="str">
        <f>IFERROR(VLOOKUP(A18,Rackfile_combined!B:H,7,false),"")</f>
        <v>Chilled</v>
      </c>
      <c r="M18" s="189">
        <f t="shared" si="1"/>
        <v>0</v>
      </c>
      <c r="N18" s="335" t="s">
        <v>97</v>
      </c>
      <c r="P18" s="4" t="str">
        <f>IF(A18&lt;&gt;"",VLOOKUP(A18,Rackfile_combined!$B:$C,2,false),"")</f>
        <v>Loyalties</v>
      </c>
    </row>
    <row r="19">
      <c r="A19" s="186" t="s">
        <v>207</v>
      </c>
      <c r="B19" s="336">
        <v>0.0</v>
      </c>
      <c r="C19" s="268">
        <v>0.0</v>
      </c>
      <c r="D19" s="268">
        <v>0.0</v>
      </c>
      <c r="E19" s="268">
        <v>0.0</v>
      </c>
      <c r="F19" s="268">
        <v>0.0</v>
      </c>
      <c r="G19" s="265"/>
      <c r="H19" s="4"/>
      <c r="I19" s="8" t="s">
        <v>208</v>
      </c>
      <c r="J19" s="4" t="str">
        <f>IFERROR(VLOOKUP(A19,VolumeFile_combined!A:J,10,false),"")</f>
        <v/>
      </c>
      <c r="K19" s="4" t="str">
        <f>IFERROR(VLOOKUP(A19,SeparateFamily!A:B,2,false),"")</f>
        <v/>
      </c>
      <c r="L19" s="185" t="str">
        <f>IFERROR(VLOOKUP(A19,Rackfile_combined!B:H,7,false),"")</f>
        <v>Chilled</v>
      </c>
      <c r="M19" s="189">
        <f t="shared" si="1"/>
        <v>0</v>
      </c>
      <c r="N19" s="335" t="s">
        <v>97</v>
      </c>
      <c r="P19" s="4" t="str">
        <f>IF(A19&lt;&gt;"",VLOOKUP(A19,Rackfile_combined!$B:$C,2,false),"")</f>
        <v>Loyalties</v>
      </c>
    </row>
    <row r="20">
      <c r="A20" s="186" t="s">
        <v>209</v>
      </c>
      <c r="B20" s="336">
        <v>48.0</v>
      </c>
      <c r="C20" s="268" t="s">
        <v>210</v>
      </c>
      <c r="D20" s="268" t="s">
        <v>210</v>
      </c>
      <c r="E20" s="268" t="s">
        <v>210</v>
      </c>
      <c r="F20" s="268" t="s">
        <v>210</v>
      </c>
      <c r="G20" s="265"/>
      <c r="H20" s="4"/>
      <c r="I20" s="8" t="s">
        <v>166</v>
      </c>
      <c r="J20" s="4" t="str">
        <f>IFERROR(VLOOKUP(A20,VolumeFile_combined!A:J,10,false),"")</f>
        <v/>
      </c>
      <c r="K20" s="4" t="str">
        <f>IFERROR(VLOOKUP(A20,SeparateFamily!A:B,2,false),"")</f>
        <v/>
      </c>
      <c r="L20" s="185" t="str">
        <f>IFERROR(VLOOKUP(A20,Rackfile_combined!B:H,7,false),"")</f>
        <v>Chilled</v>
      </c>
      <c r="M20" s="189">
        <f t="shared" si="1"/>
        <v>48</v>
      </c>
      <c r="N20" s="335" t="s">
        <v>97</v>
      </c>
      <c r="P20" s="4" t="str">
        <f>IF(A20&lt;&gt;"",VLOOKUP(A20,Rackfile_combined!$B:$C,2,false),"")</f>
        <v>BEV-00-136840-3a</v>
      </c>
    </row>
    <row r="21">
      <c r="A21" s="186" t="s">
        <v>211</v>
      </c>
      <c r="B21" s="336">
        <v>56.0</v>
      </c>
      <c r="C21" s="268" t="s">
        <v>210</v>
      </c>
      <c r="D21" s="268" t="s">
        <v>210</v>
      </c>
      <c r="E21" s="268" t="s">
        <v>210</v>
      </c>
      <c r="F21" s="268" t="s">
        <v>210</v>
      </c>
      <c r="G21" s="265"/>
      <c r="H21" s="4"/>
      <c r="I21" s="8" t="s">
        <v>212</v>
      </c>
      <c r="J21" s="4" t="str">
        <f>IFERROR(VLOOKUP(A21,VolumeFile_combined!A:J,10,false),"")</f>
        <v/>
      </c>
      <c r="K21" s="4" t="str">
        <f>IFERROR(VLOOKUP(A21,SeparateFamily!A:B,2,false),"")</f>
        <v/>
      </c>
      <c r="L21" s="185" t="str">
        <f>IFERROR(VLOOKUP(A21,Rackfile_combined!B:H,7,false),"")</f>
        <v>Chilled</v>
      </c>
      <c r="M21" s="189">
        <f t="shared" si="1"/>
        <v>56</v>
      </c>
      <c r="N21" s="335" t="s">
        <v>97</v>
      </c>
      <c r="P21" s="4" t="str">
        <f>IF(A21&lt;&gt;"",VLOOKUP(A21,Rackfile_combined!$B:$C,2,false),"")</f>
        <v>BEV-00-137951-2a</v>
      </c>
    </row>
    <row r="22">
      <c r="A22" s="186" t="s">
        <v>213</v>
      </c>
      <c r="B22" s="337">
        <v>36.0</v>
      </c>
      <c r="C22" s="268" t="s">
        <v>210</v>
      </c>
      <c r="D22" s="268" t="s">
        <v>210</v>
      </c>
      <c r="E22" s="268" t="s">
        <v>210</v>
      </c>
      <c r="F22" s="268" t="s">
        <v>210</v>
      </c>
      <c r="G22" s="265"/>
      <c r="H22" s="4"/>
      <c r="I22" s="8" t="s">
        <v>214</v>
      </c>
      <c r="J22" s="4" t="str">
        <f>IFERROR(VLOOKUP(A22,VolumeFile_combined!A:J,10,false),"")</f>
        <v/>
      </c>
      <c r="K22" s="4" t="str">
        <f>IFERROR(VLOOKUP(A22,SeparateFamily!A:B,2,false),"")</f>
        <v/>
      </c>
      <c r="L22" s="185" t="str">
        <f>IFERROR(VLOOKUP(A22,Rackfile_combined!B:H,7,false),"")</f>
        <v>Chilled</v>
      </c>
      <c r="M22" s="189">
        <f t="shared" si="1"/>
        <v>36</v>
      </c>
      <c r="N22" s="335" t="s">
        <v>97</v>
      </c>
      <c r="P22" s="4" t="str">
        <f>IF(A22&lt;&gt;"",VLOOKUP(A22,Rackfile_combined!$B:$C,2,false),"")</f>
        <v>BEV-00-137952-2a</v>
      </c>
    </row>
    <row r="23">
      <c r="A23" s="186" t="s">
        <v>11</v>
      </c>
      <c r="B23" s="336">
        <v>2194.0</v>
      </c>
      <c r="C23" s="268">
        <v>0.0</v>
      </c>
      <c r="D23" s="268">
        <v>0.0</v>
      </c>
      <c r="E23" s="268">
        <v>0.0</v>
      </c>
      <c r="F23" s="268">
        <v>0.0</v>
      </c>
      <c r="G23" s="265"/>
      <c r="H23" s="4"/>
      <c r="I23" s="8" t="s">
        <v>129</v>
      </c>
      <c r="J23" s="4" t="str">
        <f>IFERROR(VLOOKUP(A23,VolumeFile_combined!A:J,10,false),"")</f>
        <v/>
      </c>
      <c r="K23" s="4" t="str">
        <f>IFERROR(VLOOKUP(A23,SeparateFamily!A:B,2,false),"")</f>
        <v/>
      </c>
      <c r="L23" s="185" t="str">
        <f>IFERROR(VLOOKUP(A23,Rackfile_combined!B:H,7,false),"")</f>
        <v>Chilled</v>
      </c>
      <c r="M23" s="189">
        <f t="shared" si="1"/>
        <v>2194</v>
      </c>
      <c r="N23" s="335" t="s">
        <v>97</v>
      </c>
      <c r="P23" s="4" t="str">
        <f>IF(A23&lt;&gt;"",VLOOKUP(A23,Rackfile_combined!$B:$C,2,false),"")</f>
        <v>IcePack</v>
      </c>
    </row>
    <row r="24">
      <c r="A24" s="186" t="s">
        <v>16</v>
      </c>
      <c r="B24" s="337">
        <v>1887.0</v>
      </c>
      <c r="C24" s="268">
        <v>0.0</v>
      </c>
      <c r="D24" s="268">
        <v>0.0</v>
      </c>
      <c r="E24" s="268">
        <v>0.0</v>
      </c>
      <c r="F24" s="268">
        <v>0.0</v>
      </c>
      <c r="G24" s="265"/>
      <c r="H24" s="4"/>
      <c r="I24" s="8" t="s">
        <v>17</v>
      </c>
      <c r="J24" s="4" t="str">
        <f>IFERROR(VLOOKUP(A24,VolumeFile_combined!A:J,10,false),"")</f>
        <v/>
      </c>
      <c r="K24" s="4" t="str">
        <f>IFERROR(VLOOKUP(A24,SeparateFamily!A:B,2,false),"")</f>
        <v/>
      </c>
      <c r="L24" s="185" t="str">
        <f>IFERROR(VLOOKUP(A24,Rackfile_combined!B:H,7,false),"")</f>
        <v>Chilled</v>
      </c>
      <c r="M24" s="189">
        <f t="shared" si="1"/>
        <v>1887</v>
      </c>
      <c r="N24" s="335" t="s">
        <v>97</v>
      </c>
      <c r="P24" s="4" t="str">
        <f>IF(A24&lt;&gt;"",VLOOKUP(A24,Rackfile_combined!$B:$C,2,false),"")</f>
        <v>IcePack</v>
      </c>
    </row>
    <row r="25">
      <c r="A25" s="186" t="s">
        <v>19</v>
      </c>
      <c r="B25" s="337">
        <v>2194.0</v>
      </c>
      <c r="C25" s="268">
        <v>0.0</v>
      </c>
      <c r="D25" s="268">
        <v>0.0</v>
      </c>
      <c r="E25" s="268">
        <v>0.0</v>
      </c>
      <c r="F25" s="268">
        <v>0.0</v>
      </c>
      <c r="G25" s="265"/>
      <c r="H25" s="4"/>
      <c r="I25" s="8" t="s">
        <v>145</v>
      </c>
      <c r="J25" s="4" t="str">
        <f>IFERROR(VLOOKUP(A25,VolumeFile_combined!A:J,10,false),"")</f>
        <v/>
      </c>
      <c r="K25" s="4" t="str">
        <f>IFERROR(VLOOKUP(A25,SeparateFamily!A:B,2,false),"")</f>
        <v/>
      </c>
      <c r="L25" s="185" t="str">
        <f>IFERROR(VLOOKUP(A25,Rackfile_combined!B:H,7,false),"")</f>
        <v>Chilled</v>
      </c>
      <c r="M25" s="189">
        <f t="shared" si="1"/>
        <v>2194</v>
      </c>
      <c r="N25" s="335" t="s">
        <v>97</v>
      </c>
      <c r="P25" s="4" t="str">
        <f>IF(A25&lt;&gt;"",VLOOKUP(A25,Rackfile_combined!$B:$C,2,false),"")</f>
        <v>IcePack</v>
      </c>
    </row>
    <row r="26">
      <c r="A26" s="186" t="s">
        <v>218</v>
      </c>
      <c r="B26" s="337">
        <v>2982.0</v>
      </c>
      <c r="C26" s="268" t="s">
        <v>210</v>
      </c>
      <c r="D26" s="268" t="s">
        <v>210</v>
      </c>
      <c r="E26" s="268" t="s">
        <v>210</v>
      </c>
      <c r="F26" s="268" t="s">
        <v>210</v>
      </c>
      <c r="G26" s="265"/>
      <c r="H26" s="4"/>
      <c r="I26" s="8"/>
      <c r="J26" s="4" t="str">
        <f>IFERROR(VLOOKUP(A26,VolumeFile_combined!A:J,10,false),"")</f>
        <v/>
      </c>
      <c r="K26" s="4" t="str">
        <f>IFERROR(VLOOKUP(A26,SeparateFamily!A:B,2,false),"")</f>
        <v>Gegrillt</v>
      </c>
      <c r="L26" s="185" t="str">
        <f>IFERROR(VLOOKUP(A26,Rackfile_combined!B:H,7,false),"")</f>
        <v>Chilled</v>
      </c>
      <c r="M26" s="189">
        <f t="shared" si="1"/>
        <v>2982</v>
      </c>
      <c r="N26" s="335" t="s">
        <v>97</v>
      </c>
      <c r="P26" s="4" t="str">
        <f>IF(A26&lt;&gt;"",VLOOKUP(A26,Rackfile_combined!$B:$C,2,false),"")</f>
        <v>CON-00-136674-3</v>
      </c>
    </row>
    <row r="27">
      <c r="A27" s="186" t="s">
        <v>219</v>
      </c>
      <c r="B27" s="336">
        <v>1852.0</v>
      </c>
      <c r="C27" s="268" t="s">
        <v>210</v>
      </c>
      <c r="D27" s="268" t="s">
        <v>210</v>
      </c>
      <c r="E27" s="268" t="s">
        <v>210</v>
      </c>
      <c r="F27" s="268" t="s">
        <v>210</v>
      </c>
      <c r="G27" s="265"/>
      <c r="H27" s="4"/>
      <c r="I27" s="8"/>
      <c r="J27" s="4" t="str">
        <f>IFERROR(VLOOKUP(A27,VolumeFile_combined!A:J,10,false),"")</f>
        <v/>
      </c>
      <c r="K27" s="4" t="str">
        <f>IFERROR(VLOOKUP(A27,SeparateFamily!A:B,2,false),"")</f>
        <v/>
      </c>
      <c r="L27" s="185" t="str">
        <f>IFERROR(VLOOKUP(A27,Rackfile_combined!B:H,7,false),"")</f>
        <v>Chilled</v>
      </c>
      <c r="M27" s="189">
        <f t="shared" si="1"/>
        <v>1852</v>
      </c>
      <c r="N27" s="335" t="s">
        <v>97</v>
      </c>
      <c r="P27" s="4" t="str">
        <f>IF(A27&lt;&gt;"",VLOOKUP(A27,Rackfile_combined!$B:$C,2,false),"")</f>
        <v>CON-00-152205-2</v>
      </c>
    </row>
    <row r="28">
      <c r="A28" s="186" t="s">
        <v>220</v>
      </c>
      <c r="B28" s="337">
        <v>2002.0</v>
      </c>
      <c r="C28" s="268" t="s">
        <v>210</v>
      </c>
      <c r="D28" s="268" t="s">
        <v>210</v>
      </c>
      <c r="E28" s="268" t="s">
        <v>210</v>
      </c>
      <c r="F28" s="268" t="s">
        <v>210</v>
      </c>
      <c r="G28" s="265"/>
      <c r="H28" s="4"/>
      <c r="I28" s="8"/>
      <c r="J28" s="4" t="str">
        <f>IFERROR(VLOOKUP(A28,VolumeFile_combined!A:J,10,false),"")</f>
        <v/>
      </c>
      <c r="K28" s="4" t="str">
        <f>IFERROR(VLOOKUP(A28,SeparateFamily!A:B,2,false),"")</f>
        <v/>
      </c>
      <c r="L28" s="185" t="str">
        <f>IFERROR(VLOOKUP(A28,Rackfile_combined!B:H,7,false),"")</f>
        <v>Chilled</v>
      </c>
      <c r="M28" s="189">
        <f t="shared" si="1"/>
        <v>2002</v>
      </c>
      <c r="N28" s="335" t="s">
        <v>97</v>
      </c>
      <c r="P28" s="4" t="str">
        <f>IF(A28&lt;&gt;"",VLOOKUP(A28,Rackfile_combined!$B:$C,2,false),"")</f>
        <v>CON-00-136698-3</v>
      </c>
    </row>
    <row r="29">
      <c r="A29" s="186" t="s">
        <v>221</v>
      </c>
      <c r="B29" s="337">
        <v>10.0</v>
      </c>
      <c r="C29" s="268" t="s">
        <v>210</v>
      </c>
      <c r="D29" s="268" t="s">
        <v>210</v>
      </c>
      <c r="E29" s="268" t="s">
        <v>210</v>
      </c>
      <c r="F29" s="268" t="s">
        <v>210</v>
      </c>
      <c r="G29" s="265"/>
      <c r="H29" s="4"/>
      <c r="I29" s="8"/>
      <c r="J29" s="4" t="str">
        <f>IFERROR(VLOOKUP(A29,VolumeFile_combined!A:J,10,false),"")</f>
        <v/>
      </c>
      <c r="K29" s="4" t="str">
        <f>IFERROR(VLOOKUP(A29,SeparateFamily!A:B,2,false),"")</f>
        <v>Lachs</v>
      </c>
      <c r="L29" s="185" t="str">
        <f>IFERROR(VLOOKUP(A29,Rackfile_combined!B:H,7,false),"")</f>
        <v>Chilled</v>
      </c>
      <c r="M29" s="189">
        <f t="shared" si="1"/>
        <v>10</v>
      </c>
      <c r="N29" s="335" t="s">
        <v>97</v>
      </c>
      <c r="P29" s="4" t="str">
        <f>IF(A29&lt;&gt;"",VLOOKUP(A29,Rackfile_combined!$B:$C,2,false),"")</f>
        <v>CON-00-137745-2</v>
      </c>
    </row>
    <row r="30">
      <c r="A30" s="186" t="s">
        <v>222</v>
      </c>
      <c r="B30" s="337">
        <v>2006.0</v>
      </c>
      <c r="C30" s="268" t="s">
        <v>210</v>
      </c>
      <c r="D30" s="268" t="s">
        <v>210</v>
      </c>
      <c r="E30" s="268" t="s">
        <v>210</v>
      </c>
      <c r="F30" s="268" t="s">
        <v>210</v>
      </c>
      <c r="G30" s="265"/>
      <c r="H30" s="4"/>
      <c r="I30" s="8"/>
      <c r="J30" s="4" t="str">
        <f>IFERROR(VLOOKUP(A30,VolumeFile_combined!A:J,10,false),"")</f>
        <v/>
      </c>
      <c r="K30" s="4" t="str">
        <f>IFERROR(VLOOKUP(A30,SeparateFamily!A:B,2,false),"")</f>
        <v/>
      </c>
      <c r="L30" s="185" t="str">
        <f>IFERROR(VLOOKUP(A30,Rackfile_combined!B:H,7,false),"")</f>
        <v>Chilled</v>
      </c>
      <c r="M30" s="189">
        <f t="shared" si="1"/>
        <v>2006</v>
      </c>
      <c r="N30" s="335" t="s">
        <v>97</v>
      </c>
      <c r="P30" s="4" t="str">
        <f>IF(A30&lt;&gt;"",VLOOKUP(A30,Rackfile_combined!$B:$C,2,false),"")</f>
        <v>CON-00-150748-2</v>
      </c>
    </row>
    <row r="31">
      <c r="A31" s="186" t="s">
        <v>223</v>
      </c>
      <c r="B31" s="337">
        <v>10.0</v>
      </c>
      <c r="C31" s="268" t="s">
        <v>210</v>
      </c>
      <c r="D31" s="268" t="s">
        <v>210</v>
      </c>
      <c r="E31" s="268" t="s">
        <v>210</v>
      </c>
      <c r="F31" s="268" t="s">
        <v>210</v>
      </c>
      <c r="G31" s="265"/>
      <c r="H31" s="4"/>
      <c r="I31" s="8"/>
      <c r="J31" s="4" t="str">
        <f>IFERROR(VLOOKUP(A31,VolumeFile_combined!A:J,10,false),"")</f>
        <v/>
      </c>
      <c r="K31" s="4" t="str">
        <f>IFERROR(VLOOKUP(A31,SeparateFamily!A:B,2,false),"")</f>
        <v>Lachs</v>
      </c>
      <c r="L31" s="185" t="str">
        <f>IFERROR(VLOOKUP(A31,Rackfile_combined!B:H,7,false),"")</f>
        <v>Chilled</v>
      </c>
      <c r="M31" s="189">
        <f t="shared" si="1"/>
        <v>10</v>
      </c>
      <c r="N31" s="335" t="s">
        <v>97</v>
      </c>
      <c r="P31" s="4" t="str">
        <f>IF(A31&lt;&gt;"",VLOOKUP(A31,Rackfile_combined!$B:$C,2,false),"")</f>
        <v>CON-00-152025-2</v>
      </c>
    </row>
    <row r="32">
      <c r="A32" s="186" t="s">
        <v>224</v>
      </c>
      <c r="B32" s="337">
        <v>61.0</v>
      </c>
      <c r="C32" s="268" t="s">
        <v>210</v>
      </c>
      <c r="D32" s="268" t="s">
        <v>210</v>
      </c>
      <c r="E32" s="268" t="s">
        <v>210</v>
      </c>
      <c r="F32" s="268" t="s">
        <v>210</v>
      </c>
      <c r="G32" s="265"/>
      <c r="H32" s="4"/>
      <c r="I32" s="8"/>
      <c r="J32" s="4" t="str">
        <f>IFERROR(VLOOKUP(A32,VolumeFile_combined!A:J,10,false),"")</f>
        <v/>
      </c>
      <c r="K32" s="4" t="str">
        <f>IFERROR(VLOOKUP(A32,SeparateFamily!A:B,2,false),"")</f>
        <v/>
      </c>
      <c r="L32" s="185" t="str">
        <f>IFERROR(VLOOKUP(A32,Rackfile_combined!B:H,7,false),"")</f>
        <v>Chilled</v>
      </c>
      <c r="M32" s="189">
        <f t="shared" si="1"/>
        <v>61</v>
      </c>
      <c r="N32" s="335" t="s">
        <v>97</v>
      </c>
      <c r="P32" s="4" t="str">
        <f>IF(A32&lt;&gt;"",VLOOKUP(A32,Rackfile_combined!$B:$C,2,false),"")</f>
        <v>CON-00-148220-2</v>
      </c>
    </row>
    <row r="33">
      <c r="A33" s="186" t="s">
        <v>225</v>
      </c>
      <c r="B33" s="337">
        <v>1133.0</v>
      </c>
      <c r="C33" s="268" t="s">
        <v>210</v>
      </c>
      <c r="D33" s="268" t="s">
        <v>210</v>
      </c>
      <c r="E33" s="268" t="s">
        <v>210</v>
      </c>
      <c r="F33" s="268" t="s">
        <v>210</v>
      </c>
      <c r="G33" s="265"/>
      <c r="H33" s="4"/>
      <c r="I33" s="8"/>
      <c r="J33" s="4" t="str">
        <f>IFERROR(VLOOKUP(A33,VolumeFile_combined!A:J,10,false),"")</f>
        <v/>
      </c>
      <c r="K33" s="4" t="str">
        <f>IFERROR(VLOOKUP(A33,SeparateFamily!A:B,2,false),"")</f>
        <v/>
      </c>
      <c r="L33" s="185" t="str">
        <f>IFERROR(VLOOKUP(A33,Rackfile_combined!B:H,7,false),"")</f>
        <v>Chilled</v>
      </c>
      <c r="M33" s="189">
        <f t="shared" si="1"/>
        <v>1133</v>
      </c>
      <c r="N33" s="335" t="s">
        <v>97</v>
      </c>
      <c r="P33" s="4" t="str">
        <f>IF(A33&lt;&gt;"",VLOOKUP(A33,Rackfile_combined!$B:$C,2,false),"")</f>
        <v>CON-00-136638-3</v>
      </c>
    </row>
    <row r="34">
      <c r="A34" s="186" t="s">
        <v>226</v>
      </c>
      <c r="B34" s="337">
        <v>368.0</v>
      </c>
      <c r="C34" s="268" t="s">
        <v>210</v>
      </c>
      <c r="D34" s="268" t="s">
        <v>210</v>
      </c>
      <c r="E34" s="268" t="s">
        <v>210</v>
      </c>
      <c r="F34" s="268" t="s">
        <v>210</v>
      </c>
      <c r="G34" s="265"/>
      <c r="H34" s="4"/>
      <c r="I34" s="8"/>
      <c r="J34" s="4" t="str">
        <f>IFERROR(VLOOKUP(A34,VolumeFile_combined!A:J,10,false),"")</f>
        <v/>
      </c>
      <c r="K34" s="4" t="str">
        <f>IFERROR(VLOOKUP(A34,SeparateFamily!A:B,2,false),"")</f>
        <v>Cremiges</v>
      </c>
      <c r="L34" s="185" t="str">
        <f>IFERROR(VLOOKUP(A34,Rackfile_combined!B:H,7,false),"")</f>
        <v>Chilled</v>
      </c>
      <c r="M34" s="189">
        <f t="shared" si="1"/>
        <v>368</v>
      </c>
      <c r="N34" s="335" t="s">
        <v>97</v>
      </c>
      <c r="P34" s="4" t="str">
        <f>IF(A34&lt;&gt;"",VLOOKUP(A34,Rackfile_combined!$B:$C,2,false),"")</f>
        <v>CON-00-136629-3</v>
      </c>
    </row>
    <row r="35">
      <c r="A35" s="186" t="s">
        <v>227</v>
      </c>
      <c r="B35" s="337">
        <v>298.0</v>
      </c>
      <c r="C35" s="268" t="s">
        <v>210</v>
      </c>
      <c r="D35" s="268" t="s">
        <v>210</v>
      </c>
      <c r="E35" s="268" t="s">
        <v>210</v>
      </c>
      <c r="F35" s="268" t="s">
        <v>210</v>
      </c>
      <c r="G35" s="265"/>
      <c r="H35" s="4"/>
      <c r="I35" s="8"/>
      <c r="J35" s="4" t="str">
        <f>IFERROR(VLOOKUP(A35,VolumeFile_combined!A:J,10,false),"")</f>
        <v/>
      </c>
      <c r="K35" s="4" t="str">
        <f>IFERROR(VLOOKUP(A35,SeparateFamily!A:B,2,false),"")</f>
        <v/>
      </c>
      <c r="L35" s="185" t="str">
        <f>IFERROR(VLOOKUP(A35,Rackfile_combined!B:H,7,false),"")</f>
        <v>Chilled</v>
      </c>
      <c r="M35" s="189">
        <f t="shared" si="1"/>
        <v>298</v>
      </c>
      <c r="N35" s="335" t="s">
        <v>97</v>
      </c>
      <c r="P35" s="4" t="str">
        <f>IF(A35&lt;&gt;"",VLOOKUP(A35,Rackfile_combined!$B:$C,2,false),"")</f>
        <v>CON-00-136634-3</v>
      </c>
    </row>
    <row r="36">
      <c r="A36" s="186" t="s">
        <v>228</v>
      </c>
      <c r="B36" s="337">
        <v>517.0</v>
      </c>
      <c r="C36" s="268" t="s">
        <v>210</v>
      </c>
      <c r="D36" s="268" t="s">
        <v>210</v>
      </c>
      <c r="E36" s="268" t="s">
        <v>210</v>
      </c>
      <c r="F36" s="268" t="s">
        <v>210</v>
      </c>
      <c r="G36" s="265"/>
      <c r="H36" s="4"/>
      <c r="I36" s="8"/>
      <c r="J36" s="4" t="str">
        <f>IFERROR(VLOOKUP(A36,VolumeFile_combined!A:J,10,false),"")</f>
        <v/>
      </c>
      <c r="K36" s="4" t="str">
        <f>IFERROR(VLOOKUP(A36,SeparateFamily!A:B,2,false),"")</f>
        <v>Schwein</v>
      </c>
      <c r="L36" s="185" t="str">
        <f>IFERROR(VLOOKUP(A36,Rackfile_combined!B:H,7,false),"")</f>
        <v>Chilled</v>
      </c>
      <c r="M36" s="189">
        <f t="shared" si="1"/>
        <v>517</v>
      </c>
      <c r="N36" s="335" t="s">
        <v>97</v>
      </c>
      <c r="P36" s="4" t="str">
        <f>IF(A36&lt;&gt;"",VLOOKUP(A36,Rackfile_combined!$B:$C,2,false),"")</f>
        <v>CON-00-136637-3</v>
      </c>
    </row>
    <row r="37">
      <c r="A37" s="186" t="s">
        <v>229</v>
      </c>
      <c r="B37" s="337">
        <v>1180.0</v>
      </c>
      <c r="C37" s="268" t="s">
        <v>210</v>
      </c>
      <c r="D37" s="268" t="s">
        <v>210</v>
      </c>
      <c r="E37" s="268" t="s">
        <v>210</v>
      </c>
      <c r="F37" s="268" t="s">
        <v>210</v>
      </c>
      <c r="G37" s="265"/>
      <c r="H37" s="4"/>
      <c r="I37" s="8"/>
      <c r="J37" s="4" t="str">
        <f>IFERROR(VLOOKUP(A37,VolumeFile_combined!A:J,10,false),"")</f>
        <v/>
      </c>
      <c r="K37" s="4" t="str">
        <f>IFERROR(VLOOKUP(A37,SeparateFamily!A:B,2,false),"")</f>
        <v/>
      </c>
      <c r="L37" s="185" t="str">
        <f>IFERROR(VLOOKUP(A37,Rackfile_combined!B:H,7,false),"")</f>
        <v>Chilled</v>
      </c>
      <c r="M37" s="189">
        <f t="shared" si="1"/>
        <v>1180</v>
      </c>
      <c r="N37" s="335" t="s">
        <v>97</v>
      </c>
      <c r="P37" s="4" t="str">
        <f>IF(A37&lt;&gt;"",VLOOKUP(A37,Rackfile_combined!$B:$C,2,false),"")</f>
        <v>CON-00-151278-2</v>
      </c>
    </row>
    <row r="38">
      <c r="A38" s="186" t="s">
        <v>230</v>
      </c>
      <c r="B38" s="337">
        <v>1195.0</v>
      </c>
      <c r="C38" s="268" t="s">
        <v>210</v>
      </c>
      <c r="D38" s="268" t="s">
        <v>210</v>
      </c>
      <c r="E38" s="268" t="s">
        <v>210</v>
      </c>
      <c r="F38" s="268" t="s">
        <v>210</v>
      </c>
      <c r="G38" s="265"/>
      <c r="H38" s="4"/>
      <c r="I38" s="8"/>
      <c r="J38" s="4" t="str">
        <f>IFERROR(VLOOKUP(A38,VolumeFile_combined!A:J,10,false),"")</f>
        <v/>
      </c>
      <c r="K38" s="4" t="str">
        <f>IFERROR(VLOOKUP(A38,SeparateFamily!A:B,2,false),"")</f>
        <v/>
      </c>
      <c r="L38" s="185" t="str">
        <f>IFERROR(VLOOKUP(A38,Rackfile_combined!B:H,7,false),"")</f>
        <v>Chilled</v>
      </c>
      <c r="M38" s="189">
        <f t="shared" si="1"/>
        <v>1195</v>
      </c>
      <c r="N38" s="335" t="s">
        <v>97</v>
      </c>
      <c r="P38" s="4" t="str">
        <f>IF(A38&lt;&gt;"",VLOOKUP(A38,Rackfile_combined!$B:$C,2,false),"")</f>
        <v>CON-00-138152-2</v>
      </c>
    </row>
    <row r="39">
      <c r="A39" s="186" t="s">
        <v>231</v>
      </c>
      <c r="B39" s="337">
        <v>627.0</v>
      </c>
      <c r="C39" s="265" t="s">
        <v>210</v>
      </c>
      <c r="D39" s="265" t="s">
        <v>210</v>
      </c>
      <c r="E39" s="265" t="s">
        <v>210</v>
      </c>
      <c r="F39" s="265" t="s">
        <v>210</v>
      </c>
      <c r="G39" s="265"/>
      <c r="H39" s="4"/>
      <c r="I39" s="8"/>
      <c r="J39" s="4" t="str">
        <f>IFERROR(VLOOKUP(A39,VolumeFile_combined!A:J,10,false),"")</f>
        <v/>
      </c>
      <c r="K39" s="4" t="str">
        <f>IFERROR(VLOOKUP(A39,SeparateFamily!A:B,2,false),"")</f>
        <v>Gegrillt</v>
      </c>
      <c r="L39" s="185" t="str">
        <f>IFERROR(VLOOKUP(A39,Rackfile_combined!B:H,7,false),"")</f>
        <v>Chilled</v>
      </c>
      <c r="M39" s="189">
        <f t="shared" si="1"/>
        <v>627</v>
      </c>
      <c r="N39" s="335" t="s">
        <v>97</v>
      </c>
      <c r="P39" s="4" t="str">
        <f>IF(A39&lt;&gt;"",VLOOKUP(A39,Rackfile_combined!$B:$C,2,false),"")</f>
        <v>CON-00-152024-2</v>
      </c>
    </row>
    <row r="40">
      <c r="A40" s="338" t="s">
        <v>232</v>
      </c>
      <c r="B40" s="339">
        <v>561.0</v>
      </c>
      <c r="C40" s="340" t="s">
        <v>210</v>
      </c>
      <c r="D40" s="340" t="s">
        <v>210</v>
      </c>
      <c r="E40" s="340" t="s">
        <v>210</v>
      </c>
      <c r="F40" s="340" t="s">
        <v>210</v>
      </c>
      <c r="G40" s="341"/>
      <c r="H40" s="342"/>
      <c r="I40" s="343"/>
      <c r="J40" s="342" t="str">
        <f>IFERROR(VLOOKUP(A40,VolumeFile_combined!A:J,10,false),"")</f>
        <v/>
      </c>
      <c r="K40" s="342" t="str">
        <f>IFERROR(VLOOKUP(A40,SeparateFamily!A:B,2,false),"")</f>
        <v/>
      </c>
      <c r="L40" s="344" t="str">
        <f>IFERROR(VLOOKUP(A40,Rackfile_combined!B:H,7,false),"")</f>
        <v>Chilled</v>
      </c>
      <c r="M40" s="345">
        <f t="shared" si="1"/>
        <v>561</v>
      </c>
      <c r="N40" s="346" t="s">
        <v>97</v>
      </c>
      <c r="O40" s="338"/>
      <c r="P40" s="342" t="str">
        <f>IF(A40&lt;&gt;"",VLOOKUP(A40,Rackfile_combined!$B:$C,2,false),"")</f>
        <v>CON-00-136694-3</v>
      </c>
    </row>
    <row r="41">
      <c r="A41" s="186" t="s">
        <v>233</v>
      </c>
      <c r="B41" s="337">
        <v>695.0</v>
      </c>
      <c r="C41" s="265" t="s">
        <v>210</v>
      </c>
      <c r="D41" s="265" t="s">
        <v>210</v>
      </c>
      <c r="E41" s="265" t="s">
        <v>210</v>
      </c>
      <c r="F41" s="265" t="s">
        <v>210</v>
      </c>
      <c r="G41" s="265"/>
      <c r="H41" s="4"/>
      <c r="I41" s="8"/>
      <c r="J41" s="4" t="str">
        <f>IFERROR(VLOOKUP(A41,VolumeFile_combined!A:J,10,false),"")</f>
        <v/>
      </c>
      <c r="K41" s="4" t="str">
        <f>IFERROR(VLOOKUP(A41,SeparateFamily!A:B,2,false),"")</f>
        <v>Lachs</v>
      </c>
      <c r="L41" s="185" t="str">
        <f>IFERROR(VLOOKUP(A41,Rackfile_combined!B:H,7,false),"")</f>
        <v>Chilled</v>
      </c>
      <c r="M41" s="189">
        <f t="shared" si="1"/>
        <v>695</v>
      </c>
      <c r="N41" s="335" t="s">
        <v>97</v>
      </c>
      <c r="P41" s="4" t="str">
        <f>IF(A41&lt;&gt;"",VLOOKUP(A41,Rackfile_combined!$B:$C,2,false),"")</f>
        <v>CON-00-154547-2</v>
      </c>
    </row>
    <row r="42">
      <c r="A42" s="186" t="s">
        <v>234</v>
      </c>
      <c r="B42" s="337">
        <v>1552.0</v>
      </c>
      <c r="C42" s="265" t="s">
        <v>210</v>
      </c>
      <c r="D42" s="265" t="s">
        <v>210</v>
      </c>
      <c r="E42" s="265" t="s">
        <v>210</v>
      </c>
      <c r="F42" s="265" t="s">
        <v>210</v>
      </c>
      <c r="G42" s="265"/>
      <c r="H42" s="4"/>
      <c r="I42" s="8"/>
      <c r="J42" s="4" t="str">
        <f>IFERROR(VLOOKUP(A42,VolumeFile_combined!A:J,10,false),"")</f>
        <v/>
      </c>
      <c r="K42" s="4" t="str">
        <f>IFERROR(VLOOKUP(A42,SeparateFamily!A:B,2,false),"")</f>
        <v/>
      </c>
      <c r="L42" s="185" t="str">
        <f>IFERROR(VLOOKUP(A42,Rackfile_combined!B:H,7,false),"")</f>
        <v>Chilled</v>
      </c>
      <c r="M42" s="189">
        <f t="shared" si="1"/>
        <v>1552</v>
      </c>
      <c r="N42" s="335" t="s">
        <v>97</v>
      </c>
      <c r="P42" s="4" t="str">
        <f>IF(A42&lt;&gt;"",VLOOKUP(A42,Rackfile_combined!$B:$C,2,false),"")</f>
        <v>CON-00-155185-3</v>
      </c>
    </row>
    <row r="43">
      <c r="A43" s="186" t="s">
        <v>235</v>
      </c>
      <c r="B43" s="337">
        <v>457.0</v>
      </c>
      <c r="C43" s="265" t="s">
        <v>210</v>
      </c>
      <c r="D43" s="265" t="s">
        <v>210</v>
      </c>
      <c r="E43" s="265" t="s">
        <v>210</v>
      </c>
      <c r="F43" s="265" t="s">
        <v>210</v>
      </c>
      <c r="G43" s="265"/>
      <c r="H43" s="4"/>
      <c r="I43" s="8"/>
      <c r="J43" s="4" t="str">
        <f>IFERROR(VLOOKUP(A43,VolumeFile_combined!A:J,10,false),"")</f>
        <v/>
      </c>
      <c r="K43" s="4" t="str">
        <f>IFERROR(VLOOKUP(A43,SeparateFamily!A:B,2,false),"")</f>
        <v>Schwein</v>
      </c>
      <c r="L43" s="185" t="str">
        <f>IFERROR(VLOOKUP(A43,Rackfile_combined!B:H,7,false),"")</f>
        <v>Chilled</v>
      </c>
      <c r="M43" s="189">
        <f t="shared" si="1"/>
        <v>457</v>
      </c>
      <c r="N43" s="335" t="s">
        <v>97</v>
      </c>
      <c r="P43" s="4" t="str">
        <f>IF(A43&lt;&gt;"",VLOOKUP(A43,Rackfile_combined!$B:$C,2,false),"")</f>
        <v>CON-00-136696-3</v>
      </c>
    </row>
    <row r="44">
      <c r="A44" s="186" t="s">
        <v>301</v>
      </c>
      <c r="B44" s="337">
        <v>40.0</v>
      </c>
      <c r="C44" s="265" t="s">
        <v>210</v>
      </c>
      <c r="D44" s="265" t="s">
        <v>210</v>
      </c>
      <c r="E44" s="265" t="s">
        <v>210</v>
      </c>
      <c r="F44" s="265" t="s">
        <v>210</v>
      </c>
      <c r="G44" s="265"/>
      <c r="H44" s="4"/>
      <c r="I44" s="8" t="s">
        <v>146</v>
      </c>
      <c r="J44" s="4" t="str">
        <f>IFERROR(VLOOKUP(A44,VolumeFile_combined!A:J,10,false),"")</f>
        <v/>
      </c>
      <c r="K44" s="4" t="str">
        <f>IFERROR(VLOOKUP(A44,SeparateFamily!A:B,2,false),"")</f>
        <v>Gegrillt</v>
      </c>
      <c r="L44" s="185" t="str">
        <f>IFERROR(VLOOKUP(A44,Rackfile_combined!B:H,7,false),"")</f>
        <v>Chilled</v>
      </c>
      <c r="M44" s="189">
        <f t="shared" si="1"/>
        <v>40</v>
      </c>
      <c r="N44" s="335" t="s">
        <v>97</v>
      </c>
      <c r="P44" s="4" t="str">
        <f>IF(A44&lt;&gt;"",VLOOKUP(A44,Rackfile_combined!$B:$C,2,false),"")</f>
        <v>PTN-00-136930-3</v>
      </c>
    </row>
    <row r="45">
      <c r="A45" s="186" t="s">
        <v>236</v>
      </c>
      <c r="B45" s="337">
        <v>17546.0</v>
      </c>
      <c r="C45" s="265" t="s">
        <v>210</v>
      </c>
      <c r="D45" s="265" t="s">
        <v>210</v>
      </c>
      <c r="E45" s="265" t="s">
        <v>210</v>
      </c>
      <c r="F45" s="265" t="s">
        <v>210</v>
      </c>
      <c r="G45" s="265"/>
      <c r="H45" s="4"/>
      <c r="I45" s="8" t="s">
        <v>149</v>
      </c>
      <c r="J45" s="4" t="str">
        <f>IFERROR(VLOOKUP(A45,VolumeFile_combined!A:J,10,false),"")</f>
        <v/>
      </c>
      <c r="K45" s="4" t="str">
        <f>IFERROR(VLOOKUP(A45,SeparateFamily!A:B,2,false),"")</f>
        <v/>
      </c>
      <c r="L45" s="185" t="str">
        <f>IFERROR(VLOOKUP(A45,Rackfile_combined!B:H,7,false),"")</f>
        <v/>
      </c>
      <c r="M45" s="186" t="str">
        <f t="shared" si="1"/>
        <v/>
      </c>
      <c r="N45" s="335" t="s">
        <v>97</v>
      </c>
      <c r="P45" s="4" t="str">
        <f>IF(A45&lt;&gt;"",VLOOKUP(A45,Rackfile_combined!$B:$C,2,false),"")</f>
        <v/>
      </c>
    </row>
    <row r="46">
      <c r="A46" s="186" t="s">
        <v>236</v>
      </c>
      <c r="B46" s="337">
        <v>17546.0</v>
      </c>
      <c r="C46" s="265" t="s">
        <v>210</v>
      </c>
      <c r="D46" s="265" t="s">
        <v>210</v>
      </c>
      <c r="E46" s="265" t="s">
        <v>210</v>
      </c>
      <c r="F46" s="265" t="s">
        <v>210</v>
      </c>
      <c r="G46" s="265"/>
      <c r="H46" s="4"/>
      <c r="I46" s="8" t="s">
        <v>150</v>
      </c>
      <c r="J46" s="4" t="str">
        <f>IFERROR(VLOOKUP(A46,VolumeFile_combined!A:J,10,false),"")</f>
        <v/>
      </c>
      <c r="K46" s="4" t="str">
        <f>IFERROR(VLOOKUP(A46,SeparateFamily!A:B,2,false),"")</f>
        <v/>
      </c>
      <c r="L46" s="185" t="str">
        <f>IFERROR(VLOOKUP(A46,Rackfile_combined!B:H,7,false),"")</f>
        <v/>
      </c>
      <c r="M46" s="186" t="str">
        <f t="shared" si="1"/>
        <v/>
      </c>
      <c r="N46" s="335" t="s">
        <v>97</v>
      </c>
      <c r="P46" s="4" t="str">
        <f>IF(A46&lt;&gt;"",VLOOKUP(A46,Rackfile_combined!$B:$C,2,false),"")</f>
        <v/>
      </c>
    </row>
    <row r="47">
      <c r="A47" s="186" t="s">
        <v>237</v>
      </c>
      <c r="B47" s="337">
        <v>48.0</v>
      </c>
      <c r="C47" s="265" t="s">
        <v>210</v>
      </c>
      <c r="D47" s="265" t="s">
        <v>210</v>
      </c>
      <c r="E47" s="265" t="s">
        <v>210</v>
      </c>
      <c r="F47" s="265" t="s">
        <v>210</v>
      </c>
      <c r="G47" s="265"/>
      <c r="H47" s="4"/>
      <c r="I47" s="8" t="s">
        <v>153</v>
      </c>
      <c r="J47" s="4" t="str">
        <f>IFERROR(VLOOKUP(A47,VolumeFile_combined!A:J,10,false),"")</f>
        <v/>
      </c>
      <c r="K47" s="4" t="str">
        <f>IFERROR(VLOOKUP(A47,SeparateFamily!A:B,2,false),"")</f>
        <v/>
      </c>
      <c r="L47" s="185" t="str">
        <f>IFERROR(VLOOKUP(A47,Rackfile_combined!B:H,7,false),"")</f>
        <v>Chilled</v>
      </c>
      <c r="M47" s="189">
        <f t="shared" si="1"/>
        <v>48</v>
      </c>
      <c r="N47" s="335" t="s">
        <v>97</v>
      </c>
      <c r="P47" s="4" t="str">
        <f>IF(A47&lt;&gt;"",VLOOKUP(A47,Rackfile_combined!$B:$C,2,false),"")</f>
        <v>BEV-00-136840-3</v>
      </c>
    </row>
    <row r="48">
      <c r="A48" s="186" t="s">
        <v>238</v>
      </c>
      <c r="B48" s="337">
        <v>56.0</v>
      </c>
      <c r="C48" s="265" t="s">
        <v>210</v>
      </c>
      <c r="D48" s="265" t="s">
        <v>210</v>
      </c>
      <c r="E48" s="265" t="s">
        <v>210</v>
      </c>
      <c r="F48" s="265" t="s">
        <v>210</v>
      </c>
      <c r="G48" s="265"/>
      <c r="H48" s="4"/>
      <c r="I48" s="8"/>
      <c r="J48" s="4" t="str">
        <f>IFERROR(VLOOKUP(A48,VolumeFile_combined!A:J,10,false),"")</f>
        <v/>
      </c>
      <c r="K48" s="4" t="str">
        <f>IFERROR(VLOOKUP(A48,SeparateFamily!A:B,2,false),"")</f>
        <v/>
      </c>
      <c r="L48" s="185" t="str">
        <f>IFERROR(VLOOKUP(A48,Rackfile_combined!B:H,7,false),"")</f>
        <v>Chilled</v>
      </c>
      <c r="M48" s="189">
        <f t="shared" si="1"/>
        <v>56</v>
      </c>
      <c r="N48" s="335" t="s">
        <v>97</v>
      </c>
      <c r="P48" s="4" t="str">
        <f>IF(A48&lt;&gt;"",VLOOKUP(A48,Rackfile_combined!$B:$C,2,false),"")</f>
        <v>BEV-00-137951-2</v>
      </c>
    </row>
    <row r="49">
      <c r="A49" s="186" t="s">
        <v>239</v>
      </c>
      <c r="B49" s="337">
        <v>36.0</v>
      </c>
      <c r="C49" s="265" t="s">
        <v>210</v>
      </c>
      <c r="D49" s="265" t="s">
        <v>210</v>
      </c>
      <c r="E49" s="265" t="s">
        <v>210</v>
      </c>
      <c r="F49" s="265" t="s">
        <v>210</v>
      </c>
      <c r="G49" s="265"/>
      <c r="H49" s="4"/>
      <c r="I49" s="8"/>
      <c r="J49" s="4" t="str">
        <f>IFERROR(VLOOKUP(A49,VolumeFile_combined!A:J,10,false),"")</f>
        <v/>
      </c>
      <c r="K49" s="4" t="str">
        <f>IFERROR(VLOOKUP(A49,SeparateFamily!A:B,2,false),"")</f>
        <v/>
      </c>
      <c r="L49" s="185" t="str">
        <f>IFERROR(VLOOKUP(A49,Rackfile_combined!B:H,7,false),"")</f>
        <v>Chilled</v>
      </c>
      <c r="M49" s="189">
        <f t="shared" si="1"/>
        <v>36</v>
      </c>
      <c r="N49" s="335" t="s">
        <v>97</v>
      </c>
      <c r="P49" s="4" t="str">
        <f>IF(A49&lt;&gt;"",VLOOKUP(A49,Rackfile_combined!$B:$C,2,false),"")</f>
        <v>BEV-00-137952-2</v>
      </c>
    </row>
    <row r="50">
      <c r="A50" s="186"/>
      <c r="B50" s="337"/>
      <c r="C50" s="265"/>
      <c r="D50" s="265"/>
      <c r="E50" s="265"/>
      <c r="F50" s="265"/>
      <c r="G50" s="265"/>
      <c r="H50" s="4"/>
      <c r="I50" s="8"/>
      <c r="J50" s="4" t="str">
        <f>IFERROR(VLOOKUP(A50,VolumeFile_combined!A:J,10,false),"")</f>
        <v/>
      </c>
      <c r="K50" s="4" t="str">
        <f>IFERROR(VLOOKUP(A50,SeparateFamily!A:B,2,false),"")</f>
        <v/>
      </c>
      <c r="L50" s="185" t="str">
        <f>IFERROR(VLOOKUP(A50,Rackfile_combined!B:H,7,false),"")</f>
        <v/>
      </c>
      <c r="M50" s="186" t="str">
        <f t="shared" si="1"/>
        <v/>
      </c>
      <c r="N50" s="335" t="s">
        <v>97</v>
      </c>
      <c r="P50" s="4" t="str">
        <f>IF(A50&lt;&gt;"",VLOOKUP(A50,Rackfile_combined!$B:$C,2,false),"")</f>
        <v/>
      </c>
    </row>
    <row r="51">
      <c r="A51" s="186"/>
      <c r="B51" s="337"/>
      <c r="C51" s="265"/>
      <c r="D51" s="265"/>
      <c r="E51" s="265"/>
      <c r="F51" s="265"/>
      <c r="G51" s="265"/>
      <c r="H51" s="4"/>
      <c r="I51" s="8"/>
      <c r="J51" s="4" t="str">
        <f>IFERROR(VLOOKUP(A51,VolumeFile_combined!A:J,10,false),"")</f>
        <v/>
      </c>
      <c r="K51" s="4" t="str">
        <f>IFERROR(VLOOKUP(A51,SeparateFamily!A:B,2,false),"")</f>
        <v/>
      </c>
      <c r="L51" s="185" t="str">
        <f>IFERROR(VLOOKUP(A51,Rackfile_combined!B:H,7,false),"")</f>
        <v/>
      </c>
      <c r="M51" s="186" t="str">
        <f t="shared" si="1"/>
        <v/>
      </c>
      <c r="N51" s="335" t="s">
        <v>97</v>
      </c>
      <c r="P51" s="4" t="str">
        <f>IF(A51&lt;&gt;"",VLOOKUP(A51,Rackfile_combined!$B:$C,2,false),"")</f>
        <v/>
      </c>
    </row>
    <row r="52">
      <c r="A52" s="186"/>
      <c r="B52" s="336"/>
      <c r="C52" s="265"/>
      <c r="D52" s="265"/>
      <c r="E52" s="265"/>
      <c r="F52" s="265"/>
      <c r="G52" s="265"/>
      <c r="H52" s="4"/>
      <c r="I52" s="8"/>
      <c r="J52" s="4" t="str">
        <f>IFERROR(VLOOKUP(A52,VolumeFile_combined!A:J,10,false),"")</f>
        <v/>
      </c>
      <c r="K52" s="4" t="str">
        <f>IFERROR(VLOOKUP(A52,SeparateFamily!A:B,2,false),"")</f>
        <v/>
      </c>
      <c r="L52" s="185" t="str">
        <f>IFERROR(VLOOKUP(A52,Rackfile_combined!B:H,7,false),"")</f>
        <v/>
      </c>
      <c r="M52" s="186" t="str">
        <f t="shared" si="1"/>
        <v/>
      </c>
      <c r="N52" s="335" t="s">
        <v>97</v>
      </c>
      <c r="P52" s="4" t="str">
        <f>IF(A52&lt;&gt;"",VLOOKUP(A52,Rackfile_combined!$B:$C,2,false),"")</f>
        <v/>
      </c>
    </row>
    <row r="53">
      <c r="A53" s="186"/>
      <c r="B53" s="336"/>
      <c r="C53" s="265"/>
      <c r="D53" s="265"/>
      <c r="E53" s="265"/>
      <c r="F53" s="265"/>
      <c r="G53" s="265"/>
      <c r="H53" s="4"/>
      <c r="I53" s="8"/>
      <c r="J53" s="4" t="str">
        <f>IFERROR(VLOOKUP(A53,VolumeFile_combined!A:J,10,false),"")</f>
        <v/>
      </c>
      <c r="K53" s="4" t="str">
        <f>IFERROR(VLOOKUP(A53,SeparateFamily!A:B,2,false),"")</f>
        <v/>
      </c>
      <c r="L53" s="185" t="str">
        <f>IFERROR(VLOOKUP(A53,Rackfile_combined!B:H,7,false),"")</f>
        <v/>
      </c>
      <c r="M53" s="186" t="str">
        <f t="shared" si="1"/>
        <v/>
      </c>
      <c r="N53" s="335" t="s">
        <v>97</v>
      </c>
      <c r="P53" s="4" t="str">
        <f>IF(A53&lt;&gt;"",VLOOKUP(A53,Rackfile_combined!$B:$C,2,false),"")</f>
        <v/>
      </c>
    </row>
    <row r="54">
      <c r="A54" s="186"/>
      <c r="B54" s="336"/>
      <c r="C54" s="265"/>
      <c r="D54" s="265"/>
      <c r="E54" s="265"/>
      <c r="F54" s="265"/>
      <c r="G54" s="265"/>
      <c r="H54" s="4"/>
      <c r="I54" s="8"/>
      <c r="J54" s="4" t="str">
        <f>IFERROR(VLOOKUP(A54,VolumeFile_combined!A:J,10,false),"")</f>
        <v/>
      </c>
      <c r="K54" s="4" t="str">
        <f>IFERROR(VLOOKUP(A54,SeparateFamily!A:B,2,false),"")</f>
        <v/>
      </c>
      <c r="L54" s="185" t="str">
        <f>IFERROR(VLOOKUP(A54,Rackfile_combined!B:H,7,false),"")</f>
        <v/>
      </c>
      <c r="M54" s="186" t="str">
        <f t="shared" si="1"/>
        <v/>
      </c>
      <c r="N54" s="335" t="s">
        <v>97</v>
      </c>
      <c r="P54" s="4" t="str">
        <f>IF(A54&lt;&gt;"",VLOOKUP(A54,Rackfile_combined!$B:$C,2,false),"")</f>
        <v/>
      </c>
    </row>
    <row r="55">
      <c r="A55" s="186"/>
      <c r="B55" s="336"/>
      <c r="C55" s="265"/>
      <c r="D55" s="265"/>
      <c r="E55" s="265"/>
      <c r="F55" s="265"/>
      <c r="G55" s="265"/>
      <c r="H55" s="4"/>
      <c r="I55" s="8"/>
      <c r="J55" s="4" t="str">
        <f>IFERROR(VLOOKUP(A55,VolumeFile_combined!A:J,10,false),"")</f>
        <v/>
      </c>
      <c r="K55" s="4" t="str">
        <f>IFERROR(VLOOKUP(A55,SeparateFamily!A:B,2,false),"")</f>
        <v/>
      </c>
      <c r="L55" s="185" t="str">
        <f>IFERROR(VLOOKUP(A55,Rackfile_combined!B:H,7,false),"")</f>
        <v/>
      </c>
      <c r="M55" s="186" t="str">
        <f t="shared" si="1"/>
        <v/>
      </c>
      <c r="N55" s="335" t="s">
        <v>97</v>
      </c>
      <c r="P55" s="4" t="str">
        <f>IF(A55&lt;&gt;"",VLOOKUP(A55,Rackfile_combined!$B:$C,2,false),"")</f>
        <v/>
      </c>
    </row>
    <row r="56">
      <c r="A56" s="186"/>
      <c r="B56" s="336"/>
      <c r="C56" s="265"/>
      <c r="D56" s="265"/>
      <c r="E56" s="265"/>
      <c r="F56" s="265"/>
      <c r="G56" s="265"/>
      <c r="H56" s="4"/>
      <c r="I56" s="8"/>
      <c r="J56" s="4" t="str">
        <f>IFERROR(VLOOKUP(A56,VolumeFile_combined!A:J,10,false),"")</f>
        <v/>
      </c>
      <c r="K56" s="4" t="str">
        <f>IFERROR(VLOOKUP(A56,SeparateFamily!A:B,2,false),"")</f>
        <v/>
      </c>
      <c r="L56" s="185" t="str">
        <f>IFERROR(VLOOKUP(A56,Rackfile_combined!B:H,7,false),"")</f>
        <v/>
      </c>
      <c r="M56" s="186" t="str">
        <f t="shared" si="1"/>
        <v/>
      </c>
      <c r="N56" s="335" t="s">
        <v>97</v>
      </c>
      <c r="P56" s="4" t="str">
        <f>IF(A56&lt;&gt;"",VLOOKUP(A56,Rackfile_combined!$B:$C,2,false),"")</f>
        <v/>
      </c>
    </row>
    <row r="57">
      <c r="A57" s="186"/>
      <c r="B57" s="336"/>
      <c r="C57" s="265"/>
      <c r="D57" s="265"/>
      <c r="E57" s="265"/>
      <c r="F57" s="265"/>
      <c r="G57" s="265"/>
      <c r="H57" s="4"/>
      <c r="I57" s="8"/>
      <c r="J57" s="4" t="str">
        <f>IFERROR(VLOOKUP(A57,VolumeFile_combined!A:J,10,false),"")</f>
        <v/>
      </c>
      <c r="K57" s="4" t="str">
        <f>IFERROR(VLOOKUP(A57,SeparateFamily!A:B,2,false),"")</f>
        <v/>
      </c>
      <c r="L57" s="185" t="str">
        <f>IFERROR(VLOOKUP(A57,Rackfile_combined!B:H,7,false),"")</f>
        <v/>
      </c>
      <c r="M57" s="186" t="str">
        <f t="shared" si="1"/>
        <v/>
      </c>
      <c r="N57" s="335" t="s">
        <v>97</v>
      </c>
      <c r="P57" s="4" t="str">
        <f>IF(A57&lt;&gt;"",VLOOKUP(A57,Rackfile_combined!$B:$C,2,false),"")</f>
        <v/>
      </c>
    </row>
    <row r="58">
      <c r="A58" s="186"/>
      <c r="B58" s="337"/>
      <c r="C58" s="265"/>
      <c r="D58" s="265"/>
      <c r="E58" s="265"/>
      <c r="F58" s="265"/>
      <c r="G58" s="265"/>
      <c r="H58" s="4"/>
      <c r="I58" s="8"/>
      <c r="J58" s="4" t="str">
        <f>IFERROR(VLOOKUP(A58,VolumeFile_combined!A:J,10,false),"")</f>
        <v/>
      </c>
      <c r="K58" s="4" t="str">
        <f>IFERROR(VLOOKUP(A58,SeparateFamily!A:B,2,false),"")</f>
        <v/>
      </c>
      <c r="L58" s="185" t="str">
        <f>IFERROR(VLOOKUP(A58,Rackfile_combined!B:H,7,false),"")</f>
        <v/>
      </c>
      <c r="M58" s="186" t="str">
        <f t="shared" si="1"/>
        <v/>
      </c>
      <c r="N58" s="335" t="s">
        <v>97</v>
      </c>
      <c r="P58" s="4" t="str">
        <f>IF(A58&lt;&gt;"",VLOOKUP(A58,Rackfile_combined!$B:$C,2,false),"")</f>
        <v/>
      </c>
    </row>
    <row r="59" ht="16.5" customHeight="1">
      <c r="A59" s="186"/>
      <c r="B59" s="336"/>
      <c r="C59" s="265"/>
      <c r="D59" s="265"/>
      <c r="E59" s="265"/>
      <c r="F59" s="265"/>
      <c r="G59" s="265"/>
      <c r="H59" s="4"/>
      <c r="I59" s="8"/>
      <c r="J59" s="4" t="str">
        <f>IFERROR(VLOOKUP(A59,VolumeFile_combined!A:J,10,false),"")</f>
        <v/>
      </c>
      <c r="K59" s="4" t="str">
        <f>IFERROR(VLOOKUP(A59,SeparateFamily!A:B,2,false),"")</f>
        <v/>
      </c>
      <c r="L59" s="185" t="str">
        <f>IFERROR(VLOOKUP(A59,Rackfile_combined!B:H,7,false),"")</f>
        <v/>
      </c>
      <c r="M59" s="186" t="str">
        <f t="shared" si="1"/>
        <v/>
      </c>
      <c r="N59" s="335" t="s">
        <v>97</v>
      </c>
      <c r="P59" s="4" t="str">
        <f>IF(A59&lt;&gt;"",VLOOKUP(A59,Rackfile_combined!$B:$C,2,false),"")</f>
        <v/>
      </c>
    </row>
    <row r="60">
      <c r="A60" s="186"/>
      <c r="B60" s="337"/>
      <c r="C60" s="265"/>
      <c r="D60" s="265"/>
      <c r="E60" s="265"/>
      <c r="F60" s="265"/>
      <c r="G60" s="265"/>
      <c r="H60" s="4"/>
      <c r="I60" s="8"/>
      <c r="J60" s="4" t="str">
        <f>IFERROR(VLOOKUP(A60,VolumeFile_combined!A:J,10,false),"")</f>
        <v/>
      </c>
      <c r="K60" s="4" t="str">
        <f>IFERROR(VLOOKUP(A60,SeparateFamily!A:B,2,false),"")</f>
        <v/>
      </c>
      <c r="L60" s="185" t="str">
        <f>IFERROR(VLOOKUP(A60,Rackfile_combined!B:H,7,false),"")</f>
        <v/>
      </c>
      <c r="M60" s="186" t="str">
        <f t="shared" si="1"/>
        <v/>
      </c>
      <c r="N60" s="335" t="s">
        <v>97</v>
      </c>
      <c r="P60" s="4" t="str">
        <f>IF(A60&lt;&gt;"",VLOOKUP(A60,Rackfile_combined!$B:$C,2,false),"")</f>
        <v/>
      </c>
    </row>
    <row r="61">
      <c r="A61" s="186"/>
      <c r="B61" s="337"/>
      <c r="C61" s="265"/>
      <c r="D61" s="265"/>
      <c r="E61" s="265"/>
      <c r="F61" s="265"/>
      <c r="G61" s="265"/>
      <c r="H61" s="4"/>
      <c r="I61" s="8"/>
      <c r="J61" s="4" t="str">
        <f>IFERROR(VLOOKUP(A61,VolumeFile_combined!A:J,10,false),"")</f>
        <v/>
      </c>
      <c r="K61" s="4" t="str">
        <f>IFERROR(VLOOKUP(A61,SeparateFamily!A:B,2,false),"")</f>
        <v/>
      </c>
      <c r="L61" s="185" t="str">
        <f>IFERROR(VLOOKUP(A61,Rackfile_combined!B:H,7,false),"")</f>
        <v/>
      </c>
      <c r="M61" s="186" t="str">
        <f t="shared" si="1"/>
        <v/>
      </c>
      <c r="N61" s="335" t="s">
        <v>97</v>
      </c>
      <c r="P61" s="4" t="str">
        <f>IF(A61&lt;&gt;"",VLOOKUP(A61,Rackfile_combined!$B:$C,2,false),"")</f>
        <v/>
      </c>
    </row>
    <row r="62">
      <c r="A62" s="186"/>
      <c r="B62" s="337"/>
      <c r="C62" s="265"/>
      <c r="D62" s="265"/>
      <c r="E62" s="265"/>
      <c r="F62" s="265"/>
      <c r="G62" s="265"/>
      <c r="H62" s="4"/>
      <c r="I62" s="8"/>
      <c r="J62" s="4" t="str">
        <f>IFERROR(VLOOKUP(A62,VolumeFile_combined!A:J,10,false),"")</f>
        <v/>
      </c>
      <c r="K62" s="4" t="str">
        <f>IFERROR(VLOOKUP(A62,SeparateFamily!A:B,2,false),"")</f>
        <v/>
      </c>
      <c r="L62" s="185" t="str">
        <f>IFERROR(VLOOKUP(A62,Rackfile_combined!B:H,7,false),"")</f>
        <v/>
      </c>
      <c r="M62" s="186" t="str">
        <f t="shared" si="1"/>
        <v/>
      </c>
      <c r="N62" s="335" t="s">
        <v>97</v>
      </c>
      <c r="P62" s="4" t="str">
        <f>IF(A62&lt;&gt;"",VLOOKUP(A62,Rackfile_combined!$B:$C,2,false),"")</f>
        <v/>
      </c>
    </row>
    <row r="63">
      <c r="A63" s="186" t="s">
        <v>215</v>
      </c>
      <c r="B63" s="336">
        <v>0.0</v>
      </c>
      <c r="C63" s="265">
        <v>0.0</v>
      </c>
      <c r="D63" s="265">
        <v>0.0</v>
      </c>
      <c r="E63" s="265">
        <v>0.0</v>
      </c>
      <c r="F63" s="265">
        <v>0.0</v>
      </c>
      <c r="G63" s="265"/>
      <c r="H63" s="4"/>
      <c r="I63" s="8" t="s">
        <v>179</v>
      </c>
      <c r="J63" s="4" t="str">
        <f>IFERROR(VLOOKUP(A63,VolumeFile_combined!A:J,10,false),"")</f>
        <v/>
      </c>
      <c r="K63" s="4" t="str">
        <f>IFERROR(VLOOKUP(A63,SeparateFamily!A:B,2,false),"")</f>
        <v/>
      </c>
      <c r="L63" s="185" t="str">
        <f>IFERROR(VLOOKUP(A63,Rackfile_combined!B:H,7,false),"")</f>
        <v>Packaging</v>
      </c>
      <c r="M63" s="189">
        <f t="shared" si="1"/>
        <v>0</v>
      </c>
      <c r="N63" s="335" t="s">
        <v>100</v>
      </c>
      <c r="P63" s="4" t="str">
        <f>IF(A63&lt;&gt;"",VLOOKUP(A63,Rackfile_combined!$B:$C,2,false),"")</f>
        <v>XS</v>
      </c>
    </row>
    <row r="64">
      <c r="A64" s="186" t="s">
        <v>159</v>
      </c>
      <c r="B64" s="265">
        <v>0.0</v>
      </c>
      <c r="C64" s="265">
        <v>0.0</v>
      </c>
      <c r="D64" s="265">
        <v>0.0</v>
      </c>
      <c r="E64" s="265">
        <v>0.0</v>
      </c>
      <c r="F64" s="265">
        <v>0.0</v>
      </c>
      <c r="G64" s="265"/>
      <c r="H64" s="4"/>
      <c r="I64" s="8" t="s">
        <v>216</v>
      </c>
      <c r="J64" s="4" t="str">
        <f>IFERROR(VLOOKUP(A64,VolumeFile_combined!A:J,10,false),"")</f>
        <v/>
      </c>
      <c r="K64" s="4" t="str">
        <f>IFERROR(VLOOKUP(A64,SeparateFamily!A:B,2,false),"")</f>
        <v/>
      </c>
      <c r="L64" s="185" t="str">
        <f>IFERROR(VLOOKUP(A64,Rackfile_combined!B:H,7,false),"")</f>
        <v>Packaging</v>
      </c>
      <c r="M64" s="186">
        <f t="shared" si="1"/>
        <v>0</v>
      </c>
      <c r="N64" s="335" t="s">
        <v>100</v>
      </c>
      <c r="P64" s="4" t="str">
        <f>IF(A64&lt;&gt;"",VLOOKUP(A64,Rackfile_combined!$B:$C,2,false),"")</f>
        <v>S</v>
      </c>
    </row>
    <row r="65">
      <c r="A65" s="186" t="s">
        <v>162</v>
      </c>
      <c r="B65" s="265">
        <v>0.0</v>
      </c>
      <c r="C65" s="265">
        <v>0.0</v>
      </c>
      <c r="D65" s="265">
        <v>0.0</v>
      </c>
      <c r="E65" s="265">
        <v>0.0</v>
      </c>
      <c r="F65" s="265">
        <v>0.0</v>
      </c>
      <c r="G65" s="265"/>
      <c r="H65" s="4"/>
      <c r="I65" s="8" t="s">
        <v>177</v>
      </c>
      <c r="J65" s="4" t="str">
        <f>IFERROR(VLOOKUP(A65,VolumeFile_combined!A:J,10,false),"")</f>
        <v/>
      </c>
      <c r="K65" s="4" t="str">
        <f>IFERROR(VLOOKUP(A65,SeparateFamily!A:B,2,false),"")</f>
        <v/>
      </c>
      <c r="L65" s="185" t="str">
        <f>IFERROR(VLOOKUP(A65,Rackfile_combined!B:H,7,false),"")</f>
        <v>Packaging</v>
      </c>
      <c r="M65" s="186">
        <f t="shared" si="1"/>
        <v>0</v>
      </c>
      <c r="N65" s="335" t="s">
        <v>100</v>
      </c>
      <c r="P65" s="4" t="str">
        <f>IF(A65&lt;&gt;"",VLOOKUP(A65,Rackfile_combined!$B:$C,2,false),"")</f>
        <v>M</v>
      </c>
    </row>
    <row r="66">
      <c r="A66" s="186" t="s">
        <v>164</v>
      </c>
      <c r="B66" s="265">
        <v>0.0</v>
      </c>
      <c r="C66" s="265">
        <v>0.0</v>
      </c>
      <c r="D66" s="265">
        <v>0.0</v>
      </c>
      <c r="E66" s="265">
        <v>0.0</v>
      </c>
      <c r="F66" s="265">
        <v>0.0</v>
      </c>
      <c r="G66" s="265"/>
      <c r="H66" s="4"/>
      <c r="I66" s="8" t="s">
        <v>175</v>
      </c>
      <c r="J66" s="4" t="str">
        <f>IFERROR(VLOOKUP(A66,VolumeFile_combined!A:J,10,false),"")</f>
        <v/>
      </c>
      <c r="K66" s="4" t="str">
        <f>IFERROR(VLOOKUP(A66,SeparateFamily!A:B,2,false),"")</f>
        <v/>
      </c>
      <c r="L66" s="185" t="str">
        <f>IFERROR(VLOOKUP(A66,Rackfile_combined!B:H,7,false),"")</f>
        <v>Packaging</v>
      </c>
      <c r="M66" s="186">
        <f t="shared" si="1"/>
        <v>0</v>
      </c>
      <c r="N66" s="335" t="s">
        <v>100</v>
      </c>
      <c r="P66" s="4" t="str">
        <f>IF(A66&lt;&gt;"",VLOOKUP(A66,Rackfile_combined!$B:$C,2,false),"")</f>
        <v>L</v>
      </c>
    </row>
    <row r="67">
      <c r="A67" s="186" t="s">
        <v>192</v>
      </c>
      <c r="B67" s="265">
        <v>0.0</v>
      </c>
      <c r="C67" s="265">
        <v>0.0</v>
      </c>
      <c r="D67" s="265">
        <v>0.0</v>
      </c>
      <c r="E67" s="265">
        <v>0.0</v>
      </c>
      <c r="F67" s="265">
        <v>0.0</v>
      </c>
      <c r="G67" s="265"/>
      <c r="H67" s="4"/>
      <c r="I67" s="8" t="s">
        <v>203</v>
      </c>
      <c r="J67" s="4" t="str">
        <f>IFERROR(VLOOKUP(A67,VolumeFile_combined!A:J,10,false),"")</f>
        <v/>
      </c>
      <c r="K67" s="4" t="str">
        <f>IFERROR(VLOOKUP(A67,SeparateFamily!A:B,2,false),"")</f>
        <v/>
      </c>
      <c r="L67" s="185" t="str">
        <f>IFERROR(VLOOKUP(A67,Rackfile_combined!B:H,7,false),"")</f>
        <v>Chilled</v>
      </c>
      <c r="M67" s="186">
        <f t="shared" si="1"/>
        <v>0</v>
      </c>
      <c r="N67" s="335" t="s">
        <v>100</v>
      </c>
      <c r="P67" s="4" t="str">
        <f>IF(A67&lt;&gt;"",VLOOKUP(A67,Rackfile_combined!$B:$C,2,false),"")</f>
        <v>Loyalties</v>
      </c>
    </row>
    <row r="68">
      <c r="A68" s="186" t="s">
        <v>217</v>
      </c>
      <c r="B68" s="186">
        <v>0.0</v>
      </c>
      <c r="C68" s="186">
        <v>0.0</v>
      </c>
      <c r="D68" s="186">
        <v>0.0</v>
      </c>
      <c r="E68" s="186">
        <v>0.0</v>
      </c>
      <c r="F68" s="186">
        <v>0.0</v>
      </c>
      <c r="G68" s="186"/>
      <c r="H68" s="4"/>
      <c r="I68" s="8" t="s">
        <v>214</v>
      </c>
      <c r="J68" s="4" t="str">
        <f>IFERROR(VLOOKUP(A68,VolumeFile_combined!A:J,10,false),"")</f>
        <v/>
      </c>
      <c r="K68" s="4" t="str">
        <f>IFERROR(VLOOKUP(A68,SeparateFamily!A:B,2,false),"")</f>
        <v/>
      </c>
      <c r="L68" s="185" t="str">
        <f>IFERROR(VLOOKUP(A68,Rackfile_combined!B:H,7,false),"")</f>
        <v>Chilled</v>
      </c>
      <c r="M68" s="186">
        <f t="shared" si="1"/>
        <v>0</v>
      </c>
      <c r="N68" s="335" t="s">
        <v>100</v>
      </c>
      <c r="P68" s="4" t="str">
        <f>IF(A68&lt;&gt;"",VLOOKUP(A68,Rackfile_combined!$B:$C,2,false),"")</f>
        <v>Loyalties</v>
      </c>
    </row>
    <row r="69">
      <c r="A69" s="186" t="s">
        <v>11</v>
      </c>
      <c r="B69" s="186">
        <v>5113.0</v>
      </c>
      <c r="C69" s="186">
        <v>0.0</v>
      </c>
      <c r="D69" s="186">
        <v>0.0</v>
      </c>
      <c r="E69" s="186">
        <v>0.0</v>
      </c>
      <c r="F69" s="186">
        <v>0.0</v>
      </c>
      <c r="G69" s="186"/>
      <c r="H69" s="4"/>
      <c r="I69" s="8" t="s">
        <v>20</v>
      </c>
      <c r="J69" s="4" t="str">
        <f>IFERROR(VLOOKUP(A69,VolumeFile_combined!A:J,10,false),"")</f>
        <v/>
      </c>
      <c r="K69" s="4" t="str">
        <f>IFERROR(VLOOKUP(A69,SeparateFamily!A:B,2,false),"")</f>
        <v/>
      </c>
      <c r="L69" s="185" t="str">
        <f>IFERROR(VLOOKUP(A69,Rackfile_combined!B:H,7,false),"")</f>
        <v>Chilled</v>
      </c>
      <c r="M69" s="186">
        <f t="shared" si="1"/>
        <v>5113</v>
      </c>
      <c r="N69" s="335" t="s">
        <v>100</v>
      </c>
      <c r="P69" s="4" t="str">
        <f>IF(A69&lt;&gt;"",VLOOKUP(A69,Rackfile_combined!$B:$C,2,false),"")</f>
        <v>IcePack</v>
      </c>
    </row>
    <row r="70">
      <c r="A70" s="186" t="s">
        <v>240</v>
      </c>
      <c r="B70" s="189">
        <v>3731.0</v>
      </c>
      <c r="C70" s="186" t="s">
        <v>210</v>
      </c>
      <c r="D70" s="186" t="s">
        <v>210</v>
      </c>
      <c r="E70" s="186" t="s">
        <v>210</v>
      </c>
      <c r="F70" s="186" t="s">
        <v>210</v>
      </c>
      <c r="G70" s="186"/>
      <c r="H70" s="4"/>
      <c r="I70" s="8"/>
      <c r="J70" s="4" t="str">
        <f>IFERROR(VLOOKUP(A70,VolumeFile_combined!A:J,10,false),"")</f>
        <v/>
      </c>
      <c r="K70" s="4" t="str">
        <f>IFERROR(VLOOKUP(A70,SeparateFamily!A:B,2,false),"")</f>
        <v>Grillet</v>
      </c>
      <c r="L70" s="185" t="str">
        <f>IFERROR(VLOOKUP(A70,Rackfile_combined!B:H,7,false),"")</f>
        <v>Chilled</v>
      </c>
      <c r="M70" s="189">
        <f t="shared" si="1"/>
        <v>3731</v>
      </c>
      <c r="N70" s="335" t="s">
        <v>100</v>
      </c>
      <c r="P70" s="4" t="str">
        <f>IF(A70&lt;&gt;"",VLOOKUP(A70,Rackfile_combined!$B:$C,2,false),"")</f>
        <v>CON-00-147878-2</v>
      </c>
    </row>
    <row r="71">
      <c r="A71" s="186" t="s">
        <v>241</v>
      </c>
      <c r="B71" s="189">
        <v>2460.0</v>
      </c>
      <c r="C71" s="186" t="s">
        <v>210</v>
      </c>
      <c r="D71" s="186" t="s">
        <v>210</v>
      </c>
      <c r="E71" s="186" t="s">
        <v>210</v>
      </c>
      <c r="F71" s="186" t="s">
        <v>210</v>
      </c>
      <c r="G71" s="186"/>
      <c r="H71" s="4"/>
      <c r="I71" s="8"/>
      <c r="J71" s="4" t="str">
        <f>IFERROR(VLOOKUP(A71,VolumeFile_combined!A:J,10,false),"")</f>
        <v/>
      </c>
      <c r="K71" s="4" t="str">
        <f>IFERROR(VLOOKUP(A71,SeparateFamily!A:B,2,false),"")</f>
        <v/>
      </c>
      <c r="L71" s="185" t="str">
        <f>IFERROR(VLOOKUP(A71,Rackfile_combined!B:H,7,false),"")</f>
        <v>Chilled</v>
      </c>
      <c r="M71" s="189">
        <f t="shared" si="1"/>
        <v>2460</v>
      </c>
      <c r="N71" s="335" t="s">
        <v>100</v>
      </c>
      <c r="P71" s="4" t="str">
        <f>IF(A71&lt;&gt;"",VLOOKUP(A71,Rackfile_combined!$B:$C,2,false),"")</f>
        <v>CON-00-152208-2</v>
      </c>
    </row>
    <row r="72">
      <c r="A72" s="186" t="s">
        <v>242</v>
      </c>
      <c r="B72" s="189">
        <v>2270.0</v>
      </c>
      <c r="C72" s="186" t="s">
        <v>210</v>
      </c>
      <c r="D72" s="186" t="s">
        <v>210</v>
      </c>
      <c r="E72" s="186" t="s">
        <v>210</v>
      </c>
      <c r="F72" s="186" t="s">
        <v>210</v>
      </c>
      <c r="G72" s="186"/>
      <c r="H72" s="4"/>
      <c r="I72" s="8"/>
      <c r="J72" s="4" t="str">
        <f>IFERROR(VLOOKUP(A72,VolumeFile_combined!A:J,10,false),"")</f>
        <v/>
      </c>
      <c r="K72" s="4" t="str">
        <f>IFERROR(VLOOKUP(A72,SeparateFamily!A:B,2,false),"")</f>
        <v/>
      </c>
      <c r="L72" s="185" t="str">
        <f>IFERROR(VLOOKUP(A72,Rackfile_combined!B:H,7,false),"")</f>
        <v>Chilled</v>
      </c>
      <c r="M72" s="189">
        <f t="shared" si="1"/>
        <v>2270</v>
      </c>
      <c r="N72" s="335" t="s">
        <v>100</v>
      </c>
      <c r="P72" s="4" t="str">
        <f>IF(A72&lt;&gt;"",VLOOKUP(A72,Rackfile_combined!$B:$C,2,false),"")</f>
        <v>CON-00-147839-2</v>
      </c>
    </row>
    <row r="73">
      <c r="A73" s="186" t="s">
        <v>243</v>
      </c>
      <c r="B73" s="189">
        <v>0.0</v>
      </c>
      <c r="C73" s="186" t="s">
        <v>210</v>
      </c>
      <c r="D73" s="186" t="s">
        <v>210</v>
      </c>
      <c r="E73" s="186" t="s">
        <v>210</v>
      </c>
      <c r="F73" s="186" t="s">
        <v>210</v>
      </c>
      <c r="G73" s="186"/>
      <c r="H73" s="4"/>
      <c r="I73" s="8"/>
      <c r="J73" s="4" t="str">
        <f>IFERROR(VLOOKUP(A73,VolumeFile_combined!A:J,10,false),"")</f>
        <v/>
      </c>
      <c r="K73" s="4" t="str">
        <f>IFERROR(VLOOKUP(A73,SeparateFamily!A:B,2,false),"")</f>
        <v>Laks</v>
      </c>
      <c r="L73" s="185" t="str">
        <f>IFERROR(VLOOKUP(A73,Rackfile_combined!B:H,7,false),"")</f>
        <v>Chilled</v>
      </c>
      <c r="M73" s="189">
        <f t="shared" si="1"/>
        <v>0</v>
      </c>
      <c r="N73" s="335" t="s">
        <v>100</v>
      </c>
      <c r="P73" s="4" t="str">
        <f>IF(A73&lt;&gt;"",VLOOKUP(A73,Rackfile_combined!$B:$C,2,false),"")</f>
        <v>CON-00-147871-2</v>
      </c>
    </row>
    <row r="74">
      <c r="A74" s="186" t="s">
        <v>244</v>
      </c>
      <c r="B74" s="189">
        <v>2236.0</v>
      </c>
      <c r="C74" s="186" t="s">
        <v>210</v>
      </c>
      <c r="D74" s="186" t="s">
        <v>210</v>
      </c>
      <c r="E74" s="186" t="s">
        <v>210</v>
      </c>
      <c r="F74" s="186" t="s">
        <v>210</v>
      </c>
      <c r="G74" s="186"/>
      <c r="H74" s="4"/>
      <c r="I74" s="8"/>
      <c r="J74" s="4" t="str">
        <f>IFERROR(VLOOKUP(A74,VolumeFile_combined!A:J,10,false),"")</f>
        <v/>
      </c>
      <c r="K74" s="4" t="str">
        <f>IFERROR(VLOOKUP(A74,SeparateFamily!A:B,2,false),"")</f>
        <v/>
      </c>
      <c r="L74" s="185" t="str">
        <f>IFERROR(VLOOKUP(A74,Rackfile_combined!B:H,7,false),"")</f>
        <v>Chilled</v>
      </c>
      <c r="M74" s="189">
        <f t="shared" si="1"/>
        <v>2236</v>
      </c>
      <c r="N74" s="335" t="s">
        <v>100</v>
      </c>
      <c r="P74" s="4" t="str">
        <f>IF(A74&lt;&gt;"",VLOOKUP(A74,Rackfile_combined!$B:$C,2,false),"")</f>
        <v>CON-00-150749-2</v>
      </c>
    </row>
    <row r="75">
      <c r="A75" s="186" t="s">
        <v>245</v>
      </c>
      <c r="B75" s="189">
        <v>0.0</v>
      </c>
      <c r="C75" s="186" t="s">
        <v>210</v>
      </c>
      <c r="D75" s="186" t="s">
        <v>210</v>
      </c>
      <c r="E75" s="186" t="s">
        <v>210</v>
      </c>
      <c r="F75" s="186" t="s">
        <v>210</v>
      </c>
      <c r="G75" s="186"/>
      <c r="H75" s="4"/>
      <c r="I75" s="8"/>
      <c r="J75" s="4" t="str">
        <f>IFERROR(VLOOKUP(A75,VolumeFile_combined!A:J,10,false),"")</f>
        <v/>
      </c>
      <c r="K75" s="4" t="str">
        <f>IFERROR(VLOOKUP(A75,SeparateFamily!A:B,2,false),"")</f>
        <v>Laks</v>
      </c>
      <c r="L75" s="185" t="str">
        <f>IFERROR(VLOOKUP(A75,Rackfile_combined!B:H,7,false),"")</f>
        <v>Chilled</v>
      </c>
      <c r="M75" s="189">
        <f t="shared" si="1"/>
        <v>0</v>
      </c>
      <c r="N75" s="335" t="s">
        <v>100</v>
      </c>
      <c r="P75" s="4" t="str">
        <f>IF(A75&lt;&gt;"",VLOOKUP(A75,Rackfile_combined!$B:$C,2,false),"")</f>
        <v>CON-00-152023-2</v>
      </c>
    </row>
    <row r="76">
      <c r="A76" s="186" t="s">
        <v>246</v>
      </c>
      <c r="B76" s="189">
        <v>0.0</v>
      </c>
      <c r="C76" s="186" t="s">
        <v>210</v>
      </c>
      <c r="D76" s="186" t="s">
        <v>210</v>
      </c>
      <c r="E76" s="186" t="s">
        <v>210</v>
      </c>
      <c r="F76" s="186" t="s">
        <v>210</v>
      </c>
      <c r="G76" s="186"/>
      <c r="H76" s="4"/>
      <c r="I76" s="8"/>
      <c r="J76" s="4" t="str">
        <f>IFERROR(VLOOKUP(A76,VolumeFile_combined!A:J,10,false),"")</f>
        <v/>
      </c>
      <c r="K76" s="4" t="str">
        <f>IFERROR(VLOOKUP(A76,SeparateFamily!A:B,2,false),"")</f>
        <v/>
      </c>
      <c r="L76" s="185" t="str">
        <f>IFERROR(VLOOKUP(A76,Rackfile_combined!B:H,7,false),"")</f>
        <v>Chilled</v>
      </c>
      <c r="M76" s="189">
        <f t="shared" si="1"/>
        <v>0</v>
      </c>
      <c r="N76" s="335" t="s">
        <v>100</v>
      </c>
      <c r="P76" s="4" t="str">
        <f>IF(A76&lt;&gt;"",VLOOKUP(A76,Rackfile_combined!$B:$C,2,false),"")</f>
        <v>CON-00-148196-2</v>
      </c>
    </row>
    <row r="77">
      <c r="A77" s="186" t="s">
        <v>247</v>
      </c>
      <c r="B77" s="189">
        <v>1193.0</v>
      </c>
      <c r="C77" s="186" t="s">
        <v>210</v>
      </c>
      <c r="D77" s="186" t="s">
        <v>210</v>
      </c>
      <c r="E77" s="186" t="s">
        <v>210</v>
      </c>
      <c r="F77" s="186" t="s">
        <v>210</v>
      </c>
      <c r="G77" s="186"/>
      <c r="H77" s="4"/>
      <c r="I77" s="8"/>
      <c r="J77" s="4" t="str">
        <f>IFERROR(VLOOKUP(A77,VolumeFile_combined!A:J,10,false),"")</f>
        <v/>
      </c>
      <c r="K77" s="4" t="str">
        <f>IFERROR(VLOOKUP(A77,SeparateFamily!A:B,2,false),"")</f>
        <v/>
      </c>
      <c r="L77" s="185" t="str">
        <f>IFERROR(VLOOKUP(A77,Rackfile_combined!B:H,7,false),"")</f>
        <v>Chilled</v>
      </c>
      <c r="M77" s="189">
        <f t="shared" si="1"/>
        <v>1193</v>
      </c>
      <c r="N77" s="335" t="s">
        <v>100</v>
      </c>
      <c r="P77" s="4" t="str">
        <f>IF(A77&lt;&gt;"",VLOOKUP(A77,Rackfile_combined!$B:$C,2,false),"")</f>
        <v>CON-00-147826-2</v>
      </c>
    </row>
    <row r="78">
      <c r="A78" s="186" t="s">
        <v>248</v>
      </c>
      <c r="B78" s="189">
        <v>316.0</v>
      </c>
      <c r="C78" s="186" t="s">
        <v>210</v>
      </c>
      <c r="D78" s="186" t="s">
        <v>210</v>
      </c>
      <c r="E78" s="186" t="s">
        <v>210</v>
      </c>
      <c r="F78" s="186" t="s">
        <v>210</v>
      </c>
      <c r="G78" s="186"/>
      <c r="H78" s="4"/>
      <c r="I78" s="8"/>
      <c r="J78" s="4" t="str">
        <f>IFERROR(VLOOKUP(A78,VolumeFile_combined!A:J,10,false),"")</f>
        <v/>
      </c>
      <c r="K78" s="4" t="str">
        <f>IFERROR(VLOOKUP(A78,SeparateFamily!A:B,2,false),"")</f>
        <v/>
      </c>
      <c r="L78" s="185" t="str">
        <f>IFERROR(VLOOKUP(A78,Rackfile_combined!B:H,7,false),"")</f>
        <v>Chilled</v>
      </c>
      <c r="M78" s="189">
        <f t="shared" si="1"/>
        <v>316</v>
      </c>
      <c r="N78" s="335" t="s">
        <v>100</v>
      </c>
      <c r="P78" s="4" t="str">
        <f>IF(A78&lt;&gt;"",VLOOKUP(A78,Rackfile_combined!$B:$C,2,false),"")</f>
        <v>CON-00-147816-2</v>
      </c>
    </row>
    <row r="79">
      <c r="A79" s="186" t="s">
        <v>249</v>
      </c>
      <c r="B79" s="189">
        <v>207.0</v>
      </c>
      <c r="C79" s="186" t="s">
        <v>210</v>
      </c>
      <c r="D79" s="186" t="s">
        <v>210</v>
      </c>
      <c r="E79" s="186" t="s">
        <v>210</v>
      </c>
      <c r="F79" s="186" t="s">
        <v>210</v>
      </c>
      <c r="G79" s="186"/>
      <c r="H79" s="4"/>
      <c r="I79" s="8"/>
      <c r="J79" s="4" t="str">
        <f>IFERROR(VLOOKUP(A79,VolumeFile_combined!A:J,10,false),"")</f>
        <v/>
      </c>
      <c r="K79" s="4" t="str">
        <f>IFERROR(VLOOKUP(A79,SeparateFamily!A:B,2,false),"")</f>
        <v/>
      </c>
      <c r="L79" s="185" t="str">
        <f>IFERROR(VLOOKUP(A79,Rackfile_combined!B:H,7,false),"")</f>
        <v>Chilled</v>
      </c>
      <c r="M79" s="189">
        <f t="shared" si="1"/>
        <v>207</v>
      </c>
      <c r="N79" s="335" t="s">
        <v>100</v>
      </c>
      <c r="P79" s="4" t="str">
        <f>IF(A79&lt;&gt;"",VLOOKUP(A79,Rackfile_combined!$B:$C,2,false),"")</f>
        <v>CON-00-147817-2</v>
      </c>
    </row>
    <row r="80">
      <c r="A80" s="186" t="s">
        <v>250</v>
      </c>
      <c r="B80" s="189">
        <v>650.0</v>
      </c>
      <c r="C80" s="186" t="s">
        <v>210</v>
      </c>
      <c r="D80" s="186" t="s">
        <v>210</v>
      </c>
      <c r="E80" s="186" t="s">
        <v>210</v>
      </c>
      <c r="F80" s="186" t="s">
        <v>210</v>
      </c>
      <c r="G80" s="186"/>
      <c r="H80" s="4"/>
      <c r="I80" s="8"/>
      <c r="J80" s="4" t="str">
        <f>IFERROR(VLOOKUP(A80,VolumeFile_combined!A:J,10,false),"")</f>
        <v/>
      </c>
      <c r="K80" s="4" t="str">
        <f>IFERROR(VLOOKUP(A80,SeparateFamily!A:B,2,false),"")</f>
        <v>Svinemørbrad</v>
      </c>
      <c r="L80" s="185" t="str">
        <f>IFERROR(VLOOKUP(A80,Rackfile_combined!B:H,7,false),"")</f>
        <v>Chilled</v>
      </c>
      <c r="M80" s="189">
        <f t="shared" si="1"/>
        <v>650</v>
      </c>
      <c r="N80" s="335" t="s">
        <v>100</v>
      </c>
      <c r="P80" s="4" t="str">
        <f>IF(A80&lt;&gt;"",VLOOKUP(A80,Rackfile_combined!$B:$C,2,false),"")</f>
        <v>CON-00-147824-2</v>
      </c>
    </row>
    <row r="81">
      <c r="A81" s="186" t="s">
        <v>251</v>
      </c>
      <c r="B81" s="189">
        <v>1316.0</v>
      </c>
      <c r="C81" s="186" t="s">
        <v>210</v>
      </c>
      <c r="D81" s="186" t="s">
        <v>210</v>
      </c>
      <c r="E81" s="186" t="s">
        <v>210</v>
      </c>
      <c r="F81" s="186" t="s">
        <v>210</v>
      </c>
      <c r="G81" s="186"/>
      <c r="H81" s="4"/>
      <c r="I81" s="8"/>
      <c r="J81" s="4" t="str">
        <f>IFERROR(VLOOKUP(A81,VolumeFile_combined!A:J,10,false),"")</f>
        <v/>
      </c>
      <c r="K81" s="4" t="str">
        <f>IFERROR(VLOOKUP(A81,SeparateFamily!A:B,2,false),"")</f>
        <v/>
      </c>
      <c r="L81" s="185" t="str">
        <f>IFERROR(VLOOKUP(A81,Rackfile_combined!B:H,7,false),"")</f>
        <v>Chilled</v>
      </c>
      <c r="M81" s="189">
        <f t="shared" si="1"/>
        <v>1316</v>
      </c>
      <c r="N81" s="335" t="s">
        <v>100</v>
      </c>
      <c r="P81" s="4" t="str">
        <f>IF(A81&lt;&gt;"",VLOOKUP(A81,Rackfile_combined!$B:$C,2,false),"")</f>
        <v>CON-00-151279-2</v>
      </c>
    </row>
    <row r="82">
      <c r="A82" s="186" t="s">
        <v>252</v>
      </c>
      <c r="B82" s="189">
        <v>1852.0</v>
      </c>
      <c r="C82" s="186" t="s">
        <v>210</v>
      </c>
      <c r="D82" s="186" t="s">
        <v>210</v>
      </c>
      <c r="E82" s="186" t="s">
        <v>210</v>
      </c>
      <c r="F82" s="186" t="s">
        <v>210</v>
      </c>
      <c r="G82" s="186"/>
      <c r="H82" s="4"/>
      <c r="I82" s="8"/>
      <c r="J82" s="4" t="str">
        <f>IFERROR(VLOOKUP(A82,VolumeFile_combined!A:J,10,false),"")</f>
        <v/>
      </c>
      <c r="K82" s="4" t="str">
        <f>IFERROR(VLOOKUP(A82,SeparateFamily!A:B,2,false),"")</f>
        <v/>
      </c>
      <c r="L82" s="185" t="str">
        <f>IFERROR(VLOOKUP(A82,Rackfile_combined!B:H,7,false),"")</f>
        <v>Chilled</v>
      </c>
      <c r="M82" s="189">
        <f t="shared" si="1"/>
        <v>1852</v>
      </c>
      <c r="N82" s="335" t="s">
        <v>100</v>
      </c>
      <c r="P82" s="4" t="str">
        <f>IF(A82&lt;&gt;"",VLOOKUP(A82,Rackfile_combined!$B:$C,2,false),"")</f>
        <v>CON-00-147901-2</v>
      </c>
    </row>
    <row r="83">
      <c r="A83" s="186" t="s">
        <v>253</v>
      </c>
      <c r="B83" s="189">
        <v>649.0</v>
      </c>
      <c r="C83" s="186" t="s">
        <v>210</v>
      </c>
      <c r="D83" s="186" t="s">
        <v>210</v>
      </c>
      <c r="E83" s="186" t="s">
        <v>210</v>
      </c>
      <c r="F83" s="186" t="s">
        <v>210</v>
      </c>
      <c r="G83" s="186"/>
      <c r="H83" s="4"/>
      <c r="I83" s="8"/>
      <c r="J83" s="4" t="str">
        <f>IFERROR(VLOOKUP(A83,VolumeFile_combined!A:J,10,false),"")</f>
        <v/>
      </c>
      <c r="K83" s="4" t="str">
        <f>IFERROR(VLOOKUP(A83,SeparateFamily!A:B,2,false),"")</f>
        <v>Grillet</v>
      </c>
      <c r="L83" s="185" t="str">
        <f>IFERROR(VLOOKUP(A83,Rackfile_combined!B:H,7,false),"")</f>
        <v>Chilled</v>
      </c>
      <c r="M83" s="189">
        <f t="shared" si="1"/>
        <v>649</v>
      </c>
      <c r="N83" s="335" t="s">
        <v>100</v>
      </c>
      <c r="P83" s="4" t="str">
        <f>IF(A83&lt;&gt;"",VLOOKUP(A83,Rackfile_combined!$B:$C,2,false),"")</f>
        <v>CON-00-152026-2</v>
      </c>
    </row>
    <row r="84">
      <c r="A84" s="186" t="s">
        <v>254</v>
      </c>
      <c r="B84" s="189">
        <v>595.0</v>
      </c>
      <c r="C84" s="186" t="s">
        <v>210</v>
      </c>
      <c r="D84" s="186" t="s">
        <v>210</v>
      </c>
      <c r="E84" s="186" t="s">
        <v>210</v>
      </c>
      <c r="F84" s="186" t="s">
        <v>210</v>
      </c>
      <c r="G84" s="186"/>
      <c r="H84" s="4"/>
      <c r="I84" s="8"/>
      <c r="J84" s="4" t="str">
        <f>IFERROR(VLOOKUP(A84,VolumeFile_combined!A:J,10,false),"")</f>
        <v/>
      </c>
      <c r="K84" s="4" t="str">
        <f>IFERROR(VLOOKUP(A84,SeparateFamily!A:B,2,false),"")</f>
        <v/>
      </c>
      <c r="L84" s="185" t="str">
        <f>IFERROR(VLOOKUP(A84,Rackfile_combined!B:H,7,false),"")</f>
        <v>Chilled</v>
      </c>
      <c r="M84" s="189">
        <f t="shared" si="1"/>
        <v>595</v>
      </c>
      <c r="N84" s="335" t="s">
        <v>100</v>
      </c>
      <c r="P84" s="4" t="str">
        <f>IF(A84&lt;&gt;"",VLOOKUP(A84,Rackfile_combined!$B:$C,2,false),"")</f>
        <v>CON-00-147857-2</v>
      </c>
    </row>
    <row r="85">
      <c r="A85" s="186" t="s">
        <v>255</v>
      </c>
      <c r="B85" s="189">
        <v>603.0</v>
      </c>
      <c r="C85" s="186" t="s">
        <v>210</v>
      </c>
      <c r="D85" s="186" t="s">
        <v>210</v>
      </c>
      <c r="E85" s="186" t="s">
        <v>210</v>
      </c>
      <c r="F85" s="186" t="s">
        <v>210</v>
      </c>
      <c r="G85" s="186"/>
      <c r="H85" s="4"/>
      <c r="I85" s="8"/>
      <c r="J85" s="4" t="str">
        <f>IFERROR(VLOOKUP(A85,VolumeFile_combined!A:J,10,false),"")</f>
        <v/>
      </c>
      <c r="K85" s="4" t="str">
        <f>IFERROR(VLOOKUP(A85,SeparateFamily!A:B,2,false),"")</f>
        <v>Laks</v>
      </c>
      <c r="L85" s="185" t="str">
        <f>IFERROR(VLOOKUP(A85,Rackfile_combined!B:H,7,false),"")</f>
        <v>Chilled</v>
      </c>
      <c r="M85" s="189">
        <f t="shared" si="1"/>
        <v>603</v>
      </c>
      <c r="N85" s="335" t="s">
        <v>100</v>
      </c>
      <c r="P85" s="4" t="str">
        <f>IF(A85&lt;&gt;"",VLOOKUP(A85,Rackfile_combined!$B:$C,2,false),"")</f>
        <v>CON-00-154556-2</v>
      </c>
    </row>
    <row r="86">
      <c r="A86" s="186" t="s">
        <v>256</v>
      </c>
      <c r="B86" s="189">
        <v>1692.0</v>
      </c>
      <c r="C86" s="186" t="s">
        <v>210</v>
      </c>
      <c r="D86" s="186" t="s">
        <v>210</v>
      </c>
      <c r="E86" s="186" t="s">
        <v>210</v>
      </c>
      <c r="F86" s="186" t="s">
        <v>210</v>
      </c>
      <c r="G86" s="186"/>
      <c r="H86" s="4"/>
      <c r="I86" s="8"/>
      <c r="J86" s="4" t="str">
        <f>IFERROR(VLOOKUP(A86,VolumeFile_combined!A:J,10,false),"")</f>
        <v/>
      </c>
      <c r="K86" s="4" t="str">
        <f>IFERROR(VLOOKUP(A86,SeparateFamily!A:B,2,false),"")</f>
        <v/>
      </c>
      <c r="L86" s="185" t="str">
        <f>IFERROR(VLOOKUP(A86,Rackfile_combined!B:H,7,false),"")</f>
        <v>Chilled</v>
      </c>
      <c r="M86" s="189">
        <f t="shared" si="1"/>
        <v>1692</v>
      </c>
      <c r="N86" s="335" t="s">
        <v>100</v>
      </c>
      <c r="P86" s="4" t="str">
        <f>IF(A86&lt;&gt;"",VLOOKUP(A86,Rackfile_combined!$B:$C,2,false),"")</f>
        <v>CON-00-155188-2</v>
      </c>
    </row>
    <row r="87">
      <c r="A87" s="186" t="s">
        <v>257</v>
      </c>
      <c r="B87" s="189">
        <v>631.0</v>
      </c>
      <c r="C87" s="186" t="s">
        <v>210</v>
      </c>
      <c r="D87" s="186" t="s">
        <v>210</v>
      </c>
      <c r="E87" s="186" t="s">
        <v>210</v>
      </c>
      <c r="F87" s="186" t="s">
        <v>210</v>
      </c>
      <c r="G87" s="186"/>
      <c r="H87" s="4"/>
      <c r="I87" s="8"/>
      <c r="J87" s="4" t="str">
        <f>IFERROR(VLOOKUP(A87,VolumeFile_combined!A:J,10,false),"")</f>
        <v/>
      </c>
      <c r="K87" s="4" t="str">
        <f>IFERROR(VLOOKUP(A87,SeparateFamily!A:B,2,false),"")</f>
        <v>Svinemørbrad</v>
      </c>
      <c r="L87" s="185" t="str">
        <f>IFERROR(VLOOKUP(A87,Rackfile_combined!B:H,7,false),"")</f>
        <v>Chilled</v>
      </c>
      <c r="M87" s="189">
        <f t="shared" si="1"/>
        <v>631</v>
      </c>
      <c r="N87" s="335" t="s">
        <v>100</v>
      </c>
      <c r="P87" s="4" t="str">
        <f>IF(A87&lt;&gt;"",VLOOKUP(A87,Rackfile_combined!$B:$C,2,false),"")</f>
        <v>CON-00-147864-2</v>
      </c>
    </row>
    <row r="88">
      <c r="A88" s="186" t="s">
        <v>312</v>
      </c>
      <c r="B88" s="189">
        <v>51.0</v>
      </c>
      <c r="C88" s="186" t="s">
        <v>210</v>
      </c>
      <c r="D88" s="186" t="s">
        <v>210</v>
      </c>
      <c r="E88" s="186" t="s">
        <v>210</v>
      </c>
      <c r="F88" s="186" t="s">
        <v>210</v>
      </c>
      <c r="G88" s="186"/>
      <c r="H88" s="4"/>
      <c r="I88" s="8" t="s">
        <v>166</v>
      </c>
      <c r="J88" s="4" t="str">
        <f>IFERROR(VLOOKUP(A88,VolumeFile_combined!A:J,10,false),"")</f>
        <v/>
      </c>
      <c r="K88" s="4" t="str">
        <f>IFERROR(VLOOKUP(A88,SeparateFamily!A:B,2,false),"")</f>
        <v>Grillet</v>
      </c>
      <c r="L88" s="185" t="str">
        <f>IFERROR(VLOOKUP(A88,Rackfile_combined!B:H,7,false),"")</f>
        <v>Chilled</v>
      </c>
      <c r="M88" s="189">
        <f t="shared" si="1"/>
        <v>51</v>
      </c>
      <c r="N88" s="335" t="s">
        <v>100</v>
      </c>
      <c r="P88" s="4" t="str">
        <f>IF(A88&lt;&gt;"",VLOOKUP(A88,Rackfile_combined!$B:$C,2,false),"")</f>
        <v>PTN-00-148223-2</v>
      </c>
    </row>
    <row r="89">
      <c r="A89" s="186" t="s">
        <v>169</v>
      </c>
      <c r="B89" s="189">
        <v>126.0</v>
      </c>
      <c r="C89" s="186" t="s">
        <v>210</v>
      </c>
      <c r="D89" s="186" t="s">
        <v>210</v>
      </c>
      <c r="E89" s="186" t="s">
        <v>210</v>
      </c>
      <c r="F89" s="186" t="s">
        <v>210</v>
      </c>
      <c r="G89" s="186"/>
      <c r="H89" s="4"/>
      <c r="I89" s="8" t="s">
        <v>153</v>
      </c>
      <c r="J89" s="4" t="str">
        <f>IFERROR(VLOOKUP(A89,VolumeFile_combined!A:J,10,false),"")</f>
        <v/>
      </c>
      <c r="K89" s="4" t="str">
        <f>IFERROR(VLOOKUP(A89,SeparateFamily!A:B,2,false),"")</f>
        <v/>
      </c>
      <c r="L89" s="185" t="str">
        <f>IFERROR(VLOOKUP(A89,Rackfile_combined!B:H,7,false),"")</f>
        <v>Chilled</v>
      </c>
      <c r="M89" s="189">
        <f t="shared" si="1"/>
        <v>126</v>
      </c>
      <c r="N89" s="335" t="s">
        <v>100</v>
      </c>
      <c r="P89" s="4" t="str">
        <f>IF(A89&lt;&gt;"",VLOOKUP(A89,Rackfile_combined!$B:$C,2,false),"")</f>
        <v>BEV-00-136840-3</v>
      </c>
    </row>
    <row r="90">
      <c r="A90" s="186" t="s">
        <v>170</v>
      </c>
      <c r="B90" s="189">
        <v>73.0</v>
      </c>
      <c r="C90" s="186" t="s">
        <v>210</v>
      </c>
      <c r="D90" s="186" t="s">
        <v>210</v>
      </c>
      <c r="E90" s="186" t="s">
        <v>210</v>
      </c>
      <c r="F90" s="186" t="s">
        <v>210</v>
      </c>
      <c r="G90" s="186"/>
      <c r="H90" s="4"/>
      <c r="I90" s="8" t="s">
        <v>171</v>
      </c>
      <c r="J90" s="4" t="str">
        <f>IFERROR(VLOOKUP(A90,VolumeFile_combined!A:J,10,false),"")</f>
        <v/>
      </c>
      <c r="K90" s="4" t="str">
        <f>IFERROR(VLOOKUP(A90,SeparateFamily!A:B,2,false),"")</f>
        <v/>
      </c>
      <c r="L90" s="185" t="str">
        <f>IFERROR(VLOOKUP(A90,Rackfile_combined!B:H,7,false),"")</f>
        <v>Chilled</v>
      </c>
      <c r="M90" s="189">
        <f t="shared" si="1"/>
        <v>73</v>
      </c>
      <c r="N90" s="335" t="s">
        <v>100</v>
      </c>
      <c r="P90" s="4" t="str">
        <f>IF(A90&lt;&gt;"",VLOOKUP(A90,Rackfile_combined!$B:$C,2,false),"")</f>
        <v>BEV-00-137951-2</v>
      </c>
    </row>
    <row r="91">
      <c r="A91" s="186" t="s">
        <v>172</v>
      </c>
      <c r="B91" s="189">
        <v>89.0</v>
      </c>
      <c r="C91" s="186" t="s">
        <v>210</v>
      </c>
      <c r="D91" s="186" t="s">
        <v>210</v>
      </c>
      <c r="E91" s="186" t="s">
        <v>210</v>
      </c>
      <c r="F91" s="186" t="s">
        <v>210</v>
      </c>
      <c r="G91" s="186"/>
      <c r="H91" s="4"/>
      <c r="I91" s="8" t="s">
        <v>77</v>
      </c>
      <c r="J91" s="4" t="str">
        <f>IFERROR(VLOOKUP(A91,VolumeFile_combined!A:J,10,false),"")</f>
        <v/>
      </c>
      <c r="K91" s="4" t="str">
        <f>IFERROR(VLOOKUP(A91,SeparateFamily!A:B,2,false),"")</f>
        <v/>
      </c>
      <c r="L91" s="185" t="str">
        <f>IFERROR(VLOOKUP(A91,Rackfile_combined!B:H,7,false),"")</f>
        <v>Chilled</v>
      </c>
      <c r="M91" s="189">
        <f t="shared" si="1"/>
        <v>89</v>
      </c>
      <c r="N91" s="335" t="s">
        <v>100</v>
      </c>
      <c r="P91" s="4" t="str">
        <f>IF(A91&lt;&gt;"",VLOOKUP(A91,Rackfile_combined!$B:$C,2,false),"")</f>
        <v>BEV-00-137952-2</v>
      </c>
    </row>
    <row r="92">
      <c r="A92" s="186"/>
      <c r="B92" s="186"/>
      <c r="C92" s="186"/>
      <c r="D92" s="186"/>
      <c r="E92" s="186"/>
      <c r="F92" s="186"/>
      <c r="G92" s="186"/>
      <c r="H92" s="4"/>
      <c r="I92" s="8"/>
      <c r="J92" s="4" t="str">
        <f>IFERROR(VLOOKUP(A92,VolumeFile_combined!A:J,10,false),"")</f>
        <v/>
      </c>
      <c r="K92" s="4" t="str">
        <f>IFERROR(VLOOKUP(A92,SeparateFamily!A:B,2,false),"")</f>
        <v/>
      </c>
      <c r="L92" s="185" t="str">
        <f>IFERROR(VLOOKUP(A92,Rackfile_combined!B:H,7,false),"")</f>
        <v/>
      </c>
      <c r="M92" s="186" t="str">
        <f t="shared" si="1"/>
        <v/>
      </c>
      <c r="N92" s="335" t="s">
        <v>100</v>
      </c>
      <c r="P92" s="4" t="str">
        <f>IF(A92&lt;&gt;"",VLOOKUP(A92,Rackfile_combined!$B:$C,2,false),"")</f>
        <v/>
      </c>
    </row>
    <row r="93">
      <c r="A93" s="186"/>
      <c r="B93" s="186"/>
      <c r="C93" s="186"/>
      <c r="D93" s="186"/>
      <c r="E93" s="186"/>
      <c r="F93" s="186"/>
      <c r="G93" s="186"/>
      <c r="H93" s="4"/>
      <c r="I93" s="8"/>
      <c r="J93" s="4" t="str">
        <f>IFERROR(VLOOKUP(A93,VolumeFile_combined!A:J,10,false),"")</f>
        <v/>
      </c>
      <c r="K93" s="4" t="str">
        <f>IFERROR(VLOOKUP(A93,SeparateFamily!A:B,2,false),"")</f>
        <v/>
      </c>
      <c r="L93" s="185" t="str">
        <f>IFERROR(VLOOKUP(A93,Rackfile_combined!B:H,7,false),"")</f>
        <v/>
      </c>
      <c r="M93" s="186" t="str">
        <f t="shared" si="1"/>
        <v/>
      </c>
      <c r="N93" s="335" t="s">
        <v>100</v>
      </c>
      <c r="P93" s="4" t="str">
        <f>IF(A93&lt;&gt;"",VLOOKUP(A93,Rackfile_combined!$B:$C,2,false),"")</f>
        <v/>
      </c>
    </row>
    <row r="94">
      <c r="A94" s="186"/>
      <c r="B94" s="186"/>
      <c r="C94" s="186"/>
      <c r="D94" s="186"/>
      <c r="E94" s="186"/>
      <c r="F94" s="186"/>
      <c r="G94" s="186"/>
      <c r="H94" s="4"/>
      <c r="I94" s="8"/>
      <c r="J94" s="4" t="str">
        <f>IFERROR(VLOOKUP(A94,VolumeFile_combined!A:J,10,false),"")</f>
        <v/>
      </c>
      <c r="K94" s="4" t="str">
        <f>IFERROR(VLOOKUP(A94,SeparateFamily!A:B,2,false),"")</f>
        <v/>
      </c>
      <c r="L94" s="185" t="str">
        <f>IFERROR(VLOOKUP(A94,Rackfile_combined!B:H,7,false),"")</f>
        <v/>
      </c>
      <c r="M94" s="186" t="str">
        <f t="shared" si="1"/>
        <v/>
      </c>
      <c r="N94" s="335" t="s">
        <v>100</v>
      </c>
      <c r="P94" s="4" t="str">
        <f>IF(A94&lt;&gt;"",VLOOKUP(A94,Rackfile_combined!$B:$C,2,false),"")</f>
        <v/>
      </c>
    </row>
    <row r="95">
      <c r="A95" s="186"/>
      <c r="B95" s="186"/>
      <c r="C95" s="186"/>
      <c r="D95" s="186"/>
      <c r="E95" s="186"/>
      <c r="F95" s="186"/>
      <c r="G95" s="186"/>
      <c r="H95" s="4"/>
      <c r="I95" s="8"/>
      <c r="J95" s="4" t="str">
        <f>IFERROR(VLOOKUP(A95,VolumeFile_combined!A:J,10,false),"")</f>
        <v/>
      </c>
      <c r="K95" s="4" t="str">
        <f>IFERROR(VLOOKUP(A95,SeparateFamily!A:B,2,false),"")</f>
        <v/>
      </c>
      <c r="L95" s="185" t="str">
        <f>IFERROR(VLOOKUP(A95,Rackfile_combined!B:H,7,false),"")</f>
        <v/>
      </c>
      <c r="M95" s="186" t="str">
        <f t="shared" si="1"/>
        <v/>
      </c>
      <c r="N95" s="335" t="s">
        <v>100</v>
      </c>
      <c r="P95" s="4" t="str">
        <f>IF(A95&lt;&gt;"",VLOOKUP(A95,Rackfile_combined!$B:$C,2,false),"")</f>
        <v/>
      </c>
    </row>
    <row r="96">
      <c r="A96" s="186"/>
      <c r="B96" s="186"/>
      <c r="C96" s="186"/>
      <c r="D96" s="186"/>
      <c r="E96" s="186"/>
      <c r="F96" s="186"/>
      <c r="G96" s="186"/>
      <c r="H96" s="4"/>
      <c r="I96" s="8"/>
      <c r="J96" s="4" t="str">
        <f>IFERROR(VLOOKUP(A96,VolumeFile_combined!A:J,10,false),"")</f>
        <v/>
      </c>
      <c r="K96" s="4" t="str">
        <f>IFERROR(VLOOKUP(A96,SeparateFamily!A:B,2,false),"")</f>
        <v/>
      </c>
      <c r="L96" s="185" t="str">
        <f>IFERROR(VLOOKUP(A96,Rackfile_combined!B:H,7,false),"")</f>
        <v/>
      </c>
      <c r="M96" s="186" t="str">
        <f t="shared" si="1"/>
        <v/>
      </c>
      <c r="N96" s="335" t="s">
        <v>100</v>
      </c>
      <c r="P96" s="4" t="str">
        <f>IF(A96&lt;&gt;"",VLOOKUP(A96,Rackfile_combined!$B:$C,2,false),"")</f>
        <v/>
      </c>
    </row>
    <row r="97">
      <c r="A97" s="186"/>
      <c r="B97" s="186"/>
      <c r="C97" s="186"/>
      <c r="D97" s="186"/>
      <c r="E97" s="186"/>
      <c r="F97" s="186"/>
      <c r="G97" s="186"/>
      <c r="H97" s="4"/>
      <c r="I97" s="8"/>
      <c r="J97" s="4" t="str">
        <f>IFERROR(VLOOKUP(A97,VolumeFile_combined!A:J,10,false),"")</f>
        <v/>
      </c>
      <c r="K97" s="4" t="str">
        <f>IFERROR(VLOOKUP(A97,SeparateFamily!A:B,2,false),"")</f>
        <v/>
      </c>
      <c r="L97" s="185" t="str">
        <f>IFERROR(VLOOKUP(A97,Rackfile_combined!B:H,7,false),"")</f>
        <v/>
      </c>
      <c r="M97" s="186" t="str">
        <f t="shared" si="1"/>
        <v/>
      </c>
      <c r="N97" s="335" t="s">
        <v>100</v>
      </c>
      <c r="P97" s="4" t="str">
        <f>IF(A97&lt;&gt;"",VLOOKUP(A97,Rackfile_combined!$B:$C,2,false),"")</f>
        <v/>
      </c>
    </row>
    <row r="98">
      <c r="A98" s="186"/>
      <c r="B98" s="186"/>
      <c r="C98" s="186"/>
      <c r="D98" s="186"/>
      <c r="E98" s="186"/>
      <c r="F98" s="186"/>
      <c r="G98" s="186"/>
      <c r="H98" s="4"/>
      <c r="I98" s="8"/>
      <c r="J98" s="4" t="str">
        <f>IFERROR(VLOOKUP(A98,VolumeFile_combined!A:J,10,false),"")</f>
        <v/>
      </c>
      <c r="K98" s="4" t="str">
        <f>IFERROR(VLOOKUP(A98,SeparateFamily!A:B,2,false),"")</f>
        <v/>
      </c>
      <c r="L98" s="185" t="str">
        <f>IFERROR(VLOOKUP(A98,Rackfile_combined!B:H,7,false),"")</f>
        <v/>
      </c>
      <c r="M98" s="186" t="str">
        <f t="shared" si="1"/>
        <v/>
      </c>
      <c r="N98" s="335" t="s">
        <v>100</v>
      </c>
      <c r="P98" s="4" t="str">
        <f>IF(A98&lt;&gt;"",VLOOKUP(A98,Rackfile_combined!$B:$C,2,false),"")</f>
        <v/>
      </c>
    </row>
    <row r="99">
      <c r="A99" s="186"/>
      <c r="B99" s="186"/>
      <c r="C99" s="186"/>
      <c r="D99" s="186"/>
      <c r="E99" s="186"/>
      <c r="F99" s="186"/>
      <c r="G99" s="186"/>
      <c r="H99" s="4"/>
      <c r="I99" s="8"/>
      <c r="J99" s="4" t="str">
        <f>IFERROR(VLOOKUP(A99,VolumeFile_combined!A:J,10,false),"")</f>
        <v/>
      </c>
      <c r="K99" s="4" t="str">
        <f>IFERROR(VLOOKUP(A99,SeparateFamily!A:B,2,false),"")</f>
        <v/>
      </c>
      <c r="L99" s="185" t="str">
        <f>IFERROR(VLOOKUP(A99,Rackfile_combined!B:H,7,false),"")</f>
        <v/>
      </c>
      <c r="M99" s="186" t="str">
        <f t="shared" si="1"/>
        <v/>
      </c>
      <c r="N99" s="335" t="s">
        <v>100</v>
      </c>
      <c r="P99" s="4" t="str">
        <f>IF(A99&lt;&gt;"",VLOOKUP(A99,Rackfile_combined!$B:$C,2,false),"")</f>
        <v/>
      </c>
    </row>
    <row r="100">
      <c r="A100" s="186"/>
      <c r="B100" s="186"/>
      <c r="C100" s="186"/>
      <c r="D100" s="186"/>
      <c r="E100" s="186"/>
      <c r="F100" s="186"/>
      <c r="G100" s="186"/>
      <c r="H100" s="4"/>
      <c r="I100" s="8"/>
      <c r="J100" s="4" t="str">
        <f>IFERROR(VLOOKUP(A100,VolumeFile_combined!A:J,10,false),"")</f>
        <v/>
      </c>
      <c r="K100" s="4" t="str">
        <f>IFERROR(VLOOKUP(A100,SeparateFamily!A:B,2,false),"")</f>
        <v/>
      </c>
      <c r="L100" s="185" t="str">
        <f>IFERROR(VLOOKUP(A100,Rackfile_combined!B:H,7,false),"")</f>
        <v/>
      </c>
      <c r="M100" s="186" t="str">
        <f t="shared" si="1"/>
        <v/>
      </c>
      <c r="N100" s="335" t="s">
        <v>100</v>
      </c>
      <c r="P100" s="4" t="str">
        <f>IF(A100&lt;&gt;"",VLOOKUP(A100,Rackfile_combined!$B:$C,2,false),"")</f>
        <v/>
      </c>
    </row>
    <row r="101">
      <c r="A101" s="186"/>
      <c r="B101" s="186"/>
      <c r="C101" s="186"/>
      <c r="D101" s="186"/>
      <c r="E101" s="186"/>
      <c r="F101" s="186"/>
      <c r="G101" s="186"/>
      <c r="H101" s="4"/>
      <c r="I101" s="8"/>
      <c r="J101" s="4" t="str">
        <f>IFERROR(VLOOKUP(A101,VolumeFile_combined!A:J,10,false),"")</f>
        <v/>
      </c>
      <c r="K101" s="4" t="str">
        <f>IFERROR(VLOOKUP(A101,SeparateFamily!A:B,2,false),"")</f>
        <v/>
      </c>
      <c r="L101" s="185" t="str">
        <f>IFERROR(VLOOKUP(A101,Rackfile_combined!B:H,7,false),"")</f>
        <v/>
      </c>
      <c r="M101" s="186" t="str">
        <f t="shared" si="1"/>
        <v/>
      </c>
      <c r="N101" s="335" t="s">
        <v>100</v>
      </c>
      <c r="P101" s="4" t="str">
        <f>IF(A101&lt;&gt;"",VLOOKUP(A101,Rackfile_combined!$B:$C,2,false),"")</f>
        <v/>
      </c>
    </row>
    <row r="102">
      <c r="A102" s="186"/>
      <c r="B102" s="186"/>
      <c r="C102" s="186"/>
      <c r="D102" s="186"/>
      <c r="E102" s="186"/>
      <c r="F102" s="186"/>
      <c r="G102" s="186"/>
      <c r="H102" s="4"/>
      <c r="I102" s="8"/>
      <c r="J102" s="4" t="str">
        <f>IFERROR(VLOOKUP(A102,VolumeFile_combined!A:J,10,false),"")</f>
        <v/>
      </c>
      <c r="K102" s="4" t="str">
        <f>IFERROR(VLOOKUP(A102,SeparateFamily!A:B,2,false),"")</f>
        <v/>
      </c>
      <c r="L102" s="185" t="str">
        <f>IFERROR(VLOOKUP(A102,Rackfile_combined!B:H,7,false),"")</f>
        <v/>
      </c>
      <c r="M102" s="186" t="str">
        <f t="shared" si="1"/>
        <v/>
      </c>
      <c r="N102" s="335" t="s">
        <v>100</v>
      </c>
      <c r="P102" s="4" t="str">
        <f>IF(A102&lt;&gt;"",VLOOKUP(A102,Rackfile_combined!$B:$C,2,false),"")</f>
        <v/>
      </c>
    </row>
    <row r="103">
      <c r="A103" s="186"/>
      <c r="B103" s="186"/>
      <c r="C103" s="186"/>
      <c r="D103" s="186"/>
      <c r="E103" s="186"/>
      <c r="F103" s="186"/>
      <c r="G103" s="186"/>
      <c r="H103" s="4"/>
      <c r="I103" s="8"/>
      <c r="J103" s="4" t="str">
        <f>IFERROR(VLOOKUP(A103,VolumeFile_combined!A:J,10,false),"")</f>
        <v/>
      </c>
      <c r="K103" s="4" t="str">
        <f>IFERROR(VLOOKUP(A103,SeparateFamily!A:B,2,false),"")</f>
        <v/>
      </c>
      <c r="L103" s="185" t="str">
        <f>IFERROR(VLOOKUP(A103,Rackfile_combined!B:H,7,false),"")</f>
        <v/>
      </c>
      <c r="M103" s="186" t="str">
        <f t="shared" si="1"/>
        <v/>
      </c>
      <c r="N103" s="335" t="s">
        <v>100</v>
      </c>
      <c r="P103" s="4" t="str">
        <f>IF(A103&lt;&gt;"",VLOOKUP(A103,Rackfile_combined!$B:$C,2,false),"")</f>
        <v/>
      </c>
    </row>
    <row r="104">
      <c r="A104" s="186"/>
      <c r="B104" s="186"/>
      <c r="C104" s="186"/>
      <c r="D104" s="186"/>
      <c r="E104" s="186"/>
      <c r="F104" s="186"/>
      <c r="G104" s="186"/>
      <c r="H104" s="4"/>
      <c r="I104" s="8"/>
      <c r="J104" s="4" t="str">
        <f>IFERROR(VLOOKUP(A104,VolumeFile_combined!A:J,10,false),"")</f>
        <v/>
      </c>
      <c r="K104" s="4" t="str">
        <f>IFERROR(VLOOKUP(A104,SeparateFamily!A:B,2,false),"")</f>
        <v/>
      </c>
      <c r="L104" s="185" t="str">
        <f>IFERROR(VLOOKUP(A104,Rackfile_combined!B:H,7,false),"")</f>
        <v/>
      </c>
      <c r="M104" s="186" t="str">
        <f t="shared" si="1"/>
        <v/>
      </c>
      <c r="N104" s="335" t="s">
        <v>100</v>
      </c>
      <c r="P104" s="4" t="str">
        <f>IF(A104&lt;&gt;"",VLOOKUP(A104,Rackfile_combined!$B:$C,2,false),"")</f>
        <v/>
      </c>
    </row>
    <row r="105">
      <c r="A105" s="186"/>
      <c r="B105" s="186"/>
      <c r="C105" s="186"/>
      <c r="D105" s="186"/>
      <c r="E105" s="186"/>
      <c r="F105" s="186"/>
      <c r="G105" s="186"/>
      <c r="H105" s="4"/>
      <c r="I105" s="8"/>
      <c r="J105" s="4" t="str">
        <f>IFERROR(VLOOKUP(A105,VolumeFile_combined!A:J,10,false),"")</f>
        <v/>
      </c>
      <c r="K105" s="4" t="str">
        <f>IFERROR(VLOOKUP(A105,SeparateFamily!A:B,2,false),"")</f>
        <v/>
      </c>
      <c r="L105" s="185" t="str">
        <f>IFERROR(VLOOKUP(A105,Rackfile_combined!B:H,7,false),"")</f>
        <v/>
      </c>
      <c r="M105" s="186" t="str">
        <f t="shared" si="1"/>
        <v/>
      </c>
      <c r="N105" s="335" t="s">
        <v>100</v>
      </c>
      <c r="P105" s="4" t="str">
        <f>IF(A105&lt;&gt;"",VLOOKUP(A105,Rackfile_combined!$B:$C,2,false),"")</f>
        <v/>
      </c>
    </row>
    <row r="106">
      <c r="A106" s="186"/>
      <c r="B106" s="186"/>
      <c r="C106" s="186"/>
      <c r="D106" s="186"/>
      <c r="E106" s="186"/>
      <c r="F106" s="186"/>
      <c r="G106" s="186"/>
      <c r="H106" s="4"/>
      <c r="I106" s="8"/>
      <c r="J106" s="4" t="str">
        <f>IFERROR(VLOOKUP(A106,VolumeFile_combined!A:J,10,false),"")</f>
        <v/>
      </c>
      <c r="K106" s="4" t="str">
        <f>IFERROR(VLOOKUP(A106,SeparateFamily!A:B,2,false),"")</f>
        <v/>
      </c>
      <c r="L106" s="185" t="str">
        <f>IFERROR(VLOOKUP(A106,Rackfile_combined!B:H,7,false),"")</f>
        <v/>
      </c>
      <c r="M106" s="186" t="str">
        <f t="shared" si="1"/>
        <v/>
      </c>
      <c r="N106" s="335"/>
      <c r="P106" s="4" t="str">
        <f>IF(A106&lt;&gt;"",VLOOKUP(A106,Rackfile_combined!$B:$C,2,false),"")</f>
        <v/>
      </c>
    </row>
    <row r="107">
      <c r="A107" s="186"/>
      <c r="B107" s="186"/>
      <c r="C107" s="186"/>
      <c r="D107" s="186"/>
      <c r="E107" s="186"/>
      <c r="F107" s="186"/>
      <c r="G107" s="186"/>
      <c r="H107" s="4"/>
      <c r="I107" s="8"/>
      <c r="J107" s="4" t="str">
        <f>IFERROR(VLOOKUP(A107,VolumeFile_combined!A:J,10,false),"")</f>
        <v/>
      </c>
      <c r="K107" s="4" t="str">
        <f>IFERROR(VLOOKUP(A107,SeparateFamily!A:B,2,false),"")</f>
        <v/>
      </c>
      <c r="L107" s="185" t="str">
        <f>IFERROR(VLOOKUP(A107,Rackfile_combined!B:H,7,false),"")</f>
        <v/>
      </c>
      <c r="M107" s="186" t="str">
        <f t="shared" si="1"/>
        <v/>
      </c>
      <c r="N107" s="335"/>
      <c r="P107" s="4" t="str">
        <f>IF(A107&lt;&gt;"",VLOOKUP(A107,Rackfile_combined!$B:$C,2,false),"")</f>
        <v/>
      </c>
    </row>
    <row r="108">
      <c r="A108" s="186"/>
      <c r="B108" s="186"/>
      <c r="C108" s="186"/>
      <c r="D108" s="186"/>
      <c r="E108" s="186"/>
      <c r="F108" s="186"/>
      <c r="G108" s="186"/>
      <c r="H108" s="4"/>
      <c r="I108" s="8"/>
      <c r="J108" s="4" t="str">
        <f>IFERROR(VLOOKUP(A108,VolumeFile_combined!A:J,10,false),"")</f>
        <v/>
      </c>
      <c r="K108" s="4" t="str">
        <f>IFERROR(VLOOKUP(A108,SeparateFamily!A:B,2,false),"")</f>
        <v/>
      </c>
      <c r="L108" s="185" t="str">
        <f>IFERROR(VLOOKUP(A108,Rackfile_combined!B:H,7,false),"")</f>
        <v/>
      </c>
      <c r="M108" s="186" t="str">
        <f t="shared" si="1"/>
        <v/>
      </c>
      <c r="N108" s="335"/>
      <c r="P108" s="4" t="str">
        <f>IF(A108&lt;&gt;"",VLOOKUP(A108,Rackfile_combined!$B:$C,2,false),"")</f>
        <v/>
      </c>
    </row>
    <row r="109">
      <c r="A109" s="186"/>
      <c r="B109" s="186"/>
      <c r="C109" s="186"/>
      <c r="D109" s="186"/>
      <c r="E109" s="186"/>
      <c r="F109" s="186"/>
      <c r="G109" s="186"/>
      <c r="H109" s="4"/>
      <c r="I109" s="8"/>
      <c r="J109" s="4" t="str">
        <f>IFERROR(VLOOKUP(A109,VolumeFile_combined!A:J,10,false),"")</f>
        <v/>
      </c>
      <c r="K109" s="4" t="str">
        <f>IFERROR(VLOOKUP(A109,SeparateFamily!A:B,2,false),"")</f>
        <v/>
      </c>
      <c r="L109" s="185" t="str">
        <f>IFERROR(VLOOKUP(A109,Rackfile_combined!B:H,7,false),"")</f>
        <v/>
      </c>
      <c r="M109" s="186" t="str">
        <f t="shared" si="1"/>
        <v/>
      </c>
      <c r="N109" s="335"/>
      <c r="P109" s="4" t="str">
        <f>IF(A109&lt;&gt;"",VLOOKUP(A109,Rackfile_combined!$B:$C,2,false),"")</f>
        <v/>
      </c>
    </row>
    <row r="110">
      <c r="A110" s="186"/>
      <c r="B110" s="186"/>
      <c r="C110" s="186"/>
      <c r="D110" s="186"/>
      <c r="E110" s="186"/>
      <c r="F110" s="186"/>
      <c r="G110" s="186"/>
      <c r="H110" s="4"/>
      <c r="I110" s="8"/>
      <c r="J110" s="4" t="str">
        <f>IFERROR(VLOOKUP(A110,VolumeFile_combined!A:J,10,false),"")</f>
        <v/>
      </c>
      <c r="K110" s="4" t="str">
        <f>IFERROR(VLOOKUP(A110,SeparateFamily!A:B,2,false),"")</f>
        <v/>
      </c>
      <c r="L110" s="185" t="str">
        <f>IFERROR(VLOOKUP(A110,Rackfile_combined!B:H,7,false),"")</f>
        <v/>
      </c>
      <c r="M110" s="186" t="str">
        <f t="shared" si="1"/>
        <v/>
      </c>
      <c r="N110" s="335"/>
      <c r="P110" s="4" t="str">
        <f>IF(A110&lt;&gt;"",VLOOKUP(A110,Rackfile_combined!$B:$C,2,false),"")</f>
        <v/>
      </c>
    </row>
    <row r="111">
      <c r="A111" s="186"/>
      <c r="B111" s="186"/>
      <c r="C111" s="186"/>
      <c r="D111" s="186"/>
      <c r="E111" s="186"/>
      <c r="F111" s="186"/>
      <c r="G111" s="186"/>
      <c r="H111" s="4"/>
      <c r="I111" s="8"/>
      <c r="J111" s="4" t="str">
        <f>IFERROR(VLOOKUP(A111,VolumeFile_combined!A:J,10,false),"")</f>
        <v/>
      </c>
      <c r="K111" s="4" t="str">
        <f>IFERROR(VLOOKUP(A111,SeparateFamily!A:B,2,false),"")</f>
        <v/>
      </c>
      <c r="L111" s="185" t="str">
        <f>IFERROR(VLOOKUP(A111,Rackfile_combined!B:H,7,false),"")</f>
        <v/>
      </c>
      <c r="M111" s="186" t="str">
        <f t="shared" si="1"/>
        <v/>
      </c>
      <c r="N111" s="335"/>
      <c r="P111" s="4" t="str">
        <f>IF(A111&lt;&gt;"",VLOOKUP(A111,Rackfile_combined!$B:$C,2,false),"")</f>
        <v/>
      </c>
    </row>
    <row r="112">
      <c r="A112" s="186"/>
      <c r="B112" s="186"/>
      <c r="C112" s="186"/>
      <c r="D112" s="186"/>
      <c r="E112" s="186"/>
      <c r="F112" s="186"/>
      <c r="G112" s="186"/>
      <c r="H112" s="4"/>
      <c r="I112" s="8"/>
      <c r="J112" s="4" t="str">
        <f>IFERROR(VLOOKUP(A112,VolumeFile_combined!A:J,10,false),"")</f>
        <v/>
      </c>
      <c r="K112" s="4" t="str">
        <f>IFERROR(VLOOKUP(A112,SeparateFamily!A:B,2,false),"")</f>
        <v/>
      </c>
      <c r="L112" s="185" t="str">
        <f>IFERROR(VLOOKUP(A112,Rackfile_combined!B:H,7,false),"")</f>
        <v/>
      </c>
      <c r="M112" s="186" t="str">
        <f t="shared" si="1"/>
        <v/>
      </c>
      <c r="N112" s="335"/>
      <c r="P112" s="4" t="str">
        <f>IF(A112&lt;&gt;"",VLOOKUP(A112,Rackfile_combined!$B:$C,2,false),"")</f>
        <v/>
      </c>
    </row>
    <row r="113">
      <c r="A113" s="186"/>
      <c r="B113" s="186"/>
      <c r="C113" s="186"/>
      <c r="D113" s="186"/>
      <c r="E113" s="186"/>
      <c r="F113" s="186"/>
      <c r="G113" s="186"/>
      <c r="H113" s="4"/>
      <c r="I113" s="8"/>
      <c r="J113" s="4" t="str">
        <f>IFERROR(VLOOKUP(A113,VolumeFile_combined!A:J,10,false),"")</f>
        <v/>
      </c>
      <c r="K113" s="4" t="str">
        <f>IFERROR(VLOOKUP(A113,SeparateFamily!A:B,2,false),"")</f>
        <v/>
      </c>
      <c r="L113" s="185" t="str">
        <f>IFERROR(VLOOKUP(A113,Rackfile_combined!B:H,7,false),"")</f>
        <v/>
      </c>
      <c r="M113" s="186" t="str">
        <f t="shared" si="1"/>
        <v/>
      </c>
      <c r="N113" s="335"/>
      <c r="P113" s="4" t="str">
        <f>IF(A113&lt;&gt;"",VLOOKUP(A113,Rackfile_combined!$B:$C,2,false),"")</f>
        <v/>
      </c>
    </row>
    <row r="114">
      <c r="A114" s="186"/>
      <c r="B114" s="186"/>
      <c r="C114" s="186"/>
      <c r="D114" s="186"/>
      <c r="E114" s="186"/>
      <c r="F114" s="186"/>
      <c r="G114" s="186"/>
      <c r="H114" s="4"/>
      <c r="I114" s="8"/>
      <c r="J114" s="4" t="str">
        <f>IFERROR(VLOOKUP(A114,VolumeFile_combined!A:J,10,false),"")</f>
        <v/>
      </c>
      <c r="K114" s="4" t="str">
        <f>IFERROR(VLOOKUP(A114,SeparateFamily!A:B,2,false),"")</f>
        <v/>
      </c>
      <c r="L114" s="185" t="str">
        <f>IFERROR(VLOOKUP(A114,Rackfile_combined!B:H,7,false),"")</f>
        <v/>
      </c>
      <c r="M114" s="186" t="str">
        <f t="shared" si="1"/>
        <v/>
      </c>
      <c r="N114" s="335"/>
      <c r="P114" s="4" t="str">
        <f>IF(A114&lt;&gt;"",VLOOKUP(A114,Rackfile_combined!$B:$C,2,false),"")</f>
        <v/>
      </c>
    </row>
    <row r="115">
      <c r="A115" s="186"/>
      <c r="B115" s="186"/>
      <c r="C115" s="186"/>
      <c r="D115" s="186"/>
      <c r="E115" s="186"/>
      <c r="F115" s="186"/>
      <c r="G115" s="186"/>
      <c r="H115" s="4"/>
      <c r="I115" s="8"/>
      <c r="J115" s="4" t="str">
        <f>IFERROR(VLOOKUP(A115,VolumeFile_combined!A:J,10,false),"")</f>
        <v/>
      </c>
      <c r="K115" s="4" t="str">
        <f>IFERROR(VLOOKUP(A115,SeparateFamily!A:B,2,false),"")</f>
        <v/>
      </c>
      <c r="L115" s="185" t="str">
        <f>IFERROR(VLOOKUP(A115,Rackfile_combined!B:H,7,false),"")</f>
        <v/>
      </c>
      <c r="M115" s="186" t="str">
        <f t="shared" si="1"/>
        <v/>
      </c>
      <c r="N115" s="335"/>
      <c r="P115" s="4" t="str">
        <f>IF(A115&lt;&gt;"",VLOOKUP(A115,Rackfile_combined!$B:$C,2,false),"")</f>
        <v/>
      </c>
    </row>
    <row r="116">
      <c r="A116" s="186"/>
      <c r="B116" s="186"/>
      <c r="C116" s="186"/>
      <c r="D116" s="186"/>
      <c r="E116" s="186"/>
      <c r="F116" s="186"/>
      <c r="G116" s="186"/>
      <c r="H116" s="4"/>
      <c r="I116" s="8"/>
      <c r="J116" s="4" t="str">
        <f>IFERROR(VLOOKUP(A116,VolumeFile_combined!A:J,10,false),"")</f>
        <v/>
      </c>
      <c r="K116" s="4" t="str">
        <f>IFERROR(VLOOKUP(A116,SeparateFamily!A:B,2,false),"")</f>
        <v/>
      </c>
      <c r="L116" s="185" t="str">
        <f>IFERROR(VLOOKUP(A116,Rackfile_combined!B:H,7,false),"")</f>
        <v/>
      </c>
      <c r="M116" s="186" t="str">
        <f t="shared" si="1"/>
        <v/>
      </c>
      <c r="N116" s="335"/>
      <c r="P116" s="4" t="str">
        <f>IF(A116&lt;&gt;"",VLOOKUP(A116,Rackfile_combined!$B:$C,2,false),"")</f>
        <v/>
      </c>
    </row>
    <row r="117">
      <c r="A117" s="186"/>
      <c r="B117" s="186"/>
      <c r="C117" s="186"/>
      <c r="D117" s="186"/>
      <c r="E117" s="186"/>
      <c r="F117" s="186"/>
      <c r="G117" s="186"/>
      <c r="H117" s="4"/>
      <c r="I117" s="8"/>
      <c r="J117" s="4" t="str">
        <f>IFERROR(VLOOKUP(A117,VolumeFile_combined!A:J,10,false),"")</f>
        <v/>
      </c>
      <c r="K117" s="4" t="str">
        <f>IFERROR(VLOOKUP(A117,SeparateFamily!A:B,2,false),"")</f>
        <v/>
      </c>
      <c r="L117" s="185" t="str">
        <f>IFERROR(VLOOKUP(A117,Rackfile_combined!B:H,7,false),"")</f>
        <v/>
      </c>
      <c r="M117" s="186" t="str">
        <f t="shared" si="1"/>
        <v/>
      </c>
      <c r="N117" s="335"/>
      <c r="P117" s="4" t="str">
        <f>IF(A117&lt;&gt;"",VLOOKUP(A117,Rackfile_combined!$B:$C,2,false),"")</f>
        <v/>
      </c>
    </row>
    <row r="118">
      <c r="A118" s="186"/>
      <c r="B118" s="186"/>
      <c r="C118" s="186"/>
      <c r="D118" s="186"/>
      <c r="E118" s="186"/>
      <c r="F118" s="186"/>
      <c r="G118" s="186"/>
      <c r="H118" s="4"/>
      <c r="I118" s="8"/>
      <c r="J118" s="4" t="str">
        <f>IFERROR(VLOOKUP(A118,VolumeFile_combined!A:J,10,false),"")</f>
        <v/>
      </c>
      <c r="K118" s="4" t="str">
        <f>IFERROR(VLOOKUP(A118,SeparateFamily!A:B,2,false),"")</f>
        <v/>
      </c>
      <c r="L118" s="185" t="str">
        <f>IFERROR(VLOOKUP(A118,Rackfile_combined!B:H,7,false),"")</f>
        <v/>
      </c>
      <c r="M118" s="186" t="str">
        <f t="shared" si="1"/>
        <v/>
      </c>
      <c r="N118" s="335"/>
      <c r="P118" s="4" t="str">
        <f>IF(A118&lt;&gt;"",VLOOKUP(A118,Rackfile_combined!$B:$C,2,false),"")</f>
        <v/>
      </c>
    </row>
    <row r="119">
      <c r="A119" s="186"/>
      <c r="B119" s="186"/>
      <c r="C119" s="186"/>
      <c r="D119" s="186"/>
      <c r="E119" s="186"/>
      <c r="F119" s="186"/>
      <c r="G119" s="186"/>
      <c r="H119" s="4"/>
      <c r="I119" s="8"/>
      <c r="J119" s="4" t="str">
        <f>IFERROR(VLOOKUP(A119,VolumeFile_combined!A:J,10,false),"")</f>
        <v/>
      </c>
      <c r="K119" s="4" t="str">
        <f>IFERROR(VLOOKUP(A119,SeparateFamily!A:B,2,false),"")</f>
        <v/>
      </c>
      <c r="L119" s="185" t="str">
        <f>IFERROR(VLOOKUP(A119,Rackfile_combined!B:H,7,false),"")</f>
        <v/>
      </c>
      <c r="M119" s="186" t="str">
        <f t="shared" si="1"/>
        <v/>
      </c>
      <c r="N119" s="335"/>
      <c r="P119" s="4" t="str">
        <f>IF(A119&lt;&gt;"",VLOOKUP(A119,Rackfile_combined!$B:$C,2,false),"")</f>
        <v/>
      </c>
    </row>
    <row r="120">
      <c r="A120" s="186"/>
      <c r="B120" s="186"/>
      <c r="C120" s="186"/>
      <c r="D120" s="186"/>
      <c r="E120" s="186"/>
      <c r="F120" s="186"/>
      <c r="G120" s="186"/>
      <c r="H120" s="4"/>
      <c r="I120" s="8"/>
      <c r="J120" s="4" t="str">
        <f>IFERROR(VLOOKUP(A120,VolumeFile_combined!A:J,10,false),"")</f>
        <v/>
      </c>
      <c r="K120" s="4" t="str">
        <f>IFERROR(VLOOKUP(A120,SeparateFamily!A:B,2,false),"")</f>
        <v/>
      </c>
      <c r="L120" s="185" t="str">
        <f>IFERROR(VLOOKUP(A120,Rackfile_combined!B:H,7,false),"")</f>
        <v/>
      </c>
      <c r="M120" s="186" t="str">
        <f t="shared" si="1"/>
        <v/>
      </c>
      <c r="N120" s="335"/>
      <c r="P120" s="4" t="str">
        <f>IF(A120&lt;&gt;"",VLOOKUP(A120,Rackfile_combined!$B:$C,2,false),"")</f>
        <v/>
      </c>
    </row>
    <row r="121">
      <c r="A121" s="186"/>
      <c r="B121" s="186"/>
      <c r="C121" s="186"/>
      <c r="D121" s="186"/>
      <c r="E121" s="186"/>
      <c r="F121" s="186"/>
      <c r="G121" s="186"/>
      <c r="H121" s="4"/>
      <c r="I121" s="8"/>
      <c r="J121" s="4" t="str">
        <f>IFERROR(VLOOKUP(A121,VolumeFile_combined!A:J,10,false),"")</f>
        <v/>
      </c>
      <c r="K121" s="4" t="str">
        <f>IFERROR(VLOOKUP(A121,SeparateFamily!A:B,2,false),"")</f>
        <v/>
      </c>
      <c r="L121" s="185" t="str">
        <f>IFERROR(VLOOKUP(A121,Rackfile_combined!B:H,7,false),"")</f>
        <v/>
      </c>
      <c r="M121" s="186" t="str">
        <f t="shared" si="1"/>
        <v/>
      </c>
      <c r="N121" s="335"/>
      <c r="P121" s="4" t="str">
        <f>IF(A121&lt;&gt;"",VLOOKUP(A121,Rackfile_combined!$B:$C,2,false),"")</f>
        <v/>
      </c>
    </row>
    <row r="122">
      <c r="A122" s="186"/>
      <c r="B122" s="186"/>
      <c r="C122" s="186"/>
      <c r="D122" s="186"/>
      <c r="E122" s="186"/>
      <c r="F122" s="186"/>
      <c r="G122" s="186"/>
      <c r="H122" s="4"/>
      <c r="I122" s="8"/>
      <c r="J122" s="4" t="str">
        <f>IFERROR(VLOOKUP(A122,VolumeFile_combined!A:J,10,false),"")</f>
        <v/>
      </c>
      <c r="K122" s="4" t="str">
        <f>IFERROR(VLOOKUP(A122,SeparateFamily!A:B,2,false),"")</f>
        <v/>
      </c>
      <c r="L122" s="185" t="str">
        <f>IFERROR(VLOOKUP(A122,Rackfile_combined!B:H,7,false),"")</f>
        <v/>
      </c>
      <c r="M122" s="186" t="str">
        <f t="shared" si="1"/>
        <v/>
      </c>
      <c r="N122" s="335"/>
      <c r="P122" s="4" t="str">
        <f>IF(A122&lt;&gt;"",VLOOKUP(A122,Rackfile_combined!$B:$C,2,false),"")</f>
        <v/>
      </c>
    </row>
    <row r="123">
      <c r="A123" s="186"/>
      <c r="B123" s="186"/>
      <c r="C123" s="186"/>
      <c r="D123" s="186"/>
      <c r="E123" s="186"/>
      <c r="F123" s="186"/>
      <c r="G123" s="186"/>
      <c r="H123" s="4"/>
      <c r="I123" s="8"/>
      <c r="J123" s="4" t="str">
        <f>IFERROR(VLOOKUP(A123,VolumeFile_combined!A:J,10,false),"")</f>
        <v/>
      </c>
      <c r="K123" s="4" t="str">
        <f>IFERROR(VLOOKUP(A123,SeparateFamily!A:B,2,false),"")</f>
        <v/>
      </c>
      <c r="L123" s="185" t="str">
        <f>IFERROR(VLOOKUP(A123,Rackfile_combined!B:H,7,false),"")</f>
        <v/>
      </c>
      <c r="M123" s="186" t="str">
        <f t="shared" si="1"/>
        <v/>
      </c>
      <c r="N123" s="335"/>
      <c r="P123" s="4" t="str">
        <f>IF(A123&lt;&gt;"",VLOOKUP(A123,Rackfile_combined!$B:$C,2,false),"")</f>
        <v/>
      </c>
    </row>
    <row r="124">
      <c r="A124" s="186"/>
      <c r="B124" s="186"/>
      <c r="C124" s="186"/>
      <c r="D124" s="186"/>
      <c r="E124" s="186"/>
      <c r="F124" s="186"/>
      <c r="G124" s="186"/>
      <c r="H124" s="4"/>
      <c r="I124" s="8"/>
      <c r="J124" s="4" t="str">
        <f>IFERROR(VLOOKUP(A124,VolumeFile_combined!A:J,10,false),"")</f>
        <v/>
      </c>
      <c r="K124" s="4" t="str">
        <f>IFERROR(VLOOKUP(A124,SeparateFamily!A:B,2,false),"")</f>
        <v/>
      </c>
      <c r="L124" s="185" t="str">
        <f>IFERROR(VLOOKUP(A124,Rackfile_combined!B:H,7,false),"")</f>
        <v/>
      </c>
      <c r="M124" s="186" t="str">
        <f t="shared" si="1"/>
        <v/>
      </c>
      <c r="N124" s="335"/>
      <c r="P124" s="4" t="str">
        <f>IF(A124&lt;&gt;"",VLOOKUP(A124,Rackfile_combined!$B:$C,2,false),"")</f>
        <v/>
      </c>
    </row>
    <row r="125">
      <c r="A125" s="186"/>
      <c r="B125" s="186"/>
      <c r="C125" s="186"/>
      <c r="D125" s="186"/>
      <c r="E125" s="186"/>
      <c r="F125" s="186"/>
      <c r="G125" s="186"/>
      <c r="H125" s="4"/>
      <c r="I125" s="8"/>
      <c r="J125" s="4" t="str">
        <f>IFERROR(VLOOKUP(A125,VolumeFile_combined!A:J,10,false),"")</f>
        <v/>
      </c>
      <c r="K125" s="4" t="str">
        <f>IFERROR(VLOOKUP(A125,SeparateFamily!A:B,2,false),"")</f>
        <v/>
      </c>
      <c r="L125" s="185" t="str">
        <f>IFERROR(VLOOKUP(A125,Rackfile_combined!B:H,7,false),"")</f>
        <v/>
      </c>
      <c r="M125" s="186" t="str">
        <f t="shared" si="1"/>
        <v/>
      </c>
      <c r="N125" s="335"/>
      <c r="P125" s="4" t="str">
        <f>IF(A125&lt;&gt;"",VLOOKUP(A125,Rackfile_combined!$B:$C,2,false),"")</f>
        <v/>
      </c>
    </row>
    <row r="126">
      <c r="A126" s="186"/>
      <c r="B126" s="186"/>
      <c r="C126" s="186"/>
      <c r="D126" s="186"/>
      <c r="E126" s="186"/>
      <c r="F126" s="186"/>
      <c r="G126" s="186"/>
      <c r="H126" s="4"/>
      <c r="I126" s="8"/>
      <c r="J126" s="4" t="str">
        <f>IFERROR(VLOOKUP(A126,VolumeFile_combined!A:J,10,false),"")</f>
        <v/>
      </c>
      <c r="K126" s="4" t="str">
        <f>IFERROR(VLOOKUP(A126,SeparateFamily!A:B,2,false),"")</f>
        <v/>
      </c>
      <c r="L126" s="185" t="str">
        <f>IFERROR(VLOOKUP(A126,Rackfile_combined!B:H,7,false),"")</f>
        <v/>
      </c>
      <c r="M126" s="186" t="str">
        <f t="shared" si="1"/>
        <v/>
      </c>
      <c r="N126" s="335"/>
      <c r="P126" s="4" t="str">
        <f>IF(A126&lt;&gt;"",VLOOKUP(A126,Rackfile_combined!$B:$C,2,false),"")</f>
        <v/>
      </c>
    </row>
    <row r="127">
      <c r="A127" s="186"/>
      <c r="B127" s="186"/>
      <c r="C127" s="186"/>
      <c r="D127" s="186"/>
      <c r="E127" s="186"/>
      <c r="F127" s="186"/>
      <c r="G127" s="186"/>
      <c r="H127" s="4"/>
      <c r="I127" s="8"/>
      <c r="J127" s="4" t="str">
        <f>IFERROR(VLOOKUP(A127,VolumeFile_combined!A:J,10,false),"")</f>
        <v/>
      </c>
      <c r="K127" s="4" t="str">
        <f>IFERROR(VLOOKUP(A127,SeparateFamily!A:B,2,false),"")</f>
        <v/>
      </c>
      <c r="L127" s="185" t="str">
        <f>IFERROR(VLOOKUP(A127,Rackfile_combined!B:H,7,false),"")</f>
        <v/>
      </c>
      <c r="M127" s="186" t="str">
        <f t="shared" si="1"/>
        <v/>
      </c>
      <c r="N127" s="335"/>
      <c r="P127" s="4" t="str">
        <f>IF(A127&lt;&gt;"",VLOOKUP(A127,Rackfile_combined!$B:$C,2,false),"")</f>
        <v/>
      </c>
    </row>
    <row r="128">
      <c r="A128" s="186"/>
      <c r="B128" s="186"/>
      <c r="C128" s="186"/>
      <c r="D128" s="186"/>
      <c r="E128" s="186"/>
      <c r="F128" s="186"/>
      <c r="G128" s="186"/>
      <c r="H128" s="4"/>
      <c r="I128" s="8"/>
      <c r="J128" s="4" t="str">
        <f>IFERROR(VLOOKUP(A128,VolumeFile_combined!A:J,10,false),"")</f>
        <v/>
      </c>
      <c r="K128" s="4" t="str">
        <f>IFERROR(VLOOKUP(A128,SeparateFamily!A:B,2,false),"")</f>
        <v/>
      </c>
      <c r="L128" s="185" t="str">
        <f>IFERROR(VLOOKUP(A128,Rackfile_combined!B:H,7,false),"")</f>
        <v/>
      </c>
      <c r="M128" s="186" t="str">
        <f t="shared" si="1"/>
        <v/>
      </c>
      <c r="N128" s="335"/>
      <c r="P128" s="4" t="str">
        <f>IF(A128&lt;&gt;"",VLOOKUP(A128,Rackfile_combined!$B:$C,2,false),"")</f>
        <v/>
      </c>
    </row>
    <row r="129">
      <c r="A129" s="186"/>
      <c r="B129" s="186"/>
      <c r="C129" s="186"/>
      <c r="D129" s="186"/>
      <c r="E129" s="186"/>
      <c r="F129" s="186"/>
      <c r="G129" s="186"/>
      <c r="H129" s="4"/>
      <c r="I129" s="8"/>
      <c r="J129" s="4" t="str">
        <f>IFERROR(VLOOKUP(A129,VolumeFile_combined!A:J,10,false),"")</f>
        <v/>
      </c>
      <c r="K129" s="4" t="str">
        <f>IFERROR(VLOOKUP(A129,SeparateFamily!A:B,2,false),"")</f>
        <v/>
      </c>
      <c r="L129" s="185" t="str">
        <f>IFERROR(VLOOKUP(A129,Rackfile_combined!B:H,7,false),"")</f>
        <v/>
      </c>
      <c r="M129" s="186" t="str">
        <f t="shared" si="1"/>
        <v/>
      </c>
      <c r="N129" s="335"/>
      <c r="P129" s="4" t="str">
        <f>IF(A129&lt;&gt;"",VLOOKUP(A129,Rackfile_combined!$B:$C,2,false),"")</f>
        <v/>
      </c>
    </row>
    <row r="130">
      <c r="A130" s="186"/>
      <c r="B130" s="186"/>
      <c r="C130" s="186"/>
      <c r="D130" s="186"/>
      <c r="E130" s="186"/>
      <c r="F130" s="186"/>
      <c r="G130" s="186"/>
      <c r="H130" s="4"/>
      <c r="I130" s="8"/>
      <c r="J130" s="4" t="str">
        <f>IFERROR(VLOOKUP(A130,VolumeFile_combined!A:J,10,false),"")</f>
        <v/>
      </c>
      <c r="K130" s="4" t="str">
        <f>IFERROR(VLOOKUP(A130,SeparateFamily!A:B,2,false),"")</f>
        <v/>
      </c>
      <c r="L130" s="185" t="str">
        <f>IFERROR(VLOOKUP(A130,Rackfile_combined!B:H,7,false),"")</f>
        <v/>
      </c>
      <c r="M130" s="186" t="str">
        <f t="shared" si="1"/>
        <v/>
      </c>
      <c r="N130" s="335"/>
      <c r="P130" s="4" t="str">
        <f>IF(A130&lt;&gt;"",VLOOKUP(A130,Rackfile_combined!$B:$C,2,false),"")</f>
        <v/>
      </c>
    </row>
    <row r="131">
      <c r="A131" s="186"/>
      <c r="B131" s="186"/>
      <c r="C131" s="186"/>
      <c r="D131" s="186"/>
      <c r="E131" s="186"/>
      <c r="F131" s="186"/>
      <c r="G131" s="186"/>
      <c r="H131" s="4"/>
      <c r="I131" s="8"/>
      <c r="J131" s="4" t="str">
        <f>IFERROR(VLOOKUP(A131,VolumeFile_combined!A:J,10,false),"")</f>
        <v/>
      </c>
      <c r="K131" s="4" t="str">
        <f>IFERROR(VLOOKUP(A131,SeparateFamily!A:B,2,false),"")</f>
        <v/>
      </c>
      <c r="L131" s="185" t="str">
        <f>IFERROR(VLOOKUP(A131,Rackfile_combined!B:H,7,false),"")</f>
        <v/>
      </c>
      <c r="M131" s="186" t="str">
        <f t="shared" si="1"/>
        <v/>
      </c>
      <c r="N131" s="335"/>
      <c r="P131" s="4" t="str">
        <f>IF(A131&lt;&gt;"",VLOOKUP(A131,Rackfile_combined!$B:$C,2,false),"")</f>
        <v/>
      </c>
    </row>
    <row r="132">
      <c r="A132" s="186"/>
      <c r="B132" s="186"/>
      <c r="C132" s="186"/>
      <c r="D132" s="186"/>
      <c r="E132" s="186"/>
      <c r="F132" s="186"/>
      <c r="G132" s="186"/>
      <c r="H132" s="4"/>
      <c r="I132" s="8"/>
      <c r="J132" s="4" t="str">
        <f>IFERROR(VLOOKUP(A132,VolumeFile_combined!A:J,10,false),"")</f>
        <v/>
      </c>
      <c r="K132" s="4" t="str">
        <f>IFERROR(VLOOKUP(A132,SeparateFamily!A:B,2,false),"")</f>
        <v/>
      </c>
      <c r="L132" s="185" t="str">
        <f>IFERROR(VLOOKUP(A132,Rackfile_combined!B:H,7,false),"")</f>
        <v/>
      </c>
      <c r="M132" s="186" t="str">
        <f t="shared" si="1"/>
        <v/>
      </c>
      <c r="N132" s="335"/>
      <c r="P132" s="4" t="str">
        <f>IF(A132&lt;&gt;"",VLOOKUP(A132,Rackfile_combined!$B:$C,2,false),"")</f>
        <v/>
      </c>
    </row>
    <row r="133">
      <c r="A133" s="186"/>
      <c r="B133" s="186"/>
      <c r="C133" s="186"/>
      <c r="D133" s="186"/>
      <c r="E133" s="186"/>
      <c r="F133" s="186"/>
      <c r="G133" s="186"/>
      <c r="H133" s="4"/>
      <c r="I133" s="8"/>
      <c r="J133" s="4" t="str">
        <f>IFERROR(VLOOKUP(A133,VolumeFile_combined!A:J,10,false),"")</f>
        <v/>
      </c>
      <c r="K133" s="4" t="str">
        <f>IFERROR(VLOOKUP(A133,SeparateFamily!A:B,2,false),"")</f>
        <v/>
      </c>
      <c r="L133" s="185" t="str">
        <f>IFERROR(VLOOKUP(A133,Rackfile_combined!B:H,7,false),"")</f>
        <v/>
      </c>
      <c r="M133" s="186" t="str">
        <f t="shared" si="1"/>
        <v/>
      </c>
      <c r="N133" s="335"/>
      <c r="P133" s="4" t="str">
        <f>IF(A133&lt;&gt;"",VLOOKUP(A133,Rackfile_combined!$B:$C,2,false),"")</f>
        <v/>
      </c>
    </row>
    <row r="134">
      <c r="A134" s="186"/>
      <c r="B134" s="186"/>
      <c r="C134" s="186"/>
      <c r="D134" s="186"/>
      <c r="E134" s="186"/>
      <c r="F134" s="186"/>
      <c r="G134" s="186"/>
      <c r="H134" s="4"/>
      <c r="I134" s="8"/>
      <c r="J134" s="4" t="str">
        <f>IFERROR(VLOOKUP(A134,VolumeFile_combined!A:J,10,false),"")</f>
        <v/>
      </c>
      <c r="K134" s="4" t="str">
        <f>IFERROR(VLOOKUP(A134,SeparateFamily!A:B,2,false),"")</f>
        <v/>
      </c>
      <c r="L134" s="185" t="str">
        <f>IFERROR(VLOOKUP(A134,Rackfile_combined!B:H,7,false),"")</f>
        <v/>
      </c>
      <c r="M134" s="186" t="str">
        <f t="shared" si="1"/>
        <v/>
      </c>
      <c r="N134" s="335"/>
      <c r="P134" s="4" t="str">
        <f>IF(A134&lt;&gt;"",VLOOKUP(A134,Rackfile_combined!$B:$C,2,false),"")</f>
        <v/>
      </c>
    </row>
    <row r="135">
      <c r="A135" s="186"/>
      <c r="B135" s="186"/>
      <c r="C135" s="186"/>
      <c r="D135" s="186"/>
      <c r="E135" s="186"/>
      <c r="F135" s="186"/>
      <c r="G135" s="186"/>
      <c r="H135" s="4"/>
      <c r="I135" s="8"/>
      <c r="J135" s="4" t="str">
        <f>IFERROR(VLOOKUP(A135,VolumeFile_combined!A:J,10,false),"")</f>
        <v/>
      </c>
      <c r="K135" s="4" t="str">
        <f>IFERROR(VLOOKUP(A135,SeparateFamily!A:B,2,false),"")</f>
        <v/>
      </c>
      <c r="L135" s="185" t="str">
        <f>IFERROR(VLOOKUP(A135,Rackfile_combined!B:H,7,false),"")</f>
        <v/>
      </c>
      <c r="M135" s="186" t="str">
        <f t="shared" si="1"/>
        <v/>
      </c>
      <c r="N135" s="335"/>
      <c r="P135" s="4" t="str">
        <f>IF(A135&lt;&gt;"",VLOOKUP(A135,Rackfile_combined!$B:$C,2,false),"")</f>
        <v/>
      </c>
    </row>
    <row r="136">
      <c r="A136" s="186"/>
      <c r="B136" s="186"/>
      <c r="C136" s="186"/>
      <c r="D136" s="186"/>
      <c r="E136" s="186"/>
      <c r="F136" s="186"/>
      <c r="G136" s="186"/>
      <c r="H136" s="4"/>
      <c r="I136" s="8"/>
      <c r="J136" s="4" t="str">
        <f>IFERROR(VLOOKUP(A136,VolumeFile_combined!A:J,10,false),"")</f>
        <v/>
      </c>
      <c r="K136" s="4" t="str">
        <f>IFERROR(VLOOKUP(A136,SeparateFamily!A:B,2,false),"")</f>
        <v/>
      </c>
      <c r="L136" s="185" t="str">
        <f>IFERROR(VLOOKUP(A136,Rackfile_combined!B:H,7,false),"")</f>
        <v/>
      </c>
      <c r="M136" s="186" t="str">
        <f t="shared" si="1"/>
        <v/>
      </c>
      <c r="N136" s="335"/>
      <c r="P136" s="4" t="str">
        <f>IF(A136&lt;&gt;"",VLOOKUP(A136,Rackfile_combined!$B:$C,2,false),"")</f>
        <v/>
      </c>
    </row>
    <row r="137">
      <c r="A137" s="186"/>
      <c r="B137" s="186"/>
      <c r="C137" s="186"/>
      <c r="D137" s="186"/>
      <c r="E137" s="186"/>
      <c r="F137" s="186"/>
      <c r="G137" s="186"/>
      <c r="H137" s="4"/>
      <c r="I137" s="8"/>
      <c r="J137" s="4" t="str">
        <f>IFERROR(VLOOKUP(A137,VolumeFile_combined!A:J,10,false),"")</f>
        <v/>
      </c>
      <c r="K137" s="4" t="str">
        <f>IFERROR(VLOOKUP(A137,SeparateFamily!A:B,2,false),"")</f>
        <v/>
      </c>
      <c r="L137" s="185" t="str">
        <f>IFERROR(VLOOKUP(A137,Rackfile_combined!B:H,7,false),"")</f>
        <v/>
      </c>
      <c r="M137" s="186" t="str">
        <f t="shared" si="1"/>
        <v/>
      </c>
      <c r="N137" s="335"/>
      <c r="P137" s="4" t="str">
        <f>IF(A137&lt;&gt;"",VLOOKUP(A137,Rackfile_combined!$B:$C,2,false),"")</f>
        <v/>
      </c>
    </row>
    <row r="138">
      <c r="A138" s="186"/>
      <c r="B138" s="186"/>
      <c r="C138" s="186"/>
      <c r="D138" s="186"/>
      <c r="E138" s="186"/>
      <c r="F138" s="186"/>
      <c r="G138" s="186"/>
      <c r="H138" s="4"/>
      <c r="I138" s="8"/>
      <c r="J138" s="4" t="str">
        <f>IFERROR(VLOOKUP(A138,VolumeFile_combined!A:J,10,false),"")</f>
        <v/>
      </c>
      <c r="K138" s="4" t="str">
        <f>IFERROR(VLOOKUP(A138,SeparateFamily!A:B,2,false),"")</f>
        <v/>
      </c>
      <c r="L138" s="185" t="str">
        <f>IFERROR(VLOOKUP(A138,Rackfile_combined!B:H,7,false),"")</f>
        <v/>
      </c>
      <c r="M138" s="186" t="str">
        <f t="shared" si="1"/>
        <v/>
      </c>
      <c r="N138" s="335"/>
      <c r="P138" s="4" t="str">
        <f>IF(A138&lt;&gt;"",VLOOKUP(A138,Rackfile_combined!$B:$C,2,false),"")</f>
        <v/>
      </c>
    </row>
    <row r="139">
      <c r="A139" s="186"/>
      <c r="B139" s="186"/>
      <c r="C139" s="186"/>
      <c r="D139" s="186"/>
      <c r="E139" s="186"/>
      <c r="F139" s="186"/>
      <c r="G139" s="186"/>
      <c r="H139" s="4"/>
      <c r="I139" s="8"/>
      <c r="J139" s="4" t="str">
        <f>IFERROR(VLOOKUP(A139,VolumeFile_combined!A:J,10,false),"")</f>
        <v/>
      </c>
      <c r="K139" s="4" t="str">
        <f>IFERROR(VLOOKUP(A139,SeparateFamily!A:B,2,false),"")</f>
        <v/>
      </c>
      <c r="L139" s="185" t="str">
        <f>IFERROR(VLOOKUP(A139,Rackfile_combined!B:H,7,false),"")</f>
        <v/>
      </c>
      <c r="M139" s="186" t="str">
        <f t="shared" si="1"/>
        <v/>
      </c>
      <c r="N139" s="335"/>
      <c r="P139" s="4" t="str">
        <f>IF(A139&lt;&gt;"",VLOOKUP(A139,Rackfile_combined!$B:$C,2,false),"")</f>
        <v/>
      </c>
    </row>
    <row r="140">
      <c r="A140" s="186"/>
      <c r="B140" s="186"/>
      <c r="C140" s="186"/>
      <c r="D140" s="186"/>
      <c r="E140" s="186"/>
      <c r="F140" s="186"/>
      <c r="G140" s="186"/>
      <c r="H140" s="4"/>
      <c r="I140" s="8"/>
      <c r="J140" s="4" t="str">
        <f>IFERROR(VLOOKUP(A140,VolumeFile_combined!A:J,10,false),"")</f>
        <v/>
      </c>
      <c r="K140" s="4" t="str">
        <f>IFERROR(VLOOKUP(A140,SeparateFamily!A:B,2,false),"")</f>
        <v/>
      </c>
      <c r="L140" s="185" t="str">
        <f>IFERROR(VLOOKUP(A140,Rackfile_combined!B:H,7,false),"")</f>
        <v/>
      </c>
      <c r="M140" s="186" t="str">
        <f t="shared" si="1"/>
        <v/>
      </c>
      <c r="N140" s="335"/>
      <c r="P140" s="4" t="str">
        <f>IF(A140&lt;&gt;"",VLOOKUP(A140,Rackfile_combined!$B:$C,2,false),"")</f>
        <v/>
      </c>
    </row>
    <row r="141">
      <c r="A141" s="186"/>
      <c r="B141" s="186"/>
      <c r="C141" s="186"/>
      <c r="D141" s="186"/>
      <c r="E141" s="186"/>
      <c r="F141" s="186"/>
      <c r="G141" s="186"/>
      <c r="H141" s="4"/>
      <c r="I141" s="8"/>
      <c r="J141" s="4" t="str">
        <f>IFERROR(VLOOKUP(A141,VolumeFile_combined!A:J,10,false),"")</f>
        <v/>
      </c>
      <c r="K141" s="4" t="str">
        <f>IFERROR(VLOOKUP(A141,SeparateFamily!A:B,2,false),"")</f>
        <v/>
      </c>
      <c r="L141" s="185" t="str">
        <f>IFERROR(VLOOKUP(A141,Rackfile_combined!B:H,7,false),"")</f>
        <v/>
      </c>
      <c r="M141" s="186" t="str">
        <f t="shared" si="1"/>
        <v/>
      </c>
      <c r="N141" s="335"/>
      <c r="P141" s="4" t="str">
        <f>IF(A141&lt;&gt;"",VLOOKUP(A141,Rackfile_combined!$B:$C,2,false),"")</f>
        <v/>
      </c>
    </row>
    <row r="142">
      <c r="A142" s="186"/>
      <c r="B142" s="186"/>
      <c r="C142" s="186"/>
      <c r="D142" s="186"/>
      <c r="E142" s="186"/>
      <c r="F142" s="186"/>
      <c r="G142" s="186"/>
      <c r="H142" s="4"/>
      <c r="I142" s="8"/>
      <c r="J142" s="4" t="str">
        <f>IFERROR(VLOOKUP(A142,VolumeFile_combined!A:J,10,false),"")</f>
        <v/>
      </c>
      <c r="K142" s="4" t="str">
        <f>IFERROR(VLOOKUP(A142,SeparateFamily!A:B,2,false),"")</f>
        <v/>
      </c>
      <c r="L142" s="185" t="str">
        <f>IFERROR(VLOOKUP(A142,Rackfile_combined!B:H,7,false),"")</f>
        <v/>
      </c>
      <c r="M142" s="186" t="str">
        <f t="shared" si="1"/>
        <v/>
      </c>
      <c r="N142" s="335"/>
      <c r="P142" s="4" t="str">
        <f>IF(A142&lt;&gt;"",VLOOKUP(A142,Rackfile_combined!$B:$C,2,false),"")</f>
        <v/>
      </c>
    </row>
    <row r="143">
      <c r="A143" s="186"/>
      <c r="B143" s="186"/>
      <c r="C143" s="186"/>
      <c r="D143" s="186"/>
      <c r="E143" s="186"/>
      <c r="F143" s="186"/>
      <c r="G143" s="186"/>
      <c r="H143" s="4"/>
      <c r="I143" s="8"/>
      <c r="J143" s="4" t="str">
        <f>IFERROR(VLOOKUP(A143,VolumeFile_combined!A:J,10,false),"")</f>
        <v/>
      </c>
      <c r="K143" s="4" t="str">
        <f>IFERROR(VLOOKUP(A143,SeparateFamily!A:B,2,false),"")</f>
        <v/>
      </c>
      <c r="L143" s="185" t="str">
        <f>IFERROR(VLOOKUP(A143,Rackfile_combined!B:H,7,false),"")</f>
        <v/>
      </c>
      <c r="M143" s="186" t="str">
        <f t="shared" si="1"/>
        <v/>
      </c>
      <c r="N143" s="335"/>
      <c r="P143" s="4" t="str">
        <f>IF(A143&lt;&gt;"",VLOOKUP(A143,Rackfile_combined!$B:$C,2,false),"")</f>
        <v/>
      </c>
    </row>
    <row r="144">
      <c r="A144" s="186"/>
      <c r="B144" s="186"/>
      <c r="C144" s="186"/>
      <c r="D144" s="186"/>
      <c r="E144" s="186"/>
      <c r="F144" s="186"/>
      <c r="G144" s="186"/>
      <c r="H144" s="4"/>
      <c r="I144" s="8"/>
      <c r="J144" s="4" t="str">
        <f>IFERROR(VLOOKUP(A144,VolumeFile_combined!A:J,10,false),"")</f>
        <v/>
      </c>
      <c r="K144" s="4" t="str">
        <f>IFERROR(VLOOKUP(A144,SeparateFamily!A:B,2,false),"")</f>
        <v/>
      </c>
      <c r="L144" s="185" t="str">
        <f>IFERROR(VLOOKUP(A144,Rackfile_combined!B:H,7,false),"")</f>
        <v/>
      </c>
      <c r="M144" s="186" t="str">
        <f t="shared" si="1"/>
        <v/>
      </c>
      <c r="N144" s="335"/>
      <c r="P144" s="4" t="str">
        <f>IF(A144&lt;&gt;"",VLOOKUP(A144,Rackfile_combined!$B:$C,2,false),"")</f>
        <v/>
      </c>
    </row>
    <row r="145">
      <c r="A145" s="186"/>
      <c r="B145" s="186"/>
      <c r="C145" s="186"/>
      <c r="D145" s="186"/>
      <c r="E145" s="186"/>
      <c r="F145" s="186"/>
      <c r="G145" s="186"/>
      <c r="H145" s="4"/>
      <c r="I145" s="8"/>
      <c r="J145" s="4" t="str">
        <f>IFERROR(VLOOKUP(A145,VolumeFile_combined!A:J,10,false),"")</f>
        <v/>
      </c>
      <c r="K145" s="4" t="str">
        <f>IFERROR(VLOOKUP(A145,SeparateFamily!A:B,2,false),"")</f>
        <v/>
      </c>
      <c r="L145" s="185" t="str">
        <f>IFERROR(VLOOKUP(A145,Rackfile_combined!B:H,7,false),"")</f>
        <v/>
      </c>
      <c r="M145" s="186" t="str">
        <f t="shared" si="1"/>
        <v/>
      </c>
      <c r="N145" s="335"/>
      <c r="P145" s="4" t="str">
        <f>IF(A145&lt;&gt;"",VLOOKUP(A145,Rackfile_combined!$B:$C,2,false),"")</f>
        <v/>
      </c>
    </row>
    <row r="146">
      <c r="A146" s="186"/>
      <c r="B146" s="186"/>
      <c r="C146" s="186"/>
      <c r="D146" s="186"/>
      <c r="E146" s="186"/>
      <c r="F146" s="186"/>
      <c r="G146" s="186"/>
      <c r="H146" s="4"/>
      <c r="I146" s="8"/>
      <c r="J146" s="4" t="str">
        <f>IFERROR(VLOOKUP(A146,VolumeFile_combined!A:J,10,false),"")</f>
        <v/>
      </c>
      <c r="K146" s="4" t="str">
        <f>IFERROR(VLOOKUP(A146,SeparateFamily!A:B,2,false),"")</f>
        <v/>
      </c>
      <c r="L146" s="185" t="str">
        <f>IFERROR(VLOOKUP(A146,Rackfile_combined!B:H,7,false),"")</f>
        <v/>
      </c>
      <c r="M146" s="186" t="str">
        <f t="shared" si="1"/>
        <v/>
      </c>
      <c r="N146" s="335"/>
      <c r="P146" s="4" t="str">
        <f>IF(A146&lt;&gt;"",VLOOKUP(A146,Rackfile_combined!$B:$C,2,false),"")</f>
        <v/>
      </c>
    </row>
    <row r="147">
      <c r="A147" s="186"/>
      <c r="B147" s="186"/>
      <c r="C147" s="186"/>
      <c r="D147" s="186"/>
      <c r="E147" s="186"/>
      <c r="F147" s="186"/>
      <c r="G147" s="186"/>
      <c r="H147" s="4"/>
      <c r="I147" s="8"/>
      <c r="J147" s="4" t="str">
        <f>IFERROR(VLOOKUP(A147,VolumeFile_combined!A:J,10,false),"")</f>
        <v/>
      </c>
      <c r="K147" s="4" t="str">
        <f>IFERROR(VLOOKUP(A147,SeparateFamily!A:B,2,false),"")</f>
        <v/>
      </c>
      <c r="L147" s="185" t="str">
        <f>IFERROR(VLOOKUP(A147,Rackfile_combined!B:H,7,false),"")</f>
        <v/>
      </c>
      <c r="M147" s="186" t="str">
        <f t="shared" si="1"/>
        <v/>
      </c>
      <c r="N147" s="335"/>
      <c r="P147" s="4" t="str">
        <f>IF(A147&lt;&gt;"",VLOOKUP(A147,Rackfile_combined!$B:$C,2,false),"")</f>
        <v/>
      </c>
    </row>
    <row r="148">
      <c r="A148" s="186"/>
      <c r="B148" s="186"/>
      <c r="C148" s="186"/>
      <c r="D148" s="186"/>
      <c r="E148" s="186"/>
      <c r="F148" s="186"/>
      <c r="G148" s="186"/>
      <c r="H148" s="4"/>
      <c r="I148" s="8"/>
      <c r="J148" s="4" t="str">
        <f>IFERROR(VLOOKUP(A148,VolumeFile_combined!A:J,10,false),"")</f>
        <v/>
      </c>
      <c r="K148" s="4" t="str">
        <f>IFERROR(VLOOKUP(A148,SeparateFamily!A:B,2,false),"")</f>
        <v/>
      </c>
      <c r="L148" s="185" t="str">
        <f>IFERROR(VLOOKUP(A148,Rackfile_combined!B:H,7,false),"")</f>
        <v/>
      </c>
      <c r="M148" s="186" t="str">
        <f t="shared" si="1"/>
        <v/>
      </c>
      <c r="N148" s="335"/>
      <c r="P148" s="4" t="str">
        <f>IF(A148&lt;&gt;"",VLOOKUP(A148,Rackfile_combined!$B:$C,2,false),"")</f>
        <v/>
      </c>
    </row>
    <row r="149">
      <c r="A149" s="186"/>
      <c r="B149" s="186"/>
      <c r="C149" s="186"/>
      <c r="D149" s="186"/>
      <c r="E149" s="186"/>
      <c r="F149" s="186"/>
      <c r="G149" s="186"/>
      <c r="H149" s="4"/>
      <c r="I149" s="8"/>
      <c r="J149" s="4" t="str">
        <f>IFERROR(VLOOKUP(A149,VolumeFile_combined!A:J,10,false),"")</f>
        <v/>
      </c>
      <c r="K149" s="4" t="str">
        <f>IFERROR(VLOOKUP(A149,SeparateFamily!A:B,2,false),"")</f>
        <v/>
      </c>
      <c r="L149" s="185" t="str">
        <f>IFERROR(VLOOKUP(A149,Rackfile_combined!B:H,7,false),"")</f>
        <v/>
      </c>
      <c r="M149" s="186" t="str">
        <f t="shared" si="1"/>
        <v/>
      </c>
      <c r="N149" s="335"/>
      <c r="P149" s="4" t="str">
        <f>IF(A149&lt;&gt;"",VLOOKUP(A149,Rackfile_combined!$B:$C,2,false),"")</f>
        <v/>
      </c>
    </row>
    <row r="150">
      <c r="A150" s="186"/>
      <c r="B150" s="186"/>
      <c r="C150" s="186"/>
      <c r="D150" s="186"/>
      <c r="E150" s="186"/>
      <c r="F150" s="186"/>
      <c r="G150" s="186"/>
      <c r="H150" s="4"/>
      <c r="I150" s="8"/>
      <c r="J150" s="4" t="str">
        <f>IFERROR(VLOOKUP(A150,VolumeFile_combined!A:J,10,false),"")</f>
        <v/>
      </c>
      <c r="K150" s="4" t="str">
        <f>IFERROR(VLOOKUP(A150,SeparateFamily!A:B,2,false),"")</f>
        <v/>
      </c>
      <c r="L150" s="185" t="str">
        <f>IFERROR(VLOOKUP(A150,Rackfile_combined!B:H,7,false),"")</f>
        <v/>
      </c>
      <c r="M150" s="186" t="str">
        <f t="shared" si="1"/>
        <v/>
      </c>
      <c r="N150" s="335"/>
      <c r="P150" s="4" t="str">
        <f>IF(A150&lt;&gt;"",VLOOKUP(A150,Rackfile_combined!$B:$C,2,false),"")</f>
        <v/>
      </c>
    </row>
    <row r="151">
      <c r="A151" s="186"/>
      <c r="B151" s="186"/>
      <c r="C151" s="186"/>
      <c r="D151" s="186"/>
      <c r="E151" s="186"/>
      <c r="F151" s="186"/>
      <c r="G151" s="186"/>
      <c r="H151" s="4"/>
      <c r="I151" s="8"/>
      <c r="J151" s="4" t="str">
        <f>IFERROR(VLOOKUP(A151,VolumeFile_combined!A:J,10,false),"")</f>
        <v/>
      </c>
      <c r="K151" s="4" t="str">
        <f>IFERROR(VLOOKUP(A151,SeparateFamily!A:B,2,false),"")</f>
        <v/>
      </c>
      <c r="L151" s="185" t="str">
        <f>IFERROR(VLOOKUP(A151,Rackfile_combined!B:H,7,false),"")</f>
        <v/>
      </c>
      <c r="M151" s="186" t="str">
        <f t="shared" si="1"/>
        <v/>
      </c>
      <c r="N151" s="335"/>
      <c r="P151" s="4" t="str">
        <f>IF(A151&lt;&gt;"",VLOOKUP(A151,Rackfile_combined!$B:$C,2,false),"")</f>
        <v/>
      </c>
    </row>
    <row r="152">
      <c r="A152" s="186"/>
      <c r="B152" s="186"/>
      <c r="C152" s="186"/>
      <c r="D152" s="186"/>
      <c r="E152" s="186"/>
      <c r="F152" s="186"/>
      <c r="G152" s="186"/>
      <c r="H152" s="4"/>
      <c r="I152" s="8"/>
      <c r="J152" s="4" t="str">
        <f>IFERROR(VLOOKUP(A152,VolumeFile_combined!A:J,10,false),"")</f>
        <v/>
      </c>
      <c r="K152" s="4" t="str">
        <f>IFERROR(VLOOKUP(A152,SeparateFamily!A:B,2,false),"")</f>
        <v/>
      </c>
      <c r="L152" s="185" t="str">
        <f>IFERROR(VLOOKUP(A152,Rackfile_combined!B:H,7,false),"")</f>
        <v/>
      </c>
      <c r="M152" s="186" t="str">
        <f t="shared" si="1"/>
        <v/>
      </c>
      <c r="N152" s="335"/>
      <c r="P152" s="4" t="str">
        <f>IF(A152&lt;&gt;"",VLOOKUP(A152,Rackfile_combined!$B:$C,2,false),"")</f>
        <v/>
      </c>
    </row>
    <row r="153">
      <c r="A153" s="186"/>
      <c r="B153" s="186"/>
      <c r="C153" s="186"/>
      <c r="D153" s="186"/>
      <c r="E153" s="186"/>
      <c r="F153" s="186"/>
      <c r="G153" s="186"/>
      <c r="H153" s="4"/>
      <c r="I153" s="8"/>
      <c r="J153" s="4" t="str">
        <f>IFERROR(VLOOKUP(A153,VolumeFile_combined!A:J,10,false),"")</f>
        <v/>
      </c>
      <c r="K153" s="4" t="str">
        <f>IFERROR(VLOOKUP(A153,SeparateFamily!A:B,2,false),"")</f>
        <v/>
      </c>
      <c r="L153" s="185" t="str">
        <f>IFERROR(VLOOKUP(A153,Rackfile_combined!B:H,7,false),"")</f>
        <v/>
      </c>
      <c r="M153" s="186" t="str">
        <f t="shared" si="1"/>
        <v/>
      </c>
      <c r="N153" s="335"/>
      <c r="P153" s="4" t="str">
        <f>IF(A153&lt;&gt;"",VLOOKUP(A153,Rackfile_combined!$B:$C,2,false),"")</f>
        <v/>
      </c>
    </row>
    <row r="154">
      <c r="A154" s="186"/>
      <c r="B154" s="186"/>
      <c r="C154" s="186"/>
      <c r="D154" s="186"/>
      <c r="E154" s="186"/>
      <c r="F154" s="186"/>
      <c r="G154" s="186"/>
      <c r="H154" s="4"/>
      <c r="I154" s="8"/>
      <c r="J154" s="4" t="str">
        <f>IFERROR(VLOOKUP(A154,VolumeFile_combined!A:J,10,false),"")</f>
        <v/>
      </c>
      <c r="K154" s="4" t="str">
        <f>IFERROR(VLOOKUP(A154,SeparateFamily!A:B,2,false),"")</f>
        <v/>
      </c>
      <c r="L154" s="185" t="str">
        <f>IFERROR(VLOOKUP(A154,Rackfile_combined!B:H,7,false),"")</f>
        <v/>
      </c>
      <c r="M154" s="186" t="str">
        <f t="shared" si="1"/>
        <v/>
      </c>
      <c r="N154" s="335"/>
      <c r="P154" s="4" t="str">
        <f>IF(A154&lt;&gt;"",VLOOKUP(A154,Rackfile_combined!$B:$C,2,false),"")</f>
        <v/>
      </c>
    </row>
    <row r="155">
      <c r="A155" s="186"/>
      <c r="B155" s="186"/>
      <c r="C155" s="186"/>
      <c r="D155" s="186"/>
      <c r="E155" s="186"/>
      <c r="F155" s="186"/>
      <c r="G155" s="186"/>
      <c r="H155" s="4"/>
      <c r="I155" s="8"/>
      <c r="J155" s="4" t="str">
        <f>IFERROR(VLOOKUP(A155,VolumeFile_combined!A:J,10,false),"")</f>
        <v/>
      </c>
      <c r="K155" s="4" t="str">
        <f>IFERROR(VLOOKUP(A155,SeparateFamily!A:B,2,false),"")</f>
        <v/>
      </c>
      <c r="L155" s="185" t="str">
        <f>IFERROR(VLOOKUP(A155,Rackfile_combined!B:H,7,false),"")</f>
        <v/>
      </c>
      <c r="M155" s="186" t="str">
        <f t="shared" si="1"/>
        <v/>
      </c>
      <c r="N155" s="335"/>
      <c r="P155" s="4" t="str">
        <f>IF(A155&lt;&gt;"",VLOOKUP(A155,Rackfile_combined!$B:$C,2,false),"")</f>
        <v/>
      </c>
    </row>
    <row r="156">
      <c r="A156" s="186"/>
      <c r="B156" s="186"/>
      <c r="C156" s="186"/>
      <c r="D156" s="186"/>
      <c r="E156" s="186"/>
      <c r="F156" s="186"/>
      <c r="G156" s="186"/>
      <c r="H156" s="4"/>
      <c r="I156" s="8"/>
      <c r="J156" s="4" t="str">
        <f>IFERROR(VLOOKUP(A156,VolumeFile_combined!A:J,10,false),"")</f>
        <v/>
      </c>
      <c r="K156" s="4" t="str">
        <f>IFERROR(VLOOKUP(A156,SeparateFamily!A:B,2,false),"")</f>
        <v/>
      </c>
      <c r="L156" s="185" t="str">
        <f>IFERROR(VLOOKUP(A156,Rackfile_combined!B:H,7,false),"")</f>
        <v/>
      </c>
      <c r="M156" s="186" t="str">
        <f t="shared" si="1"/>
        <v/>
      </c>
      <c r="N156" s="335"/>
      <c r="P156" s="4" t="str">
        <f>IF(A156&lt;&gt;"",VLOOKUP(A156,Rackfile_combined!$B:$C,2,false),"")</f>
        <v/>
      </c>
    </row>
    <row r="157">
      <c r="A157" s="186"/>
      <c r="B157" s="186"/>
      <c r="C157" s="186"/>
      <c r="D157" s="186"/>
      <c r="E157" s="186"/>
      <c r="F157" s="186"/>
      <c r="G157" s="186"/>
      <c r="H157" s="4"/>
      <c r="I157" s="8"/>
      <c r="J157" s="4" t="str">
        <f>IFERROR(VLOOKUP(A157,VolumeFile_combined!A:J,10,false),"")</f>
        <v/>
      </c>
      <c r="K157" s="4" t="str">
        <f>IFERROR(VLOOKUP(A157,SeparateFamily!A:B,2,false),"")</f>
        <v/>
      </c>
      <c r="L157" s="185" t="str">
        <f>IFERROR(VLOOKUP(A157,Rackfile_combined!B:H,7,false),"")</f>
        <v/>
      </c>
      <c r="M157" s="186" t="str">
        <f t="shared" si="1"/>
        <v/>
      </c>
      <c r="N157" s="335"/>
      <c r="P157" s="4" t="str">
        <f>IF(A157&lt;&gt;"",VLOOKUP(A157,Rackfile_combined!$B:$C,2,false),"")</f>
        <v/>
      </c>
    </row>
    <row r="158">
      <c r="A158" s="186"/>
      <c r="B158" s="186"/>
      <c r="C158" s="186"/>
      <c r="D158" s="186"/>
      <c r="E158" s="186"/>
      <c r="F158" s="186"/>
      <c r="G158" s="186"/>
      <c r="H158" s="4"/>
      <c r="I158" s="8"/>
      <c r="J158" s="4" t="str">
        <f>IFERROR(VLOOKUP(A158,VolumeFile_combined!A:J,10,false),"")</f>
        <v/>
      </c>
      <c r="K158" s="4" t="str">
        <f>IFERROR(VLOOKUP(A158,SeparateFamily!A:B,2,false),"")</f>
        <v/>
      </c>
      <c r="L158" s="185" t="str">
        <f>IFERROR(VLOOKUP(A158,Rackfile_combined!B:H,7,false),"")</f>
        <v/>
      </c>
      <c r="M158" s="186" t="str">
        <f t="shared" si="1"/>
        <v/>
      </c>
      <c r="N158" s="335"/>
      <c r="P158" s="4" t="str">
        <f>IF(A158&lt;&gt;"",VLOOKUP(A158,Rackfile_combined!$B:$C,2,false),"")</f>
        <v/>
      </c>
    </row>
    <row r="159">
      <c r="A159" s="186"/>
      <c r="B159" s="186"/>
      <c r="C159" s="186"/>
      <c r="D159" s="186"/>
      <c r="E159" s="186"/>
      <c r="F159" s="186"/>
      <c r="G159" s="186"/>
      <c r="H159" s="4"/>
      <c r="I159" s="8"/>
      <c r="J159" s="4" t="str">
        <f>IFERROR(VLOOKUP(A159,VolumeFile_combined!A:J,10,false),"")</f>
        <v/>
      </c>
      <c r="K159" s="4" t="str">
        <f>IFERROR(VLOOKUP(A159,SeparateFamily!A:B,2,false),"")</f>
        <v/>
      </c>
      <c r="L159" s="185" t="str">
        <f>IFERROR(VLOOKUP(A159,Rackfile_combined!B:H,7,false),"")</f>
        <v/>
      </c>
      <c r="M159" s="186" t="str">
        <f t="shared" si="1"/>
        <v/>
      </c>
      <c r="N159" s="335"/>
      <c r="P159" s="4" t="str">
        <f>IF(A159&lt;&gt;"",VLOOKUP(A159,Rackfile_combined!$B:$C,2,false),"")</f>
        <v/>
      </c>
    </row>
    <row r="160">
      <c r="A160" s="186"/>
      <c r="B160" s="186"/>
      <c r="C160" s="186"/>
      <c r="D160" s="186"/>
      <c r="E160" s="186"/>
      <c r="F160" s="186"/>
      <c r="G160" s="186"/>
      <c r="H160" s="4"/>
      <c r="I160" s="8"/>
      <c r="J160" s="4" t="str">
        <f>IFERROR(VLOOKUP(A160,VolumeFile_combined!A:J,10,false),"")</f>
        <v/>
      </c>
      <c r="K160" s="4" t="str">
        <f>IFERROR(VLOOKUP(A160,SeparateFamily!A:B,2,false),"")</f>
        <v/>
      </c>
      <c r="L160" s="185" t="str">
        <f>IFERROR(VLOOKUP(A160,Rackfile_combined!B:H,7,false),"")</f>
        <v/>
      </c>
      <c r="M160" s="186" t="str">
        <f t="shared" si="1"/>
        <v/>
      </c>
      <c r="N160" s="335"/>
      <c r="P160" s="4" t="str">
        <f>IF(A160&lt;&gt;"",VLOOKUP(A160,Rackfile_combined!$B:$C,2,false),"")</f>
        <v/>
      </c>
    </row>
    <row r="161">
      <c r="A161" s="186"/>
      <c r="B161" s="186"/>
      <c r="C161" s="186"/>
      <c r="D161" s="186"/>
      <c r="E161" s="186"/>
      <c r="F161" s="186"/>
      <c r="G161" s="186"/>
      <c r="H161" s="4"/>
      <c r="I161" s="8"/>
      <c r="J161" s="4" t="str">
        <f>IFERROR(VLOOKUP(A161,VolumeFile_combined!A:J,10,false),"")</f>
        <v/>
      </c>
      <c r="K161" s="4" t="str">
        <f>IFERROR(VLOOKUP(A161,SeparateFamily!A:B,2,false),"")</f>
        <v/>
      </c>
      <c r="L161" s="185" t="str">
        <f>IFERROR(VLOOKUP(A161,Rackfile_combined!B:H,7,false),"")</f>
        <v/>
      </c>
      <c r="M161" s="186" t="str">
        <f t="shared" si="1"/>
        <v/>
      </c>
      <c r="N161" s="335"/>
      <c r="P161" s="4" t="str">
        <f>IF(A161&lt;&gt;"",VLOOKUP(A161,Rackfile_combined!$B:$C,2,false),"")</f>
        <v/>
      </c>
    </row>
    <row r="162">
      <c r="A162" s="186"/>
      <c r="B162" s="186"/>
      <c r="C162" s="186"/>
      <c r="D162" s="186"/>
      <c r="E162" s="186"/>
      <c r="F162" s="186"/>
      <c r="G162" s="186"/>
      <c r="H162" s="4"/>
      <c r="I162" s="8"/>
      <c r="J162" s="4" t="str">
        <f>IFERROR(VLOOKUP(A162,VolumeFile_combined!A:J,10,false),"")</f>
        <v/>
      </c>
      <c r="K162" s="4" t="str">
        <f>IFERROR(VLOOKUP(A162,SeparateFamily!A:B,2,false),"")</f>
        <v/>
      </c>
      <c r="L162" s="185" t="str">
        <f>IFERROR(VLOOKUP(A162,Rackfile_combined!B:H,7,false),"")</f>
        <v/>
      </c>
      <c r="M162" s="186" t="str">
        <f t="shared" si="1"/>
        <v/>
      </c>
      <c r="N162" s="335"/>
      <c r="P162" s="4" t="str">
        <f>IF(A162&lt;&gt;"",VLOOKUP(A162,Rackfile_combined!$B:$C,2,false),"")</f>
        <v/>
      </c>
    </row>
    <row r="163">
      <c r="A163" s="186"/>
      <c r="B163" s="186"/>
      <c r="C163" s="186"/>
      <c r="D163" s="186"/>
      <c r="E163" s="186"/>
      <c r="F163" s="186"/>
      <c r="G163" s="186"/>
      <c r="H163" s="4"/>
      <c r="I163" s="8"/>
      <c r="J163" s="4" t="str">
        <f>IFERROR(VLOOKUP(A163,VolumeFile_combined!A:J,10,false),"")</f>
        <v/>
      </c>
      <c r="K163" s="4" t="str">
        <f>IFERROR(VLOOKUP(A163,SeparateFamily!A:B,2,false),"")</f>
        <v/>
      </c>
      <c r="L163" s="185" t="str">
        <f>IFERROR(VLOOKUP(A163,Rackfile_combined!B:H,7,false),"")</f>
        <v/>
      </c>
      <c r="M163" s="186" t="str">
        <f t="shared" si="1"/>
        <v/>
      </c>
      <c r="N163" s="335"/>
      <c r="P163" s="4" t="str">
        <f>IF(A163&lt;&gt;"",VLOOKUP(A163,Rackfile_combined!$B:$C,2,false),"")</f>
        <v/>
      </c>
    </row>
    <row r="164">
      <c r="A164" s="186"/>
      <c r="B164" s="186"/>
      <c r="C164" s="186"/>
      <c r="D164" s="186"/>
      <c r="E164" s="186"/>
      <c r="F164" s="186"/>
      <c r="G164" s="186"/>
      <c r="H164" s="4"/>
      <c r="I164" s="8"/>
      <c r="J164" s="4" t="str">
        <f>IFERROR(VLOOKUP(A164,VolumeFile_combined!A:J,10,false),"")</f>
        <v/>
      </c>
      <c r="K164" s="4" t="str">
        <f>IFERROR(VLOOKUP(A164,SeparateFamily!A:B,2,false),"")</f>
        <v/>
      </c>
      <c r="L164" s="185" t="str">
        <f>IFERROR(VLOOKUP(A164,Rackfile_combined!B:H,7,false),"")</f>
        <v/>
      </c>
      <c r="M164" s="186" t="str">
        <f t="shared" si="1"/>
        <v/>
      </c>
      <c r="N164" s="335"/>
      <c r="P164" s="4" t="str">
        <f>IF(A164&lt;&gt;"",VLOOKUP(A164,Rackfile_combined!$B:$C,2,false),"")</f>
        <v/>
      </c>
    </row>
    <row r="165">
      <c r="A165" s="186"/>
      <c r="B165" s="186"/>
      <c r="C165" s="186"/>
      <c r="D165" s="186"/>
      <c r="E165" s="186"/>
      <c r="F165" s="186"/>
      <c r="G165" s="186"/>
      <c r="H165" s="4"/>
      <c r="I165" s="8"/>
      <c r="J165" s="4" t="str">
        <f>IFERROR(VLOOKUP(A165,VolumeFile_combined!A:J,10,false),"")</f>
        <v/>
      </c>
      <c r="K165" s="4" t="str">
        <f>IFERROR(VLOOKUP(A165,SeparateFamily!A:B,2,false),"")</f>
        <v/>
      </c>
      <c r="L165" s="185" t="str">
        <f>IFERROR(VLOOKUP(A165,Rackfile_combined!B:H,7,false),"")</f>
        <v/>
      </c>
      <c r="M165" s="186" t="str">
        <f t="shared" si="1"/>
        <v/>
      </c>
      <c r="N165" s="335"/>
      <c r="P165" s="4" t="str">
        <f>IF(A165&lt;&gt;"",VLOOKUP(A165,Rackfile_combined!$B:$C,2,false),"")</f>
        <v/>
      </c>
    </row>
    <row r="166">
      <c r="A166" s="186"/>
      <c r="B166" s="186"/>
      <c r="C166" s="186"/>
      <c r="D166" s="186"/>
      <c r="E166" s="186"/>
      <c r="F166" s="186"/>
      <c r="G166" s="186"/>
      <c r="H166" s="4"/>
      <c r="I166" s="8"/>
      <c r="J166" s="4" t="str">
        <f>IFERROR(VLOOKUP(A166,VolumeFile_combined!A:J,10,false),"")</f>
        <v/>
      </c>
      <c r="K166" s="4" t="str">
        <f>IFERROR(VLOOKUP(A166,SeparateFamily!A:B,2,false),"")</f>
        <v/>
      </c>
      <c r="L166" s="185" t="str">
        <f>IFERROR(VLOOKUP(A166,Rackfile_combined!B:H,7,false),"")</f>
        <v/>
      </c>
      <c r="M166" s="186" t="str">
        <f t="shared" si="1"/>
        <v/>
      </c>
      <c r="N166" s="335"/>
      <c r="P166" s="4" t="str">
        <f>IF(A166&lt;&gt;"",VLOOKUP(A166,Rackfile_combined!$B:$C,2,false),"")</f>
        <v/>
      </c>
    </row>
    <row r="167">
      <c r="A167" s="186"/>
      <c r="B167" s="186"/>
      <c r="C167" s="186"/>
      <c r="D167" s="186"/>
      <c r="E167" s="186"/>
      <c r="F167" s="186"/>
      <c r="G167" s="186"/>
      <c r="H167" s="4"/>
      <c r="I167" s="8"/>
      <c r="J167" s="4" t="str">
        <f>IFERROR(VLOOKUP(A167,VolumeFile_combined!A:J,10,false),"")</f>
        <v/>
      </c>
      <c r="K167" s="4" t="str">
        <f>IFERROR(VLOOKUP(A167,SeparateFamily!A:B,2,false),"")</f>
        <v/>
      </c>
      <c r="L167" s="185" t="str">
        <f>IFERROR(VLOOKUP(A167,Rackfile_combined!B:H,7,false),"")</f>
        <v/>
      </c>
      <c r="M167" s="186" t="str">
        <f t="shared" si="1"/>
        <v/>
      </c>
      <c r="N167" s="335"/>
      <c r="P167" s="4" t="str">
        <f>IF(A167&lt;&gt;"",VLOOKUP(A167,Rackfile_combined!$B:$C,2,false),"")</f>
        <v/>
      </c>
    </row>
    <row r="168">
      <c r="A168" s="186"/>
      <c r="B168" s="186"/>
      <c r="C168" s="186"/>
      <c r="D168" s="186"/>
      <c r="E168" s="186"/>
      <c r="F168" s="186"/>
      <c r="G168" s="186"/>
      <c r="H168" s="4"/>
      <c r="I168" s="8"/>
      <c r="J168" s="4" t="str">
        <f>IFERROR(VLOOKUP(A168,VolumeFile_combined!A:J,10,false),"")</f>
        <v/>
      </c>
      <c r="K168" s="4" t="str">
        <f>IFERROR(VLOOKUP(A168,SeparateFamily!A:B,2,false),"")</f>
        <v/>
      </c>
      <c r="L168" s="185" t="str">
        <f>IFERROR(VLOOKUP(A168,Rackfile_combined!B:H,7,false),"")</f>
        <v/>
      </c>
      <c r="M168" s="186" t="str">
        <f t="shared" si="1"/>
        <v/>
      </c>
      <c r="N168" s="335"/>
      <c r="P168" s="4" t="str">
        <f>IF(A168&lt;&gt;"",VLOOKUP(A168,Rackfile_combined!$B:$C,2,false),"")</f>
        <v/>
      </c>
    </row>
    <row r="169">
      <c r="A169" s="186"/>
      <c r="B169" s="186"/>
      <c r="C169" s="186"/>
      <c r="D169" s="186"/>
      <c r="E169" s="186"/>
      <c r="F169" s="186"/>
      <c r="G169" s="186"/>
      <c r="H169" s="4"/>
      <c r="I169" s="8"/>
      <c r="J169" s="4" t="str">
        <f>IFERROR(VLOOKUP(A169,VolumeFile_combined!A:J,10,false),"")</f>
        <v/>
      </c>
      <c r="K169" s="4" t="str">
        <f>IFERROR(VLOOKUP(A169,SeparateFamily!A:B,2,false),"")</f>
        <v/>
      </c>
      <c r="L169" s="185" t="str">
        <f>IFERROR(VLOOKUP(A169,Rackfile_combined!B:H,7,false),"")</f>
        <v/>
      </c>
      <c r="M169" s="186" t="str">
        <f t="shared" si="1"/>
        <v/>
      </c>
      <c r="N169" s="335"/>
      <c r="P169" s="4" t="str">
        <f>IF(A169&lt;&gt;"",VLOOKUP(A169,Rackfile_combined!$B:$C,2,false),"")</f>
        <v/>
      </c>
    </row>
    <row r="170">
      <c r="A170" s="186"/>
      <c r="B170" s="186"/>
      <c r="C170" s="186"/>
      <c r="D170" s="186"/>
      <c r="E170" s="186"/>
      <c r="F170" s="186"/>
      <c r="G170" s="186"/>
      <c r="H170" s="4"/>
      <c r="I170" s="8"/>
      <c r="J170" s="4" t="str">
        <f>IFERROR(VLOOKUP(A170,VolumeFile_combined!A:J,10,false),"")</f>
        <v/>
      </c>
      <c r="K170" s="4" t="str">
        <f>IFERROR(VLOOKUP(A170,SeparateFamily!A:B,2,false),"")</f>
        <v/>
      </c>
      <c r="L170" s="185" t="str">
        <f>IFERROR(VLOOKUP(A170,Rackfile_combined!B:H,7,false),"")</f>
        <v/>
      </c>
      <c r="M170" s="186" t="str">
        <f t="shared" si="1"/>
        <v/>
      </c>
      <c r="N170" s="335"/>
      <c r="P170" s="4" t="str">
        <f>IF(A170&lt;&gt;"",VLOOKUP(A170,Rackfile_combined!$B:$C,2,false),"")</f>
        <v/>
      </c>
    </row>
    <row r="171">
      <c r="A171" s="186"/>
      <c r="B171" s="186"/>
      <c r="C171" s="186"/>
      <c r="D171" s="186"/>
      <c r="E171" s="186"/>
      <c r="F171" s="186"/>
      <c r="G171" s="186"/>
      <c r="H171" s="4"/>
      <c r="I171" s="8"/>
      <c r="J171" s="4" t="str">
        <f>IFERROR(VLOOKUP(A171,VolumeFile_combined!A:J,10,false),"")</f>
        <v/>
      </c>
      <c r="K171" s="4" t="str">
        <f>IFERROR(VLOOKUP(A171,SeparateFamily!A:B,2,false),"")</f>
        <v/>
      </c>
      <c r="L171" s="185" t="str">
        <f>IFERROR(VLOOKUP(A171,Rackfile_combined!B:H,7,false),"")</f>
        <v/>
      </c>
      <c r="M171" s="186" t="str">
        <f t="shared" si="1"/>
        <v/>
      </c>
      <c r="N171" s="335"/>
      <c r="P171" s="4" t="str">
        <f>IF(A171&lt;&gt;"",VLOOKUP(A171,Rackfile_combined!$B:$C,2,false),"")</f>
        <v/>
      </c>
    </row>
    <row r="172">
      <c r="A172" s="186"/>
      <c r="B172" s="186"/>
      <c r="C172" s="186"/>
      <c r="D172" s="186"/>
      <c r="E172" s="186"/>
      <c r="F172" s="186"/>
      <c r="G172" s="186"/>
      <c r="H172" s="4"/>
      <c r="I172" s="8"/>
      <c r="J172" s="4" t="str">
        <f>IFERROR(VLOOKUP(A172,VolumeFile_combined!A:J,10,false),"")</f>
        <v/>
      </c>
      <c r="K172" s="4" t="str">
        <f>IFERROR(VLOOKUP(A172,SeparateFamily!A:B,2,false),"")</f>
        <v/>
      </c>
      <c r="L172" s="185" t="str">
        <f>IFERROR(VLOOKUP(A172,Rackfile_combined!B:H,7,false),"")</f>
        <v/>
      </c>
      <c r="M172" s="186" t="str">
        <f t="shared" si="1"/>
        <v/>
      </c>
      <c r="N172" s="335"/>
      <c r="P172" s="4" t="str">
        <f>IF(A172&lt;&gt;"",VLOOKUP(A172,Rackfile_combined!$B:$C,2,false),"")</f>
        <v/>
      </c>
    </row>
    <row r="173">
      <c r="A173" s="186"/>
      <c r="B173" s="186"/>
      <c r="C173" s="186"/>
      <c r="D173" s="186"/>
      <c r="E173" s="186"/>
      <c r="F173" s="186"/>
      <c r="G173" s="186"/>
      <c r="H173" s="4"/>
      <c r="I173" s="8"/>
      <c r="J173" s="4" t="str">
        <f>IFERROR(VLOOKUP(A173,VolumeFile_combined!A:J,10,false),"")</f>
        <v/>
      </c>
      <c r="K173" s="4" t="str">
        <f>IFERROR(VLOOKUP(A173,SeparateFamily!A:B,2,false),"")</f>
        <v/>
      </c>
      <c r="L173" s="185" t="str">
        <f>IFERROR(VLOOKUP(A173,Rackfile_combined!B:H,7,false),"")</f>
        <v/>
      </c>
      <c r="N173" s="335"/>
      <c r="P173" s="4" t="str">
        <f>IF(A173&lt;&gt;"",VLOOKUP(A173,Rackfile_combined!$B:$C,2,false),"")</f>
        <v/>
      </c>
    </row>
    <row r="174">
      <c r="A174" s="186"/>
      <c r="B174" s="186"/>
      <c r="C174" s="186"/>
      <c r="D174" s="186"/>
      <c r="E174" s="186"/>
      <c r="F174" s="186"/>
      <c r="G174" s="186"/>
      <c r="H174" s="4"/>
      <c r="I174" s="8"/>
      <c r="J174" s="4" t="str">
        <f>IFERROR(VLOOKUP(A174,VolumeFile_combined!A:J,10,false),"")</f>
        <v/>
      </c>
      <c r="K174" s="4" t="str">
        <f>IFERROR(VLOOKUP(A174,SeparateFamily!A:B,2,false),"")</f>
        <v/>
      </c>
      <c r="L174" s="185" t="str">
        <f>IFERROR(VLOOKUP(A174,Rackfile_combined!B:H,7,false),"")</f>
        <v/>
      </c>
      <c r="N174" s="335"/>
      <c r="P174" s="4" t="str">
        <f>IF(A174&lt;&gt;"",VLOOKUP(A174,Rackfile_combined!$B:$C,2,false),"")</f>
        <v/>
      </c>
    </row>
    <row r="175">
      <c r="A175" s="186"/>
      <c r="B175" s="186"/>
      <c r="C175" s="186"/>
      <c r="D175" s="186"/>
      <c r="E175" s="186"/>
      <c r="F175" s="186"/>
      <c r="G175" s="186"/>
      <c r="H175" s="4"/>
      <c r="I175" s="8"/>
      <c r="J175" s="4" t="str">
        <f>IFERROR(VLOOKUP(A175,VolumeFile_combined!A:J,10,false),"")</f>
        <v/>
      </c>
      <c r="K175" s="4" t="str">
        <f>IFERROR(VLOOKUP(A175,SeparateFamily!A:B,2,false),"")</f>
        <v/>
      </c>
      <c r="L175" s="185"/>
      <c r="N175" s="185"/>
      <c r="P175" s="4" t="str">
        <f>IF(A175&lt;&gt;"",VLOOKUP(A175,Rackfile_combined!$B:$C,2,false),"")</f>
        <v/>
      </c>
    </row>
    <row r="176">
      <c r="A176" s="186"/>
      <c r="B176" s="186"/>
      <c r="C176" s="186"/>
      <c r="D176" s="186"/>
      <c r="E176" s="186"/>
      <c r="F176" s="186"/>
      <c r="G176" s="186"/>
      <c r="H176" s="4"/>
      <c r="I176" s="8"/>
      <c r="J176" s="4" t="str">
        <f>IFERROR(VLOOKUP(A176,VolumeFile_combined!A:J,10,false),"")</f>
        <v/>
      </c>
      <c r="K176" s="4" t="str">
        <f>IFERROR(VLOOKUP(A176,SeparateFamily!A:B,2,false),"")</f>
        <v/>
      </c>
      <c r="L176" s="185"/>
      <c r="N176" s="185"/>
      <c r="P176" s="4" t="str">
        <f>IF(A176&lt;&gt;"",VLOOKUP(A176,Rackfile_combined!$B:$C,2,false),"")</f>
        <v/>
      </c>
    </row>
    <row r="177">
      <c r="A177" s="186"/>
      <c r="B177" s="186"/>
      <c r="C177" s="186"/>
      <c r="D177" s="186"/>
      <c r="E177" s="186"/>
      <c r="F177" s="186"/>
      <c r="G177" s="186"/>
      <c r="H177" s="4"/>
      <c r="I177" s="8"/>
      <c r="J177" s="4" t="str">
        <f>IFERROR(VLOOKUP(A177,VolumeFile_combined!A:J,10,false),"")</f>
        <v/>
      </c>
      <c r="K177" s="4" t="str">
        <f>IFERROR(VLOOKUP(A177,SeparateFamily!A:B,2,false),"")</f>
        <v/>
      </c>
      <c r="L177" s="185"/>
      <c r="N177" s="185"/>
      <c r="P177" s="4" t="str">
        <f>IF(A177&lt;&gt;"",VLOOKUP(A177,Rackfile_combined!$B:$C,2,false),"")</f>
        <v/>
      </c>
    </row>
    <row r="178">
      <c r="A178" s="186"/>
      <c r="B178" s="186"/>
      <c r="C178" s="186"/>
      <c r="D178" s="186"/>
      <c r="E178" s="186"/>
      <c r="F178" s="186"/>
      <c r="G178" s="186"/>
      <c r="H178" s="4"/>
      <c r="I178" s="8"/>
      <c r="J178" s="4" t="str">
        <f>IFERROR(VLOOKUP(A178,VolumeFile_combined!A:J,10,false),"")</f>
        <v/>
      </c>
      <c r="K178" s="4" t="str">
        <f>IFERROR(VLOOKUP(A178,SeparateFamily!A:B,2,false),"")</f>
        <v/>
      </c>
      <c r="L178" s="185"/>
      <c r="N178" s="185"/>
      <c r="P178" s="4" t="str">
        <f>IF(A178&lt;&gt;"",VLOOKUP(A178,Rackfile_combined!$B:$C,2,false),"")</f>
        <v/>
      </c>
    </row>
    <row r="179">
      <c r="A179" s="186"/>
      <c r="B179" s="186"/>
      <c r="C179" s="186"/>
      <c r="D179" s="186"/>
      <c r="E179" s="186"/>
      <c r="F179" s="186"/>
      <c r="G179" s="186"/>
      <c r="H179" s="4"/>
      <c r="I179" s="8"/>
      <c r="J179" s="4" t="str">
        <f>IFERROR(VLOOKUP(A179,VolumeFile_combined!A:J,10,false),"")</f>
        <v/>
      </c>
      <c r="K179" s="4" t="str">
        <f>IFERROR(VLOOKUP(A179,SeparateFamily!A:B,2,false),"")</f>
        <v/>
      </c>
      <c r="L179" s="185"/>
      <c r="N179" s="185"/>
      <c r="P179" s="4" t="str">
        <f>IF(A179&lt;&gt;"",VLOOKUP(A179,Rackfile_combined!$B:$C,2,false),"")</f>
        <v/>
      </c>
    </row>
    <row r="180">
      <c r="A180" s="186"/>
      <c r="B180" s="186"/>
      <c r="C180" s="186"/>
      <c r="D180" s="186"/>
      <c r="E180" s="186"/>
      <c r="F180" s="186"/>
      <c r="G180" s="186"/>
      <c r="H180" s="4"/>
      <c r="I180" s="8"/>
      <c r="J180" s="4" t="str">
        <f>IFERROR(VLOOKUP(A180,VolumeFile_combined!A:J,10,false),"")</f>
        <v/>
      </c>
      <c r="K180" s="4" t="str">
        <f>IFERROR(VLOOKUP(A180,SeparateFamily!A:B,2,false),"")</f>
        <v/>
      </c>
      <c r="L180" s="185"/>
      <c r="N180" s="185"/>
      <c r="P180" s="4" t="str">
        <f>IF(A180&lt;&gt;"",VLOOKUP(A180,Rackfile_combined!$B:$C,2,false),"")</f>
        <v/>
      </c>
    </row>
    <row r="181">
      <c r="A181" s="186"/>
      <c r="B181" s="186"/>
      <c r="C181" s="186"/>
      <c r="D181" s="186"/>
      <c r="E181" s="186"/>
      <c r="F181" s="186"/>
      <c r="G181" s="186"/>
      <c r="H181" s="4"/>
      <c r="I181" s="8"/>
      <c r="J181" s="4" t="str">
        <f>IFERROR(VLOOKUP(A181,VolumeFile_combined!A:J,10,false),"")</f>
        <v/>
      </c>
      <c r="K181" s="4" t="str">
        <f>IFERROR(VLOOKUP(A181,SeparateFamily!A:B,2,false),"")</f>
        <v/>
      </c>
      <c r="L181" s="185"/>
      <c r="N181" s="185"/>
      <c r="P181" s="4" t="str">
        <f>IF(A181&lt;&gt;"",VLOOKUP(A181,Rackfile_combined!$B:$C,2,false),"")</f>
        <v/>
      </c>
    </row>
    <row r="182">
      <c r="A182" s="186"/>
      <c r="B182" s="186"/>
      <c r="C182" s="186"/>
      <c r="D182" s="186"/>
      <c r="E182" s="186"/>
      <c r="F182" s="186"/>
      <c r="G182" s="186"/>
      <c r="H182" s="4"/>
      <c r="I182" s="8"/>
      <c r="J182" s="4" t="str">
        <f>IFERROR(VLOOKUP(A182,VolumeFile_combined!A:J,10,false),"")</f>
        <v/>
      </c>
      <c r="K182" s="4" t="str">
        <f>IFERROR(VLOOKUP(A182,SeparateFamily!A:B,2,false),"")</f>
        <v/>
      </c>
      <c r="L182" s="185"/>
      <c r="N182" s="185"/>
      <c r="P182" s="4" t="str">
        <f>IF(A182&lt;&gt;"",VLOOKUP(A182,Rackfile_combined!$B:$C,2,false),"")</f>
        <v/>
      </c>
    </row>
    <row r="183">
      <c r="A183" s="186"/>
      <c r="B183" s="186"/>
      <c r="C183" s="186"/>
      <c r="D183" s="186"/>
      <c r="E183" s="186"/>
      <c r="F183" s="186"/>
      <c r="G183" s="186"/>
      <c r="H183" s="4"/>
      <c r="I183" s="8"/>
      <c r="J183" s="4" t="str">
        <f>IFERROR(VLOOKUP(A183,VolumeFile_combined!A:J,10,false),"")</f>
        <v/>
      </c>
      <c r="K183" s="4" t="str">
        <f>IFERROR(VLOOKUP(A183,SeparateFamily!A:B,2,false),"")</f>
        <v/>
      </c>
      <c r="L183" s="185"/>
      <c r="N183" s="185"/>
      <c r="P183" s="4" t="str">
        <f>IF(A183&lt;&gt;"",VLOOKUP(A183,Rackfile_combined!$B:$C,2,false),"")</f>
        <v/>
      </c>
    </row>
    <row r="184">
      <c r="A184" s="186"/>
      <c r="B184" s="186"/>
      <c r="C184" s="186"/>
      <c r="D184" s="186"/>
      <c r="E184" s="186"/>
      <c r="F184" s="186"/>
      <c r="G184" s="186"/>
      <c r="H184" s="4"/>
      <c r="I184" s="8"/>
      <c r="J184" s="4" t="str">
        <f>IFERROR(VLOOKUP(A184,VolumeFile_combined!A:J,10,false),"")</f>
        <v/>
      </c>
      <c r="K184" s="4" t="str">
        <f>IFERROR(VLOOKUP(A184,SeparateFamily!A:B,2,false),"")</f>
        <v/>
      </c>
      <c r="L184" s="185"/>
      <c r="N184" s="185"/>
      <c r="P184" s="4" t="str">
        <f>IF(A184&lt;&gt;"",VLOOKUP(A184,Rackfile_combined!$B:$C,2,false),"")</f>
        <v/>
      </c>
    </row>
    <row r="185">
      <c r="A185" s="186"/>
      <c r="B185" s="186"/>
      <c r="C185" s="186"/>
      <c r="D185" s="186"/>
      <c r="E185" s="186"/>
      <c r="F185" s="186"/>
      <c r="G185" s="186"/>
      <c r="H185" s="4"/>
      <c r="I185" s="8"/>
      <c r="J185" s="4" t="str">
        <f>IFERROR(VLOOKUP(A185,VolumeFile_combined!A:J,10,false),"")</f>
        <v/>
      </c>
      <c r="K185" s="4" t="str">
        <f>IFERROR(VLOOKUP(A185,SeparateFamily!A:B,2,false),"")</f>
        <v/>
      </c>
      <c r="L185" s="185"/>
      <c r="N185" s="185"/>
      <c r="P185" s="4" t="str">
        <f>IF(A185&lt;&gt;"",VLOOKUP(A185,Rackfile_combined!$B:$C,2,false),"")</f>
        <v/>
      </c>
    </row>
    <row r="186">
      <c r="A186" s="186"/>
      <c r="B186" s="186"/>
      <c r="C186" s="186"/>
      <c r="D186" s="186"/>
      <c r="E186" s="186"/>
      <c r="F186" s="186"/>
      <c r="G186" s="186"/>
      <c r="H186" s="4"/>
      <c r="I186" s="8"/>
      <c r="J186" s="4" t="str">
        <f>IFERROR(VLOOKUP(A186,VolumeFile_combined!A:J,10,false),"")</f>
        <v/>
      </c>
      <c r="K186" s="4" t="str">
        <f>IFERROR(VLOOKUP(A186,SeparateFamily!A:B,2,false),"")</f>
        <v/>
      </c>
      <c r="L186" s="185"/>
      <c r="N186" s="185"/>
      <c r="P186" s="4" t="str">
        <f>IF(A186&lt;&gt;"",VLOOKUP(A186,Rackfile_combined!$B:$C,2,false),"")</f>
        <v/>
      </c>
    </row>
    <row r="187">
      <c r="A187" s="186"/>
      <c r="B187" s="186"/>
      <c r="C187" s="186"/>
      <c r="D187" s="186"/>
      <c r="E187" s="186"/>
      <c r="F187" s="186"/>
      <c r="G187" s="186"/>
      <c r="H187" s="4"/>
      <c r="I187" s="8"/>
      <c r="J187" s="4" t="str">
        <f>IFERROR(VLOOKUP(A187,VolumeFile_combined!A:J,10,false),"")</f>
        <v/>
      </c>
      <c r="K187" s="4" t="str">
        <f>IFERROR(VLOOKUP(A187,SeparateFamily!A:B,2,false),"")</f>
        <v/>
      </c>
      <c r="L187" s="185"/>
      <c r="N187" s="185"/>
      <c r="P187" s="4" t="str">
        <f>IF(A187&lt;&gt;"",VLOOKUP(A187,Rackfile_combined!$B:$C,2,false),"")</f>
        <v/>
      </c>
    </row>
    <row r="188">
      <c r="A188" s="186"/>
      <c r="B188" s="186"/>
      <c r="C188" s="186"/>
      <c r="D188" s="186"/>
      <c r="E188" s="186"/>
      <c r="F188" s="186"/>
      <c r="G188" s="186"/>
      <c r="H188" s="4"/>
      <c r="I188" s="8"/>
      <c r="J188" s="4" t="str">
        <f>IFERROR(VLOOKUP(A188,VolumeFile_combined!A:J,10,false),"")</f>
        <v/>
      </c>
      <c r="K188" s="4" t="str">
        <f>IFERROR(VLOOKUP(A188,SeparateFamily!A:B,2,false),"")</f>
        <v/>
      </c>
      <c r="L188" s="185"/>
      <c r="N188" s="185"/>
      <c r="P188" s="4" t="str">
        <f>IF(A188&lt;&gt;"",VLOOKUP(A188,Rackfile_combined!$B:$C,2,false),"")</f>
        <v/>
      </c>
    </row>
    <row r="189">
      <c r="A189" s="186"/>
      <c r="B189" s="186"/>
      <c r="C189" s="186"/>
      <c r="D189" s="186"/>
      <c r="E189" s="186"/>
      <c r="F189" s="186"/>
      <c r="G189" s="186"/>
      <c r="H189" s="4"/>
      <c r="I189" s="8"/>
      <c r="J189" s="4" t="str">
        <f>IFERROR(VLOOKUP(A189,VolumeFile_combined!A:J,10,false),"")</f>
        <v/>
      </c>
      <c r="K189" s="4" t="str">
        <f>IFERROR(VLOOKUP(A189,SeparateFamily!A:B,2,false),"")</f>
        <v/>
      </c>
      <c r="L189" s="185"/>
      <c r="N189" s="185"/>
      <c r="P189" s="4" t="str">
        <f>IF(A189&lt;&gt;"",VLOOKUP(A189,Rackfile_combined!$B:$C,2,false),"")</f>
        <v/>
      </c>
    </row>
    <row r="190">
      <c r="A190" s="186"/>
      <c r="B190" s="186"/>
      <c r="C190" s="186"/>
      <c r="D190" s="186"/>
      <c r="E190" s="186"/>
      <c r="F190" s="186"/>
      <c r="G190" s="186"/>
      <c r="H190" s="4"/>
      <c r="I190" s="8"/>
      <c r="J190" s="4" t="str">
        <f>IFERROR(VLOOKUP(A190,VolumeFile_combined!A:J,10,false),"")</f>
        <v/>
      </c>
      <c r="K190" s="4" t="str">
        <f>IFERROR(VLOOKUP(A190,SeparateFamily!A:B,2,false),"")</f>
        <v/>
      </c>
      <c r="L190" s="185"/>
      <c r="N190" s="185"/>
      <c r="P190" s="4" t="str">
        <f>IF(A190&lt;&gt;"",VLOOKUP(A190,Rackfile_combined!$B:$C,2,false),"")</f>
        <v/>
      </c>
    </row>
    <row r="191">
      <c r="A191" s="186"/>
      <c r="B191" s="186"/>
      <c r="C191" s="186"/>
      <c r="D191" s="186"/>
      <c r="E191" s="186"/>
      <c r="F191" s="186"/>
      <c r="G191" s="186"/>
      <c r="H191" s="4"/>
      <c r="I191" s="8"/>
      <c r="J191" s="4" t="str">
        <f>IFERROR(VLOOKUP(A191,VolumeFile_combined!A:J,10,false),"")</f>
        <v/>
      </c>
      <c r="K191" s="4" t="str">
        <f>IFERROR(VLOOKUP(A191,SeparateFamily!A:B,2,false),"")</f>
        <v/>
      </c>
      <c r="L191" s="185"/>
      <c r="N191" s="185"/>
      <c r="P191" s="4" t="str">
        <f>IF(A191&lt;&gt;"",VLOOKUP(A191,Rackfile_combined!$B:$C,2,false),"")</f>
        <v/>
      </c>
    </row>
    <row r="192">
      <c r="A192" s="186"/>
      <c r="B192" s="186"/>
      <c r="C192" s="186"/>
      <c r="D192" s="186"/>
      <c r="E192" s="186"/>
      <c r="F192" s="186"/>
      <c r="G192" s="186"/>
      <c r="H192" s="4"/>
      <c r="I192" s="8"/>
      <c r="J192" s="4" t="str">
        <f>IFERROR(VLOOKUP(A192,VolumeFile_combined!A:J,10,false),"")</f>
        <v/>
      </c>
      <c r="K192" s="4" t="str">
        <f>IFERROR(VLOOKUP(A192,SeparateFamily!A:B,2,false),"")</f>
        <v/>
      </c>
      <c r="L192" s="185"/>
      <c r="N192" s="185"/>
      <c r="P192" s="4" t="str">
        <f>IF(A192&lt;&gt;"",VLOOKUP(A192,Rackfile_combined!$B:$C,2,false),"")</f>
        <v/>
      </c>
    </row>
    <row r="193">
      <c r="A193" s="186"/>
      <c r="B193" s="186"/>
      <c r="C193" s="186"/>
      <c r="D193" s="186"/>
      <c r="E193" s="186"/>
      <c r="F193" s="186"/>
      <c r="G193" s="186"/>
      <c r="H193" s="4"/>
      <c r="I193" s="8"/>
      <c r="J193" s="4" t="str">
        <f>IFERROR(VLOOKUP(A193,VolumeFile_combined!A:J,10,false),"")</f>
        <v/>
      </c>
      <c r="K193" s="4" t="str">
        <f>IFERROR(VLOOKUP(A193,SeparateFamily!A:B,2,false),"")</f>
        <v/>
      </c>
      <c r="L193" s="185"/>
      <c r="N193" s="185"/>
      <c r="P193" s="4" t="str">
        <f>IF(A193&lt;&gt;"",VLOOKUP(A193,Rackfile_combined!$B:$C,2,false),"")</f>
        <v/>
      </c>
    </row>
    <row r="194">
      <c r="A194" s="186"/>
      <c r="B194" s="186"/>
      <c r="C194" s="186"/>
      <c r="D194" s="186"/>
      <c r="E194" s="186"/>
      <c r="F194" s="186"/>
      <c r="G194" s="186"/>
      <c r="H194" s="4"/>
      <c r="I194" s="8"/>
      <c r="J194" s="4" t="str">
        <f>IFERROR(VLOOKUP(A194,VolumeFile_combined!A:J,10,false),"")</f>
        <v/>
      </c>
      <c r="K194" s="4" t="str">
        <f>IFERROR(VLOOKUP(A194,SeparateFamily!A:B,2,false),"")</f>
        <v/>
      </c>
      <c r="L194" s="185"/>
      <c r="N194" s="185"/>
      <c r="P194" s="4" t="str">
        <f>IF(A194&lt;&gt;"",VLOOKUP(A194,Rackfile_combined!$B:$C,2,false),"")</f>
        <v/>
      </c>
    </row>
    <row r="195">
      <c r="A195" s="186"/>
      <c r="B195" s="186"/>
      <c r="C195" s="186"/>
      <c r="D195" s="186"/>
      <c r="E195" s="186"/>
      <c r="F195" s="186"/>
      <c r="G195" s="186"/>
      <c r="H195" s="4"/>
      <c r="I195" s="8"/>
      <c r="J195" s="4" t="str">
        <f>IFERROR(VLOOKUP(A195,VolumeFile_combined!A:J,10,false),"")</f>
        <v/>
      </c>
      <c r="K195" s="4" t="str">
        <f>IFERROR(VLOOKUP(A195,SeparateFamily!A:B,2,false),"")</f>
        <v/>
      </c>
      <c r="L195" s="185"/>
      <c r="N195" s="185"/>
      <c r="P195" s="4" t="str">
        <f>IF(A195&lt;&gt;"",VLOOKUP(A195,Rackfile_combined!$B:$C,2,false),"")</f>
        <v/>
      </c>
    </row>
    <row r="196">
      <c r="A196" s="186"/>
      <c r="B196" s="186"/>
      <c r="C196" s="186"/>
      <c r="D196" s="186"/>
      <c r="E196" s="186"/>
      <c r="F196" s="186"/>
      <c r="G196" s="186"/>
      <c r="H196" s="4"/>
      <c r="I196" s="8"/>
      <c r="J196" s="4" t="str">
        <f>IFERROR(VLOOKUP(A196,VolumeFile_combined!A:J,10,false),"")</f>
        <v/>
      </c>
      <c r="K196" s="4" t="str">
        <f>IFERROR(VLOOKUP(A196,SeparateFamily!A:B,2,false),"")</f>
        <v/>
      </c>
      <c r="L196" s="185"/>
      <c r="N196" s="185"/>
      <c r="P196" s="4" t="str">
        <f>IF(A196&lt;&gt;"",VLOOKUP(A196,Rackfile_combined!$B:$C,2,false),"")</f>
        <v/>
      </c>
    </row>
    <row r="197">
      <c r="A197" s="186"/>
      <c r="B197" s="186"/>
      <c r="C197" s="186"/>
      <c r="D197" s="186"/>
      <c r="E197" s="186"/>
      <c r="F197" s="186"/>
      <c r="G197" s="186"/>
      <c r="H197" s="4"/>
      <c r="I197" s="8"/>
      <c r="J197" s="4" t="str">
        <f>IFERROR(VLOOKUP(A197,VolumeFile_combined!A:J,10,false),"")</f>
        <v/>
      </c>
      <c r="K197" s="4" t="str">
        <f>IFERROR(VLOOKUP(A197,SeparateFamily!A:B,2,false),"")</f>
        <v/>
      </c>
      <c r="L197" s="185"/>
      <c r="N197" s="185"/>
      <c r="P197" s="4" t="str">
        <f>IF(A197&lt;&gt;"",VLOOKUP(A197,Rackfile_combined!$B:$C,2,false),"")</f>
        <v/>
      </c>
    </row>
    <row r="198">
      <c r="A198" s="186"/>
      <c r="B198" s="186"/>
      <c r="C198" s="186"/>
      <c r="D198" s="186"/>
      <c r="E198" s="186"/>
      <c r="F198" s="186"/>
      <c r="G198" s="186"/>
      <c r="H198" s="4"/>
      <c r="I198" s="8"/>
      <c r="J198" s="4" t="str">
        <f>IFERROR(VLOOKUP(A198,VolumeFile_combined!A:J,10,false),"")</f>
        <v/>
      </c>
      <c r="K198" s="4" t="str">
        <f>IFERROR(VLOOKUP(A198,SeparateFamily!A:B,2,false),"")</f>
        <v/>
      </c>
      <c r="L198" s="185"/>
      <c r="N198" s="185"/>
      <c r="P198" s="4" t="str">
        <f>IF(A198&lt;&gt;"",VLOOKUP(A198,Rackfile_combined!$B:$C,2,false),"")</f>
        <v/>
      </c>
    </row>
    <row r="199">
      <c r="A199" s="186"/>
      <c r="B199" s="186"/>
      <c r="C199" s="186"/>
      <c r="D199" s="186"/>
      <c r="E199" s="186"/>
      <c r="F199" s="186"/>
      <c r="G199" s="186"/>
      <c r="H199" s="4"/>
      <c r="I199" s="8"/>
      <c r="J199" s="4" t="str">
        <f>IFERROR(VLOOKUP(A199,VolumeFile_combined!A:J,10,false),"")</f>
        <v/>
      </c>
      <c r="K199" s="4" t="str">
        <f>IFERROR(VLOOKUP(A199,SeparateFamily!A:B,2,false),"")</f>
        <v/>
      </c>
      <c r="L199" s="185"/>
      <c r="N199" s="185"/>
      <c r="P199" s="4" t="str">
        <f>IF(A199&lt;&gt;"",VLOOKUP(A199,Rackfile_combined!$B:$C,2,false),"")</f>
        <v/>
      </c>
    </row>
    <row r="200">
      <c r="A200" s="186"/>
      <c r="B200" s="186"/>
      <c r="C200" s="186"/>
      <c r="D200" s="186"/>
      <c r="E200" s="186"/>
      <c r="F200" s="186"/>
      <c r="G200" s="186"/>
      <c r="H200" s="4"/>
      <c r="I200" s="8"/>
      <c r="J200" s="4" t="str">
        <f>IFERROR(VLOOKUP(A200,VolumeFile_combined!A:J,10,false),"")</f>
        <v/>
      </c>
      <c r="K200" s="4" t="str">
        <f>IFERROR(VLOOKUP(A200,SeparateFamily!A:B,2,false),"")</f>
        <v/>
      </c>
      <c r="L200" s="185"/>
      <c r="N200" s="185"/>
      <c r="P200" s="4" t="str">
        <f>IF(A200&lt;&gt;"",VLOOKUP(A200,Rackfile_combined!$B:$C,2,false),"")</f>
        <v/>
      </c>
    </row>
    <row r="201">
      <c r="A201" s="186"/>
      <c r="B201" s="186"/>
      <c r="C201" s="186"/>
      <c r="D201" s="186"/>
      <c r="E201" s="186"/>
      <c r="F201" s="186"/>
      <c r="G201" s="186"/>
      <c r="H201" s="4"/>
      <c r="I201" s="8"/>
      <c r="J201" s="4" t="str">
        <f>IFERROR(VLOOKUP(A201,VolumeFile_combined!A:J,10,false),"")</f>
        <v/>
      </c>
      <c r="K201" s="4" t="str">
        <f>IFERROR(VLOOKUP(A201,SeparateFamily!A:B,2,false),"")</f>
        <v/>
      </c>
      <c r="L201" s="185"/>
      <c r="N201" s="185"/>
      <c r="P201" s="4" t="str">
        <f>IF(A201&lt;&gt;"",VLOOKUP(A201,Rackfile_combined!$B:$C,2,false),"")</f>
        <v/>
      </c>
    </row>
    <row r="202">
      <c r="A202" s="186"/>
      <c r="B202" s="186"/>
      <c r="C202" s="186"/>
      <c r="D202" s="186"/>
      <c r="E202" s="186"/>
      <c r="F202" s="186"/>
      <c r="G202" s="186"/>
      <c r="H202" s="4"/>
      <c r="I202" s="8"/>
      <c r="J202" s="4" t="str">
        <f>IFERROR(VLOOKUP(A202,VolumeFile_combined!A:J,10,false),"")</f>
        <v/>
      </c>
      <c r="K202" s="4" t="str">
        <f>IFERROR(VLOOKUP(A202,SeparateFamily!A:B,2,false),"")</f>
        <v/>
      </c>
      <c r="L202" s="185"/>
      <c r="N202" s="185"/>
      <c r="P202" s="4" t="str">
        <f>IF(A202&lt;&gt;"",VLOOKUP(A202,Rackfile_combined!$B:$C,2,false),"")</f>
        <v/>
      </c>
    </row>
    <row r="203">
      <c r="A203" s="186"/>
      <c r="B203" s="186"/>
      <c r="C203" s="186"/>
      <c r="D203" s="186"/>
      <c r="E203" s="186"/>
      <c r="F203" s="186"/>
      <c r="G203" s="186"/>
      <c r="H203" s="4"/>
      <c r="I203" s="8"/>
      <c r="J203" s="4" t="str">
        <f>IFERROR(VLOOKUP(A203,VolumeFile_combined!A:J,10,false),"")</f>
        <v/>
      </c>
      <c r="K203" s="4" t="str">
        <f>IFERROR(VLOOKUP(A203,SeparateFamily!A:B,2,false),"")</f>
        <v/>
      </c>
      <c r="L203" s="185"/>
      <c r="N203" s="185"/>
      <c r="P203" s="4" t="str">
        <f>IF(A203&lt;&gt;"",VLOOKUP(A203,Rackfile_combined!$B:$C,2,false),"")</f>
        <v/>
      </c>
    </row>
    <row r="204">
      <c r="A204" s="186"/>
      <c r="B204" s="186"/>
      <c r="C204" s="186"/>
      <c r="D204" s="186"/>
      <c r="E204" s="186"/>
      <c r="F204" s="186"/>
      <c r="G204" s="186"/>
      <c r="H204" s="4"/>
      <c r="I204" s="8"/>
      <c r="J204" s="4" t="str">
        <f>IFERROR(VLOOKUP(A204,VolumeFile_combined!A:J,10,false),"")</f>
        <v/>
      </c>
      <c r="K204" s="4" t="str">
        <f>IFERROR(VLOOKUP(A204,SeparateFamily!A:B,2,false),"")</f>
        <v/>
      </c>
      <c r="L204" s="185"/>
      <c r="N204" s="185"/>
      <c r="P204" s="4" t="str">
        <f>IF(A204&lt;&gt;"",VLOOKUP(A204,Rackfile_combined!$B:$C,2,false),"")</f>
        <v/>
      </c>
    </row>
    <row r="205">
      <c r="A205" s="186"/>
      <c r="B205" s="186"/>
      <c r="C205" s="186"/>
      <c r="D205" s="186"/>
      <c r="E205" s="186"/>
      <c r="F205" s="186"/>
      <c r="G205" s="186"/>
      <c r="H205" s="4"/>
      <c r="I205" s="8"/>
      <c r="J205" s="4" t="str">
        <f>IFERROR(VLOOKUP(A205,VolumeFile_combined!A:J,10,false),"")</f>
        <v/>
      </c>
      <c r="K205" s="4" t="str">
        <f>IFERROR(VLOOKUP(A205,SeparateFamily!A:B,2,false),"")</f>
        <v/>
      </c>
      <c r="L205" s="185"/>
      <c r="N205" s="185"/>
      <c r="P205" s="4" t="str">
        <f>IF(A205&lt;&gt;"",VLOOKUP(A205,Rackfile_combined!$B:$C,2,false),"")</f>
        <v/>
      </c>
    </row>
    <row r="206">
      <c r="A206" s="186"/>
      <c r="B206" s="186"/>
      <c r="C206" s="186"/>
      <c r="D206" s="186"/>
      <c r="E206" s="186"/>
      <c r="F206" s="186"/>
      <c r="G206" s="186"/>
      <c r="H206" s="4"/>
      <c r="I206" s="8"/>
      <c r="J206" s="4" t="str">
        <f>IFERROR(VLOOKUP(A206,VolumeFile_combined!A:J,10,false),"")</f>
        <v/>
      </c>
      <c r="K206" s="4" t="str">
        <f>IFERROR(VLOOKUP(A206,SeparateFamily!A:B,2,false),"")</f>
        <v/>
      </c>
      <c r="L206" s="185"/>
      <c r="N206" s="185"/>
      <c r="P206" s="4" t="str">
        <f>IF(A206&lt;&gt;"",VLOOKUP(A206,Rackfile_combined!$B:$C,2,false),"")</f>
        <v/>
      </c>
    </row>
    <row r="207">
      <c r="A207" s="186"/>
      <c r="B207" s="186"/>
      <c r="C207" s="186"/>
      <c r="D207" s="186"/>
      <c r="E207" s="186"/>
      <c r="F207" s="186"/>
      <c r="G207" s="186"/>
      <c r="H207" s="4"/>
      <c r="I207" s="8"/>
      <c r="J207" s="4" t="str">
        <f>IFERROR(VLOOKUP(A207,VolumeFile_combined!A:J,10,false),"")</f>
        <v/>
      </c>
      <c r="K207" s="4" t="str">
        <f>IFERROR(VLOOKUP(A207,SeparateFamily!A:B,2,false),"")</f>
        <v/>
      </c>
      <c r="L207" s="185"/>
      <c r="N207" s="185"/>
      <c r="P207" s="4" t="str">
        <f>IF(A207&lt;&gt;"",VLOOKUP(A207,Rackfile_combined!$B:$C,2,false),"")</f>
        <v/>
      </c>
    </row>
    <row r="208">
      <c r="A208" s="186"/>
      <c r="B208" s="186"/>
      <c r="C208" s="186"/>
      <c r="D208" s="186"/>
      <c r="E208" s="186"/>
      <c r="F208" s="186"/>
      <c r="G208" s="186"/>
      <c r="H208" s="4"/>
      <c r="I208" s="8"/>
      <c r="J208" s="4" t="str">
        <f>IFERROR(VLOOKUP(A208,VolumeFile_combined!A:J,10,false),"")</f>
        <v/>
      </c>
      <c r="K208" s="4" t="str">
        <f>IFERROR(VLOOKUP(A208,SeparateFamily!A:B,2,false),"")</f>
        <v/>
      </c>
      <c r="L208" s="185"/>
      <c r="N208" s="185"/>
      <c r="P208" s="4" t="str">
        <f>IF(A208&lt;&gt;"",VLOOKUP(A208,Rackfile_combined!$B:$C,2,false),"")</f>
        <v/>
      </c>
    </row>
    <row r="209">
      <c r="A209" s="186"/>
      <c r="B209" s="186"/>
      <c r="C209" s="186"/>
      <c r="D209" s="186"/>
      <c r="E209" s="186"/>
      <c r="F209" s="186"/>
      <c r="G209" s="186"/>
      <c r="H209" s="4"/>
      <c r="I209" s="8"/>
      <c r="J209" s="4" t="str">
        <f>IFERROR(VLOOKUP(A209,VolumeFile_combined!A:J,10,false),"")</f>
        <v/>
      </c>
      <c r="K209" s="4" t="str">
        <f>IFERROR(VLOOKUP(A209,SeparateFamily!A:B,2,false),"")</f>
        <v/>
      </c>
      <c r="L209" s="185"/>
      <c r="N209" s="185"/>
      <c r="P209" s="4" t="str">
        <f>IF(A209&lt;&gt;"",VLOOKUP(A209,Rackfile_combined!$B:$C,2,false),"")</f>
        <v/>
      </c>
    </row>
    <row r="210">
      <c r="A210" s="186"/>
      <c r="B210" s="186"/>
      <c r="C210" s="186"/>
      <c r="D210" s="186"/>
      <c r="E210" s="186"/>
      <c r="F210" s="186"/>
      <c r="G210" s="186"/>
      <c r="H210" s="4"/>
      <c r="I210" s="8"/>
      <c r="J210" s="4" t="str">
        <f>IFERROR(VLOOKUP(A210,VolumeFile_combined!A:J,10,false),"")</f>
        <v/>
      </c>
      <c r="K210" s="4" t="str">
        <f>IFERROR(VLOOKUP(A210,SeparateFamily!A:B,2,false),"")</f>
        <v/>
      </c>
      <c r="L210" s="185"/>
      <c r="N210" s="185"/>
      <c r="P210" s="4" t="str">
        <f>IF(A210&lt;&gt;"",VLOOKUP(A210,Rackfile_combined!$B:$C,2,false),"")</f>
        <v/>
      </c>
    </row>
    <row r="211">
      <c r="A211" s="186"/>
      <c r="B211" s="186"/>
      <c r="C211" s="186"/>
      <c r="D211" s="186"/>
      <c r="E211" s="186"/>
      <c r="F211" s="186"/>
      <c r="G211" s="186"/>
      <c r="H211" s="4"/>
      <c r="I211" s="8"/>
      <c r="J211" s="4" t="str">
        <f>IFERROR(VLOOKUP(A211,VolumeFile_combined!A:J,10,false),"")</f>
        <v/>
      </c>
      <c r="K211" s="4" t="str">
        <f>IFERROR(VLOOKUP(A211,SeparateFamily!A:B,2,false),"")</f>
        <v/>
      </c>
      <c r="L211" s="185"/>
      <c r="N211" s="185"/>
      <c r="P211" s="4" t="str">
        <f>IF(A211&lt;&gt;"",VLOOKUP(A211,Rackfile_combined!$B:$C,2,false),"")</f>
        <v/>
      </c>
    </row>
    <row r="212">
      <c r="A212" s="186"/>
      <c r="B212" s="186"/>
      <c r="C212" s="186"/>
      <c r="D212" s="186"/>
      <c r="E212" s="186"/>
      <c r="F212" s="186"/>
      <c r="G212" s="186"/>
      <c r="H212" s="4"/>
      <c r="I212" s="8"/>
      <c r="J212" s="4" t="str">
        <f>IFERROR(VLOOKUP(A212,VolumeFile_combined!A:J,10,false),"")</f>
        <v/>
      </c>
      <c r="K212" s="4" t="str">
        <f>IFERROR(VLOOKUP(A212,SeparateFamily!A:B,2,false),"")</f>
        <v/>
      </c>
      <c r="L212" s="185"/>
      <c r="N212" s="185"/>
      <c r="P212" s="4" t="str">
        <f>IF(A212&lt;&gt;"",VLOOKUP(A212,Rackfile_combined!$B:$C,2,false),"")</f>
        <v/>
      </c>
    </row>
    <row r="213">
      <c r="A213" s="186"/>
      <c r="B213" s="186"/>
      <c r="C213" s="186"/>
      <c r="D213" s="186"/>
      <c r="E213" s="186"/>
      <c r="F213" s="186"/>
      <c r="G213" s="186"/>
      <c r="H213" s="4"/>
      <c r="I213" s="8"/>
      <c r="J213" s="4" t="str">
        <f>IFERROR(VLOOKUP(A213,VolumeFile_combined!A:J,10,false),"")</f>
        <v/>
      </c>
      <c r="K213" s="4" t="str">
        <f>IFERROR(VLOOKUP(A213,SeparateFamily!A:B,2,false),"")</f>
        <v/>
      </c>
      <c r="L213" s="185"/>
      <c r="N213" s="185"/>
      <c r="P213" s="4" t="str">
        <f>IF(A213&lt;&gt;"",VLOOKUP(A213,Rackfile_combined!$B:$C,2,false),"")</f>
        <v/>
      </c>
    </row>
    <row r="214">
      <c r="A214" s="186"/>
      <c r="B214" s="186"/>
      <c r="C214" s="186"/>
      <c r="D214" s="186"/>
      <c r="E214" s="186"/>
      <c r="F214" s="186"/>
      <c r="G214" s="186"/>
      <c r="H214" s="4"/>
      <c r="I214" s="8"/>
      <c r="J214" s="4" t="str">
        <f>IFERROR(VLOOKUP(A214,VolumeFile_combined!A:J,10,false),"")</f>
        <v/>
      </c>
      <c r="K214" s="4" t="str">
        <f>IFERROR(VLOOKUP(A214,SeparateFamily!A:B,2,false),"")</f>
        <v/>
      </c>
      <c r="L214" s="185"/>
      <c r="N214" s="185"/>
      <c r="P214" s="4" t="str">
        <f>IF(A214&lt;&gt;"",VLOOKUP(A214,Rackfile_combined!$B:$C,2,false),"")</f>
        <v/>
      </c>
    </row>
    <row r="215">
      <c r="A215" s="186"/>
      <c r="B215" s="186"/>
      <c r="C215" s="186"/>
      <c r="D215" s="186"/>
      <c r="E215" s="186"/>
      <c r="F215" s="186"/>
      <c r="G215" s="186"/>
      <c r="H215" s="4"/>
      <c r="I215" s="8"/>
      <c r="J215" s="4" t="str">
        <f>IFERROR(VLOOKUP(A215,VolumeFile_combined!A:J,10,false),"")</f>
        <v/>
      </c>
      <c r="K215" s="4" t="str">
        <f>IFERROR(VLOOKUP(A215,SeparateFamily!A:B,2,false),"")</f>
        <v/>
      </c>
      <c r="L215" s="185"/>
      <c r="N215" s="185"/>
      <c r="P215" s="4" t="str">
        <f>IF(A215&lt;&gt;"",VLOOKUP(A215,Rackfile_combined!$B:$C,2,false),"")</f>
        <v/>
      </c>
    </row>
    <row r="216">
      <c r="A216" s="186"/>
      <c r="B216" s="186"/>
      <c r="C216" s="186"/>
      <c r="D216" s="186"/>
      <c r="E216" s="186"/>
      <c r="F216" s="186"/>
      <c r="G216" s="186"/>
      <c r="H216" s="4"/>
      <c r="I216" s="8"/>
      <c r="J216" s="4" t="str">
        <f>IFERROR(VLOOKUP(A216,VolumeFile_combined!A:J,10,false),"")</f>
        <v/>
      </c>
      <c r="K216" s="4" t="str">
        <f>IFERROR(VLOOKUP(A216,SeparateFamily!A:B,2,false),"")</f>
        <v/>
      </c>
      <c r="L216" s="185"/>
      <c r="N216" s="185"/>
      <c r="P216" s="4" t="str">
        <f>IF(A216&lt;&gt;"",VLOOKUP(A216,Rackfile_combined!$B:$C,2,false),"")</f>
        <v/>
      </c>
    </row>
    <row r="217">
      <c r="A217" s="186"/>
      <c r="B217" s="186"/>
      <c r="C217" s="186"/>
      <c r="D217" s="186"/>
      <c r="E217" s="186"/>
      <c r="F217" s="186"/>
      <c r="G217" s="186"/>
      <c r="H217" s="4"/>
      <c r="I217" s="8"/>
      <c r="J217" s="4" t="str">
        <f>IFERROR(VLOOKUP(A217,VolumeFile_combined!A:J,10,false),"")</f>
        <v/>
      </c>
      <c r="K217" s="4" t="str">
        <f>IFERROR(VLOOKUP(A217,SeparateFamily!A:B,2,false),"")</f>
        <v/>
      </c>
      <c r="L217" s="185"/>
      <c r="N217" s="185"/>
      <c r="P217" s="4" t="str">
        <f>IF(A217&lt;&gt;"",VLOOKUP(A217,Rackfile_combined!$B:$C,2,false),"")</f>
        <v/>
      </c>
    </row>
    <row r="218">
      <c r="A218" s="186"/>
      <c r="B218" s="186"/>
      <c r="C218" s="186"/>
      <c r="D218" s="186"/>
      <c r="E218" s="186"/>
      <c r="F218" s="186"/>
      <c r="G218" s="186"/>
      <c r="H218" s="4"/>
      <c r="I218" s="8"/>
      <c r="J218" s="4" t="str">
        <f>IFERROR(VLOOKUP(A218,VolumeFile_combined!A:J,10,false),"")</f>
        <v/>
      </c>
      <c r="K218" s="4" t="str">
        <f>IFERROR(VLOOKUP(A218,SeparateFamily!A:B,2,false),"")</f>
        <v/>
      </c>
      <c r="L218" s="185"/>
      <c r="N218" s="185"/>
      <c r="P218" s="4" t="str">
        <f>IF(A218&lt;&gt;"",VLOOKUP(A218,Rackfile_combined!$B:$C,2,false),"")</f>
        <v/>
      </c>
    </row>
    <row r="219">
      <c r="A219" s="186"/>
      <c r="B219" s="186"/>
      <c r="C219" s="186"/>
      <c r="D219" s="186"/>
      <c r="E219" s="186"/>
      <c r="F219" s="186"/>
      <c r="G219" s="186"/>
      <c r="H219" s="4"/>
      <c r="I219" s="8"/>
      <c r="J219" s="4" t="str">
        <f>IFERROR(VLOOKUP(A219,VolumeFile_combined!A:J,10,false),"")</f>
        <v/>
      </c>
      <c r="K219" s="4" t="str">
        <f>IFERROR(VLOOKUP(A219,SeparateFamily!A:B,2,false),"")</f>
        <v/>
      </c>
      <c r="L219" s="185"/>
      <c r="N219" s="185"/>
      <c r="P219" s="4" t="str">
        <f>IF(A219&lt;&gt;"",VLOOKUP(A219,Rackfile_combined!$B:$C,2,false),"")</f>
        <v/>
      </c>
    </row>
    <row r="220">
      <c r="A220" s="186"/>
      <c r="B220" s="186"/>
      <c r="C220" s="186"/>
      <c r="D220" s="186"/>
      <c r="E220" s="186"/>
      <c r="F220" s="186"/>
      <c r="G220" s="186"/>
      <c r="H220" s="4"/>
      <c r="I220" s="8"/>
      <c r="J220" s="4" t="str">
        <f>IFERROR(VLOOKUP(A220,VolumeFile_combined!A:J,10,false),"")</f>
        <v/>
      </c>
      <c r="K220" s="4" t="str">
        <f>IFERROR(VLOOKUP(A220,SeparateFamily!A:B,2,false),"")</f>
        <v/>
      </c>
      <c r="L220" s="185"/>
      <c r="N220" s="185"/>
      <c r="P220" s="4" t="str">
        <f>IF(A220&lt;&gt;"",VLOOKUP(A220,Rackfile_combined!$B:$C,2,false),"")</f>
        <v/>
      </c>
    </row>
    <row r="221">
      <c r="A221" s="186"/>
      <c r="B221" s="186"/>
      <c r="C221" s="186"/>
      <c r="D221" s="186"/>
      <c r="E221" s="186"/>
      <c r="F221" s="186"/>
      <c r="G221" s="186"/>
      <c r="H221" s="4"/>
      <c r="I221" s="8"/>
      <c r="J221" s="4" t="str">
        <f>IFERROR(VLOOKUP(A221,VolumeFile_combined!A:J,10,false),"")</f>
        <v/>
      </c>
      <c r="K221" s="4" t="str">
        <f>IFERROR(VLOOKUP(A221,SeparateFamily!A:B,2,false),"")</f>
        <v/>
      </c>
      <c r="L221" s="185"/>
      <c r="N221" s="185"/>
      <c r="P221" s="4" t="str">
        <f>IF(A221&lt;&gt;"",VLOOKUP(A221,Rackfile_combined!$B:$C,2,false),"")</f>
        <v/>
      </c>
    </row>
    <row r="222">
      <c r="A222" s="186"/>
      <c r="B222" s="186"/>
      <c r="C222" s="186"/>
      <c r="D222" s="186"/>
      <c r="E222" s="186"/>
      <c r="F222" s="186"/>
      <c r="G222" s="186"/>
      <c r="H222" s="4"/>
      <c r="I222" s="8"/>
      <c r="J222" s="4" t="str">
        <f>IFERROR(VLOOKUP(A222,VolumeFile_combined!A:J,10,false),"")</f>
        <v/>
      </c>
      <c r="K222" s="4" t="str">
        <f>IFERROR(VLOOKUP(A222,SeparateFamily!A:B,2,false),"")</f>
        <v/>
      </c>
      <c r="L222" s="185"/>
      <c r="N222" s="185"/>
      <c r="P222" s="4" t="str">
        <f>IF(A222&lt;&gt;"",VLOOKUP(A222,Rackfile_combined!$B:$C,2,false),"")</f>
        <v/>
      </c>
    </row>
    <row r="223">
      <c r="A223" s="186"/>
      <c r="B223" s="186"/>
      <c r="C223" s="186"/>
      <c r="D223" s="186"/>
      <c r="E223" s="186"/>
      <c r="F223" s="186"/>
      <c r="G223" s="186"/>
      <c r="H223" s="4"/>
      <c r="I223" s="8"/>
      <c r="J223" s="4" t="str">
        <f>IFERROR(VLOOKUP(A223,VolumeFile_combined!A:J,10,false),"")</f>
        <v/>
      </c>
      <c r="K223" s="4" t="str">
        <f>IFERROR(VLOOKUP(A223,SeparateFamily!A:B,2,false),"")</f>
        <v/>
      </c>
      <c r="L223" s="185"/>
      <c r="N223" s="185"/>
      <c r="P223" s="4" t="str">
        <f>IF(A223&lt;&gt;"",VLOOKUP(A223,Rackfile_combined!$B:$C,2,false),"")</f>
        <v/>
      </c>
    </row>
    <row r="224">
      <c r="A224" s="186"/>
      <c r="B224" s="186"/>
      <c r="C224" s="186"/>
      <c r="D224" s="186"/>
      <c r="E224" s="186"/>
      <c r="F224" s="186"/>
      <c r="G224" s="186"/>
      <c r="H224" s="4"/>
      <c r="I224" s="8"/>
      <c r="J224" s="4" t="str">
        <f>IFERROR(VLOOKUP(A224,VolumeFile_combined!A:J,10,false),"")</f>
        <v/>
      </c>
      <c r="K224" s="4" t="str">
        <f>IFERROR(VLOOKUP(A224,SeparateFamily!A:B,2,false),"")</f>
        <v/>
      </c>
      <c r="L224" s="185"/>
      <c r="N224" s="185"/>
      <c r="P224" s="4" t="str">
        <f>IF(A224&lt;&gt;"",VLOOKUP(A224,Rackfile_combined!$B:$C,2,false),"")</f>
        <v/>
      </c>
    </row>
    <row r="225">
      <c r="A225" s="186"/>
      <c r="B225" s="186"/>
      <c r="C225" s="186"/>
      <c r="D225" s="186"/>
      <c r="E225" s="186"/>
      <c r="F225" s="186"/>
      <c r="G225" s="186"/>
      <c r="H225" s="4"/>
      <c r="I225" s="8"/>
      <c r="J225" s="4" t="str">
        <f>IFERROR(VLOOKUP(A225,VolumeFile_combined!A:J,10,false),"")</f>
        <v/>
      </c>
      <c r="K225" s="4" t="str">
        <f>IFERROR(VLOOKUP(A225,SeparateFamily!A:B,2,false),"")</f>
        <v/>
      </c>
      <c r="L225" s="185"/>
      <c r="N225" s="185"/>
      <c r="P225" s="4" t="str">
        <f>IF(A225&lt;&gt;"",VLOOKUP(A225,Rackfile_combined!$B:$C,2,false),"")</f>
        <v/>
      </c>
    </row>
    <row r="226">
      <c r="A226" s="186"/>
      <c r="B226" s="186"/>
      <c r="C226" s="186"/>
      <c r="D226" s="186"/>
      <c r="E226" s="186"/>
      <c r="F226" s="186"/>
      <c r="G226" s="186"/>
      <c r="H226" s="4"/>
      <c r="I226" s="8"/>
      <c r="J226" s="4" t="str">
        <f>IFERROR(VLOOKUP(A226,VolumeFile_combined!A:J,10,false),"")</f>
        <v/>
      </c>
      <c r="K226" s="4" t="str">
        <f>IFERROR(VLOOKUP(A226,SeparateFamily!A:B,2,false),"")</f>
        <v/>
      </c>
      <c r="L226" s="185"/>
      <c r="N226" s="185"/>
      <c r="P226" s="4" t="str">
        <f>IF(A226&lt;&gt;"",VLOOKUP(A226,Rackfile_combined!$B:$C,2,false),"")</f>
        <v/>
      </c>
    </row>
    <row r="227">
      <c r="A227" s="186"/>
      <c r="B227" s="186"/>
      <c r="C227" s="186"/>
      <c r="D227" s="186"/>
      <c r="E227" s="186"/>
      <c r="F227" s="186"/>
      <c r="G227" s="186"/>
      <c r="H227" s="4"/>
      <c r="I227" s="8"/>
      <c r="J227" s="4" t="str">
        <f>IFERROR(VLOOKUP(A227,VolumeFile_combined!A:J,10,false),"")</f>
        <v/>
      </c>
      <c r="K227" s="4" t="str">
        <f>IFERROR(VLOOKUP(A227,SeparateFamily!A:B,2,false),"")</f>
        <v/>
      </c>
      <c r="L227" s="185"/>
      <c r="N227" s="185"/>
      <c r="P227" s="4" t="str">
        <f>IF(A227&lt;&gt;"",VLOOKUP(A227,Rackfile_combined!$B:$C,2,false),"")</f>
        <v/>
      </c>
    </row>
    <row r="228">
      <c r="A228" s="186"/>
      <c r="B228" s="186"/>
      <c r="C228" s="186"/>
      <c r="D228" s="186"/>
      <c r="E228" s="186"/>
      <c r="F228" s="186"/>
      <c r="G228" s="186"/>
      <c r="H228" s="4"/>
      <c r="I228" s="8"/>
      <c r="J228" s="4" t="str">
        <f>IFERROR(VLOOKUP(A228,VolumeFile_combined!A:J,10,false),"")</f>
        <v/>
      </c>
      <c r="K228" s="4" t="str">
        <f>IFERROR(VLOOKUP(A228,SeparateFamily!A:B,2,false),"")</f>
        <v/>
      </c>
      <c r="L228" s="185"/>
      <c r="N228" s="185"/>
      <c r="P228" s="4" t="str">
        <f>IF(A228&lt;&gt;"",VLOOKUP(A228,Rackfile_combined!$B:$C,2,false),"")</f>
        <v/>
      </c>
    </row>
    <row r="229">
      <c r="A229" s="186"/>
      <c r="B229" s="186"/>
      <c r="C229" s="186"/>
      <c r="D229" s="186"/>
      <c r="E229" s="186"/>
      <c r="F229" s="186"/>
      <c r="G229" s="186"/>
      <c r="H229" s="4"/>
      <c r="I229" s="8"/>
      <c r="J229" s="4" t="str">
        <f>IFERROR(VLOOKUP(A229,VolumeFile_combined!A:J,10,false),"")</f>
        <v/>
      </c>
      <c r="K229" s="4" t="str">
        <f>IFERROR(VLOOKUP(A229,SeparateFamily!A:B,2,false),"")</f>
        <v/>
      </c>
      <c r="L229" s="185"/>
      <c r="N229" s="185"/>
      <c r="P229" s="4" t="str">
        <f>IF(A229&lt;&gt;"",VLOOKUP(A229,Rackfile_combined!$B:$C,2,false),"")</f>
        <v/>
      </c>
    </row>
    <row r="230">
      <c r="A230" s="186"/>
      <c r="B230" s="186"/>
      <c r="C230" s="186"/>
      <c r="D230" s="186"/>
      <c r="E230" s="186"/>
      <c r="F230" s="186"/>
      <c r="G230" s="186"/>
      <c r="H230" s="4"/>
      <c r="I230" s="8"/>
      <c r="J230" s="4" t="str">
        <f>IFERROR(VLOOKUP(A230,VolumeFile_combined!A:J,10,false),"")</f>
        <v/>
      </c>
      <c r="K230" s="4" t="str">
        <f>IFERROR(VLOOKUP(A230,SeparateFamily!A:B,2,false),"")</f>
        <v/>
      </c>
      <c r="L230" s="185"/>
      <c r="N230" s="185"/>
      <c r="P230" s="4" t="str">
        <f>IF(A230&lt;&gt;"",VLOOKUP(A230,Rackfile_combined!$B:$C,2,false),"")</f>
        <v/>
      </c>
    </row>
    <row r="231">
      <c r="A231" s="186"/>
      <c r="B231" s="186"/>
      <c r="C231" s="186"/>
      <c r="D231" s="186"/>
      <c r="E231" s="186"/>
      <c r="F231" s="186"/>
      <c r="G231" s="186"/>
      <c r="H231" s="4"/>
      <c r="I231" s="8"/>
      <c r="J231" s="4" t="str">
        <f>IFERROR(VLOOKUP(A231,VolumeFile_combined!A:J,10,false),"")</f>
        <v/>
      </c>
      <c r="K231" s="4" t="str">
        <f>IFERROR(VLOOKUP(A231,SeparateFamily!A:B,2,false),"")</f>
        <v/>
      </c>
      <c r="L231" s="185"/>
      <c r="N231" s="185"/>
      <c r="P231" s="4" t="str">
        <f>IF(A231&lt;&gt;"",VLOOKUP(A231,Rackfile_combined!$B:$C,2,false),"")</f>
        <v/>
      </c>
    </row>
    <row r="232">
      <c r="A232" s="186"/>
      <c r="B232" s="186"/>
      <c r="C232" s="186"/>
      <c r="D232" s="186"/>
      <c r="E232" s="186"/>
      <c r="F232" s="186"/>
      <c r="G232" s="186"/>
      <c r="H232" s="186"/>
      <c r="I232" s="186"/>
      <c r="L232" s="185"/>
      <c r="N232" s="185"/>
      <c r="P232" s="4" t="str">
        <f>IF(A232&lt;&gt;"",VLOOKUP(A232,Rackfile_combined!$B:$C,2,false),"")</f>
        <v/>
      </c>
    </row>
    <row r="233">
      <c r="A233" s="186"/>
      <c r="B233" s="186"/>
      <c r="C233" s="186"/>
      <c r="D233" s="186"/>
      <c r="E233" s="186"/>
      <c r="F233" s="186"/>
      <c r="G233" s="186"/>
      <c r="H233" s="186"/>
      <c r="I233" s="186"/>
      <c r="L233" s="185"/>
      <c r="N233" s="185"/>
      <c r="P233" s="4" t="str">
        <f>IF(A233&lt;&gt;"",VLOOKUP(A233,Rackfile_combined!$B:$C,2,false),"")</f>
        <v/>
      </c>
    </row>
    <row r="234">
      <c r="A234" s="186"/>
      <c r="B234" s="186"/>
      <c r="C234" s="186"/>
      <c r="D234" s="186"/>
      <c r="E234" s="186"/>
      <c r="F234" s="186"/>
      <c r="G234" s="186"/>
      <c r="H234" s="186"/>
      <c r="I234" s="186"/>
      <c r="L234" s="185"/>
      <c r="N234" s="185"/>
      <c r="P234" s="4" t="str">
        <f>IF(A234&lt;&gt;"",VLOOKUP(A234,Rackfile_combined!$B:$C,2,false),"")</f>
        <v/>
      </c>
    </row>
    <row r="235">
      <c r="A235" s="186"/>
      <c r="B235" s="186"/>
      <c r="C235" s="186"/>
      <c r="D235" s="186"/>
      <c r="E235" s="186"/>
      <c r="F235" s="186"/>
      <c r="G235" s="186"/>
      <c r="H235" s="186"/>
      <c r="I235" s="186"/>
      <c r="L235" s="185"/>
      <c r="N235" s="185"/>
      <c r="P235" s="4" t="str">
        <f>IF(A235&lt;&gt;"",VLOOKUP(A235,Rackfile_combined!$B:$C,2,false),"")</f>
        <v/>
      </c>
    </row>
    <row r="236">
      <c r="A236" s="186"/>
      <c r="B236" s="186"/>
      <c r="C236" s="186"/>
      <c r="D236" s="186"/>
      <c r="E236" s="186"/>
      <c r="F236" s="186"/>
      <c r="G236" s="186"/>
      <c r="H236" s="186"/>
      <c r="I236" s="186"/>
      <c r="L236" s="185"/>
      <c r="N236" s="185"/>
      <c r="P236" s="4" t="str">
        <f>IF(A236&lt;&gt;"",VLOOKUP(A236,Rackfile_combined!$B:$C,2,false),"")</f>
        <v/>
      </c>
    </row>
    <row r="237">
      <c r="A237" s="186"/>
      <c r="B237" s="186"/>
      <c r="C237" s="186"/>
      <c r="D237" s="186"/>
      <c r="E237" s="186"/>
      <c r="F237" s="186"/>
      <c r="G237" s="186"/>
      <c r="H237" s="186"/>
      <c r="I237" s="186"/>
      <c r="L237" s="185"/>
      <c r="N237" s="185"/>
      <c r="P237" s="4" t="str">
        <f>IF(A237&lt;&gt;"",VLOOKUP(A237,Rackfile_combined!$B:$C,2,false),"")</f>
        <v/>
      </c>
    </row>
    <row r="238">
      <c r="A238" s="186"/>
      <c r="B238" s="186"/>
      <c r="C238" s="186"/>
      <c r="D238" s="186"/>
      <c r="E238" s="186"/>
      <c r="F238" s="186"/>
      <c r="G238" s="186"/>
      <c r="H238" s="186"/>
      <c r="I238" s="186"/>
      <c r="L238" s="185"/>
      <c r="N238" s="185"/>
      <c r="P238" s="4" t="str">
        <f>IF(A238&lt;&gt;"",VLOOKUP(A238,Rackfile_combined!$B:$C,2,false),"")</f>
        <v/>
      </c>
    </row>
    <row r="239">
      <c r="A239" s="186"/>
      <c r="B239" s="186"/>
      <c r="C239" s="186"/>
      <c r="D239" s="186"/>
      <c r="E239" s="186"/>
      <c r="F239" s="186"/>
      <c r="G239" s="186"/>
      <c r="H239" s="186"/>
      <c r="I239" s="186"/>
      <c r="L239" s="185"/>
      <c r="N239" s="185"/>
      <c r="P239" s="4" t="str">
        <f>IF(A239&lt;&gt;"",VLOOKUP(A239,Rackfile_combined!$B:$C,2,false),"")</f>
        <v/>
      </c>
    </row>
    <row r="240">
      <c r="A240" s="186"/>
      <c r="B240" s="186"/>
      <c r="C240" s="186"/>
      <c r="D240" s="186"/>
      <c r="E240" s="186"/>
      <c r="F240" s="186"/>
      <c r="G240" s="186"/>
      <c r="H240" s="186"/>
      <c r="I240" s="186"/>
      <c r="L240" s="185"/>
      <c r="N240" s="185"/>
      <c r="P240" s="4" t="str">
        <f>IF(A240&lt;&gt;"",VLOOKUP(A240,Rackfile_combined!$B:$C,2,false),"")</f>
        <v/>
      </c>
    </row>
    <row r="241">
      <c r="A241" s="186"/>
      <c r="B241" s="186"/>
      <c r="C241" s="186"/>
      <c r="D241" s="186"/>
      <c r="E241" s="186"/>
      <c r="F241" s="186"/>
      <c r="G241" s="186"/>
      <c r="H241" s="186"/>
      <c r="I241" s="186"/>
      <c r="L241" s="185"/>
      <c r="N241" s="185"/>
      <c r="P241" s="4" t="str">
        <f>IF(A241&lt;&gt;"",VLOOKUP(A241,Rackfile_combined!$B:$C,2,false),"")</f>
        <v/>
      </c>
    </row>
    <row r="242">
      <c r="A242" s="186"/>
      <c r="B242" s="186"/>
      <c r="C242" s="186"/>
      <c r="D242" s="186"/>
      <c r="E242" s="186"/>
      <c r="F242" s="186"/>
      <c r="G242" s="186"/>
      <c r="H242" s="186"/>
      <c r="I242" s="186"/>
      <c r="L242" s="185"/>
      <c r="N242" s="185"/>
      <c r="P242" s="4" t="str">
        <f>IF(A242&lt;&gt;"",VLOOKUP(A242,Rackfile_combined!$B:$C,2,false),"")</f>
        <v/>
      </c>
    </row>
    <row r="243">
      <c r="A243" s="186"/>
      <c r="B243" s="186"/>
      <c r="C243" s="186"/>
      <c r="D243" s="186"/>
      <c r="E243" s="186"/>
      <c r="F243" s="186"/>
      <c r="G243" s="186"/>
      <c r="H243" s="186"/>
      <c r="I243" s="186"/>
      <c r="L243" s="185"/>
      <c r="N243" s="185"/>
      <c r="P243" s="4" t="str">
        <f>IF(A243&lt;&gt;"",VLOOKUP(A243,Rackfile_combined!$B:$C,2,false),"")</f>
        <v/>
      </c>
    </row>
    <row r="244">
      <c r="A244" s="186"/>
      <c r="B244" s="186"/>
      <c r="C244" s="186"/>
      <c r="D244" s="186"/>
      <c r="E244" s="186"/>
      <c r="F244" s="186"/>
      <c r="G244" s="186"/>
      <c r="H244" s="186"/>
      <c r="I244" s="186"/>
      <c r="L244" s="185"/>
      <c r="N244" s="185"/>
      <c r="P244" s="4" t="str">
        <f>IF(A244&lt;&gt;"",VLOOKUP(A244,Rackfile_combined!$B:$C,2,false),"")</f>
        <v/>
      </c>
    </row>
    <row r="245">
      <c r="A245" s="186"/>
      <c r="B245" s="186"/>
      <c r="C245" s="186"/>
      <c r="D245" s="186"/>
      <c r="E245" s="186"/>
      <c r="F245" s="186"/>
      <c r="G245" s="186"/>
      <c r="H245" s="186"/>
      <c r="I245" s="186"/>
      <c r="L245" s="185"/>
      <c r="N245" s="185"/>
      <c r="P245" s="4" t="str">
        <f>IF(A245&lt;&gt;"",VLOOKUP(A245,Rackfile_combined!$B:$C,2,false),"")</f>
        <v/>
      </c>
    </row>
    <row r="246">
      <c r="A246" s="186"/>
      <c r="B246" s="186"/>
      <c r="C246" s="186"/>
      <c r="D246" s="186"/>
      <c r="E246" s="186"/>
      <c r="F246" s="186"/>
      <c r="G246" s="186"/>
      <c r="H246" s="186"/>
      <c r="I246" s="186"/>
      <c r="L246" s="185"/>
      <c r="N246" s="185"/>
      <c r="P246" s="4" t="str">
        <f>IF(A246&lt;&gt;"",VLOOKUP(A246,Rackfile_combined!$B:$C,2,false),"")</f>
        <v/>
      </c>
    </row>
    <row r="247">
      <c r="A247" s="186"/>
      <c r="B247" s="186"/>
      <c r="C247" s="186"/>
      <c r="D247" s="186"/>
      <c r="E247" s="186"/>
      <c r="F247" s="186"/>
      <c r="G247" s="186"/>
      <c r="H247" s="186"/>
      <c r="I247" s="186"/>
      <c r="L247" s="185"/>
      <c r="N247" s="185"/>
      <c r="P247" s="4" t="str">
        <f>IF(A247&lt;&gt;"",VLOOKUP(A247,Rackfile_combined!$B:$C,2,false),"")</f>
        <v/>
      </c>
    </row>
    <row r="248">
      <c r="A248" s="186"/>
      <c r="B248" s="186"/>
      <c r="C248" s="186"/>
      <c r="D248" s="186"/>
      <c r="E248" s="186"/>
      <c r="F248" s="186"/>
      <c r="G248" s="186"/>
      <c r="H248" s="186"/>
      <c r="I248" s="186"/>
      <c r="L248" s="185"/>
      <c r="N248" s="185"/>
      <c r="P248" s="4" t="str">
        <f>IF(A248&lt;&gt;"",VLOOKUP(A248,Rackfile_combined!$B:$C,2,false),"")</f>
        <v/>
      </c>
    </row>
    <row r="249">
      <c r="A249" s="186"/>
      <c r="B249" s="186"/>
      <c r="C249" s="186"/>
      <c r="D249" s="186"/>
      <c r="E249" s="186"/>
      <c r="F249" s="186"/>
      <c r="G249" s="186"/>
      <c r="H249" s="186"/>
      <c r="I249" s="186"/>
      <c r="L249" s="185"/>
      <c r="N249" s="185"/>
      <c r="P249" s="4" t="str">
        <f>IF(A249&lt;&gt;"",VLOOKUP(A249,Rackfile_combined!$B:$C,2,false),"")</f>
        <v/>
      </c>
    </row>
    <row r="250">
      <c r="A250" s="186"/>
      <c r="B250" s="186"/>
      <c r="C250" s="186"/>
      <c r="D250" s="186"/>
      <c r="E250" s="186"/>
      <c r="F250" s="186"/>
      <c r="G250" s="186"/>
      <c r="H250" s="186"/>
      <c r="I250" s="186"/>
      <c r="L250" s="185"/>
      <c r="N250" s="185"/>
      <c r="P250" s="4" t="str">
        <f>IF(A250&lt;&gt;"",VLOOKUP(A250,Rackfile_combined!$B:$C,2,false),"")</f>
        <v/>
      </c>
    </row>
    <row r="251">
      <c r="A251" s="186"/>
      <c r="B251" s="186"/>
      <c r="C251" s="186"/>
      <c r="D251" s="186"/>
      <c r="E251" s="186"/>
      <c r="F251" s="186"/>
      <c r="G251" s="186"/>
      <c r="H251" s="186"/>
      <c r="I251" s="186"/>
      <c r="L251" s="185"/>
      <c r="N251" s="185"/>
      <c r="P251" s="4" t="str">
        <f>IF(A251&lt;&gt;"",VLOOKUP(A251,Rackfile_combined!$B:$C,2,false),"")</f>
        <v/>
      </c>
    </row>
    <row r="252">
      <c r="A252" s="186"/>
      <c r="B252" s="186"/>
      <c r="C252" s="186"/>
      <c r="D252" s="186"/>
      <c r="E252" s="186"/>
      <c r="F252" s="186"/>
      <c r="G252" s="186"/>
      <c r="H252" s="186"/>
      <c r="I252" s="186"/>
      <c r="L252" s="185"/>
      <c r="N252" s="185"/>
      <c r="P252" s="4" t="str">
        <f>IF(A252&lt;&gt;"",VLOOKUP(A252,Rackfile_combined!$B:$C,2,false),"")</f>
        <v/>
      </c>
    </row>
    <row r="253">
      <c r="A253" s="186"/>
      <c r="B253" s="186"/>
      <c r="C253" s="186"/>
      <c r="D253" s="186"/>
      <c r="E253" s="186"/>
      <c r="F253" s="186"/>
      <c r="G253" s="186"/>
      <c r="H253" s="186"/>
      <c r="I253" s="186"/>
      <c r="L253" s="185"/>
      <c r="N253" s="185"/>
      <c r="P253" s="4" t="str">
        <f>IF(A253&lt;&gt;"",VLOOKUP(A253,Rackfile_combined!$B:$C,2,false),"")</f>
        <v/>
      </c>
    </row>
    <row r="254">
      <c r="A254" s="186"/>
      <c r="B254" s="186"/>
      <c r="C254" s="186"/>
      <c r="D254" s="186"/>
      <c r="E254" s="186"/>
      <c r="F254" s="186"/>
      <c r="G254" s="186"/>
      <c r="H254" s="186"/>
      <c r="I254" s="186"/>
      <c r="L254" s="185"/>
      <c r="N254" s="185"/>
      <c r="P254" s="4" t="str">
        <f>IF(A254&lt;&gt;"",VLOOKUP(A254,Rackfile_combined!$B:$C,2,false),"")</f>
        <v/>
      </c>
    </row>
    <row r="255">
      <c r="A255" s="186"/>
      <c r="B255" s="186"/>
      <c r="C255" s="186"/>
      <c r="D255" s="186"/>
      <c r="E255" s="186"/>
      <c r="F255" s="186"/>
      <c r="G255" s="186"/>
      <c r="H255" s="186"/>
      <c r="I255" s="186"/>
      <c r="L255" s="185"/>
      <c r="N255" s="185"/>
      <c r="P255" s="4" t="str">
        <f>IF(A255&lt;&gt;"",VLOOKUP(A255,Rackfile_combined!$B:$C,2,false),"")</f>
        <v/>
      </c>
    </row>
    <row r="256">
      <c r="A256" s="186"/>
      <c r="B256" s="186"/>
      <c r="C256" s="186"/>
      <c r="D256" s="186"/>
      <c r="E256" s="186"/>
      <c r="F256" s="186"/>
      <c r="G256" s="186"/>
      <c r="H256" s="186"/>
      <c r="I256" s="186"/>
      <c r="L256" s="185"/>
      <c r="N256" s="185"/>
      <c r="P256" s="4" t="str">
        <f>IF(A256&lt;&gt;"",VLOOKUP(A256,Rackfile_combined!$B:$C,2,false),"")</f>
        <v/>
      </c>
    </row>
    <row r="257">
      <c r="A257" s="186"/>
      <c r="B257" s="186"/>
      <c r="C257" s="186"/>
      <c r="D257" s="186"/>
      <c r="E257" s="186"/>
      <c r="F257" s="186"/>
      <c r="G257" s="186"/>
      <c r="H257" s="186"/>
      <c r="I257" s="186"/>
      <c r="L257" s="185"/>
      <c r="N257" s="185"/>
      <c r="P257" s="4" t="str">
        <f>IF(A257&lt;&gt;"",VLOOKUP(A257,Rackfile_combined!$B:$C,2,false),"")</f>
        <v/>
      </c>
    </row>
    <row r="258">
      <c r="A258" s="186"/>
      <c r="B258" s="186"/>
      <c r="C258" s="186"/>
      <c r="D258" s="186"/>
      <c r="E258" s="186"/>
      <c r="F258" s="186"/>
      <c r="G258" s="186"/>
      <c r="H258" s="186"/>
      <c r="I258" s="186"/>
      <c r="L258" s="185"/>
      <c r="N258" s="185"/>
      <c r="P258" s="4" t="str">
        <f>IF(A258&lt;&gt;"",VLOOKUP(A258,Rackfile_combined!$B:$C,2,false),"")</f>
        <v/>
      </c>
    </row>
    <row r="259">
      <c r="A259" s="186"/>
      <c r="B259" s="186"/>
      <c r="C259" s="186"/>
      <c r="D259" s="186"/>
      <c r="E259" s="186"/>
      <c r="F259" s="186"/>
      <c r="G259" s="186"/>
      <c r="H259" s="186"/>
      <c r="I259" s="186"/>
      <c r="L259" s="185"/>
      <c r="N259" s="185"/>
      <c r="P259" s="4" t="str">
        <f>IF(A259&lt;&gt;"",VLOOKUP(A259,Rackfile_combined!$B:$C,2,false),"")</f>
        <v/>
      </c>
    </row>
    <row r="260">
      <c r="A260" s="186"/>
      <c r="B260" s="186"/>
      <c r="C260" s="186"/>
      <c r="D260" s="186"/>
      <c r="E260" s="186"/>
      <c r="F260" s="186"/>
      <c r="G260" s="186"/>
      <c r="H260" s="186"/>
      <c r="I260" s="186"/>
      <c r="L260" s="185"/>
      <c r="N260" s="185"/>
      <c r="P260" s="4" t="str">
        <f>IF(A260&lt;&gt;"",VLOOKUP(A260,Rackfile_combined!$B:$C,2,false),"")</f>
        <v/>
      </c>
    </row>
    <row r="261">
      <c r="A261" s="186"/>
      <c r="B261" s="186"/>
      <c r="C261" s="186"/>
      <c r="D261" s="186"/>
      <c r="E261" s="186"/>
      <c r="F261" s="186"/>
      <c r="G261" s="186"/>
      <c r="H261" s="186"/>
      <c r="I261" s="186"/>
      <c r="L261" s="185"/>
      <c r="N261" s="185"/>
      <c r="P261" s="4" t="str">
        <f>IF(A261&lt;&gt;"",VLOOKUP(A261,Rackfile_combined!$B:$C,2,false),"")</f>
        <v/>
      </c>
    </row>
    <row r="262">
      <c r="A262" s="186"/>
      <c r="B262" s="186"/>
      <c r="C262" s="186"/>
      <c r="D262" s="186"/>
      <c r="E262" s="186"/>
      <c r="F262" s="186"/>
      <c r="G262" s="186"/>
      <c r="H262" s="186"/>
      <c r="I262" s="186"/>
      <c r="L262" s="185"/>
      <c r="N262" s="185"/>
      <c r="P262" s="4" t="str">
        <f>IF(A262&lt;&gt;"",VLOOKUP(A262,Rackfile_combined!$B:$C,2,false),"")</f>
        <v/>
      </c>
    </row>
    <row r="263">
      <c r="A263" s="186"/>
      <c r="B263" s="186"/>
      <c r="C263" s="186"/>
      <c r="D263" s="186"/>
      <c r="E263" s="186"/>
      <c r="F263" s="186"/>
      <c r="G263" s="186"/>
      <c r="H263" s="186"/>
      <c r="I263" s="186"/>
      <c r="L263" s="185"/>
      <c r="N263" s="185"/>
      <c r="P263" s="4" t="str">
        <f>IF(A263&lt;&gt;"",VLOOKUP(A263,Rackfile_combined!$B:$C,2,false),"")</f>
        <v/>
      </c>
    </row>
    <row r="264">
      <c r="A264" s="186"/>
      <c r="B264" s="186"/>
      <c r="C264" s="186"/>
      <c r="D264" s="186"/>
      <c r="E264" s="186"/>
      <c r="F264" s="186"/>
      <c r="G264" s="186"/>
      <c r="H264" s="186"/>
      <c r="I264" s="186"/>
      <c r="L264" s="185"/>
      <c r="N264" s="185"/>
      <c r="P264" s="4" t="str">
        <f>IF(A264&lt;&gt;"",VLOOKUP(A264,Rackfile_combined!$B:$C,2,false),"")</f>
        <v/>
      </c>
    </row>
    <row r="265">
      <c r="A265" s="186"/>
      <c r="B265" s="186"/>
      <c r="C265" s="186"/>
      <c r="D265" s="186"/>
      <c r="E265" s="186"/>
      <c r="F265" s="186"/>
      <c r="G265" s="186"/>
      <c r="H265" s="186"/>
      <c r="I265" s="186"/>
      <c r="L265" s="185"/>
      <c r="N265" s="185"/>
      <c r="P265" s="4" t="str">
        <f>IF(A265&lt;&gt;"",VLOOKUP(A265,Rackfile_combined!$B:$C,2,false),"")</f>
        <v/>
      </c>
    </row>
    <row r="266">
      <c r="A266" s="186"/>
      <c r="B266" s="186"/>
      <c r="C266" s="186"/>
      <c r="D266" s="186"/>
      <c r="E266" s="186"/>
      <c r="F266" s="186"/>
      <c r="G266" s="186"/>
      <c r="H266" s="186"/>
      <c r="I266" s="186"/>
      <c r="L266" s="185"/>
      <c r="N266" s="185"/>
      <c r="P266" s="4" t="str">
        <f>IF(A266&lt;&gt;"",VLOOKUP(A266,Rackfile_combined!$B:$C,2,false),"")</f>
        <v/>
      </c>
    </row>
    <row r="267">
      <c r="A267" s="186"/>
      <c r="B267" s="186"/>
      <c r="C267" s="186"/>
      <c r="D267" s="186"/>
      <c r="E267" s="186"/>
      <c r="F267" s="186"/>
      <c r="G267" s="186"/>
      <c r="H267" s="186"/>
      <c r="I267" s="186"/>
      <c r="L267" s="185"/>
      <c r="N267" s="185"/>
      <c r="P267" s="4" t="str">
        <f>IF(A267&lt;&gt;"",VLOOKUP(A267,Rackfile_combined!$B:$C,2,false),"")</f>
        <v/>
      </c>
    </row>
    <row r="268">
      <c r="A268" s="186"/>
      <c r="B268" s="186"/>
      <c r="C268" s="186"/>
      <c r="D268" s="186"/>
      <c r="E268" s="186"/>
      <c r="F268" s="186"/>
      <c r="G268" s="186"/>
      <c r="H268" s="186"/>
      <c r="I268" s="186"/>
      <c r="L268" s="185"/>
      <c r="N268" s="185"/>
      <c r="P268" s="4" t="str">
        <f>IF(A268&lt;&gt;"",VLOOKUP(A268,Rackfile_combined!$B:$C,2,false),"")</f>
        <v/>
      </c>
    </row>
    <row r="269">
      <c r="A269" s="186"/>
      <c r="B269" s="186"/>
      <c r="C269" s="186"/>
      <c r="D269" s="186"/>
      <c r="E269" s="186"/>
      <c r="F269" s="186"/>
      <c r="G269" s="186"/>
      <c r="H269" s="186"/>
      <c r="I269" s="186"/>
      <c r="L269" s="185"/>
      <c r="N269" s="185"/>
      <c r="P269" s="4" t="str">
        <f>IF(A269&lt;&gt;"",VLOOKUP(A269,Rackfile_combined!$B:$C,2,false),"")</f>
        <v/>
      </c>
    </row>
    <row r="270">
      <c r="A270" s="186"/>
      <c r="B270" s="186"/>
      <c r="C270" s="186"/>
      <c r="D270" s="186"/>
      <c r="E270" s="186"/>
      <c r="F270" s="186"/>
      <c r="G270" s="186"/>
      <c r="H270" s="186"/>
      <c r="I270" s="186"/>
      <c r="L270" s="185"/>
      <c r="N270" s="185"/>
      <c r="P270" s="4" t="str">
        <f>IF(A270&lt;&gt;"",VLOOKUP(A270,Rackfile_combined!$B:$C,2,false),"")</f>
        <v/>
      </c>
    </row>
    <row r="271">
      <c r="A271" s="186"/>
      <c r="B271" s="186"/>
      <c r="C271" s="186"/>
      <c r="D271" s="186"/>
      <c r="E271" s="186"/>
      <c r="F271" s="186"/>
      <c r="G271" s="186"/>
      <c r="H271" s="186"/>
      <c r="I271" s="186"/>
      <c r="L271" s="185"/>
      <c r="N271" s="185"/>
      <c r="P271" s="4" t="str">
        <f>IF(A271&lt;&gt;"",VLOOKUP(A271,Rackfile_combined!$B:$C,2,false),"")</f>
        <v/>
      </c>
    </row>
    <row r="272">
      <c r="A272" s="186"/>
      <c r="B272" s="186"/>
      <c r="C272" s="186"/>
      <c r="D272" s="186"/>
      <c r="E272" s="186"/>
      <c r="F272" s="186"/>
      <c r="G272" s="186"/>
      <c r="H272" s="186"/>
      <c r="I272" s="186"/>
      <c r="L272" s="185"/>
      <c r="N272" s="185"/>
      <c r="P272" s="4" t="str">
        <f>IF(A272&lt;&gt;"",VLOOKUP(A272,Rackfile_combined!$B:$C,2,false),"")</f>
        <v/>
      </c>
    </row>
    <row r="273">
      <c r="A273" s="186"/>
      <c r="B273" s="186"/>
      <c r="C273" s="186"/>
      <c r="D273" s="186"/>
      <c r="E273" s="186"/>
      <c r="F273" s="186"/>
      <c r="G273" s="186"/>
      <c r="H273" s="186"/>
      <c r="I273" s="186"/>
      <c r="L273" s="185"/>
      <c r="N273" s="185"/>
      <c r="P273" s="4" t="str">
        <f>IF(A273&lt;&gt;"",VLOOKUP(A273,Rackfile_combined!$B:$C,2,false),"")</f>
        <v/>
      </c>
    </row>
    <row r="274">
      <c r="A274" s="186"/>
      <c r="B274" s="186"/>
      <c r="C274" s="186"/>
      <c r="D274" s="186"/>
      <c r="E274" s="186"/>
      <c r="F274" s="186"/>
      <c r="G274" s="186"/>
      <c r="H274" s="186"/>
      <c r="I274" s="186"/>
      <c r="L274" s="185"/>
      <c r="N274" s="185"/>
      <c r="P274" s="4" t="str">
        <f>IF(A274&lt;&gt;"",VLOOKUP(A274,Rackfile_combined!$B:$C,2,false),"")</f>
        <v/>
      </c>
    </row>
    <row r="275">
      <c r="A275" s="186"/>
      <c r="B275" s="186"/>
      <c r="C275" s="186"/>
      <c r="D275" s="186"/>
      <c r="E275" s="186"/>
      <c r="F275" s="186"/>
      <c r="G275" s="186"/>
      <c r="H275" s="186"/>
      <c r="I275" s="186"/>
      <c r="L275" s="185"/>
      <c r="N275" s="185"/>
      <c r="P275" s="4" t="str">
        <f>IF(A275&lt;&gt;"",VLOOKUP(A275,Rackfile_combined!$B:$C,2,false),"")</f>
        <v/>
      </c>
    </row>
    <row r="276">
      <c r="A276" s="186"/>
      <c r="B276" s="186"/>
      <c r="C276" s="186"/>
      <c r="D276" s="186"/>
      <c r="E276" s="186"/>
      <c r="F276" s="186"/>
      <c r="G276" s="186"/>
      <c r="H276" s="186"/>
      <c r="I276" s="186"/>
      <c r="L276" s="185"/>
      <c r="N276" s="185"/>
      <c r="P276" s="4" t="str">
        <f>IF(A276&lt;&gt;"",VLOOKUP(A276,Rackfile_combined!$B:$C,2,false),"")</f>
        <v/>
      </c>
    </row>
    <row r="277">
      <c r="A277" s="186"/>
      <c r="B277" s="186"/>
      <c r="C277" s="186"/>
      <c r="D277" s="186"/>
      <c r="E277" s="186"/>
      <c r="F277" s="186"/>
      <c r="G277" s="186"/>
      <c r="H277" s="186"/>
      <c r="I277" s="186"/>
      <c r="L277" s="185"/>
      <c r="N277" s="185"/>
      <c r="P277" s="4" t="str">
        <f>IF(A277&lt;&gt;"",VLOOKUP(A277,Rackfile_combined!$B:$C,2,false),"")</f>
        <v/>
      </c>
    </row>
    <row r="278">
      <c r="A278" s="186"/>
      <c r="B278" s="186"/>
      <c r="C278" s="186"/>
      <c r="D278" s="186"/>
      <c r="E278" s="186"/>
      <c r="F278" s="186"/>
      <c r="G278" s="186"/>
      <c r="H278" s="186"/>
      <c r="I278" s="186"/>
      <c r="L278" s="185"/>
      <c r="N278" s="185"/>
      <c r="P278" s="4" t="str">
        <f>IF(A278&lt;&gt;"",VLOOKUP(A278,Rackfile_combined!$B:$C,2,false),"")</f>
        <v/>
      </c>
    </row>
    <row r="279">
      <c r="A279" s="186"/>
      <c r="B279" s="186"/>
      <c r="C279" s="186"/>
      <c r="D279" s="186"/>
      <c r="E279" s="186"/>
      <c r="F279" s="186"/>
      <c r="G279" s="186"/>
      <c r="H279" s="186"/>
      <c r="I279" s="186"/>
      <c r="L279" s="185"/>
      <c r="N279" s="185"/>
      <c r="P279" s="4" t="str">
        <f>IF(A279&lt;&gt;"",VLOOKUP(A279,Rackfile_combined!$B:$C,2,false),"")</f>
        <v/>
      </c>
    </row>
    <row r="280">
      <c r="A280" s="186"/>
      <c r="B280" s="186"/>
      <c r="C280" s="186"/>
      <c r="D280" s="186"/>
      <c r="E280" s="186"/>
      <c r="F280" s="186"/>
      <c r="G280" s="186"/>
      <c r="H280" s="186"/>
      <c r="I280" s="186"/>
      <c r="L280" s="185"/>
      <c r="N280" s="185"/>
      <c r="P280" s="4" t="str">
        <f>IF(A280&lt;&gt;"",VLOOKUP(A280,Rackfile_combined!$B:$C,2,false),"")</f>
        <v/>
      </c>
    </row>
    <row r="281">
      <c r="A281" s="186"/>
      <c r="B281" s="186"/>
      <c r="C281" s="186"/>
      <c r="D281" s="186"/>
      <c r="E281" s="186"/>
      <c r="F281" s="186"/>
      <c r="G281" s="186"/>
      <c r="H281" s="186"/>
      <c r="I281" s="186"/>
      <c r="L281" s="185"/>
      <c r="N281" s="185"/>
      <c r="P281" s="4" t="str">
        <f>IF(A281&lt;&gt;"",VLOOKUP(A281,Rackfile_combined!$B:$C,2,false),"")</f>
        <v/>
      </c>
    </row>
    <row r="282">
      <c r="A282" s="186"/>
      <c r="B282" s="186"/>
      <c r="C282" s="186"/>
      <c r="D282" s="186"/>
      <c r="E282" s="186"/>
      <c r="F282" s="186"/>
      <c r="G282" s="186"/>
      <c r="H282" s="186"/>
      <c r="I282" s="186"/>
      <c r="L282" s="185"/>
      <c r="N282" s="185"/>
      <c r="P282" s="4" t="str">
        <f>IF(A282&lt;&gt;"",VLOOKUP(A282,Rackfile_combined!$B:$C,2,false),"")</f>
        <v/>
      </c>
    </row>
    <row r="283">
      <c r="A283" s="186"/>
      <c r="B283" s="186"/>
      <c r="C283" s="186"/>
      <c r="D283" s="186"/>
      <c r="E283" s="186"/>
      <c r="F283" s="186"/>
      <c r="G283" s="186"/>
      <c r="H283" s="186"/>
      <c r="I283" s="186"/>
      <c r="L283" s="185"/>
      <c r="N283" s="185"/>
      <c r="P283" s="4" t="str">
        <f>IF(A283&lt;&gt;"",VLOOKUP(A283,Rackfile_combined!$B:$C,2,false),"")</f>
        <v/>
      </c>
    </row>
    <row r="284">
      <c r="A284" s="186"/>
      <c r="B284" s="186"/>
      <c r="C284" s="186"/>
      <c r="D284" s="186"/>
      <c r="E284" s="186"/>
      <c r="F284" s="186"/>
      <c r="G284" s="186"/>
      <c r="H284" s="186"/>
      <c r="I284" s="186"/>
      <c r="L284" s="185"/>
      <c r="N284" s="185"/>
      <c r="P284" s="4" t="str">
        <f>IF(A284&lt;&gt;"",VLOOKUP(A284,Rackfile_combined!$B:$C,2,false),"")</f>
        <v/>
      </c>
    </row>
    <row r="285">
      <c r="A285" s="186"/>
      <c r="B285" s="186"/>
      <c r="C285" s="186"/>
      <c r="D285" s="186"/>
      <c r="E285" s="186"/>
      <c r="F285" s="186"/>
      <c r="G285" s="186"/>
      <c r="H285" s="186"/>
      <c r="I285" s="186"/>
      <c r="L285" s="185"/>
      <c r="N285" s="185"/>
      <c r="P285" s="4" t="str">
        <f>IF(A285&lt;&gt;"",VLOOKUP(A285,Rackfile_combined!$B:$C,2,false),"")</f>
        <v/>
      </c>
    </row>
    <row r="286">
      <c r="A286" s="186"/>
      <c r="B286" s="186"/>
      <c r="C286" s="186"/>
      <c r="D286" s="186"/>
      <c r="E286" s="186"/>
      <c r="F286" s="186"/>
      <c r="G286" s="186"/>
      <c r="H286" s="186"/>
      <c r="I286" s="186"/>
      <c r="L286" s="185"/>
      <c r="N286" s="185"/>
      <c r="P286" s="4" t="str">
        <f>IF(A286&lt;&gt;"",VLOOKUP(A286,Rackfile_combined!$B:$C,2,false),"")</f>
        <v/>
      </c>
    </row>
    <row r="287">
      <c r="A287" s="186"/>
      <c r="B287" s="186"/>
      <c r="C287" s="186"/>
      <c r="D287" s="186"/>
      <c r="E287" s="186"/>
      <c r="F287" s="186"/>
      <c r="G287" s="186"/>
      <c r="H287" s="186"/>
      <c r="I287" s="186"/>
      <c r="L287" s="185"/>
      <c r="N287" s="185"/>
      <c r="P287" s="4" t="str">
        <f>IF(A287&lt;&gt;"",VLOOKUP(A287,Rackfile_combined!$B:$C,2,false),"")</f>
        <v/>
      </c>
    </row>
    <row r="288">
      <c r="A288" s="186"/>
      <c r="B288" s="186"/>
      <c r="C288" s="186"/>
      <c r="D288" s="186"/>
      <c r="E288" s="186"/>
      <c r="F288" s="186"/>
      <c r="G288" s="186"/>
      <c r="H288" s="186"/>
      <c r="I288" s="186"/>
      <c r="L288" s="185"/>
      <c r="N288" s="185"/>
      <c r="P288" s="4" t="str">
        <f>IF(A288&lt;&gt;"",VLOOKUP(A288,Rackfile_combined!$B:$C,2,false),"")</f>
        <v/>
      </c>
    </row>
    <row r="289">
      <c r="A289" s="186"/>
      <c r="B289" s="186"/>
      <c r="C289" s="186"/>
      <c r="D289" s="186"/>
      <c r="E289" s="186"/>
      <c r="F289" s="186"/>
      <c r="G289" s="186"/>
      <c r="H289" s="186"/>
      <c r="I289" s="186"/>
      <c r="L289" s="185"/>
      <c r="N289" s="185"/>
      <c r="P289" s="4" t="str">
        <f>IF(A289&lt;&gt;"",VLOOKUP(A289,Rackfile_combined!$B:$C,2,false),"")</f>
        <v/>
      </c>
    </row>
    <row r="290">
      <c r="A290" s="186"/>
      <c r="B290" s="186"/>
      <c r="C290" s="186"/>
      <c r="D290" s="186"/>
      <c r="E290" s="186"/>
      <c r="F290" s="186"/>
      <c r="G290" s="186"/>
      <c r="H290" s="186"/>
      <c r="I290" s="186"/>
      <c r="L290" s="185"/>
      <c r="N290" s="185"/>
      <c r="P290" s="4" t="str">
        <f>IF(A290&lt;&gt;"",VLOOKUP(A290,Rackfile_combined!$B:$C,2,false),"")</f>
        <v/>
      </c>
    </row>
    <row r="291">
      <c r="A291" s="186"/>
      <c r="B291" s="186"/>
      <c r="C291" s="186"/>
      <c r="D291" s="186"/>
      <c r="E291" s="186"/>
      <c r="F291" s="186"/>
      <c r="G291" s="186"/>
      <c r="H291" s="186"/>
      <c r="I291" s="186"/>
      <c r="L291" s="185"/>
      <c r="N291" s="185"/>
      <c r="P291" s="4" t="str">
        <f>IF(A291&lt;&gt;"",VLOOKUP(A291,Rackfile_combined!$B:$C,2,false),"")</f>
        <v/>
      </c>
    </row>
    <row r="292">
      <c r="A292" s="186"/>
      <c r="B292" s="186"/>
      <c r="C292" s="186"/>
      <c r="D292" s="186"/>
      <c r="E292" s="186"/>
      <c r="F292" s="186"/>
      <c r="G292" s="186"/>
      <c r="H292" s="186"/>
      <c r="I292" s="186"/>
      <c r="L292" s="185"/>
      <c r="N292" s="185"/>
      <c r="P292" s="4" t="str">
        <f>IF(A292&lt;&gt;"",VLOOKUP(A292,Rackfile_combined!$B:$C,2,false),"")</f>
        <v/>
      </c>
    </row>
    <row r="293">
      <c r="A293" s="186"/>
      <c r="B293" s="186"/>
      <c r="C293" s="186"/>
      <c r="D293" s="186"/>
      <c r="E293" s="186"/>
      <c r="F293" s="186"/>
      <c r="G293" s="186"/>
      <c r="H293" s="186"/>
      <c r="I293" s="186"/>
      <c r="L293" s="185"/>
      <c r="N293" s="185"/>
      <c r="P293" s="4" t="str">
        <f>IF(A293&lt;&gt;"",VLOOKUP(A293,Rackfile_combined!$B:$C,2,false),"")</f>
        <v/>
      </c>
    </row>
    <row r="294">
      <c r="A294" s="186"/>
      <c r="B294" s="186"/>
      <c r="C294" s="186"/>
      <c r="D294" s="186"/>
      <c r="E294" s="186"/>
      <c r="F294" s="186"/>
      <c r="G294" s="186"/>
      <c r="H294" s="186"/>
      <c r="I294" s="186"/>
      <c r="L294" s="185"/>
      <c r="N294" s="185"/>
      <c r="P294" s="4" t="str">
        <f>IF(A294&lt;&gt;"",VLOOKUP(A294,Rackfile_combined!$B:$C,2,false),"")</f>
        <v/>
      </c>
    </row>
    <row r="295">
      <c r="A295" s="186"/>
      <c r="B295" s="186"/>
      <c r="C295" s="186"/>
      <c r="D295" s="186"/>
      <c r="E295" s="186"/>
      <c r="F295" s="186"/>
      <c r="G295" s="186"/>
      <c r="H295" s="186"/>
      <c r="I295" s="186"/>
      <c r="L295" s="185"/>
      <c r="N295" s="185"/>
      <c r="P295" s="4" t="str">
        <f>IF(A295&lt;&gt;"",VLOOKUP(A295,Rackfile_combined!$B:$C,2,false),"")</f>
        <v/>
      </c>
    </row>
    <row r="296">
      <c r="A296" s="186"/>
      <c r="B296" s="186"/>
      <c r="C296" s="186"/>
      <c r="D296" s="186"/>
      <c r="E296" s="186"/>
      <c r="F296" s="186"/>
      <c r="G296" s="186"/>
      <c r="H296" s="186"/>
      <c r="I296" s="186"/>
      <c r="L296" s="185"/>
      <c r="N296" s="185"/>
      <c r="P296" s="4" t="str">
        <f>IF(A296&lt;&gt;"",VLOOKUP(A296,Rackfile_combined!$B:$C,2,false),"")</f>
        <v/>
      </c>
    </row>
    <row r="297">
      <c r="A297" s="186"/>
      <c r="B297" s="186"/>
      <c r="C297" s="186"/>
      <c r="D297" s="186"/>
      <c r="E297" s="186"/>
      <c r="F297" s="186"/>
      <c r="G297" s="186"/>
      <c r="H297" s="186"/>
      <c r="I297" s="186"/>
      <c r="L297" s="185"/>
      <c r="N297" s="185"/>
      <c r="P297" s="4" t="str">
        <f>IF(A297&lt;&gt;"",VLOOKUP(A297,Rackfile_combined!$B:$C,2,false),"")</f>
        <v/>
      </c>
    </row>
    <row r="298">
      <c r="A298" s="186"/>
      <c r="B298" s="186"/>
      <c r="C298" s="186"/>
      <c r="D298" s="186"/>
      <c r="E298" s="186"/>
      <c r="F298" s="186"/>
      <c r="G298" s="186"/>
      <c r="H298" s="186"/>
      <c r="I298" s="186"/>
      <c r="L298" s="185"/>
      <c r="N298" s="185"/>
      <c r="P298" s="4" t="str">
        <f>IF(A298&lt;&gt;"",VLOOKUP(A298,Rackfile_combined!$B:$C,2,false),"")</f>
        <v/>
      </c>
    </row>
    <row r="299">
      <c r="A299" s="186"/>
      <c r="B299" s="186"/>
      <c r="C299" s="186"/>
      <c r="D299" s="186"/>
      <c r="E299" s="186"/>
      <c r="F299" s="186"/>
      <c r="G299" s="186"/>
      <c r="H299" s="186"/>
      <c r="I299" s="186"/>
      <c r="L299" s="185"/>
      <c r="N299" s="185"/>
      <c r="P299" s="4" t="str">
        <f>IF(A299&lt;&gt;"",VLOOKUP(A299,Rackfile_combined!$B:$C,2,false),"")</f>
        <v/>
      </c>
    </row>
    <row r="300">
      <c r="A300" s="186"/>
      <c r="B300" s="186"/>
      <c r="C300" s="186"/>
      <c r="D300" s="186"/>
      <c r="E300" s="186"/>
      <c r="F300" s="186"/>
      <c r="G300" s="186"/>
      <c r="H300" s="186"/>
      <c r="I300" s="186"/>
      <c r="L300" s="185"/>
      <c r="N300" s="185"/>
      <c r="P300" s="4" t="str">
        <f>IF(A300&lt;&gt;"",VLOOKUP(A300,Rackfile_combined!$B:$C,2,false),"")</f>
        <v/>
      </c>
    </row>
    <row r="301">
      <c r="A301" s="186"/>
      <c r="B301" s="186"/>
      <c r="C301" s="186"/>
      <c r="D301" s="186"/>
      <c r="E301" s="186"/>
      <c r="F301" s="186"/>
      <c r="G301" s="186"/>
      <c r="H301" s="186"/>
      <c r="I301" s="186"/>
      <c r="L301" s="185"/>
      <c r="N301" s="185"/>
      <c r="P301" s="4" t="str">
        <f>IF(A301&lt;&gt;"",VLOOKUP(A301,Rackfile_combined!$B:$C,2,false),"")</f>
        <v/>
      </c>
    </row>
    <row r="302">
      <c r="A302" s="186"/>
      <c r="B302" s="186"/>
      <c r="C302" s="186"/>
      <c r="D302" s="186"/>
      <c r="E302" s="186"/>
      <c r="F302" s="186"/>
      <c r="G302" s="186"/>
      <c r="H302" s="186"/>
      <c r="I302" s="186"/>
      <c r="L302" s="185"/>
      <c r="N302" s="185"/>
      <c r="P302" s="4" t="str">
        <f>IF(A302&lt;&gt;"",VLOOKUP(A302,Rackfile_combined!$B:$C,2,false),"")</f>
        <v/>
      </c>
    </row>
    <row r="303">
      <c r="A303" s="186"/>
      <c r="B303" s="186"/>
      <c r="C303" s="186"/>
      <c r="D303" s="186"/>
      <c r="E303" s="186"/>
      <c r="F303" s="186"/>
      <c r="G303" s="186"/>
      <c r="H303" s="186"/>
      <c r="I303" s="186"/>
      <c r="L303" s="185"/>
      <c r="N303" s="185"/>
      <c r="P303" s="4" t="str">
        <f>IF(A303&lt;&gt;"",VLOOKUP(A303,Rackfile_combined!$B:$C,2,false),"")</f>
        <v/>
      </c>
    </row>
    <row r="304">
      <c r="A304" s="186"/>
      <c r="B304" s="186"/>
      <c r="C304" s="186"/>
      <c r="D304" s="186"/>
      <c r="E304" s="186"/>
      <c r="F304" s="186"/>
      <c r="G304" s="186"/>
      <c r="H304" s="186"/>
      <c r="I304" s="186"/>
      <c r="L304" s="185"/>
      <c r="N304" s="185"/>
      <c r="P304" s="4" t="str">
        <f>IF(A304&lt;&gt;"",VLOOKUP(A304,Rackfile_combined!$B:$C,2,false),"")</f>
        <v/>
      </c>
    </row>
    <row r="305">
      <c r="A305" s="186"/>
      <c r="B305" s="186"/>
      <c r="C305" s="186"/>
      <c r="D305" s="186"/>
      <c r="E305" s="186"/>
      <c r="F305" s="186"/>
      <c r="G305" s="186"/>
      <c r="H305" s="186"/>
      <c r="I305" s="186"/>
      <c r="L305" s="185"/>
      <c r="N305" s="185"/>
      <c r="P305" s="4" t="str">
        <f>IF(A305&lt;&gt;"",VLOOKUP(A305,Rackfile_combined!$B:$C,2,false),"")</f>
        <v/>
      </c>
    </row>
    <row r="306">
      <c r="A306" s="186"/>
      <c r="B306" s="186"/>
      <c r="C306" s="186"/>
      <c r="D306" s="186"/>
      <c r="E306" s="186"/>
      <c r="F306" s="186"/>
      <c r="G306" s="186"/>
      <c r="H306" s="186"/>
      <c r="I306" s="186"/>
      <c r="L306" s="185"/>
      <c r="N306" s="185"/>
      <c r="P306" s="4" t="str">
        <f>IF(A306&lt;&gt;"",VLOOKUP(A306,Rackfile_combined!$B:$C,2,false),"")</f>
        <v/>
      </c>
    </row>
    <row r="307">
      <c r="A307" s="186"/>
      <c r="B307" s="186"/>
      <c r="C307" s="186"/>
      <c r="D307" s="186"/>
      <c r="E307" s="186"/>
      <c r="F307" s="186"/>
      <c r="G307" s="186"/>
      <c r="H307" s="186"/>
      <c r="I307" s="186"/>
      <c r="L307" s="185"/>
      <c r="N307" s="185"/>
      <c r="P307" s="4" t="str">
        <f>IF(A307&lt;&gt;"",VLOOKUP(A307,Rackfile_combined!$B:$C,2,false),"")</f>
        <v/>
      </c>
    </row>
    <row r="308">
      <c r="A308" s="186"/>
      <c r="B308" s="186"/>
      <c r="C308" s="186"/>
      <c r="D308" s="186"/>
      <c r="E308" s="186"/>
      <c r="F308" s="186"/>
      <c r="G308" s="186"/>
      <c r="H308" s="186"/>
      <c r="I308" s="186"/>
      <c r="L308" s="185"/>
      <c r="N308" s="185"/>
      <c r="P308" s="4" t="str">
        <f>IF(A308&lt;&gt;"",VLOOKUP(A308,Rackfile_combined!$B:$C,2,false),"")</f>
        <v/>
      </c>
    </row>
    <row r="309">
      <c r="A309" s="186"/>
      <c r="B309" s="186"/>
      <c r="C309" s="186"/>
      <c r="D309" s="186"/>
      <c r="E309" s="186"/>
      <c r="F309" s="186"/>
      <c r="G309" s="186"/>
      <c r="H309" s="186"/>
      <c r="I309" s="186"/>
      <c r="L309" s="185"/>
      <c r="N309" s="185"/>
      <c r="P309" s="4" t="str">
        <f>IF(A309&lt;&gt;"",VLOOKUP(A309,Rackfile_combined!$B:$C,2,false),"")</f>
        <v/>
      </c>
    </row>
    <row r="310">
      <c r="A310" s="186"/>
      <c r="B310" s="186"/>
      <c r="C310" s="186"/>
      <c r="D310" s="186"/>
      <c r="E310" s="186"/>
      <c r="F310" s="186"/>
      <c r="G310" s="186"/>
      <c r="H310" s="186"/>
      <c r="I310" s="186"/>
      <c r="L310" s="185"/>
      <c r="N310" s="185"/>
      <c r="P310" s="4" t="str">
        <f>IF(A310&lt;&gt;"",VLOOKUP(A310,Rackfile_combined!$B:$C,2,false),"")</f>
        <v/>
      </c>
    </row>
    <row r="311">
      <c r="A311" s="186"/>
      <c r="B311" s="186"/>
      <c r="C311" s="186"/>
      <c r="D311" s="186"/>
      <c r="E311" s="186"/>
      <c r="F311" s="186"/>
      <c r="G311" s="186"/>
      <c r="H311" s="186"/>
      <c r="I311" s="186"/>
      <c r="L311" s="185"/>
      <c r="N311" s="185"/>
      <c r="P311" s="4" t="str">
        <f>IF(A311&lt;&gt;"",VLOOKUP(A311,Rackfile_combined!$B:$C,2,false),"")</f>
        <v/>
      </c>
    </row>
    <row r="312">
      <c r="A312" s="186"/>
      <c r="B312" s="186"/>
      <c r="C312" s="186"/>
      <c r="D312" s="186"/>
      <c r="E312" s="186"/>
      <c r="F312" s="186"/>
      <c r="G312" s="186"/>
      <c r="H312" s="186"/>
      <c r="I312" s="186"/>
      <c r="L312" s="185"/>
      <c r="N312" s="185"/>
      <c r="P312" s="4" t="str">
        <f>IF(A312&lt;&gt;"",VLOOKUP(A312,Rackfile_combined!$B:$C,2,false),"")</f>
        <v/>
      </c>
    </row>
    <row r="313">
      <c r="A313" s="186"/>
      <c r="B313" s="186"/>
      <c r="C313" s="186"/>
      <c r="D313" s="186"/>
      <c r="E313" s="186"/>
      <c r="F313" s="186"/>
      <c r="G313" s="186"/>
      <c r="H313" s="186"/>
      <c r="I313" s="186"/>
      <c r="L313" s="185"/>
      <c r="N313" s="185"/>
      <c r="P313" s="4" t="str">
        <f>IF(A313&lt;&gt;"",VLOOKUP(A313,Rackfile_combined!$B:$C,2,false),"")</f>
        <v/>
      </c>
    </row>
    <row r="314">
      <c r="A314" s="186"/>
      <c r="B314" s="186"/>
      <c r="C314" s="186"/>
      <c r="D314" s="186"/>
      <c r="E314" s="186"/>
      <c r="F314" s="186"/>
      <c r="G314" s="186"/>
      <c r="H314" s="186"/>
      <c r="I314" s="186"/>
      <c r="L314" s="185"/>
      <c r="N314" s="185"/>
      <c r="P314" s="4" t="str">
        <f>IF(A314&lt;&gt;"",VLOOKUP(A314,Rackfile_combined!$B:$C,2,false),"")</f>
        <v/>
      </c>
    </row>
    <row r="315">
      <c r="A315" s="186"/>
      <c r="B315" s="186"/>
      <c r="C315" s="186"/>
      <c r="D315" s="186"/>
      <c r="E315" s="186"/>
      <c r="F315" s="186"/>
      <c r="G315" s="186"/>
      <c r="H315" s="186"/>
      <c r="I315" s="186"/>
      <c r="L315" s="185"/>
      <c r="N315" s="185"/>
      <c r="P315" s="4" t="str">
        <f>IF(A315&lt;&gt;"",VLOOKUP(A315,Rackfile_combined!$B:$C,2,false),"")</f>
        <v/>
      </c>
    </row>
    <row r="316">
      <c r="A316" s="186"/>
      <c r="B316" s="186"/>
      <c r="C316" s="186"/>
      <c r="D316" s="186"/>
      <c r="E316" s="186"/>
      <c r="F316" s="186"/>
      <c r="G316" s="186"/>
      <c r="H316" s="186"/>
      <c r="I316" s="186"/>
      <c r="L316" s="185"/>
      <c r="N316" s="185"/>
      <c r="P316" s="4" t="str">
        <f>IF(A316&lt;&gt;"",VLOOKUP(A316,Rackfile_combined!$B:$C,2,false),"")</f>
        <v/>
      </c>
    </row>
    <row r="317">
      <c r="A317" s="186"/>
      <c r="B317" s="186"/>
      <c r="C317" s="186"/>
      <c r="D317" s="186"/>
      <c r="E317" s="186"/>
      <c r="F317" s="186"/>
      <c r="G317" s="186"/>
      <c r="H317" s="186"/>
      <c r="I317" s="186"/>
      <c r="L317" s="185"/>
      <c r="N317" s="185"/>
      <c r="P317" s="4" t="str">
        <f>IF(A317&lt;&gt;"",VLOOKUP(A317,Rackfile_combined!$B:$C,2,false),"")</f>
        <v/>
      </c>
    </row>
    <row r="318">
      <c r="A318" s="186"/>
      <c r="B318" s="186"/>
      <c r="C318" s="186"/>
      <c r="D318" s="186"/>
      <c r="E318" s="186"/>
      <c r="F318" s="186"/>
      <c r="G318" s="186"/>
      <c r="H318" s="186"/>
      <c r="I318" s="186"/>
      <c r="L318" s="185"/>
      <c r="N318" s="185"/>
      <c r="P318" s="4" t="str">
        <f>IF(A318&lt;&gt;"",VLOOKUP(A318,Rackfile_combined!$B:$C,2,false),"")</f>
        <v/>
      </c>
    </row>
    <row r="319">
      <c r="A319" s="186"/>
      <c r="B319" s="186"/>
      <c r="C319" s="186"/>
      <c r="D319" s="186"/>
      <c r="E319" s="186"/>
      <c r="F319" s="186"/>
      <c r="G319" s="186"/>
      <c r="H319" s="186"/>
      <c r="I319" s="186"/>
      <c r="L319" s="185"/>
      <c r="N319" s="185"/>
      <c r="P319" s="4" t="str">
        <f>IF(A319&lt;&gt;"",VLOOKUP(A319,Rackfile_combined!$B:$C,2,false),"")</f>
        <v/>
      </c>
    </row>
    <row r="320">
      <c r="A320" s="186"/>
      <c r="B320" s="186"/>
      <c r="C320" s="186"/>
      <c r="D320" s="186"/>
      <c r="E320" s="186"/>
      <c r="F320" s="186"/>
      <c r="G320" s="186"/>
      <c r="H320" s="186"/>
      <c r="I320" s="186"/>
      <c r="L320" s="185"/>
      <c r="N320" s="185"/>
      <c r="P320" s="4" t="str">
        <f>IF(A320&lt;&gt;"",VLOOKUP(A320,Rackfile_combined!$B:$C,2,false),"")</f>
        <v/>
      </c>
    </row>
    <row r="321">
      <c r="A321" s="186"/>
      <c r="B321" s="186"/>
      <c r="C321" s="186"/>
      <c r="D321" s="186"/>
      <c r="E321" s="186"/>
      <c r="F321" s="186"/>
      <c r="G321" s="186"/>
      <c r="H321" s="186"/>
      <c r="I321" s="186"/>
      <c r="L321" s="185"/>
      <c r="N321" s="185"/>
      <c r="P321" s="4" t="str">
        <f>IF(A321&lt;&gt;"",VLOOKUP(A321,Rackfile_combined!$B:$C,2,false),"")</f>
        <v/>
      </c>
    </row>
    <row r="322">
      <c r="A322" s="186"/>
      <c r="B322" s="186"/>
      <c r="C322" s="186"/>
      <c r="D322" s="186"/>
      <c r="E322" s="186"/>
      <c r="F322" s="186"/>
      <c r="G322" s="186"/>
      <c r="H322" s="186"/>
      <c r="I322" s="186"/>
      <c r="L322" s="185"/>
      <c r="N322" s="185"/>
      <c r="P322" s="4" t="str">
        <f>IF(A322&lt;&gt;"",VLOOKUP(A322,Rackfile_combined!$B:$C,2,false),"")</f>
        <v/>
      </c>
    </row>
    <row r="323">
      <c r="A323" s="186"/>
      <c r="B323" s="186"/>
      <c r="C323" s="186"/>
      <c r="D323" s="186"/>
      <c r="E323" s="186"/>
      <c r="F323" s="186"/>
      <c r="G323" s="186"/>
      <c r="H323" s="186"/>
      <c r="I323" s="186"/>
      <c r="L323" s="185"/>
      <c r="N323" s="185"/>
      <c r="P323" s="4" t="str">
        <f>IF(A323&lt;&gt;"",VLOOKUP(A323,Rackfile_combined!$B:$C,2,false),"")</f>
        <v/>
      </c>
    </row>
    <row r="324">
      <c r="A324" s="186"/>
      <c r="B324" s="186"/>
      <c r="C324" s="186"/>
      <c r="D324" s="186"/>
      <c r="E324" s="186"/>
      <c r="F324" s="186"/>
      <c r="G324" s="186"/>
      <c r="H324" s="186"/>
      <c r="I324" s="186"/>
      <c r="L324" s="185"/>
      <c r="N324" s="185"/>
      <c r="P324" s="4" t="str">
        <f>IF(A324&lt;&gt;"",VLOOKUP(A324,Rackfile_combined!$B:$C,2,false),"")</f>
        <v/>
      </c>
    </row>
    <row r="325">
      <c r="A325" s="186"/>
      <c r="B325" s="186"/>
      <c r="C325" s="186"/>
      <c r="D325" s="186"/>
      <c r="E325" s="186"/>
      <c r="F325" s="186"/>
      <c r="G325" s="186"/>
      <c r="H325" s="186"/>
      <c r="I325" s="186"/>
      <c r="L325" s="185"/>
      <c r="N325" s="185"/>
      <c r="P325" s="4" t="str">
        <f>IF(A325&lt;&gt;"",VLOOKUP(A325,Rackfile_combined!$B:$C,2,false),"")</f>
        <v/>
      </c>
    </row>
    <row r="326">
      <c r="A326" s="186"/>
      <c r="B326" s="186"/>
      <c r="C326" s="186"/>
      <c r="D326" s="186"/>
      <c r="E326" s="186"/>
      <c r="F326" s="186"/>
      <c r="G326" s="186"/>
      <c r="H326" s="186"/>
      <c r="I326" s="186"/>
      <c r="L326" s="185"/>
      <c r="N326" s="185"/>
      <c r="P326" s="4" t="str">
        <f>IF(A326&lt;&gt;"",VLOOKUP(A326,Rackfile_combined!$B:$C,2,false),"")</f>
        <v/>
      </c>
    </row>
    <row r="327">
      <c r="A327" s="186"/>
      <c r="B327" s="186"/>
      <c r="C327" s="186"/>
      <c r="D327" s="186"/>
      <c r="E327" s="186"/>
      <c r="F327" s="186"/>
      <c r="G327" s="186"/>
      <c r="H327" s="186"/>
      <c r="I327" s="186"/>
      <c r="L327" s="185"/>
      <c r="N327" s="185"/>
      <c r="P327" s="4" t="str">
        <f>IF(A327&lt;&gt;"",VLOOKUP(A327,Rackfile_combined!$B:$C,2,false),"")</f>
        <v/>
      </c>
    </row>
    <row r="328">
      <c r="A328" s="186"/>
      <c r="B328" s="186"/>
      <c r="C328" s="186"/>
      <c r="D328" s="186"/>
      <c r="E328" s="186"/>
      <c r="F328" s="186"/>
      <c r="G328" s="186"/>
      <c r="H328" s="186"/>
      <c r="I328" s="186"/>
      <c r="L328" s="185"/>
      <c r="N328" s="185"/>
      <c r="P328" s="4" t="str">
        <f>IF(A328&lt;&gt;"",VLOOKUP(A328,Rackfile_combined!$B:$C,2,false),"")</f>
        <v/>
      </c>
    </row>
    <row r="329">
      <c r="A329" s="186"/>
      <c r="B329" s="186"/>
      <c r="C329" s="186"/>
      <c r="D329" s="186"/>
      <c r="E329" s="186"/>
      <c r="F329" s="186"/>
      <c r="G329" s="186"/>
      <c r="H329" s="186"/>
      <c r="I329" s="186"/>
      <c r="L329" s="185"/>
      <c r="N329" s="185"/>
      <c r="P329" s="4" t="str">
        <f>IF(A329&lt;&gt;"",VLOOKUP(A329,Rackfile_combined!$B:$C,2,false),"")</f>
        <v/>
      </c>
    </row>
    <row r="330">
      <c r="A330" s="186"/>
      <c r="B330" s="186"/>
      <c r="C330" s="186"/>
      <c r="D330" s="186"/>
      <c r="E330" s="186"/>
      <c r="F330" s="186"/>
      <c r="G330" s="186"/>
      <c r="H330" s="186"/>
      <c r="I330" s="186"/>
      <c r="L330" s="185"/>
      <c r="N330" s="185"/>
      <c r="P330" s="4" t="str">
        <f>IF(A330&lt;&gt;"",VLOOKUP(A330,Rackfile_combined!$B:$C,2,false),"")</f>
        <v/>
      </c>
    </row>
    <row r="331">
      <c r="A331" s="186"/>
      <c r="B331" s="186"/>
      <c r="C331" s="186"/>
      <c r="D331" s="186"/>
      <c r="E331" s="186"/>
      <c r="F331" s="186"/>
      <c r="G331" s="186"/>
      <c r="H331" s="186"/>
      <c r="I331" s="186"/>
      <c r="L331" s="185"/>
      <c r="N331" s="185"/>
      <c r="P331" s="4" t="str">
        <f>IF(A331&lt;&gt;"",VLOOKUP(A331,Rackfile_combined!$B:$C,2,false),"")</f>
        <v/>
      </c>
    </row>
    <row r="332">
      <c r="A332" s="186"/>
      <c r="B332" s="186"/>
      <c r="C332" s="186"/>
      <c r="D332" s="186"/>
      <c r="E332" s="186"/>
      <c r="F332" s="186"/>
      <c r="G332" s="186"/>
      <c r="H332" s="186"/>
      <c r="I332" s="186"/>
      <c r="L332" s="185"/>
      <c r="N332" s="185"/>
      <c r="P332" s="4" t="str">
        <f>IF(A332&lt;&gt;"",VLOOKUP(A332,Rackfile_combined!$B:$C,2,false),"")</f>
        <v/>
      </c>
    </row>
    <row r="333">
      <c r="A333" s="186"/>
      <c r="B333" s="186"/>
      <c r="C333" s="186"/>
      <c r="D333" s="186"/>
      <c r="E333" s="186"/>
      <c r="F333" s="186"/>
      <c r="G333" s="186"/>
      <c r="H333" s="186"/>
      <c r="I333" s="186"/>
      <c r="L333" s="185"/>
      <c r="N333" s="185"/>
      <c r="P333" s="4" t="str">
        <f>IF(A333&lt;&gt;"",VLOOKUP(A333,Rackfile_combined!$B:$C,2,false),"")</f>
        <v/>
      </c>
    </row>
    <row r="334">
      <c r="A334" s="186"/>
      <c r="B334" s="186"/>
      <c r="C334" s="186"/>
      <c r="D334" s="186"/>
      <c r="E334" s="186"/>
      <c r="F334" s="186"/>
      <c r="G334" s="186"/>
      <c r="H334" s="186"/>
      <c r="I334" s="186"/>
      <c r="L334" s="185"/>
      <c r="N334" s="185"/>
      <c r="P334" s="4" t="str">
        <f>IF(A334&lt;&gt;"",VLOOKUP(A334,Rackfile_combined!$B:$C,2,false),"")</f>
        <v/>
      </c>
    </row>
    <row r="335">
      <c r="A335" s="186"/>
      <c r="B335" s="186"/>
      <c r="C335" s="186"/>
      <c r="D335" s="186"/>
      <c r="E335" s="186"/>
      <c r="F335" s="186"/>
      <c r="G335" s="186"/>
      <c r="H335" s="186"/>
      <c r="I335" s="186"/>
      <c r="L335" s="185"/>
      <c r="N335" s="185"/>
      <c r="P335" s="4" t="str">
        <f>IF(A335&lt;&gt;"",VLOOKUP(A335,Rackfile_combined!$B:$C,2,false),"")</f>
        <v/>
      </c>
    </row>
    <row r="336">
      <c r="A336" s="186"/>
      <c r="B336" s="186"/>
      <c r="C336" s="186"/>
      <c r="D336" s="186"/>
      <c r="E336" s="186"/>
      <c r="F336" s="186"/>
      <c r="G336" s="186"/>
      <c r="H336" s="186"/>
      <c r="I336" s="186"/>
      <c r="L336" s="185"/>
      <c r="N336" s="185"/>
      <c r="P336" s="4" t="str">
        <f>IF(A336&lt;&gt;"",VLOOKUP(A336,Rackfile_combined!$B:$C,2,false),"")</f>
        <v/>
      </c>
    </row>
    <row r="337">
      <c r="A337" s="186"/>
      <c r="B337" s="186"/>
      <c r="C337" s="186"/>
      <c r="D337" s="186"/>
      <c r="E337" s="186"/>
      <c r="F337" s="186"/>
      <c r="G337" s="186"/>
      <c r="H337" s="186"/>
      <c r="I337" s="186"/>
      <c r="L337" s="185"/>
      <c r="N337" s="185"/>
      <c r="P337" s="4" t="str">
        <f>IF(A337&lt;&gt;"",VLOOKUP(A337,Rackfile_combined!$B:$C,2,false),"")</f>
        <v/>
      </c>
    </row>
    <row r="338">
      <c r="A338" s="186"/>
      <c r="B338" s="186"/>
      <c r="C338" s="186"/>
      <c r="D338" s="186"/>
      <c r="E338" s="186"/>
      <c r="F338" s="186"/>
      <c r="G338" s="186"/>
      <c r="H338" s="186"/>
      <c r="I338" s="186"/>
      <c r="L338" s="185"/>
      <c r="N338" s="185"/>
      <c r="P338" s="4" t="str">
        <f>IF(A338&lt;&gt;"",VLOOKUP(A338,Rackfile_combined!$B:$C,2,false),"")</f>
        <v/>
      </c>
    </row>
    <row r="339">
      <c r="A339" s="186"/>
      <c r="B339" s="186"/>
      <c r="C339" s="186"/>
      <c r="D339" s="186"/>
      <c r="E339" s="186"/>
      <c r="F339" s="186"/>
      <c r="G339" s="186"/>
      <c r="H339" s="186"/>
      <c r="I339" s="186"/>
      <c r="L339" s="185"/>
      <c r="N339" s="185"/>
      <c r="P339" s="4" t="str">
        <f>IF(A339&lt;&gt;"",VLOOKUP(A339,Rackfile_combined!$B:$C,2,false),"")</f>
        <v/>
      </c>
    </row>
    <row r="340">
      <c r="A340" s="186"/>
      <c r="B340" s="186"/>
      <c r="C340" s="186"/>
      <c r="D340" s="186"/>
      <c r="E340" s="186"/>
      <c r="F340" s="186"/>
      <c r="G340" s="186"/>
      <c r="H340" s="186"/>
      <c r="I340" s="186"/>
      <c r="L340" s="185"/>
      <c r="N340" s="185"/>
      <c r="P340" s="4" t="str">
        <f>IF(A340&lt;&gt;"",VLOOKUP(A340,Rackfile_combined!$B:$C,2,false),"")</f>
        <v/>
      </c>
    </row>
    <row r="341">
      <c r="A341" s="186"/>
      <c r="B341" s="186"/>
      <c r="C341" s="186"/>
      <c r="D341" s="186"/>
      <c r="E341" s="186"/>
      <c r="F341" s="186"/>
      <c r="G341" s="186"/>
      <c r="H341" s="186"/>
      <c r="I341" s="186"/>
      <c r="L341" s="185"/>
      <c r="N341" s="185"/>
      <c r="P341" s="4" t="str">
        <f>IF(A341&lt;&gt;"",VLOOKUP(A341,Rackfile_combined!$B:$C,2,false),"")</f>
        <v/>
      </c>
    </row>
    <row r="342">
      <c r="A342" s="186"/>
      <c r="B342" s="186"/>
      <c r="C342" s="186"/>
      <c r="D342" s="186"/>
      <c r="E342" s="186"/>
      <c r="F342" s="186"/>
      <c r="G342" s="186"/>
      <c r="H342" s="186"/>
      <c r="I342" s="186"/>
      <c r="L342" s="185"/>
      <c r="N342" s="185"/>
      <c r="P342" s="4" t="str">
        <f>IF(A342&lt;&gt;"",VLOOKUP(A342,Rackfile_combined!$B:$C,2,false),"")</f>
        <v/>
      </c>
    </row>
    <row r="343">
      <c r="A343" s="186"/>
      <c r="B343" s="186"/>
      <c r="C343" s="186"/>
      <c r="D343" s="186"/>
      <c r="E343" s="186"/>
      <c r="F343" s="186"/>
      <c r="G343" s="186"/>
      <c r="H343" s="186"/>
      <c r="I343" s="186"/>
      <c r="L343" s="185"/>
      <c r="N343" s="185"/>
      <c r="P343" s="4" t="str">
        <f>IF(A343&lt;&gt;"",VLOOKUP(A343,Rackfile_combined!$B:$C,2,false),"")</f>
        <v/>
      </c>
    </row>
    <row r="344">
      <c r="A344" s="186"/>
      <c r="B344" s="186"/>
      <c r="C344" s="186"/>
      <c r="D344" s="186"/>
      <c r="E344" s="186"/>
      <c r="F344" s="186"/>
      <c r="G344" s="186"/>
      <c r="H344" s="186"/>
      <c r="I344" s="186"/>
      <c r="L344" s="185"/>
      <c r="N344" s="185"/>
      <c r="P344" s="4" t="str">
        <f>IF(A344&lt;&gt;"",VLOOKUP(A344,Rackfile_combined!$B:$C,2,false),"")</f>
        <v/>
      </c>
    </row>
    <row r="345">
      <c r="A345" s="186"/>
      <c r="B345" s="186"/>
      <c r="C345" s="186"/>
      <c r="D345" s="186"/>
      <c r="E345" s="186"/>
      <c r="F345" s="186"/>
      <c r="G345" s="186"/>
      <c r="H345" s="186"/>
      <c r="I345" s="186"/>
      <c r="L345" s="185"/>
      <c r="N345" s="185"/>
      <c r="P345" s="4" t="str">
        <f>IF(A345&lt;&gt;"",VLOOKUP(A345,Rackfile_combined!$B:$C,2,false),"")</f>
        <v/>
      </c>
    </row>
    <row r="346">
      <c r="A346" s="186"/>
      <c r="B346" s="186"/>
      <c r="C346" s="186"/>
      <c r="D346" s="186"/>
      <c r="E346" s="186"/>
      <c r="F346" s="186"/>
      <c r="G346" s="186"/>
      <c r="H346" s="186"/>
      <c r="I346" s="186"/>
      <c r="L346" s="185"/>
      <c r="N346" s="185"/>
      <c r="P346" s="4" t="str">
        <f>IF(A346&lt;&gt;"",VLOOKUP(A346,Rackfile_combined!$B:$C,2,false),"")</f>
        <v/>
      </c>
    </row>
    <row r="347">
      <c r="A347" s="186"/>
      <c r="B347" s="186"/>
      <c r="C347" s="186"/>
      <c r="D347" s="186"/>
      <c r="E347" s="186"/>
      <c r="F347" s="186"/>
      <c r="G347" s="186"/>
      <c r="H347" s="186"/>
      <c r="I347" s="186"/>
      <c r="L347" s="185"/>
      <c r="N347" s="185"/>
      <c r="P347" s="4" t="str">
        <f>IF(A347&lt;&gt;"",VLOOKUP(A347,Rackfile_combined!$B:$C,2,false),"")</f>
        <v/>
      </c>
    </row>
    <row r="348">
      <c r="A348" s="186"/>
      <c r="B348" s="186"/>
      <c r="C348" s="186"/>
      <c r="D348" s="186"/>
      <c r="E348" s="186"/>
      <c r="F348" s="186"/>
      <c r="G348" s="186"/>
      <c r="H348" s="186"/>
      <c r="I348" s="186"/>
      <c r="L348" s="185"/>
      <c r="N348" s="185"/>
      <c r="P348" s="4" t="str">
        <f>IF(A348&lt;&gt;"",VLOOKUP(A348,Rackfile_combined!$B:$C,2,false),"")</f>
        <v/>
      </c>
    </row>
    <row r="349">
      <c r="A349" s="186"/>
      <c r="B349" s="186"/>
      <c r="C349" s="186"/>
      <c r="D349" s="186"/>
      <c r="E349" s="186"/>
      <c r="F349" s="186"/>
      <c r="G349" s="186"/>
      <c r="H349" s="186"/>
      <c r="I349" s="186"/>
      <c r="L349" s="185"/>
      <c r="N349" s="185"/>
      <c r="P349" s="4" t="str">
        <f>IF(A349&lt;&gt;"",VLOOKUP(A349,Rackfile_combined!$B:$C,2,false),"")</f>
        <v/>
      </c>
    </row>
    <row r="350">
      <c r="A350" s="186"/>
      <c r="B350" s="186"/>
      <c r="C350" s="186"/>
      <c r="D350" s="186"/>
      <c r="E350" s="186"/>
      <c r="F350" s="186"/>
      <c r="G350" s="186"/>
      <c r="H350" s="186"/>
      <c r="I350" s="186"/>
      <c r="L350" s="185"/>
      <c r="N350" s="185"/>
      <c r="P350" s="4" t="str">
        <f>IF(A350&lt;&gt;"",VLOOKUP(A350,Rackfile_combined!$B:$C,2,false),"")</f>
        <v/>
      </c>
    </row>
    <row r="351">
      <c r="A351" s="186"/>
      <c r="B351" s="186"/>
      <c r="C351" s="186"/>
      <c r="D351" s="186"/>
      <c r="E351" s="186"/>
      <c r="F351" s="186"/>
      <c r="G351" s="186"/>
      <c r="H351" s="186"/>
      <c r="I351" s="186"/>
      <c r="L351" s="185"/>
      <c r="N351" s="185"/>
      <c r="P351" s="4" t="str">
        <f>IF(A351&lt;&gt;"",VLOOKUP(A351,Rackfile_combined!$B:$C,2,false),"")</f>
        <v/>
      </c>
    </row>
    <row r="352">
      <c r="A352" s="186"/>
      <c r="B352" s="186"/>
      <c r="C352" s="186"/>
      <c r="D352" s="186"/>
      <c r="E352" s="186"/>
      <c r="F352" s="186"/>
      <c r="G352" s="186"/>
      <c r="H352" s="186"/>
      <c r="I352" s="186"/>
      <c r="L352" s="185"/>
      <c r="N352" s="185"/>
      <c r="P352" s="4" t="str">
        <f>IF(A352&lt;&gt;"",VLOOKUP(A352,Rackfile_combined!$B:$C,2,false),"")</f>
        <v/>
      </c>
    </row>
    <row r="353">
      <c r="A353" s="186"/>
      <c r="B353" s="186"/>
      <c r="C353" s="186"/>
      <c r="D353" s="186"/>
      <c r="E353" s="186"/>
      <c r="F353" s="186"/>
      <c r="G353" s="186"/>
      <c r="H353" s="186"/>
      <c r="I353" s="186"/>
      <c r="L353" s="185"/>
      <c r="N353" s="185"/>
      <c r="P353" s="4" t="str">
        <f>IF(A353&lt;&gt;"",VLOOKUP(A353,Rackfile_combined!$B:$C,2,false),"")</f>
        <v/>
      </c>
    </row>
    <row r="354">
      <c r="A354" s="186"/>
      <c r="B354" s="186"/>
      <c r="C354" s="186"/>
      <c r="D354" s="186"/>
      <c r="E354" s="186"/>
      <c r="F354" s="186"/>
      <c r="G354" s="186"/>
      <c r="H354" s="186"/>
      <c r="I354" s="186"/>
      <c r="L354" s="185"/>
      <c r="N354" s="185"/>
      <c r="P354" s="4" t="str">
        <f>IF(A354&lt;&gt;"",VLOOKUP(A354,Rackfile_combined!$B:$C,2,false),"")</f>
        <v/>
      </c>
    </row>
    <row r="355">
      <c r="A355" s="186"/>
      <c r="B355" s="186"/>
      <c r="C355" s="186"/>
      <c r="D355" s="186"/>
      <c r="E355" s="186"/>
      <c r="F355" s="186"/>
      <c r="G355" s="186"/>
      <c r="H355" s="186"/>
      <c r="I355" s="186"/>
      <c r="L355" s="185"/>
      <c r="N355" s="185"/>
      <c r="P355" s="4" t="str">
        <f>IF(A355&lt;&gt;"",VLOOKUP(A355,Rackfile_combined!$B:$C,2,false),"")</f>
        <v/>
      </c>
    </row>
    <row r="356">
      <c r="A356" s="186"/>
      <c r="B356" s="186"/>
      <c r="C356" s="186"/>
      <c r="D356" s="186"/>
      <c r="E356" s="186"/>
      <c r="F356" s="186"/>
      <c r="G356" s="186"/>
      <c r="H356" s="186"/>
      <c r="I356" s="186"/>
      <c r="L356" s="185"/>
      <c r="N356" s="185"/>
      <c r="P356" s="4" t="str">
        <f>IF(A356&lt;&gt;"",VLOOKUP(A356,Rackfile_combined!$B:$C,2,false),"")</f>
        <v/>
      </c>
    </row>
    <row r="357">
      <c r="A357" s="186"/>
      <c r="B357" s="186"/>
      <c r="C357" s="186"/>
      <c r="D357" s="186"/>
      <c r="E357" s="186"/>
      <c r="F357" s="186"/>
      <c r="G357" s="186"/>
      <c r="H357" s="186"/>
      <c r="I357" s="186"/>
      <c r="L357" s="185"/>
      <c r="N357" s="185"/>
      <c r="P357" s="4" t="str">
        <f>IF(A357&lt;&gt;"",VLOOKUP(A357,Rackfile_combined!$B:$C,2,false),"")</f>
        <v/>
      </c>
    </row>
    <row r="358">
      <c r="A358" s="186"/>
      <c r="B358" s="186"/>
      <c r="C358" s="186"/>
      <c r="D358" s="186"/>
      <c r="E358" s="186"/>
      <c r="F358" s="186"/>
      <c r="G358" s="186"/>
      <c r="H358" s="186"/>
      <c r="I358" s="186"/>
      <c r="L358" s="185"/>
      <c r="N358" s="185"/>
      <c r="P358" s="4" t="str">
        <f>IF(A358&lt;&gt;"",VLOOKUP(A358,Rackfile_combined!$B:$C,2,false),"")</f>
        <v/>
      </c>
    </row>
    <row r="359">
      <c r="A359" s="186"/>
      <c r="B359" s="186"/>
      <c r="C359" s="186"/>
      <c r="D359" s="186"/>
      <c r="E359" s="186"/>
      <c r="F359" s="186"/>
      <c r="G359" s="186"/>
      <c r="H359" s="186"/>
      <c r="I359" s="186"/>
      <c r="L359" s="185"/>
      <c r="N359" s="185"/>
      <c r="P359" s="4" t="str">
        <f>IF(A359&lt;&gt;"",VLOOKUP(A359,Rackfile_combined!$B:$C,2,false),"")</f>
        <v/>
      </c>
    </row>
    <row r="360">
      <c r="A360" s="186"/>
      <c r="B360" s="186"/>
      <c r="C360" s="186"/>
      <c r="D360" s="186"/>
      <c r="E360" s="186"/>
      <c r="F360" s="186"/>
      <c r="G360" s="186"/>
      <c r="H360" s="186"/>
      <c r="I360" s="186"/>
      <c r="L360" s="185"/>
      <c r="N360" s="185"/>
      <c r="P360" s="4" t="str">
        <f>IF(A360&lt;&gt;"",VLOOKUP(A360,Rackfile_combined!$B:$C,2,false),"")</f>
        <v/>
      </c>
    </row>
    <row r="361">
      <c r="A361" s="186"/>
      <c r="B361" s="186"/>
      <c r="C361" s="186"/>
      <c r="D361" s="186"/>
      <c r="E361" s="186"/>
      <c r="F361" s="186"/>
      <c r="G361" s="186"/>
      <c r="H361" s="186"/>
      <c r="I361" s="186"/>
      <c r="L361" s="185"/>
      <c r="N361" s="185"/>
      <c r="P361" s="4" t="str">
        <f>IF(A361&lt;&gt;"",VLOOKUP(A361,Rackfile_combined!$B:$C,2,false),"")</f>
        <v/>
      </c>
    </row>
    <row r="362">
      <c r="A362" s="186"/>
      <c r="B362" s="186"/>
      <c r="C362" s="186"/>
      <c r="D362" s="186"/>
      <c r="E362" s="186"/>
      <c r="F362" s="186"/>
      <c r="G362" s="186"/>
      <c r="H362" s="186"/>
      <c r="I362" s="186"/>
      <c r="L362" s="185"/>
      <c r="N362" s="185"/>
      <c r="P362" s="4" t="str">
        <f>IF(A362&lt;&gt;"",VLOOKUP(A362,Rackfile_combined!$B:$C,2,false),"")</f>
        <v/>
      </c>
    </row>
    <row r="363">
      <c r="A363" s="186"/>
      <c r="B363" s="186"/>
      <c r="C363" s="186"/>
      <c r="D363" s="186"/>
      <c r="E363" s="186"/>
      <c r="F363" s="186"/>
      <c r="G363" s="186"/>
      <c r="H363" s="186"/>
      <c r="I363" s="186"/>
      <c r="L363" s="185"/>
      <c r="N363" s="185"/>
      <c r="P363" s="4" t="str">
        <f>IF(A363&lt;&gt;"",VLOOKUP(A363,Rackfile_combined!$B:$C,2,false),"")</f>
        <v/>
      </c>
    </row>
    <row r="364">
      <c r="A364" s="186"/>
      <c r="B364" s="186"/>
      <c r="C364" s="186"/>
      <c r="D364" s="186"/>
      <c r="E364" s="186"/>
      <c r="F364" s="186"/>
      <c r="G364" s="186"/>
      <c r="H364" s="186"/>
      <c r="I364" s="186"/>
      <c r="L364" s="185"/>
      <c r="N364" s="185"/>
      <c r="P364" s="4" t="str">
        <f>IF(A364&lt;&gt;"",VLOOKUP(A364,Rackfile_combined!$B:$C,2,false),"")</f>
        <v/>
      </c>
    </row>
    <row r="365">
      <c r="A365" s="186"/>
      <c r="B365" s="186"/>
      <c r="C365" s="186"/>
      <c r="D365" s="186"/>
      <c r="E365" s="186"/>
      <c r="F365" s="186"/>
      <c r="G365" s="186"/>
      <c r="H365" s="186"/>
      <c r="I365" s="186"/>
      <c r="L365" s="185"/>
      <c r="N365" s="185"/>
      <c r="P365" s="4" t="str">
        <f>IF(A365&lt;&gt;"",VLOOKUP(A365,Rackfile_combined!$B:$C,2,false),"")</f>
        <v/>
      </c>
    </row>
    <row r="366">
      <c r="A366" s="186"/>
      <c r="B366" s="186"/>
      <c r="C366" s="186"/>
      <c r="D366" s="186"/>
      <c r="E366" s="186"/>
      <c r="F366" s="186"/>
      <c r="G366" s="186"/>
      <c r="H366" s="186"/>
      <c r="I366" s="186"/>
      <c r="L366" s="185"/>
      <c r="N366" s="185"/>
      <c r="P366" s="4" t="str">
        <f>IF(A366&lt;&gt;"",VLOOKUP(A366,Rackfile_combined!$B:$C,2,false),"")</f>
        <v/>
      </c>
    </row>
    <row r="367">
      <c r="A367" s="186"/>
      <c r="B367" s="186"/>
      <c r="C367" s="186"/>
      <c r="D367" s="186"/>
      <c r="E367" s="186"/>
      <c r="F367" s="186"/>
      <c r="G367" s="186"/>
      <c r="H367" s="186"/>
      <c r="I367" s="186"/>
      <c r="L367" s="185"/>
      <c r="N367" s="185"/>
      <c r="P367" s="4" t="str">
        <f>IF(A367&lt;&gt;"",VLOOKUP(A367,Rackfile_combined!$B:$C,2,false),"")</f>
        <v/>
      </c>
    </row>
    <row r="368">
      <c r="A368" s="186"/>
      <c r="B368" s="186"/>
      <c r="C368" s="186"/>
      <c r="D368" s="186"/>
      <c r="E368" s="186"/>
      <c r="F368" s="186"/>
      <c r="G368" s="186"/>
      <c r="H368" s="186"/>
      <c r="I368" s="186"/>
      <c r="L368" s="185"/>
      <c r="N368" s="185"/>
      <c r="P368" s="4" t="str">
        <f>IF(A368&lt;&gt;"",VLOOKUP(A368,Rackfile_combined!$B:$C,2,false),"")</f>
        <v/>
      </c>
    </row>
    <row r="369">
      <c r="A369" s="186"/>
      <c r="B369" s="186"/>
      <c r="C369" s="186"/>
      <c r="D369" s="186"/>
      <c r="E369" s="186"/>
      <c r="F369" s="186"/>
      <c r="G369" s="186"/>
      <c r="H369" s="186"/>
      <c r="I369" s="186"/>
      <c r="L369" s="185"/>
      <c r="N369" s="185"/>
      <c r="P369" s="4" t="str">
        <f>IF(A369&lt;&gt;"",VLOOKUP(A369,Rackfile_combined!$B:$C,2,false),"")</f>
        <v/>
      </c>
    </row>
    <row r="370">
      <c r="A370" s="186"/>
      <c r="B370" s="186"/>
      <c r="C370" s="186"/>
      <c r="D370" s="186"/>
      <c r="E370" s="186"/>
      <c r="F370" s="186"/>
      <c r="G370" s="186"/>
      <c r="H370" s="186"/>
      <c r="I370" s="186"/>
      <c r="L370" s="185"/>
      <c r="N370" s="185"/>
      <c r="P370" s="4" t="str">
        <f>IF(A370&lt;&gt;"",VLOOKUP(A370,Rackfile_combined!$B:$C,2,false),"")</f>
        <v/>
      </c>
    </row>
    <row r="371">
      <c r="A371" s="186"/>
      <c r="B371" s="186"/>
      <c r="C371" s="186"/>
      <c r="D371" s="186"/>
      <c r="E371" s="186"/>
      <c r="F371" s="186"/>
      <c r="G371" s="186"/>
      <c r="H371" s="186"/>
      <c r="I371" s="186"/>
      <c r="L371" s="185"/>
      <c r="N371" s="185"/>
      <c r="P371" s="4" t="str">
        <f>IF(A371&lt;&gt;"",VLOOKUP(A371,Rackfile_combined!$B:$C,2,false),"")</f>
        <v/>
      </c>
    </row>
    <row r="372">
      <c r="A372" s="186"/>
      <c r="B372" s="186"/>
      <c r="C372" s="186"/>
      <c r="D372" s="186"/>
      <c r="E372" s="186"/>
      <c r="F372" s="186"/>
      <c r="G372" s="186"/>
      <c r="H372" s="186"/>
      <c r="I372" s="186"/>
      <c r="L372" s="185"/>
      <c r="N372" s="185"/>
      <c r="P372" s="4" t="str">
        <f>IF(A372&lt;&gt;"",VLOOKUP(A372,Rackfile_combined!$B:$C,2,false),"")</f>
        <v/>
      </c>
    </row>
    <row r="373">
      <c r="A373" s="186"/>
      <c r="B373" s="186"/>
      <c r="C373" s="186"/>
      <c r="D373" s="186"/>
      <c r="E373" s="186"/>
      <c r="F373" s="186"/>
      <c r="G373" s="186"/>
      <c r="H373" s="186"/>
      <c r="I373" s="186"/>
      <c r="L373" s="185"/>
      <c r="N373" s="185"/>
      <c r="P373" s="4" t="str">
        <f>IF(A373&lt;&gt;"",VLOOKUP(A373,Rackfile_combined!$B:$C,2,false),"")</f>
        <v/>
      </c>
    </row>
    <row r="374">
      <c r="A374" s="186"/>
      <c r="B374" s="186"/>
      <c r="C374" s="186"/>
      <c r="D374" s="186"/>
      <c r="E374" s="186"/>
      <c r="F374" s="186"/>
      <c r="G374" s="186"/>
      <c r="H374" s="186"/>
      <c r="I374" s="186"/>
      <c r="L374" s="185"/>
      <c r="N374" s="185"/>
      <c r="P374" s="4" t="str">
        <f>IF(A374&lt;&gt;"",VLOOKUP(A374,Rackfile_combined!$B:$C,2,false),"")</f>
        <v/>
      </c>
    </row>
    <row r="375">
      <c r="A375" s="186"/>
      <c r="B375" s="186"/>
      <c r="C375" s="186"/>
      <c r="D375" s="186"/>
      <c r="E375" s="186"/>
      <c r="F375" s="186"/>
      <c r="G375" s="186"/>
      <c r="H375" s="186"/>
      <c r="I375" s="186"/>
      <c r="L375" s="185"/>
      <c r="N375" s="185"/>
      <c r="P375" s="4" t="str">
        <f>IF(A375&lt;&gt;"",VLOOKUP(A375,Rackfile_combined!$B:$C,2,false),"")</f>
        <v/>
      </c>
    </row>
    <row r="376">
      <c r="A376" s="186"/>
      <c r="B376" s="186"/>
      <c r="C376" s="186"/>
      <c r="D376" s="186"/>
      <c r="E376" s="186"/>
      <c r="F376" s="186"/>
      <c r="G376" s="186"/>
      <c r="H376" s="186"/>
      <c r="I376" s="186"/>
      <c r="L376" s="185"/>
      <c r="N376" s="185"/>
      <c r="P376" s="4" t="str">
        <f>IF(A376&lt;&gt;"",VLOOKUP(A376,Rackfile_combined!$B:$C,2,false),"")</f>
        <v/>
      </c>
    </row>
    <row r="377">
      <c r="A377" s="186"/>
      <c r="B377" s="186"/>
      <c r="C377" s="186"/>
      <c r="D377" s="186"/>
      <c r="E377" s="186"/>
      <c r="F377" s="186"/>
      <c r="G377" s="186"/>
      <c r="H377" s="186"/>
      <c r="I377" s="186"/>
      <c r="L377" s="185"/>
      <c r="N377" s="185"/>
      <c r="P377" s="4" t="str">
        <f>IF(A377&lt;&gt;"",VLOOKUP(A377,Rackfile_combined!$B:$C,2,false),"")</f>
        <v/>
      </c>
    </row>
    <row r="378">
      <c r="A378" s="186"/>
      <c r="B378" s="186"/>
      <c r="C378" s="186"/>
      <c r="D378" s="186"/>
      <c r="E378" s="186"/>
      <c r="F378" s="186"/>
      <c r="G378" s="186"/>
      <c r="H378" s="186"/>
      <c r="I378" s="186"/>
      <c r="L378" s="185"/>
      <c r="N378" s="185"/>
      <c r="P378" s="4" t="str">
        <f>IF(A378&lt;&gt;"",VLOOKUP(A378,Rackfile_combined!$B:$C,2,false),"")</f>
        <v/>
      </c>
    </row>
    <row r="379">
      <c r="A379" s="186"/>
      <c r="B379" s="186"/>
      <c r="C379" s="186"/>
      <c r="D379" s="186"/>
      <c r="E379" s="186"/>
      <c r="F379" s="186"/>
      <c r="G379" s="186"/>
      <c r="H379" s="186"/>
      <c r="I379" s="186"/>
      <c r="L379" s="185"/>
      <c r="N379" s="185"/>
      <c r="P379" s="4" t="str">
        <f>IF(A379&lt;&gt;"",VLOOKUP(A379,Rackfile_combined!$B:$C,2,false),"")</f>
        <v/>
      </c>
    </row>
    <row r="380">
      <c r="A380" s="186"/>
      <c r="B380" s="186"/>
      <c r="C380" s="186"/>
      <c r="D380" s="186"/>
      <c r="E380" s="186"/>
      <c r="F380" s="186"/>
      <c r="G380" s="186"/>
      <c r="H380" s="186"/>
      <c r="I380" s="186"/>
      <c r="L380" s="185"/>
      <c r="N380" s="185"/>
      <c r="P380" s="4" t="str">
        <f>IF(A380&lt;&gt;"",VLOOKUP(A380,Rackfile_combined!$B:$C,2,false),"")</f>
        <v/>
      </c>
    </row>
    <row r="381">
      <c r="A381" s="186"/>
      <c r="B381" s="186"/>
      <c r="C381" s="186"/>
      <c r="D381" s="186"/>
      <c r="E381" s="186"/>
      <c r="F381" s="186"/>
      <c r="G381" s="186"/>
      <c r="H381" s="186"/>
      <c r="I381" s="186"/>
      <c r="L381" s="185"/>
      <c r="N381" s="185"/>
      <c r="P381" s="4" t="str">
        <f>IF(A381&lt;&gt;"",VLOOKUP(A381,Rackfile_combined!$B:$C,2,false),"")</f>
        <v/>
      </c>
    </row>
    <row r="382">
      <c r="A382" s="186"/>
      <c r="B382" s="186"/>
      <c r="C382" s="186"/>
      <c r="D382" s="186"/>
      <c r="E382" s="186"/>
      <c r="F382" s="186"/>
      <c r="G382" s="186"/>
      <c r="H382" s="186"/>
      <c r="I382" s="186"/>
      <c r="L382" s="185"/>
      <c r="N382" s="185"/>
      <c r="P382" s="4" t="str">
        <f>IF(A382&lt;&gt;"",VLOOKUP(A382,Rackfile_combined!$B:$C,2,false),"")</f>
        <v/>
      </c>
    </row>
    <row r="383">
      <c r="A383" s="186"/>
      <c r="B383" s="186"/>
      <c r="C383" s="186"/>
      <c r="D383" s="186"/>
      <c r="E383" s="186"/>
      <c r="F383" s="186"/>
      <c r="G383" s="186"/>
      <c r="H383" s="186"/>
      <c r="I383" s="186"/>
      <c r="L383" s="185"/>
      <c r="N383" s="185"/>
      <c r="P383" s="4" t="str">
        <f>IF(A383&lt;&gt;"",VLOOKUP(A383,Rackfile_combined!$B:$C,2,false),"")</f>
        <v/>
      </c>
    </row>
    <row r="384">
      <c r="A384" s="186"/>
      <c r="B384" s="186"/>
      <c r="C384" s="186"/>
      <c r="D384" s="186"/>
      <c r="E384" s="186"/>
      <c r="F384" s="186"/>
      <c r="G384" s="186"/>
      <c r="H384" s="186"/>
      <c r="I384" s="186"/>
      <c r="L384" s="185"/>
      <c r="N384" s="185"/>
      <c r="P384" s="4" t="str">
        <f>IF(A384&lt;&gt;"",VLOOKUP(A384,Rackfile_combined!$B:$C,2,false),"")</f>
        <v/>
      </c>
    </row>
    <row r="385">
      <c r="A385" s="186"/>
      <c r="B385" s="186"/>
      <c r="C385" s="186"/>
      <c r="D385" s="186"/>
      <c r="E385" s="186"/>
      <c r="F385" s="186"/>
      <c r="G385" s="186"/>
      <c r="H385" s="186"/>
      <c r="I385" s="186"/>
      <c r="L385" s="185"/>
      <c r="N385" s="185"/>
      <c r="P385" s="4" t="str">
        <f>IF(A385&lt;&gt;"",VLOOKUP(A385,Rackfile_combined!$B:$C,2,false),"")</f>
        <v/>
      </c>
    </row>
    <row r="386">
      <c r="A386" s="186"/>
      <c r="B386" s="186"/>
      <c r="C386" s="186"/>
      <c r="D386" s="186"/>
      <c r="E386" s="186"/>
      <c r="F386" s="186"/>
      <c r="G386" s="186"/>
      <c r="H386" s="186"/>
      <c r="I386" s="186"/>
      <c r="L386" s="185"/>
      <c r="N386" s="185"/>
      <c r="P386" s="4" t="str">
        <f>IF(A386&lt;&gt;"",VLOOKUP(A386,Rackfile_combined!$B:$C,2,false),"")</f>
        <v/>
      </c>
    </row>
    <row r="387">
      <c r="A387" s="186"/>
      <c r="B387" s="186"/>
      <c r="C387" s="186"/>
      <c r="D387" s="186"/>
      <c r="E387" s="186"/>
      <c r="F387" s="186"/>
      <c r="G387" s="186"/>
      <c r="H387" s="186"/>
      <c r="I387" s="186"/>
      <c r="L387" s="185"/>
      <c r="N387" s="185"/>
      <c r="P387" s="4" t="str">
        <f>IF(A387&lt;&gt;"",VLOOKUP(A387,Rackfile_combined!$B:$C,2,false),"")</f>
        <v/>
      </c>
    </row>
    <row r="388">
      <c r="A388" s="186"/>
      <c r="B388" s="186"/>
      <c r="C388" s="186"/>
      <c r="D388" s="186"/>
      <c r="E388" s="186"/>
      <c r="F388" s="186"/>
      <c r="G388" s="186"/>
      <c r="H388" s="186"/>
      <c r="I388" s="186"/>
      <c r="L388" s="185"/>
      <c r="N388" s="185"/>
      <c r="P388" s="4" t="str">
        <f>IF(A388&lt;&gt;"",VLOOKUP(A388,Rackfile_combined!$B:$C,2,false),"")</f>
        <v/>
      </c>
    </row>
    <row r="389">
      <c r="A389" s="186"/>
      <c r="B389" s="186"/>
      <c r="C389" s="186"/>
      <c r="D389" s="186"/>
      <c r="E389" s="186"/>
      <c r="F389" s="186"/>
      <c r="G389" s="186"/>
      <c r="H389" s="186"/>
      <c r="I389" s="186"/>
      <c r="L389" s="185"/>
      <c r="N389" s="185"/>
      <c r="P389" s="4" t="str">
        <f>IF(A389&lt;&gt;"",VLOOKUP(A389,Rackfile_combined!$B:$C,2,false),"")</f>
        <v/>
      </c>
    </row>
    <row r="390">
      <c r="A390" s="186"/>
      <c r="B390" s="186"/>
      <c r="C390" s="186"/>
      <c r="D390" s="186"/>
      <c r="E390" s="186"/>
      <c r="F390" s="186"/>
      <c r="G390" s="186"/>
      <c r="H390" s="186"/>
      <c r="I390" s="186"/>
      <c r="L390" s="185"/>
      <c r="N390" s="185"/>
      <c r="P390" s="4" t="str">
        <f>IF(A390&lt;&gt;"",VLOOKUP(A390,Rackfile_combined!$B:$C,2,false),"")</f>
        <v/>
      </c>
    </row>
    <row r="391">
      <c r="A391" s="186"/>
      <c r="B391" s="186"/>
      <c r="C391" s="186"/>
      <c r="D391" s="186"/>
      <c r="E391" s="186"/>
      <c r="F391" s="186"/>
      <c r="G391" s="186"/>
      <c r="H391" s="186"/>
      <c r="I391" s="186"/>
      <c r="L391" s="185"/>
      <c r="N391" s="185"/>
      <c r="P391" s="4" t="str">
        <f>IF(A391&lt;&gt;"",VLOOKUP(A391,Rackfile_combined!$B:$C,2,false),"")</f>
        <v/>
      </c>
    </row>
    <row r="392">
      <c r="A392" s="186"/>
      <c r="B392" s="186"/>
      <c r="C392" s="186"/>
      <c r="D392" s="186"/>
      <c r="E392" s="186"/>
      <c r="F392" s="186"/>
      <c r="G392" s="186"/>
      <c r="H392" s="186"/>
      <c r="I392" s="186"/>
      <c r="L392" s="185"/>
      <c r="N392" s="185"/>
      <c r="P392" s="4" t="str">
        <f>IF(A392&lt;&gt;"",VLOOKUP(A392,Rackfile_combined!$B:$C,2,false),"")</f>
        <v/>
      </c>
    </row>
    <row r="393">
      <c r="A393" s="186"/>
      <c r="B393" s="186"/>
      <c r="C393" s="186"/>
      <c r="D393" s="186"/>
      <c r="E393" s="186"/>
      <c r="F393" s="186"/>
      <c r="G393" s="186"/>
      <c r="H393" s="186"/>
      <c r="I393" s="186"/>
      <c r="L393" s="185"/>
      <c r="N393" s="185"/>
      <c r="P393" s="4" t="str">
        <f>IF(A393&lt;&gt;"",VLOOKUP(A393,Rackfile_combined!$B:$C,2,false),"")</f>
        <v/>
      </c>
    </row>
    <row r="394">
      <c r="A394" s="186"/>
      <c r="B394" s="186"/>
      <c r="C394" s="186"/>
      <c r="D394" s="186"/>
      <c r="E394" s="186"/>
      <c r="F394" s="186"/>
      <c r="G394" s="186"/>
      <c r="H394" s="186"/>
      <c r="I394" s="186"/>
      <c r="L394" s="185"/>
      <c r="N394" s="185"/>
      <c r="P394" s="4" t="str">
        <f>IF(A394&lt;&gt;"",VLOOKUP(A394,Rackfile_combined!$B:$C,2,false),"")</f>
        <v/>
      </c>
    </row>
    <row r="395">
      <c r="A395" s="186"/>
      <c r="B395" s="186"/>
      <c r="C395" s="186"/>
      <c r="D395" s="186"/>
      <c r="E395" s="186"/>
      <c r="F395" s="186"/>
      <c r="G395" s="186"/>
      <c r="H395" s="186"/>
      <c r="I395" s="186"/>
      <c r="L395" s="185"/>
      <c r="N395" s="185"/>
      <c r="P395" s="4" t="str">
        <f>IF(A395&lt;&gt;"",VLOOKUP(A395,Rackfile_combined!$B:$C,2,false),"")</f>
        <v/>
      </c>
    </row>
    <row r="396">
      <c r="A396" s="186"/>
      <c r="B396" s="186"/>
      <c r="C396" s="186"/>
      <c r="D396" s="186"/>
      <c r="E396" s="186"/>
      <c r="F396" s="186"/>
      <c r="G396" s="186"/>
      <c r="H396" s="186"/>
      <c r="I396" s="186"/>
      <c r="L396" s="185"/>
      <c r="N396" s="185"/>
      <c r="P396" s="4" t="str">
        <f>IF(A396&lt;&gt;"",VLOOKUP(A396,Rackfile_combined!$B:$C,2,false),"")</f>
        <v/>
      </c>
    </row>
    <row r="397">
      <c r="A397" s="186"/>
      <c r="B397" s="186"/>
      <c r="C397" s="186"/>
      <c r="D397" s="186"/>
      <c r="E397" s="186"/>
      <c r="F397" s="186"/>
      <c r="G397" s="186"/>
      <c r="H397" s="186"/>
      <c r="I397" s="186"/>
      <c r="L397" s="185"/>
      <c r="N397" s="185"/>
      <c r="P397" s="4" t="str">
        <f>IF(A397&lt;&gt;"",VLOOKUP(A397,Rackfile_combined!$B:$C,2,false),"")</f>
        <v/>
      </c>
    </row>
    <row r="398">
      <c r="A398" s="186"/>
      <c r="B398" s="186"/>
      <c r="C398" s="186"/>
      <c r="D398" s="186"/>
      <c r="E398" s="186"/>
      <c r="F398" s="186"/>
      <c r="G398" s="186"/>
      <c r="H398" s="186"/>
      <c r="I398" s="186"/>
      <c r="L398" s="185"/>
      <c r="N398" s="185"/>
      <c r="P398" s="4" t="str">
        <f>IF(A398&lt;&gt;"",VLOOKUP(A398,Rackfile_combined!$B:$C,2,false),"")</f>
        <v/>
      </c>
    </row>
    <row r="399">
      <c r="A399" s="186"/>
      <c r="B399" s="186"/>
      <c r="C399" s="186"/>
      <c r="D399" s="186"/>
      <c r="E399" s="186"/>
      <c r="F399" s="186"/>
      <c r="G399" s="186"/>
      <c r="H399" s="186"/>
      <c r="I399" s="186"/>
      <c r="L399" s="185"/>
      <c r="N399" s="185"/>
      <c r="P399" s="4" t="str">
        <f>IF(A399&lt;&gt;"",VLOOKUP(A399,Rackfile_combined!$B:$C,2,false),"")</f>
        <v/>
      </c>
    </row>
    <row r="400">
      <c r="A400" s="186"/>
      <c r="B400" s="186"/>
      <c r="C400" s="186"/>
      <c r="D400" s="186"/>
      <c r="E400" s="186"/>
      <c r="F400" s="186"/>
      <c r="G400" s="186"/>
      <c r="H400" s="186"/>
      <c r="I400" s="186"/>
      <c r="L400" s="185"/>
      <c r="N400" s="185"/>
      <c r="P400" s="4" t="str">
        <f>IF(A400&lt;&gt;"",VLOOKUP(A400,Rackfile_combined!$B:$C,2,false),"")</f>
        <v/>
      </c>
    </row>
    <row r="401">
      <c r="A401" s="186"/>
      <c r="B401" s="186"/>
      <c r="C401" s="186"/>
      <c r="D401" s="186"/>
      <c r="E401" s="186"/>
      <c r="F401" s="186"/>
      <c r="G401" s="186"/>
      <c r="H401" s="186"/>
      <c r="I401" s="186"/>
      <c r="L401" s="185"/>
      <c r="N401" s="185"/>
      <c r="P401" s="4" t="str">
        <f>IF(A401&lt;&gt;"",VLOOKUP(A401,Rackfile_combined!$B:$C,2,false),"")</f>
        <v/>
      </c>
    </row>
    <row r="402">
      <c r="A402" s="186"/>
      <c r="B402" s="186"/>
      <c r="C402" s="186"/>
      <c r="D402" s="186"/>
      <c r="E402" s="186"/>
      <c r="F402" s="186"/>
      <c r="G402" s="186"/>
      <c r="H402" s="186"/>
      <c r="I402" s="186"/>
      <c r="L402" s="185"/>
      <c r="N402" s="185"/>
      <c r="P402" s="4" t="str">
        <f>IF(A402&lt;&gt;"",VLOOKUP(A402,Rackfile_combined!$B:$C,2,false),"")</f>
        <v/>
      </c>
    </row>
    <row r="403">
      <c r="A403" s="186"/>
      <c r="B403" s="186"/>
      <c r="C403" s="186"/>
      <c r="D403" s="186"/>
      <c r="E403" s="186"/>
      <c r="F403" s="186"/>
      <c r="G403" s="186"/>
      <c r="H403" s="186"/>
      <c r="I403" s="186"/>
      <c r="L403" s="185"/>
      <c r="N403" s="185"/>
      <c r="P403" s="4" t="str">
        <f>IF(A403&lt;&gt;"",VLOOKUP(A403,Rackfile_combined!$B:$C,2,false),"")</f>
        <v/>
      </c>
    </row>
    <row r="404">
      <c r="A404" s="186"/>
      <c r="B404" s="186"/>
      <c r="C404" s="186"/>
      <c r="D404" s="186"/>
      <c r="E404" s="186"/>
      <c r="F404" s="186"/>
      <c r="G404" s="186"/>
      <c r="H404" s="186"/>
      <c r="I404" s="186"/>
      <c r="L404" s="185"/>
      <c r="N404" s="185"/>
      <c r="P404" s="4" t="str">
        <f>IF(A404&lt;&gt;"",VLOOKUP(A404,Rackfile_combined!$B:$C,2,false),"")</f>
        <v/>
      </c>
    </row>
    <row r="405">
      <c r="A405" s="186"/>
      <c r="B405" s="186"/>
      <c r="C405" s="186"/>
      <c r="D405" s="186"/>
      <c r="E405" s="186"/>
      <c r="F405" s="186"/>
      <c r="G405" s="186"/>
      <c r="H405" s="186"/>
      <c r="I405" s="186"/>
      <c r="L405" s="185"/>
      <c r="N405" s="185"/>
      <c r="P405" s="4" t="str">
        <f>IF(A405&lt;&gt;"",VLOOKUP(A405,Rackfile_combined!$B:$C,2,false),"")</f>
        <v/>
      </c>
    </row>
    <row r="406">
      <c r="A406" s="186"/>
      <c r="B406" s="186"/>
      <c r="C406" s="186"/>
      <c r="D406" s="186"/>
      <c r="E406" s="186"/>
      <c r="F406" s="186"/>
      <c r="G406" s="186"/>
      <c r="H406" s="186"/>
      <c r="I406" s="186"/>
      <c r="L406" s="185"/>
      <c r="N406" s="185"/>
      <c r="P406" s="4" t="str">
        <f>IF(A406&lt;&gt;"",VLOOKUP(A406,Rackfile_combined!$B:$C,2,false),"")</f>
        <v/>
      </c>
    </row>
    <row r="407">
      <c r="A407" s="186"/>
      <c r="B407" s="186"/>
      <c r="C407" s="186"/>
      <c r="D407" s="186"/>
      <c r="E407" s="186"/>
      <c r="F407" s="186"/>
      <c r="G407" s="186"/>
      <c r="H407" s="186"/>
      <c r="I407" s="186"/>
      <c r="L407" s="185"/>
      <c r="N407" s="185"/>
      <c r="P407" s="4" t="str">
        <f>IF(A407&lt;&gt;"",VLOOKUP(A407,Rackfile_combined!$B:$C,2,false),"")</f>
        <v/>
      </c>
    </row>
    <row r="408">
      <c r="A408" s="186"/>
      <c r="B408" s="186"/>
      <c r="C408" s="186"/>
      <c r="D408" s="186"/>
      <c r="E408" s="186"/>
      <c r="F408" s="186"/>
      <c r="G408" s="186"/>
      <c r="H408" s="186"/>
      <c r="I408" s="186"/>
      <c r="L408" s="185"/>
      <c r="N408" s="185"/>
      <c r="P408" s="4" t="str">
        <f>IF(A408&lt;&gt;"",VLOOKUP(A408,Rackfile_combined!$B:$C,2,false),"")</f>
        <v/>
      </c>
    </row>
    <row r="409">
      <c r="A409" s="186"/>
      <c r="B409" s="186"/>
      <c r="C409" s="186"/>
      <c r="D409" s="186"/>
      <c r="E409" s="186"/>
      <c r="F409" s="186"/>
      <c r="G409" s="186"/>
      <c r="H409" s="186"/>
      <c r="I409" s="186"/>
      <c r="L409" s="185"/>
      <c r="N409" s="185"/>
      <c r="P409" s="4" t="str">
        <f>IF(A409&lt;&gt;"",VLOOKUP(A409,Rackfile_combined!$B:$C,2,false),"")</f>
        <v/>
      </c>
    </row>
    <row r="410">
      <c r="A410" s="186"/>
      <c r="B410" s="186"/>
      <c r="C410" s="186"/>
      <c r="D410" s="186"/>
      <c r="E410" s="186"/>
      <c r="F410" s="186"/>
      <c r="G410" s="186"/>
      <c r="H410" s="186"/>
      <c r="I410" s="186"/>
      <c r="L410" s="185"/>
      <c r="N410" s="185"/>
      <c r="P410" s="4" t="str">
        <f>IF(A410&lt;&gt;"",VLOOKUP(A410,Rackfile_combined!$B:$C,2,false),"")</f>
        <v/>
      </c>
    </row>
    <row r="411">
      <c r="A411" s="186"/>
      <c r="B411" s="186"/>
      <c r="C411" s="186"/>
      <c r="D411" s="186"/>
      <c r="E411" s="186"/>
      <c r="F411" s="186"/>
      <c r="G411" s="186"/>
      <c r="H411" s="186"/>
      <c r="I411" s="186"/>
      <c r="L411" s="185"/>
      <c r="N411" s="185"/>
      <c r="P411" s="4" t="str">
        <f>IF(A411&lt;&gt;"",VLOOKUP(A411,Rackfile_combined!$B:$C,2,false),"")</f>
        <v/>
      </c>
    </row>
    <row r="412">
      <c r="A412" s="186"/>
      <c r="B412" s="186"/>
      <c r="C412" s="186"/>
      <c r="D412" s="186"/>
      <c r="E412" s="186"/>
      <c r="F412" s="186"/>
      <c r="G412" s="186"/>
      <c r="H412" s="186"/>
      <c r="I412" s="186"/>
      <c r="L412" s="185"/>
      <c r="N412" s="185"/>
      <c r="P412" s="4" t="str">
        <f>IF(A412&lt;&gt;"",VLOOKUP(A412,Rackfile_combined!$B:$C,2,false),"")</f>
        <v/>
      </c>
    </row>
    <row r="413">
      <c r="A413" s="186"/>
      <c r="B413" s="186"/>
      <c r="C413" s="186"/>
      <c r="D413" s="186"/>
      <c r="E413" s="186"/>
      <c r="F413" s="186"/>
      <c r="G413" s="186"/>
      <c r="H413" s="186"/>
      <c r="I413" s="186"/>
      <c r="L413" s="185"/>
      <c r="N413" s="185"/>
      <c r="P413" s="4" t="str">
        <f>IF(A413&lt;&gt;"",VLOOKUP(A413,Rackfile_combined!$B:$C,2,false),"")</f>
        <v/>
      </c>
    </row>
    <row r="414">
      <c r="A414" s="186"/>
      <c r="B414" s="186"/>
      <c r="C414" s="186"/>
      <c r="D414" s="186"/>
      <c r="E414" s="186"/>
      <c r="F414" s="186"/>
      <c r="G414" s="186"/>
      <c r="H414" s="186"/>
      <c r="I414" s="186"/>
      <c r="L414" s="185"/>
      <c r="N414" s="185"/>
      <c r="P414" s="4" t="str">
        <f>IF(A414&lt;&gt;"",VLOOKUP(A414,Rackfile_combined!$B:$C,2,false),"")</f>
        <v/>
      </c>
    </row>
    <row r="415">
      <c r="A415" s="186"/>
      <c r="B415" s="186"/>
      <c r="C415" s="186"/>
      <c r="D415" s="186"/>
      <c r="E415" s="186"/>
      <c r="F415" s="186"/>
      <c r="G415" s="186"/>
      <c r="H415" s="186"/>
      <c r="I415" s="186"/>
      <c r="L415" s="185"/>
      <c r="N415" s="185"/>
      <c r="P415" s="4" t="str">
        <f>IF(A415&lt;&gt;"",VLOOKUP(A415,Rackfile_combined!$B:$C,2,false),"")</f>
        <v/>
      </c>
    </row>
    <row r="416">
      <c r="A416" s="186"/>
      <c r="B416" s="186"/>
      <c r="C416" s="186"/>
      <c r="D416" s="186"/>
      <c r="E416" s="186"/>
      <c r="F416" s="186"/>
      <c r="G416" s="186"/>
      <c r="H416" s="186"/>
      <c r="I416" s="186"/>
      <c r="L416" s="185"/>
      <c r="N416" s="185"/>
      <c r="P416" s="4" t="str">
        <f>IF(A416&lt;&gt;"",VLOOKUP(A416,Rackfile_combined!$B:$C,2,false),"")</f>
        <v/>
      </c>
    </row>
    <row r="417">
      <c r="A417" s="186"/>
      <c r="B417" s="186"/>
      <c r="C417" s="186"/>
      <c r="D417" s="186"/>
      <c r="E417" s="186"/>
      <c r="F417" s="186"/>
      <c r="G417" s="186"/>
      <c r="H417" s="186"/>
      <c r="I417" s="186"/>
      <c r="L417" s="185"/>
      <c r="N417" s="185"/>
      <c r="P417" s="4" t="str">
        <f>IF(A417&lt;&gt;"",VLOOKUP(A417,Rackfile_combined!$B:$C,2,false),"")</f>
        <v/>
      </c>
    </row>
    <row r="418">
      <c r="A418" s="186"/>
      <c r="B418" s="186"/>
      <c r="C418" s="186"/>
      <c r="D418" s="186"/>
      <c r="E418" s="186"/>
      <c r="F418" s="186"/>
      <c r="G418" s="186"/>
      <c r="H418" s="186"/>
      <c r="I418" s="186"/>
      <c r="L418" s="185"/>
      <c r="N418" s="185"/>
      <c r="P418" s="4" t="str">
        <f>IF(A418&lt;&gt;"",VLOOKUP(A418,Rackfile_combined!$B:$C,2,false),"")</f>
        <v/>
      </c>
    </row>
    <row r="419">
      <c r="A419" s="186"/>
      <c r="B419" s="186"/>
      <c r="C419" s="186"/>
      <c r="D419" s="186"/>
      <c r="E419" s="186"/>
      <c r="F419" s="186"/>
      <c r="G419" s="186"/>
      <c r="H419" s="186"/>
      <c r="I419" s="186"/>
      <c r="L419" s="185"/>
      <c r="N419" s="185"/>
      <c r="P419" s="4" t="str">
        <f>IF(A419&lt;&gt;"",VLOOKUP(A419,Rackfile_combined!$B:$C,2,false),"")</f>
        <v/>
      </c>
    </row>
    <row r="420">
      <c r="A420" s="186"/>
      <c r="B420" s="186"/>
      <c r="C420" s="186"/>
      <c r="D420" s="186"/>
      <c r="E420" s="186"/>
      <c r="F420" s="186"/>
      <c r="G420" s="186"/>
      <c r="H420" s="186"/>
      <c r="I420" s="186"/>
      <c r="L420" s="185"/>
      <c r="N420" s="185"/>
      <c r="P420" s="4" t="str">
        <f>IF(A420&lt;&gt;"",VLOOKUP(A420,Rackfile_combined!$B:$C,2,false),"")</f>
        <v/>
      </c>
    </row>
    <row r="421">
      <c r="A421" s="186"/>
      <c r="B421" s="186"/>
      <c r="C421" s="186"/>
      <c r="D421" s="186"/>
      <c r="E421" s="186"/>
      <c r="F421" s="186"/>
      <c r="G421" s="186"/>
      <c r="H421" s="186"/>
      <c r="I421" s="186"/>
      <c r="L421" s="185"/>
      <c r="N421" s="185"/>
      <c r="P421" s="4" t="str">
        <f>IF(A421&lt;&gt;"",VLOOKUP(A421,Rackfile_combined!$B:$C,2,false),"")</f>
        <v/>
      </c>
    </row>
    <row r="422">
      <c r="A422" s="186"/>
      <c r="B422" s="186"/>
      <c r="C422" s="186"/>
      <c r="D422" s="186"/>
      <c r="E422" s="186"/>
      <c r="F422" s="186"/>
      <c r="G422" s="186"/>
      <c r="H422" s="186"/>
      <c r="I422" s="186"/>
      <c r="L422" s="185"/>
      <c r="N422" s="185"/>
      <c r="P422" s="4" t="str">
        <f>IF(A422&lt;&gt;"",VLOOKUP(A422,Rackfile_combined!$B:$C,2,false),"")</f>
        <v/>
      </c>
    </row>
    <row r="423">
      <c r="A423" s="186"/>
      <c r="B423" s="186"/>
      <c r="C423" s="186"/>
      <c r="D423" s="186"/>
      <c r="E423" s="186"/>
      <c r="F423" s="186"/>
      <c r="G423" s="186"/>
      <c r="H423" s="186"/>
      <c r="I423" s="186"/>
      <c r="L423" s="185"/>
      <c r="N423" s="185"/>
      <c r="P423" s="4" t="str">
        <f>IF(A423&lt;&gt;"",VLOOKUP(A423,Rackfile_combined!$B:$C,2,false),"")</f>
        <v/>
      </c>
    </row>
    <row r="424">
      <c r="A424" s="186"/>
      <c r="B424" s="186"/>
      <c r="C424" s="186"/>
      <c r="D424" s="186"/>
      <c r="E424" s="186"/>
      <c r="F424" s="186"/>
      <c r="G424" s="186"/>
      <c r="H424" s="186"/>
      <c r="I424" s="186"/>
      <c r="L424" s="185"/>
      <c r="N424" s="185"/>
      <c r="P424" s="4" t="str">
        <f>IF(A424&lt;&gt;"",VLOOKUP(A424,Rackfile_combined!$B:$C,2,false),"")</f>
        <v/>
      </c>
    </row>
    <row r="425">
      <c r="A425" s="186"/>
      <c r="B425" s="186"/>
      <c r="C425" s="186"/>
      <c r="D425" s="186"/>
      <c r="E425" s="186"/>
      <c r="F425" s="186"/>
      <c r="G425" s="186"/>
      <c r="H425" s="186"/>
      <c r="I425" s="186"/>
      <c r="L425" s="185"/>
      <c r="N425" s="185"/>
      <c r="P425" s="4" t="str">
        <f>IF(A425&lt;&gt;"",VLOOKUP(A425,Rackfile_combined!$B:$C,2,false),"")</f>
        <v/>
      </c>
    </row>
    <row r="426">
      <c r="A426" s="186"/>
      <c r="B426" s="186"/>
      <c r="C426" s="186"/>
      <c r="D426" s="186"/>
      <c r="E426" s="186"/>
      <c r="F426" s="186"/>
      <c r="G426" s="186"/>
      <c r="H426" s="186"/>
      <c r="I426" s="186"/>
      <c r="L426" s="185"/>
      <c r="N426" s="185"/>
      <c r="P426" s="4" t="str">
        <f>IF(A426&lt;&gt;"",VLOOKUP(A426,Rackfile_combined!$B:$C,2,false),"")</f>
        <v/>
      </c>
    </row>
    <row r="427">
      <c r="A427" s="186"/>
      <c r="B427" s="186"/>
      <c r="C427" s="186"/>
      <c r="D427" s="186"/>
      <c r="E427" s="186"/>
      <c r="F427" s="186"/>
      <c r="G427" s="186"/>
      <c r="H427" s="186"/>
      <c r="I427" s="186"/>
      <c r="L427" s="185"/>
      <c r="N427" s="185"/>
      <c r="P427" s="4" t="str">
        <f>IF(A427&lt;&gt;"",VLOOKUP(A427,Rackfile_combined!$B:$C,2,false),"")</f>
        <v/>
      </c>
    </row>
    <row r="428">
      <c r="A428" s="186"/>
      <c r="B428" s="186"/>
      <c r="C428" s="186"/>
      <c r="D428" s="186"/>
      <c r="E428" s="186"/>
      <c r="F428" s="186"/>
      <c r="G428" s="186"/>
      <c r="H428" s="186"/>
      <c r="I428" s="186"/>
      <c r="L428" s="185"/>
      <c r="N428" s="185"/>
      <c r="P428" s="4" t="str">
        <f>IF(A428&lt;&gt;"",VLOOKUP(A428,Rackfile_combined!$B:$C,2,false),"")</f>
        <v/>
      </c>
    </row>
    <row r="429">
      <c r="A429" s="186"/>
      <c r="B429" s="186"/>
      <c r="C429" s="186"/>
      <c r="D429" s="186"/>
      <c r="E429" s="186"/>
      <c r="F429" s="186"/>
      <c r="G429" s="186"/>
      <c r="H429" s="186"/>
      <c r="I429" s="186"/>
      <c r="L429" s="185"/>
      <c r="N429" s="185"/>
      <c r="P429" s="4" t="str">
        <f>IF(A429&lt;&gt;"",VLOOKUP(A429,Rackfile_combined!$B:$C,2,false),"")</f>
        <v/>
      </c>
    </row>
    <row r="430">
      <c r="A430" s="186"/>
      <c r="B430" s="186"/>
      <c r="C430" s="186"/>
      <c r="D430" s="186"/>
      <c r="E430" s="186"/>
      <c r="F430" s="186"/>
      <c r="G430" s="186"/>
      <c r="H430" s="186"/>
      <c r="I430" s="186"/>
      <c r="L430" s="185"/>
      <c r="N430" s="185"/>
      <c r="P430" s="4" t="str">
        <f>IF(A430&lt;&gt;"",VLOOKUP(A430,Rackfile_combined!$B:$C,2,false),"")</f>
        <v/>
      </c>
    </row>
    <row r="431">
      <c r="A431" s="186"/>
      <c r="B431" s="186"/>
      <c r="C431" s="186"/>
      <c r="D431" s="186"/>
      <c r="E431" s="186"/>
      <c r="F431" s="186"/>
      <c r="G431" s="186"/>
      <c r="H431" s="186"/>
      <c r="I431" s="186"/>
      <c r="L431" s="185"/>
      <c r="N431" s="185"/>
      <c r="P431" s="4" t="str">
        <f>IF(A431&lt;&gt;"",VLOOKUP(A431,Rackfile_combined!$B:$C,2,false),"")</f>
        <v/>
      </c>
    </row>
    <row r="432">
      <c r="A432" s="186"/>
      <c r="B432" s="186"/>
      <c r="C432" s="186"/>
      <c r="D432" s="186"/>
      <c r="E432" s="186"/>
      <c r="F432" s="186"/>
      <c r="G432" s="186"/>
      <c r="H432" s="186"/>
      <c r="I432" s="186"/>
      <c r="L432" s="185"/>
      <c r="N432" s="185"/>
      <c r="P432" s="4" t="str">
        <f>IF(A432&lt;&gt;"",VLOOKUP(A432,Rackfile_combined!$B:$C,2,false),"")</f>
        <v/>
      </c>
    </row>
    <row r="433">
      <c r="A433" s="186"/>
      <c r="B433" s="186"/>
      <c r="C433" s="186"/>
      <c r="D433" s="186"/>
      <c r="E433" s="186"/>
      <c r="F433" s="186"/>
      <c r="G433" s="186"/>
      <c r="H433" s="186"/>
      <c r="I433" s="186"/>
      <c r="L433" s="185"/>
      <c r="N433" s="185"/>
      <c r="P433" s="4" t="str">
        <f>IF(A433&lt;&gt;"",VLOOKUP(A433,Rackfile_combined!$B:$C,2,false),"")</f>
        <v/>
      </c>
    </row>
    <row r="434">
      <c r="A434" s="186"/>
      <c r="B434" s="186"/>
      <c r="C434" s="186"/>
      <c r="D434" s="186"/>
      <c r="E434" s="186"/>
      <c r="F434" s="186"/>
      <c r="G434" s="186"/>
      <c r="H434" s="186"/>
      <c r="I434" s="186"/>
      <c r="L434" s="185"/>
      <c r="N434" s="185"/>
      <c r="P434" s="4" t="str">
        <f>IF(A434&lt;&gt;"",VLOOKUP(A434,Rackfile_combined!$B:$C,2,false),"")</f>
        <v/>
      </c>
    </row>
    <row r="435">
      <c r="A435" s="186"/>
      <c r="B435" s="186"/>
      <c r="C435" s="186"/>
      <c r="D435" s="186"/>
      <c r="E435" s="186"/>
      <c r="F435" s="186"/>
      <c r="G435" s="186"/>
      <c r="H435" s="186"/>
      <c r="I435" s="186"/>
      <c r="L435" s="185"/>
      <c r="N435" s="185"/>
      <c r="P435" s="4" t="str">
        <f>IF(A435&lt;&gt;"",VLOOKUP(A435,Rackfile_combined!$B:$C,2,false),"")</f>
        <v/>
      </c>
    </row>
    <row r="436">
      <c r="A436" s="186"/>
      <c r="B436" s="186"/>
      <c r="C436" s="186"/>
      <c r="D436" s="186"/>
      <c r="E436" s="186"/>
      <c r="F436" s="186"/>
      <c r="G436" s="186"/>
      <c r="H436" s="186"/>
      <c r="I436" s="186"/>
      <c r="L436" s="185"/>
      <c r="N436" s="185"/>
      <c r="P436" s="4" t="str">
        <f>IF(A436&lt;&gt;"",VLOOKUP(A436,Rackfile_combined!$B:$C,2,false),"")</f>
        <v/>
      </c>
    </row>
    <row r="437">
      <c r="A437" s="186"/>
      <c r="B437" s="186"/>
      <c r="C437" s="186"/>
      <c r="D437" s="186"/>
      <c r="E437" s="186"/>
      <c r="F437" s="186"/>
      <c r="G437" s="186"/>
      <c r="H437" s="186"/>
      <c r="I437" s="186"/>
      <c r="L437" s="185"/>
      <c r="N437" s="185"/>
      <c r="P437" s="4" t="str">
        <f>IF(A437&lt;&gt;"",VLOOKUP(A437,Rackfile_combined!$B:$C,2,false),"")</f>
        <v/>
      </c>
    </row>
    <row r="438">
      <c r="A438" s="186"/>
      <c r="B438" s="186"/>
      <c r="C438" s="186"/>
      <c r="D438" s="186"/>
      <c r="E438" s="186"/>
      <c r="F438" s="186"/>
      <c r="G438" s="186"/>
      <c r="H438" s="186"/>
      <c r="I438" s="186"/>
      <c r="L438" s="185"/>
      <c r="N438" s="185"/>
      <c r="P438" s="4" t="str">
        <f>IF(A438&lt;&gt;"",VLOOKUP(A438,Rackfile_combined!$B:$C,2,false),"")</f>
        <v/>
      </c>
    </row>
    <row r="439">
      <c r="A439" s="186"/>
      <c r="B439" s="186"/>
      <c r="C439" s="186"/>
      <c r="D439" s="186"/>
      <c r="E439" s="186"/>
      <c r="F439" s="186"/>
      <c r="G439" s="186"/>
      <c r="H439" s="186"/>
      <c r="I439" s="186"/>
      <c r="L439" s="185"/>
      <c r="N439" s="185"/>
      <c r="P439" s="4" t="str">
        <f>IF(A439&lt;&gt;"",VLOOKUP(A439,Rackfile_combined!$B:$C,2,false),"")</f>
        <v/>
      </c>
    </row>
    <row r="440">
      <c r="A440" s="186"/>
      <c r="B440" s="186"/>
      <c r="C440" s="186"/>
      <c r="D440" s="186"/>
      <c r="E440" s="186"/>
      <c r="F440" s="186"/>
      <c r="G440" s="186"/>
      <c r="H440" s="186"/>
      <c r="I440" s="186"/>
      <c r="L440" s="185"/>
      <c r="N440" s="185"/>
      <c r="P440" s="4" t="str">
        <f>IF(A440&lt;&gt;"",VLOOKUP(A440,Rackfile_combined!$B:$C,2,false),"")</f>
        <v/>
      </c>
    </row>
    <row r="441">
      <c r="A441" s="186"/>
      <c r="B441" s="186"/>
      <c r="C441" s="186"/>
      <c r="D441" s="186"/>
      <c r="E441" s="186"/>
      <c r="F441" s="186"/>
      <c r="G441" s="186"/>
      <c r="H441" s="186"/>
      <c r="I441" s="186"/>
      <c r="L441" s="185"/>
      <c r="N441" s="185"/>
      <c r="P441" s="4" t="str">
        <f>IF(A441&lt;&gt;"",VLOOKUP(A441,Rackfile_combined!$B:$C,2,false),"")</f>
        <v/>
      </c>
    </row>
    <row r="442">
      <c r="A442" s="186"/>
      <c r="B442" s="186"/>
      <c r="C442" s="186"/>
      <c r="D442" s="186"/>
      <c r="E442" s="186"/>
      <c r="F442" s="186"/>
      <c r="G442" s="186"/>
      <c r="H442" s="186"/>
      <c r="I442" s="186"/>
      <c r="L442" s="185"/>
      <c r="N442" s="185"/>
      <c r="P442" s="4" t="str">
        <f>IF(A442&lt;&gt;"",VLOOKUP(A442,Rackfile_combined!$B:$C,2,false),"")</f>
        <v/>
      </c>
    </row>
    <row r="443">
      <c r="A443" s="186"/>
      <c r="B443" s="186"/>
      <c r="C443" s="186"/>
      <c r="D443" s="186"/>
      <c r="E443" s="186"/>
      <c r="F443" s="186"/>
      <c r="G443" s="186"/>
      <c r="H443" s="186"/>
      <c r="I443" s="186"/>
      <c r="L443" s="185"/>
      <c r="N443" s="185"/>
      <c r="P443" s="4" t="str">
        <f>IF(A443&lt;&gt;"",VLOOKUP(A443,Rackfile_combined!$B:$C,2,false),"")</f>
        <v/>
      </c>
    </row>
    <row r="444">
      <c r="A444" s="186"/>
      <c r="B444" s="186"/>
      <c r="C444" s="186"/>
      <c r="D444" s="186"/>
      <c r="E444" s="186"/>
      <c r="F444" s="186"/>
      <c r="G444" s="186"/>
      <c r="H444" s="186"/>
      <c r="I444" s="186"/>
      <c r="L444" s="185"/>
      <c r="N444" s="185"/>
      <c r="P444" s="4" t="str">
        <f>IF(A444&lt;&gt;"",VLOOKUP(A444,Rackfile_combined!$B:$C,2,false),"")</f>
        <v/>
      </c>
    </row>
    <row r="445">
      <c r="A445" s="186"/>
      <c r="B445" s="186"/>
      <c r="C445" s="186"/>
      <c r="D445" s="186"/>
      <c r="E445" s="186"/>
      <c r="F445" s="186"/>
      <c r="G445" s="186"/>
      <c r="H445" s="186"/>
      <c r="I445" s="186"/>
      <c r="L445" s="185"/>
      <c r="N445" s="185"/>
      <c r="P445" s="4" t="str">
        <f>IF(A445&lt;&gt;"",VLOOKUP(A445,Rackfile_combined!$B:$C,2,false),"")</f>
        <v/>
      </c>
    </row>
    <row r="446">
      <c r="A446" s="186"/>
      <c r="B446" s="186"/>
      <c r="C446" s="186"/>
      <c r="D446" s="186"/>
      <c r="E446" s="186"/>
      <c r="F446" s="186"/>
      <c r="G446" s="186"/>
      <c r="H446" s="186"/>
      <c r="I446" s="186"/>
      <c r="L446" s="185"/>
      <c r="N446" s="185"/>
      <c r="P446" s="4" t="str">
        <f>IF(A446&lt;&gt;"",VLOOKUP(A446,Rackfile_combined!$B:$C,2,false),"")</f>
        <v/>
      </c>
    </row>
    <row r="447">
      <c r="A447" s="186"/>
      <c r="B447" s="186"/>
      <c r="C447" s="186"/>
      <c r="D447" s="186"/>
      <c r="E447" s="186"/>
      <c r="F447" s="186"/>
      <c r="G447" s="186"/>
      <c r="H447" s="186"/>
      <c r="I447" s="186"/>
      <c r="L447" s="185"/>
      <c r="N447" s="185"/>
      <c r="P447" s="4" t="str">
        <f>IF(A447&lt;&gt;"",VLOOKUP(A447,Rackfile_combined!$B:$C,2,false),"")</f>
        <v/>
      </c>
    </row>
    <row r="448">
      <c r="A448" s="186"/>
      <c r="B448" s="186"/>
      <c r="C448" s="186"/>
      <c r="D448" s="186"/>
      <c r="E448" s="186"/>
      <c r="F448" s="186"/>
      <c r="G448" s="186"/>
      <c r="H448" s="186"/>
      <c r="I448" s="186"/>
      <c r="L448" s="185"/>
      <c r="N448" s="185"/>
      <c r="P448" s="4" t="str">
        <f>IF(A448&lt;&gt;"",VLOOKUP(A448,Rackfile_combined!$B:$C,2,false),"")</f>
        <v/>
      </c>
    </row>
    <row r="449">
      <c r="A449" s="186"/>
      <c r="B449" s="186"/>
      <c r="C449" s="186"/>
      <c r="D449" s="186"/>
      <c r="E449" s="186"/>
      <c r="F449" s="186"/>
      <c r="G449" s="186"/>
      <c r="H449" s="186"/>
      <c r="I449" s="186"/>
      <c r="L449" s="185"/>
      <c r="N449" s="185"/>
      <c r="P449" s="4" t="str">
        <f>IF(A449&lt;&gt;"",VLOOKUP(A449,Rackfile_combined!$B:$C,2,false),"")</f>
        <v/>
      </c>
    </row>
    <row r="450">
      <c r="A450" s="186"/>
      <c r="B450" s="186"/>
      <c r="C450" s="186"/>
      <c r="D450" s="186"/>
      <c r="E450" s="186"/>
      <c r="F450" s="186"/>
      <c r="G450" s="186"/>
      <c r="H450" s="186"/>
      <c r="I450" s="186"/>
      <c r="L450" s="185"/>
      <c r="N450" s="185"/>
      <c r="P450" s="4" t="str">
        <f>IF(A450&lt;&gt;"",VLOOKUP(A450,Rackfile_combined!$B:$C,2,false),"")</f>
        <v/>
      </c>
    </row>
    <row r="451">
      <c r="A451" s="186"/>
      <c r="B451" s="186"/>
      <c r="C451" s="186"/>
      <c r="D451" s="186"/>
      <c r="E451" s="186"/>
      <c r="F451" s="186"/>
      <c r="G451" s="186"/>
      <c r="H451" s="186"/>
      <c r="I451" s="186"/>
      <c r="L451" s="185"/>
      <c r="N451" s="185"/>
      <c r="P451" s="4" t="str">
        <f>IF(A451&lt;&gt;"",VLOOKUP(A451,Rackfile_combined!$B:$C,2,false),"")</f>
        <v/>
      </c>
    </row>
    <row r="452">
      <c r="A452" s="186"/>
      <c r="B452" s="186"/>
      <c r="C452" s="186"/>
      <c r="D452" s="186"/>
      <c r="E452" s="186"/>
      <c r="F452" s="186"/>
      <c r="G452" s="186"/>
      <c r="H452" s="186"/>
      <c r="I452" s="186"/>
      <c r="L452" s="185"/>
      <c r="N452" s="185"/>
      <c r="P452" s="4" t="str">
        <f>IF(A452&lt;&gt;"",VLOOKUP(A452,Rackfile_combined!$B:$C,2,false),"")</f>
        <v/>
      </c>
    </row>
    <row r="453">
      <c r="A453" s="186"/>
      <c r="B453" s="186"/>
      <c r="C453" s="186"/>
      <c r="D453" s="186"/>
      <c r="E453" s="186"/>
      <c r="F453" s="186"/>
      <c r="G453" s="186"/>
      <c r="H453" s="186"/>
      <c r="I453" s="186"/>
      <c r="L453" s="185"/>
      <c r="N453" s="185"/>
      <c r="P453" s="4" t="str">
        <f>IF(A453&lt;&gt;"",VLOOKUP(A453,Rackfile_combined!$B:$C,2,false),"")</f>
        <v/>
      </c>
    </row>
    <row r="454">
      <c r="A454" s="186"/>
      <c r="B454" s="186"/>
      <c r="C454" s="186"/>
      <c r="D454" s="186"/>
      <c r="E454" s="186"/>
      <c r="F454" s="186"/>
      <c r="G454" s="186"/>
      <c r="H454" s="186"/>
      <c r="I454" s="186"/>
      <c r="L454" s="185"/>
      <c r="N454" s="185"/>
      <c r="P454" s="4" t="str">
        <f>IF(A454&lt;&gt;"",VLOOKUP(A454,Rackfile_combined!$B:$C,2,false),"")</f>
        <v/>
      </c>
    </row>
    <row r="455">
      <c r="A455" s="186"/>
      <c r="B455" s="186"/>
      <c r="C455" s="186"/>
      <c r="D455" s="186"/>
      <c r="E455" s="186"/>
      <c r="F455" s="186"/>
      <c r="G455" s="186"/>
      <c r="H455" s="186"/>
      <c r="I455" s="186"/>
      <c r="L455" s="185"/>
      <c r="N455" s="185"/>
      <c r="P455" s="4" t="str">
        <f>IF(A455&lt;&gt;"",VLOOKUP(A455,Rackfile_combined!$B:$C,2,false),"")</f>
        <v/>
      </c>
    </row>
    <row r="456">
      <c r="A456" s="186"/>
      <c r="B456" s="186"/>
      <c r="C456" s="186"/>
      <c r="D456" s="186"/>
      <c r="E456" s="186"/>
      <c r="F456" s="186"/>
      <c r="G456" s="186"/>
      <c r="H456" s="186"/>
      <c r="I456" s="186"/>
      <c r="L456" s="185"/>
      <c r="N456" s="185"/>
      <c r="P456" s="4" t="str">
        <f>IF(A456&lt;&gt;"",VLOOKUP(A456,Rackfile_combined!$B:$C,2,false),"")</f>
        <v/>
      </c>
    </row>
    <row r="457">
      <c r="A457" s="186"/>
      <c r="B457" s="186"/>
      <c r="C457" s="186"/>
      <c r="D457" s="186"/>
      <c r="E457" s="186"/>
      <c r="F457" s="186"/>
      <c r="G457" s="186"/>
      <c r="H457" s="186"/>
      <c r="I457" s="186"/>
      <c r="L457" s="185"/>
      <c r="N457" s="185"/>
      <c r="P457" s="4" t="str">
        <f>IF(A457&lt;&gt;"",VLOOKUP(A457,Rackfile_combined!$B:$C,2,false),"")</f>
        <v/>
      </c>
    </row>
    <row r="458">
      <c r="A458" s="186"/>
      <c r="B458" s="186"/>
      <c r="C458" s="186"/>
      <c r="D458" s="186"/>
      <c r="E458" s="186"/>
      <c r="F458" s="186"/>
      <c r="G458" s="186"/>
      <c r="H458" s="186"/>
      <c r="I458" s="186"/>
      <c r="L458" s="185"/>
      <c r="N458" s="185"/>
      <c r="P458" s="4" t="str">
        <f>IF(A458&lt;&gt;"",VLOOKUP(A458,Rackfile_combined!$B:$C,2,false),"")</f>
        <v/>
      </c>
    </row>
    <row r="459">
      <c r="A459" s="186"/>
      <c r="B459" s="186"/>
      <c r="C459" s="186"/>
      <c r="D459" s="186"/>
      <c r="E459" s="186"/>
      <c r="F459" s="186"/>
      <c r="G459" s="186"/>
      <c r="H459" s="186"/>
      <c r="I459" s="186"/>
      <c r="L459" s="185"/>
      <c r="N459" s="185"/>
      <c r="P459" s="4" t="str">
        <f>IF(A459&lt;&gt;"",VLOOKUP(A459,Rackfile_combined!$B:$C,2,false),"")</f>
        <v/>
      </c>
    </row>
    <row r="460">
      <c r="A460" s="186"/>
      <c r="B460" s="186"/>
      <c r="C460" s="186"/>
      <c r="D460" s="186"/>
      <c r="E460" s="186"/>
      <c r="F460" s="186"/>
      <c r="G460" s="186"/>
      <c r="H460" s="186"/>
      <c r="I460" s="186"/>
      <c r="L460" s="185"/>
      <c r="N460" s="185"/>
      <c r="P460" s="4" t="str">
        <f>IF(A460&lt;&gt;"",VLOOKUP(A460,Rackfile_combined!$B:$C,2,false),"")</f>
        <v/>
      </c>
    </row>
    <row r="461">
      <c r="A461" s="186"/>
      <c r="B461" s="186"/>
      <c r="C461" s="186"/>
      <c r="D461" s="186"/>
      <c r="E461" s="186"/>
      <c r="F461" s="186"/>
      <c r="G461" s="186"/>
      <c r="H461" s="186"/>
      <c r="I461" s="186"/>
      <c r="L461" s="185"/>
      <c r="N461" s="185"/>
      <c r="P461" s="4" t="str">
        <f>IF(A461&lt;&gt;"",VLOOKUP(A461,Rackfile_combined!$B:$C,2,false),"")</f>
        <v/>
      </c>
    </row>
    <row r="462">
      <c r="A462" s="186"/>
      <c r="B462" s="186"/>
      <c r="C462" s="186"/>
      <c r="D462" s="186"/>
      <c r="E462" s="186"/>
      <c r="F462" s="186"/>
      <c r="G462" s="186"/>
      <c r="H462" s="186"/>
      <c r="I462" s="186"/>
      <c r="L462" s="185"/>
      <c r="N462" s="185"/>
      <c r="P462" s="4" t="str">
        <f>IF(A462&lt;&gt;"",VLOOKUP(A462,Rackfile_combined!$B:$C,2,false),"")</f>
        <v/>
      </c>
    </row>
    <row r="463">
      <c r="A463" s="186"/>
      <c r="B463" s="186"/>
      <c r="C463" s="186"/>
      <c r="D463" s="186"/>
      <c r="E463" s="186"/>
      <c r="F463" s="186"/>
      <c r="G463" s="186"/>
      <c r="H463" s="186"/>
      <c r="I463" s="186"/>
      <c r="L463" s="185"/>
      <c r="N463" s="185"/>
      <c r="P463" s="4" t="str">
        <f>IF(A463&lt;&gt;"",VLOOKUP(A463,Rackfile_combined!$B:$C,2,false),"")</f>
        <v/>
      </c>
    </row>
    <row r="464">
      <c r="A464" s="186"/>
      <c r="B464" s="186"/>
      <c r="C464" s="186"/>
      <c r="D464" s="186"/>
      <c r="E464" s="186"/>
      <c r="F464" s="186"/>
      <c r="G464" s="186"/>
      <c r="H464" s="186"/>
      <c r="I464" s="186"/>
      <c r="L464" s="185"/>
      <c r="N464" s="185"/>
      <c r="P464" s="4" t="str">
        <f>IF(A464&lt;&gt;"",VLOOKUP(A464,Rackfile_combined!$B:$C,2,false),"")</f>
        <v/>
      </c>
    </row>
    <row r="465">
      <c r="A465" s="186"/>
      <c r="B465" s="186"/>
      <c r="C465" s="186"/>
      <c r="D465" s="186"/>
      <c r="E465" s="186"/>
      <c r="F465" s="186"/>
      <c r="G465" s="186"/>
      <c r="H465" s="186"/>
      <c r="I465" s="186"/>
      <c r="L465" s="185"/>
      <c r="N465" s="185"/>
      <c r="P465" s="4" t="str">
        <f>IF(A465&lt;&gt;"",VLOOKUP(A465,Rackfile_combined!$B:$C,2,false),"")</f>
        <v/>
      </c>
    </row>
    <row r="466">
      <c r="A466" s="186"/>
      <c r="B466" s="186"/>
      <c r="C466" s="186"/>
      <c r="D466" s="186"/>
      <c r="E466" s="186"/>
      <c r="F466" s="186"/>
      <c r="G466" s="186"/>
      <c r="H466" s="186"/>
      <c r="I466" s="186"/>
      <c r="L466" s="185"/>
      <c r="N466" s="185"/>
      <c r="P466" s="4" t="str">
        <f>IF(A466&lt;&gt;"",VLOOKUP(A466,Rackfile_combined!$B:$C,2,false),"")</f>
        <v/>
      </c>
    </row>
    <row r="467">
      <c r="A467" s="186"/>
      <c r="B467" s="186"/>
      <c r="C467" s="186"/>
      <c r="D467" s="186"/>
      <c r="E467" s="186"/>
      <c r="F467" s="186"/>
      <c r="G467" s="186"/>
      <c r="H467" s="186"/>
      <c r="I467" s="186"/>
      <c r="L467" s="185"/>
      <c r="N467" s="185"/>
      <c r="P467" s="4" t="str">
        <f>IF(A467&lt;&gt;"",VLOOKUP(A467,Rackfile_combined!$B:$C,2,false),"")</f>
        <v/>
      </c>
    </row>
    <row r="468">
      <c r="A468" s="186"/>
      <c r="B468" s="186"/>
      <c r="C468" s="186"/>
      <c r="D468" s="186"/>
      <c r="E468" s="186"/>
      <c r="F468" s="186"/>
      <c r="G468" s="186"/>
      <c r="H468" s="186"/>
      <c r="I468" s="186"/>
      <c r="L468" s="185"/>
      <c r="N468" s="185"/>
      <c r="P468" s="4" t="str">
        <f>IF(A468&lt;&gt;"",VLOOKUP(A468,Rackfile_combined!$B:$C,2,false),"")</f>
        <v/>
      </c>
    </row>
    <row r="469">
      <c r="A469" s="186"/>
      <c r="B469" s="186"/>
      <c r="C469" s="186"/>
      <c r="D469" s="186"/>
      <c r="E469" s="186"/>
      <c r="F469" s="186"/>
      <c r="G469" s="186"/>
      <c r="H469" s="186"/>
      <c r="I469" s="186"/>
      <c r="L469" s="185"/>
      <c r="N469" s="185"/>
      <c r="P469" s="4" t="str">
        <f>IF(A469&lt;&gt;"",VLOOKUP(A469,Rackfile_combined!$B:$C,2,false),"")</f>
        <v/>
      </c>
    </row>
    <row r="470">
      <c r="A470" s="186"/>
      <c r="B470" s="186"/>
      <c r="C470" s="186"/>
      <c r="D470" s="186"/>
      <c r="E470" s="186"/>
      <c r="F470" s="186"/>
      <c r="G470" s="186"/>
      <c r="H470" s="186"/>
      <c r="I470" s="186"/>
      <c r="L470" s="185"/>
      <c r="N470" s="185"/>
      <c r="P470" s="4" t="str">
        <f>IF(A470&lt;&gt;"",VLOOKUP(A470,Rackfile_combined!$B:$C,2,false),"")</f>
        <v/>
      </c>
    </row>
    <row r="471">
      <c r="A471" s="186"/>
      <c r="B471" s="186"/>
      <c r="C471" s="186"/>
      <c r="D471" s="186"/>
      <c r="E471" s="186"/>
      <c r="F471" s="186"/>
      <c r="G471" s="186"/>
      <c r="H471" s="186"/>
      <c r="I471" s="186"/>
      <c r="L471" s="185"/>
      <c r="N471" s="185"/>
      <c r="P471" s="4" t="str">
        <f>IF(A471&lt;&gt;"",VLOOKUP(A471,Rackfile_combined!$B:$C,2,false),"")</f>
        <v/>
      </c>
    </row>
    <row r="472">
      <c r="A472" s="186"/>
      <c r="B472" s="186"/>
      <c r="C472" s="186"/>
      <c r="D472" s="186"/>
      <c r="E472" s="186"/>
      <c r="F472" s="186"/>
      <c r="G472" s="186"/>
      <c r="H472" s="186"/>
      <c r="I472" s="186"/>
      <c r="L472" s="185"/>
      <c r="N472" s="185"/>
      <c r="P472" s="4" t="str">
        <f>IF(A472&lt;&gt;"",VLOOKUP(A472,Rackfile_combined!$B:$C,2,false),"")</f>
        <v/>
      </c>
    </row>
    <row r="473">
      <c r="A473" s="186"/>
      <c r="B473" s="186"/>
      <c r="C473" s="186"/>
      <c r="D473" s="186"/>
      <c r="E473" s="186"/>
      <c r="F473" s="186"/>
      <c r="G473" s="186"/>
      <c r="H473" s="186"/>
      <c r="I473" s="186"/>
      <c r="L473" s="185"/>
      <c r="N473" s="185"/>
      <c r="P473" s="4" t="str">
        <f>IF(A473&lt;&gt;"",VLOOKUP(A473,Rackfile_combined!$B:$C,2,false),"")</f>
        <v/>
      </c>
    </row>
    <row r="474">
      <c r="A474" s="186"/>
      <c r="B474" s="186"/>
      <c r="C474" s="186"/>
      <c r="D474" s="186"/>
      <c r="E474" s="186"/>
      <c r="F474" s="186"/>
      <c r="G474" s="186"/>
      <c r="H474" s="186"/>
      <c r="I474" s="186"/>
      <c r="L474" s="185"/>
      <c r="N474" s="185"/>
      <c r="P474" s="4" t="str">
        <f>IF(A474&lt;&gt;"",VLOOKUP(A474,Rackfile_combined!$B:$C,2,false),"")</f>
        <v/>
      </c>
    </row>
    <row r="475">
      <c r="A475" s="186"/>
      <c r="B475" s="186"/>
      <c r="C475" s="186"/>
      <c r="D475" s="186"/>
      <c r="E475" s="186"/>
      <c r="F475" s="186"/>
      <c r="G475" s="186"/>
      <c r="H475" s="186"/>
      <c r="I475" s="186"/>
      <c r="L475" s="185"/>
      <c r="N475" s="185"/>
      <c r="P475" s="4" t="str">
        <f>IF(A475&lt;&gt;"",VLOOKUP(A475,Rackfile_combined!$B:$C,2,false),"")</f>
        <v/>
      </c>
    </row>
    <row r="476">
      <c r="A476" s="186"/>
      <c r="B476" s="186"/>
      <c r="C476" s="186"/>
      <c r="D476" s="186"/>
      <c r="E476" s="186"/>
      <c r="F476" s="186"/>
      <c r="G476" s="186"/>
      <c r="H476" s="186"/>
      <c r="I476" s="186"/>
      <c r="L476" s="185"/>
      <c r="N476" s="185"/>
      <c r="P476" s="4" t="str">
        <f>IF(A476&lt;&gt;"",VLOOKUP(A476,Rackfile_combined!$B:$C,2,false),"")</f>
        <v/>
      </c>
    </row>
    <row r="477">
      <c r="A477" s="186"/>
      <c r="B477" s="186"/>
      <c r="C477" s="186"/>
      <c r="D477" s="186"/>
      <c r="E477" s="186"/>
      <c r="F477" s="186"/>
      <c r="G477" s="186"/>
      <c r="H477" s="186"/>
      <c r="I477" s="186"/>
      <c r="L477" s="185"/>
      <c r="N477" s="185"/>
      <c r="P477" s="4" t="str">
        <f>IF(A477&lt;&gt;"",VLOOKUP(A477,Rackfile_combined!$B:$C,2,false),"")</f>
        <v/>
      </c>
    </row>
    <row r="478">
      <c r="A478" s="186"/>
      <c r="B478" s="186"/>
      <c r="C478" s="186"/>
      <c r="D478" s="186"/>
      <c r="E478" s="186"/>
      <c r="F478" s="186"/>
      <c r="G478" s="186"/>
      <c r="H478" s="186"/>
      <c r="I478" s="186"/>
      <c r="L478" s="185"/>
      <c r="N478" s="185"/>
      <c r="P478" s="4" t="str">
        <f>IF(A478&lt;&gt;"",VLOOKUP(A478,Rackfile_combined!$B:$C,2,false),"")</f>
        <v/>
      </c>
    </row>
    <row r="479">
      <c r="A479" s="186"/>
      <c r="B479" s="186"/>
      <c r="C479" s="186"/>
      <c r="D479" s="186"/>
      <c r="E479" s="186"/>
      <c r="F479" s="186"/>
      <c r="G479" s="186"/>
      <c r="H479" s="186"/>
      <c r="I479" s="186"/>
      <c r="L479" s="185"/>
      <c r="N479" s="185"/>
      <c r="P479" s="4" t="str">
        <f>IF(A479&lt;&gt;"",VLOOKUP(A479,Rackfile_combined!$B:$C,2,false),"")</f>
        <v/>
      </c>
    </row>
    <row r="480">
      <c r="A480" s="186"/>
      <c r="B480" s="186"/>
      <c r="C480" s="186"/>
      <c r="D480" s="186"/>
      <c r="E480" s="186"/>
      <c r="F480" s="186"/>
      <c r="G480" s="186"/>
      <c r="H480" s="186"/>
      <c r="I480" s="186"/>
      <c r="L480" s="185"/>
      <c r="N480" s="185"/>
      <c r="P480" s="4" t="str">
        <f>IF(A480&lt;&gt;"",VLOOKUP(A480,Rackfile_combined!$B:$C,2,false),"")</f>
        <v/>
      </c>
    </row>
    <row r="481">
      <c r="A481" s="186"/>
      <c r="B481" s="186"/>
      <c r="C481" s="186"/>
      <c r="D481" s="186"/>
      <c r="E481" s="186"/>
      <c r="F481" s="186"/>
      <c r="G481" s="186"/>
      <c r="H481" s="186"/>
      <c r="I481" s="186"/>
      <c r="L481" s="185"/>
      <c r="N481" s="185"/>
      <c r="P481" s="4" t="str">
        <f>IF(A481&lt;&gt;"",VLOOKUP(A481,Rackfile_combined!$B:$C,2,false),"")</f>
        <v/>
      </c>
    </row>
    <row r="482">
      <c r="A482" s="186"/>
      <c r="B482" s="186"/>
      <c r="C482" s="186"/>
      <c r="D482" s="186"/>
      <c r="E482" s="186"/>
      <c r="F482" s="186"/>
      <c r="G482" s="186"/>
      <c r="H482" s="186"/>
      <c r="I482" s="186"/>
      <c r="L482" s="185"/>
      <c r="N482" s="185"/>
      <c r="P482" s="4" t="str">
        <f>IF(A482&lt;&gt;"",VLOOKUP(A482,Rackfile_combined!$B:$C,2,false),"")</f>
        <v/>
      </c>
    </row>
    <row r="483">
      <c r="A483" s="186"/>
      <c r="B483" s="186"/>
      <c r="C483" s="186"/>
      <c r="D483" s="186"/>
      <c r="E483" s="186"/>
      <c r="F483" s="186"/>
      <c r="G483" s="186"/>
      <c r="H483" s="186"/>
      <c r="I483" s="186"/>
      <c r="L483" s="185"/>
      <c r="N483" s="185"/>
      <c r="P483" s="4" t="str">
        <f>IF(A483&lt;&gt;"",VLOOKUP(A483,Rackfile_combined!$B:$C,2,false),"")</f>
        <v/>
      </c>
    </row>
    <row r="484">
      <c r="A484" s="186"/>
      <c r="B484" s="186"/>
      <c r="C484" s="186"/>
      <c r="D484" s="186"/>
      <c r="E484" s="186"/>
      <c r="F484" s="186"/>
      <c r="G484" s="186"/>
      <c r="H484" s="186"/>
      <c r="I484" s="186"/>
      <c r="L484" s="185"/>
      <c r="N484" s="185"/>
      <c r="P484" s="4" t="str">
        <f>IF(A484&lt;&gt;"",VLOOKUP(A484,Rackfile_combined!$B:$C,2,false),"")</f>
        <v/>
      </c>
    </row>
    <row r="485">
      <c r="A485" s="186"/>
      <c r="B485" s="186"/>
      <c r="C485" s="186"/>
      <c r="D485" s="186"/>
      <c r="E485" s="186"/>
      <c r="F485" s="186"/>
      <c r="G485" s="186"/>
      <c r="H485" s="186"/>
      <c r="I485" s="186"/>
      <c r="L485" s="185"/>
      <c r="N485" s="185"/>
      <c r="P485" s="4" t="str">
        <f>IF(A485&lt;&gt;"",VLOOKUP(A485,Rackfile_combined!$B:$C,2,false),"")</f>
        <v/>
      </c>
    </row>
    <row r="486">
      <c r="A486" s="186"/>
      <c r="B486" s="186"/>
      <c r="C486" s="186"/>
      <c r="D486" s="186"/>
      <c r="E486" s="186"/>
      <c r="F486" s="186"/>
      <c r="G486" s="186"/>
      <c r="H486" s="186"/>
      <c r="I486" s="186"/>
      <c r="L486" s="185"/>
      <c r="N486" s="185"/>
      <c r="P486" s="4" t="str">
        <f>IF(A486&lt;&gt;"",VLOOKUP(A486,Rackfile_combined!$B:$C,2,false),"")</f>
        <v/>
      </c>
    </row>
    <row r="487">
      <c r="A487" s="186"/>
      <c r="B487" s="186"/>
      <c r="C487" s="186"/>
      <c r="D487" s="186"/>
      <c r="E487" s="186"/>
      <c r="F487" s="186"/>
      <c r="G487" s="186"/>
      <c r="H487" s="186"/>
      <c r="I487" s="186"/>
      <c r="L487" s="185"/>
      <c r="N487" s="185"/>
      <c r="P487" s="4" t="str">
        <f>IF(A487&lt;&gt;"",VLOOKUP(A487,Rackfile_combined!$B:$C,2,false),"")</f>
        <v/>
      </c>
    </row>
    <row r="488">
      <c r="A488" s="186"/>
      <c r="B488" s="186"/>
      <c r="C488" s="186"/>
      <c r="D488" s="186"/>
      <c r="E488" s="186"/>
      <c r="F488" s="186"/>
      <c r="G488" s="186"/>
      <c r="H488" s="186"/>
      <c r="I488" s="186"/>
      <c r="L488" s="185"/>
      <c r="N488" s="185"/>
      <c r="P488" s="4" t="str">
        <f>IF(A488&lt;&gt;"",VLOOKUP(A488,Rackfile_combined!$B:$C,2,false),"")</f>
        <v/>
      </c>
    </row>
    <row r="489">
      <c r="A489" s="186"/>
      <c r="B489" s="186"/>
      <c r="C489" s="186"/>
      <c r="D489" s="186"/>
      <c r="E489" s="186"/>
      <c r="F489" s="186"/>
      <c r="G489" s="186"/>
      <c r="H489" s="186"/>
      <c r="I489" s="186"/>
      <c r="L489" s="185"/>
      <c r="N489" s="185"/>
      <c r="P489" s="4" t="str">
        <f>IF(A489&lt;&gt;"",VLOOKUP(A489,Rackfile_combined!$B:$C,2,false),"")</f>
        <v/>
      </c>
    </row>
    <row r="490">
      <c r="A490" s="186"/>
      <c r="B490" s="186"/>
      <c r="C490" s="186"/>
      <c r="D490" s="186"/>
      <c r="E490" s="186"/>
      <c r="F490" s="186"/>
      <c r="G490" s="186"/>
      <c r="H490" s="186"/>
      <c r="I490" s="186"/>
      <c r="L490" s="185"/>
      <c r="N490" s="185"/>
      <c r="P490" s="4" t="str">
        <f>IF(A490&lt;&gt;"",VLOOKUP(A490,Rackfile_combined!$B:$C,2,false),"")</f>
        <v/>
      </c>
    </row>
    <row r="491">
      <c r="A491" s="186"/>
      <c r="B491" s="186"/>
      <c r="C491" s="186"/>
      <c r="D491" s="186"/>
      <c r="E491" s="186"/>
      <c r="F491" s="186"/>
      <c r="G491" s="186"/>
      <c r="H491" s="186"/>
      <c r="I491" s="186"/>
      <c r="L491" s="185"/>
      <c r="N491" s="185"/>
      <c r="P491" s="4" t="str">
        <f>IF(A491&lt;&gt;"",VLOOKUP(A491,Rackfile_combined!$B:$C,2,false),"")</f>
        <v/>
      </c>
    </row>
    <row r="492">
      <c r="A492" s="186"/>
      <c r="B492" s="186"/>
      <c r="C492" s="186"/>
      <c r="D492" s="186"/>
      <c r="E492" s="186"/>
      <c r="F492" s="186"/>
      <c r="G492" s="186"/>
      <c r="H492" s="186"/>
      <c r="I492" s="186"/>
      <c r="L492" s="185"/>
      <c r="N492" s="185"/>
      <c r="P492" s="4" t="str">
        <f>IF(A492&lt;&gt;"",VLOOKUP(A492,Rackfile_combined!$B:$C,2,false),"")</f>
        <v/>
      </c>
    </row>
    <row r="493">
      <c r="A493" s="186"/>
      <c r="B493" s="186"/>
      <c r="C493" s="186"/>
      <c r="D493" s="186"/>
      <c r="E493" s="186"/>
      <c r="F493" s="186"/>
      <c r="G493" s="186"/>
      <c r="H493" s="186"/>
      <c r="I493" s="186"/>
      <c r="L493" s="185"/>
      <c r="N493" s="185"/>
      <c r="P493" s="4" t="str">
        <f>IF(A493&lt;&gt;"",VLOOKUP(A493,Rackfile_combined!$B:$C,2,false),"")</f>
        <v/>
      </c>
    </row>
    <row r="494">
      <c r="A494" s="186"/>
      <c r="B494" s="186"/>
      <c r="C494" s="186"/>
      <c r="D494" s="186"/>
      <c r="E494" s="186"/>
      <c r="F494" s="186"/>
      <c r="G494" s="186"/>
      <c r="H494" s="186"/>
      <c r="I494" s="186"/>
      <c r="L494" s="185"/>
      <c r="N494" s="185"/>
      <c r="P494" s="4" t="str">
        <f>IF(A494&lt;&gt;"",VLOOKUP(A494,Rackfile_combined!$B:$C,2,false),"")</f>
        <v/>
      </c>
    </row>
    <row r="495">
      <c r="A495" s="186"/>
      <c r="B495" s="186"/>
      <c r="C495" s="186"/>
      <c r="D495" s="186"/>
      <c r="E495" s="186"/>
      <c r="F495" s="186"/>
      <c r="G495" s="186"/>
      <c r="H495" s="186"/>
      <c r="I495" s="186"/>
      <c r="L495" s="185"/>
      <c r="N495" s="185"/>
      <c r="P495" s="4" t="str">
        <f>IF(A495&lt;&gt;"",VLOOKUP(A495,Rackfile_combined!$B:$C,2,false),"")</f>
        <v/>
      </c>
    </row>
    <row r="496">
      <c r="A496" s="186"/>
      <c r="B496" s="186"/>
      <c r="C496" s="186"/>
      <c r="D496" s="186"/>
      <c r="E496" s="186"/>
      <c r="F496" s="186"/>
      <c r="G496" s="186"/>
      <c r="H496" s="186"/>
      <c r="I496" s="186"/>
      <c r="L496" s="185"/>
      <c r="N496" s="185"/>
      <c r="P496" s="4" t="str">
        <f>IF(A496&lt;&gt;"",VLOOKUP(A496,Rackfile_combined!$B:$C,2,false),"")</f>
        <v/>
      </c>
    </row>
    <row r="497">
      <c r="A497" s="186"/>
      <c r="B497" s="186"/>
      <c r="C497" s="186"/>
      <c r="D497" s="186"/>
      <c r="E497" s="186"/>
      <c r="F497" s="186"/>
      <c r="G497" s="186"/>
      <c r="H497" s="186"/>
      <c r="I497" s="186"/>
      <c r="L497" s="185"/>
      <c r="N497" s="185"/>
      <c r="P497" s="4" t="str">
        <f>IF(A497&lt;&gt;"",VLOOKUP(A497,Rackfile_combined!$B:$C,2,false),"")</f>
        <v/>
      </c>
    </row>
    <row r="498">
      <c r="A498" s="186"/>
      <c r="B498" s="186"/>
      <c r="C498" s="186"/>
      <c r="D498" s="186"/>
      <c r="E498" s="186"/>
      <c r="F498" s="186"/>
      <c r="G498" s="186"/>
      <c r="H498" s="186"/>
      <c r="I498" s="186"/>
      <c r="L498" s="185"/>
      <c r="N498" s="185"/>
      <c r="P498" s="4" t="str">
        <f>IF(A498&lt;&gt;"",VLOOKUP(A498,Rackfile_combined!$B:$C,2,false),"")</f>
        <v/>
      </c>
    </row>
    <row r="499">
      <c r="A499" s="186"/>
      <c r="B499" s="186"/>
      <c r="C499" s="186"/>
      <c r="D499" s="186"/>
      <c r="E499" s="186"/>
      <c r="F499" s="186"/>
      <c r="G499" s="186"/>
      <c r="H499" s="186"/>
      <c r="I499" s="186"/>
      <c r="L499" s="185"/>
      <c r="N499" s="185"/>
      <c r="P499" s="4" t="str">
        <f>IF(A499&lt;&gt;"",VLOOKUP(A499,Rackfile_combined!$B:$C,2,false),"")</f>
        <v/>
      </c>
    </row>
    <row r="500">
      <c r="A500" s="186"/>
      <c r="B500" s="186"/>
      <c r="C500" s="186"/>
      <c r="D500" s="186"/>
      <c r="E500" s="186"/>
      <c r="F500" s="186"/>
      <c r="G500" s="186"/>
      <c r="H500" s="186"/>
      <c r="I500" s="186"/>
      <c r="L500" s="185"/>
      <c r="N500" s="185"/>
      <c r="P500" s="4" t="str">
        <f>IF(A500&lt;&gt;"",VLOOKUP(A500,Rackfile_combined!$B:$C,2,false),"")</f>
        <v/>
      </c>
    </row>
    <row r="501">
      <c r="A501" s="186"/>
      <c r="B501" s="186"/>
      <c r="C501" s="186"/>
      <c r="D501" s="186"/>
      <c r="E501" s="186"/>
      <c r="F501" s="186"/>
      <c r="G501" s="186"/>
      <c r="H501" s="186"/>
      <c r="I501" s="186"/>
      <c r="L501" s="185"/>
      <c r="N501" s="185"/>
      <c r="P501" s="4" t="str">
        <f>IF(A501&lt;&gt;"",VLOOKUP(A501,Rackfile_combined!$B:$C,2,false),"")</f>
        <v/>
      </c>
    </row>
    <row r="502">
      <c r="A502" s="186"/>
      <c r="B502" s="186"/>
      <c r="C502" s="186"/>
      <c r="D502" s="186"/>
      <c r="E502" s="186"/>
      <c r="F502" s="186"/>
      <c r="G502" s="186"/>
      <c r="H502" s="186"/>
      <c r="I502" s="186"/>
      <c r="L502" s="185"/>
      <c r="N502" s="185"/>
      <c r="P502" s="4" t="str">
        <f>IF(A502&lt;&gt;"",VLOOKUP(A502,Rackfile_combined!$B:$C,2,false),"")</f>
        <v/>
      </c>
    </row>
    <row r="503">
      <c r="A503" s="186"/>
      <c r="B503" s="186"/>
      <c r="C503" s="186"/>
      <c r="D503" s="186"/>
      <c r="E503" s="186"/>
      <c r="F503" s="186"/>
      <c r="G503" s="186"/>
      <c r="H503" s="186"/>
      <c r="I503" s="186"/>
      <c r="L503" s="185"/>
      <c r="N503" s="185"/>
      <c r="P503" s="4" t="str">
        <f>IF(A503&lt;&gt;"",VLOOKUP(A503,Rackfile_combined!$B:$C,2,false),"")</f>
        <v/>
      </c>
    </row>
    <row r="504">
      <c r="A504" s="186"/>
      <c r="B504" s="186"/>
      <c r="C504" s="186"/>
      <c r="D504" s="186"/>
      <c r="E504" s="186"/>
      <c r="F504" s="186"/>
      <c r="G504" s="186"/>
      <c r="H504" s="186"/>
      <c r="I504" s="186"/>
      <c r="L504" s="185"/>
      <c r="N504" s="185"/>
      <c r="P504" s="4" t="str">
        <f>IF(A504&lt;&gt;"",VLOOKUP(A504,Rackfile_combined!$B:$C,2,false),"")</f>
        <v/>
      </c>
    </row>
    <row r="505">
      <c r="A505" s="186"/>
      <c r="B505" s="186"/>
      <c r="C505" s="186"/>
      <c r="D505" s="186"/>
      <c r="E505" s="186"/>
      <c r="F505" s="186"/>
      <c r="G505" s="186"/>
      <c r="H505" s="186"/>
      <c r="I505" s="186"/>
      <c r="L505" s="185"/>
      <c r="N505" s="185"/>
      <c r="P505" s="4" t="str">
        <f>IF(A505&lt;&gt;"",VLOOKUP(A505,Rackfile_combined!$B:$C,2,false),"")</f>
        <v/>
      </c>
    </row>
    <row r="506">
      <c r="A506" s="186"/>
      <c r="B506" s="186"/>
      <c r="C506" s="186"/>
      <c r="D506" s="186"/>
      <c r="E506" s="186"/>
      <c r="F506" s="186"/>
      <c r="G506" s="186"/>
      <c r="H506" s="186"/>
      <c r="I506" s="186"/>
      <c r="L506" s="185"/>
      <c r="N506" s="185"/>
      <c r="P506" s="4" t="str">
        <f>IF(A506&lt;&gt;"",VLOOKUP(A506,Rackfile_combined!$B:$C,2,false),"")</f>
        <v/>
      </c>
    </row>
    <row r="507">
      <c r="A507" s="186"/>
      <c r="B507" s="186"/>
      <c r="C507" s="186"/>
      <c r="D507" s="186"/>
      <c r="E507" s="186"/>
      <c r="F507" s="186"/>
      <c r="G507" s="186"/>
      <c r="H507" s="186"/>
      <c r="I507" s="186"/>
      <c r="L507" s="185"/>
      <c r="N507" s="185"/>
      <c r="P507" s="4" t="str">
        <f>IF(A507&lt;&gt;"",VLOOKUP(A507,Rackfile_combined!$B:$C,2,false),"")</f>
        <v/>
      </c>
    </row>
    <row r="508">
      <c r="A508" s="186"/>
      <c r="B508" s="186"/>
      <c r="C508" s="186"/>
      <c r="D508" s="186"/>
      <c r="E508" s="186"/>
      <c r="F508" s="186"/>
      <c r="G508" s="186"/>
      <c r="H508" s="186"/>
      <c r="I508" s="186"/>
      <c r="L508" s="185"/>
      <c r="N508" s="185"/>
      <c r="P508" s="4" t="str">
        <f>IF(A508&lt;&gt;"",VLOOKUP(A508,Rackfile_combined!$B:$C,2,false),"")</f>
        <v/>
      </c>
    </row>
    <row r="509">
      <c r="A509" s="186"/>
      <c r="B509" s="186"/>
      <c r="C509" s="186"/>
      <c r="D509" s="186"/>
      <c r="E509" s="186"/>
      <c r="F509" s="186"/>
      <c r="G509" s="186"/>
      <c r="H509" s="186"/>
      <c r="I509" s="186"/>
      <c r="L509" s="185"/>
      <c r="N509" s="185"/>
      <c r="P509" s="4" t="str">
        <f>IF(A509&lt;&gt;"",VLOOKUP(A509,Rackfile_combined!$B:$C,2,false),"")</f>
        <v/>
      </c>
    </row>
    <row r="510">
      <c r="A510" s="186"/>
      <c r="B510" s="186"/>
      <c r="C510" s="186"/>
      <c r="D510" s="186"/>
      <c r="E510" s="186"/>
      <c r="F510" s="186"/>
      <c r="G510" s="186"/>
      <c r="H510" s="186"/>
      <c r="I510" s="186"/>
      <c r="L510" s="185"/>
      <c r="N510" s="185"/>
      <c r="P510" s="4" t="str">
        <f>IF(A510&lt;&gt;"",VLOOKUP(A510,Rackfile_combined!$B:$C,2,false),"")</f>
        <v/>
      </c>
    </row>
    <row r="511">
      <c r="A511" s="186"/>
      <c r="B511" s="186"/>
      <c r="C511" s="186"/>
      <c r="D511" s="186"/>
      <c r="E511" s="186"/>
      <c r="F511" s="186"/>
      <c r="G511" s="186"/>
      <c r="H511" s="186"/>
      <c r="I511" s="186"/>
      <c r="L511" s="185"/>
      <c r="N511" s="185"/>
      <c r="P511" s="4" t="str">
        <f>IF(A511&lt;&gt;"",VLOOKUP(A511,Rackfile_combined!$B:$C,2,false),"")</f>
        <v/>
      </c>
    </row>
    <row r="512">
      <c r="A512" s="186"/>
      <c r="B512" s="186"/>
      <c r="C512" s="186"/>
      <c r="D512" s="186"/>
      <c r="E512" s="186"/>
      <c r="F512" s="186"/>
      <c r="G512" s="186"/>
      <c r="H512" s="186"/>
      <c r="I512" s="186"/>
      <c r="L512" s="185"/>
      <c r="N512" s="185"/>
      <c r="P512" s="4" t="str">
        <f>IF(A512&lt;&gt;"",VLOOKUP(A512,Rackfile_combined!$B:$C,2,false),"")</f>
        <v/>
      </c>
    </row>
    <row r="513">
      <c r="A513" s="186"/>
      <c r="B513" s="186"/>
      <c r="C513" s="186"/>
      <c r="D513" s="186"/>
      <c r="E513" s="186"/>
      <c r="F513" s="186"/>
      <c r="G513" s="186"/>
      <c r="H513" s="186"/>
      <c r="I513" s="186"/>
      <c r="L513" s="185"/>
      <c r="N513" s="185"/>
      <c r="P513" s="4" t="str">
        <f>IF(A513&lt;&gt;"",VLOOKUP(A513,Rackfile_combined!$B:$C,2,false),"")</f>
        <v/>
      </c>
    </row>
    <row r="514">
      <c r="A514" s="186"/>
      <c r="B514" s="186"/>
      <c r="C514" s="186"/>
      <c r="D514" s="186"/>
      <c r="E514" s="186"/>
      <c r="F514" s="186"/>
      <c r="G514" s="186"/>
      <c r="H514" s="186"/>
      <c r="I514" s="186"/>
      <c r="L514" s="185"/>
      <c r="N514" s="185"/>
      <c r="P514" s="4" t="str">
        <f>IF(A514&lt;&gt;"",VLOOKUP(A514,Rackfile_combined!$B:$C,2,false),"")</f>
        <v/>
      </c>
    </row>
    <row r="515">
      <c r="A515" s="186"/>
      <c r="B515" s="186"/>
      <c r="C515" s="186"/>
      <c r="D515" s="186"/>
      <c r="E515" s="186"/>
      <c r="F515" s="186"/>
      <c r="G515" s="186"/>
      <c r="H515" s="186"/>
      <c r="I515" s="186"/>
      <c r="L515" s="185"/>
      <c r="N515" s="185"/>
      <c r="P515" s="4" t="str">
        <f>IF(A515&lt;&gt;"",VLOOKUP(A515,Rackfile_combined!$B:$C,2,false),"")</f>
        <v/>
      </c>
    </row>
    <row r="516">
      <c r="A516" s="186"/>
      <c r="B516" s="186"/>
      <c r="C516" s="186"/>
      <c r="D516" s="186"/>
      <c r="E516" s="186"/>
      <c r="F516" s="186"/>
      <c r="G516" s="186"/>
      <c r="H516" s="186"/>
      <c r="I516" s="186"/>
      <c r="L516" s="185"/>
      <c r="N516" s="185"/>
      <c r="P516" s="4" t="str">
        <f>IF(A516&lt;&gt;"",VLOOKUP(A516,Rackfile_combined!$B:$C,2,false),"")</f>
        <v/>
      </c>
    </row>
    <row r="517">
      <c r="A517" s="186"/>
      <c r="B517" s="186"/>
      <c r="C517" s="186"/>
      <c r="D517" s="186"/>
      <c r="E517" s="186"/>
      <c r="F517" s="186"/>
      <c r="G517" s="186"/>
      <c r="H517" s="186"/>
      <c r="I517" s="186"/>
      <c r="L517" s="185"/>
      <c r="N517" s="185"/>
      <c r="P517" s="4" t="str">
        <f>IF(A517&lt;&gt;"",VLOOKUP(A517,Rackfile_combined!$B:$C,2,false),"")</f>
        <v/>
      </c>
    </row>
    <row r="518">
      <c r="A518" s="186"/>
      <c r="B518" s="186"/>
      <c r="C518" s="186"/>
      <c r="D518" s="186"/>
      <c r="E518" s="186"/>
      <c r="F518" s="186"/>
      <c r="G518" s="186"/>
      <c r="H518" s="186"/>
      <c r="I518" s="186"/>
      <c r="L518" s="185"/>
      <c r="N518" s="185"/>
      <c r="P518" s="4" t="str">
        <f>IF(A518&lt;&gt;"",VLOOKUP(A518,Rackfile_combined!$B:$C,2,false),"")</f>
        <v/>
      </c>
    </row>
    <row r="519">
      <c r="A519" s="186"/>
      <c r="B519" s="186"/>
      <c r="C519" s="186"/>
      <c r="D519" s="186"/>
      <c r="E519" s="186"/>
      <c r="F519" s="186"/>
      <c r="G519" s="186"/>
      <c r="H519" s="186"/>
      <c r="I519" s="186"/>
      <c r="L519" s="185"/>
      <c r="N519" s="185"/>
      <c r="P519" s="4" t="str">
        <f>IF(A519&lt;&gt;"",VLOOKUP(A519,Rackfile_combined!$B:$C,2,false),"")</f>
        <v/>
      </c>
    </row>
    <row r="520">
      <c r="A520" s="186"/>
      <c r="B520" s="186"/>
      <c r="C520" s="186"/>
      <c r="D520" s="186"/>
      <c r="E520" s="186"/>
      <c r="F520" s="186"/>
      <c r="G520" s="186"/>
      <c r="H520" s="186"/>
      <c r="I520" s="186"/>
      <c r="L520" s="185"/>
      <c r="N520" s="185"/>
      <c r="P520" s="4" t="str">
        <f>IF(A520&lt;&gt;"",VLOOKUP(A520,Rackfile_combined!$B:$C,2,false),"")</f>
        <v/>
      </c>
    </row>
    <row r="521">
      <c r="A521" s="186"/>
      <c r="B521" s="186"/>
      <c r="C521" s="186"/>
      <c r="D521" s="186"/>
      <c r="E521" s="186"/>
      <c r="F521" s="186"/>
      <c r="G521" s="186"/>
      <c r="H521" s="186"/>
      <c r="I521" s="186"/>
      <c r="L521" s="185"/>
      <c r="N521" s="185"/>
      <c r="P521" s="4" t="str">
        <f>IF(A521&lt;&gt;"",VLOOKUP(A521,Rackfile_combined!$B:$C,2,false),"")</f>
        <v/>
      </c>
    </row>
    <row r="522">
      <c r="A522" s="186"/>
      <c r="B522" s="186"/>
      <c r="C522" s="186"/>
      <c r="D522" s="186"/>
      <c r="E522" s="186"/>
      <c r="F522" s="186"/>
      <c r="G522" s="186"/>
      <c r="H522" s="186"/>
      <c r="I522" s="186"/>
      <c r="L522" s="185"/>
      <c r="N522" s="185"/>
      <c r="P522" s="4" t="str">
        <f>IF(A522&lt;&gt;"",VLOOKUP(A522,Rackfile_combined!$B:$C,2,false),"")</f>
        <v/>
      </c>
    </row>
    <row r="523">
      <c r="A523" s="186"/>
      <c r="B523" s="186"/>
      <c r="C523" s="186"/>
      <c r="D523" s="186"/>
      <c r="E523" s="186"/>
      <c r="F523" s="186"/>
      <c r="G523" s="186"/>
      <c r="H523" s="186"/>
      <c r="I523" s="186"/>
      <c r="L523" s="185"/>
      <c r="N523" s="185"/>
      <c r="P523" s="4" t="str">
        <f>IF(A523&lt;&gt;"",VLOOKUP(A523,Rackfile_combined!$B:$C,2,false),"")</f>
        <v/>
      </c>
    </row>
    <row r="524">
      <c r="A524" s="186"/>
      <c r="B524" s="186"/>
      <c r="C524" s="186"/>
      <c r="D524" s="186"/>
      <c r="E524" s="186"/>
      <c r="F524" s="186"/>
      <c r="G524" s="186"/>
      <c r="H524" s="186"/>
      <c r="I524" s="186"/>
      <c r="L524" s="185"/>
      <c r="N524" s="185"/>
      <c r="P524" s="4" t="str">
        <f>IF(A524&lt;&gt;"",VLOOKUP(A524,Rackfile_combined!$B:$C,2,false),"")</f>
        <v/>
      </c>
    </row>
    <row r="525">
      <c r="A525" s="186"/>
      <c r="B525" s="186"/>
      <c r="C525" s="186"/>
      <c r="D525" s="186"/>
      <c r="E525" s="186"/>
      <c r="F525" s="186"/>
      <c r="G525" s="186"/>
      <c r="H525" s="186"/>
      <c r="I525" s="186"/>
      <c r="L525" s="185"/>
      <c r="N525" s="185"/>
      <c r="P525" s="4" t="str">
        <f>IF(A525&lt;&gt;"",VLOOKUP(A525,Rackfile_combined!$B:$C,2,false),"")</f>
        <v/>
      </c>
    </row>
    <row r="526">
      <c r="A526" s="186"/>
      <c r="B526" s="186"/>
      <c r="C526" s="186"/>
      <c r="D526" s="186"/>
      <c r="E526" s="186"/>
      <c r="F526" s="186"/>
      <c r="G526" s="186"/>
      <c r="H526" s="186"/>
      <c r="I526" s="186"/>
      <c r="L526" s="185"/>
      <c r="N526" s="185"/>
      <c r="P526" s="4" t="str">
        <f>IF(A526&lt;&gt;"",VLOOKUP(A526,Rackfile_combined!$B:$C,2,false),"")</f>
        <v/>
      </c>
    </row>
    <row r="527">
      <c r="A527" s="186"/>
      <c r="B527" s="186"/>
      <c r="C527" s="186"/>
      <c r="D527" s="186"/>
      <c r="E527" s="186"/>
      <c r="F527" s="186"/>
      <c r="G527" s="186"/>
      <c r="H527" s="186"/>
      <c r="I527" s="186"/>
      <c r="L527" s="185"/>
      <c r="N527" s="185"/>
      <c r="P527" s="4" t="str">
        <f>IF(A527&lt;&gt;"",VLOOKUP(A527,Rackfile_combined!$B:$C,2,false),"")</f>
        <v/>
      </c>
    </row>
    <row r="528">
      <c r="A528" s="186"/>
      <c r="B528" s="186"/>
      <c r="C528" s="186"/>
      <c r="D528" s="186"/>
      <c r="E528" s="186"/>
      <c r="F528" s="186"/>
      <c r="G528" s="186"/>
      <c r="H528" s="186"/>
      <c r="I528" s="186"/>
      <c r="L528" s="185"/>
      <c r="N528" s="185"/>
      <c r="P528" s="4" t="str">
        <f>IF(A528&lt;&gt;"",VLOOKUP(A528,Rackfile_combined!$B:$C,2,false),"")</f>
        <v/>
      </c>
    </row>
    <row r="529">
      <c r="A529" s="186"/>
      <c r="B529" s="186"/>
      <c r="C529" s="186"/>
      <c r="D529" s="186"/>
      <c r="E529" s="186"/>
      <c r="F529" s="186"/>
      <c r="G529" s="186"/>
      <c r="H529" s="186"/>
      <c r="I529" s="186"/>
      <c r="L529" s="185"/>
      <c r="N529" s="185"/>
      <c r="P529" s="4" t="str">
        <f>IF(A529&lt;&gt;"",VLOOKUP(A529,Rackfile_combined!$B:$C,2,false),"")</f>
        <v/>
      </c>
    </row>
    <row r="530">
      <c r="A530" s="186"/>
      <c r="B530" s="186"/>
      <c r="C530" s="186"/>
      <c r="D530" s="186"/>
      <c r="E530" s="186"/>
      <c r="F530" s="186"/>
      <c r="G530" s="186"/>
      <c r="H530" s="186"/>
      <c r="I530" s="186"/>
      <c r="L530" s="185"/>
      <c r="N530" s="185"/>
      <c r="P530" s="4" t="str">
        <f>IF(A530&lt;&gt;"",VLOOKUP(A530,Rackfile_combined!$B:$C,2,false),"")</f>
        <v/>
      </c>
    </row>
    <row r="531">
      <c r="A531" s="186"/>
      <c r="B531" s="186"/>
      <c r="C531" s="186"/>
      <c r="D531" s="186"/>
      <c r="E531" s="186"/>
      <c r="F531" s="186"/>
      <c r="G531" s="186"/>
      <c r="H531" s="186"/>
      <c r="I531" s="186"/>
      <c r="L531" s="185"/>
      <c r="N531" s="185"/>
      <c r="P531" s="4" t="str">
        <f>IF(A531&lt;&gt;"",VLOOKUP(A531,Rackfile_combined!$B:$C,2,false),"")</f>
        <v/>
      </c>
    </row>
    <row r="532">
      <c r="A532" s="186"/>
      <c r="B532" s="186"/>
      <c r="C532" s="186"/>
      <c r="D532" s="186"/>
      <c r="E532" s="186"/>
      <c r="F532" s="186"/>
      <c r="G532" s="186"/>
      <c r="H532" s="186"/>
      <c r="I532" s="186"/>
      <c r="L532" s="185"/>
      <c r="N532" s="185"/>
      <c r="P532" s="4" t="str">
        <f>IF(A532&lt;&gt;"",VLOOKUP(A532,Rackfile_combined!$B:$C,2,false),"")</f>
        <v/>
      </c>
    </row>
    <row r="533">
      <c r="A533" s="186"/>
      <c r="B533" s="186"/>
      <c r="C533" s="186"/>
      <c r="D533" s="186"/>
      <c r="E533" s="186"/>
      <c r="F533" s="186"/>
      <c r="G533" s="186"/>
      <c r="H533" s="186"/>
      <c r="I533" s="186"/>
      <c r="L533" s="185"/>
      <c r="N533" s="185"/>
      <c r="P533" s="4" t="str">
        <f>IF(A533&lt;&gt;"",VLOOKUP(A533,Rackfile_combined!$B:$C,2,false),"")</f>
        <v/>
      </c>
    </row>
    <row r="534">
      <c r="A534" s="186"/>
      <c r="B534" s="186"/>
      <c r="C534" s="186"/>
      <c r="D534" s="186"/>
      <c r="E534" s="186"/>
      <c r="F534" s="186"/>
      <c r="G534" s="186"/>
      <c r="H534" s="186"/>
      <c r="I534" s="186"/>
      <c r="L534" s="185"/>
      <c r="N534" s="185"/>
      <c r="P534" s="4" t="str">
        <f>IF(A534&lt;&gt;"",VLOOKUP(A534,Rackfile_combined!$B:$C,2,false),"")</f>
        <v/>
      </c>
    </row>
    <row r="535">
      <c r="A535" s="186"/>
      <c r="B535" s="186"/>
      <c r="C535" s="186"/>
      <c r="D535" s="186"/>
      <c r="E535" s="186"/>
      <c r="F535" s="186"/>
      <c r="G535" s="186"/>
      <c r="H535" s="186"/>
      <c r="I535" s="186"/>
      <c r="L535" s="185"/>
      <c r="N535" s="185"/>
      <c r="P535" s="4" t="str">
        <f>IF(A535&lt;&gt;"",VLOOKUP(A535,Rackfile_combined!$B:$C,2,false),"")</f>
        <v/>
      </c>
    </row>
    <row r="536">
      <c r="A536" s="186"/>
      <c r="B536" s="186"/>
      <c r="C536" s="186"/>
      <c r="D536" s="186"/>
      <c r="E536" s="186"/>
      <c r="F536" s="186"/>
      <c r="G536" s="186"/>
      <c r="H536" s="186"/>
      <c r="I536" s="186"/>
      <c r="L536" s="185"/>
      <c r="N536" s="185"/>
      <c r="P536" s="4" t="str">
        <f>IF(A536&lt;&gt;"",VLOOKUP(A536,Rackfile_combined!$B:$C,2,false),"")</f>
        <v/>
      </c>
    </row>
    <row r="537">
      <c r="A537" s="186"/>
      <c r="B537" s="186"/>
      <c r="C537" s="186"/>
      <c r="D537" s="186"/>
      <c r="E537" s="186"/>
      <c r="F537" s="186"/>
      <c r="G537" s="186"/>
      <c r="H537" s="186"/>
      <c r="I537" s="186"/>
      <c r="L537" s="185"/>
      <c r="N537" s="185"/>
      <c r="P537" s="4" t="str">
        <f>IF(A537&lt;&gt;"",VLOOKUP(A537,Rackfile_combined!$B:$C,2,false),"")</f>
        <v/>
      </c>
    </row>
    <row r="538">
      <c r="A538" s="186"/>
      <c r="B538" s="186"/>
      <c r="C538" s="186"/>
      <c r="D538" s="186"/>
      <c r="E538" s="186"/>
      <c r="F538" s="186"/>
      <c r="G538" s="186"/>
      <c r="H538" s="186"/>
      <c r="I538" s="186"/>
      <c r="L538" s="185"/>
      <c r="N538" s="185"/>
      <c r="P538" s="4" t="str">
        <f>IF(A538&lt;&gt;"",VLOOKUP(A538,Rackfile_combined!$B:$C,2,false),"")</f>
        <v/>
      </c>
    </row>
    <row r="539">
      <c r="A539" s="186"/>
      <c r="B539" s="186"/>
      <c r="C539" s="186"/>
      <c r="D539" s="186"/>
      <c r="E539" s="186"/>
      <c r="F539" s="186"/>
      <c r="G539" s="186"/>
      <c r="H539" s="186"/>
      <c r="I539" s="186"/>
      <c r="L539" s="185"/>
      <c r="N539" s="185"/>
      <c r="P539" s="4" t="str">
        <f>IF(A539&lt;&gt;"",VLOOKUP(A539,Rackfile_combined!$B:$C,2,false),"")</f>
        <v/>
      </c>
    </row>
    <row r="540">
      <c r="A540" s="186"/>
      <c r="B540" s="186"/>
      <c r="C540" s="186"/>
      <c r="D540" s="186"/>
      <c r="E540" s="186"/>
      <c r="F540" s="186"/>
      <c r="G540" s="186"/>
      <c r="H540" s="186"/>
      <c r="I540" s="186"/>
      <c r="L540" s="185"/>
      <c r="N540" s="185"/>
      <c r="P540" s="4" t="str">
        <f>IF(A540&lt;&gt;"",VLOOKUP(A540,Rackfile_combined!$B:$C,2,false),"")</f>
        <v/>
      </c>
    </row>
    <row r="541">
      <c r="A541" s="186"/>
      <c r="B541" s="186"/>
      <c r="C541" s="186"/>
      <c r="D541" s="186"/>
      <c r="E541" s="186"/>
      <c r="F541" s="186"/>
      <c r="G541" s="186"/>
      <c r="H541" s="186"/>
      <c r="I541" s="186"/>
      <c r="L541" s="185"/>
      <c r="N541" s="185"/>
      <c r="P541" s="4" t="str">
        <f>IF(A541&lt;&gt;"",VLOOKUP(A541,Rackfile_combined!$B:$C,2,false),"")</f>
        <v/>
      </c>
    </row>
    <row r="542">
      <c r="A542" s="186"/>
      <c r="B542" s="186"/>
      <c r="C542" s="186"/>
      <c r="D542" s="186"/>
      <c r="E542" s="186"/>
      <c r="F542" s="186"/>
      <c r="G542" s="186"/>
      <c r="H542" s="186"/>
      <c r="I542" s="186"/>
      <c r="L542" s="185"/>
      <c r="N542" s="185"/>
      <c r="P542" s="4" t="str">
        <f>IF(A542&lt;&gt;"",VLOOKUP(A542,Rackfile_combined!$B:$C,2,false),"")</f>
        <v/>
      </c>
    </row>
    <row r="543">
      <c r="A543" s="186"/>
      <c r="B543" s="186"/>
      <c r="C543" s="186"/>
      <c r="D543" s="186"/>
      <c r="E543" s="186"/>
      <c r="F543" s="186"/>
      <c r="G543" s="186"/>
      <c r="H543" s="186"/>
      <c r="I543" s="186"/>
      <c r="L543" s="185"/>
      <c r="N543" s="185"/>
      <c r="P543" s="4" t="str">
        <f>IF(A543&lt;&gt;"",VLOOKUP(A543,Rackfile_combined!$B:$C,2,false),"")</f>
        <v/>
      </c>
    </row>
    <row r="544">
      <c r="A544" s="186"/>
      <c r="B544" s="186"/>
      <c r="C544" s="186"/>
      <c r="D544" s="186"/>
      <c r="E544" s="186"/>
      <c r="F544" s="186"/>
      <c r="G544" s="186"/>
      <c r="H544" s="186"/>
      <c r="I544" s="186"/>
      <c r="L544" s="185"/>
      <c r="N544" s="185"/>
      <c r="P544" s="4" t="str">
        <f>IF(A544&lt;&gt;"",VLOOKUP(A544,Rackfile_combined!$B:$C,2,false),"")</f>
        <v/>
      </c>
    </row>
    <row r="545">
      <c r="A545" s="186"/>
      <c r="B545" s="186"/>
      <c r="C545" s="186"/>
      <c r="D545" s="186"/>
      <c r="E545" s="186"/>
      <c r="F545" s="186"/>
      <c r="G545" s="186"/>
      <c r="H545" s="186"/>
      <c r="I545" s="186"/>
      <c r="L545" s="185"/>
      <c r="N545" s="185"/>
      <c r="P545" s="4" t="str">
        <f>IF(A545&lt;&gt;"",VLOOKUP(A545,Rackfile_combined!$B:$C,2,false),"")</f>
        <v/>
      </c>
    </row>
    <row r="546">
      <c r="A546" s="186"/>
      <c r="B546" s="186"/>
      <c r="C546" s="186"/>
      <c r="D546" s="186"/>
      <c r="E546" s="186"/>
      <c r="F546" s="186"/>
      <c r="G546" s="186"/>
      <c r="H546" s="186"/>
      <c r="I546" s="186"/>
      <c r="L546" s="185"/>
      <c r="N546" s="185"/>
      <c r="P546" s="4" t="str">
        <f>IF(A546&lt;&gt;"",VLOOKUP(A546,Rackfile_combined!$B:$C,2,false),"")</f>
        <v/>
      </c>
    </row>
    <row r="547">
      <c r="A547" s="186"/>
      <c r="B547" s="186"/>
      <c r="C547" s="186"/>
      <c r="D547" s="186"/>
      <c r="E547" s="186"/>
      <c r="F547" s="186"/>
      <c r="G547" s="186"/>
      <c r="H547" s="186"/>
      <c r="I547" s="186"/>
      <c r="L547" s="185"/>
      <c r="N547" s="185"/>
      <c r="P547" s="4" t="str">
        <f>IF(A547&lt;&gt;"",VLOOKUP(A547,Rackfile_combined!$B:$C,2,false),"")</f>
        <v/>
      </c>
    </row>
    <row r="548">
      <c r="A548" s="186"/>
      <c r="B548" s="186"/>
      <c r="C548" s="186"/>
      <c r="D548" s="186"/>
      <c r="E548" s="186"/>
      <c r="F548" s="186"/>
      <c r="G548" s="186"/>
      <c r="H548" s="186"/>
      <c r="I548" s="186"/>
      <c r="L548" s="185"/>
      <c r="N548" s="185"/>
      <c r="P548" s="4" t="str">
        <f>IF(A548&lt;&gt;"",VLOOKUP(A548,Rackfile_combined!$B:$C,2,false),"")</f>
        <v/>
      </c>
    </row>
    <row r="549">
      <c r="A549" s="186"/>
      <c r="B549" s="186"/>
      <c r="C549" s="186"/>
      <c r="D549" s="186"/>
      <c r="E549" s="186"/>
      <c r="F549" s="186"/>
      <c r="G549" s="186"/>
      <c r="H549" s="186"/>
      <c r="I549" s="186"/>
      <c r="L549" s="185"/>
      <c r="N549" s="185"/>
      <c r="P549" s="4" t="str">
        <f>IF(A549&lt;&gt;"",VLOOKUP(A549,Rackfile_combined!$B:$C,2,false),"")</f>
        <v/>
      </c>
    </row>
    <row r="550">
      <c r="A550" s="186"/>
      <c r="B550" s="186"/>
      <c r="C550" s="186"/>
      <c r="D550" s="186"/>
      <c r="E550" s="186"/>
      <c r="F550" s="186"/>
      <c r="G550" s="186"/>
      <c r="H550" s="186"/>
      <c r="I550" s="186"/>
      <c r="L550" s="185"/>
      <c r="N550" s="185"/>
      <c r="P550" s="4" t="str">
        <f>IF(A550&lt;&gt;"",VLOOKUP(A550,Rackfile_combined!$B:$C,2,false),"")</f>
        <v/>
      </c>
    </row>
    <row r="551">
      <c r="A551" s="186"/>
      <c r="B551" s="186"/>
      <c r="C551" s="186"/>
      <c r="D551" s="186"/>
      <c r="E551" s="186"/>
      <c r="F551" s="186"/>
      <c r="G551" s="186"/>
      <c r="H551" s="186"/>
      <c r="I551" s="186"/>
      <c r="L551" s="185"/>
      <c r="N551" s="185"/>
      <c r="P551" s="4" t="str">
        <f>IF(A551&lt;&gt;"",VLOOKUP(A551,Rackfile_combined!$B:$C,2,false),"")</f>
        <v/>
      </c>
    </row>
    <row r="552">
      <c r="A552" s="186"/>
      <c r="B552" s="186"/>
      <c r="C552" s="186"/>
      <c r="D552" s="186"/>
      <c r="E552" s="186"/>
      <c r="F552" s="186"/>
      <c r="G552" s="186"/>
      <c r="H552" s="186"/>
      <c r="I552" s="186"/>
      <c r="L552" s="185"/>
      <c r="N552" s="185"/>
      <c r="P552" s="4" t="str">
        <f>IF(A552&lt;&gt;"",VLOOKUP(A552,Rackfile_combined!$B:$C,2,false),"")</f>
        <v/>
      </c>
    </row>
    <row r="553">
      <c r="A553" s="186"/>
      <c r="B553" s="186"/>
      <c r="C553" s="186"/>
      <c r="D553" s="186"/>
      <c r="E553" s="186"/>
      <c r="F553" s="186"/>
      <c r="G553" s="186"/>
      <c r="H553" s="186"/>
      <c r="I553" s="186"/>
      <c r="L553" s="185"/>
      <c r="N553" s="185"/>
      <c r="P553" s="4" t="str">
        <f>IF(A553&lt;&gt;"",VLOOKUP(A553,Rackfile_combined!$B:$C,2,false),"")</f>
        <v/>
      </c>
    </row>
    <row r="554">
      <c r="A554" s="186"/>
      <c r="B554" s="186"/>
      <c r="C554" s="186"/>
      <c r="D554" s="186"/>
      <c r="E554" s="186"/>
      <c r="F554" s="186"/>
      <c r="G554" s="186"/>
      <c r="H554" s="186"/>
      <c r="I554" s="186"/>
      <c r="L554" s="185"/>
      <c r="N554" s="185"/>
      <c r="P554" s="4" t="str">
        <f>IF(A554&lt;&gt;"",VLOOKUP(A554,Rackfile_combined!$B:$C,2,false),"")</f>
        <v/>
      </c>
    </row>
    <row r="555">
      <c r="A555" s="186"/>
      <c r="B555" s="186"/>
      <c r="C555" s="186"/>
      <c r="D555" s="186"/>
      <c r="E555" s="186"/>
      <c r="F555" s="186"/>
      <c r="G555" s="186"/>
      <c r="H555" s="186"/>
      <c r="I555" s="186"/>
      <c r="L555" s="185"/>
      <c r="N555" s="185"/>
      <c r="P555" s="4" t="str">
        <f>IF(A555&lt;&gt;"",VLOOKUP(A555,Rackfile_combined!$B:$C,2,false),"")</f>
        <v/>
      </c>
    </row>
    <row r="556">
      <c r="A556" s="186"/>
      <c r="B556" s="186"/>
      <c r="C556" s="186"/>
      <c r="D556" s="186"/>
      <c r="E556" s="186"/>
      <c r="F556" s="186"/>
      <c r="G556" s="186"/>
      <c r="H556" s="186"/>
      <c r="I556" s="186"/>
      <c r="L556" s="185"/>
      <c r="N556" s="185"/>
      <c r="P556" s="4" t="str">
        <f>IF(A556&lt;&gt;"",VLOOKUP(A556,Rackfile_combined!$B:$C,2,false),"")</f>
        <v/>
      </c>
    </row>
    <row r="557">
      <c r="A557" s="186"/>
      <c r="B557" s="186"/>
      <c r="C557" s="186"/>
      <c r="D557" s="186"/>
      <c r="E557" s="186"/>
      <c r="F557" s="186"/>
      <c r="G557" s="186"/>
      <c r="H557" s="186"/>
      <c r="I557" s="186"/>
      <c r="L557" s="185"/>
      <c r="N557" s="185"/>
      <c r="P557" s="4" t="str">
        <f>IF(A557&lt;&gt;"",VLOOKUP(A557,Rackfile_combined!$B:$C,2,false),"")</f>
        <v/>
      </c>
    </row>
    <row r="558">
      <c r="A558" s="186"/>
      <c r="B558" s="186"/>
      <c r="C558" s="186"/>
      <c r="D558" s="186"/>
      <c r="E558" s="186"/>
      <c r="F558" s="186"/>
      <c r="G558" s="186"/>
      <c r="H558" s="186"/>
      <c r="I558" s="186"/>
      <c r="L558" s="185"/>
      <c r="N558" s="185"/>
      <c r="P558" s="4" t="str">
        <f>IF(A558&lt;&gt;"",VLOOKUP(A558,Rackfile_combined!$B:$C,2,false),"")</f>
        <v/>
      </c>
    </row>
    <row r="559">
      <c r="A559" s="186"/>
      <c r="B559" s="186"/>
      <c r="C559" s="186"/>
      <c r="D559" s="186"/>
      <c r="E559" s="186"/>
      <c r="F559" s="186"/>
      <c r="G559" s="186"/>
      <c r="H559" s="186"/>
      <c r="I559" s="186"/>
      <c r="L559" s="185"/>
      <c r="N559" s="185"/>
      <c r="P559" s="4" t="str">
        <f>IF(A559&lt;&gt;"",VLOOKUP(A559,Rackfile_combined!$B:$C,2,false),"")</f>
        <v/>
      </c>
    </row>
    <row r="560">
      <c r="A560" s="186"/>
      <c r="B560" s="186"/>
      <c r="C560" s="186"/>
      <c r="D560" s="186"/>
      <c r="E560" s="186"/>
      <c r="F560" s="186"/>
      <c r="G560" s="186"/>
      <c r="H560" s="186"/>
      <c r="I560" s="186"/>
      <c r="L560" s="185"/>
      <c r="N560" s="185"/>
      <c r="P560" s="4" t="str">
        <f>IF(A560&lt;&gt;"",VLOOKUP(A560,Rackfile_combined!$B:$C,2,false),"")</f>
        <v/>
      </c>
    </row>
    <row r="561">
      <c r="A561" s="186"/>
      <c r="B561" s="186"/>
      <c r="C561" s="186"/>
      <c r="D561" s="186"/>
      <c r="E561" s="186"/>
      <c r="F561" s="186"/>
      <c r="G561" s="186"/>
      <c r="H561" s="186"/>
      <c r="I561" s="186"/>
      <c r="L561" s="185"/>
      <c r="N561" s="185"/>
      <c r="P561" s="4" t="str">
        <f>IF(A561&lt;&gt;"",VLOOKUP(A561,Rackfile_combined!$B:$C,2,false),"")</f>
        <v/>
      </c>
    </row>
    <row r="562">
      <c r="A562" s="186"/>
      <c r="B562" s="186"/>
      <c r="C562" s="186"/>
      <c r="D562" s="186"/>
      <c r="E562" s="186"/>
      <c r="F562" s="186"/>
      <c r="G562" s="186"/>
      <c r="H562" s="186"/>
      <c r="I562" s="186"/>
      <c r="L562" s="185"/>
      <c r="N562" s="185"/>
      <c r="P562" s="4" t="str">
        <f>IF(A562&lt;&gt;"",VLOOKUP(A562,Rackfile_combined!$B:$C,2,false),"")</f>
        <v/>
      </c>
    </row>
    <row r="563">
      <c r="A563" s="186"/>
      <c r="B563" s="186"/>
      <c r="C563" s="186"/>
      <c r="D563" s="186"/>
      <c r="E563" s="186"/>
      <c r="F563" s="186"/>
      <c r="G563" s="186"/>
      <c r="H563" s="186"/>
      <c r="I563" s="186"/>
      <c r="L563" s="185"/>
      <c r="N563" s="185"/>
      <c r="P563" s="4" t="str">
        <f>IF(A563&lt;&gt;"",VLOOKUP(A563,Rackfile_combined!$B:$C,2,false),"")</f>
        <v/>
      </c>
    </row>
    <row r="564">
      <c r="A564" s="186"/>
      <c r="B564" s="186"/>
      <c r="C564" s="186"/>
      <c r="D564" s="186"/>
      <c r="E564" s="186"/>
      <c r="F564" s="186"/>
      <c r="G564" s="186"/>
      <c r="H564" s="186"/>
      <c r="I564" s="186"/>
      <c r="L564" s="185"/>
      <c r="N564" s="185"/>
      <c r="P564" s="4" t="str">
        <f>IF(A564&lt;&gt;"",VLOOKUP(A564,Rackfile_combined!$B:$C,2,false),"")</f>
        <v/>
      </c>
    </row>
    <row r="565">
      <c r="A565" s="186"/>
      <c r="B565" s="186"/>
      <c r="C565" s="186"/>
      <c r="D565" s="186"/>
      <c r="E565" s="186"/>
      <c r="F565" s="186"/>
      <c r="G565" s="186"/>
      <c r="H565" s="186"/>
      <c r="I565" s="186"/>
      <c r="L565" s="185"/>
      <c r="N565" s="185"/>
      <c r="P565" s="4" t="str">
        <f>IF(A565&lt;&gt;"",VLOOKUP(A565,Rackfile_combined!$B:$C,2,false),"")</f>
        <v/>
      </c>
    </row>
    <row r="566">
      <c r="A566" s="186"/>
      <c r="B566" s="186"/>
      <c r="C566" s="186"/>
      <c r="D566" s="186"/>
      <c r="E566" s="186"/>
      <c r="F566" s="186"/>
      <c r="G566" s="186"/>
      <c r="H566" s="186"/>
      <c r="I566" s="186"/>
      <c r="L566" s="185"/>
      <c r="N566" s="185"/>
      <c r="P566" s="4" t="str">
        <f>IF(A566&lt;&gt;"",VLOOKUP(A566,Rackfile_combined!$B:$C,2,false),"")</f>
        <v/>
      </c>
    </row>
    <row r="567">
      <c r="A567" s="186"/>
      <c r="B567" s="186"/>
      <c r="C567" s="186"/>
      <c r="D567" s="186"/>
      <c r="E567" s="186"/>
      <c r="F567" s="186"/>
      <c r="G567" s="186"/>
      <c r="H567" s="186"/>
      <c r="I567" s="186"/>
      <c r="L567" s="185"/>
      <c r="N567" s="185"/>
      <c r="P567" s="4" t="str">
        <f>IF(A567&lt;&gt;"",VLOOKUP(A567,Rackfile_combined!$B:$C,2,false),"")</f>
        <v/>
      </c>
    </row>
    <row r="568">
      <c r="A568" s="186"/>
      <c r="B568" s="186"/>
      <c r="C568" s="186"/>
      <c r="D568" s="186"/>
      <c r="E568" s="186"/>
      <c r="F568" s="186"/>
      <c r="G568" s="186"/>
      <c r="H568" s="186"/>
      <c r="I568" s="186"/>
      <c r="L568" s="185"/>
      <c r="N568" s="185"/>
      <c r="P568" s="4" t="str">
        <f>IF(A568&lt;&gt;"",VLOOKUP(A568,Rackfile_combined!$B:$C,2,false),"")</f>
        <v/>
      </c>
    </row>
    <row r="569">
      <c r="A569" s="186"/>
      <c r="B569" s="186"/>
      <c r="C569" s="186"/>
      <c r="D569" s="186"/>
      <c r="E569" s="186"/>
      <c r="F569" s="186"/>
      <c r="G569" s="186"/>
      <c r="H569" s="186"/>
      <c r="I569" s="186"/>
      <c r="L569" s="185"/>
      <c r="N569" s="185"/>
      <c r="P569" s="4" t="str">
        <f>IF(A569&lt;&gt;"",VLOOKUP(A569,Rackfile_combined!$B:$C,2,false),"")</f>
        <v/>
      </c>
    </row>
    <row r="570">
      <c r="A570" s="186"/>
      <c r="B570" s="186"/>
      <c r="C570" s="186"/>
      <c r="D570" s="186"/>
      <c r="E570" s="186"/>
      <c r="F570" s="186"/>
      <c r="G570" s="186"/>
      <c r="H570" s="186"/>
      <c r="I570" s="186"/>
      <c r="L570" s="185"/>
      <c r="N570" s="185"/>
      <c r="P570" s="4" t="str">
        <f>IF(A570&lt;&gt;"",VLOOKUP(A570,Rackfile_combined!$B:$C,2,false),"")</f>
        <v/>
      </c>
    </row>
    <row r="571">
      <c r="A571" s="186"/>
      <c r="B571" s="186"/>
      <c r="C571" s="186"/>
      <c r="D571" s="186"/>
      <c r="E571" s="186"/>
      <c r="F571" s="186"/>
      <c r="G571" s="186"/>
      <c r="H571" s="186"/>
      <c r="I571" s="186"/>
      <c r="L571" s="185"/>
      <c r="N571" s="185"/>
      <c r="P571" s="4" t="str">
        <f>IF(A571&lt;&gt;"",VLOOKUP(A571,Rackfile_combined!$B:$C,2,false),"")</f>
        <v/>
      </c>
    </row>
    <row r="572">
      <c r="A572" s="186"/>
      <c r="B572" s="186"/>
      <c r="C572" s="186"/>
      <c r="D572" s="186"/>
      <c r="E572" s="186"/>
      <c r="F572" s="186"/>
      <c r="G572" s="186"/>
      <c r="H572" s="186"/>
      <c r="I572" s="186"/>
      <c r="L572" s="185"/>
      <c r="N572" s="185"/>
      <c r="P572" s="4" t="str">
        <f>IF(A572&lt;&gt;"",VLOOKUP(A572,Rackfile_combined!$B:$C,2,false),"")</f>
        <v/>
      </c>
    </row>
    <row r="573">
      <c r="A573" s="186"/>
      <c r="B573" s="186"/>
      <c r="C573" s="186"/>
      <c r="D573" s="186"/>
      <c r="E573" s="186"/>
      <c r="F573" s="186"/>
      <c r="G573" s="186"/>
      <c r="H573" s="186"/>
      <c r="I573" s="186"/>
      <c r="L573" s="185"/>
      <c r="N573" s="185"/>
      <c r="P573" s="4" t="str">
        <f>IF(A573&lt;&gt;"",VLOOKUP(A573,Rackfile_combined!$B:$C,2,false),"")</f>
        <v/>
      </c>
    </row>
    <row r="574">
      <c r="A574" s="186"/>
      <c r="B574" s="186"/>
      <c r="C574" s="186"/>
      <c r="D574" s="186"/>
      <c r="E574" s="186"/>
      <c r="F574" s="186"/>
      <c r="G574" s="186"/>
      <c r="H574" s="186"/>
      <c r="I574" s="186"/>
      <c r="L574" s="185"/>
      <c r="N574" s="185"/>
      <c r="P574" s="4" t="str">
        <f>IF(A574&lt;&gt;"",VLOOKUP(A574,Rackfile_combined!$B:$C,2,false),"")</f>
        <v/>
      </c>
    </row>
    <row r="575">
      <c r="A575" s="186"/>
      <c r="B575" s="186"/>
      <c r="C575" s="186"/>
      <c r="D575" s="186"/>
      <c r="E575" s="186"/>
      <c r="F575" s="186"/>
      <c r="G575" s="186"/>
      <c r="H575" s="186"/>
      <c r="I575" s="186"/>
      <c r="L575" s="185"/>
      <c r="N575" s="185"/>
      <c r="P575" s="4" t="str">
        <f>IF(A575&lt;&gt;"",VLOOKUP(A575,Rackfile_combined!$B:$C,2,false),"")</f>
        <v/>
      </c>
    </row>
    <row r="576">
      <c r="A576" s="186"/>
      <c r="B576" s="186"/>
      <c r="C576" s="186"/>
      <c r="D576" s="186"/>
      <c r="E576" s="186"/>
      <c r="F576" s="186"/>
      <c r="G576" s="186"/>
      <c r="H576" s="186"/>
      <c r="I576" s="186"/>
      <c r="L576" s="185"/>
      <c r="N576" s="185"/>
      <c r="P576" s="4" t="str">
        <f>IF(A576&lt;&gt;"",VLOOKUP(A576,Rackfile_combined!$B:$C,2,false),"")</f>
        <v/>
      </c>
    </row>
    <row r="577">
      <c r="A577" s="186"/>
      <c r="B577" s="186"/>
      <c r="C577" s="186"/>
      <c r="D577" s="186"/>
      <c r="E577" s="186"/>
      <c r="F577" s="186"/>
      <c r="G577" s="186"/>
      <c r="H577" s="186"/>
      <c r="I577" s="186"/>
      <c r="L577" s="185"/>
      <c r="N577" s="185"/>
      <c r="P577" s="4" t="str">
        <f>IF(A577&lt;&gt;"",VLOOKUP(A577,Rackfile_combined!$B:$C,2,false),"")</f>
        <v/>
      </c>
    </row>
    <row r="578">
      <c r="A578" s="186"/>
      <c r="B578" s="186"/>
      <c r="C578" s="186"/>
      <c r="D578" s="186"/>
      <c r="E578" s="186"/>
      <c r="F578" s="186"/>
      <c r="G578" s="186"/>
      <c r="H578" s="186"/>
      <c r="I578" s="186"/>
      <c r="L578" s="185"/>
      <c r="N578" s="185"/>
      <c r="P578" s="4" t="str">
        <f>IF(A578&lt;&gt;"",VLOOKUP(A578,Rackfile_combined!$B:$C,2,false),"")</f>
        <v/>
      </c>
    </row>
    <row r="579">
      <c r="A579" s="186"/>
      <c r="B579" s="186"/>
      <c r="C579" s="186"/>
      <c r="D579" s="186"/>
      <c r="E579" s="186"/>
      <c r="F579" s="186"/>
      <c r="G579" s="186"/>
      <c r="H579" s="186"/>
      <c r="I579" s="186"/>
      <c r="L579" s="185"/>
      <c r="N579" s="185"/>
      <c r="P579" s="4" t="str">
        <f>IF(A579&lt;&gt;"",VLOOKUP(A579,Rackfile_combined!$B:$C,2,false),"")</f>
        <v/>
      </c>
    </row>
    <row r="580">
      <c r="A580" s="186"/>
      <c r="B580" s="186"/>
      <c r="C580" s="186"/>
      <c r="D580" s="186"/>
      <c r="E580" s="186"/>
      <c r="F580" s="186"/>
      <c r="G580" s="186"/>
      <c r="H580" s="186"/>
      <c r="I580" s="186"/>
      <c r="L580" s="185"/>
      <c r="N580" s="185"/>
      <c r="P580" s="4" t="str">
        <f>IF(A580&lt;&gt;"",VLOOKUP(A580,Rackfile_combined!$B:$C,2,false),"")</f>
        <v/>
      </c>
    </row>
    <row r="581">
      <c r="A581" s="186"/>
      <c r="B581" s="186"/>
      <c r="C581" s="186"/>
      <c r="D581" s="186"/>
      <c r="E581" s="186"/>
      <c r="F581" s="186"/>
      <c r="G581" s="186"/>
      <c r="H581" s="186"/>
      <c r="I581" s="186"/>
      <c r="L581" s="185"/>
      <c r="N581" s="185"/>
      <c r="P581" s="4" t="str">
        <f>IF(A581&lt;&gt;"",VLOOKUP(A581,Rackfile_combined!$B:$C,2,false),"")</f>
        <v/>
      </c>
    </row>
    <row r="582">
      <c r="A582" s="186"/>
      <c r="B582" s="186"/>
      <c r="C582" s="186"/>
      <c r="D582" s="186"/>
      <c r="E582" s="186"/>
      <c r="F582" s="186"/>
      <c r="G582" s="186"/>
      <c r="H582" s="186"/>
      <c r="I582" s="186"/>
      <c r="L582" s="185"/>
      <c r="N582" s="185"/>
      <c r="P582" s="4" t="str">
        <f>IF(A582&lt;&gt;"",VLOOKUP(A582,Rackfile_combined!$B:$C,2,false),"")</f>
        <v/>
      </c>
    </row>
    <row r="583">
      <c r="A583" s="186"/>
      <c r="B583" s="186"/>
      <c r="C583" s="186"/>
      <c r="D583" s="186"/>
      <c r="E583" s="186"/>
      <c r="F583" s="186"/>
      <c r="G583" s="186"/>
      <c r="H583" s="186"/>
      <c r="I583" s="186"/>
      <c r="L583" s="185"/>
      <c r="N583" s="185"/>
      <c r="P583" s="4" t="str">
        <f>IF(A583&lt;&gt;"",VLOOKUP(A583,Rackfile_combined!$B:$C,2,false),"")</f>
        <v/>
      </c>
    </row>
    <row r="584">
      <c r="A584" s="186"/>
      <c r="B584" s="186"/>
      <c r="C584" s="186"/>
      <c r="D584" s="186"/>
      <c r="E584" s="186"/>
      <c r="F584" s="186"/>
      <c r="G584" s="186"/>
      <c r="H584" s="186"/>
      <c r="I584" s="186"/>
      <c r="L584" s="185"/>
      <c r="N584" s="185"/>
      <c r="P584" s="4" t="str">
        <f>IF(A584&lt;&gt;"",VLOOKUP(A584,Rackfile_combined!$B:$C,2,false),"")</f>
        <v/>
      </c>
    </row>
    <row r="585">
      <c r="A585" s="186"/>
      <c r="B585" s="186"/>
      <c r="C585" s="186"/>
      <c r="D585" s="186"/>
      <c r="E585" s="186"/>
      <c r="F585" s="186"/>
      <c r="G585" s="186"/>
      <c r="H585" s="186"/>
      <c r="I585" s="186"/>
      <c r="L585" s="185"/>
      <c r="N585" s="185"/>
      <c r="P585" s="4" t="str">
        <f>IF(A585&lt;&gt;"",VLOOKUP(A585,Rackfile_combined!$B:$C,2,false),"")</f>
        <v/>
      </c>
    </row>
    <row r="586">
      <c r="A586" s="186"/>
      <c r="B586" s="186"/>
      <c r="C586" s="186"/>
      <c r="D586" s="186"/>
      <c r="E586" s="186"/>
      <c r="F586" s="186"/>
      <c r="G586" s="186"/>
      <c r="H586" s="186"/>
      <c r="I586" s="186"/>
      <c r="L586" s="185"/>
      <c r="N586" s="185"/>
      <c r="P586" s="4" t="str">
        <f>IF(A586&lt;&gt;"",VLOOKUP(A586,Rackfile_combined!$B:$C,2,false),"")</f>
        <v/>
      </c>
    </row>
    <row r="587">
      <c r="A587" s="186"/>
      <c r="B587" s="186"/>
      <c r="C587" s="186"/>
      <c r="D587" s="186"/>
      <c r="E587" s="186"/>
      <c r="F587" s="186"/>
      <c r="G587" s="186"/>
      <c r="H587" s="186"/>
      <c r="I587" s="186"/>
      <c r="L587" s="185"/>
      <c r="N587" s="185"/>
      <c r="P587" s="4" t="str">
        <f>IF(A587&lt;&gt;"",VLOOKUP(A587,Rackfile_combined!$B:$C,2,false),"")</f>
        <v/>
      </c>
    </row>
    <row r="588">
      <c r="A588" s="186"/>
      <c r="B588" s="186"/>
      <c r="C588" s="186"/>
      <c r="D588" s="186"/>
      <c r="E588" s="186"/>
      <c r="F588" s="186"/>
      <c r="G588" s="186"/>
      <c r="H588" s="186"/>
      <c r="I588" s="186"/>
      <c r="L588" s="185"/>
      <c r="N588" s="185"/>
      <c r="P588" s="4" t="str">
        <f>IF(A588&lt;&gt;"",VLOOKUP(A588,Rackfile_combined!$B:$C,2,false),"")</f>
        <v/>
      </c>
    </row>
    <row r="589">
      <c r="A589" s="186"/>
      <c r="B589" s="186"/>
      <c r="C589" s="186"/>
      <c r="D589" s="186"/>
      <c r="E589" s="186"/>
      <c r="F589" s="186"/>
      <c r="G589" s="186"/>
      <c r="H589" s="186"/>
      <c r="I589" s="186"/>
      <c r="L589" s="185"/>
      <c r="N589" s="185"/>
      <c r="P589" s="4" t="str">
        <f>IF(A589&lt;&gt;"",VLOOKUP(A589,Rackfile_combined!$B:$C,2,false),"")</f>
        <v/>
      </c>
    </row>
    <row r="590">
      <c r="A590" s="186"/>
      <c r="B590" s="186"/>
      <c r="C590" s="186"/>
      <c r="D590" s="186"/>
      <c r="E590" s="186"/>
      <c r="F590" s="186"/>
      <c r="G590" s="186"/>
      <c r="H590" s="186"/>
      <c r="I590" s="186"/>
      <c r="L590" s="185"/>
      <c r="N590" s="185"/>
      <c r="P590" s="4" t="str">
        <f>IF(A590&lt;&gt;"",VLOOKUP(A590,Rackfile_combined!$B:$C,2,false),"")</f>
        <v/>
      </c>
    </row>
    <row r="591">
      <c r="A591" s="186"/>
      <c r="B591" s="186"/>
      <c r="C591" s="186"/>
      <c r="D591" s="186"/>
      <c r="E591" s="186"/>
      <c r="F591" s="186"/>
      <c r="G591" s="186"/>
      <c r="H591" s="186"/>
      <c r="I591" s="186"/>
      <c r="L591" s="185"/>
      <c r="N591" s="185"/>
      <c r="P591" s="4" t="str">
        <f>IF(A591&lt;&gt;"",VLOOKUP(A591,Rackfile_combined!$B:$C,2,false),"")</f>
        <v/>
      </c>
    </row>
    <row r="592">
      <c r="A592" s="186"/>
      <c r="B592" s="186"/>
      <c r="C592" s="186"/>
      <c r="D592" s="186"/>
      <c r="E592" s="186"/>
      <c r="F592" s="186"/>
      <c r="G592" s="186"/>
      <c r="H592" s="186"/>
      <c r="I592" s="186"/>
      <c r="L592" s="185"/>
      <c r="N592" s="185"/>
      <c r="P592" s="4" t="str">
        <f>IF(A592&lt;&gt;"",VLOOKUP(A592,Rackfile_combined!$B:$C,2,false),"")</f>
        <v/>
      </c>
    </row>
    <row r="593">
      <c r="A593" s="186"/>
      <c r="B593" s="186"/>
      <c r="C593" s="186"/>
      <c r="D593" s="186"/>
      <c r="E593" s="186"/>
      <c r="F593" s="186"/>
      <c r="G593" s="186"/>
      <c r="H593" s="186"/>
      <c r="I593" s="186"/>
      <c r="L593" s="185"/>
      <c r="N593" s="185"/>
      <c r="P593" s="4" t="str">
        <f>IF(A593&lt;&gt;"",VLOOKUP(A593,Rackfile_combined!$B:$C,2,false),"")</f>
        <v/>
      </c>
    </row>
    <row r="594">
      <c r="A594" s="186"/>
      <c r="B594" s="186"/>
      <c r="C594" s="186"/>
      <c r="D594" s="186"/>
      <c r="E594" s="186"/>
      <c r="F594" s="186"/>
      <c r="G594" s="186"/>
      <c r="H594" s="186"/>
      <c r="I594" s="186"/>
      <c r="L594" s="185"/>
      <c r="N594" s="185"/>
      <c r="P594" s="4" t="str">
        <f>IF(A594&lt;&gt;"",VLOOKUP(A594,Rackfile_combined!$B:$C,2,false),"")</f>
        <v/>
      </c>
    </row>
    <row r="595">
      <c r="A595" s="186"/>
      <c r="B595" s="186"/>
      <c r="C595" s="186"/>
      <c r="D595" s="186"/>
      <c r="E595" s="186"/>
      <c r="F595" s="186"/>
      <c r="G595" s="186"/>
      <c r="H595" s="186"/>
      <c r="I595" s="186"/>
      <c r="L595" s="185"/>
      <c r="N595" s="185"/>
      <c r="P595" s="4" t="str">
        <f>IF(A595&lt;&gt;"",VLOOKUP(A595,Rackfile_combined!$B:$C,2,false),"")</f>
        <v/>
      </c>
    </row>
    <row r="596">
      <c r="A596" s="186"/>
      <c r="B596" s="186"/>
      <c r="C596" s="186"/>
      <c r="D596" s="186"/>
      <c r="E596" s="186"/>
      <c r="F596" s="186"/>
      <c r="G596" s="186"/>
      <c r="H596" s="186"/>
      <c r="I596" s="186"/>
      <c r="L596" s="185"/>
      <c r="N596" s="185"/>
      <c r="P596" s="4" t="str">
        <f>IF(A596&lt;&gt;"",VLOOKUP(A596,Rackfile_combined!$B:$C,2,false),"")</f>
        <v/>
      </c>
    </row>
    <row r="597">
      <c r="A597" s="186"/>
      <c r="B597" s="186"/>
      <c r="C597" s="186"/>
      <c r="D597" s="186"/>
      <c r="E597" s="186"/>
      <c r="F597" s="186"/>
      <c r="G597" s="186"/>
      <c r="H597" s="186"/>
      <c r="I597" s="186"/>
      <c r="L597" s="185"/>
      <c r="N597" s="185"/>
      <c r="P597" s="4" t="str">
        <f>IF(A597&lt;&gt;"",VLOOKUP(A597,Rackfile_combined!$B:$C,2,false),"")</f>
        <v/>
      </c>
    </row>
    <row r="598">
      <c r="A598" s="186"/>
      <c r="B598" s="186"/>
      <c r="C598" s="186"/>
      <c r="D598" s="186"/>
      <c r="E598" s="186"/>
      <c r="F598" s="186"/>
      <c r="G598" s="186"/>
      <c r="H598" s="186"/>
      <c r="I598" s="186"/>
      <c r="L598" s="185"/>
      <c r="N598" s="185"/>
      <c r="P598" s="4" t="str">
        <f>IF(A598&lt;&gt;"",VLOOKUP(A598,Rackfile_combined!$B:$C,2,false),"")</f>
        <v/>
      </c>
    </row>
    <row r="599">
      <c r="A599" s="186"/>
      <c r="B599" s="186"/>
      <c r="C599" s="186"/>
      <c r="D599" s="186"/>
      <c r="E599" s="186"/>
      <c r="F599" s="186"/>
      <c r="G599" s="186"/>
      <c r="H599" s="186"/>
      <c r="I599" s="186"/>
      <c r="L599" s="185"/>
      <c r="N599" s="185"/>
      <c r="P599" s="4" t="str">
        <f>IF(A599&lt;&gt;"",VLOOKUP(A599,Rackfile_combined!$B:$C,2,false),"")</f>
        <v/>
      </c>
    </row>
    <row r="600">
      <c r="A600" s="186"/>
      <c r="B600" s="186"/>
      <c r="C600" s="186"/>
      <c r="D600" s="186"/>
      <c r="E600" s="186"/>
      <c r="F600" s="186"/>
      <c r="G600" s="186"/>
      <c r="H600" s="186"/>
      <c r="I600" s="186"/>
      <c r="L600" s="185"/>
      <c r="N600" s="185"/>
      <c r="P600" s="4" t="str">
        <f>IF(A600&lt;&gt;"",VLOOKUP(A600,Rackfile_combined!$B:$C,2,false),"")</f>
        <v/>
      </c>
    </row>
    <row r="601">
      <c r="A601" s="186"/>
      <c r="B601" s="186"/>
      <c r="C601" s="186"/>
      <c r="D601" s="186"/>
      <c r="E601" s="186"/>
      <c r="F601" s="186"/>
      <c r="G601" s="186"/>
      <c r="H601" s="186"/>
      <c r="I601" s="186"/>
      <c r="L601" s="185"/>
      <c r="N601" s="185"/>
      <c r="P601" s="4" t="str">
        <f>IF(A601&lt;&gt;"",VLOOKUP(A601,Rackfile_combined!$B:$C,2,false),"")</f>
        <v/>
      </c>
    </row>
    <row r="602">
      <c r="A602" s="186"/>
      <c r="B602" s="186"/>
      <c r="C602" s="186"/>
      <c r="D602" s="186"/>
      <c r="E602" s="186"/>
      <c r="F602" s="186"/>
      <c r="G602" s="186"/>
      <c r="H602" s="186"/>
      <c r="I602" s="186"/>
      <c r="L602" s="185"/>
      <c r="N602" s="185"/>
      <c r="P602" s="4" t="str">
        <f>IF(A602&lt;&gt;"",VLOOKUP(A602,Rackfile_combined!$B:$C,2,false),"")</f>
        <v/>
      </c>
    </row>
    <row r="603">
      <c r="A603" s="186"/>
      <c r="B603" s="186"/>
      <c r="C603" s="186"/>
      <c r="D603" s="186"/>
      <c r="E603" s="186"/>
      <c r="F603" s="186"/>
      <c r="G603" s="186"/>
      <c r="H603" s="186"/>
      <c r="I603" s="186"/>
      <c r="L603" s="185"/>
      <c r="N603" s="185"/>
      <c r="P603" s="4" t="str">
        <f>IF(A603&lt;&gt;"",VLOOKUP(A603,Rackfile_combined!$B:$C,2,false),"")</f>
        <v/>
      </c>
    </row>
    <row r="604">
      <c r="A604" s="186"/>
      <c r="B604" s="186"/>
      <c r="C604" s="186"/>
      <c r="D604" s="186"/>
      <c r="E604" s="186"/>
      <c r="F604" s="186"/>
      <c r="G604" s="186"/>
      <c r="H604" s="186"/>
      <c r="I604" s="186"/>
      <c r="L604" s="185"/>
      <c r="N604" s="185"/>
      <c r="P604" s="4" t="str">
        <f>IF(A604&lt;&gt;"",VLOOKUP(A604,Rackfile_combined!$B:$C,2,false),"")</f>
        <v/>
      </c>
    </row>
    <row r="605">
      <c r="A605" s="186"/>
      <c r="B605" s="186"/>
      <c r="C605" s="186"/>
      <c r="D605" s="186"/>
      <c r="E605" s="186"/>
      <c r="F605" s="186"/>
      <c r="G605" s="186"/>
      <c r="H605" s="186"/>
      <c r="I605" s="186"/>
      <c r="L605" s="185"/>
      <c r="N605" s="185"/>
      <c r="P605" s="4" t="str">
        <f>IF(A605&lt;&gt;"",VLOOKUP(A605,Rackfile_combined!$B:$C,2,false),"")</f>
        <v/>
      </c>
    </row>
    <row r="606">
      <c r="A606" s="186"/>
      <c r="B606" s="186"/>
      <c r="C606" s="186"/>
      <c r="D606" s="186"/>
      <c r="E606" s="186"/>
      <c r="F606" s="186"/>
      <c r="G606" s="186"/>
      <c r="H606" s="186"/>
      <c r="I606" s="186"/>
      <c r="L606" s="185"/>
      <c r="N606" s="185"/>
      <c r="P606" s="4" t="str">
        <f>IF(A606&lt;&gt;"",VLOOKUP(A606,Rackfile_combined!$B:$C,2,false),"")</f>
        <v/>
      </c>
    </row>
    <row r="607">
      <c r="A607" s="186"/>
      <c r="B607" s="186"/>
      <c r="C607" s="186"/>
      <c r="D607" s="186"/>
      <c r="E607" s="186"/>
      <c r="F607" s="186"/>
      <c r="G607" s="186"/>
      <c r="H607" s="186"/>
      <c r="I607" s="186"/>
      <c r="L607" s="185"/>
      <c r="N607" s="185"/>
      <c r="P607" s="4" t="str">
        <f>IF(A607&lt;&gt;"",VLOOKUP(A607,Rackfile_combined!$B:$C,2,false),"")</f>
        <v/>
      </c>
    </row>
    <row r="608">
      <c r="A608" s="186"/>
      <c r="B608" s="186"/>
      <c r="C608" s="186"/>
      <c r="D608" s="186"/>
      <c r="E608" s="186"/>
      <c r="F608" s="186"/>
      <c r="G608" s="186"/>
      <c r="H608" s="186"/>
      <c r="I608" s="186"/>
      <c r="L608" s="185"/>
      <c r="N608" s="185"/>
      <c r="P608" s="4" t="str">
        <f>IF(A608&lt;&gt;"",VLOOKUP(A608,Rackfile_combined!$B:$C,2,false),"")</f>
        <v/>
      </c>
    </row>
    <row r="609">
      <c r="A609" s="186"/>
      <c r="B609" s="186"/>
      <c r="C609" s="186"/>
      <c r="D609" s="186"/>
      <c r="E609" s="186"/>
      <c r="F609" s="186"/>
      <c r="G609" s="186"/>
      <c r="H609" s="186"/>
      <c r="I609" s="186"/>
      <c r="L609" s="185"/>
      <c r="N609" s="185"/>
      <c r="P609" s="4" t="str">
        <f>IF(A609&lt;&gt;"",VLOOKUP(A609,Rackfile_combined!$B:$C,2,false),"")</f>
        <v/>
      </c>
    </row>
    <row r="610">
      <c r="A610" s="186"/>
      <c r="B610" s="186"/>
      <c r="C610" s="186"/>
      <c r="D610" s="186"/>
      <c r="E610" s="186"/>
      <c r="F610" s="186"/>
      <c r="G610" s="186"/>
      <c r="H610" s="186"/>
      <c r="I610" s="186"/>
      <c r="L610" s="185"/>
      <c r="N610" s="185"/>
      <c r="P610" s="4" t="str">
        <f>IF(A610&lt;&gt;"",VLOOKUP(A610,Rackfile_combined!$B:$C,2,false),"")</f>
        <v/>
      </c>
    </row>
    <row r="611">
      <c r="A611" s="186"/>
      <c r="B611" s="186"/>
      <c r="C611" s="186"/>
      <c r="D611" s="186"/>
      <c r="E611" s="186"/>
      <c r="F611" s="186"/>
      <c r="G611" s="186"/>
      <c r="H611" s="186"/>
      <c r="I611" s="186"/>
      <c r="L611" s="185"/>
      <c r="N611" s="185"/>
      <c r="P611" s="4" t="str">
        <f>IF(A611&lt;&gt;"",VLOOKUP(A611,Rackfile_combined!$B:$C,2,false),"")</f>
        <v/>
      </c>
    </row>
    <row r="612">
      <c r="A612" s="186"/>
      <c r="B612" s="186"/>
      <c r="C612" s="186"/>
      <c r="D612" s="186"/>
      <c r="E612" s="186"/>
      <c r="F612" s="186"/>
      <c r="G612" s="186"/>
      <c r="H612" s="186"/>
      <c r="I612" s="186"/>
      <c r="L612" s="185"/>
      <c r="N612" s="185"/>
      <c r="P612" s="4" t="str">
        <f>IF(A612&lt;&gt;"",VLOOKUP(A612,Rackfile_combined!$B:$C,2,false),"")</f>
        <v/>
      </c>
    </row>
    <row r="613">
      <c r="A613" s="186"/>
      <c r="B613" s="186"/>
      <c r="C613" s="186"/>
      <c r="D613" s="186"/>
      <c r="E613" s="186"/>
      <c r="F613" s="186"/>
      <c r="G613" s="186"/>
      <c r="H613" s="186"/>
      <c r="I613" s="186"/>
      <c r="L613" s="185"/>
      <c r="N613" s="185"/>
      <c r="P613" s="4" t="str">
        <f>IF(A613&lt;&gt;"",VLOOKUP(A613,Rackfile_combined!$B:$C,2,false),"")</f>
        <v/>
      </c>
    </row>
    <row r="614">
      <c r="A614" s="186"/>
      <c r="B614" s="186"/>
      <c r="C614" s="186"/>
      <c r="D614" s="186"/>
      <c r="E614" s="186"/>
      <c r="F614" s="186"/>
      <c r="G614" s="186"/>
      <c r="H614" s="186"/>
      <c r="I614" s="186"/>
      <c r="L614" s="185"/>
      <c r="N614" s="185"/>
      <c r="P614" s="4" t="str">
        <f>IF(A614&lt;&gt;"",VLOOKUP(A614,Rackfile_combined!$B:$C,2,false),"")</f>
        <v/>
      </c>
    </row>
    <row r="615">
      <c r="A615" s="186"/>
      <c r="B615" s="186"/>
      <c r="C615" s="186"/>
      <c r="D615" s="186"/>
      <c r="E615" s="186"/>
      <c r="F615" s="186"/>
      <c r="G615" s="186"/>
      <c r="H615" s="186"/>
      <c r="I615" s="186"/>
      <c r="L615" s="185"/>
      <c r="N615" s="185"/>
      <c r="P615" s="4" t="str">
        <f>IF(A615&lt;&gt;"",VLOOKUP(A615,Rackfile_combined!$B:$C,2,false),"")</f>
        <v/>
      </c>
    </row>
    <row r="616">
      <c r="A616" s="186"/>
      <c r="B616" s="186"/>
      <c r="C616" s="186"/>
      <c r="D616" s="186"/>
      <c r="E616" s="186"/>
      <c r="F616" s="186"/>
      <c r="G616" s="186"/>
      <c r="H616" s="186"/>
      <c r="I616" s="186"/>
      <c r="L616" s="185"/>
      <c r="N616" s="185"/>
      <c r="P616" s="4" t="str">
        <f>IF(A616&lt;&gt;"",VLOOKUP(A616,Rackfile_combined!$B:$C,2,false),"")</f>
        <v/>
      </c>
    </row>
    <row r="617">
      <c r="A617" s="186"/>
      <c r="B617" s="186"/>
      <c r="C617" s="186"/>
      <c r="D617" s="186"/>
      <c r="E617" s="186"/>
      <c r="F617" s="186"/>
      <c r="G617" s="186"/>
      <c r="H617" s="186"/>
      <c r="I617" s="186"/>
      <c r="L617" s="185"/>
      <c r="N617" s="185"/>
      <c r="P617" s="4" t="str">
        <f>IF(A617&lt;&gt;"",VLOOKUP(A617,Rackfile_combined!$B:$C,2,false),"")</f>
        <v/>
      </c>
    </row>
    <row r="618">
      <c r="A618" s="186"/>
      <c r="B618" s="186"/>
      <c r="C618" s="186"/>
      <c r="D618" s="186"/>
      <c r="E618" s="186"/>
      <c r="F618" s="186"/>
      <c r="G618" s="186"/>
      <c r="H618" s="186"/>
      <c r="I618" s="186"/>
      <c r="L618" s="185"/>
      <c r="N618" s="185"/>
      <c r="P618" s="4" t="str">
        <f>IF(A618&lt;&gt;"",VLOOKUP(A618,Rackfile_combined!$B:$C,2,false),"")</f>
        <v/>
      </c>
    </row>
    <row r="619">
      <c r="A619" s="186"/>
      <c r="B619" s="186"/>
      <c r="C619" s="186"/>
      <c r="D619" s="186"/>
      <c r="E619" s="186"/>
      <c r="F619" s="186"/>
      <c r="G619" s="186"/>
      <c r="H619" s="186"/>
      <c r="I619" s="186"/>
      <c r="L619" s="185"/>
      <c r="N619" s="185"/>
      <c r="P619" s="4" t="str">
        <f>IF(A619&lt;&gt;"",VLOOKUP(A619,Rackfile_combined!$B:$C,2,false),"")</f>
        <v/>
      </c>
    </row>
    <row r="620">
      <c r="A620" s="186"/>
      <c r="B620" s="186"/>
      <c r="C620" s="186"/>
      <c r="D620" s="186"/>
      <c r="E620" s="186"/>
      <c r="F620" s="186"/>
      <c r="G620" s="186"/>
      <c r="H620" s="186"/>
      <c r="I620" s="186"/>
      <c r="L620" s="185"/>
      <c r="N620" s="185"/>
      <c r="P620" s="4" t="str">
        <f>IF(A620&lt;&gt;"",VLOOKUP(A620,Rackfile_combined!$B:$C,2,false),"")</f>
        <v/>
      </c>
    </row>
    <row r="621">
      <c r="A621" s="186"/>
      <c r="B621" s="186"/>
      <c r="C621" s="186"/>
      <c r="D621" s="186"/>
      <c r="E621" s="186"/>
      <c r="F621" s="186"/>
      <c r="G621" s="186"/>
      <c r="H621" s="186"/>
      <c r="I621" s="186"/>
      <c r="L621" s="185"/>
      <c r="N621" s="185"/>
      <c r="P621" s="4" t="str">
        <f>IF(A621&lt;&gt;"",VLOOKUP(A621,Rackfile_combined!$B:$C,2,false),"")</f>
        <v/>
      </c>
    </row>
    <row r="622">
      <c r="A622" s="186"/>
      <c r="B622" s="186"/>
      <c r="C622" s="186"/>
      <c r="D622" s="186"/>
      <c r="E622" s="186"/>
      <c r="F622" s="186"/>
      <c r="G622" s="186"/>
      <c r="H622" s="186"/>
      <c r="I622" s="186"/>
      <c r="L622" s="185"/>
      <c r="N622" s="185"/>
      <c r="P622" s="4" t="str">
        <f>IF(A622&lt;&gt;"",VLOOKUP(A622,Rackfile_combined!$B:$C,2,false),"")</f>
        <v/>
      </c>
    </row>
    <row r="623">
      <c r="A623" s="186"/>
      <c r="B623" s="186"/>
      <c r="C623" s="186"/>
      <c r="D623" s="186"/>
      <c r="E623" s="186"/>
      <c r="F623" s="186"/>
      <c r="G623" s="186"/>
      <c r="H623" s="186"/>
      <c r="I623" s="186"/>
      <c r="L623" s="185"/>
      <c r="N623" s="185"/>
      <c r="P623" s="4" t="str">
        <f>IF(A623&lt;&gt;"",VLOOKUP(A623,Rackfile_combined!$B:$C,2,false),"")</f>
        <v/>
      </c>
    </row>
    <row r="624">
      <c r="A624" s="186"/>
      <c r="B624" s="186"/>
      <c r="C624" s="186"/>
      <c r="D624" s="186"/>
      <c r="E624" s="186"/>
      <c r="F624" s="186"/>
      <c r="G624" s="186"/>
      <c r="H624" s="186"/>
      <c r="I624" s="186"/>
      <c r="L624" s="185"/>
      <c r="N624" s="185"/>
      <c r="P624" s="4" t="str">
        <f>IF(A624&lt;&gt;"",VLOOKUP(A624,Rackfile_combined!$B:$C,2,false),"")</f>
        <v/>
      </c>
    </row>
    <row r="625">
      <c r="A625" s="186"/>
      <c r="B625" s="186"/>
      <c r="C625" s="186"/>
      <c r="D625" s="186"/>
      <c r="E625" s="186"/>
      <c r="F625" s="186"/>
      <c r="G625" s="186"/>
      <c r="H625" s="186"/>
      <c r="I625" s="186"/>
      <c r="L625" s="185"/>
      <c r="N625" s="185"/>
      <c r="P625" s="4" t="str">
        <f>IF(A625&lt;&gt;"",VLOOKUP(A625,Rackfile_combined!$B:$C,2,false),"")</f>
        <v/>
      </c>
    </row>
    <row r="626">
      <c r="A626" s="186"/>
      <c r="B626" s="186"/>
      <c r="C626" s="186"/>
      <c r="D626" s="186"/>
      <c r="E626" s="186"/>
      <c r="F626" s="186"/>
      <c r="G626" s="186"/>
      <c r="H626" s="186"/>
      <c r="I626" s="186"/>
      <c r="L626" s="185"/>
      <c r="N626" s="185"/>
      <c r="P626" s="4" t="str">
        <f>IF(A626&lt;&gt;"",VLOOKUP(A626,Rackfile_combined!$B:$C,2,false),"")</f>
        <v/>
      </c>
    </row>
    <row r="627">
      <c r="A627" s="186"/>
      <c r="B627" s="186"/>
      <c r="C627" s="186"/>
      <c r="D627" s="186"/>
      <c r="E627" s="186"/>
      <c r="F627" s="186"/>
      <c r="G627" s="186"/>
      <c r="H627" s="186"/>
      <c r="I627" s="186"/>
      <c r="L627" s="185"/>
      <c r="N627" s="185"/>
      <c r="P627" s="4" t="str">
        <f>IF(A627&lt;&gt;"",VLOOKUP(A627,Rackfile_combined!$B:$C,2,false),"")</f>
        <v/>
      </c>
    </row>
    <row r="628">
      <c r="A628" s="186"/>
      <c r="B628" s="186"/>
      <c r="C628" s="186"/>
      <c r="D628" s="186"/>
      <c r="E628" s="186"/>
      <c r="F628" s="186"/>
      <c r="G628" s="186"/>
      <c r="H628" s="186"/>
      <c r="I628" s="186"/>
      <c r="L628" s="185"/>
      <c r="N628" s="185"/>
      <c r="P628" s="4" t="str">
        <f>IF(A628&lt;&gt;"",VLOOKUP(A628,Rackfile_combined!$B:$C,2,false),"")</f>
        <v/>
      </c>
    </row>
    <row r="629">
      <c r="A629" s="186"/>
      <c r="B629" s="186"/>
      <c r="C629" s="186"/>
      <c r="D629" s="186"/>
      <c r="E629" s="186"/>
      <c r="F629" s="186"/>
      <c r="G629" s="186"/>
      <c r="H629" s="186"/>
      <c r="I629" s="186"/>
      <c r="L629" s="185"/>
      <c r="N629" s="185"/>
      <c r="P629" s="4" t="str">
        <f>IF(A629&lt;&gt;"",VLOOKUP(A629,Rackfile_combined!$B:$C,2,false),"")</f>
        <v/>
      </c>
    </row>
    <row r="630">
      <c r="A630" s="186"/>
      <c r="B630" s="186"/>
      <c r="C630" s="186"/>
      <c r="D630" s="186"/>
      <c r="E630" s="186"/>
      <c r="F630" s="186"/>
      <c r="G630" s="186"/>
      <c r="H630" s="186"/>
      <c r="I630" s="186"/>
      <c r="L630" s="185"/>
      <c r="N630" s="185"/>
      <c r="P630" s="4" t="str">
        <f>IF(A630&lt;&gt;"",VLOOKUP(A630,Rackfile_combined!$B:$C,2,false),"")</f>
        <v/>
      </c>
    </row>
    <row r="631">
      <c r="A631" s="186"/>
      <c r="B631" s="186"/>
      <c r="C631" s="186"/>
      <c r="D631" s="186"/>
      <c r="E631" s="186"/>
      <c r="F631" s="186"/>
      <c r="G631" s="186"/>
      <c r="H631" s="186"/>
      <c r="I631" s="186"/>
      <c r="L631" s="185"/>
      <c r="N631" s="185"/>
      <c r="P631" s="4" t="str">
        <f>IF(A631&lt;&gt;"",VLOOKUP(A631,Rackfile_combined!$B:$C,2,false),"")</f>
        <v/>
      </c>
    </row>
    <row r="632">
      <c r="A632" s="186"/>
      <c r="B632" s="186"/>
      <c r="C632" s="186"/>
      <c r="D632" s="186"/>
      <c r="E632" s="186"/>
      <c r="F632" s="186"/>
      <c r="G632" s="186"/>
      <c r="H632" s="186"/>
      <c r="I632" s="186"/>
      <c r="L632" s="185"/>
      <c r="N632" s="185"/>
      <c r="P632" s="4" t="str">
        <f>IF(A632&lt;&gt;"",VLOOKUP(A632,Rackfile_combined!$B:$C,2,false),"")</f>
        <v/>
      </c>
    </row>
    <row r="633">
      <c r="A633" s="186"/>
      <c r="B633" s="186"/>
      <c r="C633" s="186"/>
      <c r="D633" s="186"/>
      <c r="E633" s="186"/>
      <c r="F633" s="186"/>
      <c r="G633" s="186"/>
      <c r="H633" s="186"/>
      <c r="I633" s="186"/>
      <c r="L633" s="185"/>
      <c r="N633" s="185"/>
      <c r="P633" s="4" t="str">
        <f>IF(A633&lt;&gt;"",VLOOKUP(A633,Rackfile_combined!$B:$C,2,false),"")</f>
        <v/>
      </c>
    </row>
    <row r="634">
      <c r="A634" s="186"/>
      <c r="B634" s="186"/>
      <c r="C634" s="186"/>
      <c r="D634" s="186"/>
      <c r="E634" s="186"/>
      <c r="F634" s="186"/>
      <c r="G634" s="186"/>
      <c r="H634" s="186"/>
      <c r="I634" s="186"/>
      <c r="L634" s="185"/>
      <c r="N634" s="185"/>
      <c r="P634" s="4" t="str">
        <f>IF(A634&lt;&gt;"",VLOOKUP(A634,Rackfile_combined!$B:$C,2,false),"")</f>
        <v/>
      </c>
    </row>
    <row r="635">
      <c r="A635" s="186"/>
      <c r="B635" s="186"/>
      <c r="C635" s="186"/>
      <c r="D635" s="186"/>
      <c r="E635" s="186"/>
      <c r="F635" s="186"/>
      <c r="G635" s="186"/>
      <c r="H635" s="186"/>
      <c r="I635" s="186"/>
      <c r="L635" s="185"/>
      <c r="N635" s="185"/>
      <c r="P635" s="4" t="str">
        <f>IF(A635&lt;&gt;"",VLOOKUP(A635,Rackfile_combined!$B:$C,2,false),"")</f>
        <v/>
      </c>
    </row>
    <row r="636">
      <c r="A636" s="186"/>
      <c r="B636" s="186"/>
      <c r="C636" s="186"/>
      <c r="D636" s="186"/>
      <c r="E636" s="186"/>
      <c r="F636" s="186"/>
      <c r="G636" s="186"/>
      <c r="H636" s="186"/>
      <c r="I636" s="186"/>
      <c r="L636" s="185"/>
      <c r="N636" s="185"/>
      <c r="P636" s="4" t="str">
        <f>IF(A636&lt;&gt;"",VLOOKUP(A636,Rackfile_combined!$B:$C,2,false),"")</f>
        <v/>
      </c>
    </row>
    <row r="637">
      <c r="A637" s="186"/>
      <c r="B637" s="186"/>
      <c r="C637" s="186"/>
      <c r="D637" s="186"/>
      <c r="E637" s="186"/>
      <c r="F637" s="186"/>
      <c r="G637" s="186"/>
      <c r="H637" s="186"/>
      <c r="I637" s="186"/>
      <c r="L637" s="185"/>
      <c r="N637" s="185"/>
      <c r="P637" s="4" t="str">
        <f>IF(A637&lt;&gt;"",VLOOKUP(A637,Rackfile_combined!$B:$C,2,false),"")</f>
        <v/>
      </c>
    </row>
    <row r="638">
      <c r="A638" s="186"/>
      <c r="B638" s="186"/>
      <c r="C638" s="186"/>
      <c r="D638" s="186"/>
      <c r="E638" s="186"/>
      <c r="F638" s="186"/>
      <c r="G638" s="186"/>
      <c r="H638" s="186"/>
      <c r="I638" s="186"/>
      <c r="L638" s="185"/>
      <c r="N638" s="185"/>
      <c r="P638" s="4" t="str">
        <f>IF(A638&lt;&gt;"",VLOOKUP(A638,Rackfile_combined!$B:$C,2,false),"")</f>
        <v/>
      </c>
    </row>
    <row r="639">
      <c r="A639" s="186"/>
      <c r="B639" s="186"/>
      <c r="C639" s="186"/>
      <c r="D639" s="186"/>
      <c r="E639" s="186"/>
      <c r="F639" s="186"/>
      <c r="G639" s="186"/>
      <c r="H639" s="186"/>
      <c r="I639" s="186"/>
      <c r="L639" s="185"/>
      <c r="N639" s="185"/>
      <c r="P639" s="4" t="str">
        <f>IF(A639&lt;&gt;"",VLOOKUP(A639,Rackfile_combined!$B:$C,2,false),"")</f>
        <v/>
      </c>
    </row>
    <row r="640">
      <c r="A640" s="186"/>
      <c r="B640" s="186"/>
      <c r="C640" s="186"/>
      <c r="D640" s="186"/>
      <c r="E640" s="186"/>
      <c r="F640" s="186"/>
      <c r="G640" s="186"/>
      <c r="H640" s="186"/>
      <c r="I640" s="186"/>
      <c r="L640" s="185"/>
      <c r="N640" s="185"/>
      <c r="P640" s="4" t="str">
        <f>IF(A640&lt;&gt;"",VLOOKUP(A640,Rackfile_combined!$B:$C,2,false),"")</f>
        <v/>
      </c>
    </row>
    <row r="641">
      <c r="A641" s="186"/>
      <c r="B641" s="186"/>
      <c r="C641" s="186"/>
      <c r="D641" s="186"/>
      <c r="E641" s="186"/>
      <c r="F641" s="186"/>
      <c r="G641" s="186"/>
      <c r="H641" s="186"/>
      <c r="I641" s="186"/>
      <c r="L641" s="185"/>
      <c r="N641" s="185"/>
      <c r="P641" s="4" t="str">
        <f>IF(A641&lt;&gt;"",VLOOKUP(A641,Rackfile_combined!$B:$C,2,false),"")</f>
        <v/>
      </c>
    </row>
    <row r="642">
      <c r="A642" s="186"/>
      <c r="B642" s="186"/>
      <c r="C642" s="186"/>
      <c r="D642" s="186"/>
      <c r="E642" s="186"/>
      <c r="F642" s="186"/>
      <c r="G642" s="186"/>
      <c r="H642" s="186"/>
      <c r="I642" s="186"/>
      <c r="L642" s="185"/>
      <c r="N642" s="185"/>
      <c r="P642" s="4" t="str">
        <f>IF(A642&lt;&gt;"",VLOOKUP(A642,Rackfile_combined!$B:$C,2,false),"")</f>
        <v/>
      </c>
    </row>
    <row r="643">
      <c r="A643" s="186"/>
      <c r="B643" s="186"/>
      <c r="C643" s="186"/>
      <c r="D643" s="186"/>
      <c r="E643" s="186"/>
      <c r="F643" s="186"/>
      <c r="G643" s="186"/>
      <c r="H643" s="186"/>
      <c r="I643" s="186"/>
      <c r="L643" s="185"/>
      <c r="N643" s="185"/>
      <c r="P643" s="4" t="str">
        <f>IF(A643&lt;&gt;"",VLOOKUP(A643,Rackfile_combined!$B:$C,2,false),"")</f>
        <v/>
      </c>
    </row>
    <row r="644">
      <c r="A644" s="186"/>
      <c r="B644" s="186"/>
      <c r="C644" s="186"/>
      <c r="D644" s="186"/>
      <c r="E644" s="186"/>
      <c r="F644" s="186"/>
      <c r="G644" s="186"/>
      <c r="H644" s="186"/>
      <c r="I644" s="186"/>
      <c r="L644" s="185"/>
      <c r="N644" s="185"/>
      <c r="P644" s="4" t="str">
        <f>IF(A644&lt;&gt;"",VLOOKUP(A644,Rackfile_combined!$B:$C,2,false),"")</f>
        <v/>
      </c>
    </row>
    <row r="645">
      <c r="A645" s="186"/>
      <c r="B645" s="186"/>
      <c r="C645" s="186"/>
      <c r="D645" s="186"/>
      <c r="E645" s="186"/>
      <c r="F645" s="186"/>
      <c r="G645" s="186"/>
      <c r="H645" s="186"/>
      <c r="I645" s="186"/>
      <c r="L645" s="185"/>
      <c r="N645" s="185"/>
      <c r="P645" s="4" t="str">
        <f>IF(A645&lt;&gt;"",VLOOKUP(A645,Rackfile_combined!$B:$C,2,false),"")</f>
        <v/>
      </c>
    </row>
    <row r="646">
      <c r="A646" s="186"/>
      <c r="B646" s="186"/>
      <c r="C646" s="186"/>
      <c r="D646" s="186"/>
      <c r="E646" s="186"/>
      <c r="F646" s="186"/>
      <c r="G646" s="186"/>
      <c r="H646" s="186"/>
      <c r="I646" s="186"/>
      <c r="L646" s="185"/>
      <c r="N646" s="185"/>
      <c r="P646" s="4" t="str">
        <f>IF(A646&lt;&gt;"",VLOOKUP(A646,Rackfile_combined!$B:$C,2,false),"")</f>
        <v/>
      </c>
    </row>
    <row r="647">
      <c r="A647" s="186"/>
      <c r="B647" s="186"/>
      <c r="C647" s="186"/>
      <c r="D647" s="186"/>
      <c r="E647" s="186"/>
      <c r="F647" s="186"/>
      <c r="G647" s="186"/>
      <c r="H647" s="186"/>
      <c r="I647" s="186"/>
      <c r="L647" s="185"/>
      <c r="N647" s="185"/>
      <c r="P647" s="4" t="str">
        <f>IF(A647&lt;&gt;"",VLOOKUP(A647,Rackfile_combined!$B:$C,2,false),"")</f>
        <v/>
      </c>
    </row>
    <row r="648">
      <c r="A648" s="186"/>
      <c r="B648" s="186"/>
      <c r="C648" s="186"/>
      <c r="D648" s="186"/>
      <c r="E648" s="186"/>
      <c r="F648" s="186"/>
      <c r="G648" s="186"/>
      <c r="H648" s="186"/>
      <c r="I648" s="186"/>
      <c r="L648" s="185"/>
      <c r="N648" s="185"/>
      <c r="P648" s="4" t="str">
        <f>IF(A648&lt;&gt;"",VLOOKUP(A648,Rackfile_combined!$B:$C,2,false),"")</f>
        <v/>
      </c>
    </row>
    <row r="649">
      <c r="A649" s="186"/>
      <c r="B649" s="186"/>
      <c r="C649" s="186"/>
      <c r="D649" s="186"/>
      <c r="E649" s="186"/>
      <c r="F649" s="186"/>
      <c r="G649" s="186"/>
      <c r="H649" s="186"/>
      <c r="I649" s="186"/>
      <c r="L649" s="185"/>
      <c r="N649" s="185"/>
      <c r="P649" s="4" t="str">
        <f>IF(A649&lt;&gt;"",VLOOKUP(A649,Rackfile_combined!$B:$C,2,false),"")</f>
        <v/>
      </c>
    </row>
    <row r="650">
      <c r="A650" s="186"/>
      <c r="B650" s="186"/>
      <c r="C650" s="186"/>
      <c r="D650" s="186"/>
      <c r="E650" s="186"/>
      <c r="F650" s="186"/>
      <c r="G650" s="186"/>
      <c r="H650" s="186"/>
      <c r="I650" s="186"/>
      <c r="L650" s="185"/>
      <c r="N650" s="185"/>
      <c r="P650" s="4" t="str">
        <f>IF(A650&lt;&gt;"",VLOOKUP(A650,Rackfile_combined!$B:$C,2,false),"")</f>
        <v/>
      </c>
    </row>
    <row r="651">
      <c r="A651" s="186"/>
      <c r="B651" s="186"/>
      <c r="C651" s="186"/>
      <c r="D651" s="186"/>
      <c r="E651" s="186"/>
      <c r="F651" s="186"/>
      <c r="G651" s="186"/>
      <c r="H651" s="186"/>
      <c r="I651" s="186"/>
      <c r="L651" s="185"/>
      <c r="N651" s="185"/>
      <c r="P651" s="4" t="str">
        <f>IF(A651&lt;&gt;"",VLOOKUP(A651,Rackfile_combined!$B:$C,2,false),"")</f>
        <v/>
      </c>
    </row>
    <row r="652">
      <c r="A652" s="186"/>
      <c r="B652" s="186"/>
      <c r="C652" s="186"/>
      <c r="D652" s="186"/>
      <c r="E652" s="186"/>
      <c r="F652" s="186"/>
      <c r="G652" s="186"/>
      <c r="H652" s="186"/>
      <c r="I652" s="186"/>
      <c r="L652" s="185"/>
      <c r="N652" s="185"/>
      <c r="P652" s="4" t="str">
        <f>IF(A652&lt;&gt;"",VLOOKUP(A652,Rackfile_combined!$B:$C,2,false),"")</f>
        <v/>
      </c>
    </row>
    <row r="653">
      <c r="A653" s="186"/>
      <c r="B653" s="186"/>
      <c r="C653" s="186"/>
      <c r="D653" s="186"/>
      <c r="E653" s="186"/>
      <c r="F653" s="186"/>
      <c r="G653" s="186"/>
      <c r="H653" s="186"/>
      <c r="I653" s="186"/>
      <c r="L653" s="185"/>
      <c r="N653" s="185"/>
      <c r="P653" s="4" t="str">
        <f>IF(A653&lt;&gt;"",VLOOKUP(A653,Rackfile_combined!$B:$C,2,false),"")</f>
        <v/>
      </c>
    </row>
    <row r="654">
      <c r="A654" s="186"/>
      <c r="B654" s="186"/>
      <c r="C654" s="186"/>
      <c r="D654" s="186"/>
      <c r="E654" s="186"/>
      <c r="F654" s="186"/>
      <c r="G654" s="186"/>
      <c r="H654" s="186"/>
      <c r="I654" s="186"/>
      <c r="L654" s="185"/>
      <c r="N654" s="185"/>
      <c r="P654" s="4" t="str">
        <f>IF(A654&lt;&gt;"",VLOOKUP(A654,Rackfile_combined!$B:$C,2,false),"")</f>
        <v/>
      </c>
    </row>
    <row r="655">
      <c r="A655" s="186"/>
      <c r="B655" s="186"/>
      <c r="C655" s="186"/>
      <c r="D655" s="186"/>
      <c r="E655" s="186"/>
      <c r="F655" s="186"/>
      <c r="G655" s="186"/>
      <c r="H655" s="186"/>
      <c r="I655" s="186"/>
      <c r="L655" s="185"/>
      <c r="N655" s="185"/>
      <c r="P655" s="4" t="str">
        <f>IF(A655&lt;&gt;"",VLOOKUP(A655,Rackfile_combined!$B:$C,2,false),"")</f>
        <v/>
      </c>
    </row>
    <row r="656">
      <c r="A656" s="186"/>
      <c r="B656" s="186"/>
      <c r="C656" s="186"/>
      <c r="D656" s="186"/>
      <c r="E656" s="186"/>
      <c r="F656" s="186"/>
      <c r="G656" s="186"/>
      <c r="H656" s="186"/>
      <c r="I656" s="186"/>
      <c r="L656" s="185"/>
      <c r="N656" s="185"/>
      <c r="P656" s="4" t="str">
        <f>IF(A656&lt;&gt;"",VLOOKUP(A656,Rackfile_combined!$B:$C,2,false),"")</f>
        <v/>
      </c>
    </row>
    <row r="657">
      <c r="A657" s="186"/>
      <c r="B657" s="186"/>
      <c r="C657" s="186"/>
      <c r="D657" s="186"/>
      <c r="E657" s="186"/>
      <c r="F657" s="186"/>
      <c r="G657" s="186"/>
      <c r="H657" s="186"/>
      <c r="I657" s="186"/>
      <c r="L657" s="185"/>
      <c r="N657" s="185"/>
      <c r="P657" s="4" t="str">
        <f>IF(A657&lt;&gt;"",VLOOKUP(A657,Rackfile_combined!$B:$C,2,false),"")</f>
        <v/>
      </c>
    </row>
    <row r="658">
      <c r="A658" s="186"/>
      <c r="B658" s="186"/>
      <c r="C658" s="186"/>
      <c r="D658" s="186"/>
      <c r="E658" s="186"/>
      <c r="F658" s="186"/>
      <c r="G658" s="186"/>
      <c r="H658" s="186"/>
      <c r="I658" s="186"/>
      <c r="L658" s="185"/>
      <c r="N658" s="185"/>
      <c r="P658" s="4" t="str">
        <f>IF(A658&lt;&gt;"",VLOOKUP(A658,Rackfile_combined!$B:$C,2,false),"")</f>
        <v/>
      </c>
    </row>
    <row r="659">
      <c r="A659" s="186"/>
      <c r="B659" s="186"/>
      <c r="C659" s="186"/>
      <c r="D659" s="186"/>
      <c r="E659" s="186"/>
      <c r="F659" s="186"/>
      <c r="G659" s="186"/>
      <c r="H659" s="186"/>
      <c r="I659" s="186"/>
      <c r="L659" s="185"/>
      <c r="N659" s="185"/>
      <c r="P659" s="4" t="str">
        <f>IF(A659&lt;&gt;"",VLOOKUP(A659,Rackfile_combined!$B:$C,2,false),"")</f>
        <v/>
      </c>
    </row>
    <row r="660">
      <c r="A660" s="186"/>
      <c r="B660" s="186"/>
      <c r="C660" s="186"/>
      <c r="D660" s="186"/>
      <c r="E660" s="186"/>
      <c r="F660" s="186"/>
      <c r="G660" s="186"/>
      <c r="H660" s="186"/>
      <c r="I660" s="186"/>
      <c r="L660" s="185"/>
      <c r="N660" s="185"/>
      <c r="P660" s="4" t="str">
        <f>IF(A660&lt;&gt;"",VLOOKUP(A660,Rackfile_combined!$B:$C,2,false),"")</f>
        <v/>
      </c>
    </row>
    <row r="661">
      <c r="A661" s="186"/>
      <c r="B661" s="186"/>
      <c r="C661" s="186"/>
      <c r="D661" s="186"/>
      <c r="E661" s="186"/>
      <c r="F661" s="186"/>
      <c r="G661" s="186"/>
      <c r="H661" s="186"/>
      <c r="I661" s="186"/>
      <c r="L661" s="185"/>
      <c r="N661" s="185"/>
      <c r="P661" s="4" t="str">
        <f>IF(A661&lt;&gt;"",VLOOKUP(A661,Rackfile_combined!$B:$C,2,false),"")</f>
        <v/>
      </c>
    </row>
    <row r="662">
      <c r="A662" s="186"/>
      <c r="B662" s="186"/>
      <c r="C662" s="186"/>
      <c r="D662" s="186"/>
      <c r="E662" s="186"/>
      <c r="F662" s="186"/>
      <c r="G662" s="186"/>
      <c r="H662" s="186"/>
      <c r="I662" s="186"/>
      <c r="L662" s="185"/>
      <c r="N662" s="185"/>
      <c r="P662" s="4" t="str">
        <f>IF(A662&lt;&gt;"",VLOOKUP(A662,Rackfile_combined!$B:$C,2,false),"")</f>
        <v/>
      </c>
    </row>
    <row r="663">
      <c r="A663" s="186"/>
      <c r="B663" s="186"/>
      <c r="C663" s="186"/>
      <c r="D663" s="186"/>
      <c r="E663" s="186"/>
      <c r="F663" s="186"/>
      <c r="G663" s="186"/>
      <c r="H663" s="186"/>
      <c r="I663" s="186"/>
      <c r="L663" s="185"/>
      <c r="N663" s="185"/>
      <c r="P663" s="4" t="str">
        <f>IF(A663&lt;&gt;"",VLOOKUP(A663,Rackfile_combined!$B:$C,2,false),"")</f>
        <v/>
      </c>
    </row>
    <row r="664">
      <c r="A664" s="186"/>
      <c r="B664" s="186"/>
      <c r="C664" s="186"/>
      <c r="D664" s="186"/>
      <c r="E664" s="186"/>
      <c r="F664" s="186"/>
      <c r="G664" s="186"/>
      <c r="H664" s="186"/>
      <c r="I664" s="186"/>
      <c r="L664" s="185"/>
      <c r="N664" s="185"/>
      <c r="P664" s="4" t="str">
        <f>IF(A664&lt;&gt;"",VLOOKUP(A664,Rackfile_combined!$B:$C,2,false),"")</f>
        <v/>
      </c>
    </row>
    <row r="665">
      <c r="A665" s="186"/>
      <c r="B665" s="186"/>
      <c r="C665" s="186"/>
      <c r="D665" s="186"/>
      <c r="E665" s="186"/>
      <c r="F665" s="186"/>
      <c r="G665" s="186"/>
      <c r="H665" s="186"/>
      <c r="I665" s="186"/>
      <c r="L665" s="185"/>
      <c r="N665" s="185"/>
      <c r="P665" s="4" t="str">
        <f>IF(A665&lt;&gt;"",VLOOKUP(A665,Rackfile_combined!$B:$C,2,false),"")</f>
        <v/>
      </c>
    </row>
    <row r="666">
      <c r="A666" s="186"/>
      <c r="B666" s="186"/>
      <c r="C666" s="186"/>
      <c r="D666" s="186"/>
      <c r="E666" s="186"/>
      <c r="F666" s="186"/>
      <c r="G666" s="186"/>
      <c r="H666" s="186"/>
      <c r="I666" s="186"/>
      <c r="L666" s="185"/>
      <c r="N666" s="185"/>
      <c r="P666" s="4" t="str">
        <f>IF(A666&lt;&gt;"",VLOOKUP(A666,Rackfile_combined!$B:$C,2,false),"")</f>
        <v/>
      </c>
    </row>
    <row r="667">
      <c r="A667" s="186"/>
      <c r="B667" s="186"/>
      <c r="C667" s="186"/>
      <c r="D667" s="186"/>
      <c r="E667" s="186"/>
      <c r="F667" s="186"/>
      <c r="G667" s="186"/>
      <c r="H667" s="186"/>
      <c r="I667" s="186"/>
      <c r="L667" s="185"/>
      <c r="N667" s="185"/>
      <c r="P667" s="4" t="str">
        <f>IF(A667&lt;&gt;"",VLOOKUP(A667,Rackfile_combined!$B:$C,2,false),"")</f>
        <v/>
      </c>
    </row>
    <row r="668">
      <c r="A668" s="186"/>
      <c r="B668" s="186"/>
      <c r="C668" s="186"/>
      <c r="D668" s="186"/>
      <c r="E668" s="186"/>
      <c r="F668" s="186"/>
      <c r="G668" s="186"/>
      <c r="H668" s="186"/>
      <c r="I668" s="186"/>
      <c r="L668" s="185"/>
      <c r="N668" s="185"/>
      <c r="P668" s="4" t="str">
        <f>IF(A668&lt;&gt;"",VLOOKUP(A668,Rackfile_combined!$B:$C,2,false),"")</f>
        <v/>
      </c>
    </row>
    <row r="669">
      <c r="A669" s="186"/>
      <c r="B669" s="186"/>
      <c r="C669" s="186"/>
      <c r="D669" s="186"/>
      <c r="E669" s="186"/>
      <c r="F669" s="186"/>
      <c r="G669" s="186"/>
      <c r="H669" s="186"/>
      <c r="I669" s="186"/>
      <c r="L669" s="185"/>
      <c r="N669" s="185"/>
      <c r="P669" s="4" t="str">
        <f>IF(A669&lt;&gt;"",VLOOKUP(A669,Rackfile_combined!$B:$C,2,false),"")</f>
        <v/>
      </c>
    </row>
    <row r="670">
      <c r="A670" s="186"/>
      <c r="B670" s="186"/>
      <c r="C670" s="186"/>
      <c r="D670" s="186"/>
      <c r="E670" s="186"/>
      <c r="F670" s="186"/>
      <c r="G670" s="186"/>
      <c r="H670" s="186"/>
      <c r="I670" s="186"/>
      <c r="L670" s="185"/>
      <c r="N670" s="185"/>
      <c r="P670" s="4" t="str">
        <f>IF(A670&lt;&gt;"",VLOOKUP(A670,Rackfile_combined!$B:$C,2,false),"")</f>
        <v/>
      </c>
    </row>
    <row r="671">
      <c r="A671" s="186"/>
      <c r="B671" s="186"/>
      <c r="C671" s="186"/>
      <c r="D671" s="186"/>
      <c r="E671" s="186"/>
      <c r="F671" s="186"/>
      <c r="G671" s="186"/>
      <c r="H671" s="186"/>
      <c r="I671" s="186"/>
      <c r="L671" s="185"/>
      <c r="N671" s="185"/>
      <c r="P671" s="4" t="str">
        <f>IF(A671&lt;&gt;"",VLOOKUP(A671,Rackfile_combined!$B:$C,2,false),"")</f>
        <v/>
      </c>
    </row>
    <row r="672">
      <c r="A672" s="186"/>
      <c r="B672" s="186"/>
      <c r="C672" s="186"/>
      <c r="D672" s="186"/>
      <c r="E672" s="186"/>
      <c r="F672" s="186"/>
      <c r="G672" s="186"/>
      <c r="H672" s="186"/>
      <c r="I672" s="186"/>
      <c r="L672" s="185"/>
      <c r="N672" s="185"/>
      <c r="P672" s="4" t="str">
        <f>IF(A672&lt;&gt;"",VLOOKUP(A672,Rackfile_combined!$B:$C,2,false),"")</f>
        <v/>
      </c>
    </row>
    <row r="673">
      <c r="A673" s="186"/>
      <c r="B673" s="186"/>
      <c r="C673" s="186"/>
      <c r="D673" s="186"/>
      <c r="E673" s="186"/>
      <c r="F673" s="186"/>
      <c r="G673" s="186"/>
      <c r="H673" s="186"/>
      <c r="I673" s="186"/>
      <c r="L673" s="185"/>
      <c r="N673" s="185"/>
      <c r="P673" s="4" t="str">
        <f>IF(A673&lt;&gt;"",VLOOKUP(A673,Rackfile_combined!$B:$C,2,false),"")</f>
        <v/>
      </c>
    </row>
    <row r="674">
      <c r="A674" s="186"/>
      <c r="B674" s="186"/>
      <c r="C674" s="186"/>
      <c r="D674" s="186"/>
      <c r="E674" s="186"/>
      <c r="F674" s="186"/>
      <c r="G674" s="186"/>
      <c r="H674" s="186"/>
      <c r="I674" s="186"/>
      <c r="L674" s="185"/>
      <c r="N674" s="185"/>
      <c r="P674" s="4" t="str">
        <f>IF(A674&lt;&gt;"",VLOOKUP(A674,Rackfile_combined!$B:$C,2,false),"")</f>
        <v/>
      </c>
    </row>
    <row r="675">
      <c r="A675" s="186"/>
      <c r="B675" s="186"/>
      <c r="C675" s="186"/>
      <c r="D675" s="186"/>
      <c r="E675" s="186"/>
      <c r="F675" s="186"/>
      <c r="G675" s="186"/>
      <c r="H675" s="186"/>
      <c r="I675" s="186"/>
      <c r="L675" s="185"/>
      <c r="N675" s="185"/>
      <c r="P675" s="4" t="str">
        <f>IF(A675&lt;&gt;"",VLOOKUP(A675,Rackfile_combined!$B:$C,2,false),"")</f>
        <v/>
      </c>
    </row>
    <row r="676">
      <c r="A676" s="186"/>
      <c r="B676" s="186"/>
      <c r="C676" s="186"/>
      <c r="D676" s="186"/>
      <c r="E676" s="186"/>
      <c r="F676" s="186"/>
      <c r="G676" s="186"/>
      <c r="H676" s="186"/>
      <c r="I676" s="186"/>
      <c r="L676" s="185"/>
      <c r="N676" s="185"/>
      <c r="P676" s="4" t="str">
        <f>IF(A676&lt;&gt;"",VLOOKUP(A676,Rackfile_combined!$B:$C,2,false),"")</f>
        <v/>
      </c>
    </row>
    <row r="677">
      <c r="A677" s="186"/>
      <c r="B677" s="186"/>
      <c r="C677" s="186"/>
      <c r="D677" s="186"/>
      <c r="E677" s="186"/>
      <c r="F677" s="186"/>
      <c r="G677" s="186"/>
      <c r="H677" s="186"/>
      <c r="I677" s="186"/>
      <c r="L677" s="185"/>
      <c r="N677" s="185"/>
      <c r="P677" s="4" t="str">
        <f>IF(A677&lt;&gt;"",VLOOKUP(A677,Rackfile_combined!$B:$C,2,false),"")</f>
        <v/>
      </c>
    </row>
    <row r="678">
      <c r="A678" s="186"/>
      <c r="B678" s="186"/>
      <c r="C678" s="186"/>
      <c r="D678" s="186"/>
      <c r="E678" s="186"/>
      <c r="F678" s="186"/>
      <c r="G678" s="186"/>
      <c r="H678" s="186"/>
      <c r="I678" s="186"/>
      <c r="L678" s="185"/>
      <c r="N678" s="185"/>
      <c r="P678" s="4" t="str">
        <f>IF(A678&lt;&gt;"",VLOOKUP(A678,Rackfile_combined!$B:$C,2,false),"")</f>
        <v/>
      </c>
    </row>
    <row r="679">
      <c r="A679" s="186"/>
      <c r="B679" s="186"/>
      <c r="C679" s="186"/>
      <c r="D679" s="186"/>
      <c r="E679" s="186"/>
      <c r="F679" s="186"/>
      <c r="G679" s="186"/>
      <c r="H679" s="186"/>
      <c r="I679" s="186"/>
      <c r="L679" s="185"/>
      <c r="N679" s="185"/>
      <c r="P679" s="4" t="str">
        <f>IF(A679&lt;&gt;"",VLOOKUP(A679,Rackfile_combined!$B:$C,2,false),"")</f>
        <v/>
      </c>
    </row>
    <row r="680">
      <c r="A680" s="186"/>
      <c r="B680" s="186"/>
      <c r="C680" s="186"/>
      <c r="D680" s="186"/>
      <c r="E680" s="186"/>
      <c r="F680" s="186"/>
      <c r="G680" s="186"/>
      <c r="H680" s="186"/>
      <c r="I680" s="186"/>
      <c r="L680" s="185"/>
      <c r="N680" s="185"/>
      <c r="P680" s="4" t="str">
        <f>IF(A680&lt;&gt;"",VLOOKUP(A680,Rackfile_combined!$B:$C,2,false),"")</f>
        <v/>
      </c>
    </row>
    <row r="681">
      <c r="A681" s="186"/>
      <c r="B681" s="186"/>
      <c r="C681" s="186"/>
      <c r="D681" s="186"/>
      <c r="E681" s="186"/>
      <c r="F681" s="186"/>
      <c r="G681" s="186"/>
      <c r="H681" s="186"/>
      <c r="I681" s="186"/>
      <c r="L681" s="185"/>
      <c r="N681" s="185"/>
      <c r="P681" s="4" t="str">
        <f>IF(A681&lt;&gt;"",VLOOKUP(A681,Rackfile_combined!$B:$C,2,false),"")</f>
        <v/>
      </c>
    </row>
    <row r="682">
      <c r="A682" s="186"/>
      <c r="B682" s="186"/>
      <c r="C682" s="186"/>
      <c r="D682" s="186"/>
      <c r="E682" s="186"/>
      <c r="F682" s="186"/>
      <c r="G682" s="186"/>
      <c r="H682" s="186"/>
      <c r="I682" s="186"/>
      <c r="L682" s="185"/>
      <c r="N682" s="185"/>
      <c r="P682" s="4" t="str">
        <f>IF(A682&lt;&gt;"",VLOOKUP(A682,Rackfile_combined!$B:$C,2,false),"")</f>
        <v/>
      </c>
    </row>
    <row r="683">
      <c r="A683" s="186"/>
      <c r="B683" s="186"/>
      <c r="C683" s="186"/>
      <c r="D683" s="186"/>
      <c r="E683" s="186"/>
      <c r="F683" s="186"/>
      <c r="G683" s="186"/>
      <c r="H683" s="186"/>
      <c r="I683" s="186"/>
      <c r="L683" s="185"/>
      <c r="N683" s="185"/>
      <c r="P683" s="4" t="str">
        <f>IF(A683&lt;&gt;"",VLOOKUP(A683,Rackfile_combined!$B:$C,2,false),"")</f>
        <v/>
      </c>
    </row>
    <row r="684">
      <c r="A684" s="186"/>
      <c r="B684" s="186"/>
      <c r="C684" s="186"/>
      <c r="D684" s="186"/>
      <c r="E684" s="186"/>
      <c r="F684" s="186"/>
      <c r="G684" s="186"/>
      <c r="H684" s="186"/>
      <c r="I684" s="186"/>
      <c r="L684" s="185"/>
      <c r="N684" s="185"/>
      <c r="P684" s="4" t="str">
        <f>IF(A684&lt;&gt;"",VLOOKUP(A684,Rackfile_combined!$B:$C,2,false),"")</f>
        <v/>
      </c>
    </row>
    <row r="685">
      <c r="A685" s="186"/>
      <c r="B685" s="186"/>
      <c r="C685" s="186"/>
      <c r="D685" s="186"/>
      <c r="E685" s="186"/>
      <c r="F685" s="186"/>
      <c r="G685" s="186"/>
      <c r="H685" s="186"/>
      <c r="I685" s="186"/>
      <c r="L685" s="185"/>
      <c r="N685" s="185"/>
      <c r="P685" s="4" t="str">
        <f>IF(A685&lt;&gt;"",VLOOKUP(A685,Rackfile_combined!$B:$C,2,false),"")</f>
        <v/>
      </c>
    </row>
    <row r="686">
      <c r="A686" s="186"/>
      <c r="B686" s="186"/>
      <c r="C686" s="186"/>
      <c r="D686" s="186"/>
      <c r="E686" s="186"/>
      <c r="F686" s="186"/>
      <c r="G686" s="186"/>
      <c r="H686" s="186"/>
      <c r="I686" s="186"/>
      <c r="L686" s="185"/>
      <c r="N686" s="185"/>
      <c r="P686" s="4" t="str">
        <f>IF(A686&lt;&gt;"",VLOOKUP(A686,Rackfile_combined!$B:$C,2,false),"")</f>
        <v/>
      </c>
    </row>
    <row r="687">
      <c r="A687" s="186"/>
      <c r="B687" s="186"/>
      <c r="C687" s="186"/>
      <c r="D687" s="186"/>
      <c r="E687" s="186"/>
      <c r="F687" s="186"/>
      <c r="G687" s="186"/>
      <c r="H687" s="186"/>
      <c r="I687" s="186"/>
      <c r="L687" s="185"/>
      <c r="N687" s="185"/>
      <c r="P687" s="4" t="str">
        <f>IF(A687&lt;&gt;"",VLOOKUP(A687,Rackfile_combined!$B:$C,2,false),"")</f>
        <v/>
      </c>
    </row>
    <row r="688">
      <c r="A688" s="186"/>
      <c r="B688" s="186"/>
      <c r="C688" s="186"/>
      <c r="D688" s="186"/>
      <c r="E688" s="186"/>
      <c r="F688" s="186"/>
      <c r="G688" s="186"/>
      <c r="H688" s="186"/>
      <c r="I688" s="186"/>
      <c r="L688" s="185"/>
      <c r="N688" s="185"/>
      <c r="P688" s="4" t="str">
        <f>IF(A688&lt;&gt;"",VLOOKUP(A688,Rackfile_combined!$B:$C,2,false),"")</f>
        <v/>
      </c>
    </row>
    <row r="689">
      <c r="A689" s="186"/>
      <c r="B689" s="186"/>
      <c r="C689" s="186"/>
      <c r="D689" s="186"/>
      <c r="E689" s="186"/>
      <c r="F689" s="186"/>
      <c r="G689" s="186"/>
      <c r="H689" s="186"/>
      <c r="I689" s="186"/>
      <c r="L689" s="185"/>
      <c r="N689" s="185"/>
      <c r="P689" s="4" t="str">
        <f>IF(A689&lt;&gt;"",VLOOKUP(A689,Rackfile_combined!$B:$C,2,false),"")</f>
        <v/>
      </c>
    </row>
    <row r="690">
      <c r="A690" s="186"/>
      <c r="B690" s="186"/>
      <c r="C690" s="186"/>
      <c r="D690" s="186"/>
      <c r="E690" s="186"/>
      <c r="F690" s="186"/>
      <c r="G690" s="186"/>
      <c r="H690" s="186"/>
      <c r="I690" s="186"/>
      <c r="L690" s="185"/>
      <c r="N690" s="185"/>
      <c r="P690" s="4" t="str">
        <f>IF(A690&lt;&gt;"",VLOOKUP(A690,Rackfile_combined!$B:$C,2,false),"")</f>
        <v/>
      </c>
    </row>
    <row r="691">
      <c r="A691" s="186"/>
      <c r="B691" s="186"/>
      <c r="C691" s="186"/>
      <c r="D691" s="186"/>
      <c r="E691" s="186"/>
      <c r="F691" s="186"/>
      <c r="G691" s="186"/>
      <c r="H691" s="186"/>
      <c r="I691" s="186"/>
      <c r="L691" s="185"/>
      <c r="N691" s="185"/>
      <c r="P691" s="4" t="str">
        <f>IF(A691&lt;&gt;"",VLOOKUP(A691,Rackfile_combined!$B:$C,2,false),"")</f>
        <v/>
      </c>
    </row>
    <row r="692">
      <c r="A692" s="186"/>
      <c r="B692" s="186"/>
      <c r="C692" s="186"/>
      <c r="D692" s="186"/>
      <c r="E692" s="186"/>
      <c r="F692" s="186"/>
      <c r="G692" s="186"/>
      <c r="H692" s="186"/>
      <c r="I692" s="186"/>
      <c r="L692" s="185"/>
      <c r="N692" s="185"/>
      <c r="P692" s="4" t="str">
        <f>IF(A692&lt;&gt;"",VLOOKUP(A692,Rackfile_combined!$B:$C,2,false),"")</f>
        <v/>
      </c>
    </row>
    <row r="693">
      <c r="A693" s="186"/>
      <c r="B693" s="186"/>
      <c r="C693" s="186"/>
      <c r="D693" s="186"/>
      <c r="E693" s="186"/>
      <c r="F693" s="186"/>
      <c r="G693" s="186"/>
      <c r="H693" s="186"/>
      <c r="I693" s="186"/>
      <c r="L693" s="185"/>
      <c r="N693" s="185"/>
      <c r="P693" s="4" t="str">
        <f>IF(A693&lt;&gt;"",VLOOKUP(A693,Rackfile_combined!$B:$C,2,false),"")</f>
        <v/>
      </c>
    </row>
    <row r="694">
      <c r="A694" s="186"/>
      <c r="B694" s="186"/>
      <c r="C694" s="186"/>
      <c r="D694" s="186"/>
      <c r="E694" s="186"/>
      <c r="F694" s="186"/>
      <c r="G694" s="186"/>
      <c r="H694" s="186"/>
      <c r="I694" s="186"/>
      <c r="L694" s="185"/>
      <c r="N694" s="185"/>
      <c r="P694" s="4" t="str">
        <f>IF(A694&lt;&gt;"",VLOOKUP(A694,Rackfile_combined!$B:$C,2,false),"")</f>
        <v/>
      </c>
    </row>
    <row r="695">
      <c r="A695" s="186"/>
      <c r="B695" s="186"/>
      <c r="C695" s="186"/>
      <c r="D695" s="186"/>
      <c r="E695" s="186"/>
      <c r="F695" s="186"/>
      <c r="G695" s="186"/>
      <c r="H695" s="186"/>
      <c r="I695" s="186"/>
      <c r="L695" s="185"/>
      <c r="N695" s="185"/>
      <c r="P695" s="4" t="str">
        <f>IF(A695&lt;&gt;"",VLOOKUP(A695,Rackfile_combined!$B:$C,2,false),"")</f>
        <v/>
      </c>
    </row>
    <row r="696">
      <c r="A696" s="186"/>
      <c r="B696" s="186"/>
      <c r="C696" s="186"/>
      <c r="D696" s="186"/>
      <c r="E696" s="186"/>
      <c r="F696" s="186"/>
      <c r="G696" s="186"/>
      <c r="H696" s="186"/>
      <c r="I696" s="186"/>
      <c r="L696" s="185"/>
      <c r="N696" s="185"/>
      <c r="P696" s="4" t="str">
        <f>IF(A696&lt;&gt;"",VLOOKUP(A696,Rackfile_combined!$B:$C,2,false),"")</f>
        <v/>
      </c>
    </row>
    <row r="697">
      <c r="A697" s="186"/>
      <c r="B697" s="186"/>
      <c r="C697" s="186"/>
      <c r="D697" s="186"/>
      <c r="E697" s="186"/>
      <c r="F697" s="186"/>
      <c r="G697" s="186"/>
      <c r="H697" s="186"/>
      <c r="I697" s="186"/>
      <c r="L697" s="185"/>
      <c r="N697" s="185"/>
      <c r="P697" s="4" t="str">
        <f>IF(A697&lt;&gt;"",VLOOKUP(A697,Rackfile_combined!$B:$C,2,false),"")</f>
        <v/>
      </c>
    </row>
    <row r="698">
      <c r="A698" s="186"/>
      <c r="B698" s="186"/>
      <c r="C698" s="186"/>
      <c r="D698" s="186"/>
      <c r="E698" s="186"/>
      <c r="F698" s="186"/>
      <c r="G698" s="186"/>
      <c r="H698" s="186"/>
      <c r="I698" s="186"/>
      <c r="L698" s="185"/>
      <c r="N698" s="185"/>
      <c r="P698" s="4" t="str">
        <f>IF(A698&lt;&gt;"",VLOOKUP(A698,Rackfile_combined!$B:$C,2,false),"")</f>
        <v/>
      </c>
    </row>
    <row r="699">
      <c r="A699" s="186"/>
      <c r="B699" s="186"/>
      <c r="C699" s="186"/>
      <c r="D699" s="186"/>
      <c r="E699" s="186"/>
      <c r="F699" s="186"/>
      <c r="G699" s="186"/>
      <c r="H699" s="186"/>
      <c r="I699" s="186"/>
      <c r="L699" s="185"/>
      <c r="N699" s="185"/>
      <c r="P699" s="4" t="str">
        <f>IF(A699&lt;&gt;"",VLOOKUP(A699,Rackfile_combined!$B:$C,2,false),"")</f>
        <v/>
      </c>
    </row>
    <row r="700">
      <c r="A700" s="186"/>
      <c r="B700" s="186"/>
      <c r="C700" s="186"/>
      <c r="D700" s="186"/>
      <c r="E700" s="186"/>
      <c r="F700" s="186"/>
      <c r="G700" s="186"/>
      <c r="H700" s="186"/>
      <c r="I700" s="186"/>
      <c r="L700" s="185"/>
      <c r="N700" s="185"/>
      <c r="P700" s="4" t="str">
        <f>IF(A700&lt;&gt;"",VLOOKUP(A700,Rackfile_combined!$B:$C,2,false),"")</f>
        <v/>
      </c>
    </row>
    <row r="701">
      <c r="A701" s="186"/>
      <c r="B701" s="186"/>
      <c r="C701" s="186"/>
      <c r="D701" s="186"/>
      <c r="E701" s="186"/>
      <c r="F701" s="186"/>
      <c r="G701" s="186"/>
      <c r="H701" s="186"/>
      <c r="I701" s="186"/>
      <c r="L701" s="185"/>
      <c r="N701" s="185"/>
      <c r="P701" s="4" t="str">
        <f>IF(A701&lt;&gt;"",VLOOKUP(A701,Rackfile_combined!$B:$C,2,false),"")</f>
        <v/>
      </c>
    </row>
    <row r="702">
      <c r="A702" s="186"/>
      <c r="B702" s="186"/>
      <c r="C702" s="186"/>
      <c r="D702" s="186"/>
      <c r="E702" s="186"/>
      <c r="F702" s="186"/>
      <c r="G702" s="186"/>
      <c r="H702" s="186"/>
      <c r="I702" s="186"/>
      <c r="L702" s="185"/>
      <c r="N702" s="185"/>
      <c r="P702" s="4" t="str">
        <f>IF(A702&lt;&gt;"",VLOOKUP(A702,Rackfile_combined!$B:$C,2,false),"")</f>
        <v/>
      </c>
    </row>
    <row r="703">
      <c r="A703" s="186"/>
      <c r="B703" s="186"/>
      <c r="C703" s="186"/>
      <c r="D703" s="186"/>
      <c r="E703" s="186"/>
      <c r="F703" s="186"/>
      <c r="G703" s="186"/>
      <c r="H703" s="186"/>
      <c r="I703" s="186"/>
      <c r="L703" s="185"/>
      <c r="N703" s="185"/>
      <c r="P703" s="4" t="str">
        <f>IF(A703&lt;&gt;"",VLOOKUP(A703,Rackfile_combined!$B:$C,2,false),"")</f>
        <v/>
      </c>
    </row>
    <row r="704">
      <c r="A704" s="186"/>
      <c r="B704" s="186"/>
      <c r="C704" s="186"/>
      <c r="D704" s="186"/>
      <c r="E704" s="186"/>
      <c r="F704" s="186"/>
      <c r="G704" s="186"/>
      <c r="H704" s="186"/>
      <c r="I704" s="186"/>
      <c r="L704" s="185"/>
      <c r="N704" s="185"/>
      <c r="P704" s="4" t="str">
        <f>IF(A704&lt;&gt;"",VLOOKUP(A704,Rackfile_combined!$B:$C,2,false),"")</f>
        <v/>
      </c>
    </row>
    <row r="705">
      <c r="A705" s="186"/>
      <c r="B705" s="186"/>
      <c r="C705" s="186"/>
      <c r="D705" s="186"/>
      <c r="E705" s="186"/>
      <c r="F705" s="186"/>
      <c r="G705" s="186"/>
      <c r="H705" s="186"/>
      <c r="I705" s="186"/>
      <c r="L705" s="185"/>
      <c r="N705" s="185"/>
      <c r="P705" s="4" t="str">
        <f>IF(A705&lt;&gt;"",VLOOKUP(A705,Rackfile_combined!$B:$C,2,false),"")</f>
        <v/>
      </c>
    </row>
    <row r="706">
      <c r="A706" s="186"/>
      <c r="B706" s="186"/>
      <c r="C706" s="186"/>
      <c r="D706" s="186"/>
      <c r="E706" s="186"/>
      <c r="F706" s="186"/>
      <c r="G706" s="186"/>
      <c r="H706" s="186"/>
      <c r="I706" s="186"/>
      <c r="L706" s="185"/>
      <c r="N706" s="185"/>
      <c r="P706" s="4" t="str">
        <f>IF(A706&lt;&gt;"",VLOOKUP(A706,Rackfile_combined!$B:$C,2,false),"")</f>
        <v/>
      </c>
    </row>
    <row r="707">
      <c r="A707" s="186"/>
      <c r="B707" s="186"/>
      <c r="C707" s="186"/>
      <c r="D707" s="186"/>
      <c r="E707" s="186"/>
      <c r="F707" s="186"/>
      <c r="G707" s="186"/>
      <c r="H707" s="186"/>
      <c r="I707" s="186"/>
      <c r="L707" s="185"/>
      <c r="N707" s="185"/>
      <c r="P707" s="4" t="str">
        <f>IF(A707&lt;&gt;"",VLOOKUP(A707,Rackfile_combined!$B:$C,2,false),"")</f>
        <v/>
      </c>
    </row>
    <row r="708">
      <c r="A708" s="186"/>
      <c r="B708" s="186"/>
      <c r="C708" s="186"/>
      <c r="D708" s="186"/>
      <c r="E708" s="186"/>
      <c r="F708" s="186"/>
      <c r="G708" s="186"/>
      <c r="H708" s="186"/>
      <c r="I708" s="186"/>
      <c r="L708" s="185"/>
      <c r="N708" s="185"/>
      <c r="P708" s="4" t="str">
        <f>IF(A708&lt;&gt;"",VLOOKUP(A708,Rackfile_combined!$B:$C,2,false),"")</f>
        <v/>
      </c>
    </row>
    <row r="709">
      <c r="A709" s="186"/>
      <c r="B709" s="186"/>
      <c r="C709" s="186"/>
      <c r="D709" s="186"/>
      <c r="E709" s="186"/>
      <c r="F709" s="186"/>
      <c r="G709" s="186"/>
      <c r="H709" s="186"/>
      <c r="I709" s="186"/>
      <c r="L709" s="185"/>
      <c r="N709" s="185"/>
      <c r="P709" s="4" t="str">
        <f>IF(A709&lt;&gt;"",VLOOKUP(A709,Rackfile_combined!$B:$C,2,false),"")</f>
        <v/>
      </c>
    </row>
    <row r="710">
      <c r="A710" s="186"/>
      <c r="B710" s="186"/>
      <c r="C710" s="186"/>
      <c r="D710" s="186"/>
      <c r="E710" s="186"/>
      <c r="F710" s="186"/>
      <c r="G710" s="186"/>
      <c r="H710" s="186"/>
      <c r="I710" s="186"/>
      <c r="L710" s="185"/>
      <c r="N710" s="185"/>
      <c r="P710" s="4" t="str">
        <f>IF(A710&lt;&gt;"",VLOOKUP(A710,Rackfile_combined!$B:$C,2,false),"")</f>
        <v/>
      </c>
    </row>
    <row r="711">
      <c r="A711" s="186"/>
      <c r="B711" s="186"/>
      <c r="C711" s="186"/>
      <c r="D711" s="186"/>
      <c r="E711" s="186"/>
      <c r="F711" s="186"/>
      <c r="G711" s="186"/>
      <c r="H711" s="186"/>
      <c r="I711" s="186"/>
      <c r="L711" s="185"/>
      <c r="N711" s="185"/>
      <c r="P711" s="4" t="str">
        <f>IF(A711&lt;&gt;"",VLOOKUP(A711,Rackfile_combined!$B:$C,2,false),"")</f>
        <v/>
      </c>
    </row>
    <row r="712">
      <c r="A712" s="186"/>
      <c r="B712" s="186"/>
      <c r="C712" s="186"/>
      <c r="D712" s="186"/>
      <c r="E712" s="186"/>
      <c r="F712" s="186"/>
      <c r="G712" s="186"/>
      <c r="H712" s="186"/>
      <c r="I712" s="186"/>
      <c r="L712" s="185"/>
      <c r="N712" s="185"/>
      <c r="P712" s="4" t="str">
        <f>IF(A712&lt;&gt;"",VLOOKUP(A712,Rackfile_combined!$B:$C,2,false),"")</f>
        <v/>
      </c>
    </row>
    <row r="713">
      <c r="A713" s="186"/>
      <c r="B713" s="186"/>
      <c r="C713" s="186"/>
      <c r="D713" s="186"/>
      <c r="E713" s="186"/>
      <c r="F713" s="186"/>
      <c r="G713" s="186"/>
      <c r="H713" s="186"/>
      <c r="I713" s="186"/>
      <c r="L713" s="185"/>
      <c r="N713" s="185"/>
      <c r="P713" s="4" t="str">
        <f>IF(A713&lt;&gt;"",VLOOKUP(A713,Rackfile_combined!$B:$C,2,false),"")</f>
        <v/>
      </c>
    </row>
    <row r="714">
      <c r="A714" s="186"/>
      <c r="B714" s="186"/>
      <c r="C714" s="186"/>
      <c r="D714" s="186"/>
      <c r="E714" s="186"/>
      <c r="F714" s="186"/>
      <c r="G714" s="186"/>
      <c r="H714" s="186"/>
      <c r="I714" s="186"/>
      <c r="L714" s="185"/>
      <c r="N714" s="185"/>
      <c r="P714" s="4" t="str">
        <f>IF(A714&lt;&gt;"",VLOOKUP(A714,Rackfile_combined!$B:$C,2,false),"")</f>
        <v/>
      </c>
    </row>
    <row r="715">
      <c r="A715" s="186"/>
      <c r="B715" s="186"/>
      <c r="C715" s="186"/>
      <c r="D715" s="186"/>
      <c r="E715" s="186"/>
      <c r="F715" s="186"/>
      <c r="G715" s="186"/>
      <c r="H715" s="186"/>
      <c r="I715" s="186"/>
      <c r="L715" s="185"/>
      <c r="N715" s="185"/>
      <c r="P715" s="4" t="str">
        <f>IF(A715&lt;&gt;"",VLOOKUP(A715,Rackfile_combined!$B:$C,2,false),"")</f>
        <v/>
      </c>
    </row>
    <row r="716">
      <c r="A716" s="186"/>
      <c r="B716" s="186"/>
      <c r="C716" s="186"/>
      <c r="D716" s="186"/>
      <c r="E716" s="186"/>
      <c r="F716" s="186"/>
      <c r="G716" s="186"/>
      <c r="H716" s="186"/>
      <c r="I716" s="186"/>
      <c r="L716" s="185"/>
      <c r="N716" s="185"/>
      <c r="P716" s="4" t="str">
        <f>IF(A716&lt;&gt;"",VLOOKUP(A716,Rackfile_combined!$B:$C,2,false),"")</f>
        <v/>
      </c>
    </row>
    <row r="717">
      <c r="A717" s="186"/>
      <c r="B717" s="186"/>
      <c r="C717" s="186"/>
      <c r="D717" s="186"/>
      <c r="E717" s="186"/>
      <c r="F717" s="186"/>
      <c r="G717" s="186"/>
      <c r="H717" s="186"/>
      <c r="I717" s="186"/>
      <c r="L717" s="185"/>
      <c r="N717" s="185"/>
      <c r="P717" s="4" t="str">
        <f>IF(A717&lt;&gt;"",VLOOKUP(A717,Rackfile_combined!$B:$C,2,false),"")</f>
        <v/>
      </c>
    </row>
    <row r="718">
      <c r="A718" s="186"/>
      <c r="B718" s="186"/>
      <c r="C718" s="186"/>
      <c r="D718" s="186"/>
      <c r="E718" s="186"/>
      <c r="F718" s="186"/>
      <c r="G718" s="186"/>
      <c r="H718" s="186"/>
      <c r="I718" s="186"/>
      <c r="L718" s="185"/>
      <c r="N718" s="185"/>
      <c r="P718" s="4" t="str">
        <f>IF(A718&lt;&gt;"",VLOOKUP(A718,Rackfile_combined!$B:$C,2,false),"")</f>
        <v/>
      </c>
    </row>
    <row r="719">
      <c r="A719" s="186"/>
      <c r="B719" s="186"/>
      <c r="C719" s="186"/>
      <c r="D719" s="186"/>
      <c r="E719" s="186"/>
      <c r="F719" s="186"/>
      <c r="G719" s="186"/>
      <c r="H719" s="186"/>
      <c r="I719" s="186"/>
      <c r="L719" s="185"/>
      <c r="N719" s="185"/>
      <c r="P719" s="4" t="str">
        <f>IF(A719&lt;&gt;"",VLOOKUP(A719,Rackfile_combined!$B:$C,2,false),"")</f>
        <v/>
      </c>
    </row>
    <row r="720">
      <c r="A720" s="186"/>
      <c r="B720" s="186"/>
      <c r="C720" s="186"/>
      <c r="D720" s="186"/>
      <c r="E720" s="186"/>
      <c r="F720" s="186"/>
      <c r="G720" s="186"/>
      <c r="H720" s="186"/>
      <c r="I720" s="186"/>
      <c r="L720" s="185"/>
      <c r="N720" s="185"/>
      <c r="P720" s="4" t="str">
        <f>IF(A720&lt;&gt;"",VLOOKUP(A720,Rackfile_combined!$B:$C,2,false),"")</f>
        <v/>
      </c>
    </row>
    <row r="721">
      <c r="A721" s="186"/>
      <c r="B721" s="186"/>
      <c r="C721" s="186"/>
      <c r="D721" s="186"/>
      <c r="E721" s="186"/>
      <c r="F721" s="186"/>
      <c r="G721" s="186"/>
      <c r="H721" s="186"/>
      <c r="I721" s="186"/>
      <c r="L721" s="185"/>
      <c r="N721" s="185"/>
      <c r="P721" s="4" t="str">
        <f>IF(A721&lt;&gt;"",VLOOKUP(A721,Rackfile_combined!$B:$C,2,false),"")</f>
        <v/>
      </c>
    </row>
    <row r="722">
      <c r="A722" s="186"/>
      <c r="B722" s="186"/>
      <c r="C722" s="186"/>
      <c r="D722" s="186"/>
      <c r="E722" s="186"/>
      <c r="F722" s="186"/>
      <c r="G722" s="186"/>
      <c r="H722" s="186"/>
      <c r="I722" s="186"/>
      <c r="L722" s="185"/>
      <c r="N722" s="185"/>
      <c r="P722" s="4" t="str">
        <f>IF(A722&lt;&gt;"",VLOOKUP(A722,Rackfile_combined!$B:$C,2,false),"")</f>
        <v/>
      </c>
    </row>
    <row r="723">
      <c r="A723" s="186"/>
      <c r="B723" s="186"/>
      <c r="C723" s="186"/>
      <c r="D723" s="186"/>
      <c r="E723" s="186"/>
      <c r="F723" s="186"/>
      <c r="G723" s="186"/>
      <c r="H723" s="186"/>
      <c r="I723" s="186"/>
      <c r="L723" s="185"/>
      <c r="N723" s="185"/>
      <c r="P723" s="4" t="str">
        <f>IF(A723&lt;&gt;"",VLOOKUP(A723,Rackfile_combined!$B:$C,2,false),"")</f>
        <v/>
      </c>
    </row>
    <row r="724">
      <c r="A724" s="186"/>
      <c r="B724" s="186"/>
      <c r="C724" s="186"/>
      <c r="D724" s="186"/>
      <c r="E724" s="186"/>
      <c r="F724" s="186"/>
      <c r="G724" s="186"/>
      <c r="H724" s="186"/>
      <c r="I724" s="186"/>
      <c r="L724" s="185"/>
      <c r="N724" s="185"/>
      <c r="P724" s="4" t="str">
        <f>IF(A724&lt;&gt;"",VLOOKUP(A724,Rackfile_combined!$B:$C,2,false),"")</f>
        <v/>
      </c>
    </row>
    <row r="725">
      <c r="A725" s="186"/>
      <c r="B725" s="186"/>
      <c r="C725" s="186"/>
      <c r="D725" s="186"/>
      <c r="E725" s="186"/>
      <c r="F725" s="186"/>
      <c r="G725" s="186"/>
      <c r="H725" s="186"/>
      <c r="I725" s="186"/>
      <c r="L725" s="185"/>
      <c r="N725" s="185"/>
      <c r="P725" s="4" t="str">
        <f>IF(A725&lt;&gt;"",VLOOKUP(A725,Rackfile_combined!$B:$C,2,false),"")</f>
        <v/>
      </c>
    </row>
    <row r="726">
      <c r="A726" s="186"/>
      <c r="B726" s="186"/>
      <c r="C726" s="186"/>
      <c r="D726" s="186"/>
      <c r="E726" s="186"/>
      <c r="F726" s="186"/>
      <c r="G726" s="186"/>
      <c r="H726" s="186"/>
      <c r="I726" s="186"/>
      <c r="L726" s="185"/>
      <c r="N726" s="185"/>
      <c r="P726" s="4" t="str">
        <f>IF(A726&lt;&gt;"",VLOOKUP(A726,Rackfile_combined!$B:$C,2,false),"")</f>
        <v/>
      </c>
    </row>
    <row r="727">
      <c r="A727" s="186"/>
      <c r="B727" s="186"/>
      <c r="C727" s="186"/>
      <c r="D727" s="186"/>
      <c r="E727" s="186"/>
      <c r="F727" s="186"/>
      <c r="G727" s="186"/>
      <c r="H727" s="186"/>
      <c r="I727" s="186"/>
      <c r="L727" s="185"/>
      <c r="N727" s="185"/>
      <c r="P727" s="4" t="str">
        <f>IF(A727&lt;&gt;"",VLOOKUP(A727,Rackfile_combined!$B:$C,2,false),"")</f>
        <v/>
      </c>
    </row>
    <row r="728">
      <c r="A728" s="186"/>
      <c r="B728" s="186"/>
      <c r="C728" s="186"/>
      <c r="D728" s="186"/>
      <c r="E728" s="186"/>
      <c r="F728" s="186"/>
      <c r="G728" s="186"/>
      <c r="H728" s="186"/>
      <c r="I728" s="186"/>
      <c r="L728" s="185"/>
      <c r="N728" s="185"/>
      <c r="P728" s="4" t="str">
        <f>IF(A728&lt;&gt;"",VLOOKUP(A728,Rackfile_combined!$B:$C,2,false),"")</f>
        <v/>
      </c>
    </row>
    <row r="729">
      <c r="A729" s="186"/>
      <c r="B729" s="186"/>
      <c r="C729" s="186"/>
      <c r="D729" s="186"/>
      <c r="E729" s="186"/>
      <c r="F729" s="186"/>
      <c r="G729" s="186"/>
      <c r="H729" s="186"/>
      <c r="I729" s="186"/>
      <c r="L729" s="185"/>
      <c r="N729" s="185"/>
      <c r="P729" s="4" t="str">
        <f>IF(A729&lt;&gt;"",VLOOKUP(A729,Rackfile_combined!$B:$C,2,false),"")</f>
        <v/>
      </c>
    </row>
    <row r="730">
      <c r="A730" s="186"/>
      <c r="B730" s="186"/>
      <c r="C730" s="186"/>
      <c r="D730" s="186"/>
      <c r="E730" s="186"/>
      <c r="F730" s="186"/>
      <c r="G730" s="186"/>
      <c r="H730" s="186"/>
      <c r="I730" s="186"/>
      <c r="L730" s="185"/>
      <c r="N730" s="185"/>
      <c r="P730" s="4" t="str">
        <f>IF(A730&lt;&gt;"",VLOOKUP(A730,Rackfile_combined!$B:$C,2,false),"")</f>
        <v/>
      </c>
    </row>
    <row r="731">
      <c r="A731" s="186"/>
      <c r="B731" s="186"/>
      <c r="C731" s="186"/>
      <c r="D731" s="186"/>
      <c r="E731" s="186"/>
      <c r="F731" s="186"/>
      <c r="G731" s="186"/>
      <c r="H731" s="186"/>
      <c r="I731" s="186"/>
      <c r="L731" s="185"/>
      <c r="N731" s="185"/>
      <c r="P731" s="4" t="str">
        <f>IF(A731&lt;&gt;"",VLOOKUP(A731,Rackfile_combined!$B:$C,2,false),"")</f>
        <v/>
      </c>
    </row>
    <row r="732">
      <c r="A732" s="186"/>
      <c r="B732" s="186"/>
      <c r="C732" s="186"/>
      <c r="D732" s="186"/>
      <c r="E732" s="186"/>
      <c r="F732" s="186"/>
      <c r="G732" s="186"/>
      <c r="H732" s="186"/>
      <c r="I732" s="186"/>
      <c r="L732" s="185"/>
      <c r="N732" s="185"/>
      <c r="P732" s="4" t="str">
        <f>IF(A732&lt;&gt;"",VLOOKUP(A732,Rackfile_combined!$B:$C,2,false),"")</f>
        <v/>
      </c>
    </row>
    <row r="733">
      <c r="A733" s="186"/>
      <c r="B733" s="186"/>
      <c r="C733" s="186"/>
      <c r="D733" s="186"/>
      <c r="E733" s="186"/>
      <c r="F733" s="186"/>
      <c r="G733" s="186"/>
      <c r="H733" s="186"/>
      <c r="I733" s="186"/>
      <c r="L733" s="185"/>
      <c r="N733" s="185"/>
      <c r="P733" s="4" t="str">
        <f>IF(A733&lt;&gt;"",VLOOKUP(A733,Rackfile_combined!$B:$C,2,false),"")</f>
        <v/>
      </c>
    </row>
    <row r="734">
      <c r="A734" s="186"/>
      <c r="B734" s="186"/>
      <c r="C734" s="186"/>
      <c r="D734" s="186"/>
      <c r="E734" s="186"/>
      <c r="F734" s="186"/>
      <c r="G734" s="186"/>
      <c r="H734" s="186"/>
      <c r="I734" s="186"/>
      <c r="L734" s="185"/>
      <c r="N734" s="185"/>
      <c r="P734" s="4" t="str">
        <f>IF(A734&lt;&gt;"",VLOOKUP(A734,Rackfile_combined!$B:$C,2,false),"")</f>
        <v/>
      </c>
    </row>
    <row r="735">
      <c r="A735" s="186"/>
      <c r="B735" s="186"/>
      <c r="C735" s="186"/>
      <c r="D735" s="186"/>
      <c r="E735" s="186"/>
      <c r="F735" s="186"/>
      <c r="G735" s="186"/>
      <c r="H735" s="186"/>
      <c r="I735" s="186"/>
      <c r="L735" s="185"/>
      <c r="N735" s="185"/>
      <c r="P735" s="4" t="str">
        <f>IF(A735&lt;&gt;"",VLOOKUP(A735,Rackfile_combined!$B:$C,2,false),"")</f>
        <v/>
      </c>
    </row>
    <row r="736">
      <c r="A736" s="186"/>
      <c r="B736" s="186"/>
      <c r="C736" s="186"/>
      <c r="D736" s="186"/>
      <c r="E736" s="186"/>
      <c r="F736" s="186"/>
      <c r="G736" s="186"/>
      <c r="H736" s="186"/>
      <c r="I736" s="186"/>
      <c r="L736" s="185"/>
      <c r="N736" s="185"/>
      <c r="P736" s="4" t="str">
        <f>IF(A736&lt;&gt;"",VLOOKUP(A736,Rackfile_combined!$B:$C,2,false),"")</f>
        <v/>
      </c>
    </row>
    <row r="737">
      <c r="A737" s="186"/>
      <c r="B737" s="186"/>
      <c r="C737" s="186"/>
      <c r="D737" s="186"/>
      <c r="E737" s="186"/>
      <c r="F737" s="186"/>
      <c r="G737" s="186"/>
      <c r="H737" s="186"/>
      <c r="I737" s="186"/>
      <c r="L737" s="185"/>
      <c r="N737" s="185"/>
      <c r="P737" s="4" t="str">
        <f>IF(A737&lt;&gt;"",VLOOKUP(A737,Rackfile_combined!$B:$C,2,false),"")</f>
        <v/>
      </c>
    </row>
    <row r="738">
      <c r="A738" s="186"/>
      <c r="B738" s="186"/>
      <c r="C738" s="186"/>
      <c r="D738" s="186"/>
      <c r="E738" s="186"/>
      <c r="F738" s="186"/>
      <c r="G738" s="186"/>
      <c r="H738" s="186"/>
      <c r="I738" s="186"/>
      <c r="L738" s="185"/>
      <c r="N738" s="185"/>
      <c r="P738" s="4" t="str">
        <f>IF(A738&lt;&gt;"",VLOOKUP(A738,Rackfile_combined!$B:$C,2,false),"")</f>
        <v/>
      </c>
    </row>
    <row r="739">
      <c r="A739" s="186"/>
      <c r="B739" s="186"/>
      <c r="C739" s="186"/>
      <c r="D739" s="186"/>
      <c r="E739" s="186"/>
      <c r="F739" s="186"/>
      <c r="G739" s="186"/>
      <c r="H739" s="186"/>
      <c r="I739" s="186"/>
      <c r="L739" s="185"/>
      <c r="N739" s="185"/>
      <c r="P739" s="4" t="str">
        <f>IF(A739&lt;&gt;"",VLOOKUP(A739,Rackfile_combined!$B:$C,2,false),"")</f>
        <v/>
      </c>
    </row>
    <row r="740">
      <c r="A740" s="186"/>
      <c r="B740" s="186"/>
      <c r="C740" s="186"/>
      <c r="D740" s="186"/>
      <c r="E740" s="186"/>
      <c r="F740" s="186"/>
      <c r="G740" s="186"/>
      <c r="H740" s="186"/>
      <c r="I740" s="186"/>
      <c r="L740" s="185"/>
      <c r="N740" s="185"/>
      <c r="P740" s="4" t="str">
        <f>IF(A740&lt;&gt;"",VLOOKUP(A740,Rackfile_combined!$B:$C,2,false),"")</f>
        <v/>
      </c>
    </row>
    <row r="741">
      <c r="A741" s="186"/>
      <c r="B741" s="186"/>
      <c r="C741" s="186"/>
      <c r="D741" s="186"/>
      <c r="E741" s="186"/>
      <c r="F741" s="186"/>
      <c r="G741" s="186"/>
      <c r="H741" s="186"/>
      <c r="I741" s="186"/>
      <c r="L741" s="185"/>
      <c r="N741" s="185"/>
      <c r="P741" s="4" t="str">
        <f>IF(A741&lt;&gt;"",VLOOKUP(A741,Rackfile_combined!$B:$C,2,false),"")</f>
        <v/>
      </c>
    </row>
    <row r="742">
      <c r="A742" s="186"/>
      <c r="B742" s="186"/>
      <c r="C742" s="186"/>
      <c r="D742" s="186"/>
      <c r="E742" s="186"/>
      <c r="F742" s="186"/>
      <c r="G742" s="186"/>
      <c r="H742" s="186"/>
      <c r="I742" s="186"/>
      <c r="L742" s="185"/>
      <c r="N742" s="185"/>
      <c r="P742" s="4" t="str">
        <f>IF(A742&lt;&gt;"",VLOOKUP(A742,Rackfile_combined!$B:$C,2,false),"")</f>
        <v/>
      </c>
    </row>
    <row r="743">
      <c r="A743" s="186"/>
      <c r="B743" s="186"/>
      <c r="C743" s="186"/>
      <c r="D743" s="186"/>
      <c r="E743" s="186"/>
      <c r="F743" s="186"/>
      <c r="G743" s="186"/>
      <c r="H743" s="186"/>
      <c r="I743" s="186"/>
      <c r="L743" s="185"/>
      <c r="N743" s="185"/>
      <c r="P743" s="4" t="str">
        <f>IF(A743&lt;&gt;"",VLOOKUP(A743,Rackfile_combined!$B:$C,2,false),"")</f>
        <v/>
      </c>
    </row>
    <row r="744">
      <c r="A744" s="186"/>
      <c r="B744" s="186"/>
      <c r="C744" s="186"/>
      <c r="D744" s="186"/>
      <c r="E744" s="186"/>
      <c r="F744" s="186"/>
      <c r="G744" s="186"/>
      <c r="H744" s="186"/>
      <c r="I744" s="186"/>
      <c r="L744" s="185"/>
      <c r="N744" s="185"/>
      <c r="P744" s="4" t="str">
        <f>IF(A744&lt;&gt;"",VLOOKUP(A744,Rackfile_combined!$B:$C,2,false),"")</f>
        <v/>
      </c>
    </row>
    <row r="745">
      <c r="A745" s="186"/>
      <c r="B745" s="186"/>
      <c r="C745" s="186"/>
      <c r="D745" s="186"/>
      <c r="E745" s="186"/>
      <c r="F745" s="186"/>
      <c r="G745" s="186"/>
      <c r="H745" s="186"/>
      <c r="I745" s="186"/>
      <c r="L745" s="185"/>
      <c r="N745" s="185"/>
      <c r="P745" s="4" t="str">
        <f>IF(A745&lt;&gt;"",VLOOKUP(A745,Rackfile_combined!$B:$C,2,false),"")</f>
        <v/>
      </c>
    </row>
    <row r="746">
      <c r="A746" s="186"/>
      <c r="B746" s="186"/>
      <c r="C746" s="186"/>
      <c r="D746" s="186"/>
      <c r="E746" s="186"/>
      <c r="F746" s="186"/>
      <c r="G746" s="186"/>
      <c r="H746" s="186"/>
      <c r="I746" s="186"/>
      <c r="L746" s="185"/>
      <c r="N746" s="185"/>
      <c r="P746" s="4" t="str">
        <f>IF(A746&lt;&gt;"",VLOOKUP(A746,Rackfile_combined!$B:$C,2,false),"")</f>
        <v/>
      </c>
    </row>
    <row r="747">
      <c r="A747" s="186"/>
      <c r="B747" s="186"/>
      <c r="C747" s="186"/>
      <c r="D747" s="186"/>
      <c r="E747" s="186"/>
      <c r="F747" s="186"/>
      <c r="G747" s="186"/>
      <c r="H747" s="186"/>
      <c r="I747" s="186"/>
      <c r="L747" s="185"/>
      <c r="N747" s="185"/>
      <c r="P747" s="4" t="str">
        <f>IF(A747&lt;&gt;"",VLOOKUP(A747,Rackfile_combined!$B:$C,2,false),"")</f>
        <v/>
      </c>
    </row>
    <row r="748">
      <c r="A748" s="186"/>
      <c r="B748" s="186"/>
      <c r="C748" s="186"/>
      <c r="D748" s="186"/>
      <c r="E748" s="186"/>
      <c r="F748" s="186"/>
      <c r="G748" s="186"/>
      <c r="H748" s="186"/>
      <c r="I748" s="186"/>
      <c r="L748" s="185"/>
      <c r="N748" s="185"/>
      <c r="P748" s="4" t="str">
        <f>IF(A748&lt;&gt;"",VLOOKUP(A748,Rackfile_combined!$B:$C,2,false),"")</f>
        <v/>
      </c>
    </row>
    <row r="749">
      <c r="A749" s="186"/>
      <c r="B749" s="186"/>
      <c r="C749" s="186"/>
      <c r="D749" s="186"/>
      <c r="E749" s="186"/>
      <c r="F749" s="186"/>
      <c r="G749" s="186"/>
      <c r="H749" s="186"/>
      <c r="I749" s="186"/>
      <c r="L749" s="185"/>
      <c r="N749" s="185"/>
      <c r="P749" s="4" t="str">
        <f>IF(A749&lt;&gt;"",VLOOKUP(A749,Rackfile_combined!$B:$C,2,false),"")</f>
        <v/>
      </c>
    </row>
    <row r="750">
      <c r="A750" s="186"/>
      <c r="B750" s="186"/>
      <c r="C750" s="186"/>
      <c r="D750" s="186"/>
      <c r="E750" s="186"/>
      <c r="F750" s="186"/>
      <c r="G750" s="186"/>
      <c r="H750" s="186"/>
      <c r="I750" s="186"/>
      <c r="L750" s="185"/>
      <c r="N750" s="185"/>
      <c r="P750" s="4" t="str">
        <f>IF(A750&lt;&gt;"",VLOOKUP(A750,Rackfile_combined!$B:$C,2,false),"")</f>
        <v/>
      </c>
    </row>
    <row r="751">
      <c r="A751" s="186"/>
      <c r="B751" s="186"/>
      <c r="C751" s="186"/>
      <c r="D751" s="186"/>
      <c r="E751" s="186"/>
      <c r="F751" s="186"/>
      <c r="G751" s="186"/>
      <c r="H751" s="186"/>
      <c r="I751" s="186"/>
      <c r="L751" s="185"/>
      <c r="N751" s="185"/>
      <c r="P751" s="4" t="str">
        <f>IF(A751&lt;&gt;"",VLOOKUP(A751,Rackfile_combined!$B:$C,2,false),"")</f>
        <v/>
      </c>
    </row>
    <row r="752">
      <c r="A752" s="186"/>
      <c r="B752" s="186"/>
      <c r="C752" s="186"/>
      <c r="D752" s="186"/>
      <c r="E752" s="186"/>
      <c r="F752" s="186"/>
      <c r="G752" s="186"/>
      <c r="H752" s="186"/>
      <c r="I752" s="186"/>
      <c r="L752" s="185"/>
      <c r="N752" s="185"/>
      <c r="P752" s="4" t="str">
        <f>IF(A752&lt;&gt;"",VLOOKUP(A752,Rackfile_combined!$B:$C,2,false),"")</f>
        <v/>
      </c>
    </row>
    <row r="753">
      <c r="A753" s="186"/>
      <c r="B753" s="186"/>
      <c r="C753" s="186"/>
      <c r="D753" s="186"/>
      <c r="E753" s="186"/>
      <c r="F753" s="186"/>
      <c r="G753" s="186"/>
      <c r="H753" s="186"/>
      <c r="I753" s="186"/>
      <c r="L753" s="185"/>
      <c r="N753" s="185"/>
      <c r="P753" s="4" t="str">
        <f>IF(A753&lt;&gt;"",VLOOKUP(A753,Rackfile_combined!$B:$C,2,false),"")</f>
        <v/>
      </c>
    </row>
    <row r="754">
      <c r="A754" s="186"/>
      <c r="B754" s="186"/>
      <c r="C754" s="186"/>
      <c r="D754" s="186"/>
      <c r="E754" s="186"/>
      <c r="F754" s="186"/>
      <c r="G754" s="186"/>
      <c r="H754" s="186"/>
      <c r="I754" s="186"/>
      <c r="L754" s="185"/>
      <c r="N754" s="185"/>
      <c r="P754" s="4" t="str">
        <f>IF(A754&lt;&gt;"",VLOOKUP(A754,Rackfile_combined!$B:$C,2,false),"")</f>
        <v/>
      </c>
    </row>
    <row r="755">
      <c r="A755" s="186"/>
      <c r="B755" s="186"/>
      <c r="C755" s="186"/>
      <c r="D755" s="186"/>
      <c r="E755" s="186"/>
      <c r="F755" s="186"/>
      <c r="G755" s="186"/>
      <c r="H755" s="186"/>
      <c r="I755" s="186"/>
      <c r="L755" s="185"/>
      <c r="N755" s="185"/>
      <c r="P755" s="4" t="str">
        <f>IF(A755&lt;&gt;"",VLOOKUP(A755,Rackfile_combined!$B:$C,2,false),"")</f>
        <v/>
      </c>
    </row>
    <row r="756">
      <c r="A756" s="186"/>
      <c r="B756" s="186"/>
      <c r="C756" s="186"/>
      <c r="D756" s="186"/>
      <c r="E756" s="186"/>
      <c r="F756" s="186"/>
      <c r="G756" s="186"/>
      <c r="H756" s="186"/>
      <c r="I756" s="186"/>
      <c r="L756" s="185"/>
      <c r="N756" s="185"/>
      <c r="P756" s="4" t="str">
        <f>IF(A756&lt;&gt;"",VLOOKUP(A756,Rackfile_combined!$B:$C,2,false),"")</f>
        <v/>
      </c>
    </row>
    <row r="757">
      <c r="A757" s="186"/>
      <c r="B757" s="186"/>
      <c r="C757" s="186"/>
      <c r="D757" s="186"/>
      <c r="E757" s="186"/>
      <c r="F757" s="186"/>
      <c r="G757" s="186"/>
      <c r="H757" s="186"/>
      <c r="I757" s="186"/>
      <c r="L757" s="185"/>
      <c r="N757" s="185"/>
      <c r="P757" s="4" t="str">
        <f>IF(A757&lt;&gt;"",VLOOKUP(A757,Rackfile_combined!$B:$C,2,false),"")</f>
        <v/>
      </c>
    </row>
    <row r="758">
      <c r="A758" s="186"/>
      <c r="B758" s="186"/>
      <c r="C758" s="186"/>
      <c r="D758" s="186"/>
      <c r="E758" s="186"/>
      <c r="F758" s="186"/>
      <c r="G758" s="186"/>
      <c r="H758" s="186"/>
      <c r="I758" s="186"/>
      <c r="L758" s="185"/>
      <c r="N758" s="185"/>
      <c r="P758" s="4" t="str">
        <f>IF(A758&lt;&gt;"",VLOOKUP(A758,Rackfile_combined!$B:$C,2,false),"")</f>
        <v/>
      </c>
    </row>
    <row r="759">
      <c r="A759" s="186"/>
      <c r="B759" s="186"/>
      <c r="C759" s="186"/>
      <c r="D759" s="186"/>
      <c r="E759" s="186"/>
      <c r="F759" s="186"/>
      <c r="G759" s="186"/>
      <c r="H759" s="186"/>
      <c r="I759" s="186"/>
      <c r="L759" s="185"/>
      <c r="N759" s="185"/>
      <c r="P759" s="4" t="str">
        <f>IF(A759&lt;&gt;"",VLOOKUP(A759,Rackfile_combined!$B:$C,2,false),"")</f>
        <v/>
      </c>
    </row>
    <row r="760">
      <c r="A760" s="186"/>
      <c r="B760" s="186"/>
      <c r="C760" s="186"/>
      <c r="D760" s="186"/>
      <c r="E760" s="186"/>
      <c r="F760" s="186"/>
      <c r="G760" s="186"/>
      <c r="H760" s="186"/>
      <c r="I760" s="186"/>
      <c r="L760" s="185"/>
      <c r="N760" s="185"/>
      <c r="P760" s="4" t="str">
        <f>IF(A760&lt;&gt;"",VLOOKUP(A760,Rackfile_combined!$B:$C,2,false),"")</f>
        <v/>
      </c>
    </row>
    <row r="761">
      <c r="A761" s="186"/>
      <c r="B761" s="186"/>
      <c r="C761" s="186"/>
      <c r="D761" s="186"/>
      <c r="E761" s="186"/>
      <c r="F761" s="186"/>
      <c r="G761" s="186"/>
      <c r="H761" s="186"/>
      <c r="I761" s="186"/>
      <c r="L761" s="185"/>
      <c r="N761" s="185"/>
      <c r="P761" s="4" t="str">
        <f>IF(A761&lt;&gt;"",VLOOKUP(A761,Rackfile_combined!$B:$C,2,false),"")</f>
        <v/>
      </c>
    </row>
    <row r="762">
      <c r="A762" s="186"/>
      <c r="B762" s="186"/>
      <c r="C762" s="186"/>
      <c r="D762" s="186"/>
      <c r="E762" s="186"/>
      <c r="F762" s="186"/>
      <c r="G762" s="186"/>
      <c r="H762" s="186"/>
      <c r="I762" s="186"/>
      <c r="L762" s="185"/>
      <c r="N762" s="185"/>
      <c r="P762" s="4" t="str">
        <f>IF(A762&lt;&gt;"",VLOOKUP(A762,Rackfile_combined!$B:$C,2,false),"")</f>
        <v/>
      </c>
    </row>
    <row r="763">
      <c r="A763" s="186"/>
      <c r="B763" s="186"/>
      <c r="C763" s="186"/>
      <c r="D763" s="186"/>
      <c r="E763" s="186"/>
      <c r="F763" s="186"/>
      <c r="G763" s="186"/>
      <c r="H763" s="186"/>
      <c r="I763" s="186"/>
      <c r="L763" s="185"/>
      <c r="N763" s="185"/>
      <c r="P763" s="4" t="str">
        <f>IF(A763&lt;&gt;"",VLOOKUP(A763,Rackfile_combined!$B:$C,2,false),"")</f>
        <v/>
      </c>
    </row>
    <row r="764">
      <c r="A764" s="186"/>
      <c r="B764" s="186"/>
      <c r="C764" s="186"/>
      <c r="D764" s="186"/>
      <c r="E764" s="186"/>
      <c r="F764" s="186"/>
      <c r="G764" s="186"/>
      <c r="H764" s="186"/>
      <c r="I764" s="186"/>
      <c r="L764" s="185"/>
      <c r="N764" s="185"/>
      <c r="P764" s="4" t="str">
        <f>IF(A764&lt;&gt;"",VLOOKUP(A764,Rackfile_combined!$B:$C,2,false),"")</f>
        <v/>
      </c>
    </row>
    <row r="765">
      <c r="A765" s="186"/>
      <c r="B765" s="186"/>
      <c r="C765" s="186"/>
      <c r="D765" s="186"/>
      <c r="E765" s="186"/>
      <c r="F765" s="186"/>
      <c r="G765" s="186"/>
      <c r="H765" s="186"/>
      <c r="I765" s="186"/>
      <c r="L765" s="185"/>
      <c r="N765" s="185"/>
      <c r="P765" s="4" t="str">
        <f>IF(A765&lt;&gt;"",VLOOKUP(A765,Rackfile_combined!$B:$C,2,false),"")</f>
        <v/>
      </c>
    </row>
    <row r="766">
      <c r="A766" s="186"/>
      <c r="B766" s="186"/>
      <c r="C766" s="186"/>
      <c r="D766" s="186"/>
      <c r="E766" s="186"/>
      <c r="F766" s="186"/>
      <c r="G766" s="186"/>
      <c r="H766" s="186"/>
      <c r="I766" s="186"/>
      <c r="L766" s="185"/>
      <c r="N766" s="185"/>
      <c r="P766" s="4" t="str">
        <f>IF(A766&lt;&gt;"",VLOOKUP(A766,Rackfile_combined!$B:$C,2,false),"")</f>
        <v/>
      </c>
    </row>
    <row r="767">
      <c r="A767" s="186"/>
      <c r="B767" s="186"/>
      <c r="C767" s="186"/>
      <c r="D767" s="186"/>
      <c r="E767" s="186"/>
      <c r="F767" s="186"/>
      <c r="G767" s="186"/>
      <c r="H767" s="186"/>
      <c r="I767" s="186"/>
      <c r="L767" s="185"/>
      <c r="N767" s="185"/>
      <c r="P767" s="4" t="str">
        <f>IF(A767&lt;&gt;"",VLOOKUP(A767,Rackfile_combined!$B:$C,2,false),"")</f>
        <v/>
      </c>
    </row>
    <row r="768">
      <c r="A768" s="186"/>
      <c r="B768" s="186"/>
      <c r="C768" s="186"/>
      <c r="D768" s="186"/>
      <c r="E768" s="186"/>
      <c r="F768" s="186"/>
      <c r="G768" s="186"/>
      <c r="H768" s="186"/>
      <c r="I768" s="186"/>
      <c r="L768" s="185"/>
      <c r="N768" s="185"/>
      <c r="P768" s="4" t="str">
        <f>IF(A768&lt;&gt;"",VLOOKUP(A768,Rackfile_combined!$B:$C,2,false),"")</f>
        <v/>
      </c>
    </row>
    <row r="769">
      <c r="A769" s="186"/>
      <c r="B769" s="186"/>
      <c r="C769" s="186"/>
      <c r="D769" s="186"/>
      <c r="E769" s="186"/>
      <c r="F769" s="186"/>
      <c r="G769" s="186"/>
      <c r="H769" s="186"/>
      <c r="I769" s="186"/>
      <c r="L769" s="185"/>
      <c r="N769" s="185"/>
      <c r="P769" s="4" t="str">
        <f>IF(A769&lt;&gt;"",VLOOKUP(A769,Rackfile_combined!$B:$C,2,false),"")</f>
        <v/>
      </c>
    </row>
    <row r="770">
      <c r="A770" s="186"/>
      <c r="B770" s="186"/>
      <c r="C770" s="186"/>
      <c r="D770" s="186"/>
      <c r="E770" s="186"/>
      <c r="F770" s="186"/>
      <c r="G770" s="186"/>
      <c r="H770" s="186"/>
      <c r="I770" s="186"/>
      <c r="L770" s="185"/>
      <c r="N770" s="185"/>
      <c r="P770" s="4" t="str">
        <f>IF(A770&lt;&gt;"",VLOOKUP(A770,Rackfile_combined!$B:$C,2,false),"")</f>
        <v/>
      </c>
    </row>
    <row r="771">
      <c r="A771" s="186"/>
      <c r="B771" s="186"/>
      <c r="C771" s="186"/>
      <c r="D771" s="186"/>
      <c r="E771" s="186"/>
      <c r="F771" s="186"/>
      <c r="G771" s="186"/>
      <c r="H771" s="186"/>
      <c r="I771" s="186"/>
      <c r="L771" s="185"/>
      <c r="N771" s="185"/>
      <c r="P771" s="4" t="str">
        <f>IF(A771&lt;&gt;"",VLOOKUP(A771,Rackfile_combined!$B:$C,2,false),"")</f>
        <v/>
      </c>
    </row>
    <row r="772">
      <c r="A772" s="186"/>
      <c r="B772" s="186"/>
      <c r="C772" s="186"/>
      <c r="D772" s="186"/>
      <c r="E772" s="186"/>
      <c r="F772" s="186"/>
      <c r="G772" s="186"/>
      <c r="H772" s="186"/>
      <c r="I772" s="186"/>
      <c r="L772" s="185"/>
      <c r="N772" s="185"/>
      <c r="P772" s="4" t="str">
        <f>IF(A772&lt;&gt;"",VLOOKUP(A772,Rackfile_combined!$B:$C,2,false),"")</f>
        <v/>
      </c>
    </row>
    <row r="773">
      <c r="A773" s="186"/>
      <c r="B773" s="186"/>
      <c r="C773" s="186"/>
      <c r="D773" s="186"/>
      <c r="E773" s="186"/>
      <c r="F773" s="186"/>
      <c r="G773" s="186"/>
      <c r="H773" s="186"/>
      <c r="I773" s="186"/>
      <c r="L773" s="185"/>
      <c r="N773" s="185"/>
      <c r="P773" s="4" t="str">
        <f>IF(A773&lt;&gt;"",VLOOKUP(A773,Rackfile_combined!$B:$C,2,false),"")</f>
        <v/>
      </c>
    </row>
    <row r="774">
      <c r="A774" s="186"/>
      <c r="B774" s="186"/>
      <c r="C774" s="186"/>
      <c r="D774" s="186"/>
      <c r="E774" s="186"/>
      <c r="F774" s="186"/>
      <c r="G774" s="186"/>
      <c r="H774" s="186"/>
      <c r="I774" s="186"/>
      <c r="L774" s="185"/>
      <c r="N774" s="185"/>
      <c r="P774" s="4" t="str">
        <f>IF(A774&lt;&gt;"",VLOOKUP(A774,Rackfile_combined!$B:$C,2,false),"")</f>
        <v/>
      </c>
    </row>
    <row r="775">
      <c r="A775" s="186"/>
      <c r="B775" s="186"/>
      <c r="C775" s="186"/>
      <c r="D775" s="186"/>
      <c r="E775" s="186"/>
      <c r="F775" s="186"/>
      <c r="G775" s="186"/>
      <c r="H775" s="186"/>
      <c r="I775" s="186"/>
      <c r="L775" s="185"/>
      <c r="N775" s="185"/>
      <c r="P775" s="4" t="str">
        <f>IF(A775&lt;&gt;"",VLOOKUP(A775,Rackfile_combined!$B:$C,2,false),"")</f>
        <v/>
      </c>
    </row>
    <row r="776">
      <c r="A776" s="186"/>
      <c r="B776" s="186"/>
      <c r="C776" s="186"/>
      <c r="D776" s="186"/>
      <c r="E776" s="186"/>
      <c r="F776" s="186"/>
      <c r="G776" s="186"/>
      <c r="H776" s="186"/>
      <c r="I776" s="186"/>
      <c r="L776" s="185"/>
      <c r="N776" s="185"/>
      <c r="P776" s="4" t="str">
        <f>IF(A776&lt;&gt;"",VLOOKUP(A776,Rackfile_combined!$B:$C,2,false),"")</f>
        <v/>
      </c>
    </row>
    <row r="777">
      <c r="A777" s="186"/>
      <c r="B777" s="186"/>
      <c r="C777" s="186"/>
      <c r="D777" s="186"/>
      <c r="E777" s="186"/>
      <c r="F777" s="186"/>
      <c r="G777" s="186"/>
      <c r="H777" s="186"/>
      <c r="I777" s="186"/>
      <c r="L777" s="185"/>
      <c r="N777" s="185"/>
      <c r="P777" s="4" t="str">
        <f>IF(A777&lt;&gt;"",VLOOKUP(A777,Rackfile_combined!$B:$C,2,false),"")</f>
        <v/>
      </c>
    </row>
    <row r="778">
      <c r="A778" s="186"/>
      <c r="B778" s="186"/>
      <c r="C778" s="186"/>
      <c r="D778" s="186"/>
      <c r="E778" s="186"/>
      <c r="F778" s="186"/>
      <c r="G778" s="186"/>
      <c r="H778" s="186"/>
      <c r="I778" s="186"/>
      <c r="L778" s="185"/>
      <c r="N778" s="185"/>
      <c r="P778" s="4" t="str">
        <f>IF(A778&lt;&gt;"",VLOOKUP(A778,Rackfile_combined!$B:$C,2,false),"")</f>
        <v/>
      </c>
    </row>
    <row r="779">
      <c r="A779" s="186"/>
      <c r="B779" s="186"/>
      <c r="C779" s="186"/>
      <c r="D779" s="186"/>
      <c r="E779" s="186"/>
      <c r="F779" s="186"/>
      <c r="G779" s="186"/>
      <c r="H779" s="186"/>
      <c r="I779" s="186"/>
      <c r="L779" s="185"/>
      <c r="N779" s="185"/>
      <c r="P779" s="4" t="str">
        <f>IF(A779&lt;&gt;"",VLOOKUP(A779,Rackfile_combined!$B:$C,2,false),"")</f>
        <v/>
      </c>
    </row>
    <row r="780">
      <c r="A780" s="186"/>
      <c r="B780" s="186"/>
      <c r="C780" s="186"/>
      <c r="D780" s="186"/>
      <c r="E780" s="186"/>
      <c r="F780" s="186"/>
      <c r="G780" s="186"/>
      <c r="H780" s="186"/>
      <c r="I780" s="186"/>
      <c r="L780" s="185"/>
      <c r="N780" s="185"/>
      <c r="P780" s="4" t="str">
        <f>IF(A780&lt;&gt;"",VLOOKUP(A780,Rackfile_combined!$B:$C,2,false),"")</f>
        <v/>
      </c>
    </row>
    <row r="781">
      <c r="A781" s="186"/>
      <c r="B781" s="186"/>
      <c r="C781" s="186"/>
      <c r="D781" s="186"/>
      <c r="E781" s="186"/>
      <c r="F781" s="186"/>
      <c r="G781" s="186"/>
      <c r="H781" s="186"/>
      <c r="I781" s="186"/>
      <c r="L781" s="185"/>
      <c r="N781" s="185"/>
      <c r="P781" s="4" t="str">
        <f>IF(A781&lt;&gt;"",VLOOKUP(A781,Rackfile_combined!$B:$C,2,false),"")</f>
        <v/>
      </c>
    </row>
    <row r="782">
      <c r="A782" s="186"/>
      <c r="B782" s="186"/>
      <c r="C782" s="186"/>
      <c r="D782" s="186"/>
      <c r="E782" s="186"/>
      <c r="F782" s="186"/>
      <c r="G782" s="186"/>
      <c r="H782" s="186"/>
      <c r="I782" s="186"/>
      <c r="L782" s="185"/>
      <c r="N782" s="185"/>
      <c r="P782" s="4" t="str">
        <f>IF(A782&lt;&gt;"",VLOOKUP(A782,Rackfile_combined!$B:$C,2,false),"")</f>
        <v/>
      </c>
    </row>
    <row r="783">
      <c r="A783" s="186"/>
      <c r="B783" s="186"/>
      <c r="C783" s="186"/>
      <c r="D783" s="186"/>
      <c r="E783" s="186"/>
      <c r="F783" s="186"/>
      <c r="G783" s="186"/>
      <c r="H783" s="186"/>
      <c r="I783" s="186"/>
      <c r="L783" s="185"/>
      <c r="N783" s="185"/>
      <c r="P783" s="4" t="str">
        <f>IF(A783&lt;&gt;"",VLOOKUP(A783,Rackfile_combined!$B:$C,2,false),"")</f>
        <v/>
      </c>
    </row>
    <row r="784">
      <c r="A784" s="186"/>
      <c r="B784" s="186"/>
      <c r="C784" s="186"/>
      <c r="D784" s="186"/>
      <c r="E784" s="186"/>
      <c r="F784" s="186"/>
      <c r="G784" s="186"/>
      <c r="H784" s="186"/>
      <c r="I784" s="186"/>
      <c r="L784" s="185"/>
      <c r="N784" s="185"/>
      <c r="P784" s="4" t="str">
        <f>IF(A784&lt;&gt;"",VLOOKUP(A784,Rackfile_combined!$B:$C,2,false),"")</f>
        <v/>
      </c>
    </row>
    <row r="785">
      <c r="A785" s="186"/>
      <c r="B785" s="186"/>
      <c r="C785" s="186"/>
      <c r="D785" s="186"/>
      <c r="E785" s="186"/>
      <c r="F785" s="186"/>
      <c r="G785" s="186"/>
      <c r="H785" s="186"/>
      <c r="I785" s="186"/>
      <c r="L785" s="185"/>
      <c r="N785" s="185"/>
      <c r="P785" s="4" t="str">
        <f>IF(A785&lt;&gt;"",VLOOKUP(A785,Rackfile_combined!$B:$C,2,false),"")</f>
        <v/>
      </c>
    </row>
    <row r="786">
      <c r="A786" s="186"/>
      <c r="B786" s="186"/>
      <c r="C786" s="186"/>
      <c r="D786" s="186"/>
      <c r="E786" s="186"/>
      <c r="F786" s="186"/>
      <c r="G786" s="186"/>
      <c r="H786" s="186"/>
      <c r="I786" s="186"/>
      <c r="L786" s="185"/>
      <c r="N786" s="185"/>
      <c r="P786" s="4" t="str">
        <f>IF(A786&lt;&gt;"",VLOOKUP(A786,Rackfile_combined!$B:$C,2,false),"")</f>
        <v/>
      </c>
    </row>
    <row r="787">
      <c r="A787" s="186"/>
      <c r="B787" s="186"/>
      <c r="C787" s="186"/>
      <c r="D787" s="186"/>
      <c r="E787" s="186"/>
      <c r="F787" s="186"/>
      <c r="G787" s="186"/>
      <c r="H787" s="186"/>
      <c r="I787" s="186"/>
      <c r="L787" s="185"/>
      <c r="N787" s="185"/>
      <c r="P787" s="4" t="str">
        <f>IF(A787&lt;&gt;"",VLOOKUP(A787,Rackfile_combined!$B:$C,2,false),"")</f>
        <v/>
      </c>
    </row>
    <row r="788">
      <c r="A788" s="186"/>
      <c r="B788" s="186"/>
      <c r="C788" s="186"/>
      <c r="D788" s="186"/>
      <c r="E788" s="186"/>
      <c r="F788" s="186"/>
      <c r="G788" s="186"/>
      <c r="H788" s="186"/>
      <c r="I788" s="186"/>
      <c r="L788" s="185"/>
      <c r="N788" s="185"/>
      <c r="P788" s="4" t="str">
        <f>IF(A788&lt;&gt;"",VLOOKUP(A788,Rackfile_combined!$B:$C,2,false),"")</f>
        <v/>
      </c>
    </row>
    <row r="789">
      <c r="A789" s="186"/>
      <c r="B789" s="186"/>
      <c r="C789" s="186"/>
      <c r="D789" s="186"/>
      <c r="E789" s="186"/>
      <c r="F789" s="186"/>
      <c r="G789" s="186"/>
      <c r="H789" s="186"/>
      <c r="I789" s="186"/>
      <c r="L789" s="185"/>
      <c r="N789" s="185"/>
      <c r="P789" s="4" t="str">
        <f>IF(A789&lt;&gt;"",VLOOKUP(A789,Rackfile_combined!$B:$C,2,false),"")</f>
        <v/>
      </c>
    </row>
    <row r="790">
      <c r="A790" s="186"/>
      <c r="B790" s="186"/>
      <c r="C790" s="186"/>
      <c r="D790" s="186"/>
      <c r="E790" s="186"/>
      <c r="F790" s="186"/>
      <c r="G790" s="186"/>
      <c r="H790" s="186"/>
      <c r="I790" s="186"/>
      <c r="L790" s="185"/>
      <c r="N790" s="185"/>
      <c r="P790" s="4" t="str">
        <f>IF(A790&lt;&gt;"",VLOOKUP(A790,Rackfile_combined!$B:$C,2,false),"")</f>
        <v/>
      </c>
    </row>
    <row r="791">
      <c r="A791" s="186"/>
      <c r="B791" s="186"/>
      <c r="C791" s="186"/>
      <c r="D791" s="186"/>
      <c r="E791" s="186"/>
      <c r="F791" s="186"/>
      <c r="G791" s="186"/>
      <c r="H791" s="186"/>
      <c r="I791" s="186"/>
      <c r="L791" s="185"/>
      <c r="N791" s="185"/>
      <c r="P791" s="4" t="str">
        <f>IF(A791&lt;&gt;"",VLOOKUP(A791,Rackfile_combined!$B:$C,2,false),"")</f>
        <v/>
      </c>
    </row>
    <row r="792">
      <c r="A792" s="186"/>
      <c r="B792" s="186"/>
      <c r="C792" s="186"/>
      <c r="D792" s="186"/>
      <c r="E792" s="186"/>
      <c r="F792" s="186"/>
      <c r="G792" s="186"/>
      <c r="H792" s="186"/>
      <c r="I792" s="186"/>
      <c r="L792" s="185"/>
      <c r="N792" s="185"/>
      <c r="P792" s="4" t="str">
        <f>IF(A792&lt;&gt;"",VLOOKUP(A792,Rackfile_combined!$B:$C,2,false),"")</f>
        <v/>
      </c>
    </row>
    <row r="793">
      <c r="A793" s="186"/>
      <c r="B793" s="186"/>
      <c r="C793" s="186"/>
      <c r="D793" s="186"/>
      <c r="E793" s="186"/>
      <c r="F793" s="186"/>
      <c r="G793" s="186"/>
      <c r="H793" s="186"/>
      <c r="I793" s="186"/>
      <c r="L793" s="185"/>
      <c r="N793" s="185"/>
      <c r="P793" s="4" t="str">
        <f>IF(A793&lt;&gt;"",VLOOKUP(A793,Rackfile_combined!$B:$C,2,false),"")</f>
        <v/>
      </c>
    </row>
    <row r="794">
      <c r="A794" s="186"/>
      <c r="B794" s="186"/>
      <c r="C794" s="186"/>
      <c r="D794" s="186"/>
      <c r="E794" s="186"/>
      <c r="F794" s="186"/>
      <c r="G794" s="186"/>
      <c r="H794" s="186"/>
      <c r="I794" s="186"/>
      <c r="L794" s="185"/>
      <c r="N794" s="185"/>
      <c r="P794" s="4" t="str">
        <f>IF(A794&lt;&gt;"",VLOOKUP(A794,Rackfile_combined!$B:$C,2,false),"")</f>
        <v/>
      </c>
    </row>
    <row r="795">
      <c r="A795" s="186"/>
      <c r="B795" s="186"/>
      <c r="C795" s="186"/>
      <c r="D795" s="186"/>
      <c r="E795" s="186"/>
      <c r="F795" s="186"/>
      <c r="G795" s="186"/>
      <c r="H795" s="186"/>
      <c r="I795" s="186"/>
      <c r="L795" s="185"/>
      <c r="N795" s="185"/>
      <c r="P795" s="4" t="str">
        <f>IF(A795&lt;&gt;"",VLOOKUP(A795,Rackfile_combined!$B:$C,2,false),"")</f>
        <v/>
      </c>
    </row>
    <row r="796">
      <c r="A796" s="186"/>
      <c r="B796" s="186"/>
      <c r="C796" s="186"/>
      <c r="D796" s="186"/>
      <c r="E796" s="186"/>
      <c r="F796" s="186"/>
      <c r="G796" s="186"/>
      <c r="H796" s="186"/>
      <c r="I796" s="186"/>
      <c r="L796" s="185"/>
      <c r="N796" s="185"/>
      <c r="P796" s="4" t="str">
        <f>IF(A796&lt;&gt;"",VLOOKUP(A796,Rackfile_combined!$B:$C,2,false),"")</f>
        <v/>
      </c>
    </row>
    <row r="797">
      <c r="A797" s="186"/>
      <c r="B797" s="186"/>
      <c r="C797" s="186"/>
      <c r="D797" s="186"/>
      <c r="E797" s="186"/>
      <c r="F797" s="186"/>
      <c r="G797" s="186"/>
      <c r="H797" s="186"/>
      <c r="I797" s="186"/>
      <c r="L797" s="185"/>
      <c r="N797" s="185"/>
      <c r="P797" s="4" t="str">
        <f>IF(A797&lt;&gt;"",VLOOKUP(A797,Rackfile_combined!$B:$C,2,false),"")</f>
        <v/>
      </c>
    </row>
    <row r="798">
      <c r="A798" s="186"/>
      <c r="B798" s="186"/>
      <c r="C798" s="186"/>
      <c r="D798" s="186"/>
      <c r="E798" s="186"/>
      <c r="F798" s="186"/>
      <c r="G798" s="186"/>
      <c r="H798" s="186"/>
      <c r="I798" s="186"/>
      <c r="L798" s="185"/>
      <c r="N798" s="185"/>
      <c r="P798" s="4" t="str">
        <f>IF(A798&lt;&gt;"",VLOOKUP(A798,Rackfile_combined!$B:$C,2,false),"")</f>
        <v/>
      </c>
    </row>
    <row r="799">
      <c r="A799" s="186"/>
      <c r="B799" s="186"/>
      <c r="C799" s="186"/>
      <c r="D799" s="186"/>
      <c r="E799" s="186"/>
      <c r="F799" s="186"/>
      <c r="G799" s="186"/>
      <c r="H799" s="186"/>
      <c r="I799" s="186"/>
      <c r="L799" s="185"/>
      <c r="N799" s="185"/>
      <c r="P799" s="4" t="str">
        <f>IF(A799&lt;&gt;"",VLOOKUP(A799,Rackfile_combined!$B:$C,2,false),"")</f>
        <v/>
      </c>
    </row>
    <row r="800">
      <c r="A800" s="186"/>
      <c r="B800" s="186"/>
      <c r="C800" s="186"/>
      <c r="D800" s="186"/>
      <c r="E800" s="186"/>
      <c r="F800" s="186"/>
      <c r="G800" s="186"/>
      <c r="H800" s="186"/>
      <c r="I800" s="186"/>
      <c r="L800" s="185"/>
      <c r="N800" s="185"/>
      <c r="P800" s="4" t="str">
        <f>IF(A800&lt;&gt;"",VLOOKUP(A800,Rackfile_combined!$B:$C,2,false),"")</f>
        <v/>
      </c>
    </row>
    <row r="801">
      <c r="A801" s="186"/>
      <c r="B801" s="186"/>
      <c r="C801" s="186"/>
      <c r="D801" s="186"/>
      <c r="E801" s="186"/>
      <c r="F801" s="186"/>
      <c r="G801" s="186"/>
      <c r="H801" s="186"/>
      <c r="I801" s="186"/>
      <c r="L801" s="185"/>
      <c r="N801" s="185"/>
      <c r="P801" s="4" t="str">
        <f>IF(A801&lt;&gt;"",VLOOKUP(A801,Rackfile_combined!$B:$C,2,false),"")</f>
        <v/>
      </c>
    </row>
    <row r="802">
      <c r="A802" s="186"/>
      <c r="B802" s="186"/>
      <c r="C802" s="186"/>
      <c r="D802" s="186"/>
      <c r="E802" s="186"/>
      <c r="F802" s="186"/>
      <c r="G802" s="186"/>
      <c r="H802" s="186"/>
      <c r="I802" s="186"/>
      <c r="L802" s="185"/>
      <c r="N802" s="185"/>
      <c r="P802" s="4" t="str">
        <f>IF(A802&lt;&gt;"",VLOOKUP(A802,Rackfile_combined!$B:$C,2,false),"")</f>
        <v/>
      </c>
    </row>
    <row r="803">
      <c r="A803" s="186"/>
      <c r="B803" s="186"/>
      <c r="C803" s="186"/>
      <c r="D803" s="186"/>
      <c r="E803" s="186"/>
      <c r="F803" s="186"/>
      <c r="G803" s="186"/>
      <c r="H803" s="186"/>
      <c r="I803" s="186"/>
      <c r="L803" s="185"/>
      <c r="N803" s="185"/>
      <c r="P803" s="4" t="str">
        <f>IF(A803&lt;&gt;"",VLOOKUP(A803,Rackfile_combined!$B:$C,2,false),"")</f>
        <v/>
      </c>
    </row>
    <row r="804">
      <c r="A804" s="186"/>
      <c r="B804" s="186"/>
      <c r="C804" s="186"/>
      <c r="D804" s="186"/>
      <c r="E804" s="186"/>
      <c r="F804" s="186"/>
      <c r="G804" s="186"/>
      <c r="H804" s="186"/>
      <c r="I804" s="186"/>
      <c r="L804" s="185"/>
      <c r="N804" s="185"/>
      <c r="P804" s="4" t="str">
        <f>IF(A804&lt;&gt;"",VLOOKUP(A804,Rackfile_combined!$B:$C,2,false),"")</f>
        <v/>
      </c>
    </row>
    <row r="805">
      <c r="A805" s="186"/>
      <c r="B805" s="186"/>
      <c r="C805" s="186"/>
      <c r="D805" s="186"/>
      <c r="E805" s="186"/>
      <c r="F805" s="186"/>
      <c r="G805" s="186"/>
      <c r="H805" s="186"/>
      <c r="I805" s="186"/>
      <c r="L805" s="185"/>
      <c r="N805" s="185"/>
      <c r="P805" s="4" t="str">
        <f>IF(A805&lt;&gt;"",VLOOKUP(A805,Rackfile_combined!$B:$C,2,false),"")</f>
        <v/>
      </c>
    </row>
    <row r="806">
      <c r="A806" s="186"/>
      <c r="B806" s="186"/>
      <c r="C806" s="186"/>
      <c r="D806" s="186"/>
      <c r="E806" s="186"/>
      <c r="F806" s="186"/>
      <c r="G806" s="186"/>
      <c r="H806" s="186"/>
      <c r="I806" s="186"/>
      <c r="L806" s="185"/>
      <c r="N806" s="185"/>
      <c r="P806" s="4" t="str">
        <f>IF(A806&lt;&gt;"",VLOOKUP(A806,Rackfile_combined!$B:$C,2,false),"")</f>
        <v/>
      </c>
    </row>
    <row r="807">
      <c r="A807" s="186"/>
      <c r="B807" s="186"/>
      <c r="C807" s="186"/>
      <c r="D807" s="186"/>
      <c r="E807" s="186"/>
      <c r="F807" s="186"/>
      <c r="G807" s="186"/>
      <c r="H807" s="186"/>
      <c r="I807" s="186"/>
      <c r="L807" s="185"/>
      <c r="N807" s="185"/>
      <c r="P807" s="4" t="str">
        <f>IF(A807&lt;&gt;"",VLOOKUP(A807,Rackfile_combined!$B:$C,2,false),"")</f>
        <v/>
      </c>
    </row>
    <row r="808">
      <c r="A808" s="186"/>
      <c r="B808" s="186"/>
      <c r="C808" s="186"/>
      <c r="D808" s="186"/>
      <c r="E808" s="186"/>
      <c r="F808" s="186"/>
      <c r="G808" s="186"/>
      <c r="H808" s="186"/>
      <c r="I808" s="186"/>
      <c r="L808" s="185"/>
      <c r="N808" s="185"/>
      <c r="P808" s="4" t="str">
        <f>IF(A808&lt;&gt;"",VLOOKUP(A808,Rackfile_combined!$B:$C,2,false),"")</f>
        <v/>
      </c>
    </row>
    <row r="809">
      <c r="A809" s="186"/>
      <c r="B809" s="186"/>
      <c r="C809" s="186"/>
      <c r="D809" s="186"/>
      <c r="E809" s="186"/>
      <c r="F809" s="186"/>
      <c r="G809" s="186"/>
      <c r="H809" s="186"/>
      <c r="I809" s="186"/>
      <c r="L809" s="185"/>
      <c r="N809" s="185"/>
      <c r="P809" s="4" t="str">
        <f>IF(A809&lt;&gt;"",VLOOKUP(A809,Rackfile_combined!$B:$C,2,false),"")</f>
        <v/>
      </c>
    </row>
    <row r="810">
      <c r="A810" s="186"/>
      <c r="B810" s="186"/>
      <c r="C810" s="186"/>
      <c r="D810" s="186"/>
      <c r="E810" s="186"/>
      <c r="F810" s="186"/>
      <c r="G810" s="186"/>
      <c r="H810" s="186"/>
      <c r="I810" s="186"/>
      <c r="L810" s="185"/>
      <c r="N810" s="185"/>
      <c r="P810" s="4" t="str">
        <f>IF(A810&lt;&gt;"",VLOOKUP(A810,Rackfile_combined!$B:$C,2,false),"")</f>
        <v/>
      </c>
    </row>
    <row r="811">
      <c r="A811" s="186"/>
      <c r="B811" s="186"/>
      <c r="C811" s="186"/>
      <c r="D811" s="186"/>
      <c r="E811" s="186"/>
      <c r="F811" s="186"/>
      <c r="G811" s="186"/>
      <c r="H811" s="186"/>
      <c r="I811" s="186"/>
      <c r="L811" s="185"/>
      <c r="N811" s="185"/>
      <c r="P811" s="4" t="str">
        <f>IF(A811&lt;&gt;"",VLOOKUP(A811,Rackfile_combined!$B:$C,2,false),"")</f>
        <v/>
      </c>
    </row>
    <row r="812">
      <c r="A812" s="186"/>
      <c r="B812" s="186"/>
      <c r="C812" s="186"/>
      <c r="D812" s="186"/>
      <c r="E812" s="186"/>
      <c r="F812" s="186"/>
      <c r="G812" s="186"/>
      <c r="H812" s="186"/>
      <c r="I812" s="186"/>
      <c r="L812" s="185"/>
      <c r="N812" s="185"/>
      <c r="P812" s="4" t="str">
        <f>IF(A812&lt;&gt;"",VLOOKUP(A812,Rackfile_combined!$B:$C,2,false),"")</f>
        <v/>
      </c>
    </row>
    <row r="813">
      <c r="A813" s="186"/>
      <c r="B813" s="186"/>
      <c r="C813" s="186"/>
      <c r="D813" s="186"/>
      <c r="E813" s="186"/>
      <c r="F813" s="186"/>
      <c r="G813" s="186"/>
      <c r="H813" s="186"/>
      <c r="I813" s="186"/>
      <c r="L813" s="185"/>
      <c r="N813" s="185"/>
      <c r="P813" s="4" t="str">
        <f>IF(A813&lt;&gt;"",VLOOKUP(A813,Rackfile_combined!$B:$C,2,false),"")</f>
        <v/>
      </c>
    </row>
    <row r="814">
      <c r="A814" s="186"/>
      <c r="B814" s="186"/>
      <c r="C814" s="186"/>
      <c r="D814" s="186"/>
      <c r="E814" s="186"/>
      <c r="F814" s="186"/>
      <c r="G814" s="186"/>
      <c r="H814" s="186"/>
      <c r="I814" s="186"/>
      <c r="L814" s="185"/>
      <c r="N814" s="185"/>
      <c r="P814" s="4" t="str">
        <f>IF(A814&lt;&gt;"",VLOOKUP(A814,Rackfile_combined!$B:$C,2,false),"")</f>
        <v/>
      </c>
    </row>
    <row r="815">
      <c r="A815" s="186"/>
      <c r="B815" s="186"/>
      <c r="C815" s="186"/>
      <c r="D815" s="186"/>
      <c r="E815" s="186"/>
      <c r="F815" s="186"/>
      <c r="G815" s="186"/>
      <c r="H815" s="186"/>
      <c r="I815" s="186"/>
      <c r="L815" s="185"/>
      <c r="N815" s="185"/>
      <c r="P815" s="4" t="str">
        <f>IF(A815&lt;&gt;"",VLOOKUP(A815,Rackfile_combined!$B:$C,2,false),"")</f>
        <v/>
      </c>
    </row>
    <row r="816">
      <c r="A816" s="186"/>
      <c r="B816" s="186"/>
      <c r="C816" s="186"/>
      <c r="D816" s="186"/>
      <c r="E816" s="186"/>
      <c r="F816" s="186"/>
      <c r="G816" s="186"/>
      <c r="H816" s="186"/>
      <c r="I816" s="186"/>
      <c r="L816" s="185"/>
      <c r="N816" s="185"/>
      <c r="P816" s="4" t="str">
        <f>IF(A816&lt;&gt;"",VLOOKUP(A816,Rackfile_combined!$B:$C,2,false),"")</f>
        <v/>
      </c>
    </row>
    <row r="817">
      <c r="A817" s="186"/>
      <c r="B817" s="186"/>
      <c r="C817" s="186"/>
      <c r="D817" s="186"/>
      <c r="E817" s="186"/>
      <c r="F817" s="186"/>
      <c r="G817" s="186"/>
      <c r="H817" s="186"/>
      <c r="I817" s="186"/>
      <c r="L817" s="185"/>
      <c r="N817" s="185"/>
      <c r="P817" s="4" t="str">
        <f>IF(A817&lt;&gt;"",VLOOKUP(A817,Rackfile_combined!$B:$C,2,false),"")</f>
        <v/>
      </c>
    </row>
    <row r="818">
      <c r="A818" s="186"/>
      <c r="B818" s="186"/>
      <c r="C818" s="186"/>
      <c r="D818" s="186"/>
      <c r="E818" s="186"/>
      <c r="F818" s="186"/>
      <c r="G818" s="186"/>
      <c r="H818" s="186"/>
      <c r="I818" s="186"/>
      <c r="L818" s="185"/>
      <c r="N818" s="185"/>
      <c r="P818" s="4" t="str">
        <f>IF(A818&lt;&gt;"",VLOOKUP(A818,Rackfile_combined!$B:$C,2,false),"")</f>
        <v/>
      </c>
    </row>
    <row r="819">
      <c r="A819" s="186"/>
      <c r="B819" s="186"/>
      <c r="C819" s="186"/>
      <c r="D819" s="186"/>
      <c r="E819" s="186"/>
      <c r="F819" s="186"/>
      <c r="G819" s="186"/>
      <c r="H819" s="186"/>
      <c r="I819" s="186"/>
      <c r="L819" s="185"/>
      <c r="N819" s="185"/>
      <c r="P819" s="4" t="str">
        <f>IF(A819&lt;&gt;"",VLOOKUP(A819,Rackfile_combined!$B:$C,2,false),"")</f>
        <v/>
      </c>
    </row>
    <row r="820">
      <c r="A820" s="186"/>
      <c r="B820" s="186"/>
      <c r="C820" s="186"/>
      <c r="D820" s="186"/>
      <c r="E820" s="186"/>
      <c r="F820" s="186"/>
      <c r="G820" s="186"/>
      <c r="H820" s="186"/>
      <c r="I820" s="186"/>
      <c r="L820" s="185"/>
      <c r="N820" s="185"/>
      <c r="P820" s="4" t="str">
        <f>IF(A820&lt;&gt;"",VLOOKUP(A820,Rackfile_combined!$B:$C,2,false),"")</f>
        <v/>
      </c>
    </row>
    <row r="821">
      <c r="A821" s="186"/>
      <c r="B821" s="186"/>
      <c r="C821" s="186"/>
      <c r="D821" s="186"/>
      <c r="E821" s="186"/>
      <c r="F821" s="186"/>
      <c r="G821" s="186"/>
      <c r="H821" s="186"/>
      <c r="I821" s="186"/>
      <c r="L821" s="185"/>
      <c r="N821" s="185"/>
      <c r="P821" s="4" t="str">
        <f>IF(A821&lt;&gt;"",VLOOKUP(A821,Rackfile_combined!$B:$C,2,false),"")</f>
        <v/>
      </c>
    </row>
    <row r="822">
      <c r="A822" s="186"/>
      <c r="B822" s="186"/>
      <c r="C822" s="186"/>
      <c r="D822" s="186"/>
      <c r="E822" s="186"/>
      <c r="F822" s="186"/>
      <c r="G822" s="186"/>
      <c r="H822" s="186"/>
      <c r="I822" s="186"/>
      <c r="L822" s="185"/>
      <c r="N822" s="185"/>
      <c r="P822" s="4" t="str">
        <f>IF(A822&lt;&gt;"",VLOOKUP(A822,Rackfile_combined!$B:$C,2,false),"")</f>
        <v/>
      </c>
    </row>
    <row r="823">
      <c r="A823" s="186"/>
      <c r="B823" s="186"/>
      <c r="C823" s="186"/>
      <c r="D823" s="186"/>
      <c r="E823" s="186"/>
      <c r="F823" s="186"/>
      <c r="G823" s="186"/>
      <c r="H823" s="186"/>
      <c r="I823" s="186"/>
      <c r="L823" s="185"/>
      <c r="N823" s="185"/>
      <c r="P823" s="4" t="str">
        <f>IF(A823&lt;&gt;"",VLOOKUP(A823,Rackfile_combined!$B:$C,2,false),"")</f>
        <v/>
      </c>
    </row>
    <row r="824">
      <c r="A824" s="186"/>
      <c r="B824" s="186"/>
      <c r="C824" s="186"/>
      <c r="D824" s="186"/>
      <c r="E824" s="186"/>
      <c r="F824" s="186"/>
      <c r="G824" s="186"/>
      <c r="H824" s="186"/>
      <c r="I824" s="186"/>
      <c r="L824" s="185"/>
      <c r="N824" s="185"/>
      <c r="P824" s="4" t="str">
        <f>IF(A824&lt;&gt;"",VLOOKUP(A824,Rackfile_combined!$B:$C,2,false),"")</f>
        <v/>
      </c>
    </row>
    <row r="825">
      <c r="A825" s="186"/>
      <c r="B825" s="186"/>
      <c r="C825" s="186"/>
      <c r="D825" s="186"/>
      <c r="E825" s="186"/>
      <c r="F825" s="186"/>
      <c r="G825" s="186"/>
      <c r="H825" s="186"/>
      <c r="I825" s="186"/>
      <c r="L825" s="185"/>
      <c r="N825" s="185"/>
      <c r="P825" s="4" t="str">
        <f>IF(A825&lt;&gt;"",VLOOKUP(A825,Rackfile_combined!$B:$C,2,false),"")</f>
        <v/>
      </c>
    </row>
    <row r="826">
      <c r="A826" s="186"/>
      <c r="B826" s="186"/>
      <c r="C826" s="186"/>
      <c r="D826" s="186"/>
      <c r="E826" s="186"/>
      <c r="F826" s="186"/>
      <c r="G826" s="186"/>
      <c r="H826" s="186"/>
      <c r="I826" s="186"/>
      <c r="L826" s="185"/>
      <c r="N826" s="185"/>
      <c r="P826" s="4" t="str">
        <f>IF(A826&lt;&gt;"",VLOOKUP(A826,Rackfile_combined!$B:$C,2,false),"")</f>
        <v/>
      </c>
    </row>
    <row r="827">
      <c r="A827" s="186"/>
      <c r="B827" s="186"/>
      <c r="C827" s="186"/>
      <c r="D827" s="186"/>
      <c r="E827" s="186"/>
      <c r="F827" s="186"/>
      <c r="G827" s="186"/>
      <c r="H827" s="186"/>
      <c r="I827" s="186"/>
      <c r="L827" s="185"/>
      <c r="N827" s="185"/>
      <c r="P827" s="4" t="str">
        <f>IF(A827&lt;&gt;"",VLOOKUP(A827,Rackfile_combined!$B:$C,2,false),"")</f>
        <v/>
      </c>
    </row>
    <row r="828">
      <c r="A828" s="186"/>
      <c r="B828" s="186"/>
      <c r="C828" s="186"/>
      <c r="D828" s="186"/>
      <c r="E828" s="186"/>
      <c r="F828" s="186"/>
      <c r="G828" s="186"/>
      <c r="H828" s="186"/>
      <c r="I828" s="186"/>
      <c r="L828" s="185"/>
      <c r="N828" s="185"/>
      <c r="P828" s="4" t="str">
        <f>IF(A828&lt;&gt;"",VLOOKUP(A828,Rackfile_combined!$B:$C,2,false),"")</f>
        <v/>
      </c>
    </row>
    <row r="829">
      <c r="A829" s="186"/>
      <c r="B829" s="186"/>
      <c r="C829" s="186"/>
      <c r="D829" s="186"/>
      <c r="E829" s="186"/>
      <c r="F829" s="186"/>
      <c r="G829" s="186"/>
      <c r="H829" s="186"/>
      <c r="I829" s="186"/>
      <c r="L829" s="185"/>
      <c r="N829" s="185"/>
      <c r="P829" s="4" t="str">
        <f>IF(A829&lt;&gt;"",VLOOKUP(A829,Rackfile_combined!$B:$C,2,false),"")</f>
        <v/>
      </c>
    </row>
    <row r="830">
      <c r="A830" s="186"/>
      <c r="B830" s="186"/>
      <c r="C830" s="186"/>
      <c r="D830" s="186"/>
      <c r="E830" s="186"/>
      <c r="F830" s="186"/>
      <c r="G830" s="186"/>
      <c r="H830" s="186"/>
      <c r="I830" s="186"/>
      <c r="L830" s="185"/>
      <c r="N830" s="185"/>
      <c r="P830" s="4" t="str">
        <f>IF(A830&lt;&gt;"",VLOOKUP(A830,Rackfile_combined!$B:$C,2,false),"")</f>
        <v/>
      </c>
    </row>
    <row r="831">
      <c r="A831" s="186"/>
      <c r="B831" s="186"/>
      <c r="C831" s="186"/>
      <c r="D831" s="186"/>
      <c r="E831" s="186"/>
      <c r="F831" s="186"/>
      <c r="G831" s="186"/>
      <c r="H831" s="186"/>
      <c r="I831" s="186"/>
      <c r="L831" s="185"/>
      <c r="N831" s="185"/>
      <c r="P831" s="4" t="str">
        <f>IF(A831&lt;&gt;"",VLOOKUP(A831,Rackfile_combined!$B:$C,2,false),"")</f>
        <v/>
      </c>
    </row>
    <row r="832">
      <c r="A832" s="186"/>
      <c r="B832" s="186"/>
      <c r="C832" s="186"/>
      <c r="D832" s="186"/>
      <c r="E832" s="186"/>
      <c r="F832" s="186"/>
      <c r="G832" s="186"/>
      <c r="H832" s="186"/>
      <c r="I832" s="186"/>
      <c r="L832" s="185"/>
      <c r="N832" s="185"/>
      <c r="P832" s="4" t="str">
        <f>IF(A832&lt;&gt;"",VLOOKUP(A832,Rackfile_combined!$B:$C,2,false),"")</f>
        <v/>
      </c>
    </row>
    <row r="833">
      <c r="A833" s="186"/>
      <c r="B833" s="186"/>
      <c r="C833" s="186"/>
      <c r="D833" s="186"/>
      <c r="E833" s="186"/>
      <c r="F833" s="186"/>
      <c r="G833" s="186"/>
      <c r="H833" s="186"/>
      <c r="I833" s="186"/>
      <c r="L833" s="185"/>
      <c r="N833" s="185"/>
      <c r="P833" s="4" t="str">
        <f>IF(A833&lt;&gt;"",VLOOKUP(A833,Rackfile_combined!$B:$C,2,false),"")</f>
        <v/>
      </c>
    </row>
    <row r="834">
      <c r="A834" s="186"/>
      <c r="B834" s="186"/>
      <c r="C834" s="186"/>
      <c r="D834" s="186"/>
      <c r="E834" s="186"/>
      <c r="F834" s="186"/>
      <c r="G834" s="186"/>
      <c r="H834" s="186"/>
      <c r="I834" s="186"/>
      <c r="L834" s="185"/>
      <c r="N834" s="185"/>
      <c r="P834" s="4" t="str">
        <f>IF(A834&lt;&gt;"",VLOOKUP(A834,Rackfile_combined!$B:$C,2,false),"")</f>
        <v/>
      </c>
    </row>
    <row r="835">
      <c r="A835" s="186"/>
      <c r="B835" s="186"/>
      <c r="C835" s="186"/>
      <c r="D835" s="186"/>
      <c r="E835" s="186"/>
      <c r="F835" s="186"/>
      <c r="G835" s="186"/>
      <c r="H835" s="186"/>
      <c r="I835" s="186"/>
      <c r="L835" s="185"/>
      <c r="N835" s="185"/>
      <c r="P835" s="4" t="str">
        <f>IF(A835&lt;&gt;"",VLOOKUP(A835,Rackfile_combined!$B:$C,2,false),"")</f>
        <v/>
      </c>
    </row>
    <row r="836">
      <c r="A836" s="186"/>
      <c r="B836" s="186"/>
      <c r="C836" s="186"/>
      <c r="D836" s="186"/>
      <c r="E836" s="186"/>
      <c r="F836" s="186"/>
      <c r="G836" s="186"/>
      <c r="H836" s="186"/>
      <c r="I836" s="186"/>
      <c r="L836" s="185"/>
      <c r="N836" s="185"/>
      <c r="P836" s="4" t="str">
        <f>IF(A836&lt;&gt;"",VLOOKUP(A836,Rackfile_combined!$B:$C,2,false),"")</f>
        <v/>
      </c>
    </row>
    <row r="837">
      <c r="A837" s="186"/>
      <c r="B837" s="186"/>
      <c r="C837" s="186"/>
      <c r="D837" s="186"/>
      <c r="E837" s="186"/>
      <c r="F837" s="186"/>
      <c r="G837" s="186"/>
      <c r="H837" s="186"/>
      <c r="I837" s="186"/>
      <c r="L837" s="185"/>
      <c r="N837" s="185"/>
      <c r="P837" s="4" t="str">
        <f>IF(A837&lt;&gt;"",VLOOKUP(A837,Rackfile_combined!$B:$C,2,false),"")</f>
        <v/>
      </c>
    </row>
    <row r="838">
      <c r="A838" s="186"/>
      <c r="B838" s="186"/>
      <c r="C838" s="186"/>
      <c r="D838" s="186"/>
      <c r="E838" s="186"/>
      <c r="F838" s="186"/>
      <c r="G838" s="186"/>
      <c r="H838" s="186"/>
      <c r="I838" s="186"/>
      <c r="L838" s="185"/>
      <c r="N838" s="185"/>
      <c r="P838" s="4" t="str">
        <f>IF(A838&lt;&gt;"",VLOOKUP(A838,Rackfile_combined!$B:$C,2,false),"")</f>
        <v/>
      </c>
    </row>
    <row r="839">
      <c r="A839" s="186"/>
      <c r="B839" s="186"/>
      <c r="C839" s="186"/>
      <c r="D839" s="186"/>
      <c r="E839" s="186"/>
      <c r="F839" s="186"/>
      <c r="G839" s="186"/>
      <c r="H839" s="186"/>
      <c r="I839" s="186"/>
      <c r="L839" s="185"/>
      <c r="N839" s="185"/>
      <c r="P839" s="4" t="str">
        <f>IF(A839&lt;&gt;"",VLOOKUP(A839,Rackfile_combined!$B:$C,2,false),"")</f>
        <v/>
      </c>
    </row>
    <row r="840">
      <c r="A840" s="186"/>
      <c r="B840" s="186"/>
      <c r="C840" s="186"/>
      <c r="D840" s="186"/>
      <c r="E840" s="186"/>
      <c r="F840" s="186"/>
      <c r="G840" s="186"/>
      <c r="H840" s="186"/>
      <c r="I840" s="186"/>
      <c r="L840" s="185"/>
      <c r="N840" s="185"/>
      <c r="P840" s="4" t="str">
        <f>IF(A840&lt;&gt;"",VLOOKUP(A840,Rackfile_combined!$B:$C,2,false),"")</f>
        <v/>
      </c>
    </row>
    <row r="841">
      <c r="A841" s="186"/>
      <c r="B841" s="186"/>
      <c r="C841" s="186"/>
      <c r="D841" s="186"/>
      <c r="E841" s="186"/>
      <c r="F841" s="186"/>
      <c r="G841" s="186"/>
      <c r="H841" s="186"/>
      <c r="I841" s="186"/>
      <c r="L841" s="185"/>
      <c r="N841" s="185"/>
      <c r="P841" s="4" t="str">
        <f>IF(A841&lt;&gt;"",VLOOKUP(A841,Rackfile_combined!$B:$C,2,false),"")</f>
        <v/>
      </c>
    </row>
    <row r="842">
      <c r="A842" s="186"/>
      <c r="B842" s="186"/>
      <c r="C842" s="186"/>
      <c r="D842" s="186"/>
      <c r="E842" s="186"/>
      <c r="F842" s="186"/>
      <c r="G842" s="186"/>
      <c r="H842" s="186"/>
      <c r="I842" s="186"/>
      <c r="L842" s="185"/>
      <c r="N842" s="185"/>
      <c r="P842" s="4" t="str">
        <f>IF(A842&lt;&gt;"",VLOOKUP(A842,Rackfile_combined!$B:$C,2,false),"")</f>
        <v/>
      </c>
    </row>
    <row r="843">
      <c r="A843" s="186"/>
      <c r="B843" s="186"/>
      <c r="C843" s="186"/>
      <c r="D843" s="186"/>
      <c r="E843" s="186"/>
      <c r="F843" s="186"/>
      <c r="G843" s="186"/>
      <c r="H843" s="186"/>
      <c r="I843" s="186"/>
      <c r="L843" s="185"/>
      <c r="N843" s="185"/>
      <c r="P843" s="4" t="str">
        <f>IF(A843&lt;&gt;"",VLOOKUP(A843,Rackfile_combined!$B:$C,2,false),"")</f>
        <v/>
      </c>
    </row>
    <row r="844">
      <c r="A844" s="186"/>
      <c r="B844" s="186"/>
      <c r="C844" s="186"/>
      <c r="D844" s="186"/>
      <c r="E844" s="186"/>
      <c r="F844" s="186"/>
      <c r="G844" s="186"/>
      <c r="H844" s="186"/>
      <c r="I844" s="186"/>
      <c r="L844" s="185"/>
      <c r="N844" s="185"/>
      <c r="P844" s="4" t="str">
        <f>IF(A844&lt;&gt;"",VLOOKUP(A844,Rackfile_combined!$B:$C,2,false),"")</f>
        <v/>
      </c>
    </row>
    <row r="845">
      <c r="A845" s="186"/>
      <c r="B845" s="186"/>
      <c r="C845" s="186"/>
      <c r="D845" s="186"/>
      <c r="E845" s="186"/>
      <c r="F845" s="186"/>
      <c r="G845" s="186"/>
      <c r="H845" s="186"/>
      <c r="I845" s="186"/>
      <c r="L845" s="185"/>
      <c r="N845" s="185"/>
      <c r="P845" s="4" t="str">
        <f>IF(A845&lt;&gt;"",VLOOKUP(A845,Rackfile_combined!$B:$C,2,false),"")</f>
        <v/>
      </c>
    </row>
    <row r="846">
      <c r="A846" s="186"/>
      <c r="B846" s="186"/>
      <c r="C846" s="186"/>
      <c r="D846" s="186"/>
      <c r="E846" s="186"/>
      <c r="F846" s="186"/>
      <c r="G846" s="186"/>
      <c r="H846" s="186"/>
      <c r="I846" s="186"/>
      <c r="L846" s="185"/>
      <c r="N846" s="185"/>
      <c r="P846" s="4" t="str">
        <f>IF(A846&lt;&gt;"",VLOOKUP(A846,Rackfile_combined!$B:$C,2,false),"")</f>
        <v/>
      </c>
    </row>
    <row r="847">
      <c r="A847" s="186"/>
      <c r="B847" s="186"/>
      <c r="C847" s="186"/>
      <c r="D847" s="186"/>
      <c r="E847" s="186"/>
      <c r="F847" s="186"/>
      <c r="G847" s="186"/>
      <c r="H847" s="186"/>
      <c r="I847" s="186"/>
      <c r="L847" s="185"/>
      <c r="N847" s="185"/>
      <c r="P847" s="4" t="str">
        <f>IF(A847&lt;&gt;"",VLOOKUP(A847,Rackfile_combined!$B:$C,2,false),"")</f>
        <v/>
      </c>
    </row>
    <row r="848">
      <c r="A848" s="186"/>
      <c r="B848" s="186"/>
      <c r="C848" s="186"/>
      <c r="D848" s="186"/>
      <c r="E848" s="186"/>
      <c r="F848" s="186"/>
      <c r="G848" s="186"/>
      <c r="H848" s="186"/>
      <c r="I848" s="186"/>
      <c r="L848" s="185"/>
      <c r="N848" s="185"/>
      <c r="P848" s="4" t="str">
        <f>IF(A848&lt;&gt;"",VLOOKUP(A848,Rackfile_combined!$B:$C,2,false),"")</f>
        <v/>
      </c>
    </row>
    <row r="849">
      <c r="A849" s="186"/>
      <c r="B849" s="186"/>
      <c r="C849" s="186"/>
      <c r="D849" s="186"/>
      <c r="E849" s="186"/>
      <c r="F849" s="186"/>
      <c r="G849" s="186"/>
      <c r="H849" s="186"/>
      <c r="I849" s="186"/>
      <c r="L849" s="185"/>
      <c r="N849" s="185"/>
      <c r="P849" s="4" t="str">
        <f>IF(A849&lt;&gt;"",VLOOKUP(A849,Rackfile_combined!$B:$C,2,false),"")</f>
        <v/>
      </c>
    </row>
    <row r="850">
      <c r="A850" s="186"/>
      <c r="B850" s="186"/>
      <c r="C850" s="186"/>
      <c r="D850" s="186"/>
      <c r="E850" s="186"/>
      <c r="F850" s="186"/>
      <c r="G850" s="186"/>
      <c r="H850" s="186"/>
      <c r="I850" s="186"/>
      <c r="L850" s="185"/>
      <c r="N850" s="185"/>
      <c r="P850" s="4" t="str">
        <f>IF(A850&lt;&gt;"",VLOOKUP(A850,Rackfile_combined!$B:$C,2,false),"")</f>
        <v/>
      </c>
    </row>
    <row r="851">
      <c r="A851" s="186"/>
      <c r="B851" s="186"/>
      <c r="C851" s="186"/>
      <c r="D851" s="186"/>
      <c r="E851" s="186"/>
      <c r="F851" s="186"/>
      <c r="G851" s="186"/>
      <c r="H851" s="186"/>
      <c r="I851" s="186"/>
      <c r="L851" s="185"/>
      <c r="N851" s="185"/>
      <c r="P851" s="4" t="str">
        <f>IF(A851&lt;&gt;"",VLOOKUP(A851,Rackfile_combined!$B:$C,2,false),"")</f>
        <v/>
      </c>
    </row>
    <row r="852">
      <c r="A852" s="186"/>
      <c r="B852" s="186"/>
      <c r="C852" s="186"/>
      <c r="D852" s="186"/>
      <c r="E852" s="186"/>
      <c r="F852" s="186"/>
      <c r="G852" s="186"/>
      <c r="H852" s="186"/>
      <c r="I852" s="186"/>
      <c r="L852" s="185"/>
      <c r="N852" s="185"/>
      <c r="P852" s="4" t="str">
        <f>IF(A852&lt;&gt;"",VLOOKUP(A852,Rackfile_combined!$B:$C,2,false),"")</f>
        <v/>
      </c>
    </row>
    <row r="853">
      <c r="A853" s="186"/>
      <c r="B853" s="186"/>
      <c r="C853" s="186"/>
      <c r="D853" s="186"/>
      <c r="E853" s="186"/>
      <c r="F853" s="186"/>
      <c r="G853" s="186"/>
      <c r="H853" s="186"/>
      <c r="I853" s="186"/>
      <c r="L853" s="185"/>
      <c r="N853" s="185"/>
      <c r="P853" s="4" t="str">
        <f>IF(A853&lt;&gt;"",VLOOKUP(A853,Rackfile_combined!$B:$C,2,false),"")</f>
        <v/>
      </c>
    </row>
    <row r="854">
      <c r="A854" s="186"/>
      <c r="B854" s="186"/>
      <c r="C854" s="186"/>
      <c r="D854" s="186"/>
      <c r="E854" s="186"/>
      <c r="F854" s="186"/>
      <c r="G854" s="186"/>
      <c r="H854" s="186"/>
      <c r="I854" s="186"/>
      <c r="L854" s="185"/>
      <c r="N854" s="185"/>
      <c r="P854" s="4" t="str">
        <f>IF(A854&lt;&gt;"",VLOOKUP(A854,Rackfile_combined!$B:$C,2,false),"")</f>
        <v/>
      </c>
    </row>
    <row r="855">
      <c r="A855" s="186"/>
      <c r="B855" s="186"/>
      <c r="C855" s="186"/>
      <c r="D855" s="186"/>
      <c r="E855" s="186"/>
      <c r="F855" s="186"/>
      <c r="G855" s="186"/>
      <c r="H855" s="186"/>
      <c r="I855" s="186"/>
      <c r="L855" s="185"/>
      <c r="N855" s="185"/>
      <c r="P855" s="4" t="str">
        <f>IF(A855&lt;&gt;"",VLOOKUP(A855,Rackfile_combined!$B:$C,2,false),"")</f>
        <v/>
      </c>
    </row>
    <row r="856">
      <c r="A856" s="186"/>
      <c r="B856" s="186"/>
      <c r="C856" s="186"/>
      <c r="D856" s="186"/>
      <c r="E856" s="186"/>
      <c r="F856" s="186"/>
      <c r="G856" s="186"/>
      <c r="H856" s="186"/>
      <c r="I856" s="186"/>
      <c r="L856" s="185"/>
      <c r="N856" s="185"/>
      <c r="P856" s="4" t="str">
        <f>IF(A856&lt;&gt;"",VLOOKUP(A856,Rackfile_combined!$B:$C,2,false),"")</f>
        <v/>
      </c>
    </row>
    <row r="857">
      <c r="A857" s="186"/>
      <c r="B857" s="186"/>
      <c r="C857" s="186"/>
      <c r="D857" s="186"/>
      <c r="E857" s="186"/>
      <c r="F857" s="186"/>
      <c r="G857" s="186"/>
      <c r="H857" s="186"/>
      <c r="I857" s="186"/>
      <c r="L857" s="185"/>
      <c r="N857" s="185"/>
      <c r="P857" s="4" t="str">
        <f>IF(A857&lt;&gt;"",VLOOKUP(A857,Rackfile_combined!$B:$C,2,false),"")</f>
        <v/>
      </c>
    </row>
    <row r="858">
      <c r="A858" s="186"/>
      <c r="B858" s="186"/>
      <c r="C858" s="186"/>
      <c r="D858" s="186"/>
      <c r="E858" s="186"/>
      <c r="F858" s="186"/>
      <c r="G858" s="186"/>
      <c r="H858" s="186"/>
      <c r="I858" s="186"/>
      <c r="L858" s="185"/>
      <c r="N858" s="185"/>
      <c r="P858" s="4" t="str">
        <f>IF(A858&lt;&gt;"",VLOOKUP(A858,Rackfile_combined!$B:$C,2,false),"")</f>
        <v/>
      </c>
    </row>
    <row r="859">
      <c r="A859" s="186"/>
      <c r="B859" s="186"/>
      <c r="C859" s="186"/>
      <c r="D859" s="186"/>
      <c r="E859" s="186"/>
      <c r="F859" s="186"/>
      <c r="G859" s="186"/>
      <c r="H859" s="186"/>
      <c r="I859" s="186"/>
      <c r="L859" s="185"/>
      <c r="N859" s="185"/>
      <c r="P859" s="4" t="str">
        <f>IF(A859&lt;&gt;"",VLOOKUP(A859,Rackfile_combined!$B:$C,2,false),"")</f>
        <v/>
      </c>
    </row>
    <row r="860">
      <c r="A860" s="186"/>
      <c r="B860" s="186"/>
      <c r="C860" s="186"/>
      <c r="D860" s="186"/>
      <c r="E860" s="186"/>
      <c r="F860" s="186"/>
      <c r="G860" s="186"/>
      <c r="H860" s="186"/>
      <c r="I860" s="186"/>
      <c r="L860" s="185"/>
      <c r="N860" s="185"/>
      <c r="P860" s="4" t="str">
        <f>IF(A860&lt;&gt;"",VLOOKUP(A860,Rackfile_combined!$B:$C,2,false),"")</f>
        <v/>
      </c>
    </row>
    <row r="861">
      <c r="A861" s="186"/>
      <c r="B861" s="186"/>
      <c r="C861" s="186"/>
      <c r="D861" s="186"/>
      <c r="E861" s="186"/>
      <c r="F861" s="186"/>
      <c r="G861" s="186"/>
      <c r="H861" s="186"/>
      <c r="I861" s="186"/>
      <c r="L861" s="185"/>
      <c r="N861" s="185"/>
      <c r="P861" s="4" t="str">
        <f>IF(A861&lt;&gt;"",VLOOKUP(A861,Rackfile_combined!$B:$C,2,false),"")</f>
        <v/>
      </c>
    </row>
    <row r="862">
      <c r="A862" s="186"/>
      <c r="B862" s="186"/>
      <c r="C862" s="186"/>
      <c r="D862" s="186"/>
      <c r="E862" s="186"/>
      <c r="F862" s="186"/>
      <c r="G862" s="186"/>
      <c r="H862" s="186"/>
      <c r="I862" s="186"/>
      <c r="L862" s="185"/>
      <c r="N862" s="185"/>
      <c r="P862" s="4" t="str">
        <f>IF(A862&lt;&gt;"",VLOOKUP(A862,Rackfile_combined!$B:$C,2,false),"")</f>
        <v/>
      </c>
    </row>
    <row r="863">
      <c r="A863" s="186"/>
      <c r="B863" s="186"/>
      <c r="C863" s="186"/>
      <c r="D863" s="186"/>
      <c r="E863" s="186"/>
      <c r="F863" s="186"/>
      <c r="G863" s="186"/>
      <c r="H863" s="186"/>
      <c r="I863" s="186"/>
      <c r="L863" s="185"/>
      <c r="N863" s="185"/>
      <c r="P863" s="4" t="str">
        <f>IF(A863&lt;&gt;"",VLOOKUP(A863,Rackfile_combined!$B:$C,2,false),"")</f>
        <v/>
      </c>
    </row>
    <row r="864">
      <c r="A864" s="186"/>
      <c r="B864" s="186"/>
      <c r="C864" s="186"/>
      <c r="D864" s="186"/>
      <c r="E864" s="186"/>
      <c r="F864" s="186"/>
      <c r="G864" s="186"/>
      <c r="H864" s="186"/>
      <c r="I864" s="186"/>
      <c r="L864" s="185"/>
      <c r="N864" s="185"/>
      <c r="P864" s="4" t="str">
        <f>IF(A864&lt;&gt;"",VLOOKUP(A864,Rackfile_combined!$B:$C,2,false),"")</f>
        <v/>
      </c>
    </row>
    <row r="865">
      <c r="A865" s="186"/>
      <c r="B865" s="186"/>
      <c r="C865" s="186"/>
      <c r="D865" s="186"/>
      <c r="E865" s="186"/>
      <c r="F865" s="186"/>
      <c r="G865" s="186"/>
      <c r="H865" s="186"/>
      <c r="I865" s="186"/>
      <c r="L865" s="185"/>
      <c r="N865" s="185"/>
      <c r="P865" s="4" t="str">
        <f>IF(A865&lt;&gt;"",VLOOKUP(A865,Rackfile_combined!$B:$C,2,false),"")</f>
        <v/>
      </c>
    </row>
    <row r="866">
      <c r="A866" s="186"/>
      <c r="B866" s="186"/>
      <c r="C866" s="186"/>
      <c r="D866" s="186"/>
      <c r="E866" s="186"/>
      <c r="F866" s="186"/>
      <c r="G866" s="186"/>
      <c r="H866" s="186"/>
      <c r="I866" s="186"/>
      <c r="L866" s="185"/>
      <c r="N866" s="185"/>
      <c r="P866" s="4" t="str">
        <f>IF(A866&lt;&gt;"",VLOOKUP(A866,Rackfile_combined!$B:$C,2,false),"")</f>
        <v/>
      </c>
    </row>
    <row r="867">
      <c r="A867" s="186"/>
      <c r="B867" s="186"/>
      <c r="C867" s="186"/>
      <c r="D867" s="186"/>
      <c r="E867" s="186"/>
      <c r="F867" s="186"/>
      <c r="G867" s="186"/>
      <c r="H867" s="186"/>
      <c r="I867" s="186"/>
      <c r="L867" s="185"/>
      <c r="N867" s="185"/>
      <c r="P867" s="4" t="str">
        <f>IF(A867&lt;&gt;"",VLOOKUP(A867,Rackfile_combined!$B:$C,2,false),"")</f>
        <v/>
      </c>
    </row>
    <row r="868">
      <c r="A868" s="186"/>
      <c r="B868" s="186"/>
      <c r="C868" s="186"/>
      <c r="D868" s="186"/>
      <c r="E868" s="186"/>
      <c r="F868" s="186"/>
      <c r="G868" s="186"/>
      <c r="H868" s="186"/>
      <c r="I868" s="186"/>
      <c r="L868" s="185"/>
      <c r="N868" s="185"/>
      <c r="P868" s="4" t="str">
        <f>IF(A868&lt;&gt;"",VLOOKUP(A868,Rackfile_combined!$B:$C,2,false),"")</f>
        <v/>
      </c>
    </row>
    <row r="869">
      <c r="A869" s="186"/>
      <c r="B869" s="186"/>
      <c r="C869" s="186"/>
      <c r="D869" s="186"/>
      <c r="E869" s="186"/>
      <c r="F869" s="186"/>
      <c r="G869" s="186"/>
      <c r="H869" s="186"/>
      <c r="I869" s="186"/>
      <c r="L869" s="185"/>
      <c r="N869" s="185"/>
      <c r="P869" s="4" t="str">
        <f>IF(A869&lt;&gt;"",VLOOKUP(A869,Rackfile_combined!$B:$C,2,false),"")</f>
        <v/>
      </c>
    </row>
    <row r="870">
      <c r="A870" s="186"/>
      <c r="B870" s="186"/>
      <c r="C870" s="186"/>
      <c r="D870" s="186"/>
      <c r="E870" s="186"/>
      <c r="F870" s="186"/>
      <c r="G870" s="186"/>
      <c r="H870" s="186"/>
      <c r="I870" s="186"/>
      <c r="L870" s="185"/>
      <c r="N870" s="185"/>
      <c r="P870" s="4" t="str">
        <f>IF(A870&lt;&gt;"",VLOOKUP(A870,Rackfile_combined!$B:$C,2,false),"")</f>
        <v/>
      </c>
    </row>
    <row r="871">
      <c r="A871" s="186"/>
      <c r="B871" s="186"/>
      <c r="C871" s="186"/>
      <c r="D871" s="186"/>
      <c r="E871" s="186"/>
      <c r="F871" s="186"/>
      <c r="G871" s="186"/>
      <c r="H871" s="186"/>
      <c r="I871" s="186"/>
      <c r="L871" s="185"/>
      <c r="N871" s="185"/>
      <c r="P871" s="4" t="str">
        <f>IF(A871&lt;&gt;"",VLOOKUP(A871,Rackfile_combined!$B:$C,2,false),"")</f>
        <v/>
      </c>
    </row>
    <row r="872">
      <c r="A872" s="186"/>
      <c r="B872" s="186"/>
      <c r="C872" s="186"/>
      <c r="D872" s="186"/>
      <c r="E872" s="186"/>
      <c r="F872" s="186"/>
      <c r="G872" s="186"/>
      <c r="H872" s="186"/>
      <c r="I872" s="186"/>
      <c r="L872" s="185"/>
      <c r="N872" s="185"/>
      <c r="P872" s="4" t="str">
        <f>IF(A872&lt;&gt;"",VLOOKUP(A872,Rackfile_combined!$B:$C,2,false),"")</f>
        <v/>
      </c>
    </row>
    <row r="873">
      <c r="A873" s="186"/>
      <c r="B873" s="186"/>
      <c r="C873" s="186"/>
      <c r="D873" s="186"/>
      <c r="E873" s="186"/>
      <c r="F873" s="186"/>
      <c r="G873" s="186"/>
      <c r="H873" s="186"/>
      <c r="I873" s="186"/>
      <c r="L873" s="185"/>
      <c r="N873" s="185"/>
      <c r="P873" s="4" t="str">
        <f>IF(A873&lt;&gt;"",VLOOKUP(A873,Rackfile_combined!$B:$C,2,false),"")</f>
        <v/>
      </c>
    </row>
    <row r="874">
      <c r="A874" s="186"/>
      <c r="B874" s="186"/>
      <c r="C874" s="186"/>
      <c r="D874" s="186"/>
      <c r="E874" s="186"/>
      <c r="F874" s="186"/>
      <c r="G874" s="186"/>
      <c r="H874" s="186"/>
      <c r="I874" s="186"/>
      <c r="L874" s="185"/>
      <c r="N874" s="185"/>
      <c r="P874" s="4" t="str">
        <f>IF(A874&lt;&gt;"",VLOOKUP(A874,Rackfile_combined!$B:$C,2,false),"")</f>
        <v/>
      </c>
    </row>
    <row r="875">
      <c r="A875" s="186"/>
      <c r="B875" s="186"/>
      <c r="C875" s="186"/>
      <c r="D875" s="186"/>
      <c r="E875" s="186"/>
      <c r="F875" s="186"/>
      <c r="G875" s="186"/>
      <c r="H875" s="186"/>
      <c r="I875" s="186"/>
      <c r="L875" s="185"/>
      <c r="N875" s="185"/>
      <c r="P875" s="4" t="str">
        <f>IF(A875&lt;&gt;"",VLOOKUP(A875,Rackfile_combined!$B:$C,2,false),"")</f>
        <v/>
      </c>
    </row>
    <row r="876">
      <c r="A876" s="186"/>
      <c r="B876" s="186"/>
      <c r="C876" s="186"/>
      <c r="D876" s="186"/>
      <c r="E876" s="186"/>
      <c r="F876" s="186"/>
      <c r="G876" s="186"/>
      <c r="H876" s="186"/>
      <c r="I876" s="186"/>
      <c r="L876" s="185"/>
      <c r="N876" s="185"/>
      <c r="P876" s="4" t="str">
        <f>IF(A876&lt;&gt;"",VLOOKUP(A876,Rackfile_combined!$B:$C,2,false),"")</f>
        <v/>
      </c>
    </row>
    <row r="877">
      <c r="A877" s="186"/>
      <c r="B877" s="186"/>
      <c r="C877" s="186"/>
      <c r="D877" s="186"/>
      <c r="E877" s="186"/>
      <c r="F877" s="186"/>
      <c r="G877" s="186"/>
      <c r="H877" s="186"/>
      <c r="I877" s="186"/>
      <c r="L877" s="185"/>
      <c r="N877" s="185"/>
      <c r="P877" s="4" t="str">
        <f>IF(A877&lt;&gt;"",VLOOKUP(A877,Rackfile_combined!$B:$C,2,false),"")</f>
        <v/>
      </c>
    </row>
    <row r="878">
      <c r="A878" s="186"/>
      <c r="B878" s="186"/>
      <c r="C878" s="186"/>
      <c r="D878" s="186"/>
      <c r="E878" s="186"/>
      <c r="F878" s="186"/>
      <c r="G878" s="186"/>
      <c r="H878" s="186"/>
      <c r="I878" s="186"/>
      <c r="L878" s="185"/>
      <c r="N878" s="185"/>
      <c r="P878" s="4" t="str">
        <f>IF(A878&lt;&gt;"",VLOOKUP(A878,Rackfile_combined!$B:$C,2,false),"")</f>
        <v/>
      </c>
    </row>
    <row r="879">
      <c r="A879" s="186"/>
      <c r="B879" s="186"/>
      <c r="C879" s="186"/>
      <c r="D879" s="186"/>
      <c r="E879" s="186"/>
      <c r="F879" s="186"/>
      <c r="G879" s="186"/>
      <c r="H879" s="186"/>
      <c r="I879" s="186"/>
      <c r="L879" s="185"/>
      <c r="N879" s="185"/>
      <c r="P879" s="4" t="str">
        <f>IF(A879&lt;&gt;"",VLOOKUP(A879,Rackfile_combined!$B:$C,2,false),"")</f>
        <v/>
      </c>
    </row>
    <row r="880">
      <c r="A880" s="186"/>
      <c r="B880" s="186"/>
      <c r="C880" s="186"/>
      <c r="D880" s="186"/>
      <c r="E880" s="186"/>
      <c r="F880" s="186"/>
      <c r="G880" s="186"/>
      <c r="H880" s="186"/>
      <c r="I880" s="186"/>
      <c r="L880" s="185"/>
      <c r="N880" s="185"/>
      <c r="P880" s="4" t="str">
        <f>IF(A880&lt;&gt;"",VLOOKUP(A880,Rackfile_combined!$B:$C,2,false),"")</f>
        <v/>
      </c>
    </row>
    <row r="881">
      <c r="A881" s="186"/>
      <c r="B881" s="186"/>
      <c r="C881" s="186"/>
      <c r="D881" s="186"/>
      <c r="E881" s="186"/>
      <c r="F881" s="186"/>
      <c r="G881" s="186"/>
      <c r="H881" s="186"/>
      <c r="I881" s="186"/>
      <c r="L881" s="185"/>
      <c r="N881" s="185"/>
      <c r="P881" s="4" t="str">
        <f>IF(A881&lt;&gt;"",VLOOKUP(A881,Rackfile_combined!$B:$C,2,false),"")</f>
        <v/>
      </c>
    </row>
    <row r="882">
      <c r="A882" s="186"/>
      <c r="B882" s="186"/>
      <c r="C882" s="186"/>
      <c r="D882" s="186"/>
      <c r="E882" s="186"/>
      <c r="F882" s="186"/>
      <c r="G882" s="186"/>
      <c r="H882" s="186"/>
      <c r="I882" s="186"/>
      <c r="L882" s="185"/>
      <c r="N882" s="185"/>
      <c r="P882" s="4" t="str">
        <f>IF(A882&lt;&gt;"",VLOOKUP(A882,Rackfile_combined!$B:$C,2,false),"")</f>
        <v/>
      </c>
    </row>
    <row r="883">
      <c r="A883" s="186"/>
      <c r="B883" s="186"/>
      <c r="C883" s="186"/>
      <c r="D883" s="186"/>
      <c r="E883" s="186"/>
      <c r="F883" s="186"/>
      <c r="G883" s="186"/>
      <c r="H883" s="186"/>
      <c r="I883" s="186"/>
      <c r="L883" s="185"/>
      <c r="N883" s="185"/>
      <c r="P883" s="4" t="str">
        <f>IF(A883&lt;&gt;"",VLOOKUP(A883,Rackfile_combined!$B:$C,2,false),"")</f>
        <v/>
      </c>
    </row>
    <row r="884">
      <c r="A884" s="186"/>
      <c r="B884" s="186"/>
      <c r="C884" s="186"/>
      <c r="D884" s="186"/>
      <c r="E884" s="186"/>
      <c r="F884" s="186"/>
      <c r="G884" s="186"/>
      <c r="H884" s="186"/>
      <c r="I884" s="186"/>
      <c r="L884" s="185"/>
      <c r="N884" s="185"/>
      <c r="P884" s="4" t="str">
        <f>IF(A884&lt;&gt;"",VLOOKUP(A884,Rackfile_combined!$B:$C,2,false),"")</f>
        <v/>
      </c>
    </row>
    <row r="885">
      <c r="A885" s="186"/>
      <c r="B885" s="186"/>
      <c r="C885" s="186"/>
      <c r="D885" s="186"/>
      <c r="E885" s="186"/>
      <c r="F885" s="186"/>
      <c r="G885" s="186"/>
      <c r="H885" s="186"/>
      <c r="I885" s="186"/>
      <c r="L885" s="185"/>
      <c r="N885" s="185"/>
      <c r="P885" s="4" t="str">
        <f>IF(A885&lt;&gt;"",VLOOKUP(A885,Rackfile_combined!$B:$C,2,false),"")</f>
        <v/>
      </c>
    </row>
    <row r="886">
      <c r="A886" s="186"/>
      <c r="B886" s="186"/>
      <c r="C886" s="186"/>
      <c r="D886" s="186"/>
      <c r="E886" s="186"/>
      <c r="F886" s="186"/>
      <c r="G886" s="186"/>
      <c r="H886" s="186"/>
      <c r="I886" s="186"/>
      <c r="L886" s="185"/>
      <c r="N886" s="185"/>
      <c r="P886" s="4" t="str">
        <f>IF(A886&lt;&gt;"",VLOOKUP(A886,Rackfile_combined!$B:$C,2,false),"")</f>
        <v/>
      </c>
    </row>
    <row r="887">
      <c r="A887" s="186"/>
      <c r="B887" s="186"/>
      <c r="C887" s="186"/>
      <c r="D887" s="186"/>
      <c r="E887" s="186"/>
      <c r="F887" s="186"/>
      <c r="G887" s="186"/>
      <c r="H887" s="186"/>
      <c r="I887" s="186"/>
      <c r="L887" s="185"/>
      <c r="N887" s="185"/>
      <c r="P887" s="4" t="str">
        <f>IF(A887&lt;&gt;"",VLOOKUP(A887,Rackfile_combined!$B:$C,2,false),"")</f>
        <v/>
      </c>
    </row>
    <row r="888">
      <c r="A888" s="186"/>
      <c r="B888" s="186"/>
      <c r="C888" s="186"/>
      <c r="D888" s="186"/>
      <c r="E888" s="186"/>
      <c r="F888" s="186"/>
      <c r="G888" s="186"/>
      <c r="H888" s="186"/>
      <c r="I888" s="186"/>
      <c r="L888" s="185"/>
      <c r="N888" s="185"/>
      <c r="P888" s="4" t="str">
        <f>IF(A888&lt;&gt;"",VLOOKUP(A888,Rackfile_combined!$B:$C,2,false),"")</f>
        <v/>
      </c>
    </row>
    <row r="889">
      <c r="A889" s="186"/>
      <c r="B889" s="186"/>
      <c r="C889" s="186"/>
      <c r="D889" s="186"/>
      <c r="E889" s="186"/>
      <c r="F889" s="186"/>
      <c r="G889" s="186"/>
      <c r="H889" s="186"/>
      <c r="I889" s="186"/>
      <c r="L889" s="185"/>
      <c r="N889" s="185"/>
      <c r="P889" s="4" t="str">
        <f>IF(A889&lt;&gt;"",VLOOKUP(A889,Rackfile_combined!$B:$C,2,false),"")</f>
        <v/>
      </c>
    </row>
    <row r="890">
      <c r="A890" s="186"/>
      <c r="B890" s="186"/>
      <c r="C890" s="186"/>
      <c r="D890" s="186"/>
      <c r="E890" s="186"/>
      <c r="F890" s="186"/>
      <c r="G890" s="186"/>
      <c r="H890" s="186"/>
      <c r="I890" s="186"/>
      <c r="L890" s="185"/>
      <c r="N890" s="185"/>
      <c r="P890" s="4" t="str">
        <f>IF(A890&lt;&gt;"",VLOOKUP(A890,Rackfile_combined!$B:$C,2,false),"")</f>
        <v/>
      </c>
    </row>
    <row r="891">
      <c r="A891" s="186"/>
      <c r="B891" s="186"/>
      <c r="C891" s="186"/>
      <c r="D891" s="186"/>
      <c r="E891" s="186"/>
      <c r="F891" s="186"/>
      <c r="G891" s="186"/>
      <c r="H891" s="186"/>
      <c r="I891" s="186"/>
      <c r="L891" s="185"/>
      <c r="N891" s="185"/>
      <c r="P891" s="4" t="str">
        <f>IF(A891&lt;&gt;"",VLOOKUP(A891,Rackfile_combined!$B:$C,2,false),"")</f>
        <v/>
      </c>
    </row>
    <row r="892">
      <c r="A892" s="186"/>
      <c r="B892" s="186"/>
      <c r="C892" s="186"/>
      <c r="D892" s="186"/>
      <c r="E892" s="186"/>
      <c r="F892" s="186"/>
      <c r="G892" s="186"/>
      <c r="H892" s="186"/>
      <c r="I892" s="186"/>
      <c r="L892" s="185"/>
      <c r="N892" s="185"/>
      <c r="P892" s="4" t="str">
        <f>IF(A892&lt;&gt;"",VLOOKUP(A892,Rackfile_combined!$B:$C,2,false),"")</f>
        <v/>
      </c>
    </row>
    <row r="893">
      <c r="A893" s="186"/>
      <c r="B893" s="186"/>
      <c r="C893" s="186"/>
      <c r="D893" s="186"/>
      <c r="E893" s="186"/>
      <c r="F893" s="186"/>
      <c r="G893" s="186"/>
      <c r="H893" s="186"/>
      <c r="I893" s="186"/>
      <c r="L893" s="185"/>
      <c r="N893" s="185"/>
      <c r="P893" s="4" t="str">
        <f>IF(A893&lt;&gt;"",VLOOKUP(A893,Rackfile_combined!$B:$C,2,false),"")</f>
        <v/>
      </c>
    </row>
    <row r="894">
      <c r="A894" s="186"/>
      <c r="B894" s="186"/>
      <c r="C894" s="186"/>
      <c r="D894" s="186"/>
      <c r="E894" s="186"/>
      <c r="F894" s="186"/>
      <c r="G894" s="186"/>
      <c r="H894" s="186"/>
      <c r="I894" s="186"/>
      <c r="L894" s="185"/>
      <c r="N894" s="185"/>
      <c r="P894" s="4" t="str">
        <f>IF(A894&lt;&gt;"",VLOOKUP(A894,Rackfile_combined!$B:$C,2,false),"")</f>
        <v/>
      </c>
    </row>
    <row r="895">
      <c r="A895" s="186"/>
      <c r="B895" s="186"/>
      <c r="C895" s="186"/>
      <c r="D895" s="186"/>
      <c r="E895" s="186"/>
      <c r="F895" s="186"/>
      <c r="G895" s="186"/>
      <c r="H895" s="186"/>
      <c r="I895" s="186"/>
      <c r="L895" s="185"/>
      <c r="N895" s="185"/>
      <c r="P895" s="4" t="str">
        <f>IF(A895&lt;&gt;"",VLOOKUP(A895,Rackfile_combined!$B:$C,2,false),"")</f>
        <v/>
      </c>
    </row>
    <row r="896">
      <c r="A896" s="186"/>
      <c r="B896" s="186"/>
      <c r="C896" s="186"/>
      <c r="D896" s="186"/>
      <c r="E896" s="186"/>
      <c r="F896" s="186"/>
      <c r="G896" s="186"/>
      <c r="H896" s="186"/>
      <c r="I896" s="186"/>
      <c r="L896" s="185"/>
      <c r="N896" s="185"/>
      <c r="P896" s="4" t="str">
        <f>IF(A896&lt;&gt;"",VLOOKUP(A896,Rackfile_combined!$B:$C,2,false),"")</f>
        <v/>
      </c>
    </row>
    <row r="897">
      <c r="A897" s="186"/>
      <c r="B897" s="186"/>
      <c r="C897" s="186"/>
      <c r="D897" s="186"/>
      <c r="E897" s="186"/>
      <c r="F897" s="186"/>
      <c r="G897" s="186"/>
      <c r="H897" s="186"/>
      <c r="I897" s="186"/>
      <c r="L897" s="185"/>
      <c r="N897" s="185"/>
      <c r="P897" s="4" t="str">
        <f>IF(A897&lt;&gt;"",VLOOKUP(A897,Rackfile_combined!$B:$C,2,false),"")</f>
        <v/>
      </c>
    </row>
    <row r="898">
      <c r="A898" s="186"/>
      <c r="B898" s="186"/>
      <c r="C898" s="186"/>
      <c r="D898" s="186"/>
      <c r="E898" s="186"/>
      <c r="F898" s="186"/>
      <c r="G898" s="186"/>
      <c r="H898" s="186"/>
      <c r="I898" s="186"/>
      <c r="L898" s="185"/>
      <c r="N898" s="185"/>
      <c r="P898" s="4" t="str">
        <f>IF(A898&lt;&gt;"",VLOOKUP(A898,Rackfile_combined!$B:$C,2,false),"")</f>
        <v/>
      </c>
    </row>
    <row r="899">
      <c r="A899" s="186"/>
      <c r="B899" s="186"/>
      <c r="C899" s="186"/>
      <c r="D899" s="186"/>
      <c r="E899" s="186"/>
      <c r="F899" s="186"/>
      <c r="G899" s="186"/>
      <c r="H899" s="186"/>
      <c r="I899" s="186"/>
      <c r="L899" s="185"/>
      <c r="N899" s="185"/>
      <c r="P899" s="4" t="str">
        <f>IF(A899&lt;&gt;"",VLOOKUP(A899,Rackfile_combined!$B:$C,2,false),"")</f>
        <v/>
      </c>
    </row>
    <row r="900">
      <c r="A900" s="186"/>
      <c r="B900" s="186"/>
      <c r="C900" s="186"/>
      <c r="D900" s="186"/>
      <c r="E900" s="186"/>
      <c r="F900" s="186"/>
      <c r="G900" s="186"/>
      <c r="H900" s="186"/>
      <c r="I900" s="186"/>
      <c r="L900" s="185"/>
      <c r="N900" s="185"/>
      <c r="P900" s="4" t="str">
        <f>IF(A900&lt;&gt;"",VLOOKUP(A900,Rackfile_combined!$B:$C,2,false),"")</f>
        <v/>
      </c>
    </row>
    <row r="901">
      <c r="A901" s="186"/>
      <c r="B901" s="186"/>
      <c r="C901" s="186"/>
      <c r="D901" s="186"/>
      <c r="E901" s="186"/>
      <c r="F901" s="186"/>
      <c r="G901" s="186"/>
      <c r="H901" s="186"/>
      <c r="I901" s="186"/>
      <c r="L901" s="185"/>
      <c r="N901" s="185"/>
      <c r="P901" s="4" t="str">
        <f>IF(A901&lt;&gt;"",VLOOKUP(A901,Rackfile_combined!$B:$C,2,false),"")</f>
        <v/>
      </c>
    </row>
    <row r="902">
      <c r="A902" s="186"/>
      <c r="B902" s="186"/>
      <c r="C902" s="186"/>
      <c r="D902" s="186"/>
      <c r="E902" s="186"/>
      <c r="F902" s="186"/>
      <c r="G902" s="186"/>
      <c r="H902" s="186"/>
      <c r="I902" s="186"/>
      <c r="L902" s="185"/>
      <c r="N902" s="185"/>
      <c r="P902" s="4" t="str">
        <f>IF(A902&lt;&gt;"",VLOOKUP(A902,Rackfile_combined!$B:$C,2,false),"")</f>
        <v/>
      </c>
    </row>
    <row r="903">
      <c r="A903" s="186"/>
      <c r="B903" s="186"/>
      <c r="C903" s="186"/>
      <c r="D903" s="186"/>
      <c r="E903" s="186"/>
      <c r="F903" s="186"/>
      <c r="G903" s="186"/>
      <c r="H903" s="186"/>
      <c r="I903" s="186"/>
      <c r="L903" s="185"/>
      <c r="N903" s="185"/>
      <c r="P903" s="4" t="str">
        <f>IF(A903&lt;&gt;"",VLOOKUP(A903,Rackfile_combined!$B:$C,2,false),"")</f>
        <v/>
      </c>
    </row>
    <row r="904">
      <c r="A904" s="186"/>
      <c r="B904" s="186"/>
      <c r="C904" s="186"/>
      <c r="D904" s="186"/>
      <c r="E904" s="186"/>
      <c r="F904" s="186"/>
      <c r="G904" s="186"/>
      <c r="H904" s="186"/>
      <c r="I904" s="186"/>
      <c r="L904" s="185"/>
      <c r="N904" s="185"/>
      <c r="P904" s="4" t="str">
        <f>IF(A904&lt;&gt;"",VLOOKUP(A904,Rackfile_combined!$B:$C,2,false),"")</f>
        <v/>
      </c>
    </row>
    <row r="905">
      <c r="A905" s="186"/>
      <c r="B905" s="186"/>
      <c r="C905" s="186"/>
      <c r="D905" s="186"/>
      <c r="E905" s="186"/>
      <c r="F905" s="186"/>
      <c r="G905" s="186"/>
      <c r="H905" s="186"/>
      <c r="I905" s="186"/>
      <c r="L905" s="185"/>
      <c r="N905" s="185"/>
      <c r="P905" s="4" t="str">
        <f>IF(A905&lt;&gt;"",VLOOKUP(A905,Rackfile_combined!$B:$C,2,false),"")</f>
        <v/>
      </c>
    </row>
    <row r="906">
      <c r="A906" s="186"/>
      <c r="B906" s="186"/>
      <c r="C906" s="186"/>
      <c r="D906" s="186"/>
      <c r="E906" s="186"/>
      <c r="F906" s="186"/>
      <c r="G906" s="186"/>
      <c r="H906" s="186"/>
      <c r="I906" s="186"/>
      <c r="L906" s="185"/>
      <c r="N906" s="185"/>
      <c r="P906" s="4" t="str">
        <f>IF(A906&lt;&gt;"",VLOOKUP(A906,Rackfile_combined!$B:$C,2,false),"")</f>
        <v/>
      </c>
    </row>
    <row r="907">
      <c r="A907" s="186"/>
      <c r="B907" s="186"/>
      <c r="C907" s="186"/>
      <c r="D907" s="186"/>
      <c r="E907" s="186"/>
      <c r="F907" s="186"/>
      <c r="G907" s="186"/>
      <c r="H907" s="186"/>
      <c r="I907" s="186"/>
      <c r="L907" s="185"/>
      <c r="N907" s="185"/>
      <c r="P907" s="4" t="str">
        <f>IF(A907&lt;&gt;"",VLOOKUP(A907,Rackfile_combined!$B:$C,2,false),"")</f>
        <v/>
      </c>
    </row>
    <row r="908">
      <c r="A908" s="186"/>
      <c r="B908" s="186"/>
      <c r="C908" s="186"/>
      <c r="D908" s="186"/>
      <c r="E908" s="186"/>
      <c r="F908" s="186"/>
      <c r="G908" s="186"/>
      <c r="H908" s="186"/>
      <c r="I908" s="186"/>
      <c r="L908" s="185"/>
      <c r="N908" s="185"/>
      <c r="P908" s="4" t="str">
        <f>IF(A908&lt;&gt;"",VLOOKUP(A908,Rackfile_combined!$B:$C,2,false),"")</f>
        <v/>
      </c>
    </row>
    <row r="909">
      <c r="A909" s="186"/>
      <c r="B909" s="186"/>
      <c r="C909" s="186"/>
      <c r="D909" s="186"/>
      <c r="E909" s="186"/>
      <c r="F909" s="186"/>
      <c r="G909" s="186"/>
      <c r="H909" s="186"/>
      <c r="I909" s="186"/>
      <c r="L909" s="185"/>
      <c r="N909" s="185"/>
      <c r="P909" s="4" t="str">
        <f>IF(A909&lt;&gt;"",VLOOKUP(A909,Rackfile_combined!$B:$C,2,false),"")</f>
        <v/>
      </c>
    </row>
    <row r="910">
      <c r="A910" s="186"/>
      <c r="B910" s="186"/>
      <c r="C910" s="186"/>
      <c r="D910" s="186"/>
      <c r="E910" s="186"/>
      <c r="F910" s="186"/>
      <c r="G910" s="186"/>
      <c r="H910" s="186"/>
      <c r="I910" s="186"/>
      <c r="L910" s="185"/>
      <c r="N910" s="185"/>
      <c r="P910" s="4" t="str">
        <f>IF(A910&lt;&gt;"",VLOOKUP(A910,Rackfile_combined!$B:$C,2,false),"")</f>
        <v/>
      </c>
    </row>
    <row r="911">
      <c r="A911" s="186"/>
      <c r="B911" s="186"/>
      <c r="C911" s="186"/>
      <c r="D911" s="186"/>
      <c r="E911" s="186"/>
      <c r="F911" s="186"/>
      <c r="G911" s="186"/>
      <c r="H911" s="186"/>
      <c r="I911" s="186"/>
      <c r="L911" s="185"/>
      <c r="N911" s="185"/>
      <c r="P911" s="4" t="str">
        <f>IF(A911&lt;&gt;"",VLOOKUP(A911,Rackfile_combined!$B:$C,2,false),"")</f>
        <v/>
      </c>
    </row>
    <row r="912">
      <c r="A912" s="186"/>
      <c r="B912" s="186"/>
      <c r="C912" s="186"/>
      <c r="D912" s="186"/>
      <c r="E912" s="186"/>
      <c r="F912" s="186"/>
      <c r="G912" s="186"/>
      <c r="H912" s="186"/>
      <c r="I912" s="186"/>
      <c r="L912" s="185"/>
      <c r="N912" s="185"/>
      <c r="P912" s="4" t="str">
        <f>IF(A912&lt;&gt;"",VLOOKUP(A912,Rackfile_combined!$B:$C,2,false),"")</f>
        <v/>
      </c>
    </row>
    <row r="913">
      <c r="A913" s="186"/>
      <c r="B913" s="186"/>
      <c r="C913" s="186"/>
      <c r="D913" s="186"/>
      <c r="E913" s="186"/>
      <c r="F913" s="186"/>
      <c r="G913" s="186"/>
      <c r="H913" s="186"/>
      <c r="I913" s="186"/>
      <c r="L913" s="185"/>
      <c r="N913" s="185"/>
      <c r="P913" s="4" t="str">
        <f>IF(A913&lt;&gt;"",VLOOKUP(A913,Rackfile_combined!$B:$C,2,false),"")</f>
        <v/>
      </c>
    </row>
    <row r="914">
      <c r="A914" s="186"/>
      <c r="B914" s="186"/>
      <c r="C914" s="186"/>
      <c r="D914" s="186"/>
      <c r="E914" s="186"/>
      <c r="F914" s="186"/>
      <c r="G914" s="186"/>
      <c r="H914" s="186"/>
      <c r="I914" s="186"/>
      <c r="L914" s="185"/>
      <c r="N914" s="185"/>
      <c r="P914" s="4" t="str">
        <f>IF(A914&lt;&gt;"",VLOOKUP(A914,Rackfile_combined!$B:$C,2,false),"")</f>
        <v/>
      </c>
    </row>
    <row r="915">
      <c r="A915" s="186"/>
      <c r="B915" s="186"/>
      <c r="C915" s="186"/>
      <c r="D915" s="186"/>
      <c r="E915" s="186"/>
      <c r="F915" s="186"/>
      <c r="G915" s="186"/>
      <c r="H915" s="186"/>
      <c r="I915" s="186"/>
      <c r="L915" s="185"/>
      <c r="N915" s="185"/>
      <c r="P915" s="4" t="str">
        <f>IF(A915&lt;&gt;"",VLOOKUP(A915,Rackfile_combined!$B:$C,2,false),"")</f>
        <v/>
      </c>
    </row>
    <row r="916">
      <c r="A916" s="186"/>
      <c r="B916" s="186"/>
      <c r="C916" s="186"/>
      <c r="D916" s="186"/>
      <c r="E916" s="186"/>
      <c r="F916" s="186"/>
      <c r="G916" s="186"/>
      <c r="H916" s="186"/>
      <c r="I916" s="186"/>
      <c r="L916" s="185"/>
      <c r="N916" s="185"/>
      <c r="P916" s="4" t="str">
        <f>IF(A916&lt;&gt;"",VLOOKUP(A916,Rackfile_combined!$B:$C,2,false),"")</f>
        <v/>
      </c>
    </row>
    <row r="917">
      <c r="A917" s="186"/>
      <c r="B917" s="186"/>
      <c r="C917" s="186"/>
      <c r="D917" s="186"/>
      <c r="E917" s="186"/>
      <c r="F917" s="186"/>
      <c r="G917" s="186"/>
      <c r="H917" s="186"/>
      <c r="I917" s="186"/>
      <c r="L917" s="185"/>
      <c r="N917" s="185"/>
      <c r="P917" s="4" t="str">
        <f>IF(A917&lt;&gt;"",VLOOKUP(A917,Rackfile_combined!$B:$C,2,false),"")</f>
        <v/>
      </c>
    </row>
    <row r="918">
      <c r="A918" s="186"/>
      <c r="B918" s="186"/>
      <c r="C918" s="186"/>
      <c r="D918" s="186"/>
      <c r="E918" s="186"/>
      <c r="F918" s="186"/>
      <c r="G918" s="186"/>
      <c r="H918" s="186"/>
      <c r="I918" s="186"/>
      <c r="L918" s="185"/>
      <c r="N918" s="185"/>
      <c r="P918" s="4" t="str">
        <f>IF(A918&lt;&gt;"",VLOOKUP(A918,Rackfile_combined!$B:$C,2,false),"")</f>
        <v/>
      </c>
    </row>
    <row r="919">
      <c r="A919" s="186"/>
      <c r="B919" s="186"/>
      <c r="C919" s="186"/>
      <c r="D919" s="186"/>
      <c r="E919" s="186"/>
      <c r="F919" s="186"/>
      <c r="G919" s="186"/>
      <c r="H919" s="186"/>
      <c r="I919" s="186"/>
      <c r="L919" s="185"/>
      <c r="N919" s="185"/>
      <c r="P919" s="4" t="str">
        <f>IF(A919&lt;&gt;"",VLOOKUP(A919,Rackfile_combined!$B:$C,2,false),"")</f>
        <v/>
      </c>
    </row>
    <row r="920">
      <c r="A920" s="186"/>
      <c r="B920" s="186"/>
      <c r="C920" s="186"/>
      <c r="D920" s="186"/>
      <c r="E920" s="186"/>
      <c r="F920" s="186"/>
      <c r="G920" s="186"/>
      <c r="H920" s="186"/>
      <c r="I920" s="186"/>
      <c r="L920" s="185"/>
      <c r="N920" s="185"/>
      <c r="P920" s="4" t="str">
        <f>IF(A920&lt;&gt;"",VLOOKUP(A920,Rackfile_combined!$B:$C,2,false),"")</f>
        <v/>
      </c>
    </row>
    <row r="921">
      <c r="A921" s="186"/>
      <c r="B921" s="186"/>
      <c r="C921" s="186"/>
      <c r="D921" s="186"/>
      <c r="E921" s="186"/>
      <c r="F921" s="186"/>
      <c r="G921" s="186"/>
      <c r="H921" s="186"/>
      <c r="I921" s="186"/>
      <c r="L921" s="185"/>
      <c r="N921" s="185"/>
      <c r="P921" s="4" t="str">
        <f>IF(A921&lt;&gt;"",VLOOKUP(A921,Rackfile_combined!$B:$C,2,false),"")</f>
        <v/>
      </c>
    </row>
    <row r="922">
      <c r="A922" s="186"/>
      <c r="B922" s="186"/>
      <c r="C922" s="186"/>
      <c r="D922" s="186"/>
      <c r="E922" s="186"/>
      <c r="F922" s="186"/>
      <c r="G922" s="186"/>
      <c r="H922" s="186"/>
      <c r="I922" s="186"/>
      <c r="L922" s="185"/>
      <c r="N922" s="185"/>
      <c r="P922" s="4" t="str">
        <f>IF(A922&lt;&gt;"",VLOOKUP(A922,Rackfile_combined!$B:$C,2,false),"")</f>
        <v/>
      </c>
    </row>
    <row r="923">
      <c r="A923" s="186"/>
      <c r="B923" s="186"/>
      <c r="C923" s="186"/>
      <c r="D923" s="186"/>
      <c r="E923" s="186"/>
      <c r="F923" s="186"/>
      <c r="G923" s="186"/>
      <c r="H923" s="186"/>
      <c r="I923" s="186"/>
      <c r="L923" s="185"/>
      <c r="N923" s="185"/>
      <c r="P923" s="4" t="str">
        <f>IF(A923&lt;&gt;"",VLOOKUP(A923,Rackfile_combined!$B:$C,2,false),"")</f>
        <v/>
      </c>
    </row>
    <row r="924">
      <c r="A924" s="186"/>
      <c r="B924" s="186"/>
      <c r="C924" s="186"/>
      <c r="D924" s="186"/>
      <c r="E924" s="186"/>
      <c r="F924" s="186"/>
      <c r="G924" s="186"/>
      <c r="H924" s="186"/>
      <c r="I924" s="186"/>
      <c r="L924" s="185"/>
      <c r="N924" s="185"/>
      <c r="P924" s="4" t="str">
        <f>IF(A924&lt;&gt;"",VLOOKUP(A924,Rackfile_combined!$B:$C,2,false),"")</f>
        <v/>
      </c>
    </row>
    <row r="925">
      <c r="A925" s="186"/>
      <c r="B925" s="186"/>
      <c r="C925" s="186"/>
      <c r="D925" s="186"/>
      <c r="E925" s="186"/>
      <c r="F925" s="186"/>
      <c r="G925" s="186"/>
      <c r="H925" s="186"/>
      <c r="I925" s="186"/>
      <c r="L925" s="185"/>
      <c r="N925" s="185"/>
      <c r="P925" s="4" t="str">
        <f>IF(A925&lt;&gt;"",VLOOKUP(A925,Rackfile_combined!$B:$C,2,false),"")</f>
        <v/>
      </c>
    </row>
    <row r="926">
      <c r="A926" s="186"/>
      <c r="B926" s="186"/>
      <c r="C926" s="186"/>
      <c r="D926" s="186"/>
      <c r="E926" s="186"/>
      <c r="F926" s="186"/>
      <c r="G926" s="186"/>
      <c r="H926" s="186"/>
      <c r="I926" s="186"/>
      <c r="L926" s="185"/>
      <c r="N926" s="185"/>
      <c r="P926" s="4" t="str">
        <f>IF(A926&lt;&gt;"",VLOOKUP(A926,Rackfile_combined!$B:$C,2,false),"")</f>
        <v/>
      </c>
    </row>
    <row r="927">
      <c r="A927" s="186"/>
      <c r="B927" s="186"/>
      <c r="C927" s="186"/>
      <c r="D927" s="186"/>
      <c r="E927" s="186"/>
      <c r="F927" s="186"/>
      <c r="G927" s="186"/>
      <c r="H927" s="186"/>
      <c r="I927" s="186"/>
      <c r="L927" s="185"/>
      <c r="N927" s="185"/>
      <c r="P927" s="4" t="str">
        <f>IF(A927&lt;&gt;"",VLOOKUP(A927,Rackfile_combined!$B:$C,2,false),"")</f>
        <v/>
      </c>
    </row>
    <row r="928">
      <c r="A928" s="186"/>
      <c r="B928" s="186"/>
      <c r="C928" s="186"/>
      <c r="D928" s="186"/>
      <c r="E928" s="186"/>
      <c r="F928" s="186"/>
      <c r="G928" s="186"/>
      <c r="H928" s="186"/>
      <c r="I928" s="186"/>
      <c r="L928" s="185"/>
      <c r="N928" s="185"/>
      <c r="P928" s="4" t="str">
        <f>IF(A928&lt;&gt;"",VLOOKUP(A928,Rackfile_combined!$B:$C,2,false),"")</f>
        <v/>
      </c>
    </row>
    <row r="929">
      <c r="A929" s="186"/>
      <c r="B929" s="186"/>
      <c r="C929" s="186"/>
      <c r="D929" s="186"/>
      <c r="E929" s="186"/>
      <c r="F929" s="186"/>
      <c r="G929" s="186"/>
      <c r="H929" s="186"/>
      <c r="I929" s="186"/>
      <c r="L929" s="185"/>
      <c r="N929" s="185"/>
      <c r="P929" s="4" t="str">
        <f>IF(A929&lt;&gt;"",VLOOKUP(A929,Rackfile_combined!$B:$C,2,false),"")</f>
        <v/>
      </c>
    </row>
    <row r="930">
      <c r="A930" s="186"/>
      <c r="B930" s="186"/>
      <c r="C930" s="186"/>
      <c r="D930" s="186"/>
      <c r="E930" s="186"/>
      <c r="F930" s="186"/>
      <c r="G930" s="186"/>
      <c r="H930" s="186"/>
      <c r="I930" s="186"/>
      <c r="L930" s="185"/>
      <c r="N930" s="185"/>
      <c r="P930" s="4" t="str">
        <f>IF(A930&lt;&gt;"",VLOOKUP(A930,Rackfile_combined!$B:$C,2,false),"")</f>
        <v/>
      </c>
    </row>
    <row r="931">
      <c r="A931" s="186"/>
      <c r="B931" s="186"/>
      <c r="C931" s="186"/>
      <c r="D931" s="186"/>
      <c r="E931" s="186"/>
      <c r="F931" s="186"/>
      <c r="G931" s="186"/>
      <c r="H931" s="186"/>
      <c r="I931" s="186"/>
      <c r="L931" s="185"/>
      <c r="N931" s="185"/>
      <c r="P931" s="4" t="str">
        <f>IF(A931&lt;&gt;"",VLOOKUP(A931,Rackfile_combined!$B:$C,2,false),"")</f>
        <v/>
      </c>
    </row>
    <row r="932">
      <c r="A932" s="186"/>
      <c r="B932" s="186"/>
      <c r="C932" s="186"/>
      <c r="D932" s="186"/>
      <c r="E932" s="186"/>
      <c r="F932" s="186"/>
      <c r="G932" s="186"/>
      <c r="H932" s="186"/>
      <c r="I932" s="186"/>
      <c r="L932" s="185"/>
      <c r="N932" s="185"/>
      <c r="P932" s="4" t="str">
        <f>IF(A932&lt;&gt;"",VLOOKUP(A932,Rackfile_combined!$B:$C,2,false),"")</f>
        <v/>
      </c>
    </row>
    <row r="933">
      <c r="A933" s="186"/>
      <c r="B933" s="186"/>
      <c r="C933" s="186"/>
      <c r="D933" s="186"/>
      <c r="E933" s="186"/>
      <c r="F933" s="186"/>
      <c r="G933" s="186"/>
      <c r="H933" s="186"/>
      <c r="I933" s="186"/>
      <c r="L933" s="185"/>
      <c r="N933" s="185"/>
      <c r="P933" s="4" t="str">
        <f>IF(A933&lt;&gt;"",VLOOKUP(A933,Rackfile_combined!$B:$C,2,false),"")</f>
        <v/>
      </c>
    </row>
    <row r="934">
      <c r="A934" s="186"/>
      <c r="B934" s="186"/>
      <c r="C934" s="186"/>
      <c r="D934" s="186"/>
      <c r="E934" s="186"/>
      <c r="F934" s="186"/>
      <c r="G934" s="186"/>
      <c r="H934" s="186"/>
      <c r="I934" s="186"/>
      <c r="L934" s="185"/>
      <c r="N934" s="185"/>
      <c r="P934" s="4" t="str">
        <f>IF(A934&lt;&gt;"",VLOOKUP(A934,Rackfile_combined!$B:$C,2,false),"")</f>
        <v/>
      </c>
    </row>
    <row r="935">
      <c r="A935" s="186"/>
      <c r="B935" s="186"/>
      <c r="C935" s="186"/>
      <c r="D935" s="186"/>
      <c r="E935" s="186"/>
      <c r="F935" s="186"/>
      <c r="G935" s="186"/>
      <c r="H935" s="186"/>
      <c r="I935" s="186"/>
      <c r="L935" s="185"/>
      <c r="N935" s="185"/>
      <c r="P935" s="4" t="str">
        <f>IF(A935&lt;&gt;"",VLOOKUP(A935,Rackfile_combined!$B:$C,2,false),"")</f>
        <v/>
      </c>
    </row>
    <row r="936">
      <c r="A936" s="186"/>
      <c r="B936" s="186"/>
      <c r="C936" s="186"/>
      <c r="D936" s="186"/>
      <c r="E936" s="186"/>
      <c r="F936" s="186"/>
      <c r="G936" s="186"/>
      <c r="H936" s="186"/>
      <c r="I936" s="186"/>
      <c r="L936" s="185"/>
      <c r="N936" s="185"/>
      <c r="P936" s="4" t="str">
        <f>IF(A936&lt;&gt;"",VLOOKUP(A936,Rackfile_combined!$B:$C,2,false),"")</f>
        <v/>
      </c>
    </row>
    <row r="937">
      <c r="A937" s="186"/>
      <c r="B937" s="186"/>
      <c r="C937" s="186"/>
      <c r="D937" s="186"/>
      <c r="E937" s="186"/>
      <c r="F937" s="186"/>
      <c r="G937" s="186"/>
      <c r="H937" s="186"/>
      <c r="I937" s="186"/>
      <c r="L937" s="185"/>
      <c r="N937" s="185"/>
      <c r="P937" s="4" t="str">
        <f>IF(A937&lt;&gt;"",VLOOKUP(A937,Rackfile_combined!$B:$C,2,false),"")</f>
        <v/>
      </c>
    </row>
    <row r="938">
      <c r="A938" s="186"/>
      <c r="B938" s="186"/>
      <c r="C938" s="186"/>
      <c r="D938" s="186"/>
      <c r="E938" s="186"/>
      <c r="F938" s="186"/>
      <c r="G938" s="186"/>
      <c r="H938" s="186"/>
      <c r="I938" s="186"/>
      <c r="L938" s="185"/>
      <c r="N938" s="185"/>
      <c r="P938" s="4" t="str">
        <f>IF(A938&lt;&gt;"",VLOOKUP(A938,Rackfile_combined!$B:$C,2,false),"")</f>
        <v/>
      </c>
    </row>
    <row r="939">
      <c r="A939" s="186"/>
      <c r="B939" s="186"/>
      <c r="C939" s="186"/>
      <c r="D939" s="186"/>
      <c r="E939" s="186"/>
      <c r="F939" s="186"/>
      <c r="G939" s="186"/>
      <c r="H939" s="186"/>
      <c r="I939" s="186"/>
      <c r="L939" s="185"/>
      <c r="N939" s="185"/>
      <c r="P939" s="4" t="str">
        <f>IF(A939&lt;&gt;"",VLOOKUP(A939,Rackfile_combined!$B:$C,2,false),"")</f>
        <v/>
      </c>
    </row>
    <row r="940">
      <c r="A940" s="186"/>
      <c r="B940" s="186"/>
      <c r="C940" s="186"/>
      <c r="D940" s="186"/>
      <c r="E940" s="186"/>
      <c r="F940" s="186"/>
      <c r="G940" s="186"/>
      <c r="H940" s="186"/>
      <c r="I940" s="186"/>
      <c r="L940" s="185"/>
      <c r="N940" s="185"/>
      <c r="P940" s="4" t="str">
        <f>IF(A940&lt;&gt;"",VLOOKUP(A940,Rackfile_combined!$B:$C,2,false),"")</f>
        <v/>
      </c>
    </row>
    <row r="941">
      <c r="A941" s="186"/>
      <c r="B941" s="186"/>
      <c r="C941" s="186"/>
      <c r="D941" s="186"/>
      <c r="E941" s="186"/>
      <c r="F941" s="186"/>
      <c r="G941" s="186"/>
      <c r="H941" s="186"/>
      <c r="I941" s="186"/>
      <c r="L941" s="185"/>
      <c r="N941" s="185"/>
      <c r="P941" s="4" t="str">
        <f>IF(A941&lt;&gt;"",VLOOKUP(A941,Rackfile_combined!$B:$C,2,false),"")</f>
        <v/>
      </c>
    </row>
    <row r="942">
      <c r="A942" s="186"/>
      <c r="B942" s="186"/>
      <c r="C942" s="186"/>
      <c r="D942" s="186"/>
      <c r="E942" s="186"/>
      <c r="F942" s="186"/>
      <c r="G942" s="186"/>
      <c r="H942" s="186"/>
      <c r="I942" s="186"/>
      <c r="L942" s="185"/>
      <c r="N942" s="185"/>
      <c r="P942" s="4" t="str">
        <f>IF(A942&lt;&gt;"",VLOOKUP(A942,Rackfile_combined!$B:$C,2,false),"")</f>
        <v/>
      </c>
    </row>
    <row r="943">
      <c r="A943" s="186"/>
      <c r="B943" s="186"/>
      <c r="C943" s="186"/>
      <c r="D943" s="186"/>
      <c r="E943" s="186"/>
      <c r="F943" s="186"/>
      <c r="G943" s="186"/>
      <c r="H943" s="186"/>
      <c r="I943" s="186"/>
      <c r="L943" s="185"/>
      <c r="N943" s="185"/>
      <c r="P943" s="4" t="str">
        <f>IF(A943&lt;&gt;"",VLOOKUP(A943,Rackfile_combined!$B:$C,2,false),"")</f>
        <v/>
      </c>
    </row>
    <row r="944">
      <c r="A944" s="186"/>
      <c r="B944" s="186"/>
      <c r="C944" s="186"/>
      <c r="D944" s="186"/>
      <c r="E944" s="186"/>
      <c r="F944" s="186"/>
      <c r="G944" s="186"/>
      <c r="H944" s="186"/>
      <c r="I944" s="186"/>
      <c r="L944" s="185"/>
      <c r="N944" s="185"/>
      <c r="P944" s="4" t="str">
        <f>IF(A944&lt;&gt;"",VLOOKUP(A944,Rackfile_combined!$B:$C,2,false),"")</f>
        <v/>
      </c>
    </row>
    <row r="945">
      <c r="A945" s="186"/>
      <c r="B945" s="186"/>
      <c r="C945" s="186"/>
      <c r="D945" s="186"/>
      <c r="E945" s="186"/>
      <c r="F945" s="186"/>
      <c r="G945" s="186"/>
      <c r="H945" s="186"/>
      <c r="I945" s="186"/>
      <c r="L945" s="185"/>
      <c r="N945" s="185"/>
      <c r="P945" s="4" t="str">
        <f>IF(A945&lt;&gt;"",VLOOKUP(A945,Rackfile_combined!$B:$C,2,false),"")</f>
        <v/>
      </c>
    </row>
    <row r="946">
      <c r="A946" s="186"/>
      <c r="B946" s="186"/>
      <c r="C946" s="186"/>
      <c r="D946" s="186"/>
      <c r="E946" s="186"/>
      <c r="F946" s="186"/>
      <c r="G946" s="186"/>
      <c r="H946" s="186"/>
      <c r="I946" s="186"/>
      <c r="L946" s="185"/>
      <c r="N946" s="185"/>
      <c r="P946" s="4" t="str">
        <f>IF(A946&lt;&gt;"",VLOOKUP(A946,Rackfile_combined!$B:$C,2,false),"")</f>
        <v/>
      </c>
    </row>
    <row r="947">
      <c r="A947" s="186"/>
      <c r="B947" s="186"/>
      <c r="C947" s="186"/>
      <c r="D947" s="186"/>
      <c r="E947" s="186"/>
      <c r="F947" s="186"/>
      <c r="G947" s="186"/>
      <c r="H947" s="186"/>
      <c r="I947" s="186"/>
      <c r="L947" s="185"/>
      <c r="N947" s="185"/>
      <c r="P947" s="4" t="str">
        <f>IF(A947&lt;&gt;"",VLOOKUP(A947,Rackfile_combined!$B:$C,2,false),"")</f>
        <v/>
      </c>
    </row>
    <row r="948">
      <c r="A948" s="186"/>
      <c r="B948" s="186"/>
      <c r="C948" s="186"/>
      <c r="D948" s="186"/>
      <c r="E948" s="186"/>
      <c r="F948" s="186"/>
      <c r="G948" s="186"/>
      <c r="H948" s="186"/>
      <c r="I948" s="186"/>
      <c r="L948" s="185"/>
      <c r="N948" s="185"/>
      <c r="P948" s="4" t="str">
        <f>IF(A948&lt;&gt;"",VLOOKUP(A948,Rackfile_combined!$B:$C,2,false),"")</f>
        <v/>
      </c>
    </row>
    <row r="949">
      <c r="A949" s="186"/>
      <c r="B949" s="186"/>
      <c r="C949" s="186"/>
      <c r="D949" s="186"/>
      <c r="E949" s="186"/>
      <c r="F949" s="186"/>
      <c r="G949" s="186"/>
      <c r="H949" s="186"/>
      <c r="I949" s="186"/>
      <c r="L949" s="185"/>
      <c r="N949" s="185"/>
      <c r="P949" s="4" t="str">
        <f>IF(A949&lt;&gt;"",VLOOKUP(A949,Rackfile_combined!$B:$C,2,false),"")</f>
        <v/>
      </c>
    </row>
    <row r="950">
      <c r="A950" s="186"/>
      <c r="B950" s="186"/>
      <c r="C950" s="186"/>
      <c r="D950" s="186"/>
      <c r="E950" s="186"/>
      <c r="F950" s="186"/>
      <c r="G950" s="186"/>
      <c r="H950" s="186"/>
      <c r="I950" s="186"/>
      <c r="L950" s="185"/>
      <c r="N950" s="185"/>
      <c r="P950" s="4" t="str">
        <f>IF(A950&lt;&gt;"",VLOOKUP(A950,Rackfile_combined!$B:$C,2,false),"")</f>
        <v/>
      </c>
    </row>
    <row r="951">
      <c r="A951" s="186"/>
      <c r="B951" s="186"/>
      <c r="C951" s="186"/>
      <c r="D951" s="186"/>
      <c r="E951" s="186"/>
      <c r="F951" s="186"/>
      <c r="G951" s="186"/>
      <c r="H951" s="186"/>
      <c r="I951" s="186"/>
      <c r="L951" s="185"/>
      <c r="N951" s="185"/>
      <c r="P951" s="4" t="str">
        <f>IF(A951&lt;&gt;"",VLOOKUP(A951,Rackfile_combined!$B:$C,2,false),"")</f>
        <v/>
      </c>
    </row>
    <row r="952">
      <c r="A952" s="186"/>
      <c r="B952" s="186"/>
      <c r="C952" s="186"/>
      <c r="D952" s="186"/>
      <c r="E952" s="186"/>
      <c r="F952" s="186"/>
      <c r="G952" s="186"/>
      <c r="H952" s="186"/>
      <c r="I952" s="186"/>
      <c r="L952" s="185"/>
      <c r="N952" s="185"/>
      <c r="P952" s="4" t="str">
        <f>IF(A952&lt;&gt;"",VLOOKUP(A952,Rackfile_combined!$B:$C,2,false),"")</f>
        <v/>
      </c>
    </row>
    <row r="953">
      <c r="A953" s="186"/>
      <c r="B953" s="186"/>
      <c r="C953" s="186"/>
      <c r="D953" s="186"/>
      <c r="E953" s="186"/>
      <c r="F953" s="186"/>
      <c r="G953" s="186"/>
      <c r="H953" s="186"/>
      <c r="I953" s="186"/>
      <c r="L953" s="185"/>
      <c r="N953" s="185"/>
      <c r="P953" s="4" t="str">
        <f>IF(A953&lt;&gt;"",VLOOKUP(A953,Rackfile_combined!$B:$C,2,false),"")</f>
        <v/>
      </c>
    </row>
    <row r="954">
      <c r="A954" s="186"/>
      <c r="B954" s="186"/>
      <c r="C954" s="186"/>
      <c r="D954" s="186"/>
      <c r="E954" s="186"/>
      <c r="F954" s="186"/>
      <c r="G954" s="186"/>
      <c r="H954" s="186"/>
      <c r="I954" s="186"/>
      <c r="L954" s="185"/>
      <c r="N954" s="185"/>
      <c r="P954" s="4" t="str">
        <f>IF(A954&lt;&gt;"",VLOOKUP(A954,Rackfile_combined!$B:$C,2,false),"")</f>
        <v/>
      </c>
    </row>
    <row r="955">
      <c r="A955" s="186"/>
      <c r="B955" s="186"/>
      <c r="C955" s="186"/>
      <c r="D955" s="186"/>
      <c r="E955" s="186"/>
      <c r="F955" s="186"/>
      <c r="G955" s="186"/>
      <c r="H955" s="186"/>
      <c r="I955" s="186"/>
      <c r="L955" s="185"/>
      <c r="N955" s="185"/>
      <c r="P955" s="4" t="str">
        <f>IF(A955&lt;&gt;"",VLOOKUP(A955,Rackfile_combined!$B:$C,2,false),"")</f>
        <v/>
      </c>
    </row>
    <row r="956">
      <c r="A956" s="186"/>
      <c r="B956" s="186"/>
      <c r="C956" s="186"/>
      <c r="D956" s="186"/>
      <c r="E956" s="186"/>
      <c r="F956" s="186"/>
      <c r="G956" s="186"/>
      <c r="H956" s="186"/>
      <c r="I956" s="186"/>
      <c r="L956" s="185"/>
      <c r="N956" s="185"/>
      <c r="P956" s="4" t="str">
        <f>IF(A956&lt;&gt;"",VLOOKUP(A956,Rackfile_combined!$B:$C,2,false),"")</f>
        <v/>
      </c>
    </row>
    <row r="957">
      <c r="A957" s="186"/>
      <c r="B957" s="186"/>
      <c r="C957" s="186"/>
      <c r="D957" s="186"/>
      <c r="E957" s="186"/>
      <c r="F957" s="186"/>
      <c r="G957" s="186"/>
      <c r="H957" s="186"/>
      <c r="I957" s="186"/>
      <c r="L957" s="185"/>
      <c r="N957" s="185"/>
      <c r="P957" s="4" t="str">
        <f>IF(A957&lt;&gt;"",VLOOKUP(A957,Rackfile_combined!$B:$C,2,false),"")</f>
        <v/>
      </c>
    </row>
    <row r="958">
      <c r="A958" s="186"/>
      <c r="B958" s="186"/>
      <c r="C958" s="186"/>
      <c r="D958" s="186"/>
      <c r="E958" s="186"/>
      <c r="F958" s="186"/>
      <c r="G958" s="186"/>
      <c r="H958" s="186"/>
      <c r="I958" s="186"/>
      <c r="L958" s="185"/>
      <c r="N958" s="185"/>
      <c r="P958" s="4" t="str">
        <f>IF(A958&lt;&gt;"",VLOOKUP(A958,Rackfile_combined!$B:$C,2,false),"")</f>
        <v/>
      </c>
    </row>
    <row r="959">
      <c r="A959" s="186"/>
      <c r="B959" s="186"/>
      <c r="C959" s="186"/>
      <c r="D959" s="186"/>
      <c r="E959" s="186"/>
      <c r="F959" s="186"/>
      <c r="G959" s="186"/>
      <c r="H959" s="186"/>
      <c r="I959" s="186"/>
      <c r="L959" s="185"/>
      <c r="N959" s="185"/>
      <c r="P959" s="4" t="str">
        <f>IF(A959&lt;&gt;"",VLOOKUP(A959,Rackfile_combined!$B:$C,2,false),"")</f>
        <v/>
      </c>
    </row>
    <row r="960">
      <c r="A960" s="186"/>
      <c r="B960" s="186"/>
      <c r="C960" s="186"/>
      <c r="D960" s="186"/>
      <c r="E960" s="186"/>
      <c r="F960" s="186"/>
      <c r="G960" s="186"/>
      <c r="H960" s="186"/>
      <c r="I960" s="186"/>
      <c r="L960" s="185"/>
      <c r="N960" s="185"/>
      <c r="P960" s="4" t="str">
        <f>IF(A960&lt;&gt;"",VLOOKUP(A960,Rackfile_combined!$B:$C,2,false),"")</f>
        <v/>
      </c>
    </row>
    <row r="961">
      <c r="A961" s="186"/>
      <c r="B961" s="186"/>
      <c r="C961" s="186"/>
      <c r="D961" s="186"/>
      <c r="E961" s="186"/>
      <c r="F961" s="186"/>
      <c r="G961" s="186"/>
      <c r="H961" s="186"/>
      <c r="I961" s="186"/>
      <c r="L961" s="185"/>
      <c r="N961" s="185"/>
      <c r="P961" s="4" t="str">
        <f>IF(A961&lt;&gt;"",VLOOKUP(A961,Rackfile_combined!$B:$C,2,false),"")</f>
        <v/>
      </c>
    </row>
    <row r="962">
      <c r="A962" s="186"/>
      <c r="B962" s="186"/>
      <c r="C962" s="186"/>
      <c r="D962" s="186"/>
      <c r="E962" s="186"/>
      <c r="F962" s="186"/>
      <c r="G962" s="186"/>
      <c r="H962" s="186"/>
      <c r="I962" s="186"/>
      <c r="L962" s="185"/>
      <c r="N962" s="185"/>
      <c r="P962" s="4" t="str">
        <f>IF(A962&lt;&gt;"",VLOOKUP(A962,Rackfile_combined!$B:$C,2,false),"")</f>
        <v/>
      </c>
    </row>
    <row r="963">
      <c r="A963" s="186"/>
      <c r="B963" s="186"/>
      <c r="C963" s="186"/>
      <c r="D963" s="186"/>
      <c r="E963" s="186"/>
      <c r="F963" s="186"/>
      <c r="G963" s="186"/>
      <c r="H963" s="186"/>
      <c r="I963" s="186"/>
      <c r="L963" s="185"/>
      <c r="N963" s="185"/>
      <c r="P963" s="4" t="str">
        <f>IF(A963&lt;&gt;"",VLOOKUP(A963,Rackfile_combined!$B:$C,2,false),"")</f>
        <v/>
      </c>
    </row>
    <row r="964">
      <c r="A964" s="186"/>
      <c r="B964" s="186"/>
      <c r="C964" s="186"/>
      <c r="D964" s="186"/>
      <c r="E964" s="186"/>
      <c r="F964" s="186"/>
      <c r="G964" s="186"/>
      <c r="H964" s="186"/>
      <c r="I964" s="186"/>
      <c r="L964" s="185"/>
      <c r="N964" s="185"/>
      <c r="P964" s="4" t="str">
        <f>IF(A964&lt;&gt;"",VLOOKUP(A964,Rackfile_combined!$B:$C,2,false),"")</f>
        <v/>
      </c>
    </row>
    <row r="965">
      <c r="A965" s="186"/>
      <c r="B965" s="186"/>
      <c r="C965" s="186"/>
      <c r="D965" s="186"/>
      <c r="E965" s="186"/>
      <c r="F965" s="186"/>
      <c r="G965" s="186"/>
      <c r="H965" s="186"/>
      <c r="I965" s="186"/>
      <c r="L965" s="185"/>
      <c r="N965" s="185"/>
      <c r="P965" s="4" t="str">
        <f>IF(A965&lt;&gt;"",VLOOKUP(A965,Rackfile_combined!$B:$C,2,false),"")</f>
        <v/>
      </c>
    </row>
    <row r="966">
      <c r="A966" s="186"/>
      <c r="B966" s="186"/>
      <c r="C966" s="186"/>
      <c r="D966" s="186"/>
      <c r="E966" s="186"/>
      <c r="F966" s="186"/>
      <c r="G966" s="186"/>
      <c r="H966" s="186"/>
      <c r="I966" s="186"/>
      <c r="L966" s="185"/>
      <c r="N966" s="185"/>
      <c r="P966" s="4" t="str">
        <f>IF(A966&lt;&gt;"",VLOOKUP(A966,Rackfile_combined!$B:$C,2,false),"")</f>
        <v/>
      </c>
    </row>
    <row r="967">
      <c r="A967" s="186"/>
      <c r="B967" s="186"/>
      <c r="C967" s="186"/>
      <c r="D967" s="186"/>
      <c r="E967" s="186"/>
      <c r="F967" s="186"/>
      <c r="G967" s="186"/>
      <c r="H967" s="186"/>
      <c r="I967" s="186"/>
      <c r="L967" s="185"/>
      <c r="N967" s="185"/>
      <c r="P967" s="4" t="str">
        <f>IF(A967&lt;&gt;"",VLOOKUP(A967,Rackfile_combined!$B:$C,2,false),"")</f>
        <v/>
      </c>
    </row>
    <row r="968">
      <c r="A968" s="186"/>
      <c r="B968" s="186"/>
      <c r="C968" s="186"/>
      <c r="D968" s="186"/>
      <c r="E968" s="186"/>
      <c r="F968" s="186"/>
      <c r="G968" s="186"/>
      <c r="H968" s="186"/>
      <c r="I968" s="186"/>
      <c r="L968" s="185"/>
      <c r="N968" s="185"/>
      <c r="P968" s="4" t="str">
        <f>IF(A968&lt;&gt;"",VLOOKUP(A968,Rackfile_combined!$B:$C,2,false),"")</f>
        <v/>
      </c>
    </row>
    <row r="969">
      <c r="A969" s="186"/>
      <c r="B969" s="186"/>
      <c r="C969" s="186"/>
      <c r="D969" s="186"/>
      <c r="E969" s="186"/>
      <c r="F969" s="186"/>
      <c r="G969" s="186"/>
      <c r="H969" s="186"/>
      <c r="I969" s="186"/>
      <c r="L969" s="185"/>
      <c r="N969" s="185"/>
      <c r="P969" s="4" t="str">
        <f>IF(A969&lt;&gt;"",VLOOKUP(A969,Rackfile_combined!$B:$C,2,false),"")</f>
        <v/>
      </c>
    </row>
    <row r="970">
      <c r="L970" s="185"/>
      <c r="N970" s="185"/>
      <c r="P970" s="4" t="str">
        <f>IF(A970&lt;&gt;"",VLOOKUP(A970,Rackfile_combined!$B:$C,2,false),"")</f>
        <v/>
      </c>
    </row>
    <row r="971">
      <c r="L971" s="185"/>
      <c r="N971" s="185"/>
      <c r="P971" s="4" t="str">
        <f>IF(A971&lt;&gt;"",VLOOKUP(A971,Rackfile_combined!$B:$C,2,false),"")</f>
        <v/>
      </c>
    </row>
    <row r="972">
      <c r="L972" s="185"/>
      <c r="N972" s="185"/>
      <c r="P972" s="4" t="str">
        <f>IF(A972&lt;&gt;"",VLOOKUP(A972,Rackfile_combined!$B:$C,2,false),"")</f>
        <v/>
      </c>
    </row>
    <row r="973">
      <c r="L973" s="185"/>
      <c r="N973" s="185"/>
      <c r="P973" s="4" t="str">
        <f>IF(A973&lt;&gt;"",VLOOKUP(A973,Rackfile_combined!$B:$C,2,false),"")</f>
        <v/>
      </c>
    </row>
    <row r="974">
      <c r="L974" s="185"/>
      <c r="N974" s="185"/>
      <c r="P974" s="4" t="str">
        <f>IF(A974&lt;&gt;"",VLOOKUP(A974,Rackfile_combined!$B:$C,2,false),"")</f>
        <v/>
      </c>
    </row>
    <row r="975">
      <c r="L975" s="185"/>
      <c r="N975" s="185"/>
      <c r="P975" s="4" t="str">
        <f>IF(A975&lt;&gt;"",VLOOKUP(A975,Rackfile_combined!$B:$C,2,false),"")</f>
        <v/>
      </c>
    </row>
    <row r="976">
      <c r="L976" s="185"/>
      <c r="N976" s="185"/>
      <c r="P976" s="4" t="str">
        <f>IF(A976&lt;&gt;"",VLOOKUP(A976,Rackfile_combined!$B:$C,2,false),"")</f>
        <v/>
      </c>
    </row>
    <row r="977">
      <c r="L977" s="185"/>
      <c r="N977" s="185"/>
      <c r="P977" s="4" t="str">
        <f>IF(A977&lt;&gt;"",VLOOKUP(A977,Rackfile_combined!$B:$C,2,false),"")</f>
        <v/>
      </c>
    </row>
    <row r="978">
      <c r="L978" s="185"/>
      <c r="N978" s="185"/>
      <c r="P978" s="4" t="str">
        <f>IF(A978&lt;&gt;"",VLOOKUP(A978,Rackfile_combined!$B:$C,2,false),"")</f>
        <v/>
      </c>
    </row>
    <row r="979">
      <c r="L979" s="185"/>
      <c r="N979" s="185"/>
      <c r="P979" s="4" t="str">
        <f>IF(A979&lt;&gt;"",VLOOKUP(A979,Rackfile_combined!$B:$C,2,false),"")</f>
        <v/>
      </c>
    </row>
    <row r="980">
      <c r="L980" s="185"/>
      <c r="N980" s="185"/>
      <c r="P980" s="4" t="str">
        <f>IF(A980&lt;&gt;"",VLOOKUP(A980,Rackfile_combined!$B:$C,2,false),"")</f>
        <v/>
      </c>
    </row>
    <row r="981">
      <c r="L981" s="185"/>
      <c r="N981" s="185"/>
      <c r="P981" s="4" t="str">
        <f>IF(A981&lt;&gt;"",VLOOKUP(A981,Rackfile_combined!$B:$C,2,false),"")</f>
        <v/>
      </c>
    </row>
    <row r="982">
      <c r="L982" s="185"/>
      <c r="N982" s="185"/>
      <c r="P982" s="4" t="str">
        <f>IF(A982&lt;&gt;"",VLOOKUP(A982,Rackfile_combined!$B:$C,2,false),"")</f>
        <v/>
      </c>
    </row>
    <row r="983">
      <c r="L983" s="185"/>
      <c r="N983" s="185"/>
      <c r="P983" s="4" t="str">
        <f>IF(A983&lt;&gt;"",VLOOKUP(A983,Rackfile_combined!$B:$C,2,false),"")</f>
        <v/>
      </c>
    </row>
    <row r="984">
      <c r="L984" s="185"/>
      <c r="N984" s="185"/>
      <c r="P984" s="4" t="str">
        <f>IF(A984&lt;&gt;"",VLOOKUP(A984,Rackfile_combined!$B:$C,2,false),"")</f>
        <v/>
      </c>
    </row>
    <row r="985">
      <c r="L985" s="185"/>
      <c r="N985" s="185"/>
      <c r="P985" s="4" t="str">
        <f>IF(A985&lt;&gt;"",VLOOKUP(A985,Rackfile_combined!$B:$C,2,false),"")</f>
        <v/>
      </c>
    </row>
    <row r="986">
      <c r="L986" s="185"/>
      <c r="N986" s="185"/>
      <c r="P986" s="4" t="str">
        <f>IF(A986&lt;&gt;"",VLOOKUP(A986,Rackfile_combined!$B:$C,2,false),"")</f>
        <v/>
      </c>
    </row>
    <row r="987">
      <c r="L987" s="185"/>
      <c r="N987" s="185"/>
      <c r="P987" s="4" t="str">
        <f>IF(A987&lt;&gt;"",VLOOKUP(A987,Rackfile_combined!$B:$C,2,false),"")</f>
        <v/>
      </c>
    </row>
    <row r="988">
      <c r="L988" s="185"/>
      <c r="N988" s="185"/>
      <c r="P988" s="4" t="str">
        <f>IF(A988&lt;&gt;"",VLOOKUP(A988,Rackfile_combined!$B:$C,2,false),"")</f>
        <v/>
      </c>
    </row>
    <row r="989">
      <c r="L989" s="185"/>
      <c r="N989" s="185"/>
      <c r="P989" s="4" t="str">
        <f>IF(A989&lt;&gt;"",VLOOKUP(A989,Rackfile_combined!$B:$C,2,false),"")</f>
        <v/>
      </c>
    </row>
    <row r="990">
      <c r="L990" s="185"/>
      <c r="N990" s="185"/>
      <c r="P990" s="4" t="str">
        <f>IF(A990&lt;&gt;"",VLOOKUP(A990,Rackfile_combined!$B:$C,2,false),"")</f>
        <v/>
      </c>
    </row>
    <row r="991">
      <c r="L991" s="185"/>
      <c r="N991" s="185"/>
      <c r="P991" s="4" t="str">
        <f>IF(A991&lt;&gt;"",VLOOKUP(A991,Rackfile_combined!$B:$C,2,false),"")</f>
        <v/>
      </c>
    </row>
    <row r="992">
      <c r="L992" s="185"/>
      <c r="N992" s="185"/>
      <c r="P992" s="4" t="str">
        <f>IF(A992&lt;&gt;"",VLOOKUP(A992,Rackfile_combined!$B:$C,2,false),"")</f>
        <v/>
      </c>
    </row>
    <row r="993">
      <c r="L993" s="185"/>
      <c r="N993" s="185"/>
      <c r="P993" s="4" t="str">
        <f>IF(A993&lt;&gt;"",VLOOKUP(A993,Rackfile_combined!$B:$C,2,false),"")</f>
        <v/>
      </c>
    </row>
    <row r="994">
      <c r="L994" s="185"/>
      <c r="N994" s="185"/>
      <c r="P994" s="4" t="str">
        <f>IF(A994&lt;&gt;"",VLOOKUP(A994,Rackfile_combined!$B:$C,2,false),"")</f>
        <v/>
      </c>
    </row>
    <row r="995">
      <c r="L995" s="185"/>
      <c r="N995" s="185"/>
      <c r="P995" s="4" t="str">
        <f>IF(A995&lt;&gt;"",VLOOKUP(A995,Rackfile_combined!$B:$C,2,false),"")</f>
        <v/>
      </c>
    </row>
    <row r="996">
      <c r="L996" s="185"/>
      <c r="N996" s="185"/>
      <c r="P996" s="4" t="str">
        <f>IF(A996&lt;&gt;"",VLOOKUP(A996,Rackfile_combined!$B:$C,2,false),"")</f>
        <v/>
      </c>
    </row>
    <row r="997">
      <c r="L997" s="185"/>
      <c r="N997" s="185"/>
      <c r="P997" s="4" t="str">
        <f>IF(A997&lt;&gt;"",VLOOKUP(A997,Rackfile_combined!$B:$C,2,false),"")</f>
        <v/>
      </c>
    </row>
    <row r="998">
      <c r="L998" s="185"/>
      <c r="N998" s="185"/>
      <c r="P998" s="4" t="str">
        <f>IF(A998&lt;&gt;"",VLOOKUP(A998,Rackfile_combined!$B:$C,2,false),"")</f>
        <v/>
      </c>
    </row>
    <row r="999">
      <c r="L999" s="185"/>
      <c r="N999" s="185"/>
      <c r="P999" s="4" t="str">
        <f>IF(A999&lt;&gt;"",VLOOKUP(A999,Rackfile_combined!$B:$C,2,false),"")</f>
        <v/>
      </c>
    </row>
    <row r="1000">
      <c r="L1000" s="185"/>
      <c r="N1000" s="185"/>
      <c r="P1000" s="4" t="str">
        <f>IF(A1000&lt;&gt;"",VLOOKUP(A1000,Rackfile_combined!$B:$C,2,false),"")</f>
        <v/>
      </c>
    </row>
  </sheetData>
  <conditionalFormatting sqref="K1:K1000">
    <cfRule type="cellIs" dxfId="0" priority="1" operator="equal">
      <formula>"Butter"</formula>
    </cfRule>
  </conditionalFormatting>
  <conditionalFormatting sqref="K1:K1000">
    <cfRule type="cellIs" dxfId="7" priority="2" operator="equal">
      <formula>"Bacon"</formula>
    </cfRule>
  </conditionalFormatting>
  <conditionalFormatting sqref="K1:K1000">
    <cfRule type="containsText" dxfId="8" priority="3" operator="containsText" text="Hack">
      <formula>NOT(ISERROR(SEARCH(("Hack"),(K1))))</formula>
    </cfRule>
  </conditionalFormatting>
  <conditionalFormatting sqref="K1:K1000">
    <cfRule type="containsText" dxfId="9" priority="4" operator="containsText" text="geriebenerKaese">
      <formula>NOT(ISERROR(SEARCH(("geriebenerKaese"),(K1))))</formula>
    </cfRule>
  </conditionalFormatting>
  <conditionalFormatting sqref="K1:K1000">
    <cfRule type="containsText" dxfId="1" priority="5" operator="containsText" text="Hirten">
      <formula>NOT(ISERROR(SEARCH(("Hirten"),(K1))))</formula>
    </cfRule>
  </conditionalFormatting>
  <conditionalFormatting sqref="K1:K1000">
    <cfRule type="containsText" dxfId="10" priority="6" operator="containsText" text="hnchen">
      <formula>NOT(ISERROR(SEARCH(("hnchen"),(K1))))</formula>
    </cfRule>
  </conditionalFormatting>
  <conditionalFormatting sqref="K1:K1000">
    <cfRule type="containsText" dxfId="11" priority="7" operator="containsText" text="Joghurt">
      <formula>NOT(ISERROR(SEARCH(("Joghurt"),(K1))))</formula>
    </cfRule>
  </conditionalFormatting>
  <conditionalFormatting sqref="K1:K1000">
    <cfRule type="containsText" dxfId="2" priority="8" operator="containsText" text="Saure">
      <formula>NOT(ISERROR(SEARCH(("Saure"),(K1))))</formula>
    </cfRule>
  </conditionalFormatting>
  <conditionalFormatting sqref="K1:K1000">
    <cfRule type="containsText" dxfId="12" priority="9" operator="containsText" text="Molke Wabelpakung">
      <formula>NOT(ISERROR(SEARCH(("Molke Wabelpakung"),(K1))))</formula>
    </cfRule>
  </conditionalFormatting>
  <conditionalFormatting sqref="K1:K1000">
    <cfRule type="containsText" dxfId="13" priority="10" operator="containsText" text="Schwein">
      <formula>NOT(ISERROR(SEARCH(("Schwein"),(K1))))</formula>
    </cfRule>
  </conditionalFormatting>
  <conditionalFormatting sqref="K1:K1000">
    <cfRule type="containsText" dxfId="14" priority="11" operator="containsText" text="See">
      <formula>NOT(ISERROR(SEARCH(("See"),(K1))))</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min="1" max="1" width="48.0"/>
    <col customWidth="1" min="2" max="2" width="16.13"/>
  </cols>
  <sheetData>
    <row r="1">
      <c r="A1" s="186" t="s">
        <v>1</v>
      </c>
      <c r="B1" s="303" t="s">
        <v>8</v>
      </c>
    </row>
    <row r="2">
      <c r="B2" s="303"/>
      <c r="E2" s="70"/>
    </row>
    <row r="3">
      <c r="B3" s="303"/>
      <c r="E3" s="70"/>
    </row>
    <row r="4">
      <c r="B4" s="303"/>
      <c r="E4" s="70"/>
    </row>
    <row r="5">
      <c r="B5" s="303"/>
    </row>
    <row r="6">
      <c r="B6" s="303"/>
    </row>
    <row r="7">
      <c r="B7" s="303"/>
    </row>
    <row r="8">
      <c r="B8" s="303"/>
    </row>
    <row r="9">
      <c r="B9" s="303"/>
    </row>
    <row r="10">
      <c r="B10" s="303"/>
    </row>
    <row r="11">
      <c r="B11" s="303"/>
    </row>
    <row r="12">
      <c r="B12" s="303"/>
    </row>
    <row r="13">
      <c r="B13" s="303"/>
    </row>
    <row r="14">
      <c r="B14" s="303"/>
    </row>
    <row r="15">
      <c r="B15" s="303"/>
    </row>
    <row r="16">
      <c r="B16" s="303"/>
    </row>
    <row r="17">
      <c r="B17" s="303"/>
    </row>
    <row r="18">
      <c r="B18" s="303"/>
    </row>
    <row r="19">
      <c r="B19" s="303"/>
    </row>
    <row r="20">
      <c r="B20" s="303"/>
    </row>
    <row r="21">
      <c r="B21" s="303"/>
    </row>
    <row r="22">
      <c r="B22" s="303"/>
    </row>
    <row r="23">
      <c r="B23" s="288"/>
    </row>
    <row r="24">
      <c r="B24" s="303"/>
    </row>
    <row r="25">
      <c r="B25" s="303"/>
    </row>
    <row r="26">
      <c r="B26" s="303"/>
    </row>
    <row r="27">
      <c r="B27" s="303"/>
    </row>
    <row r="28">
      <c r="B28" s="303"/>
    </row>
    <row r="29">
      <c r="B29" s="303"/>
    </row>
    <row r="30">
      <c r="B30" s="303"/>
    </row>
    <row r="31">
      <c r="B31" s="303"/>
    </row>
    <row r="32">
      <c r="B32" s="303"/>
    </row>
    <row r="33">
      <c r="B33" s="303"/>
    </row>
    <row r="34">
      <c r="B34" s="288"/>
    </row>
    <row r="35">
      <c r="B35" s="303"/>
    </row>
    <row r="36">
      <c r="B36" s="303"/>
    </row>
    <row r="37">
      <c r="B37" s="288"/>
    </row>
    <row r="38">
      <c r="B38" s="288"/>
    </row>
    <row r="39">
      <c r="B39" s="303"/>
    </row>
    <row r="40">
      <c r="B40" s="303"/>
    </row>
    <row r="41">
      <c r="B41" s="288"/>
    </row>
    <row r="42">
      <c r="B42" s="303"/>
    </row>
    <row r="43">
      <c r="B43" s="303"/>
    </row>
    <row r="44">
      <c r="B44" s="303"/>
    </row>
    <row r="45">
      <c r="B45" s="288"/>
    </row>
    <row r="46">
      <c r="B46" s="303"/>
    </row>
    <row r="47">
      <c r="B47" s="288"/>
    </row>
    <row r="48">
      <c r="B48" s="303"/>
    </row>
    <row r="49">
      <c r="B49" s="303"/>
    </row>
    <row r="50">
      <c r="B50" s="303"/>
    </row>
    <row r="51">
      <c r="B51" s="303"/>
    </row>
    <row r="52">
      <c r="B52" s="303"/>
    </row>
    <row r="53">
      <c r="B53" s="288"/>
    </row>
    <row r="54">
      <c r="B54" s="288"/>
    </row>
    <row r="55">
      <c r="B55" s="303"/>
    </row>
    <row r="56">
      <c r="B56" s="303"/>
    </row>
    <row r="57">
      <c r="B57" s="303"/>
    </row>
    <row r="58">
      <c r="B58" s="303"/>
    </row>
    <row r="59">
      <c r="B59" s="303"/>
    </row>
    <row r="60">
      <c r="B60" s="303"/>
    </row>
    <row r="61">
      <c r="B61" s="303"/>
    </row>
    <row r="62">
      <c r="B62" s="303"/>
    </row>
    <row r="63">
      <c r="B63" s="303"/>
    </row>
    <row r="64">
      <c r="B64" s="303"/>
    </row>
    <row r="65">
      <c r="B65" s="303"/>
    </row>
    <row r="66">
      <c r="B66" s="303"/>
    </row>
    <row r="67">
      <c r="B67" s="288"/>
    </row>
    <row r="68">
      <c r="B68" s="303"/>
    </row>
    <row r="69">
      <c r="B69" s="303"/>
    </row>
    <row r="70">
      <c r="B70" s="303"/>
    </row>
    <row r="71">
      <c r="B71" s="303"/>
    </row>
    <row r="72">
      <c r="B72" s="303"/>
    </row>
    <row r="73">
      <c r="B73" s="303"/>
    </row>
    <row r="74">
      <c r="B74" s="303"/>
    </row>
    <row r="75">
      <c r="B75" s="303"/>
    </row>
    <row r="76">
      <c r="B76" s="303"/>
    </row>
    <row r="77">
      <c r="B77" s="303"/>
    </row>
    <row r="78">
      <c r="B78" s="303"/>
    </row>
    <row r="79">
      <c r="B79" s="303"/>
    </row>
    <row r="80">
      <c r="B80" s="303"/>
    </row>
    <row r="81">
      <c r="B81" s="303"/>
    </row>
    <row r="82">
      <c r="B82" s="303"/>
    </row>
    <row r="83">
      <c r="B83" s="303"/>
    </row>
    <row r="84">
      <c r="B84" s="303"/>
    </row>
    <row r="85">
      <c r="B85" s="303"/>
    </row>
    <row r="86">
      <c r="A86" s="303"/>
      <c r="B86" s="303"/>
    </row>
    <row r="87">
      <c r="B87" s="303"/>
    </row>
    <row r="88">
      <c r="A88" s="285"/>
      <c r="B88" s="288"/>
    </row>
    <row r="89">
      <c r="B89" s="303"/>
    </row>
    <row r="90">
      <c r="B90" s="288"/>
    </row>
    <row r="91">
      <c r="B91" s="303"/>
    </row>
    <row r="92">
      <c r="B92" s="303"/>
    </row>
    <row r="93">
      <c r="B93" s="303"/>
    </row>
    <row r="94">
      <c r="B94" s="303"/>
    </row>
    <row r="95">
      <c r="A95" s="287"/>
      <c r="B95" s="303"/>
    </row>
    <row r="96">
      <c r="A96" s="287"/>
      <c r="B96" s="303"/>
    </row>
    <row r="97">
      <c r="B97" s="303"/>
    </row>
    <row r="98">
      <c r="B98" s="303"/>
    </row>
    <row r="99">
      <c r="B99" s="303"/>
    </row>
    <row r="100">
      <c r="B100" s="303"/>
    </row>
    <row r="101">
      <c r="B101" s="303"/>
    </row>
    <row r="102">
      <c r="B102" s="303"/>
    </row>
    <row r="103">
      <c r="B103" s="303"/>
    </row>
    <row r="104">
      <c r="B104" s="303"/>
    </row>
    <row r="105">
      <c r="B105" s="303"/>
    </row>
    <row r="106">
      <c r="B106" s="303"/>
    </row>
    <row r="107">
      <c r="B107" s="303"/>
    </row>
    <row r="108">
      <c r="B108" s="303"/>
    </row>
    <row r="109">
      <c r="B109" s="303"/>
    </row>
    <row r="110">
      <c r="B110" s="303"/>
    </row>
    <row r="111">
      <c r="B111" s="303"/>
    </row>
    <row r="112">
      <c r="B112" s="303"/>
    </row>
    <row r="113">
      <c r="B113" s="303"/>
    </row>
    <row r="114">
      <c r="B114" s="303"/>
    </row>
    <row r="115">
      <c r="B115" s="303"/>
    </row>
    <row r="116">
      <c r="B116" s="303"/>
    </row>
    <row r="117">
      <c r="B117" s="303"/>
    </row>
    <row r="118">
      <c r="B118" s="303"/>
    </row>
    <row r="119">
      <c r="B119" s="303"/>
    </row>
    <row r="120">
      <c r="B120" s="303"/>
    </row>
    <row r="121">
      <c r="B121" s="303"/>
    </row>
    <row r="122">
      <c r="B122" s="303"/>
    </row>
    <row r="123">
      <c r="B123" s="303"/>
    </row>
    <row r="124">
      <c r="B124" s="303"/>
    </row>
    <row r="125">
      <c r="B125" s="303"/>
    </row>
    <row r="126">
      <c r="B126" s="303"/>
    </row>
    <row r="127">
      <c r="B127" s="303"/>
    </row>
    <row r="128">
      <c r="B128" s="303"/>
    </row>
    <row r="129">
      <c r="B129" s="303"/>
    </row>
    <row r="130">
      <c r="B130" s="303"/>
    </row>
    <row r="131">
      <c r="B131" s="303"/>
    </row>
    <row r="132">
      <c r="B132" s="303"/>
    </row>
    <row r="133">
      <c r="B133" s="303"/>
    </row>
    <row r="134">
      <c r="B134" s="303"/>
    </row>
    <row r="135">
      <c r="B135" s="303"/>
    </row>
    <row r="136">
      <c r="B136" s="303"/>
    </row>
    <row r="137">
      <c r="B137" s="303"/>
    </row>
    <row r="138">
      <c r="B138" s="303"/>
    </row>
    <row r="139">
      <c r="B139" s="303"/>
    </row>
    <row r="140">
      <c r="B140" s="303"/>
    </row>
    <row r="141">
      <c r="B141" s="303"/>
    </row>
    <row r="142">
      <c r="B142" s="303"/>
    </row>
    <row r="143">
      <c r="B143" s="303"/>
    </row>
    <row r="144">
      <c r="B144" s="303"/>
    </row>
    <row r="145">
      <c r="B145" s="303"/>
    </row>
    <row r="146">
      <c r="B146" s="303"/>
    </row>
    <row r="147">
      <c r="B147" s="303"/>
    </row>
    <row r="148">
      <c r="B148" s="303"/>
    </row>
    <row r="149">
      <c r="B149" s="303"/>
    </row>
    <row r="150">
      <c r="B150" s="303"/>
    </row>
    <row r="151">
      <c r="B151" s="303"/>
    </row>
    <row r="152">
      <c r="B152" s="303"/>
    </row>
    <row r="153">
      <c r="B153" s="303"/>
    </row>
    <row r="154">
      <c r="B154" s="303"/>
    </row>
    <row r="155">
      <c r="B155" s="303"/>
    </row>
    <row r="156">
      <c r="B156" s="303"/>
    </row>
    <row r="157">
      <c r="B157" s="303"/>
    </row>
    <row r="158">
      <c r="B158" s="303"/>
    </row>
    <row r="159">
      <c r="B159" s="303"/>
    </row>
    <row r="160">
      <c r="B160" s="303"/>
    </row>
    <row r="161">
      <c r="B161" s="303"/>
    </row>
    <row r="162">
      <c r="B162" s="303"/>
    </row>
    <row r="163">
      <c r="B163" s="303"/>
    </row>
    <row r="164">
      <c r="B164" s="303"/>
    </row>
    <row r="165">
      <c r="B165" s="303"/>
    </row>
    <row r="166">
      <c r="B166" s="303"/>
    </row>
    <row r="167">
      <c r="B167" s="303"/>
    </row>
    <row r="168">
      <c r="B168" s="303"/>
    </row>
    <row r="169">
      <c r="B169" s="303"/>
    </row>
    <row r="170">
      <c r="B170" s="303"/>
    </row>
    <row r="171">
      <c r="B171" s="303"/>
    </row>
    <row r="172">
      <c r="B172" s="303"/>
    </row>
    <row r="173">
      <c r="B173" s="303"/>
    </row>
    <row r="174">
      <c r="B174" s="303"/>
    </row>
    <row r="175">
      <c r="B175" s="303"/>
    </row>
    <row r="176">
      <c r="B176" s="303"/>
    </row>
    <row r="177">
      <c r="B177" s="303"/>
    </row>
    <row r="178">
      <c r="B178" s="303"/>
    </row>
    <row r="179">
      <c r="B179" s="303"/>
    </row>
    <row r="180">
      <c r="B180" s="303"/>
    </row>
    <row r="181">
      <c r="B181" s="303"/>
    </row>
    <row r="182">
      <c r="B182" s="303"/>
    </row>
    <row r="183">
      <c r="B183" s="303"/>
    </row>
    <row r="184">
      <c r="B184" s="303"/>
    </row>
    <row r="185">
      <c r="B185" s="303"/>
    </row>
    <row r="186">
      <c r="B186" s="303"/>
    </row>
    <row r="187">
      <c r="B187" s="303"/>
    </row>
    <row r="188">
      <c r="B188" s="303"/>
    </row>
    <row r="189">
      <c r="B189" s="303"/>
    </row>
    <row r="190">
      <c r="B190" s="303"/>
    </row>
    <row r="191">
      <c r="B191" s="303"/>
    </row>
    <row r="192">
      <c r="B192" s="303"/>
    </row>
    <row r="193">
      <c r="B193" s="303"/>
    </row>
    <row r="194">
      <c r="B194" s="303"/>
    </row>
    <row r="195">
      <c r="B195" s="303"/>
    </row>
    <row r="196">
      <c r="B196" s="303"/>
    </row>
    <row r="197">
      <c r="B197" s="303"/>
    </row>
    <row r="198">
      <c r="B198" s="303"/>
    </row>
    <row r="199">
      <c r="B199" s="303"/>
    </row>
    <row r="200">
      <c r="B200" s="303"/>
    </row>
    <row r="201">
      <c r="B201" s="303"/>
    </row>
    <row r="202">
      <c r="B202" s="303"/>
    </row>
    <row r="203">
      <c r="B203" s="303"/>
    </row>
    <row r="204">
      <c r="B204" s="303"/>
    </row>
    <row r="205">
      <c r="B205" s="303"/>
    </row>
    <row r="206">
      <c r="B206" s="303"/>
    </row>
    <row r="207">
      <c r="B207" s="303"/>
    </row>
    <row r="208">
      <c r="B208" s="303"/>
    </row>
    <row r="209">
      <c r="B209" s="303"/>
    </row>
    <row r="210">
      <c r="B210" s="303"/>
    </row>
    <row r="211">
      <c r="B211" s="303"/>
    </row>
    <row r="212">
      <c r="B212" s="303"/>
    </row>
    <row r="213">
      <c r="B213" s="303"/>
    </row>
    <row r="214">
      <c r="B214" s="303"/>
    </row>
    <row r="215">
      <c r="B215" s="303"/>
    </row>
    <row r="216">
      <c r="B216" s="303"/>
    </row>
    <row r="217">
      <c r="B217" s="303"/>
    </row>
    <row r="218">
      <c r="B218" s="303"/>
    </row>
    <row r="219">
      <c r="B219" s="303"/>
    </row>
    <row r="220">
      <c r="B220" s="303"/>
    </row>
    <row r="221">
      <c r="B221" s="303"/>
    </row>
    <row r="222">
      <c r="B222" s="303"/>
    </row>
    <row r="223">
      <c r="B223" s="303"/>
    </row>
    <row r="224">
      <c r="B224" s="303"/>
    </row>
    <row r="225">
      <c r="B225" s="303"/>
    </row>
    <row r="226">
      <c r="B226" s="303"/>
    </row>
    <row r="227">
      <c r="B227" s="303"/>
    </row>
    <row r="228">
      <c r="B228" s="303"/>
    </row>
    <row r="229">
      <c r="B229" s="303"/>
    </row>
    <row r="230">
      <c r="B230" s="303"/>
    </row>
    <row r="231">
      <c r="B231" s="303"/>
    </row>
    <row r="232">
      <c r="B232" s="303"/>
    </row>
    <row r="233">
      <c r="B233" s="303"/>
    </row>
    <row r="234">
      <c r="B234" s="303"/>
    </row>
    <row r="235">
      <c r="B235" s="303"/>
    </row>
    <row r="236">
      <c r="B236" s="303"/>
    </row>
    <row r="237">
      <c r="B237" s="303"/>
    </row>
    <row r="238">
      <c r="B238" s="303"/>
    </row>
    <row r="239">
      <c r="B239" s="303"/>
    </row>
    <row r="240">
      <c r="B240" s="303"/>
    </row>
    <row r="241">
      <c r="B241" s="303"/>
    </row>
    <row r="242">
      <c r="B242" s="303"/>
    </row>
    <row r="243">
      <c r="B243" s="303"/>
    </row>
    <row r="244">
      <c r="B244" s="303"/>
    </row>
    <row r="245">
      <c r="B245" s="303"/>
    </row>
    <row r="246">
      <c r="B246" s="303"/>
    </row>
    <row r="247">
      <c r="B247" s="303"/>
    </row>
    <row r="248">
      <c r="B248" s="303"/>
    </row>
    <row r="249">
      <c r="B249" s="303"/>
    </row>
    <row r="250">
      <c r="B250" s="303"/>
    </row>
    <row r="251">
      <c r="B251" s="303"/>
    </row>
    <row r="252">
      <c r="B252" s="303"/>
    </row>
    <row r="253">
      <c r="B253" s="303"/>
    </row>
    <row r="254">
      <c r="B254" s="303"/>
    </row>
    <row r="255">
      <c r="B255" s="303"/>
    </row>
    <row r="256">
      <c r="B256" s="303"/>
    </row>
    <row r="257">
      <c r="B257" s="303"/>
    </row>
    <row r="258">
      <c r="B258" s="303"/>
    </row>
    <row r="259">
      <c r="B259" s="303"/>
    </row>
    <row r="260">
      <c r="B260" s="303"/>
    </row>
    <row r="261">
      <c r="B261" s="303"/>
    </row>
    <row r="262">
      <c r="B262" s="303"/>
    </row>
    <row r="263">
      <c r="B263" s="303"/>
    </row>
    <row r="264">
      <c r="B264" s="303"/>
    </row>
    <row r="265">
      <c r="B265" s="303"/>
    </row>
    <row r="266">
      <c r="B266" s="303"/>
    </row>
    <row r="267">
      <c r="B267" s="303"/>
    </row>
    <row r="268">
      <c r="B268" s="303"/>
    </row>
    <row r="269">
      <c r="B269" s="303"/>
    </row>
    <row r="270">
      <c r="B270" s="303"/>
    </row>
    <row r="271">
      <c r="B271" s="303"/>
    </row>
    <row r="272">
      <c r="B272" s="303"/>
    </row>
    <row r="273">
      <c r="B273" s="303"/>
    </row>
    <row r="274">
      <c r="B274" s="303"/>
    </row>
    <row r="275">
      <c r="B275" s="303"/>
    </row>
    <row r="276">
      <c r="B276" s="303"/>
    </row>
    <row r="277">
      <c r="B277" s="303"/>
    </row>
    <row r="278">
      <c r="B278" s="303"/>
    </row>
    <row r="279">
      <c r="B279" s="303"/>
    </row>
    <row r="280">
      <c r="B280" s="303"/>
    </row>
    <row r="281">
      <c r="B281" s="303"/>
    </row>
    <row r="282">
      <c r="B282" s="303"/>
    </row>
    <row r="283">
      <c r="B283" s="303"/>
    </row>
    <row r="284">
      <c r="B284" s="303"/>
    </row>
    <row r="285">
      <c r="B285" s="303"/>
    </row>
    <row r="286">
      <c r="B286" s="303"/>
    </row>
    <row r="287">
      <c r="B287" s="303"/>
    </row>
    <row r="288">
      <c r="B288" s="303"/>
    </row>
    <row r="289">
      <c r="B289" s="303"/>
    </row>
    <row r="290">
      <c r="B290" s="303"/>
    </row>
    <row r="291">
      <c r="B291" s="303"/>
    </row>
    <row r="292">
      <c r="B292" s="303"/>
    </row>
    <row r="293">
      <c r="B293" s="303"/>
    </row>
    <row r="294">
      <c r="B294" s="303"/>
    </row>
    <row r="295">
      <c r="B295" s="303"/>
    </row>
    <row r="296">
      <c r="B296" s="303"/>
    </row>
    <row r="297">
      <c r="B297" s="303"/>
    </row>
    <row r="298">
      <c r="B298" s="303"/>
    </row>
    <row r="299">
      <c r="B299" s="303"/>
    </row>
    <row r="300">
      <c r="B300" s="303"/>
    </row>
    <row r="301">
      <c r="B301" s="303"/>
    </row>
    <row r="302">
      <c r="B302" s="303"/>
    </row>
    <row r="303">
      <c r="B303" s="303"/>
    </row>
    <row r="304">
      <c r="B304" s="303"/>
    </row>
    <row r="305">
      <c r="B305" s="303"/>
    </row>
    <row r="306">
      <c r="B306" s="303"/>
    </row>
    <row r="307">
      <c r="B307" s="303"/>
    </row>
    <row r="308">
      <c r="B308" s="303"/>
    </row>
    <row r="309">
      <c r="B309" s="303"/>
    </row>
    <row r="310">
      <c r="B310" s="303"/>
    </row>
    <row r="311">
      <c r="B311" s="303"/>
    </row>
    <row r="312">
      <c r="B312" s="303"/>
    </row>
    <row r="313">
      <c r="B313" s="303"/>
    </row>
    <row r="314">
      <c r="B314" s="303"/>
    </row>
    <row r="315">
      <c r="B315" s="303"/>
    </row>
    <row r="316">
      <c r="B316" s="303"/>
    </row>
    <row r="317">
      <c r="B317" s="303"/>
    </row>
    <row r="318">
      <c r="B318" s="303"/>
    </row>
    <row r="319">
      <c r="B319" s="303"/>
    </row>
    <row r="320">
      <c r="B320" s="303"/>
    </row>
    <row r="321">
      <c r="B321" s="303"/>
    </row>
    <row r="322">
      <c r="B322" s="303"/>
    </row>
    <row r="323">
      <c r="B323" s="303"/>
    </row>
    <row r="324">
      <c r="B324" s="303"/>
    </row>
    <row r="325">
      <c r="B325" s="303"/>
    </row>
    <row r="326">
      <c r="B326" s="303"/>
    </row>
    <row r="327">
      <c r="B327" s="303"/>
    </row>
    <row r="328">
      <c r="B328" s="303"/>
    </row>
    <row r="329">
      <c r="B329" s="303"/>
    </row>
    <row r="330">
      <c r="B330" s="303"/>
    </row>
    <row r="331">
      <c r="B331" s="303"/>
    </row>
    <row r="332">
      <c r="B332" s="303"/>
    </row>
    <row r="333">
      <c r="B333" s="303"/>
    </row>
    <row r="334">
      <c r="B334" s="303"/>
    </row>
    <row r="335">
      <c r="B335" s="303"/>
    </row>
    <row r="336">
      <c r="B336" s="303"/>
    </row>
    <row r="337">
      <c r="B337" s="303"/>
    </row>
    <row r="338">
      <c r="B338" s="303"/>
    </row>
    <row r="339">
      <c r="B339" s="303"/>
    </row>
    <row r="340">
      <c r="B340" s="303"/>
    </row>
    <row r="341">
      <c r="B341" s="303"/>
    </row>
    <row r="342">
      <c r="B342" s="303"/>
    </row>
    <row r="343">
      <c r="B343" s="303"/>
    </row>
    <row r="344">
      <c r="B344" s="303"/>
    </row>
    <row r="345">
      <c r="B345" s="303"/>
    </row>
    <row r="346">
      <c r="B346" s="303"/>
    </row>
    <row r="347">
      <c r="B347" s="303"/>
    </row>
    <row r="348">
      <c r="B348" s="303"/>
    </row>
    <row r="349">
      <c r="B349" s="303"/>
    </row>
    <row r="350">
      <c r="B350" s="303"/>
    </row>
    <row r="351">
      <c r="B351" s="303"/>
    </row>
    <row r="352">
      <c r="B352" s="303"/>
    </row>
    <row r="353">
      <c r="B353" s="303"/>
    </row>
    <row r="354">
      <c r="B354" s="303"/>
    </row>
    <row r="355">
      <c r="B355" s="303"/>
    </row>
    <row r="356">
      <c r="B356" s="303"/>
    </row>
    <row r="357">
      <c r="B357" s="303"/>
    </row>
    <row r="358">
      <c r="B358" s="303"/>
    </row>
    <row r="359">
      <c r="B359" s="303"/>
    </row>
    <row r="360">
      <c r="B360" s="303"/>
    </row>
    <row r="361">
      <c r="B361" s="303"/>
    </row>
    <row r="362">
      <c r="B362" s="303"/>
    </row>
    <row r="363">
      <c r="B363" s="303"/>
    </row>
    <row r="364">
      <c r="B364" s="303"/>
    </row>
    <row r="365">
      <c r="B365" s="303"/>
    </row>
    <row r="366">
      <c r="B366" s="303"/>
    </row>
    <row r="367">
      <c r="B367" s="303"/>
    </row>
    <row r="368">
      <c r="B368" s="303"/>
    </row>
    <row r="369">
      <c r="B369" s="303"/>
    </row>
    <row r="370">
      <c r="B370" s="303"/>
    </row>
    <row r="371">
      <c r="B371" s="303"/>
    </row>
    <row r="372">
      <c r="B372" s="303"/>
    </row>
    <row r="373">
      <c r="B373" s="303"/>
    </row>
    <row r="374">
      <c r="B374" s="303"/>
    </row>
    <row r="375">
      <c r="B375" s="303"/>
    </row>
    <row r="376">
      <c r="B376" s="303"/>
    </row>
    <row r="377">
      <c r="B377" s="303"/>
    </row>
    <row r="378">
      <c r="B378" s="303"/>
    </row>
    <row r="379">
      <c r="B379" s="303"/>
    </row>
    <row r="380">
      <c r="B380" s="303"/>
    </row>
    <row r="381">
      <c r="B381" s="303"/>
    </row>
    <row r="382">
      <c r="B382" s="303"/>
    </row>
    <row r="383">
      <c r="B383" s="303"/>
    </row>
    <row r="384">
      <c r="B384" s="303"/>
    </row>
    <row r="385">
      <c r="B385" s="303"/>
    </row>
    <row r="386">
      <c r="B386" s="303"/>
    </row>
    <row r="387">
      <c r="B387" s="303"/>
    </row>
    <row r="388">
      <c r="B388" s="303"/>
    </row>
    <row r="389">
      <c r="B389" s="303"/>
    </row>
    <row r="390">
      <c r="B390" s="303"/>
    </row>
    <row r="391">
      <c r="B391" s="303"/>
    </row>
    <row r="392">
      <c r="B392" s="303"/>
    </row>
    <row r="393">
      <c r="B393" s="303"/>
    </row>
    <row r="394">
      <c r="B394" s="303"/>
    </row>
    <row r="395">
      <c r="B395" s="303"/>
    </row>
    <row r="396">
      <c r="B396" s="303"/>
    </row>
    <row r="397">
      <c r="B397" s="303"/>
    </row>
    <row r="398">
      <c r="B398" s="303"/>
    </row>
    <row r="399">
      <c r="B399" s="303"/>
    </row>
    <row r="400">
      <c r="B400" s="303"/>
    </row>
    <row r="401">
      <c r="B401" s="303"/>
    </row>
    <row r="402">
      <c r="B402" s="303"/>
    </row>
    <row r="403">
      <c r="B403" s="303"/>
    </row>
    <row r="404">
      <c r="B404" s="303"/>
    </row>
    <row r="405">
      <c r="B405" s="303"/>
    </row>
    <row r="406">
      <c r="B406" s="303"/>
    </row>
    <row r="407">
      <c r="B407" s="303"/>
    </row>
    <row r="408">
      <c r="B408" s="303"/>
    </row>
    <row r="409">
      <c r="B409" s="303"/>
    </row>
    <row r="410">
      <c r="B410" s="303"/>
    </row>
    <row r="411">
      <c r="B411" s="303"/>
    </row>
    <row r="412">
      <c r="B412" s="303"/>
    </row>
    <row r="413">
      <c r="B413" s="303"/>
    </row>
    <row r="414">
      <c r="B414" s="303"/>
    </row>
    <row r="415">
      <c r="B415" s="303"/>
    </row>
    <row r="416">
      <c r="B416" s="303"/>
    </row>
    <row r="417">
      <c r="B417" s="303"/>
    </row>
    <row r="418">
      <c r="B418" s="303"/>
    </row>
    <row r="419">
      <c r="B419" s="303"/>
    </row>
    <row r="420">
      <c r="B420" s="303"/>
    </row>
    <row r="421">
      <c r="B421" s="303"/>
    </row>
    <row r="422">
      <c r="B422" s="303"/>
    </row>
    <row r="423">
      <c r="B423" s="303"/>
    </row>
    <row r="424">
      <c r="B424" s="303"/>
    </row>
    <row r="425">
      <c r="B425" s="303"/>
    </row>
    <row r="426">
      <c r="B426" s="303"/>
    </row>
    <row r="427">
      <c r="B427" s="303"/>
    </row>
    <row r="428">
      <c r="B428" s="303"/>
    </row>
    <row r="429">
      <c r="B429" s="303"/>
    </row>
    <row r="430">
      <c r="B430" s="303"/>
    </row>
    <row r="431">
      <c r="B431" s="303"/>
    </row>
    <row r="432">
      <c r="B432" s="303"/>
    </row>
    <row r="433">
      <c r="B433" s="303"/>
    </row>
    <row r="434">
      <c r="B434" s="303"/>
    </row>
    <row r="435">
      <c r="B435" s="303"/>
    </row>
    <row r="436">
      <c r="B436" s="303"/>
    </row>
    <row r="437">
      <c r="B437" s="303"/>
    </row>
    <row r="438">
      <c r="B438" s="303"/>
    </row>
    <row r="439">
      <c r="B439" s="303"/>
    </row>
    <row r="440">
      <c r="B440" s="303"/>
    </row>
    <row r="441">
      <c r="B441" s="303"/>
    </row>
    <row r="442">
      <c r="B442" s="303"/>
    </row>
    <row r="443">
      <c r="B443" s="303"/>
    </row>
    <row r="444">
      <c r="B444" s="303"/>
    </row>
    <row r="445">
      <c r="B445" s="303"/>
    </row>
    <row r="446">
      <c r="B446" s="303"/>
    </row>
    <row r="447">
      <c r="B447" s="303"/>
    </row>
    <row r="448">
      <c r="B448" s="303"/>
    </row>
    <row r="449">
      <c r="B449" s="303"/>
    </row>
    <row r="450">
      <c r="B450" s="303"/>
    </row>
    <row r="451">
      <c r="B451" s="303"/>
    </row>
    <row r="452">
      <c r="B452" s="303"/>
    </row>
    <row r="453">
      <c r="B453" s="303"/>
    </row>
    <row r="454">
      <c r="B454" s="303"/>
    </row>
    <row r="455">
      <c r="B455" s="303"/>
    </row>
    <row r="456">
      <c r="B456" s="303"/>
    </row>
    <row r="457">
      <c r="B457" s="303"/>
    </row>
    <row r="458">
      <c r="B458" s="303"/>
    </row>
    <row r="459">
      <c r="B459" s="303"/>
    </row>
    <row r="460">
      <c r="B460" s="303"/>
    </row>
    <row r="461">
      <c r="B461" s="303"/>
    </row>
    <row r="462">
      <c r="B462" s="303"/>
    </row>
    <row r="463">
      <c r="B463" s="303"/>
    </row>
    <row r="464">
      <c r="B464" s="303"/>
    </row>
    <row r="465">
      <c r="B465" s="303"/>
    </row>
    <row r="466">
      <c r="B466" s="303"/>
    </row>
    <row r="467">
      <c r="B467" s="303"/>
    </row>
    <row r="468">
      <c r="B468" s="303"/>
    </row>
    <row r="469">
      <c r="B469" s="303"/>
    </row>
    <row r="470">
      <c r="B470" s="303"/>
    </row>
    <row r="471">
      <c r="B471" s="303"/>
    </row>
    <row r="472">
      <c r="B472" s="303"/>
    </row>
    <row r="473">
      <c r="B473" s="303"/>
    </row>
    <row r="474">
      <c r="B474" s="303"/>
    </row>
    <row r="475">
      <c r="B475" s="303"/>
    </row>
    <row r="476">
      <c r="B476" s="303"/>
    </row>
    <row r="477">
      <c r="B477" s="303"/>
    </row>
    <row r="478">
      <c r="B478" s="303"/>
    </row>
    <row r="479">
      <c r="B479" s="303"/>
    </row>
    <row r="480">
      <c r="B480" s="303"/>
    </row>
    <row r="481">
      <c r="B481" s="303"/>
    </row>
    <row r="482">
      <c r="B482" s="303"/>
    </row>
    <row r="483">
      <c r="B483" s="303"/>
    </row>
    <row r="484">
      <c r="B484" s="303"/>
    </row>
    <row r="485">
      <c r="B485" s="303"/>
    </row>
    <row r="486">
      <c r="B486" s="303"/>
    </row>
    <row r="487">
      <c r="B487" s="303"/>
    </row>
    <row r="488">
      <c r="B488" s="303"/>
    </row>
    <row r="489">
      <c r="B489" s="303"/>
    </row>
    <row r="490">
      <c r="B490" s="303"/>
    </row>
    <row r="491">
      <c r="B491" s="303"/>
    </row>
    <row r="492">
      <c r="B492" s="303"/>
    </row>
    <row r="493">
      <c r="B493" s="303"/>
    </row>
    <row r="494">
      <c r="B494" s="303"/>
    </row>
    <row r="495">
      <c r="B495" s="303"/>
    </row>
    <row r="496">
      <c r="B496" s="303"/>
    </row>
    <row r="497">
      <c r="B497" s="303"/>
    </row>
    <row r="498">
      <c r="B498" s="303"/>
    </row>
    <row r="499">
      <c r="B499" s="303"/>
    </row>
    <row r="500">
      <c r="B500" s="303"/>
    </row>
    <row r="501">
      <c r="B501" s="303"/>
    </row>
    <row r="502">
      <c r="B502" s="303"/>
    </row>
    <row r="503">
      <c r="B503" s="303"/>
    </row>
    <row r="504">
      <c r="B504" s="303"/>
    </row>
    <row r="505">
      <c r="B505" s="303"/>
    </row>
    <row r="506">
      <c r="B506" s="303"/>
    </row>
    <row r="507">
      <c r="B507" s="303"/>
    </row>
    <row r="508">
      <c r="B508" s="303"/>
    </row>
    <row r="509">
      <c r="B509" s="303"/>
    </row>
    <row r="510">
      <c r="B510" s="303"/>
    </row>
    <row r="511">
      <c r="B511" s="303"/>
    </row>
    <row r="512">
      <c r="B512" s="303"/>
    </row>
    <row r="513">
      <c r="B513" s="303"/>
    </row>
    <row r="514">
      <c r="B514" s="303"/>
    </row>
    <row r="515">
      <c r="B515" s="303"/>
    </row>
    <row r="516">
      <c r="B516" s="303"/>
    </row>
    <row r="517">
      <c r="B517" s="303"/>
    </row>
    <row r="518">
      <c r="B518" s="303"/>
    </row>
    <row r="519">
      <c r="B519" s="303"/>
    </row>
    <row r="520">
      <c r="B520" s="303"/>
    </row>
    <row r="521">
      <c r="B521" s="303"/>
    </row>
    <row r="522">
      <c r="B522" s="303"/>
    </row>
    <row r="523">
      <c r="B523" s="303"/>
    </row>
    <row r="524">
      <c r="B524" s="303"/>
    </row>
    <row r="525">
      <c r="B525" s="303"/>
    </row>
    <row r="526">
      <c r="B526" s="303"/>
    </row>
    <row r="527">
      <c r="B527" s="303"/>
    </row>
    <row r="528">
      <c r="B528" s="303"/>
    </row>
    <row r="529">
      <c r="B529" s="303"/>
    </row>
    <row r="530">
      <c r="B530" s="303"/>
    </row>
    <row r="531">
      <c r="B531" s="303"/>
    </row>
    <row r="532">
      <c r="B532" s="303"/>
    </row>
    <row r="533">
      <c r="B533" s="303"/>
    </row>
    <row r="534">
      <c r="B534" s="303"/>
    </row>
    <row r="535">
      <c r="B535" s="303"/>
    </row>
    <row r="536">
      <c r="B536" s="303"/>
    </row>
    <row r="537">
      <c r="B537" s="303"/>
    </row>
    <row r="538">
      <c r="B538" s="303"/>
    </row>
    <row r="539">
      <c r="B539" s="303"/>
    </row>
    <row r="540">
      <c r="B540" s="303"/>
    </row>
    <row r="541">
      <c r="B541" s="303"/>
    </row>
    <row r="542">
      <c r="B542" s="303"/>
    </row>
    <row r="543">
      <c r="B543" s="303"/>
    </row>
    <row r="544">
      <c r="B544" s="303"/>
    </row>
    <row r="545">
      <c r="B545" s="303"/>
    </row>
    <row r="546">
      <c r="B546" s="303"/>
    </row>
    <row r="547">
      <c r="B547" s="303"/>
    </row>
    <row r="548">
      <c r="B548" s="303"/>
    </row>
    <row r="549">
      <c r="B549" s="303"/>
    </row>
    <row r="550">
      <c r="B550" s="303"/>
    </row>
    <row r="551">
      <c r="B551" s="303"/>
    </row>
    <row r="552">
      <c r="B552" s="303"/>
    </row>
    <row r="553">
      <c r="B553" s="303"/>
    </row>
    <row r="554">
      <c r="B554" s="303"/>
    </row>
    <row r="555">
      <c r="B555" s="303"/>
    </row>
    <row r="556">
      <c r="B556" s="303"/>
    </row>
    <row r="557">
      <c r="B557" s="303"/>
    </row>
    <row r="558">
      <c r="B558" s="303"/>
    </row>
    <row r="559">
      <c r="B559" s="303"/>
    </row>
    <row r="560">
      <c r="B560" s="303"/>
    </row>
    <row r="561">
      <c r="B561" s="303"/>
    </row>
    <row r="562">
      <c r="B562" s="303"/>
    </row>
    <row r="563">
      <c r="B563" s="303"/>
    </row>
    <row r="564">
      <c r="B564" s="303"/>
    </row>
    <row r="565">
      <c r="B565" s="303"/>
    </row>
    <row r="566">
      <c r="B566" s="303"/>
    </row>
    <row r="567">
      <c r="B567" s="303"/>
    </row>
    <row r="568">
      <c r="B568" s="303"/>
    </row>
    <row r="569">
      <c r="B569" s="303"/>
    </row>
    <row r="570">
      <c r="B570" s="303"/>
    </row>
    <row r="571">
      <c r="B571" s="303"/>
    </row>
    <row r="572">
      <c r="B572" s="303"/>
    </row>
    <row r="573">
      <c r="B573" s="303"/>
    </row>
    <row r="574">
      <c r="B574" s="303"/>
    </row>
    <row r="575">
      <c r="B575" s="303"/>
    </row>
    <row r="576">
      <c r="B576" s="303"/>
    </row>
    <row r="577">
      <c r="B577" s="303"/>
    </row>
    <row r="578">
      <c r="B578" s="303"/>
    </row>
    <row r="579">
      <c r="B579" s="303"/>
    </row>
    <row r="580">
      <c r="B580" s="303"/>
    </row>
    <row r="581">
      <c r="B581" s="303"/>
    </row>
    <row r="582">
      <c r="B582" s="303"/>
    </row>
    <row r="583">
      <c r="B583" s="303"/>
    </row>
    <row r="584">
      <c r="B584" s="303"/>
    </row>
    <row r="585">
      <c r="B585" s="303"/>
    </row>
    <row r="586">
      <c r="B586" s="303"/>
    </row>
    <row r="587">
      <c r="B587" s="303"/>
    </row>
    <row r="588">
      <c r="B588" s="303"/>
    </row>
    <row r="589">
      <c r="B589" s="303"/>
    </row>
    <row r="590">
      <c r="B590" s="303"/>
    </row>
    <row r="591">
      <c r="B591" s="303"/>
    </row>
    <row r="592">
      <c r="B592" s="303"/>
    </row>
    <row r="593">
      <c r="B593" s="303"/>
    </row>
    <row r="594">
      <c r="B594" s="303"/>
    </row>
    <row r="595">
      <c r="B595" s="303"/>
    </row>
    <row r="596">
      <c r="B596" s="303"/>
    </row>
    <row r="597">
      <c r="B597" s="303"/>
    </row>
    <row r="598">
      <c r="B598" s="303"/>
    </row>
    <row r="599">
      <c r="B599" s="303"/>
    </row>
    <row r="600">
      <c r="B600" s="303"/>
    </row>
    <row r="601">
      <c r="B601" s="303"/>
    </row>
    <row r="602">
      <c r="B602" s="303"/>
    </row>
    <row r="603">
      <c r="B603" s="303"/>
    </row>
    <row r="604">
      <c r="B604" s="303"/>
    </row>
    <row r="605">
      <c r="B605" s="303"/>
    </row>
    <row r="606">
      <c r="B606" s="303"/>
    </row>
    <row r="607">
      <c r="B607" s="303"/>
    </row>
    <row r="608">
      <c r="B608" s="303"/>
    </row>
    <row r="609">
      <c r="B609" s="303"/>
    </row>
    <row r="610">
      <c r="B610" s="303"/>
    </row>
    <row r="611">
      <c r="B611" s="303"/>
    </row>
    <row r="612">
      <c r="B612" s="303"/>
    </row>
    <row r="613">
      <c r="B613" s="303"/>
    </row>
    <row r="614">
      <c r="B614" s="303"/>
    </row>
    <row r="615">
      <c r="B615" s="303"/>
    </row>
    <row r="616">
      <c r="B616" s="303"/>
    </row>
    <row r="617">
      <c r="B617" s="303"/>
    </row>
    <row r="618">
      <c r="B618" s="303"/>
    </row>
    <row r="619">
      <c r="B619" s="303"/>
    </row>
    <row r="620">
      <c r="B620" s="303"/>
    </row>
    <row r="621">
      <c r="B621" s="303"/>
    </row>
    <row r="622">
      <c r="B622" s="303"/>
    </row>
    <row r="623">
      <c r="B623" s="303"/>
    </row>
    <row r="624">
      <c r="B624" s="303"/>
    </row>
    <row r="625">
      <c r="B625" s="303"/>
    </row>
    <row r="626">
      <c r="B626" s="303"/>
    </row>
    <row r="627">
      <c r="B627" s="303"/>
    </row>
    <row r="628">
      <c r="B628" s="303"/>
    </row>
    <row r="629">
      <c r="B629" s="303"/>
    </row>
    <row r="630">
      <c r="B630" s="303"/>
    </row>
    <row r="631">
      <c r="B631" s="303"/>
    </row>
    <row r="632">
      <c r="B632" s="303"/>
    </row>
    <row r="633">
      <c r="B633" s="303"/>
    </row>
    <row r="634">
      <c r="B634" s="303"/>
    </row>
    <row r="635">
      <c r="B635" s="303"/>
    </row>
    <row r="636">
      <c r="B636" s="303"/>
    </row>
    <row r="637">
      <c r="B637" s="303"/>
    </row>
    <row r="638">
      <c r="B638" s="303"/>
    </row>
    <row r="639">
      <c r="B639" s="303"/>
    </row>
    <row r="640">
      <c r="B640" s="303"/>
    </row>
    <row r="641">
      <c r="B641" s="303"/>
    </row>
    <row r="642">
      <c r="B642" s="303"/>
    </row>
    <row r="643">
      <c r="B643" s="303"/>
    </row>
    <row r="644">
      <c r="B644" s="303"/>
    </row>
    <row r="645">
      <c r="B645" s="303"/>
    </row>
    <row r="646">
      <c r="B646" s="303"/>
    </row>
    <row r="647">
      <c r="B647" s="303"/>
    </row>
    <row r="648">
      <c r="B648" s="303"/>
    </row>
    <row r="649">
      <c r="B649" s="303"/>
    </row>
    <row r="650">
      <c r="B650" s="303"/>
    </row>
    <row r="651">
      <c r="B651" s="303"/>
    </row>
    <row r="652">
      <c r="B652" s="303"/>
    </row>
    <row r="653">
      <c r="B653" s="303"/>
    </row>
    <row r="654">
      <c r="B654" s="303"/>
    </row>
    <row r="655">
      <c r="B655" s="303"/>
    </row>
    <row r="656">
      <c r="B656" s="303"/>
    </row>
    <row r="657">
      <c r="B657" s="303"/>
    </row>
    <row r="658">
      <c r="B658" s="303"/>
    </row>
    <row r="659">
      <c r="B659" s="303"/>
    </row>
    <row r="660">
      <c r="B660" s="303"/>
    </row>
    <row r="661">
      <c r="B661" s="303"/>
    </row>
    <row r="662">
      <c r="B662" s="303"/>
    </row>
    <row r="663">
      <c r="B663" s="303"/>
    </row>
    <row r="664">
      <c r="B664" s="303"/>
    </row>
    <row r="665">
      <c r="B665" s="303"/>
    </row>
    <row r="666">
      <c r="B666" s="303"/>
    </row>
    <row r="667">
      <c r="B667" s="303"/>
    </row>
    <row r="668">
      <c r="B668" s="303"/>
    </row>
    <row r="669">
      <c r="B669" s="303"/>
    </row>
    <row r="670">
      <c r="B670" s="303"/>
    </row>
    <row r="671">
      <c r="B671" s="303"/>
    </row>
    <row r="672">
      <c r="B672" s="303"/>
    </row>
    <row r="673">
      <c r="B673" s="303"/>
    </row>
    <row r="674">
      <c r="B674" s="303"/>
    </row>
    <row r="675">
      <c r="B675" s="303"/>
    </row>
    <row r="676">
      <c r="B676" s="303"/>
    </row>
    <row r="677">
      <c r="B677" s="303"/>
    </row>
    <row r="678">
      <c r="B678" s="303"/>
    </row>
    <row r="679">
      <c r="B679" s="303"/>
    </row>
    <row r="680">
      <c r="B680" s="303"/>
    </row>
    <row r="681">
      <c r="B681" s="303"/>
    </row>
    <row r="682">
      <c r="B682" s="303"/>
    </row>
    <row r="683">
      <c r="B683" s="303"/>
    </row>
    <row r="684">
      <c r="B684" s="303"/>
    </row>
    <row r="685">
      <c r="B685" s="303"/>
    </row>
    <row r="686">
      <c r="B686" s="303"/>
    </row>
    <row r="687">
      <c r="B687" s="303"/>
    </row>
    <row r="688">
      <c r="B688" s="303"/>
    </row>
    <row r="689">
      <c r="B689" s="303"/>
    </row>
    <row r="690">
      <c r="B690" s="303"/>
    </row>
    <row r="691">
      <c r="B691" s="303"/>
    </row>
    <row r="692">
      <c r="B692" s="303"/>
    </row>
    <row r="693">
      <c r="B693" s="303"/>
    </row>
    <row r="694">
      <c r="B694" s="303"/>
    </row>
    <row r="695">
      <c r="B695" s="303"/>
    </row>
    <row r="696">
      <c r="B696" s="303"/>
    </row>
    <row r="697">
      <c r="B697" s="303"/>
    </row>
    <row r="698">
      <c r="B698" s="303"/>
    </row>
    <row r="699">
      <c r="B699" s="303"/>
    </row>
    <row r="700">
      <c r="B700" s="303"/>
    </row>
    <row r="701">
      <c r="B701" s="303"/>
    </row>
    <row r="702">
      <c r="B702" s="303"/>
    </row>
    <row r="703">
      <c r="B703" s="303"/>
    </row>
    <row r="704">
      <c r="B704" s="303"/>
    </row>
    <row r="705">
      <c r="B705" s="303"/>
    </row>
    <row r="706">
      <c r="B706" s="303"/>
    </row>
    <row r="707">
      <c r="B707" s="303"/>
    </row>
    <row r="708">
      <c r="B708" s="303"/>
    </row>
    <row r="709">
      <c r="B709" s="303"/>
    </row>
    <row r="710">
      <c r="B710" s="303"/>
    </row>
    <row r="711">
      <c r="B711" s="303"/>
    </row>
    <row r="712">
      <c r="B712" s="303"/>
    </row>
    <row r="713">
      <c r="B713" s="303"/>
    </row>
    <row r="714">
      <c r="B714" s="303"/>
    </row>
    <row r="715">
      <c r="B715" s="303"/>
    </row>
    <row r="716">
      <c r="B716" s="303"/>
    </row>
    <row r="717">
      <c r="B717" s="303"/>
    </row>
    <row r="718">
      <c r="B718" s="303"/>
    </row>
    <row r="719">
      <c r="B719" s="303"/>
    </row>
    <row r="720">
      <c r="B720" s="303"/>
    </row>
    <row r="721">
      <c r="B721" s="303"/>
    </row>
    <row r="722">
      <c r="B722" s="303"/>
    </row>
    <row r="723">
      <c r="B723" s="303"/>
    </row>
    <row r="724">
      <c r="B724" s="303"/>
    </row>
    <row r="725">
      <c r="B725" s="303"/>
    </row>
    <row r="726">
      <c r="B726" s="303"/>
    </row>
    <row r="727">
      <c r="B727" s="303"/>
    </row>
    <row r="728">
      <c r="B728" s="303"/>
    </row>
    <row r="729">
      <c r="B729" s="303"/>
    </row>
    <row r="730">
      <c r="B730" s="303"/>
    </row>
    <row r="731">
      <c r="B731" s="303"/>
    </row>
    <row r="732">
      <c r="B732" s="303"/>
    </row>
    <row r="733">
      <c r="B733" s="303"/>
    </row>
    <row r="734">
      <c r="B734" s="303"/>
    </row>
    <row r="735">
      <c r="B735" s="303"/>
    </row>
    <row r="736">
      <c r="B736" s="303"/>
    </row>
    <row r="737">
      <c r="B737" s="303"/>
    </row>
    <row r="738">
      <c r="B738" s="303"/>
    </row>
    <row r="739">
      <c r="B739" s="303"/>
    </row>
    <row r="740">
      <c r="B740" s="303"/>
    </row>
    <row r="741">
      <c r="B741" s="303"/>
    </row>
    <row r="742">
      <c r="B742" s="303"/>
    </row>
    <row r="743">
      <c r="B743" s="303"/>
    </row>
    <row r="744">
      <c r="B744" s="303"/>
    </row>
    <row r="745">
      <c r="B745" s="303"/>
    </row>
    <row r="746">
      <c r="B746" s="303"/>
    </row>
    <row r="747">
      <c r="B747" s="303"/>
    </row>
    <row r="748">
      <c r="B748" s="303"/>
    </row>
    <row r="749">
      <c r="B749" s="303"/>
    </row>
    <row r="750">
      <c r="B750" s="303"/>
    </row>
    <row r="751">
      <c r="B751" s="303"/>
    </row>
    <row r="752">
      <c r="B752" s="303"/>
    </row>
    <row r="753">
      <c r="B753" s="303"/>
    </row>
    <row r="754">
      <c r="B754" s="303"/>
    </row>
    <row r="755">
      <c r="B755" s="303"/>
    </row>
    <row r="756">
      <c r="B756" s="303"/>
    </row>
    <row r="757">
      <c r="B757" s="303"/>
    </row>
    <row r="758">
      <c r="B758" s="303"/>
    </row>
    <row r="759">
      <c r="B759" s="303"/>
    </row>
    <row r="760">
      <c r="B760" s="303"/>
    </row>
    <row r="761">
      <c r="B761" s="303"/>
    </row>
    <row r="762">
      <c r="B762" s="303"/>
    </row>
    <row r="763">
      <c r="B763" s="303"/>
    </row>
    <row r="764">
      <c r="B764" s="303"/>
    </row>
    <row r="765">
      <c r="B765" s="303"/>
    </row>
    <row r="766">
      <c r="B766" s="303"/>
    </row>
    <row r="767">
      <c r="B767" s="303"/>
    </row>
    <row r="768">
      <c r="B768" s="303"/>
    </row>
    <row r="769">
      <c r="B769" s="303"/>
    </row>
    <row r="770">
      <c r="B770" s="303"/>
    </row>
    <row r="771">
      <c r="B771" s="303"/>
    </row>
    <row r="772">
      <c r="B772" s="303"/>
    </row>
    <row r="773">
      <c r="B773" s="303"/>
    </row>
    <row r="774">
      <c r="B774" s="303"/>
    </row>
    <row r="775">
      <c r="B775" s="303"/>
    </row>
    <row r="776">
      <c r="B776" s="303"/>
    </row>
    <row r="777">
      <c r="B777" s="303"/>
    </row>
    <row r="778">
      <c r="B778" s="303"/>
    </row>
    <row r="779">
      <c r="B779" s="303"/>
    </row>
    <row r="780">
      <c r="B780" s="303"/>
    </row>
    <row r="781">
      <c r="B781" s="303"/>
    </row>
    <row r="782">
      <c r="B782" s="303"/>
    </row>
    <row r="783">
      <c r="B783" s="303"/>
    </row>
    <row r="784">
      <c r="B784" s="303"/>
    </row>
    <row r="785">
      <c r="B785" s="303"/>
    </row>
    <row r="786">
      <c r="B786" s="303"/>
    </row>
    <row r="787">
      <c r="B787" s="303"/>
    </row>
    <row r="788">
      <c r="B788" s="303"/>
    </row>
    <row r="789">
      <c r="B789" s="303"/>
    </row>
    <row r="790">
      <c r="B790" s="303"/>
    </row>
    <row r="791">
      <c r="B791" s="303"/>
    </row>
    <row r="792">
      <c r="B792" s="303"/>
    </row>
    <row r="793">
      <c r="B793" s="303"/>
    </row>
    <row r="794">
      <c r="B794" s="303"/>
    </row>
    <row r="795">
      <c r="B795" s="303"/>
    </row>
    <row r="796">
      <c r="B796" s="303"/>
    </row>
    <row r="797">
      <c r="B797" s="303"/>
    </row>
    <row r="798">
      <c r="B798" s="303"/>
    </row>
    <row r="799">
      <c r="B799" s="303"/>
    </row>
    <row r="800">
      <c r="B800" s="303"/>
    </row>
    <row r="801">
      <c r="B801" s="303"/>
    </row>
    <row r="802">
      <c r="B802" s="303"/>
    </row>
    <row r="803">
      <c r="B803" s="303"/>
    </row>
    <row r="804">
      <c r="B804" s="303"/>
    </row>
    <row r="805">
      <c r="B805" s="303"/>
    </row>
    <row r="806">
      <c r="B806" s="303"/>
    </row>
    <row r="807">
      <c r="B807" s="303"/>
    </row>
    <row r="808">
      <c r="B808" s="303"/>
    </row>
    <row r="809">
      <c r="B809" s="303"/>
    </row>
    <row r="810">
      <c r="B810" s="303"/>
    </row>
    <row r="811">
      <c r="B811" s="303"/>
    </row>
    <row r="812">
      <c r="B812" s="303"/>
    </row>
    <row r="813">
      <c r="B813" s="303"/>
    </row>
    <row r="814">
      <c r="B814" s="303"/>
    </row>
    <row r="815">
      <c r="B815" s="303"/>
    </row>
    <row r="816">
      <c r="B816" s="303"/>
    </row>
    <row r="817">
      <c r="B817" s="303"/>
    </row>
    <row r="818">
      <c r="B818" s="303"/>
    </row>
    <row r="819">
      <c r="B819" s="303"/>
    </row>
    <row r="820">
      <c r="B820" s="303"/>
    </row>
    <row r="821">
      <c r="B821" s="303"/>
    </row>
    <row r="822">
      <c r="B822" s="303"/>
    </row>
    <row r="823">
      <c r="B823" s="303"/>
    </row>
    <row r="824">
      <c r="B824" s="303"/>
    </row>
    <row r="825">
      <c r="B825" s="303"/>
    </row>
    <row r="826">
      <c r="B826" s="303"/>
    </row>
    <row r="827">
      <c r="B827" s="303"/>
    </row>
    <row r="828">
      <c r="B828" s="303"/>
    </row>
    <row r="829">
      <c r="B829" s="303"/>
    </row>
    <row r="830">
      <c r="B830" s="303"/>
    </row>
    <row r="831">
      <c r="B831" s="303"/>
    </row>
    <row r="832">
      <c r="B832" s="303"/>
    </row>
    <row r="833">
      <c r="B833" s="303"/>
    </row>
    <row r="834">
      <c r="B834" s="303"/>
    </row>
    <row r="835">
      <c r="B835" s="303"/>
    </row>
    <row r="836">
      <c r="B836" s="303"/>
    </row>
    <row r="837">
      <c r="B837" s="303"/>
    </row>
    <row r="838">
      <c r="B838" s="303"/>
    </row>
    <row r="839">
      <c r="B839" s="303"/>
    </row>
    <row r="840">
      <c r="B840" s="303"/>
    </row>
    <row r="841">
      <c r="B841" s="303"/>
    </row>
    <row r="842">
      <c r="B842" s="303"/>
    </row>
    <row r="843">
      <c r="B843" s="303"/>
    </row>
    <row r="844">
      <c r="B844" s="303"/>
    </row>
    <row r="845">
      <c r="B845" s="303"/>
    </row>
    <row r="846">
      <c r="B846" s="303"/>
    </row>
    <row r="847">
      <c r="B847" s="303"/>
    </row>
    <row r="848">
      <c r="B848" s="303"/>
    </row>
    <row r="849">
      <c r="B849" s="303"/>
    </row>
    <row r="850">
      <c r="B850" s="303"/>
    </row>
    <row r="851">
      <c r="B851" s="303"/>
    </row>
    <row r="852">
      <c r="B852" s="303"/>
    </row>
    <row r="853">
      <c r="B853" s="303"/>
    </row>
    <row r="854">
      <c r="B854" s="303"/>
    </row>
    <row r="855">
      <c r="B855" s="303"/>
    </row>
    <row r="856">
      <c r="B856" s="303"/>
    </row>
    <row r="857">
      <c r="B857" s="303"/>
    </row>
    <row r="858">
      <c r="B858" s="303"/>
    </row>
    <row r="859">
      <c r="B859" s="303"/>
    </row>
    <row r="860">
      <c r="B860" s="303"/>
    </row>
    <row r="861">
      <c r="B861" s="303"/>
    </row>
    <row r="862">
      <c r="B862" s="303"/>
    </row>
    <row r="863">
      <c r="B863" s="303"/>
    </row>
    <row r="864">
      <c r="B864" s="303"/>
    </row>
    <row r="865">
      <c r="B865" s="303"/>
    </row>
    <row r="866">
      <c r="B866" s="303"/>
    </row>
    <row r="867">
      <c r="B867" s="303"/>
    </row>
    <row r="868">
      <c r="B868" s="303"/>
    </row>
    <row r="869">
      <c r="B869" s="303"/>
    </row>
    <row r="870">
      <c r="B870" s="303"/>
    </row>
    <row r="871">
      <c r="B871" s="303"/>
    </row>
    <row r="872">
      <c r="B872" s="303"/>
    </row>
    <row r="873">
      <c r="B873" s="303"/>
    </row>
    <row r="874">
      <c r="B874" s="303"/>
    </row>
    <row r="875">
      <c r="B875" s="303"/>
    </row>
    <row r="876">
      <c r="B876" s="303"/>
    </row>
    <row r="877">
      <c r="B877" s="303"/>
    </row>
    <row r="878">
      <c r="B878" s="303"/>
    </row>
    <row r="879">
      <c r="B879" s="303"/>
    </row>
    <row r="880">
      <c r="B880" s="303"/>
    </row>
    <row r="881">
      <c r="B881" s="303"/>
    </row>
    <row r="882">
      <c r="B882" s="303"/>
    </row>
    <row r="883">
      <c r="B883" s="303"/>
    </row>
    <row r="884">
      <c r="B884" s="303"/>
    </row>
    <row r="885">
      <c r="B885" s="303"/>
    </row>
    <row r="886">
      <c r="B886" s="303"/>
    </row>
    <row r="887">
      <c r="B887" s="303"/>
    </row>
    <row r="888">
      <c r="B888" s="303"/>
    </row>
    <row r="889">
      <c r="B889" s="303"/>
    </row>
    <row r="890">
      <c r="B890" s="303"/>
    </row>
    <row r="891">
      <c r="B891" s="303"/>
    </row>
    <row r="892">
      <c r="B892" s="303"/>
    </row>
    <row r="893">
      <c r="B893" s="303"/>
    </row>
    <row r="894">
      <c r="B894" s="303"/>
    </row>
    <row r="895">
      <c r="B895" s="303"/>
    </row>
    <row r="896">
      <c r="B896" s="303"/>
    </row>
    <row r="897">
      <c r="B897" s="303"/>
    </row>
    <row r="898">
      <c r="B898" s="303"/>
    </row>
    <row r="899">
      <c r="B899" s="303"/>
    </row>
    <row r="900">
      <c r="B900" s="303"/>
    </row>
    <row r="901">
      <c r="B901" s="303"/>
    </row>
    <row r="902">
      <c r="B902" s="303"/>
    </row>
    <row r="903">
      <c r="B903" s="303"/>
    </row>
    <row r="904">
      <c r="B904" s="303"/>
    </row>
    <row r="905">
      <c r="B905" s="303"/>
    </row>
    <row r="906">
      <c r="B906" s="303"/>
    </row>
    <row r="907">
      <c r="B907" s="303"/>
    </row>
    <row r="908">
      <c r="B908" s="303"/>
    </row>
    <row r="909">
      <c r="B909" s="303"/>
    </row>
    <row r="910">
      <c r="B910" s="303"/>
    </row>
    <row r="911">
      <c r="B911" s="303"/>
    </row>
    <row r="912">
      <c r="B912" s="303"/>
    </row>
    <row r="913">
      <c r="B913" s="303"/>
    </row>
    <row r="914">
      <c r="B914" s="303"/>
    </row>
    <row r="915">
      <c r="B915" s="303"/>
    </row>
    <row r="916">
      <c r="B916" s="303"/>
    </row>
    <row r="917">
      <c r="B917" s="303"/>
    </row>
    <row r="918">
      <c r="B918" s="303"/>
    </row>
    <row r="919">
      <c r="B919" s="303"/>
    </row>
    <row r="920">
      <c r="B920" s="303"/>
    </row>
    <row r="921">
      <c r="B921" s="303"/>
    </row>
    <row r="922">
      <c r="B922" s="303"/>
    </row>
    <row r="923">
      <c r="B923" s="303"/>
    </row>
    <row r="924">
      <c r="B924" s="303"/>
    </row>
    <row r="925">
      <c r="B925" s="303"/>
    </row>
    <row r="926">
      <c r="B926" s="303"/>
    </row>
    <row r="927">
      <c r="B927" s="303"/>
    </row>
    <row r="928">
      <c r="B928" s="303"/>
    </row>
    <row r="929">
      <c r="B929" s="303"/>
    </row>
    <row r="930">
      <c r="B930" s="303"/>
    </row>
    <row r="931">
      <c r="B931" s="303"/>
    </row>
    <row r="932">
      <c r="B932" s="303"/>
    </row>
    <row r="933">
      <c r="B933" s="303"/>
    </row>
    <row r="934">
      <c r="B934" s="303"/>
    </row>
    <row r="935">
      <c r="B935" s="303"/>
    </row>
    <row r="936">
      <c r="B936" s="303"/>
    </row>
    <row r="937">
      <c r="B937" s="303"/>
    </row>
    <row r="938">
      <c r="B938" s="303"/>
    </row>
    <row r="939">
      <c r="B939" s="303"/>
    </row>
    <row r="940">
      <c r="B940" s="303"/>
    </row>
    <row r="941">
      <c r="B941" s="303"/>
    </row>
    <row r="942">
      <c r="B942" s="303"/>
    </row>
    <row r="943">
      <c r="B943" s="303"/>
    </row>
    <row r="944">
      <c r="B944" s="303"/>
    </row>
    <row r="945">
      <c r="B945" s="303"/>
    </row>
    <row r="946">
      <c r="B946" s="303"/>
    </row>
    <row r="947">
      <c r="B947" s="303"/>
    </row>
    <row r="948">
      <c r="B948" s="303"/>
    </row>
    <row r="949">
      <c r="B949" s="303"/>
    </row>
    <row r="950">
      <c r="B950" s="303"/>
    </row>
    <row r="951">
      <c r="B951" s="303"/>
    </row>
    <row r="952">
      <c r="B952" s="303"/>
    </row>
    <row r="953">
      <c r="B953" s="303"/>
    </row>
    <row r="954">
      <c r="B954" s="303"/>
    </row>
    <row r="955">
      <c r="B955" s="303"/>
    </row>
    <row r="956">
      <c r="B956" s="303"/>
    </row>
    <row r="957">
      <c r="B957" s="303"/>
    </row>
    <row r="958">
      <c r="B958" s="303"/>
    </row>
    <row r="959">
      <c r="B959" s="303"/>
    </row>
    <row r="960">
      <c r="B960" s="303"/>
    </row>
    <row r="961">
      <c r="B961" s="303"/>
    </row>
    <row r="962">
      <c r="B962" s="303"/>
    </row>
    <row r="963">
      <c r="B963" s="303"/>
    </row>
    <row r="964">
      <c r="B964" s="303"/>
    </row>
    <row r="965">
      <c r="B965" s="303"/>
    </row>
    <row r="966">
      <c r="B966" s="303"/>
    </row>
    <row r="967">
      <c r="B967" s="303"/>
    </row>
    <row r="968">
      <c r="B968" s="303"/>
    </row>
    <row r="969">
      <c r="B969" s="303"/>
    </row>
    <row r="970">
      <c r="B970" s="303"/>
    </row>
    <row r="971">
      <c r="B971" s="303"/>
    </row>
    <row r="972">
      <c r="B972" s="303"/>
    </row>
    <row r="973">
      <c r="B973" s="303"/>
    </row>
    <row r="974">
      <c r="B974" s="303"/>
    </row>
    <row r="975">
      <c r="B975" s="303"/>
    </row>
    <row r="976">
      <c r="B976" s="303"/>
    </row>
    <row r="977">
      <c r="B977" s="303"/>
    </row>
    <row r="978">
      <c r="B978" s="303"/>
    </row>
    <row r="979">
      <c r="B979" s="303"/>
    </row>
    <row r="980">
      <c r="B980" s="303"/>
    </row>
    <row r="981">
      <c r="B981" s="303"/>
    </row>
    <row r="982">
      <c r="B982" s="303"/>
    </row>
    <row r="983">
      <c r="B983" s="303"/>
    </row>
    <row r="984">
      <c r="B984" s="303"/>
    </row>
    <row r="985">
      <c r="B985" s="303"/>
    </row>
    <row r="986">
      <c r="B986" s="303"/>
    </row>
    <row r="987">
      <c r="B987" s="303"/>
    </row>
    <row r="988">
      <c r="B988" s="303"/>
    </row>
    <row r="989">
      <c r="B989" s="303"/>
    </row>
    <row r="990">
      <c r="B990" s="303"/>
    </row>
    <row r="991">
      <c r="B991" s="303"/>
    </row>
    <row r="992">
      <c r="B992" s="303"/>
    </row>
    <row r="993">
      <c r="B993" s="303"/>
    </row>
    <row r="994">
      <c r="B994" s="303"/>
    </row>
    <row r="995">
      <c r="B995" s="303"/>
    </row>
    <row r="996">
      <c r="B996" s="303"/>
    </row>
    <row r="997">
      <c r="B997" s="303"/>
    </row>
    <row r="998">
      <c r="B998" s="303"/>
    </row>
    <row r="999">
      <c r="B999" s="303"/>
    </row>
  </sheetData>
  <autoFilter ref="$A$1:$B$128"/>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pageSetUpPr fitToPage="1"/>
  </sheetPr>
  <sheetViews>
    <sheetView showGridLines="0" workbookViewId="0">
      <pane xSplit="5.0" ySplit="12.0" topLeftCell="F13" activePane="bottomRight" state="frozen"/>
      <selection activeCell="F1" sqref="F1" pane="topRight"/>
      <selection activeCell="A13" sqref="A13" pane="bottomLeft"/>
      <selection activeCell="F13" sqref="F13" pane="bottomRight"/>
    </sheetView>
  </sheetViews>
  <sheetFormatPr customHeight="1" defaultColWidth="12.63" defaultRowHeight="15.75"/>
  <cols>
    <col customWidth="1" hidden="1" min="1" max="1" width="15.38"/>
    <col hidden="1" min="2" max="2" width="12.63"/>
    <col customWidth="1" hidden="1" min="3" max="3" width="14.25"/>
    <col hidden="1" min="4" max="4" width="12.63"/>
    <col customWidth="1" min="5" max="5" width="20.88"/>
    <col customWidth="1" min="13" max="13" width="13.75"/>
    <col customWidth="1" min="17" max="17" width="14.88"/>
    <col hidden="1" min="68" max="69" width="12.63"/>
  </cols>
  <sheetData>
    <row r="1" hidden="1">
      <c r="A1" s="118" t="s">
        <v>455</v>
      </c>
    </row>
    <row r="2" hidden="1">
      <c r="A2" s="118" t="s">
        <v>456</v>
      </c>
      <c r="B2" s="118" t="s">
        <v>457</v>
      </c>
      <c r="C2" s="118" t="s">
        <v>327</v>
      </c>
    </row>
    <row r="3" hidden="1">
      <c r="A3" s="12" t="s">
        <v>458</v>
      </c>
      <c r="B3" s="257" t="s">
        <v>1</v>
      </c>
      <c r="C3" s="186">
        <f>match(B3,'Output_HALO - DACH'!$1:$1,0)</f>
        <v>2</v>
      </c>
      <c r="H3" s="347"/>
      <c r="I3" s="347"/>
      <c r="J3" s="347"/>
      <c r="K3" s="347"/>
      <c r="L3" s="347"/>
      <c r="M3" s="347"/>
    </row>
    <row r="4" hidden="1">
      <c r="A4" s="12" t="s">
        <v>459</v>
      </c>
      <c r="B4" s="257" t="s">
        <v>2</v>
      </c>
      <c r="C4" s="186">
        <f>match(B4,'Output_HALO - DACH'!$1:$1,0)</f>
        <v>11</v>
      </c>
      <c r="G4" s="347"/>
      <c r="H4" s="347"/>
      <c r="I4" s="347"/>
      <c r="J4" s="347"/>
      <c r="K4" s="347"/>
      <c r="L4" s="347"/>
      <c r="M4" s="347"/>
    </row>
    <row r="5" hidden="1">
      <c r="A5" s="12" t="s">
        <v>460</v>
      </c>
      <c r="B5" s="257" t="s">
        <v>323</v>
      </c>
      <c r="C5" s="186">
        <f>match(B5,'Output_HALO - DACH'!$1:$1,0)</f>
        <v>4</v>
      </c>
      <c r="E5" s="347" t="s">
        <v>461</v>
      </c>
      <c r="G5" s="347"/>
      <c r="H5" s="347"/>
      <c r="I5" s="347"/>
      <c r="J5" s="347"/>
      <c r="K5" s="347"/>
      <c r="L5" s="347"/>
      <c r="M5" s="347"/>
    </row>
    <row r="6" hidden="1">
      <c r="A6" s="12" t="s">
        <v>462</v>
      </c>
      <c r="B6" s="257" t="s">
        <v>324</v>
      </c>
      <c r="C6" s="186">
        <f>match(B6,'Output_HALO - DACH'!$1:$1,0)</f>
        <v>5</v>
      </c>
    </row>
    <row r="7" hidden="1">
      <c r="A7" s="12" t="s">
        <v>463</v>
      </c>
      <c r="B7" s="257" t="s">
        <v>328</v>
      </c>
      <c r="C7" s="186">
        <f>match(B7,'Output_HALO - DACH'!$1:$1,0)</f>
        <v>9</v>
      </c>
    </row>
    <row r="8" hidden="1">
      <c r="A8" s="12" t="s">
        <v>464</v>
      </c>
      <c r="B8" s="257" t="s">
        <v>465</v>
      </c>
      <c r="C8" s="186">
        <f>match(B8,'Output_HALO - DACH'!$1:$1,0)</f>
        <v>19</v>
      </c>
    </row>
    <row r="9">
      <c r="E9" s="348" t="s">
        <v>466</v>
      </c>
      <c r="F9" s="349" t="str">
        <f t="array" ref="F9">iferror(vlookup(F$12&amp;"-"&amp;$E13,{index('Output_HALO - DACH'!$A:$ZZ,0,$C$8),index('Output_HALO - DACH'!$A:$ZZ,0,$C7)},2,0),iferror(vlookup(F$12&amp;"-"&amp;$E16,{index('Output_HALO - DACH'!$A:$ZZ,0,$C$8),index('Output_HALO - DACH'!$A:$ZZ,0,$C7)},2,0),iferror(vlookup(F$12&amp;"-"&amp;$E19,{index('Output_HALO - DACH'!$A:$ZZ,0,$C$8),index('Output_HALO - DACH'!$A:$ZZ,0,$C7)},2,0),iferror(vlookup(F$12&amp;"-"&amp;$E22,{index('Output_HALO - DACH'!$A:$ZZ,0,$C$8),index('Output_HALO - DACH'!$A:$ZZ,0,$C7)},2,0),iferror(vlookup(F$12&amp;"-"&amp;$E25,{index('Output_HALO - DACH'!$A:$ZZ,0,$C$8),index('Output_HALO - DACH'!$A:$ZZ,0,$C7)},2,0),"")))))</f>
        <v/>
      </c>
      <c r="G9" s="349" t="str">
        <f t="array" ref="G9">iferror(vlookup(G$12&amp;"-"&amp;$E13,{index('Output_HALO - DACH'!$A:$ZZ,0,$C$8),index('Output_HALO - DACH'!$A:$ZZ,0,$C7)},2,0),iferror(vlookup(G$12&amp;"-"&amp;$E16,{index('Output_HALO - DACH'!$A:$ZZ,0,$C$8),index('Output_HALO - DACH'!$A:$ZZ,0,$C7)},2,0),iferror(vlookup(G$12&amp;"-"&amp;$E19,{index('Output_HALO - DACH'!$A:$ZZ,0,$C$8),index('Output_HALO - DACH'!$A:$ZZ,0,$C7)},2,0),iferror(vlookup(G$12&amp;"-"&amp;$E22,{index('Output_HALO - DACH'!$A:$ZZ,0,$C$8),index('Output_HALO - DACH'!$A:$ZZ,0,$C7)},2,0),iferror(vlookup(G$12&amp;"-"&amp;$E25,{index('Output_HALO - DACH'!$A:$ZZ,0,$C$8),index('Output_HALO - DACH'!$A:$ZZ,0,$C7)},2,0),"")))))</f>
        <v>Packaging</v>
      </c>
      <c r="H9" s="349" t="str">
        <f t="array" ref="H9">iferror(vlookup(H$12&amp;"-"&amp;$E13,{index('Output_HALO - DACH'!$A:$ZZ,0,$C$8),index('Output_HALO - DACH'!$A:$ZZ,0,$C7)},2,0),iferror(vlookup(H$12&amp;"-"&amp;$E16,{index('Output_HALO - DACH'!$A:$ZZ,0,$C$8),index('Output_HALO - DACH'!$A:$ZZ,0,$C7)},2,0),iferror(vlookup(H$12&amp;"-"&amp;$E19,{index('Output_HALO - DACH'!$A:$ZZ,0,$C$8),index('Output_HALO - DACH'!$A:$ZZ,0,$C7)},2,0),iferror(vlookup(H$12&amp;"-"&amp;$E22,{index('Output_HALO - DACH'!$A:$ZZ,0,$C$8),index('Output_HALO - DACH'!$A:$ZZ,0,$C7)},2,0),iferror(vlookup(H$12&amp;"-"&amp;$E25,{index('Output_HALO - DACH'!$A:$ZZ,0,$C$8),index('Output_HALO - DACH'!$A:$ZZ,0,$C7)},2,0),"")))))</f>
        <v>Packaging</v>
      </c>
      <c r="I9" s="349" t="str">
        <f t="array" ref="I9">iferror(vlookup(I$12&amp;"-"&amp;$E13,{index('Output_HALO - DACH'!$A:$ZZ,0,$C$8),index('Output_HALO - DACH'!$A:$ZZ,0,$C7)},2,0),iferror(vlookup(I$12&amp;"-"&amp;$E16,{index('Output_HALO - DACH'!$A:$ZZ,0,$C$8),index('Output_HALO - DACH'!$A:$ZZ,0,$C7)},2,0),iferror(vlookup(I$12&amp;"-"&amp;$E19,{index('Output_HALO - DACH'!$A:$ZZ,0,$C$8),index('Output_HALO - DACH'!$A:$ZZ,0,$C7)},2,0),iferror(vlookup(I$12&amp;"-"&amp;$E22,{index('Output_HALO - DACH'!$A:$ZZ,0,$C$8),index('Output_HALO - DACH'!$A:$ZZ,0,$C7)},2,0),iferror(vlookup(I$12&amp;"-"&amp;$E25,{index('Output_HALO - DACH'!$A:$ZZ,0,$C$8),index('Output_HALO - DACH'!$A:$ZZ,0,$C7)},2,0),"")))))</f>
        <v/>
      </c>
      <c r="J9" s="349" t="str">
        <f t="array" ref="J9">iferror(vlookup(J$12&amp;"-"&amp;$E13,{index('Output_HALO - DACH'!$A:$ZZ,0,$C$8),index('Output_HALO - DACH'!$A:$ZZ,0,$C7)},2,0),iferror(vlookup(J$12&amp;"-"&amp;$E16,{index('Output_HALO - DACH'!$A:$ZZ,0,$C$8),index('Output_HALO - DACH'!$A:$ZZ,0,$C7)},2,0),iferror(vlookup(J$12&amp;"-"&amp;$E19,{index('Output_HALO - DACH'!$A:$ZZ,0,$C$8),index('Output_HALO - DACH'!$A:$ZZ,0,$C7)},2,0),iferror(vlookup(J$12&amp;"-"&amp;$E22,{index('Output_HALO - DACH'!$A:$ZZ,0,$C$8),index('Output_HALO - DACH'!$A:$ZZ,0,$C7)},2,0),iferror(vlookup(J$12&amp;"-"&amp;$E25,{index('Output_HALO - DACH'!$A:$ZZ,0,$C$8),index('Output_HALO - DACH'!$A:$ZZ,0,$C7)},2,0),"")))))</f>
        <v>Packaging</v>
      </c>
      <c r="K9" s="349" t="str">
        <f t="array" ref="K9">iferror(vlookup(K$12&amp;"-"&amp;$E13,{index('Output_HALO - DACH'!$A:$ZZ,0,$C$8),index('Output_HALO - DACH'!$A:$ZZ,0,$C7)},2,0),iferror(vlookup(K$12&amp;"-"&amp;$E16,{index('Output_HALO - DACH'!$A:$ZZ,0,$C$8),index('Output_HALO - DACH'!$A:$ZZ,0,$C7)},2,0),iferror(vlookup(K$12&amp;"-"&amp;$E19,{index('Output_HALO - DACH'!$A:$ZZ,0,$C$8),index('Output_HALO - DACH'!$A:$ZZ,0,$C7)},2,0),iferror(vlookup(K$12&amp;"-"&amp;$E22,{index('Output_HALO - DACH'!$A:$ZZ,0,$C$8),index('Output_HALO - DACH'!$A:$ZZ,0,$C7)},2,0),iferror(vlookup(K$12&amp;"-"&amp;$E25,{index('Output_HALO - DACH'!$A:$ZZ,0,$C$8),index('Output_HALO - DACH'!$A:$ZZ,0,$C7)},2,0),"")))))</f>
        <v>Packaging</v>
      </c>
      <c r="L9" s="349" t="str">
        <f t="array" ref="L9">iferror(vlookup(L$12&amp;"-"&amp;$E13,{index('Output_HALO - DACH'!$A:$ZZ,0,$C$8),index('Output_HALO - DACH'!$A:$ZZ,0,$C7)},2,0),iferror(vlookup(L$12&amp;"-"&amp;$E16,{index('Output_HALO - DACH'!$A:$ZZ,0,$C$8),index('Output_HALO - DACH'!$A:$ZZ,0,$C7)},2,0),iferror(vlookup(L$12&amp;"-"&amp;$E19,{index('Output_HALO - DACH'!$A:$ZZ,0,$C$8),index('Output_HALO - DACH'!$A:$ZZ,0,$C7)},2,0),iferror(vlookup(L$12&amp;"-"&amp;$E22,{index('Output_HALO - DACH'!$A:$ZZ,0,$C$8),index('Output_HALO - DACH'!$A:$ZZ,0,$C7)},2,0),iferror(vlookup(L$12&amp;"-"&amp;$E25,{index('Output_HALO - DACH'!$A:$ZZ,0,$C$8),index('Output_HALO - DACH'!$A:$ZZ,0,$C7)},2,0),"")))))</f>
        <v>Packaging</v>
      </c>
      <c r="M9" s="349" t="str">
        <f t="array" ref="M9">iferror(vlookup(M$12&amp;"-"&amp;$E13,{index('Output_HALO - DACH'!$A:$ZZ,0,$C$8),index('Output_HALO - DACH'!$A:$ZZ,0,$C7)},2,0),iferror(vlookup(M$12&amp;"-"&amp;$E16,{index('Output_HALO - DACH'!$A:$ZZ,0,$C$8),index('Output_HALO - DACH'!$A:$ZZ,0,$C7)},2,0),iferror(vlookup(M$12&amp;"-"&amp;$E19,{index('Output_HALO - DACH'!$A:$ZZ,0,$C$8),index('Output_HALO - DACH'!$A:$ZZ,0,$C7)},2,0),iferror(vlookup(M$12&amp;"-"&amp;$E22,{index('Output_HALO - DACH'!$A:$ZZ,0,$C$8),index('Output_HALO - DACH'!$A:$ZZ,0,$C7)},2,0),iferror(vlookup(M$12&amp;"-"&amp;$E25,{index('Output_HALO - DACH'!$A:$ZZ,0,$C$8),index('Output_HALO - DACH'!$A:$ZZ,0,$C7)},2,0),"")))))</f>
        <v>Packaging</v>
      </c>
      <c r="N9" s="349" t="str">
        <f t="array" ref="N9">iferror(vlookup(N$12&amp;"-"&amp;$E13,{index('Output_HALO - DACH'!$A:$ZZ,0,$C$8),index('Output_HALO - DACH'!$A:$ZZ,0,$C7)},2,0),iferror(vlookup(N$12&amp;"-"&amp;$E16,{index('Output_HALO - DACH'!$A:$ZZ,0,$C$8),index('Output_HALO - DACH'!$A:$ZZ,0,$C7)},2,0),iferror(vlookup(N$12&amp;"-"&amp;$E19,{index('Output_HALO - DACH'!$A:$ZZ,0,$C$8),index('Output_HALO - DACH'!$A:$ZZ,0,$C7)},2,0),iferror(vlookup(N$12&amp;"-"&amp;$E22,{index('Output_HALO - DACH'!$A:$ZZ,0,$C$8),index('Output_HALO - DACH'!$A:$ZZ,0,$C7)},2,0),iferror(vlookup(N$12&amp;"-"&amp;$E25,{index('Output_HALO - DACH'!$A:$ZZ,0,$C$8),index('Output_HALO - DACH'!$A:$ZZ,0,$C7)},2,0),"")))))</f>
        <v>Packaging</v>
      </c>
      <c r="O9" s="349" t="str">
        <f t="array" ref="O9">iferror(vlookup(O$12&amp;"-"&amp;$E13,{index('Output_HALO - DACH'!$A:$ZZ,0,$C$8),index('Output_HALO - DACH'!$A:$ZZ,0,$C7)},2,0),iferror(vlookup(O$12&amp;"-"&amp;$E16,{index('Output_HALO - DACH'!$A:$ZZ,0,$C$8),index('Output_HALO - DACH'!$A:$ZZ,0,$C7)},2,0),iferror(vlookup(O$12&amp;"-"&amp;$E19,{index('Output_HALO - DACH'!$A:$ZZ,0,$C$8),index('Output_HALO - DACH'!$A:$ZZ,0,$C7)},2,0),iferror(vlookup(O$12&amp;"-"&amp;$E22,{index('Output_HALO - DACH'!$A:$ZZ,0,$C$8),index('Output_HALO - DACH'!$A:$ZZ,0,$C7)},2,0),iferror(vlookup(O$12&amp;"-"&amp;$E25,{index('Output_HALO - DACH'!$A:$ZZ,0,$C$8),index('Output_HALO - DACH'!$A:$ZZ,0,$C7)},2,0),"")))))</f>
        <v/>
      </c>
      <c r="P9" s="349" t="str">
        <f t="array" ref="P9">iferror(vlookup(P$12&amp;"-"&amp;$E13,{index('Output_HALO - DACH'!$A:$ZZ,0,$C$8),index('Output_HALO - DACH'!$A:$ZZ,0,$C7)},2,0),iferror(vlookup(P$12&amp;"-"&amp;$E16,{index('Output_HALO - DACH'!$A:$ZZ,0,$C$8),index('Output_HALO - DACH'!$A:$ZZ,0,$C7)},2,0),iferror(vlookup(P$12&amp;"-"&amp;$E19,{index('Output_HALO - DACH'!$A:$ZZ,0,$C$8),index('Output_HALO - DACH'!$A:$ZZ,0,$C7)},2,0),iferror(vlookup(P$12&amp;"-"&amp;$E22,{index('Output_HALO - DACH'!$A:$ZZ,0,$C$8),index('Output_HALO - DACH'!$A:$ZZ,0,$C7)},2,0),iferror(vlookup(P$12&amp;"-"&amp;$E25,{index('Output_HALO - DACH'!$A:$ZZ,0,$C$8),index('Output_HALO - DACH'!$A:$ZZ,0,$C7)},2,0),"")))))</f>
        <v/>
      </c>
      <c r="Q9" s="349" t="str">
        <f t="array" ref="Q9">iferror(vlookup(Q$12&amp;"-"&amp;$E13,{index('Output_HALO - DACH'!$A:$ZZ,0,$C$8),index('Output_HALO - DACH'!$A:$ZZ,0,$C7)},2,0),iferror(vlookup(Q$12&amp;"-"&amp;$E16,{index('Output_HALO - DACH'!$A:$ZZ,0,$C$8),index('Output_HALO - DACH'!$A:$ZZ,0,$C7)},2,0),iferror(vlookup(Q$12&amp;"-"&amp;$E19,{index('Output_HALO - DACH'!$A:$ZZ,0,$C$8),index('Output_HALO - DACH'!$A:$ZZ,0,$C7)},2,0),iferror(vlookup(Q$12&amp;"-"&amp;$E22,{index('Output_HALO - DACH'!$A:$ZZ,0,$C$8),index('Output_HALO - DACH'!$A:$ZZ,0,$C7)},2,0),iferror(vlookup(Q$12&amp;"-"&amp;$E25,{index('Output_HALO - DACH'!$A:$ZZ,0,$C$8),index('Output_HALO - DACH'!$A:$ZZ,0,$C7)},2,0),"")))))</f>
        <v/>
      </c>
      <c r="R9" s="349" t="str">
        <f t="array" ref="R9">iferror(vlookup(R$12&amp;"-"&amp;$E13,{index('Output_HALO - DACH'!$A:$ZZ,0,$C$8),index('Output_HALO - DACH'!$A:$ZZ,0,$C7)},2,0),iferror(vlookup(R$12&amp;"-"&amp;$E16,{index('Output_HALO - DACH'!$A:$ZZ,0,$C$8),index('Output_HALO - DACH'!$A:$ZZ,0,$C7)},2,0),iferror(vlookup(R$12&amp;"-"&amp;$E19,{index('Output_HALO - DACH'!$A:$ZZ,0,$C$8),index('Output_HALO - DACH'!$A:$ZZ,0,$C7)},2,0),iferror(vlookup(R$12&amp;"-"&amp;$E22,{index('Output_HALO - DACH'!$A:$ZZ,0,$C$8),index('Output_HALO - DACH'!$A:$ZZ,0,$C7)},2,0),iferror(vlookup(R$12&amp;"-"&amp;$E25,{index('Output_HALO - DACH'!$A:$ZZ,0,$C$8),index('Output_HALO - DACH'!$A:$ZZ,0,$C7)},2,0),"")))))</f>
        <v/>
      </c>
      <c r="S9" s="349" t="str">
        <f t="array" ref="S9">iferror(vlookup(S$12&amp;"-"&amp;$E13,{index('Output_HALO - DACH'!$A:$ZZ,0,$C$8),index('Output_HALO - DACH'!$A:$ZZ,0,$C7)},2,0),iferror(vlookup(S$12&amp;"-"&amp;$E16,{index('Output_HALO - DACH'!$A:$ZZ,0,$C$8),index('Output_HALO - DACH'!$A:$ZZ,0,$C7)},2,0),iferror(vlookup(S$12&amp;"-"&amp;$E19,{index('Output_HALO - DACH'!$A:$ZZ,0,$C$8),index('Output_HALO - DACH'!$A:$ZZ,0,$C7)},2,0),iferror(vlookup(S$12&amp;"-"&amp;$E22,{index('Output_HALO - DACH'!$A:$ZZ,0,$C$8),index('Output_HALO - DACH'!$A:$ZZ,0,$C7)},2,0),iferror(vlookup(S$12&amp;"-"&amp;$E25,{index('Output_HALO - DACH'!$A:$ZZ,0,$C$8),index('Output_HALO - DACH'!$A:$ZZ,0,$C7)},2,0),"")))))</f>
        <v/>
      </c>
      <c r="T9" s="349" t="str">
        <f t="array" ref="T9">iferror(vlookup(T$12&amp;"-"&amp;$E13,{index('Output_HALO - DACH'!$A:$ZZ,0,$C$8),index('Output_HALO - DACH'!$A:$ZZ,0,$C7)},2,0),iferror(vlookup(T$12&amp;"-"&amp;$E16,{index('Output_HALO - DACH'!$A:$ZZ,0,$C$8),index('Output_HALO - DACH'!$A:$ZZ,0,$C7)},2,0),iferror(vlookup(T$12&amp;"-"&amp;$E19,{index('Output_HALO - DACH'!$A:$ZZ,0,$C$8),index('Output_HALO - DACH'!$A:$ZZ,0,$C7)},2,0),iferror(vlookup(T$12&amp;"-"&amp;$E22,{index('Output_HALO - DACH'!$A:$ZZ,0,$C$8),index('Output_HALO - DACH'!$A:$ZZ,0,$C7)},2,0),iferror(vlookup(T$12&amp;"-"&amp;$E25,{index('Output_HALO - DACH'!$A:$ZZ,0,$C$8),index('Output_HALO - DACH'!$A:$ZZ,0,$C7)},2,0),"")))))</f>
        <v/>
      </c>
      <c r="U9" s="349" t="str">
        <f t="array" ref="U9">iferror(vlookup(U$12&amp;"-"&amp;$E13,{index('Output_HALO - DACH'!$A:$ZZ,0,$C$8),index('Output_HALO - DACH'!$A:$ZZ,0,$C7)},2,0),iferror(vlookup(U$12&amp;"-"&amp;$E16,{index('Output_HALO - DACH'!$A:$ZZ,0,$C$8),index('Output_HALO - DACH'!$A:$ZZ,0,$C7)},2,0),iferror(vlookup(U$12&amp;"-"&amp;$E19,{index('Output_HALO - DACH'!$A:$ZZ,0,$C$8),index('Output_HALO - DACH'!$A:$ZZ,0,$C7)},2,0),iferror(vlookup(U$12&amp;"-"&amp;$E22,{index('Output_HALO - DACH'!$A:$ZZ,0,$C$8),index('Output_HALO - DACH'!$A:$ZZ,0,$C7)},2,0),iferror(vlookup(U$12&amp;"-"&amp;$E25,{index('Output_HALO - DACH'!$A:$ZZ,0,$C$8),index('Output_HALO - DACH'!$A:$ZZ,0,$C7)},2,0),"")))))</f>
        <v/>
      </c>
      <c r="V9" s="349" t="str">
        <f t="array" ref="V9">iferror(vlookup(V$12&amp;"-"&amp;$E13,{index('Output_HALO - DACH'!$A:$ZZ,0,$C$8),index('Output_HALO - DACH'!$A:$ZZ,0,$C7)},2,0),iferror(vlookup(V$12&amp;"-"&amp;$E16,{index('Output_HALO - DACH'!$A:$ZZ,0,$C$8),index('Output_HALO - DACH'!$A:$ZZ,0,$C7)},2,0),iferror(vlookup(V$12&amp;"-"&amp;$E19,{index('Output_HALO - DACH'!$A:$ZZ,0,$C$8),index('Output_HALO - DACH'!$A:$ZZ,0,$C7)},2,0),iferror(vlookup(V$12&amp;"-"&amp;$E22,{index('Output_HALO - DACH'!$A:$ZZ,0,$C$8),index('Output_HALO - DACH'!$A:$ZZ,0,$C7)},2,0),iferror(vlookup(V$12&amp;"-"&amp;$E25,{index('Output_HALO - DACH'!$A:$ZZ,0,$C$8),index('Output_HALO - DACH'!$A:$ZZ,0,$C7)},2,0),"")))))</f>
        <v/>
      </c>
      <c r="W9" s="349" t="str">
        <f t="array" ref="W9">iferror(vlookup(W$12&amp;"-"&amp;$E13,{index('Output_HALO - DACH'!$A:$ZZ,0,$C$8),index('Output_HALO - DACH'!$A:$ZZ,0,$C7)},2,0),iferror(vlookup(W$12&amp;"-"&amp;$E16,{index('Output_HALO - DACH'!$A:$ZZ,0,$C$8),index('Output_HALO - DACH'!$A:$ZZ,0,$C7)},2,0),iferror(vlookup(W$12&amp;"-"&amp;$E19,{index('Output_HALO - DACH'!$A:$ZZ,0,$C$8),index('Output_HALO - DACH'!$A:$ZZ,0,$C7)},2,0),iferror(vlookup(W$12&amp;"-"&amp;$E22,{index('Output_HALO - DACH'!$A:$ZZ,0,$C$8),index('Output_HALO - DACH'!$A:$ZZ,0,$C7)},2,0),iferror(vlookup(W$12&amp;"-"&amp;$E25,{index('Output_HALO - DACH'!$A:$ZZ,0,$C$8),index('Output_HALO - DACH'!$A:$ZZ,0,$C7)},2,0),"")))))</f>
        <v/>
      </c>
      <c r="X9" s="349" t="str">
        <f t="array" ref="X9">iferror(vlookup(X$12&amp;"-"&amp;$E13,{index('Output_HALO - DACH'!$A:$ZZ,0,$C$8),index('Output_HALO - DACH'!$A:$ZZ,0,$C7)},2,0),iferror(vlookup(X$12&amp;"-"&amp;$E16,{index('Output_HALO - DACH'!$A:$ZZ,0,$C$8),index('Output_HALO - DACH'!$A:$ZZ,0,$C7)},2,0),iferror(vlookup(X$12&amp;"-"&amp;$E19,{index('Output_HALO - DACH'!$A:$ZZ,0,$C$8),index('Output_HALO - DACH'!$A:$ZZ,0,$C7)},2,0),iferror(vlookup(X$12&amp;"-"&amp;$E22,{index('Output_HALO - DACH'!$A:$ZZ,0,$C$8),index('Output_HALO - DACH'!$A:$ZZ,0,$C7)},2,0),iferror(vlookup(X$12&amp;"-"&amp;$E25,{index('Output_HALO - DACH'!$A:$ZZ,0,$C$8),index('Output_HALO - DACH'!$A:$ZZ,0,$C7)},2,0),"")))))</f>
        <v/>
      </c>
      <c r="Y9" s="349" t="str">
        <f t="array" ref="Y9">iferror(vlookup(Y$12&amp;"-"&amp;$E13,{index('Output_HALO - DACH'!$A:$ZZ,0,$C$8),index('Output_HALO - DACH'!$A:$ZZ,0,$C7)},2,0),iferror(vlookup(Y$12&amp;"-"&amp;$E16,{index('Output_HALO - DACH'!$A:$ZZ,0,$C$8),index('Output_HALO - DACH'!$A:$ZZ,0,$C7)},2,0),iferror(vlookup(Y$12&amp;"-"&amp;$E19,{index('Output_HALO - DACH'!$A:$ZZ,0,$C$8),index('Output_HALO - DACH'!$A:$ZZ,0,$C7)},2,0),iferror(vlookup(Y$12&amp;"-"&amp;$E22,{index('Output_HALO - DACH'!$A:$ZZ,0,$C$8),index('Output_HALO - DACH'!$A:$ZZ,0,$C7)},2,0),iferror(vlookup(Y$12&amp;"-"&amp;$E25,{index('Output_HALO - DACH'!$A:$ZZ,0,$C$8),index('Output_HALO - DACH'!$A:$ZZ,0,$C7)},2,0),"")))))</f>
        <v/>
      </c>
      <c r="Z9" s="349" t="str">
        <f t="array" ref="Z9">iferror(vlookup(Z$12&amp;"-"&amp;$E13,{index('Output_HALO - DACH'!$A:$ZZ,0,$C$8),index('Output_HALO - DACH'!$A:$ZZ,0,$C7)},2,0),iferror(vlookup(Z$12&amp;"-"&amp;$E16,{index('Output_HALO - DACH'!$A:$ZZ,0,$C$8),index('Output_HALO - DACH'!$A:$ZZ,0,$C7)},2,0),iferror(vlookup(Z$12&amp;"-"&amp;$E19,{index('Output_HALO - DACH'!$A:$ZZ,0,$C$8),index('Output_HALO - DACH'!$A:$ZZ,0,$C7)},2,0),iferror(vlookup(Z$12&amp;"-"&amp;$E22,{index('Output_HALO - DACH'!$A:$ZZ,0,$C$8),index('Output_HALO - DACH'!$A:$ZZ,0,$C7)},2,0),iferror(vlookup(Z$12&amp;"-"&amp;$E25,{index('Output_HALO - DACH'!$A:$ZZ,0,$C$8),index('Output_HALO - DACH'!$A:$ZZ,0,$C7)},2,0),"")))))</f>
        <v/>
      </c>
      <c r="AA9" s="349" t="str">
        <f t="array" ref="AA9">iferror(vlookup(AA$12&amp;"-"&amp;$E13,{index('Output_HALO - DACH'!$A:$ZZ,0,$C$8),index('Output_HALO - DACH'!$A:$ZZ,0,$C7)},2,0),iferror(vlookup(AA$12&amp;"-"&amp;$E16,{index('Output_HALO - DACH'!$A:$ZZ,0,$C$8),index('Output_HALO - DACH'!$A:$ZZ,0,$C7)},2,0),iferror(vlookup(AA$12&amp;"-"&amp;$E19,{index('Output_HALO - DACH'!$A:$ZZ,0,$C$8),index('Output_HALO - DACH'!$A:$ZZ,0,$C7)},2,0),iferror(vlookup(AA$12&amp;"-"&amp;$E22,{index('Output_HALO - DACH'!$A:$ZZ,0,$C$8),index('Output_HALO - DACH'!$A:$ZZ,0,$C7)},2,0),iferror(vlookup(AA$12&amp;"-"&amp;$E25,{index('Output_HALO - DACH'!$A:$ZZ,0,$C$8),index('Output_HALO - DACH'!$A:$ZZ,0,$C7)},2,0),"")))))</f>
        <v/>
      </c>
      <c r="AB9" s="349" t="str">
        <f t="array" ref="AB9">iferror(vlookup(AB$12&amp;"-"&amp;$E13,{index('Output_HALO - DACH'!$A:$ZZ,0,$C$8),index('Output_HALO - DACH'!$A:$ZZ,0,$C7)},2,0),iferror(vlookup(AB$12&amp;"-"&amp;$E16,{index('Output_HALO - DACH'!$A:$ZZ,0,$C$8),index('Output_HALO - DACH'!$A:$ZZ,0,$C7)},2,0),iferror(vlookup(AB$12&amp;"-"&amp;$E19,{index('Output_HALO - DACH'!$A:$ZZ,0,$C$8),index('Output_HALO - DACH'!$A:$ZZ,0,$C7)},2,0),iferror(vlookup(AB$12&amp;"-"&amp;$E22,{index('Output_HALO - DACH'!$A:$ZZ,0,$C$8),index('Output_HALO - DACH'!$A:$ZZ,0,$C7)},2,0),iferror(vlookup(AB$12&amp;"-"&amp;$E25,{index('Output_HALO - DACH'!$A:$ZZ,0,$C$8),index('Output_HALO - DACH'!$A:$ZZ,0,$C7)},2,0),"")))))</f>
        <v/>
      </c>
      <c r="AC9" s="349" t="str">
        <f t="array" ref="AC9">iferror(vlookup(AC$12&amp;"-"&amp;$E13,{index('Output_HALO - DACH'!$A:$ZZ,0,$C$8),index('Output_HALO - DACH'!$A:$ZZ,0,$C7)},2,0),iferror(vlookup(AC$12&amp;"-"&amp;$E16,{index('Output_HALO - DACH'!$A:$ZZ,0,$C$8),index('Output_HALO - DACH'!$A:$ZZ,0,$C7)},2,0),iferror(vlookup(AC$12&amp;"-"&amp;$E19,{index('Output_HALO - DACH'!$A:$ZZ,0,$C$8),index('Output_HALO - DACH'!$A:$ZZ,0,$C7)},2,0),iferror(vlookup(AC$12&amp;"-"&amp;$E22,{index('Output_HALO - DACH'!$A:$ZZ,0,$C$8),index('Output_HALO - DACH'!$A:$ZZ,0,$C7)},2,0),iferror(vlookup(AC$12&amp;"-"&amp;$E25,{index('Output_HALO - DACH'!$A:$ZZ,0,$C$8),index('Output_HALO - DACH'!$A:$ZZ,0,$C7)},2,0),"")))))</f>
        <v>Chilled</v>
      </c>
      <c r="AD9" s="349" t="str">
        <f t="array" ref="AD9">iferror(vlookup(AD$12&amp;"-"&amp;$E13,{index('Output_HALO - DACH'!$A:$ZZ,0,$C$8),index('Output_HALO - DACH'!$A:$ZZ,0,$C7)},2,0),iferror(vlookup(AD$12&amp;"-"&amp;$E16,{index('Output_HALO - DACH'!$A:$ZZ,0,$C$8),index('Output_HALO - DACH'!$A:$ZZ,0,$C7)},2,0),iferror(vlookup(AD$12&amp;"-"&amp;$E19,{index('Output_HALO - DACH'!$A:$ZZ,0,$C$8),index('Output_HALO - DACH'!$A:$ZZ,0,$C7)},2,0),iferror(vlookup(AD$12&amp;"-"&amp;$E22,{index('Output_HALO - DACH'!$A:$ZZ,0,$C$8),index('Output_HALO - DACH'!$A:$ZZ,0,$C7)},2,0),iferror(vlookup(AD$12&amp;"-"&amp;$E25,{index('Output_HALO - DACH'!$A:$ZZ,0,$C$8),index('Output_HALO - DACH'!$A:$ZZ,0,$C7)},2,0),"")))))</f>
        <v>Chilled</v>
      </c>
      <c r="AE9" s="349" t="str">
        <f t="array" ref="AE9">iferror(vlookup(AE$12&amp;"-"&amp;$E13,{index('Output_HALO - DACH'!$A:$ZZ,0,$C$8),index('Output_HALO - DACH'!$A:$ZZ,0,$C7)},2,0),iferror(vlookup(AE$12&amp;"-"&amp;$E16,{index('Output_HALO - DACH'!$A:$ZZ,0,$C$8),index('Output_HALO - DACH'!$A:$ZZ,0,$C7)},2,0),iferror(vlookup(AE$12&amp;"-"&amp;$E19,{index('Output_HALO - DACH'!$A:$ZZ,0,$C$8),index('Output_HALO - DACH'!$A:$ZZ,0,$C7)},2,0),iferror(vlookup(AE$12&amp;"-"&amp;$E22,{index('Output_HALO - DACH'!$A:$ZZ,0,$C$8),index('Output_HALO - DACH'!$A:$ZZ,0,$C7)},2,0),iferror(vlookup(AE$12&amp;"-"&amp;$E25,{index('Output_HALO - DACH'!$A:$ZZ,0,$C$8),index('Output_HALO - DACH'!$A:$ZZ,0,$C7)},2,0),"")))))</f>
        <v>Chilled</v>
      </c>
      <c r="AF9" s="349" t="str">
        <f t="array" ref="AF9">iferror(vlookup(AF$12&amp;"-"&amp;$E13,{index('Output_HALO - DACH'!$A:$ZZ,0,$C$8),index('Output_HALO - DACH'!$A:$ZZ,0,$C7)},2,0),iferror(vlookup(AF$12&amp;"-"&amp;$E16,{index('Output_HALO - DACH'!$A:$ZZ,0,$C$8),index('Output_HALO - DACH'!$A:$ZZ,0,$C7)},2,0),iferror(vlookup(AF$12&amp;"-"&amp;$E19,{index('Output_HALO - DACH'!$A:$ZZ,0,$C$8),index('Output_HALO - DACH'!$A:$ZZ,0,$C7)},2,0),iferror(vlookup(AF$12&amp;"-"&amp;$E22,{index('Output_HALO - DACH'!$A:$ZZ,0,$C$8),index('Output_HALO - DACH'!$A:$ZZ,0,$C7)},2,0),iferror(vlookup(AF$12&amp;"-"&amp;$E25,{index('Output_HALO - DACH'!$A:$ZZ,0,$C$8),index('Output_HALO - DACH'!$A:$ZZ,0,$C7)},2,0),"")))))</f>
        <v>Chilled</v>
      </c>
      <c r="AG9" s="349" t="str">
        <f t="array" ref="AG9">iferror(vlookup(AG$12&amp;"-"&amp;$E13,{index('Output_HALO - DACH'!$A:$ZZ,0,$C$8),index('Output_HALO - DACH'!$A:$ZZ,0,$C7)},2,0),iferror(vlookup(AG$12&amp;"-"&amp;$E16,{index('Output_HALO - DACH'!$A:$ZZ,0,$C$8),index('Output_HALO - DACH'!$A:$ZZ,0,$C7)},2,0),iferror(vlookup(AG$12&amp;"-"&amp;$E19,{index('Output_HALO - DACH'!$A:$ZZ,0,$C$8),index('Output_HALO - DACH'!$A:$ZZ,0,$C7)},2,0),iferror(vlookup(AG$12&amp;"-"&amp;$E22,{index('Output_HALO - DACH'!$A:$ZZ,0,$C$8),index('Output_HALO - DACH'!$A:$ZZ,0,$C7)},2,0),iferror(vlookup(AG$12&amp;"-"&amp;$E25,{index('Output_HALO - DACH'!$A:$ZZ,0,$C$8),index('Output_HALO - DACH'!$A:$ZZ,0,$C7)},2,0),"")))))</f>
        <v/>
      </c>
      <c r="AH9" s="349" t="str">
        <f t="array" ref="AH9">iferror(vlookup(AH$12&amp;"-"&amp;$E13,{index('Output_HALO - DACH'!$A:$ZZ,0,$C$8),index('Output_HALO - DACH'!$A:$ZZ,0,$C7)},2,0),iferror(vlookup(AH$12&amp;"-"&amp;$E16,{index('Output_HALO - DACH'!$A:$ZZ,0,$C$8),index('Output_HALO - DACH'!$A:$ZZ,0,$C7)},2,0),iferror(vlookup(AH$12&amp;"-"&amp;$E19,{index('Output_HALO - DACH'!$A:$ZZ,0,$C$8),index('Output_HALO - DACH'!$A:$ZZ,0,$C7)},2,0),iferror(vlookup(AH$12&amp;"-"&amp;$E22,{index('Output_HALO - DACH'!$A:$ZZ,0,$C$8),index('Output_HALO - DACH'!$A:$ZZ,0,$C7)},2,0),iferror(vlookup(AH$12&amp;"-"&amp;$E25,{index('Output_HALO - DACH'!$A:$ZZ,0,$C$8),index('Output_HALO - DACH'!$A:$ZZ,0,$C7)},2,0),"")))))</f>
        <v/>
      </c>
      <c r="AI9" s="349" t="str">
        <f t="array" ref="AI9">iferror(vlookup(AI$12&amp;"-"&amp;$E13,{index('Output_HALO - DACH'!$A:$ZZ,0,$C$8),index('Output_HALO - DACH'!$A:$ZZ,0,$C7)},2,0),iferror(vlookup(AI$12&amp;"-"&amp;$E16,{index('Output_HALO - DACH'!$A:$ZZ,0,$C$8),index('Output_HALO - DACH'!$A:$ZZ,0,$C7)},2,0),iferror(vlookup(AI$12&amp;"-"&amp;$E19,{index('Output_HALO - DACH'!$A:$ZZ,0,$C$8),index('Output_HALO - DACH'!$A:$ZZ,0,$C7)},2,0),iferror(vlookup(AI$12&amp;"-"&amp;$E22,{index('Output_HALO - DACH'!$A:$ZZ,0,$C$8),index('Output_HALO - DACH'!$A:$ZZ,0,$C7)},2,0),iferror(vlookup(AI$12&amp;"-"&amp;$E25,{index('Output_HALO - DACH'!$A:$ZZ,0,$C$8),index('Output_HALO - DACH'!$A:$ZZ,0,$C7)},2,0),"")))))</f>
        <v/>
      </c>
      <c r="AJ9" s="349" t="str">
        <f t="array" ref="AJ9">iferror(vlookup(AJ$12&amp;"-"&amp;$E13,{index('Output_HALO - DACH'!$A:$ZZ,0,$C$8),index('Output_HALO - DACH'!$A:$ZZ,0,$C7)},2,0),iferror(vlookup(AJ$12&amp;"-"&amp;$E16,{index('Output_HALO - DACH'!$A:$ZZ,0,$C$8),index('Output_HALO - DACH'!$A:$ZZ,0,$C7)},2,0),iferror(vlookup(AJ$12&amp;"-"&amp;$E19,{index('Output_HALO - DACH'!$A:$ZZ,0,$C$8),index('Output_HALO - DACH'!$A:$ZZ,0,$C7)},2,0),iferror(vlookup(AJ$12&amp;"-"&amp;$E22,{index('Output_HALO - DACH'!$A:$ZZ,0,$C$8),index('Output_HALO - DACH'!$A:$ZZ,0,$C7)},2,0),iferror(vlookup(AJ$12&amp;"-"&amp;$E25,{index('Output_HALO - DACH'!$A:$ZZ,0,$C$8),index('Output_HALO - DACH'!$A:$ZZ,0,$C7)},2,0),"")))))</f>
        <v/>
      </c>
      <c r="AK9" s="349" t="str">
        <f t="array" ref="AK9">iferror(vlookup(AK$12&amp;"-"&amp;$E13,{index('Output_HALO - DACH'!$A:$ZZ,0,$C$8),index('Output_HALO - DACH'!$A:$ZZ,0,$C7)},2,0),iferror(vlookup(AK$12&amp;"-"&amp;$E16,{index('Output_HALO - DACH'!$A:$ZZ,0,$C$8),index('Output_HALO - DACH'!$A:$ZZ,0,$C7)},2,0),iferror(vlookup(AK$12&amp;"-"&amp;$E19,{index('Output_HALO - DACH'!$A:$ZZ,0,$C$8),index('Output_HALO - DACH'!$A:$ZZ,0,$C7)},2,0),iferror(vlookup(AK$12&amp;"-"&amp;$E22,{index('Output_HALO - DACH'!$A:$ZZ,0,$C$8),index('Output_HALO - DACH'!$A:$ZZ,0,$C7)},2,0),iferror(vlookup(AK$12&amp;"-"&amp;$E25,{index('Output_HALO - DACH'!$A:$ZZ,0,$C$8),index('Output_HALO - DACH'!$A:$ZZ,0,$C7)},2,0),"")))))</f>
        <v/>
      </c>
      <c r="AL9" s="349" t="str">
        <f t="array" ref="AL9">iferror(vlookup(AL$12&amp;"-"&amp;$E13,{index('Output_HALO - DACH'!$A:$ZZ,0,$C$8),index('Output_HALO - DACH'!$A:$ZZ,0,$C7)},2,0),iferror(vlookup(AL$12&amp;"-"&amp;$E16,{index('Output_HALO - DACH'!$A:$ZZ,0,$C$8),index('Output_HALO - DACH'!$A:$ZZ,0,$C7)},2,0),iferror(vlookup(AL$12&amp;"-"&amp;$E19,{index('Output_HALO - DACH'!$A:$ZZ,0,$C$8),index('Output_HALO - DACH'!$A:$ZZ,0,$C7)},2,0),iferror(vlookup(AL$12&amp;"-"&amp;$E22,{index('Output_HALO - DACH'!$A:$ZZ,0,$C$8),index('Output_HALO - DACH'!$A:$ZZ,0,$C7)},2,0),iferror(vlookup(AL$12&amp;"-"&amp;$E25,{index('Output_HALO - DACH'!$A:$ZZ,0,$C$8),index('Output_HALO - DACH'!$A:$ZZ,0,$C7)},2,0),"")))))</f>
        <v/>
      </c>
      <c r="AM9" s="349" t="str">
        <f t="array" ref="AM9">iferror(vlookup(AM$12&amp;"-"&amp;$E13,{index('Output_HALO - DACH'!$A:$ZZ,0,$C$8),index('Output_HALO - DACH'!$A:$ZZ,0,$C7)},2,0),iferror(vlookup(AM$12&amp;"-"&amp;$E16,{index('Output_HALO - DACH'!$A:$ZZ,0,$C$8),index('Output_HALO - DACH'!$A:$ZZ,0,$C7)},2,0),iferror(vlookup(AM$12&amp;"-"&amp;$E19,{index('Output_HALO - DACH'!$A:$ZZ,0,$C$8),index('Output_HALO - DACH'!$A:$ZZ,0,$C7)},2,0),iferror(vlookup(AM$12&amp;"-"&amp;$E22,{index('Output_HALO - DACH'!$A:$ZZ,0,$C$8),index('Output_HALO - DACH'!$A:$ZZ,0,$C7)},2,0),iferror(vlookup(AM$12&amp;"-"&amp;$E25,{index('Output_HALO - DACH'!$A:$ZZ,0,$C$8),index('Output_HALO - DACH'!$A:$ZZ,0,$C7)},2,0),"")))))</f>
        <v>Chilled</v>
      </c>
      <c r="AN9" s="349" t="str">
        <f t="array" ref="AN9">iferror(vlookup(AN$12&amp;"-"&amp;$E13,{index('Output_HALO - DACH'!$A:$ZZ,0,$C$8),index('Output_HALO - DACH'!$A:$ZZ,0,$C7)},2,0),iferror(vlookup(AN$12&amp;"-"&amp;$E16,{index('Output_HALO - DACH'!$A:$ZZ,0,$C$8),index('Output_HALO - DACH'!$A:$ZZ,0,$C7)},2,0),iferror(vlookup(AN$12&amp;"-"&amp;$E19,{index('Output_HALO - DACH'!$A:$ZZ,0,$C$8),index('Output_HALO - DACH'!$A:$ZZ,0,$C7)},2,0),iferror(vlookup(AN$12&amp;"-"&amp;$E22,{index('Output_HALO - DACH'!$A:$ZZ,0,$C$8),index('Output_HALO - DACH'!$A:$ZZ,0,$C7)},2,0),iferror(vlookup(AN$12&amp;"-"&amp;$E25,{index('Output_HALO - DACH'!$A:$ZZ,0,$C$8),index('Output_HALO - DACH'!$A:$ZZ,0,$C7)},2,0),"")))))</f>
        <v>Chilled</v>
      </c>
      <c r="AO9" s="349" t="str">
        <f t="array" ref="AO9">iferror(vlookup(AO$12&amp;"-"&amp;$E13,{index('Output_HALO - DACH'!$A:$ZZ,0,$C$8),index('Output_HALO - DACH'!$A:$ZZ,0,$C7)},2,0),iferror(vlookup(AO$12&amp;"-"&amp;$E16,{index('Output_HALO - DACH'!$A:$ZZ,0,$C$8),index('Output_HALO - DACH'!$A:$ZZ,0,$C7)},2,0),iferror(vlookup(AO$12&amp;"-"&amp;$E19,{index('Output_HALO - DACH'!$A:$ZZ,0,$C$8),index('Output_HALO - DACH'!$A:$ZZ,0,$C7)},2,0),iferror(vlookup(AO$12&amp;"-"&amp;$E22,{index('Output_HALO - DACH'!$A:$ZZ,0,$C$8),index('Output_HALO - DACH'!$A:$ZZ,0,$C7)},2,0),iferror(vlookup(AO$12&amp;"-"&amp;$E25,{index('Output_HALO - DACH'!$A:$ZZ,0,$C$8),index('Output_HALO - DACH'!$A:$ZZ,0,$C7)},2,0),"")))))</f>
        <v>Chilled</v>
      </c>
      <c r="AP9" s="349" t="str">
        <f t="array" ref="AP9">iferror(vlookup(AP$12&amp;"-"&amp;$E13,{index('Output_HALO - DACH'!$A:$ZZ,0,$C$8),index('Output_HALO - DACH'!$A:$ZZ,0,$C7)},2,0),iferror(vlookup(AP$12&amp;"-"&amp;$E16,{index('Output_HALO - DACH'!$A:$ZZ,0,$C$8),index('Output_HALO - DACH'!$A:$ZZ,0,$C7)},2,0),iferror(vlookup(AP$12&amp;"-"&amp;$E19,{index('Output_HALO - DACH'!$A:$ZZ,0,$C$8),index('Output_HALO - DACH'!$A:$ZZ,0,$C7)},2,0),iferror(vlookup(AP$12&amp;"-"&amp;$E22,{index('Output_HALO - DACH'!$A:$ZZ,0,$C$8),index('Output_HALO - DACH'!$A:$ZZ,0,$C7)},2,0),iferror(vlookup(AP$12&amp;"-"&amp;$E25,{index('Output_HALO - DACH'!$A:$ZZ,0,$C$8),index('Output_HALO - DACH'!$A:$ZZ,0,$C7)},2,0),"")))))</f>
        <v>Chilled</v>
      </c>
      <c r="AQ9" s="349" t="str">
        <f t="array" ref="AQ9">iferror(vlookup(AQ$12&amp;"-"&amp;$E13,{index('Output_HALO - DACH'!$A:$ZZ,0,$C$8),index('Output_HALO - DACH'!$A:$ZZ,0,$C7)},2,0),iferror(vlookup(AQ$12&amp;"-"&amp;$E16,{index('Output_HALO - DACH'!$A:$ZZ,0,$C$8),index('Output_HALO - DACH'!$A:$ZZ,0,$C7)},2,0),iferror(vlookup(AQ$12&amp;"-"&amp;$E19,{index('Output_HALO - DACH'!$A:$ZZ,0,$C$8),index('Output_HALO - DACH'!$A:$ZZ,0,$C7)},2,0),iferror(vlookup(AQ$12&amp;"-"&amp;$E22,{index('Output_HALO - DACH'!$A:$ZZ,0,$C$8),index('Output_HALO - DACH'!$A:$ZZ,0,$C7)},2,0),iferror(vlookup(AQ$12&amp;"-"&amp;$E25,{index('Output_HALO - DACH'!$A:$ZZ,0,$C$8),index('Output_HALO - DACH'!$A:$ZZ,0,$C7)},2,0),"")))))</f>
        <v>Chilled</v>
      </c>
      <c r="AR9" s="349" t="str">
        <f t="array" ref="AR9">iferror(vlookup(AR$12&amp;"-"&amp;$E13,{index('Output_HALO - DACH'!$A:$ZZ,0,$C$8),index('Output_HALO - DACH'!$A:$ZZ,0,$C7)},2,0),iferror(vlookup(AR$12&amp;"-"&amp;$E16,{index('Output_HALO - DACH'!$A:$ZZ,0,$C$8),index('Output_HALO - DACH'!$A:$ZZ,0,$C7)},2,0),iferror(vlookup(AR$12&amp;"-"&amp;$E19,{index('Output_HALO - DACH'!$A:$ZZ,0,$C$8),index('Output_HALO - DACH'!$A:$ZZ,0,$C7)},2,0),iferror(vlookup(AR$12&amp;"-"&amp;$E22,{index('Output_HALO - DACH'!$A:$ZZ,0,$C$8),index('Output_HALO - DACH'!$A:$ZZ,0,$C7)},2,0),iferror(vlookup(AR$12&amp;"-"&amp;$E25,{index('Output_HALO - DACH'!$A:$ZZ,0,$C$8),index('Output_HALO - DACH'!$A:$ZZ,0,$C7)},2,0),"")))))</f>
        <v/>
      </c>
      <c r="AS9" s="349" t="str">
        <f t="array" ref="AS9">iferror(vlookup(AS$12&amp;"-"&amp;$E13,{index('Output_HALO - DACH'!$A:$ZZ,0,$C$8),index('Output_HALO - DACH'!$A:$ZZ,0,$C7)},2,0),iferror(vlookup(AS$12&amp;"-"&amp;$E16,{index('Output_HALO - DACH'!$A:$ZZ,0,$C$8),index('Output_HALO - DACH'!$A:$ZZ,0,$C7)},2,0),iferror(vlookup(AS$12&amp;"-"&amp;$E19,{index('Output_HALO - DACH'!$A:$ZZ,0,$C$8),index('Output_HALO - DACH'!$A:$ZZ,0,$C7)},2,0),iferror(vlookup(AS$12&amp;"-"&amp;$E22,{index('Output_HALO - DACH'!$A:$ZZ,0,$C$8),index('Output_HALO - DACH'!$A:$ZZ,0,$C7)},2,0),iferror(vlookup(AS$12&amp;"-"&amp;$E25,{index('Output_HALO - DACH'!$A:$ZZ,0,$C$8),index('Output_HALO - DACH'!$A:$ZZ,0,$C7)},2,0),"")))))</f>
        <v/>
      </c>
      <c r="AT9" s="349" t="str">
        <f t="array" ref="AT9">iferror(vlookup(AT$12&amp;"-"&amp;$E13,{index('Output_HALO - DACH'!$A:$ZZ,0,$C$8),index('Output_HALO - DACH'!$A:$ZZ,0,$C7)},2,0),iferror(vlookup(AT$12&amp;"-"&amp;$E16,{index('Output_HALO - DACH'!$A:$ZZ,0,$C$8),index('Output_HALO - DACH'!$A:$ZZ,0,$C7)},2,0),iferror(vlookup(AT$12&amp;"-"&amp;$E19,{index('Output_HALO - DACH'!$A:$ZZ,0,$C$8),index('Output_HALO - DACH'!$A:$ZZ,0,$C7)},2,0),iferror(vlookup(AT$12&amp;"-"&amp;$E22,{index('Output_HALO - DACH'!$A:$ZZ,0,$C$8),index('Output_HALO - DACH'!$A:$ZZ,0,$C7)},2,0),iferror(vlookup(AT$12&amp;"-"&amp;$E25,{index('Output_HALO - DACH'!$A:$ZZ,0,$C$8),index('Output_HALO - DACH'!$A:$ZZ,0,$C7)},2,0),"")))))</f>
        <v>Chilled</v>
      </c>
      <c r="AU9" s="349" t="str">
        <f t="array" ref="AU9">iferror(vlookup(AU$12&amp;"-"&amp;$E13,{index('Output_HALO - DACH'!$A:$ZZ,0,$C$8),index('Output_HALO - DACH'!$A:$ZZ,0,$C7)},2,0),iferror(vlookup(AU$12&amp;"-"&amp;$E16,{index('Output_HALO - DACH'!$A:$ZZ,0,$C$8),index('Output_HALO - DACH'!$A:$ZZ,0,$C7)},2,0),iferror(vlookup(AU$12&amp;"-"&amp;$E19,{index('Output_HALO - DACH'!$A:$ZZ,0,$C$8),index('Output_HALO - DACH'!$A:$ZZ,0,$C7)},2,0),iferror(vlookup(AU$12&amp;"-"&amp;$E22,{index('Output_HALO - DACH'!$A:$ZZ,0,$C$8),index('Output_HALO - DACH'!$A:$ZZ,0,$C7)},2,0),iferror(vlookup(AU$12&amp;"-"&amp;$E25,{index('Output_HALO - DACH'!$A:$ZZ,0,$C$8),index('Output_HALO - DACH'!$A:$ZZ,0,$C7)},2,0),"")))))</f>
        <v>Chilled</v>
      </c>
      <c r="AV9" s="349" t="str">
        <f t="array" ref="AV9">iferror(vlookup(AV$12&amp;"-"&amp;$E13,{index('Output_HALO - DACH'!$A:$ZZ,0,$C$8),index('Output_HALO - DACH'!$A:$ZZ,0,$C7)},2,0),iferror(vlookup(AV$12&amp;"-"&amp;$E16,{index('Output_HALO - DACH'!$A:$ZZ,0,$C$8),index('Output_HALO - DACH'!$A:$ZZ,0,$C7)},2,0),iferror(vlookup(AV$12&amp;"-"&amp;$E19,{index('Output_HALO - DACH'!$A:$ZZ,0,$C$8),index('Output_HALO - DACH'!$A:$ZZ,0,$C7)},2,0),iferror(vlookup(AV$12&amp;"-"&amp;$E22,{index('Output_HALO - DACH'!$A:$ZZ,0,$C$8),index('Output_HALO - DACH'!$A:$ZZ,0,$C7)},2,0),iferror(vlookup(AV$12&amp;"-"&amp;$E25,{index('Output_HALO - DACH'!$A:$ZZ,0,$C$8),index('Output_HALO - DACH'!$A:$ZZ,0,$C7)},2,0),"")))))</f>
        <v>Chilled</v>
      </c>
      <c r="AW9" s="349" t="str">
        <f t="array" ref="AW9">iferror(vlookup(AW$12&amp;"-"&amp;$E13,{index('Output_HALO - DACH'!$A:$ZZ,0,$C$8),index('Output_HALO - DACH'!$A:$ZZ,0,$C7)},2,0),iferror(vlookup(AW$12&amp;"-"&amp;$E16,{index('Output_HALO - DACH'!$A:$ZZ,0,$C$8),index('Output_HALO - DACH'!$A:$ZZ,0,$C7)},2,0),iferror(vlookup(AW$12&amp;"-"&amp;$E19,{index('Output_HALO - DACH'!$A:$ZZ,0,$C$8),index('Output_HALO - DACH'!$A:$ZZ,0,$C7)},2,0),iferror(vlookup(AW$12&amp;"-"&amp;$E22,{index('Output_HALO - DACH'!$A:$ZZ,0,$C$8),index('Output_HALO - DACH'!$A:$ZZ,0,$C7)},2,0),iferror(vlookup(AW$12&amp;"-"&amp;$E25,{index('Output_HALO - DACH'!$A:$ZZ,0,$C$8),index('Output_HALO - DACH'!$A:$ZZ,0,$C7)},2,0),"")))))</f>
        <v>Chilled</v>
      </c>
      <c r="AX9" s="349" t="str">
        <f t="array" ref="AX9">iferror(vlookup(AX$12&amp;"-"&amp;$E13,{index('Output_HALO - DACH'!$A:$ZZ,0,$C$8),index('Output_HALO - DACH'!$A:$ZZ,0,$C7)},2,0),iferror(vlookup(AX$12&amp;"-"&amp;$E16,{index('Output_HALO - DACH'!$A:$ZZ,0,$C$8),index('Output_HALO - DACH'!$A:$ZZ,0,$C7)},2,0),iferror(vlookup(AX$12&amp;"-"&amp;$E19,{index('Output_HALO - DACH'!$A:$ZZ,0,$C$8),index('Output_HALO - DACH'!$A:$ZZ,0,$C7)},2,0),iferror(vlookup(AX$12&amp;"-"&amp;$E22,{index('Output_HALO - DACH'!$A:$ZZ,0,$C$8),index('Output_HALO - DACH'!$A:$ZZ,0,$C7)},2,0),iferror(vlookup(AX$12&amp;"-"&amp;$E25,{index('Output_HALO - DACH'!$A:$ZZ,0,$C$8),index('Output_HALO - DACH'!$A:$ZZ,0,$C7)},2,0),"")))))</f>
        <v/>
      </c>
      <c r="AY9" s="349" t="str">
        <f t="array" ref="AY9">iferror(vlookup(AY$12&amp;"-"&amp;$E13,{index('Output_HALO - DACH'!$A:$ZZ,0,$C$8),index('Output_HALO - DACH'!$A:$ZZ,0,$C7)},2,0),iferror(vlookup(AY$12&amp;"-"&amp;$E16,{index('Output_HALO - DACH'!$A:$ZZ,0,$C$8),index('Output_HALO - DACH'!$A:$ZZ,0,$C7)},2,0),iferror(vlookup(AY$12&amp;"-"&amp;$E19,{index('Output_HALO - DACH'!$A:$ZZ,0,$C$8),index('Output_HALO - DACH'!$A:$ZZ,0,$C7)},2,0),iferror(vlookup(AY$12&amp;"-"&amp;$E22,{index('Output_HALO - DACH'!$A:$ZZ,0,$C$8),index('Output_HALO - DACH'!$A:$ZZ,0,$C7)},2,0),iferror(vlookup(AY$12&amp;"-"&amp;$E25,{index('Output_HALO - DACH'!$A:$ZZ,0,$C$8),index('Output_HALO - DACH'!$A:$ZZ,0,$C7)},2,0),"")))))</f>
        <v/>
      </c>
      <c r="AZ9" s="349" t="str">
        <f t="array" ref="AZ9">iferror(vlookup(AZ$12&amp;"-"&amp;$E13,{index('Output_HALO - DACH'!$A:$ZZ,0,$C$8),index('Output_HALO - DACH'!$A:$ZZ,0,$C7)},2,0),iferror(vlookup(AZ$12&amp;"-"&amp;$E16,{index('Output_HALO - DACH'!$A:$ZZ,0,$C$8),index('Output_HALO - DACH'!$A:$ZZ,0,$C7)},2,0),iferror(vlookup(AZ$12&amp;"-"&amp;$E19,{index('Output_HALO - DACH'!$A:$ZZ,0,$C$8),index('Output_HALO - DACH'!$A:$ZZ,0,$C7)},2,0),iferror(vlookup(AZ$12&amp;"-"&amp;$E22,{index('Output_HALO - DACH'!$A:$ZZ,0,$C$8),index('Output_HALO - DACH'!$A:$ZZ,0,$C7)},2,0),iferror(vlookup(AZ$12&amp;"-"&amp;$E25,{index('Output_HALO - DACH'!$A:$ZZ,0,$C$8),index('Output_HALO - DACH'!$A:$ZZ,0,$C7)},2,0),"")))))</f>
        <v/>
      </c>
      <c r="BA9" s="349" t="str">
        <f t="array" ref="BA9">iferror(vlookup(BA$12&amp;"-"&amp;$E13,{index('Output_HALO - DACH'!$A:$ZZ,0,$C$8),index('Output_HALO - DACH'!$A:$ZZ,0,$C7)},2,0),iferror(vlookup(BA$12&amp;"-"&amp;$E16,{index('Output_HALO - DACH'!$A:$ZZ,0,$C$8),index('Output_HALO - DACH'!$A:$ZZ,0,$C7)},2,0),iferror(vlookup(BA$12&amp;"-"&amp;$E19,{index('Output_HALO - DACH'!$A:$ZZ,0,$C$8),index('Output_HALO - DACH'!$A:$ZZ,0,$C7)},2,0),iferror(vlookup(BA$12&amp;"-"&amp;$E22,{index('Output_HALO - DACH'!$A:$ZZ,0,$C$8),index('Output_HALO - DACH'!$A:$ZZ,0,$C7)},2,0),iferror(vlookup(BA$12&amp;"-"&amp;$E25,{index('Output_HALO - DACH'!$A:$ZZ,0,$C$8),index('Output_HALO - DACH'!$A:$ZZ,0,$C7)},2,0),"")))))</f>
        <v/>
      </c>
      <c r="BB9" s="349" t="str">
        <f t="array" ref="BB9">iferror(vlookup(BB$12&amp;"-"&amp;$E13,{index('Output_HALO - DACH'!$A:$ZZ,0,$C$8),index('Output_HALO - DACH'!$A:$ZZ,0,$C7)},2,0),iferror(vlookup(BB$12&amp;"-"&amp;$E16,{index('Output_HALO - DACH'!$A:$ZZ,0,$C$8),index('Output_HALO - DACH'!$A:$ZZ,0,$C7)},2,0),iferror(vlookup(BB$12&amp;"-"&amp;$E19,{index('Output_HALO - DACH'!$A:$ZZ,0,$C$8),index('Output_HALO - DACH'!$A:$ZZ,0,$C7)},2,0),iferror(vlookup(BB$12&amp;"-"&amp;$E22,{index('Output_HALO - DACH'!$A:$ZZ,0,$C$8),index('Output_HALO - DACH'!$A:$ZZ,0,$C7)},2,0),iferror(vlookup(BB$12&amp;"-"&amp;$E25,{index('Output_HALO - DACH'!$A:$ZZ,0,$C$8),index('Output_HALO - DACH'!$A:$ZZ,0,$C7)},2,0),"")))))</f>
        <v>Chilled</v>
      </c>
      <c r="BC9" s="349" t="str">
        <f t="array" ref="BC9">iferror(vlookup(BC$12&amp;"-"&amp;$E13,{index('Output_HALO - DACH'!$A:$ZZ,0,$C$8),index('Output_HALO - DACH'!$A:$ZZ,0,$C7)},2,0),iferror(vlookup(BC$12&amp;"-"&amp;$E16,{index('Output_HALO - DACH'!$A:$ZZ,0,$C$8),index('Output_HALO - DACH'!$A:$ZZ,0,$C7)},2,0),iferror(vlookup(BC$12&amp;"-"&amp;$E19,{index('Output_HALO - DACH'!$A:$ZZ,0,$C$8),index('Output_HALO - DACH'!$A:$ZZ,0,$C7)},2,0),iferror(vlookup(BC$12&amp;"-"&amp;$E22,{index('Output_HALO - DACH'!$A:$ZZ,0,$C$8),index('Output_HALO - DACH'!$A:$ZZ,0,$C7)},2,0),iferror(vlookup(BC$12&amp;"-"&amp;$E25,{index('Output_HALO - DACH'!$A:$ZZ,0,$C$8),index('Output_HALO - DACH'!$A:$ZZ,0,$C7)},2,0),"")))))</f>
        <v>Chilled</v>
      </c>
      <c r="BD9" s="349" t="str">
        <f t="array" ref="BD9">iferror(vlookup(BD$12&amp;"-"&amp;$E13,{index('Output_HALO - DACH'!$A:$ZZ,0,$C$8),index('Output_HALO - DACH'!$A:$ZZ,0,$C7)},2,0),iferror(vlookup(BD$12&amp;"-"&amp;$E16,{index('Output_HALO - DACH'!$A:$ZZ,0,$C$8),index('Output_HALO - DACH'!$A:$ZZ,0,$C7)},2,0),iferror(vlookup(BD$12&amp;"-"&amp;$E19,{index('Output_HALO - DACH'!$A:$ZZ,0,$C$8),index('Output_HALO - DACH'!$A:$ZZ,0,$C7)},2,0),iferror(vlookup(BD$12&amp;"-"&amp;$E22,{index('Output_HALO - DACH'!$A:$ZZ,0,$C$8),index('Output_HALO - DACH'!$A:$ZZ,0,$C7)},2,0),iferror(vlookup(BD$12&amp;"-"&amp;$E25,{index('Output_HALO - DACH'!$A:$ZZ,0,$C$8),index('Output_HALO - DACH'!$A:$ZZ,0,$C7)},2,0),"")))))</f>
        <v>Chilled</v>
      </c>
      <c r="BE9" s="349" t="str">
        <f t="array" ref="BE9">iferror(vlookup(BE$12&amp;"-"&amp;$E13,{index('Output_HALO - DACH'!$A:$ZZ,0,$C$8),index('Output_HALO - DACH'!$A:$ZZ,0,$C7)},2,0),iferror(vlookup(BE$12&amp;"-"&amp;$E16,{index('Output_HALO - DACH'!$A:$ZZ,0,$C$8),index('Output_HALO - DACH'!$A:$ZZ,0,$C7)},2,0),iferror(vlookup(BE$12&amp;"-"&amp;$E19,{index('Output_HALO - DACH'!$A:$ZZ,0,$C$8),index('Output_HALO - DACH'!$A:$ZZ,0,$C7)},2,0),iferror(vlookup(BE$12&amp;"-"&amp;$E22,{index('Output_HALO - DACH'!$A:$ZZ,0,$C$8),index('Output_HALO - DACH'!$A:$ZZ,0,$C7)},2,0),iferror(vlookup(BE$12&amp;"-"&amp;$E25,{index('Output_HALO - DACH'!$A:$ZZ,0,$C$8),index('Output_HALO - DACH'!$A:$ZZ,0,$C7)},2,0),"")))))</f>
        <v>Chilled</v>
      </c>
      <c r="BF9" s="349" t="str">
        <f t="array" ref="BF9">iferror(vlookup(BF$12&amp;"-"&amp;$E13,{index('Output_HALO - DACH'!$A:$ZZ,0,$C$8),index('Output_HALO - DACH'!$A:$ZZ,0,$C7)},2,0),iferror(vlookup(BF$12&amp;"-"&amp;$E16,{index('Output_HALO - DACH'!$A:$ZZ,0,$C$8),index('Output_HALO - DACH'!$A:$ZZ,0,$C7)},2,0),iferror(vlookup(BF$12&amp;"-"&amp;$E19,{index('Output_HALO - DACH'!$A:$ZZ,0,$C$8),index('Output_HALO - DACH'!$A:$ZZ,0,$C7)},2,0),iferror(vlookup(BF$12&amp;"-"&amp;$E22,{index('Output_HALO - DACH'!$A:$ZZ,0,$C$8),index('Output_HALO - DACH'!$A:$ZZ,0,$C7)},2,0),iferror(vlookup(BF$12&amp;"-"&amp;$E25,{index('Output_HALO - DACH'!$A:$ZZ,0,$C$8),index('Output_HALO - DACH'!$A:$ZZ,0,$C7)},2,0),"")))))</f>
        <v/>
      </c>
      <c r="BG9" s="349" t="str">
        <f t="array" ref="BG9">iferror(vlookup(BG$12&amp;"-"&amp;$E13,{index('Output_HALO - DACH'!$A:$ZZ,0,$C$8),index('Output_HALO - DACH'!$A:$ZZ,0,$C7)},2,0),iferror(vlookup(BG$12&amp;"-"&amp;$E16,{index('Output_HALO - DACH'!$A:$ZZ,0,$C$8),index('Output_HALO - DACH'!$A:$ZZ,0,$C7)},2,0),iferror(vlookup(BG$12&amp;"-"&amp;$E19,{index('Output_HALO - DACH'!$A:$ZZ,0,$C$8),index('Output_HALO - DACH'!$A:$ZZ,0,$C7)},2,0),iferror(vlookup(BG$12&amp;"-"&amp;$E22,{index('Output_HALO - DACH'!$A:$ZZ,0,$C$8),index('Output_HALO - DACH'!$A:$ZZ,0,$C7)},2,0),iferror(vlookup(BG$12&amp;"-"&amp;$E25,{index('Output_HALO - DACH'!$A:$ZZ,0,$C$8),index('Output_HALO - DACH'!$A:$ZZ,0,$C7)},2,0),"")))))</f>
        <v>Chilled</v>
      </c>
      <c r="BH9" s="349" t="str">
        <f t="array" ref="BH9">iferror(vlookup(BH$12&amp;"-"&amp;$E13,{index('Output_HALO - DACH'!$A:$ZZ,0,$C$8),index('Output_HALO - DACH'!$A:$ZZ,0,$C7)},2,0),iferror(vlookup(BH$12&amp;"-"&amp;$E16,{index('Output_HALO - DACH'!$A:$ZZ,0,$C$8),index('Output_HALO - DACH'!$A:$ZZ,0,$C7)},2,0),iferror(vlookup(BH$12&amp;"-"&amp;$E19,{index('Output_HALO - DACH'!$A:$ZZ,0,$C$8),index('Output_HALO - DACH'!$A:$ZZ,0,$C7)},2,0),iferror(vlookup(BH$12&amp;"-"&amp;$E22,{index('Output_HALO - DACH'!$A:$ZZ,0,$C$8),index('Output_HALO - DACH'!$A:$ZZ,0,$C7)},2,0),iferror(vlookup(BH$12&amp;"-"&amp;$E25,{index('Output_HALO - DACH'!$A:$ZZ,0,$C$8),index('Output_HALO - DACH'!$A:$ZZ,0,$C7)},2,0),"")))))</f>
        <v>Chilled</v>
      </c>
      <c r="BI9" s="349" t="str">
        <f t="array" ref="BI9">iferror(vlookup(BI$12&amp;"-"&amp;$E13,{index('Output_HALO - DACH'!$A:$ZZ,0,$C$8),index('Output_HALO - DACH'!$A:$ZZ,0,$C7)},2,0),iferror(vlookup(BI$12&amp;"-"&amp;$E16,{index('Output_HALO - DACH'!$A:$ZZ,0,$C$8),index('Output_HALO - DACH'!$A:$ZZ,0,$C7)},2,0),iferror(vlookup(BI$12&amp;"-"&amp;$E19,{index('Output_HALO - DACH'!$A:$ZZ,0,$C$8),index('Output_HALO - DACH'!$A:$ZZ,0,$C7)},2,0),iferror(vlookup(BI$12&amp;"-"&amp;$E22,{index('Output_HALO - DACH'!$A:$ZZ,0,$C$8),index('Output_HALO - DACH'!$A:$ZZ,0,$C7)},2,0),iferror(vlookup(BI$12&amp;"-"&amp;$E25,{index('Output_HALO - DACH'!$A:$ZZ,0,$C$8),index('Output_HALO - DACH'!$A:$ZZ,0,$C7)},2,0),"")))))</f>
        <v>Chilled</v>
      </c>
      <c r="BJ9" s="349" t="str">
        <f t="array" ref="BJ9">iferror(vlookup(BJ$12&amp;"-"&amp;$E13,{index('Output_HALO - DACH'!$A:$ZZ,0,$C$8),index('Output_HALO - DACH'!$A:$ZZ,0,$C7)},2,0),iferror(vlookup(BJ$12&amp;"-"&amp;$E16,{index('Output_HALO - DACH'!$A:$ZZ,0,$C$8),index('Output_HALO - DACH'!$A:$ZZ,0,$C7)},2,0),iferror(vlookup(BJ$12&amp;"-"&amp;$E19,{index('Output_HALO - DACH'!$A:$ZZ,0,$C$8),index('Output_HALO - DACH'!$A:$ZZ,0,$C7)},2,0),iferror(vlookup(BJ$12&amp;"-"&amp;$E22,{index('Output_HALO - DACH'!$A:$ZZ,0,$C$8),index('Output_HALO - DACH'!$A:$ZZ,0,$C7)},2,0),iferror(vlookup(BJ$12&amp;"-"&amp;$E25,{index('Output_HALO - DACH'!$A:$ZZ,0,$C$8),index('Output_HALO - DACH'!$A:$ZZ,0,$C7)},2,0),"")))))</f>
        <v>Chilled</v>
      </c>
      <c r="BK9" s="349" t="str">
        <f t="array" ref="BK9">iferror(vlookup(BK$12&amp;"-"&amp;$E13,{index('Output_HALO - DACH'!$A:$ZZ,0,$C$8),index('Output_HALO - DACH'!$A:$ZZ,0,$C7)},2,0),iferror(vlookup(BK$12&amp;"-"&amp;$E16,{index('Output_HALO - DACH'!$A:$ZZ,0,$C$8),index('Output_HALO - DACH'!$A:$ZZ,0,$C7)},2,0),iferror(vlookup(BK$12&amp;"-"&amp;$E19,{index('Output_HALO - DACH'!$A:$ZZ,0,$C$8),index('Output_HALO - DACH'!$A:$ZZ,0,$C7)},2,0),iferror(vlookup(BK$12&amp;"-"&amp;$E22,{index('Output_HALO - DACH'!$A:$ZZ,0,$C$8),index('Output_HALO - DACH'!$A:$ZZ,0,$C7)},2,0),iferror(vlookup(BK$12&amp;"-"&amp;$E25,{index('Output_HALO - DACH'!$A:$ZZ,0,$C$8),index('Output_HALO - DACH'!$A:$ZZ,0,$C7)},2,0),"")))))</f>
        <v>Chilled</v>
      </c>
      <c r="BL9" s="349" t="str">
        <f t="array" ref="BL9">iferror(vlookup(BL$12&amp;"-"&amp;$E13,{index('Output_HALO - DACH'!$A:$ZZ,0,$C$8),index('Output_HALO - DACH'!$A:$ZZ,0,$C7)},2,0),iferror(vlookup(BL$12&amp;"-"&amp;$E16,{index('Output_HALO - DACH'!$A:$ZZ,0,$C$8),index('Output_HALO - DACH'!$A:$ZZ,0,$C7)},2,0),iferror(vlookup(BL$12&amp;"-"&amp;$E19,{index('Output_HALO - DACH'!$A:$ZZ,0,$C$8),index('Output_HALO - DACH'!$A:$ZZ,0,$C7)},2,0),iferror(vlookup(BL$12&amp;"-"&amp;$E22,{index('Output_HALO - DACH'!$A:$ZZ,0,$C$8),index('Output_HALO - DACH'!$A:$ZZ,0,$C7)},2,0),iferror(vlookup(BL$12&amp;"-"&amp;$E25,{index('Output_HALO - DACH'!$A:$ZZ,0,$C$8),index('Output_HALO - DACH'!$A:$ZZ,0,$C7)},2,0),"")))))</f>
        <v>Chilled</v>
      </c>
      <c r="BM9" s="349" t="str">
        <f t="array" ref="BM9">iferror(vlookup(BM$12&amp;"-"&amp;$E13,{index('Output_HALO - DACH'!$A:$ZZ,0,$C$8),index('Output_HALO - DACH'!$A:$ZZ,0,$C7)},2,0),iferror(vlookup(BM$12&amp;"-"&amp;$E16,{index('Output_HALO - DACH'!$A:$ZZ,0,$C$8),index('Output_HALO - DACH'!$A:$ZZ,0,$C7)},2,0),iferror(vlookup(BM$12&amp;"-"&amp;$E19,{index('Output_HALO - DACH'!$A:$ZZ,0,$C$8),index('Output_HALO - DACH'!$A:$ZZ,0,$C7)},2,0),iferror(vlookup(BM$12&amp;"-"&amp;$E22,{index('Output_HALO - DACH'!$A:$ZZ,0,$C$8),index('Output_HALO - DACH'!$A:$ZZ,0,$C7)},2,0),iferror(vlookup(BM$12&amp;"-"&amp;$E25,{index('Output_HALO - DACH'!$A:$ZZ,0,$C$8),index('Output_HALO - DACH'!$A:$ZZ,0,$C7)},2,0),"")))))</f>
        <v>Chilled</v>
      </c>
      <c r="BN9" s="349" t="str">
        <f t="array" ref="BN9">iferror(vlookup(BN$12&amp;"-"&amp;$E13,{index('Output_HALO - DACH'!$A:$ZZ,0,$C$8),index('Output_HALO - DACH'!$A:$ZZ,0,$C7)},2,0),iferror(vlookup(BN$12&amp;"-"&amp;$E16,{index('Output_HALO - DACH'!$A:$ZZ,0,$C$8),index('Output_HALO - DACH'!$A:$ZZ,0,$C7)},2,0),iferror(vlookup(BN$12&amp;"-"&amp;$E19,{index('Output_HALO - DACH'!$A:$ZZ,0,$C$8),index('Output_HALO - DACH'!$A:$ZZ,0,$C7)},2,0),iferror(vlookup(BN$12&amp;"-"&amp;$E22,{index('Output_HALO - DACH'!$A:$ZZ,0,$C$8),index('Output_HALO - DACH'!$A:$ZZ,0,$C7)},2,0),iferror(vlookup(BN$12&amp;"-"&amp;$E25,{index('Output_HALO - DACH'!$A:$ZZ,0,$C$8),index('Output_HALO - DACH'!$A:$ZZ,0,$C7)},2,0),"")))))</f>
        <v/>
      </c>
      <c r="BO9" s="349" t="str">
        <f t="array" ref="BO9">iferror(vlookup(BO$12&amp;"-"&amp;$E13,{index('Output_HALO - DACH'!$A:$ZZ,0,$C$8),index('Output_HALO - DACH'!$A:$ZZ,0,$C7)},2,0),iferror(vlookup(BO$12&amp;"-"&amp;$E16,{index('Output_HALO - DACH'!$A:$ZZ,0,$C$8),index('Output_HALO - DACH'!$A:$ZZ,0,$C7)},2,0),iferror(vlookup(BO$12&amp;"-"&amp;$E19,{index('Output_HALO - DACH'!$A:$ZZ,0,$C$8),index('Output_HALO - DACH'!$A:$ZZ,0,$C7)},2,0),iferror(vlookup(BO$12&amp;"-"&amp;$E22,{index('Output_HALO - DACH'!$A:$ZZ,0,$C$8),index('Output_HALO - DACH'!$A:$ZZ,0,$C7)},2,0),iferror(vlookup(BO$12&amp;"-"&amp;$E25,{index('Output_HALO - DACH'!$A:$ZZ,0,$C$8),index('Output_HALO - DACH'!$A:$ZZ,0,$C7)},2,0),"")))))</f>
        <v/>
      </c>
      <c r="BP9" s="349" t="str">
        <f t="array" ref="BP9">iferror(vlookup(BP$12&amp;"-"&amp;$E13,{index('Output_HALO - DACH'!$A:$ZZ,0,$C$8),index('Output_HALO - DACH'!$A:$ZZ,0,$C7)},2,0),iferror(vlookup(BP$12&amp;"-"&amp;$E16,{index('Output_HALO - DACH'!$A:$ZZ,0,$C$8),index('Output_HALO - DACH'!$A:$ZZ,0,$C7)},2,0),iferror(vlookup(BP$12&amp;"-"&amp;$E19,{index('Output_HALO - DACH'!$A:$ZZ,0,$C$8),index('Output_HALO - DACH'!$A:$ZZ,0,$C7)},2,0),iferror(vlookup(BP$12&amp;"-"&amp;$E22,{index('Output_HALO - DACH'!$A:$ZZ,0,$C$8),index('Output_HALO - DACH'!$A:$ZZ,0,$C7)},2,0),iferror(vlookup(BP$12&amp;"-"&amp;$E25,{index('Output_HALO - DACH'!$A:$ZZ,0,$C$8),index('Output_HALO - DACH'!$A:$ZZ,0,$C7)},2,0),"")))))</f>
        <v/>
      </c>
      <c r="BQ9" s="349" t="str">
        <f t="array" ref="BQ9">iferror(vlookup(BQ$12&amp;"-"&amp;$E13,{index('Output_HALO - DACH'!$A:$ZZ,0,$C$8),index('Output_HALO - DACH'!$A:$ZZ,0,$C7)},2,0),iferror(vlookup(BQ$12&amp;"-"&amp;$E16,{index('Output_HALO - DACH'!$A:$ZZ,0,$C$8),index('Output_HALO - DACH'!$A:$ZZ,0,$C7)},2,0),iferror(vlookup(BQ$12&amp;"-"&amp;$E19,{index('Output_HALO - DACH'!$A:$ZZ,0,$C$8),index('Output_HALO - DACH'!$A:$ZZ,0,$C7)},2,0),iferror(vlookup(BQ$12&amp;"-"&amp;$E22,{index('Output_HALO - DACH'!$A:$ZZ,0,$C$8),index('Output_HALO - DACH'!$A:$ZZ,0,$C7)},2,0),iferror(vlookup(BQ$12&amp;"-"&amp;$E25,{index('Output_HALO - DACH'!$A:$ZZ,0,$C$8),index('Output_HALO - DACH'!$A:$ZZ,0,$C7)},2,0),"")))))</f>
        <v/>
      </c>
    </row>
    <row r="10">
      <c r="A10" s="118"/>
      <c r="E10" s="348" t="str">
        <f>"PICKS (" &amp; round(average(F10:BQ10)/max(F10:BQ10),2)*100 &amp; "%)"</f>
        <v>PICKS (57.%)</v>
      </c>
      <c r="F10" s="350" t="str">
        <f t="array" ref="F10">if(AND(F11&lt;&gt;"",F11&lt;&gt;G11), sumifs(index('Output_HALO - DACH'!1:100000,0,$C$4),index('Output_HALO - DACH'!1:100000,0,$C$6),F11),"")</f>
        <v/>
      </c>
      <c r="G10" s="350" t="str">
        <f t="array" ref="G10">if(AND(G11&lt;&gt;"",G11&lt;&gt;H11), sumifs(index('Output_HALO - DACH'!1:100000,0,$C$4),index('Output_HALO - DACH'!1:100000,0,$C$6),G11),"")</f>
        <v/>
      </c>
      <c r="H10" s="350">
        <f t="array" ref="H10">if(AND(H11&lt;&gt;"",H11&lt;&gt;I11), sumifs(index('Output_HALO - DACH'!1:100000,0,$C$4),index('Output_HALO - DACH'!1:100000,0,$C$6),H11),"")</f>
        <v>0</v>
      </c>
      <c r="I10" s="350" t="str">
        <f t="array" ref="I10">if(AND(I11&lt;&gt;"",I11&lt;&gt;J11), sumifs(index('Output_HALO - DACH'!1:100000,0,$C$4),index('Output_HALO - DACH'!1:100000,0,$C$6),I11),"")</f>
        <v/>
      </c>
      <c r="J10" s="350">
        <f t="array" ref="J10">if(AND(J11&lt;&gt;"",J11&lt;&gt;K11), sumifs(index('Output_HALO - DACH'!1:100000,0,$C$4),index('Output_HALO - DACH'!1:100000,0,$C$6),J11),"")</f>
        <v>0</v>
      </c>
      <c r="K10" s="350" t="str">
        <f t="array" ref="K10">if(AND(K11&lt;&gt;"",K11&lt;&gt;L11), sumifs(index('Output_HALO - DACH'!1:100000,0,$C$4),index('Output_HALO - DACH'!1:100000,0,$C$6),K11),"")</f>
        <v/>
      </c>
      <c r="L10" s="350" t="str">
        <f t="array" ref="L10">if(AND(L11&lt;&gt;"",L11&lt;&gt;M11), sumifs(index('Output_HALO - DACH'!1:100000,0,$C$4),index('Output_HALO - DACH'!1:100000,0,$C$6),L11),"")</f>
        <v/>
      </c>
      <c r="M10" s="350" t="str">
        <f t="array" ref="M10">if(AND(M11&lt;&gt;"",M11&lt;&gt;N11), sumifs(index('Output_HALO - DACH'!1:100000,0,$C$4),index('Output_HALO - DACH'!1:100000,0,$C$6),M11),"")</f>
        <v/>
      </c>
      <c r="N10" s="350">
        <f t="array" ref="N10">if(AND(N11&lt;&gt;"",N11&lt;&gt;O11), sumifs(index('Output_HALO - DACH'!1:100000,0,$C$4),index('Output_HALO - DACH'!1:100000,0,$C$6),N11),"")</f>
        <v>0</v>
      </c>
      <c r="O10" s="350" t="str">
        <f t="array" ref="O10">if(AND(O11&lt;&gt;"",O11&lt;&gt;P11), sumifs(index('Output_HALO - DACH'!1:100000,0,$C$4),index('Output_HALO - DACH'!1:100000,0,$C$6),O11),"")</f>
        <v/>
      </c>
      <c r="P10" s="350" t="str">
        <f t="array" ref="P10">if(AND(P11&lt;&gt;"",P11&lt;&gt;Q11), sumifs(index('Output_HALO - DACH'!1:100000,0,$C$4),index('Output_HALO - DACH'!1:100000,0,$C$6),P11),"")</f>
        <v/>
      </c>
      <c r="Q10" s="350" t="str">
        <f t="array" ref="Q10">if(AND(Q11&lt;&gt;"",Q11&lt;&gt;R11), sumifs(index('Output_HALO - DACH'!1:100000,0,$C$4),index('Output_HALO - DACH'!1:100000,0,$C$6),Q11),"")</f>
        <v/>
      </c>
      <c r="R10" s="350" t="str">
        <f t="array" ref="R10">if(AND(R11&lt;&gt;"",R11&lt;&gt;S11), sumifs(index('Output_HALO - DACH'!1:100000,0,$C$4),index('Output_HALO - DACH'!1:100000,0,$C$6),R11),"")</f>
        <v/>
      </c>
      <c r="S10" s="350" t="str">
        <f t="array" ref="S10">if(AND(S11&lt;&gt;"",S11&lt;&gt;T11), sumifs(index('Output_HALO - DACH'!1:100000,0,$C$4),index('Output_HALO - DACH'!1:100000,0,$C$6),S11),"")</f>
        <v/>
      </c>
      <c r="T10" s="350" t="str">
        <f t="array" ref="T10">if(AND(T11&lt;&gt;"",T11&lt;&gt;U11), sumifs(index('Output_HALO - DACH'!1:100000,0,$C$4),index('Output_HALO - DACH'!1:100000,0,$C$6),T11),"")</f>
        <v/>
      </c>
      <c r="U10" s="350" t="str">
        <f t="array" ref="U10">if(AND(U11&lt;&gt;"",U11&lt;&gt;V11), sumifs(index('Output_HALO - DACH'!1:100000,0,$C$4),index('Output_HALO - DACH'!1:100000,0,$C$6),U11),"")</f>
        <v/>
      </c>
      <c r="V10" s="350" t="str">
        <f t="array" ref="V10">if(AND(V11&lt;&gt;"",V11&lt;&gt;W11), sumifs(index('Output_HALO - DACH'!1:100000,0,$C$4),index('Output_HALO - DACH'!1:100000,0,$C$6),V11),"")</f>
        <v/>
      </c>
      <c r="W10" s="350" t="str">
        <f t="array" ref="W10">if(AND(W11&lt;&gt;"",W11&lt;&gt;X11), sumifs(index('Output_HALO - DACH'!1:100000,0,$C$4),index('Output_HALO - DACH'!1:100000,0,$C$6),W11),"")</f>
        <v/>
      </c>
      <c r="X10" s="350" t="str">
        <f t="array" ref="X10">if(AND(X11&lt;&gt;"",X11&lt;&gt;Y11), sumifs(index('Output_HALO - DACH'!1:100000,0,$C$4),index('Output_HALO - DACH'!1:100000,0,$C$6),X11),"")</f>
        <v/>
      </c>
      <c r="Y10" s="350" t="str">
        <f t="array" ref="Y10">if(AND(Y11&lt;&gt;"",Y11&lt;&gt;Z11), sumifs(index('Output_HALO - DACH'!1:100000,0,$C$4),index('Output_HALO - DACH'!1:100000,0,$C$6),Y11),"")</f>
        <v/>
      </c>
      <c r="Z10" s="350" t="str">
        <f t="array" ref="Z10">if(AND(Z11&lt;&gt;"",Z11&lt;&gt;AA11), sumifs(index('Output_HALO - DACH'!1:100000,0,$C$4),index('Output_HALO - DACH'!1:100000,0,$C$6),Z11),"")</f>
        <v/>
      </c>
      <c r="AA10" s="350" t="str">
        <f t="array" ref="AA10">if(AND(AA11&lt;&gt;"",AA11&lt;&gt;AB11), sumifs(index('Output_HALO - DACH'!1:100000,0,$C$4),index('Output_HALO - DACH'!1:100000,0,$C$6),AA11),"")</f>
        <v/>
      </c>
      <c r="AB10" s="350" t="str">
        <f t="array" ref="AB10">if(AND(AB11&lt;&gt;"",AB11&lt;&gt;AC11), sumifs(index('Output_HALO - DACH'!1:100000,0,$C$4),index('Output_HALO - DACH'!1:100000,0,$C$6),AB11),"")</f>
        <v/>
      </c>
      <c r="AC10" s="350" t="str">
        <f t="array" ref="AC10">if(AND(AC11&lt;&gt;"",AC11&lt;&gt;AD11), sumifs(index('Output_HALO - DACH'!1:100000,0,$C$4),index('Output_HALO - DACH'!1:100000,0,$C$6),AC11),"")</f>
        <v/>
      </c>
      <c r="AD10" s="350" t="str">
        <f t="array" ref="AD10">if(AND(AD11&lt;&gt;"",AD11&lt;&gt;AE11), sumifs(index('Output_HALO - DACH'!1:100000,0,$C$4),index('Output_HALO - DACH'!1:100000,0,$C$6),AD11),"")</f>
        <v/>
      </c>
      <c r="AE10" s="350">
        <f t="array" ref="AE10">if(AND(AE11&lt;&gt;"",AE11&lt;&gt;AF11), sumifs(index('Output_HALO - DACH'!1:100000,0,$C$4),index('Output_HALO - DACH'!1:100000,0,$C$6),AE11),"")</f>
        <v>2915</v>
      </c>
      <c r="AF10" s="350">
        <f t="array" ref="AF10">if(AND(AF11&lt;&gt;"",AF11&lt;&gt;AG11), sumifs(index('Output_HALO - DACH'!1:100000,0,$C$4),index('Output_HALO - DACH'!1:100000,0,$C$6),AF11),"")</f>
        <v>1246</v>
      </c>
      <c r="AG10" s="350" t="str">
        <f t="array" ref="AG10">if(AND(AG11&lt;&gt;"",AG11&lt;&gt;AH11), sumifs(index('Output_HALO - DACH'!1:100000,0,$C$4),index('Output_HALO - DACH'!1:100000,0,$C$6),AG11),"")</f>
        <v/>
      </c>
      <c r="AH10" s="350" t="str">
        <f t="array" ref="AH10">if(AND(AH11&lt;&gt;"",AH11&lt;&gt;AI11), sumifs(index('Output_HALO - DACH'!1:100000,0,$C$4),index('Output_HALO - DACH'!1:100000,0,$C$6),AH11),"")</f>
        <v/>
      </c>
      <c r="AI10" s="350" t="str">
        <f t="array" ref="AI10">if(AND(AI11&lt;&gt;"",AI11&lt;&gt;AJ11), sumifs(index('Output_HALO - DACH'!1:100000,0,$C$4),index('Output_HALO - DACH'!1:100000,0,$C$6),AI11),"")</f>
        <v/>
      </c>
      <c r="AJ10" s="350" t="str">
        <f t="array" ref="AJ10">if(AND(AJ11&lt;&gt;"",AJ11&lt;&gt;AK11), sumifs(index('Output_HALO - DACH'!1:100000,0,$C$4),index('Output_HALO - DACH'!1:100000,0,$C$6),AJ11),"")</f>
        <v/>
      </c>
      <c r="AK10" s="350" t="str">
        <f t="array" ref="AK10">if(AND(AK11&lt;&gt;"",AK11&lt;&gt;AL11), sumifs(index('Output_HALO - DACH'!1:100000,0,$C$4),index('Output_HALO - DACH'!1:100000,0,$C$6),AK11),"")</f>
        <v/>
      </c>
      <c r="AL10" s="350" t="str">
        <f t="array" ref="AL10">if(AND(AL11&lt;&gt;"",AL11&lt;&gt;AM11), sumifs(index('Output_HALO - DACH'!1:100000,0,$C$4),index('Output_HALO - DACH'!1:100000,0,$C$6),AL11),"")</f>
        <v/>
      </c>
      <c r="AM10" s="350" t="str">
        <f t="array" ref="AM10">if(AND(AM11&lt;&gt;"",AM11&lt;&gt;AN11), sumifs(index('Output_HALO - DACH'!1:100000,0,$C$4),index('Output_HALO - DACH'!1:100000,0,$C$6),AM11),"")</f>
        <v/>
      </c>
      <c r="AN10" s="350">
        <f t="array" ref="AN10">if(AND(AN11&lt;&gt;"",AN11&lt;&gt;AO11), sumifs(index('Output_HALO - DACH'!1:100000,0,$C$4),index('Output_HALO - DACH'!1:100000,0,$C$6),AN11),"")</f>
        <v>2818</v>
      </c>
      <c r="AO10" s="350" t="str">
        <f t="array" ref="AO10">if(AND(AO11&lt;&gt;"",AO11&lt;&gt;AP11), sumifs(index('Output_HALO - DACH'!1:100000,0,$C$4),index('Output_HALO - DACH'!1:100000,0,$C$6),AO11),"")</f>
        <v/>
      </c>
      <c r="AP10" s="350" t="str">
        <f t="array" ref="AP10">if(AND(AP11&lt;&gt;"",AP11&lt;&gt;AQ11), sumifs(index('Output_HALO - DACH'!1:100000,0,$C$4),index('Output_HALO - DACH'!1:100000,0,$C$6),AP11),"")</f>
        <v/>
      </c>
      <c r="AQ10" s="350">
        <f t="array" ref="AQ10">if(AND(AQ11&lt;&gt;"",AQ11&lt;&gt;AR11), sumifs(index('Output_HALO - DACH'!1:100000,0,$C$4),index('Output_HALO - DACH'!1:100000,0,$C$6),AQ11),"")</f>
        <v>2993</v>
      </c>
      <c r="AR10" s="350" t="str">
        <f t="array" ref="AR10">if(AND(AR11&lt;&gt;"",AR11&lt;&gt;AS11), sumifs(index('Output_HALO - DACH'!1:100000,0,$C$4),index('Output_HALO - DACH'!1:100000,0,$C$6),AR11),"")</f>
        <v/>
      </c>
      <c r="AS10" s="350" t="str">
        <f t="array" ref="AS10">if(AND(AS11&lt;&gt;"",AS11&lt;&gt;AT11), sumifs(index('Output_HALO - DACH'!1:100000,0,$C$4),index('Output_HALO - DACH'!1:100000,0,$C$6),AS11),"")</f>
        <v/>
      </c>
      <c r="AT10" s="350" t="str">
        <f t="array" ref="AT10">if(AND(AT11&lt;&gt;"",AT11&lt;&gt;AU11), sumifs(index('Output_HALO - DACH'!1:100000,0,$C$4),index('Output_HALO - DACH'!1:100000,0,$C$6),AT11),"")</f>
        <v/>
      </c>
      <c r="AU10" s="350" t="str">
        <f t="array" ref="AU10">if(AND(AU11&lt;&gt;"",AU11&lt;&gt;AV11), sumifs(index('Output_HALO - DACH'!1:100000,0,$C$4),index('Output_HALO - DACH'!1:100000,0,$C$6),AU11),"")</f>
        <v/>
      </c>
      <c r="AV10" s="350" t="str">
        <f t="array" ref="AV10">if(AND(AV11&lt;&gt;"",AV11&lt;&gt;AW11), sumifs(index('Output_HALO - DACH'!1:100000,0,$C$4),index('Output_HALO - DACH'!1:100000,0,$C$6),AV11),"")</f>
        <v/>
      </c>
      <c r="AW10" s="350">
        <f t="array" ref="AW10">if(AND(AW11&lt;&gt;"",AW11&lt;&gt;AX11), sumifs(index('Output_HALO - DACH'!1:100000,0,$C$4),index('Output_HALO - DACH'!1:100000,0,$C$6),AW11),"")</f>
        <v>2938</v>
      </c>
      <c r="AX10" s="350" t="str">
        <f t="array" ref="AX10">if(AND(AX11&lt;&gt;"",AX11&lt;&gt;AY11), sumifs(index('Output_HALO - DACH'!1:100000,0,$C$4),index('Output_HALO - DACH'!1:100000,0,$C$6),AX11),"")</f>
        <v/>
      </c>
      <c r="AY10" s="350" t="str">
        <f t="array" ref="AY10">if(AND(AY11&lt;&gt;"",AY11&lt;&gt;AZ11), sumifs(index('Output_HALO - DACH'!1:100000,0,$C$4),index('Output_HALO - DACH'!1:100000,0,$C$6),AY11),"")</f>
        <v/>
      </c>
      <c r="AZ10" s="350" t="str">
        <f t="array" ref="AZ10">if(AND(AZ11&lt;&gt;"",AZ11&lt;&gt;BA11), sumifs(index('Output_HALO - DACH'!1:100000,0,$C$4),index('Output_HALO - DACH'!1:100000,0,$C$6),AZ11),"")</f>
        <v/>
      </c>
      <c r="BA10" s="350" t="str">
        <f t="array" ref="BA10">if(AND(BA11&lt;&gt;"",BA11&lt;&gt;BB11), sumifs(index('Output_HALO - DACH'!1:100000,0,$C$4),index('Output_HALO - DACH'!1:100000,0,$C$6),BA11),"")</f>
        <v/>
      </c>
      <c r="BB10" s="350" t="str">
        <f t="array" ref="BB10">if(AND(BB11&lt;&gt;"",BB11&lt;&gt;BC11), sumifs(index('Output_HALO - DACH'!1:100000,0,$C$4),index('Output_HALO - DACH'!1:100000,0,$C$6),BB11),"")</f>
        <v/>
      </c>
      <c r="BC10" s="350" t="str">
        <f t="array" ref="BC10">if(AND(BC11&lt;&gt;"",BC11&lt;&gt;BD11), sumifs(index('Output_HALO - DACH'!1:100000,0,$C$4),index('Output_HALO - DACH'!1:100000,0,$C$6),BC11),"")</f>
        <v/>
      </c>
      <c r="BD10" s="350" t="str">
        <f t="array" ref="BD10">if(AND(BD11&lt;&gt;"",BD11&lt;&gt;BE11), sumifs(index('Output_HALO - DACH'!1:100000,0,$C$4),index('Output_HALO - DACH'!1:100000,0,$C$6),BD11),"")</f>
        <v/>
      </c>
      <c r="BE10" s="350">
        <f t="array" ref="BE10">if(AND(BE11&lt;&gt;"",BE11&lt;&gt;BF11), sumifs(index('Output_HALO - DACH'!1:100000,0,$C$4),index('Output_HALO - DACH'!1:100000,0,$C$6),BE11),"")</f>
        <v>2978</v>
      </c>
      <c r="BF10" s="350" t="str">
        <f t="array" ref="BF10">if(AND(BF11&lt;&gt;"",BF11&lt;&gt;BG11), sumifs(index('Output_HALO - DACH'!1:100000,0,$C$4),index('Output_HALO - DACH'!1:100000,0,$C$6),BF11),"")</f>
        <v/>
      </c>
      <c r="BG10" s="350" t="str">
        <f t="array" ref="BG10">if(AND(BG11&lt;&gt;"",BG11&lt;&gt;BH11), sumifs(index('Output_HALO - DACH'!1:100000,0,$C$4),index('Output_HALO - DACH'!1:100000,0,$C$6),BG11),"")</f>
        <v/>
      </c>
      <c r="BH10" s="350" t="str">
        <f t="array" ref="BH10">if(AND(BH11&lt;&gt;"",BH11&lt;&gt;BI11), sumifs(index('Output_HALO - DACH'!1:100000,0,$C$4),index('Output_HALO - DACH'!1:100000,0,$C$6),BH11),"")</f>
        <v/>
      </c>
      <c r="BI10" s="350">
        <f t="array" ref="BI10">if(AND(BI11&lt;&gt;"",BI11&lt;&gt;BJ11), sumifs(index('Output_HALO - DACH'!1:100000,0,$C$4),index('Output_HALO - DACH'!1:100000,0,$C$6),BI11),"")</f>
        <v>2962</v>
      </c>
      <c r="BJ10" s="350" t="str">
        <f t="array" ref="BJ10">if(AND(BJ11&lt;&gt;"",BJ11&lt;&gt;BK11), sumifs(index('Output_HALO - DACH'!1:100000,0,$C$4),index('Output_HALO - DACH'!1:100000,0,$C$6),BJ11),"")</f>
        <v/>
      </c>
      <c r="BK10" s="350" t="str">
        <f t="array" ref="BK10">if(AND(BK11&lt;&gt;"",BK11&lt;&gt;BL11), sumifs(index('Output_HALO - DACH'!1:100000,0,$C$4),index('Output_HALO - DACH'!1:100000,0,$C$6),BK11),"")</f>
        <v/>
      </c>
      <c r="BL10" s="350" t="str">
        <f t="array" ref="BL10">if(AND(BL11&lt;&gt;"",BL11&lt;&gt;BM11), sumifs(index('Output_HALO - DACH'!1:100000,0,$C$4),index('Output_HALO - DACH'!1:100000,0,$C$6),BL11),"")</f>
        <v/>
      </c>
      <c r="BM10" s="350">
        <f t="array" ref="BM10">if(AND(BM11&lt;&gt;"",BM11&lt;&gt;BN11), sumifs(index('Output_HALO - DACH'!1:100000,0,$C$4),index('Output_HALO - DACH'!1:100000,0,$C$6),BM11),"")</f>
        <v>55</v>
      </c>
      <c r="BN10" s="350" t="str">
        <f t="array" ref="BN10">if(AND(BN11&lt;&gt;"",BN11&lt;&gt;BO11), sumifs(index('Output_HALO - DACH'!1:100000,0,$C$4),index('Output_HALO - DACH'!1:100000,0,$C$6),BN11),"")</f>
        <v/>
      </c>
      <c r="BO10" s="350" t="str">
        <f t="array" ref="BO10">if(AND(BO11&lt;&gt;"",BO11&lt;&gt;BP11), sumifs(index('Output_HALO - DACH'!1:100000,0,$C$4),index('Output_HALO - DACH'!1:100000,0,$C$6),BO11),"")</f>
        <v/>
      </c>
      <c r="BP10" s="350" t="str">
        <f t="array" ref="BP10">if(AND(BP11&lt;&gt;"",BP11&lt;&gt;BQ11), sumifs(index('Output_HALO - DACH'!1:100000,0,$C$4),index('Output_HALO - DACH'!1:100000,0,$C$6),BP11),"")</f>
        <v/>
      </c>
      <c r="BQ10" s="350" t="str">
        <f t="array" ref="BQ10">if(AND(BQ11&lt;&gt;"",BQ11&lt;&gt;BR11), sumifs(index('Output_HALO - DACH'!1:100000,0,$C$4),index('Output_HALO - DACH'!1:100000,0,$C$6),BQ11),"")</f>
        <v/>
      </c>
    </row>
    <row r="11">
      <c r="A11" s="12"/>
      <c r="E11" s="348" t="s">
        <v>467</v>
      </c>
      <c r="F11" s="351" t="str">
        <f t="array" ref="F11">iferror(vlookup(F$12&amp;"-"&amp;$E13,{index('Output_HALO - DACH'!$A:$ZZ,0,$C$8),index('Output_HALO - DACH'!$A:$ZZ,0,$C6)},2,0),iferror(vlookup(F$12&amp;"-"&amp;$E16,{index('Output_HALO - DACH'!$A:$ZZ,0,$C$8),index('Output_HALO - DACH'!$A:$ZZ,0,$C6)},2,0),iferror(vlookup(F$12&amp;"-"&amp;$E19,{index('Output_HALO - DACH'!$A:$ZZ,0,$C$8),index('Output_HALO - DACH'!$A:$ZZ,0,$C6)},2,0),iferror(vlookup(F$12&amp;"-"&amp;$E22,{index('Output_HALO - DACH'!$A:$ZZ,0,$C$8),index('Output_HALO - DACH'!$A:$ZZ,0,$C6)},2,0),iferror(vlookup(F$12&amp;"-"&amp;$E25,{index('Output_HALO - DACH'!$A:$ZZ,0,$C$8),index('Output_HALO - DACH'!$A:$ZZ,0,$C6)},2,0),"")))))</f>
        <v/>
      </c>
      <c r="G11" s="351">
        <f t="array" ref="G11">iferror(vlookup(G$12&amp;"-"&amp;$E13,{index('Output_HALO - DACH'!$A:$ZZ,0,$C$8),index('Output_HALO - DACH'!$A:$ZZ,0,$C6)},2,0),iferror(vlookup(G$12&amp;"-"&amp;$E16,{index('Output_HALO - DACH'!$A:$ZZ,0,$C$8),index('Output_HALO - DACH'!$A:$ZZ,0,$C6)},2,0),iferror(vlookup(G$12&amp;"-"&amp;$E19,{index('Output_HALO - DACH'!$A:$ZZ,0,$C$8),index('Output_HALO - DACH'!$A:$ZZ,0,$C6)},2,0),iferror(vlookup(G$12&amp;"-"&amp;$E22,{index('Output_HALO - DACH'!$A:$ZZ,0,$C$8),index('Output_HALO - DACH'!$A:$ZZ,0,$C6)},2,0),iferror(vlookup(G$12&amp;"-"&amp;$E25,{index('Output_HALO - DACH'!$A:$ZZ,0,$C$8),index('Output_HALO - DACH'!$A:$ZZ,0,$C6)},2,0),"")))))</f>
        <v>1</v>
      </c>
      <c r="H11" s="351">
        <f t="array" ref="H11">iferror(vlookup(H$12&amp;"-"&amp;$E13,{index('Output_HALO - DACH'!$A:$ZZ,0,$C$8),index('Output_HALO - DACH'!$A:$ZZ,0,$C6)},2,0),iferror(vlookup(H$12&amp;"-"&amp;$E16,{index('Output_HALO - DACH'!$A:$ZZ,0,$C$8),index('Output_HALO - DACH'!$A:$ZZ,0,$C6)},2,0),iferror(vlookup(H$12&amp;"-"&amp;$E19,{index('Output_HALO - DACH'!$A:$ZZ,0,$C$8),index('Output_HALO - DACH'!$A:$ZZ,0,$C6)},2,0),iferror(vlookup(H$12&amp;"-"&amp;$E22,{index('Output_HALO - DACH'!$A:$ZZ,0,$C$8),index('Output_HALO - DACH'!$A:$ZZ,0,$C6)},2,0),iferror(vlookup(H$12&amp;"-"&amp;$E25,{index('Output_HALO - DACH'!$A:$ZZ,0,$C$8),index('Output_HALO - DACH'!$A:$ZZ,0,$C6)},2,0),"")))))</f>
        <v>1</v>
      </c>
      <c r="I11" s="351" t="str">
        <f t="array" ref="I11">iferror(vlookup(I$12&amp;"-"&amp;$E13,{index('Output_HALO - DACH'!$A:$ZZ,0,$C$8),index('Output_HALO - DACH'!$A:$ZZ,0,$C6)},2,0),iferror(vlookup(I$12&amp;"-"&amp;$E16,{index('Output_HALO - DACH'!$A:$ZZ,0,$C$8),index('Output_HALO - DACH'!$A:$ZZ,0,$C6)},2,0),iferror(vlookup(I$12&amp;"-"&amp;$E19,{index('Output_HALO - DACH'!$A:$ZZ,0,$C$8),index('Output_HALO - DACH'!$A:$ZZ,0,$C6)},2,0),iferror(vlookup(I$12&amp;"-"&amp;$E22,{index('Output_HALO - DACH'!$A:$ZZ,0,$C$8),index('Output_HALO - DACH'!$A:$ZZ,0,$C6)},2,0),iferror(vlookup(I$12&amp;"-"&amp;$E25,{index('Output_HALO - DACH'!$A:$ZZ,0,$C$8),index('Output_HALO - DACH'!$A:$ZZ,0,$C6)},2,0),"")))))</f>
        <v/>
      </c>
      <c r="J11" s="351">
        <f t="array" ref="J11">iferror(vlookup(J$12&amp;"-"&amp;$E13,{index('Output_HALO - DACH'!$A:$ZZ,0,$C$8),index('Output_HALO - DACH'!$A:$ZZ,0,$C6)},2,0),iferror(vlookup(J$12&amp;"-"&amp;$E16,{index('Output_HALO - DACH'!$A:$ZZ,0,$C$8),index('Output_HALO - DACH'!$A:$ZZ,0,$C6)},2,0),iferror(vlookup(J$12&amp;"-"&amp;$E19,{index('Output_HALO - DACH'!$A:$ZZ,0,$C$8),index('Output_HALO - DACH'!$A:$ZZ,0,$C6)},2,0),iferror(vlookup(J$12&amp;"-"&amp;$E22,{index('Output_HALO - DACH'!$A:$ZZ,0,$C$8),index('Output_HALO - DACH'!$A:$ZZ,0,$C6)},2,0),iferror(vlookup(J$12&amp;"-"&amp;$E25,{index('Output_HALO - DACH'!$A:$ZZ,0,$C$8),index('Output_HALO - DACH'!$A:$ZZ,0,$C6)},2,0),"")))))</f>
        <v>1</v>
      </c>
      <c r="K11" s="351">
        <f t="array" ref="K11">iferror(vlookup(K$12&amp;"-"&amp;$E13,{index('Output_HALO - DACH'!$A:$ZZ,0,$C$8),index('Output_HALO - DACH'!$A:$ZZ,0,$C6)},2,0),iferror(vlookup(K$12&amp;"-"&amp;$E16,{index('Output_HALO - DACH'!$A:$ZZ,0,$C$8),index('Output_HALO - DACH'!$A:$ZZ,0,$C6)},2,0),iferror(vlookup(K$12&amp;"-"&amp;$E19,{index('Output_HALO - DACH'!$A:$ZZ,0,$C$8),index('Output_HALO - DACH'!$A:$ZZ,0,$C6)},2,0),iferror(vlookup(K$12&amp;"-"&amp;$E22,{index('Output_HALO - DACH'!$A:$ZZ,0,$C$8),index('Output_HALO - DACH'!$A:$ZZ,0,$C6)},2,0),iferror(vlookup(K$12&amp;"-"&amp;$E25,{index('Output_HALO - DACH'!$A:$ZZ,0,$C$8),index('Output_HALO - DACH'!$A:$ZZ,0,$C6)},2,0),"")))))</f>
        <v>2</v>
      </c>
      <c r="L11" s="351">
        <f t="array" ref="L11">iferror(vlookup(L$12&amp;"-"&amp;$E13,{index('Output_HALO - DACH'!$A:$ZZ,0,$C$8),index('Output_HALO - DACH'!$A:$ZZ,0,$C6)},2,0),iferror(vlookup(L$12&amp;"-"&amp;$E16,{index('Output_HALO - DACH'!$A:$ZZ,0,$C$8),index('Output_HALO - DACH'!$A:$ZZ,0,$C6)},2,0),iferror(vlookup(L$12&amp;"-"&amp;$E19,{index('Output_HALO - DACH'!$A:$ZZ,0,$C$8),index('Output_HALO - DACH'!$A:$ZZ,0,$C6)},2,0),iferror(vlookup(L$12&amp;"-"&amp;$E22,{index('Output_HALO - DACH'!$A:$ZZ,0,$C$8),index('Output_HALO - DACH'!$A:$ZZ,0,$C6)},2,0),iferror(vlookup(L$12&amp;"-"&amp;$E25,{index('Output_HALO - DACH'!$A:$ZZ,0,$C$8),index('Output_HALO - DACH'!$A:$ZZ,0,$C6)},2,0),"")))))</f>
        <v>2</v>
      </c>
      <c r="M11" s="351">
        <f t="array" ref="M11">iferror(vlookup(M$12&amp;"-"&amp;$E13,{index('Output_HALO - DACH'!$A:$ZZ,0,$C$8),index('Output_HALO - DACH'!$A:$ZZ,0,$C6)},2,0),iferror(vlookup(M$12&amp;"-"&amp;$E16,{index('Output_HALO - DACH'!$A:$ZZ,0,$C$8),index('Output_HALO - DACH'!$A:$ZZ,0,$C6)},2,0),iferror(vlookup(M$12&amp;"-"&amp;$E19,{index('Output_HALO - DACH'!$A:$ZZ,0,$C$8),index('Output_HALO - DACH'!$A:$ZZ,0,$C6)},2,0),iferror(vlookup(M$12&amp;"-"&amp;$E22,{index('Output_HALO - DACH'!$A:$ZZ,0,$C$8),index('Output_HALO - DACH'!$A:$ZZ,0,$C6)},2,0),iferror(vlookup(M$12&amp;"-"&amp;$E25,{index('Output_HALO - DACH'!$A:$ZZ,0,$C$8),index('Output_HALO - DACH'!$A:$ZZ,0,$C6)},2,0),"")))))</f>
        <v>2</v>
      </c>
      <c r="N11" s="351">
        <f t="array" ref="N11">iferror(vlookup(N$12&amp;"-"&amp;$E13,{index('Output_HALO - DACH'!$A:$ZZ,0,$C$8),index('Output_HALO - DACH'!$A:$ZZ,0,$C6)},2,0),iferror(vlookup(N$12&amp;"-"&amp;$E16,{index('Output_HALO - DACH'!$A:$ZZ,0,$C$8),index('Output_HALO - DACH'!$A:$ZZ,0,$C6)},2,0),iferror(vlookup(N$12&amp;"-"&amp;$E19,{index('Output_HALO - DACH'!$A:$ZZ,0,$C$8),index('Output_HALO - DACH'!$A:$ZZ,0,$C6)},2,0),iferror(vlookup(N$12&amp;"-"&amp;$E22,{index('Output_HALO - DACH'!$A:$ZZ,0,$C$8),index('Output_HALO - DACH'!$A:$ZZ,0,$C6)},2,0),iferror(vlookup(N$12&amp;"-"&amp;$E25,{index('Output_HALO - DACH'!$A:$ZZ,0,$C$8),index('Output_HALO - DACH'!$A:$ZZ,0,$C6)},2,0),"")))))</f>
        <v>2</v>
      </c>
      <c r="O11" s="351" t="str">
        <f t="array" ref="O11">iferror(vlookup(O$12&amp;"-"&amp;$E13,{index('Output_HALO - DACH'!$A:$ZZ,0,$C$8),index('Output_HALO - DACH'!$A:$ZZ,0,$C6)},2,0),iferror(vlookup(O$12&amp;"-"&amp;$E16,{index('Output_HALO - DACH'!$A:$ZZ,0,$C$8),index('Output_HALO - DACH'!$A:$ZZ,0,$C6)},2,0),iferror(vlookup(O$12&amp;"-"&amp;$E19,{index('Output_HALO - DACH'!$A:$ZZ,0,$C$8),index('Output_HALO - DACH'!$A:$ZZ,0,$C6)},2,0),iferror(vlookup(O$12&amp;"-"&amp;$E22,{index('Output_HALO - DACH'!$A:$ZZ,0,$C$8),index('Output_HALO - DACH'!$A:$ZZ,0,$C6)},2,0),iferror(vlookup(O$12&amp;"-"&amp;$E25,{index('Output_HALO - DACH'!$A:$ZZ,0,$C$8),index('Output_HALO - DACH'!$A:$ZZ,0,$C6)},2,0),"")))))</f>
        <v/>
      </c>
      <c r="P11" s="351" t="str">
        <f t="array" ref="P11">iferror(vlookup(P$12&amp;"-"&amp;$E13,{index('Output_HALO - DACH'!$A:$ZZ,0,$C$8),index('Output_HALO - DACH'!$A:$ZZ,0,$C6)},2,0),iferror(vlookup(P$12&amp;"-"&amp;$E16,{index('Output_HALO - DACH'!$A:$ZZ,0,$C$8),index('Output_HALO - DACH'!$A:$ZZ,0,$C6)},2,0),iferror(vlookup(P$12&amp;"-"&amp;$E19,{index('Output_HALO - DACH'!$A:$ZZ,0,$C$8),index('Output_HALO - DACH'!$A:$ZZ,0,$C6)},2,0),iferror(vlookup(P$12&amp;"-"&amp;$E22,{index('Output_HALO - DACH'!$A:$ZZ,0,$C$8),index('Output_HALO - DACH'!$A:$ZZ,0,$C6)},2,0),iferror(vlookup(P$12&amp;"-"&amp;$E25,{index('Output_HALO - DACH'!$A:$ZZ,0,$C$8),index('Output_HALO - DACH'!$A:$ZZ,0,$C6)},2,0),"")))))</f>
        <v/>
      </c>
      <c r="Q11" s="351" t="str">
        <f t="array" ref="Q11">iferror(vlookup(Q$12&amp;"-"&amp;$E13,{index('Output_HALO - DACH'!$A:$ZZ,0,$C$8),index('Output_HALO - DACH'!$A:$ZZ,0,$C6)},2,0),iferror(vlookup(Q$12&amp;"-"&amp;$E16,{index('Output_HALO - DACH'!$A:$ZZ,0,$C$8),index('Output_HALO - DACH'!$A:$ZZ,0,$C6)},2,0),iferror(vlookup(Q$12&amp;"-"&amp;$E19,{index('Output_HALO - DACH'!$A:$ZZ,0,$C$8),index('Output_HALO - DACH'!$A:$ZZ,0,$C6)},2,0),iferror(vlookup(Q$12&amp;"-"&amp;$E22,{index('Output_HALO - DACH'!$A:$ZZ,0,$C$8),index('Output_HALO - DACH'!$A:$ZZ,0,$C6)},2,0),iferror(vlookup(Q$12&amp;"-"&amp;$E25,{index('Output_HALO - DACH'!$A:$ZZ,0,$C$8),index('Output_HALO - DACH'!$A:$ZZ,0,$C6)},2,0),"")))))</f>
        <v/>
      </c>
      <c r="R11" s="351" t="str">
        <f t="array" ref="R11">iferror(vlookup(R$12&amp;"-"&amp;$E13,{index('Output_HALO - DACH'!$A:$ZZ,0,$C$8),index('Output_HALO - DACH'!$A:$ZZ,0,$C6)},2,0),iferror(vlookup(R$12&amp;"-"&amp;$E16,{index('Output_HALO - DACH'!$A:$ZZ,0,$C$8),index('Output_HALO - DACH'!$A:$ZZ,0,$C6)},2,0),iferror(vlookup(R$12&amp;"-"&amp;$E19,{index('Output_HALO - DACH'!$A:$ZZ,0,$C$8),index('Output_HALO - DACH'!$A:$ZZ,0,$C6)},2,0),iferror(vlookup(R$12&amp;"-"&amp;$E22,{index('Output_HALO - DACH'!$A:$ZZ,0,$C$8),index('Output_HALO - DACH'!$A:$ZZ,0,$C6)},2,0),iferror(vlookup(R$12&amp;"-"&amp;$E25,{index('Output_HALO - DACH'!$A:$ZZ,0,$C$8),index('Output_HALO - DACH'!$A:$ZZ,0,$C6)},2,0),"")))))</f>
        <v/>
      </c>
      <c r="S11" s="351" t="str">
        <f t="array" ref="S11">iferror(vlookup(S$12&amp;"-"&amp;$E13,{index('Output_HALO - DACH'!$A:$ZZ,0,$C$8),index('Output_HALO - DACH'!$A:$ZZ,0,$C6)},2,0),iferror(vlookup(S$12&amp;"-"&amp;$E16,{index('Output_HALO - DACH'!$A:$ZZ,0,$C$8),index('Output_HALO - DACH'!$A:$ZZ,0,$C6)},2,0),iferror(vlookup(S$12&amp;"-"&amp;$E19,{index('Output_HALO - DACH'!$A:$ZZ,0,$C$8),index('Output_HALO - DACH'!$A:$ZZ,0,$C6)},2,0),iferror(vlookup(S$12&amp;"-"&amp;$E22,{index('Output_HALO - DACH'!$A:$ZZ,0,$C$8),index('Output_HALO - DACH'!$A:$ZZ,0,$C6)},2,0),iferror(vlookup(S$12&amp;"-"&amp;$E25,{index('Output_HALO - DACH'!$A:$ZZ,0,$C$8),index('Output_HALO - DACH'!$A:$ZZ,0,$C6)},2,0),"")))))</f>
        <v/>
      </c>
      <c r="T11" s="351" t="str">
        <f t="array" ref="T11">iferror(vlookup(T$12&amp;"-"&amp;$E13,{index('Output_HALO - DACH'!$A:$ZZ,0,$C$8),index('Output_HALO - DACH'!$A:$ZZ,0,$C6)},2,0),iferror(vlookup(T$12&amp;"-"&amp;$E16,{index('Output_HALO - DACH'!$A:$ZZ,0,$C$8),index('Output_HALO - DACH'!$A:$ZZ,0,$C6)},2,0),iferror(vlookup(T$12&amp;"-"&amp;$E19,{index('Output_HALO - DACH'!$A:$ZZ,0,$C$8),index('Output_HALO - DACH'!$A:$ZZ,0,$C6)},2,0),iferror(vlookup(T$12&amp;"-"&amp;$E22,{index('Output_HALO - DACH'!$A:$ZZ,0,$C$8),index('Output_HALO - DACH'!$A:$ZZ,0,$C6)},2,0),iferror(vlookup(T$12&amp;"-"&amp;$E25,{index('Output_HALO - DACH'!$A:$ZZ,0,$C$8),index('Output_HALO - DACH'!$A:$ZZ,0,$C6)},2,0),"")))))</f>
        <v/>
      </c>
      <c r="U11" s="351" t="str">
        <f t="array" ref="U11">iferror(vlookup(U$12&amp;"-"&amp;$E13,{index('Output_HALO - DACH'!$A:$ZZ,0,$C$8),index('Output_HALO - DACH'!$A:$ZZ,0,$C6)},2,0),iferror(vlookup(U$12&amp;"-"&amp;$E16,{index('Output_HALO - DACH'!$A:$ZZ,0,$C$8),index('Output_HALO - DACH'!$A:$ZZ,0,$C6)},2,0),iferror(vlookup(U$12&amp;"-"&amp;$E19,{index('Output_HALO - DACH'!$A:$ZZ,0,$C$8),index('Output_HALO - DACH'!$A:$ZZ,0,$C6)},2,0),iferror(vlookup(U$12&amp;"-"&amp;$E22,{index('Output_HALO - DACH'!$A:$ZZ,0,$C$8),index('Output_HALO - DACH'!$A:$ZZ,0,$C6)},2,0),iferror(vlookup(U$12&amp;"-"&amp;$E25,{index('Output_HALO - DACH'!$A:$ZZ,0,$C$8),index('Output_HALO - DACH'!$A:$ZZ,0,$C6)},2,0),"")))))</f>
        <v/>
      </c>
      <c r="V11" s="351" t="str">
        <f t="array" ref="V11">iferror(vlookup(V$12&amp;"-"&amp;$E13,{index('Output_HALO - DACH'!$A:$ZZ,0,$C$8),index('Output_HALO - DACH'!$A:$ZZ,0,$C6)},2,0),iferror(vlookup(V$12&amp;"-"&amp;$E16,{index('Output_HALO - DACH'!$A:$ZZ,0,$C$8),index('Output_HALO - DACH'!$A:$ZZ,0,$C6)},2,0),iferror(vlookup(V$12&amp;"-"&amp;$E19,{index('Output_HALO - DACH'!$A:$ZZ,0,$C$8),index('Output_HALO - DACH'!$A:$ZZ,0,$C6)},2,0),iferror(vlookup(V$12&amp;"-"&amp;$E22,{index('Output_HALO - DACH'!$A:$ZZ,0,$C$8),index('Output_HALO - DACH'!$A:$ZZ,0,$C6)},2,0),iferror(vlookup(V$12&amp;"-"&amp;$E25,{index('Output_HALO - DACH'!$A:$ZZ,0,$C$8),index('Output_HALO - DACH'!$A:$ZZ,0,$C6)},2,0),"")))))</f>
        <v/>
      </c>
      <c r="W11" s="351" t="str">
        <f t="array" ref="W11">iferror(vlookup(W$12&amp;"-"&amp;$E13,{index('Output_HALO - DACH'!$A:$ZZ,0,$C$8),index('Output_HALO - DACH'!$A:$ZZ,0,$C6)},2,0),iferror(vlookup(W$12&amp;"-"&amp;$E16,{index('Output_HALO - DACH'!$A:$ZZ,0,$C$8),index('Output_HALO - DACH'!$A:$ZZ,0,$C6)},2,0),iferror(vlookup(W$12&amp;"-"&amp;$E19,{index('Output_HALO - DACH'!$A:$ZZ,0,$C$8),index('Output_HALO - DACH'!$A:$ZZ,0,$C6)},2,0),iferror(vlookup(W$12&amp;"-"&amp;$E22,{index('Output_HALO - DACH'!$A:$ZZ,0,$C$8),index('Output_HALO - DACH'!$A:$ZZ,0,$C6)},2,0),iferror(vlookup(W$12&amp;"-"&amp;$E25,{index('Output_HALO - DACH'!$A:$ZZ,0,$C$8),index('Output_HALO - DACH'!$A:$ZZ,0,$C6)},2,0),"")))))</f>
        <v/>
      </c>
      <c r="X11" s="351" t="str">
        <f t="array" ref="X11">iferror(vlookup(X$12&amp;"-"&amp;$E13,{index('Output_HALO - DACH'!$A:$ZZ,0,$C$8),index('Output_HALO - DACH'!$A:$ZZ,0,$C6)},2,0),iferror(vlookup(X$12&amp;"-"&amp;$E16,{index('Output_HALO - DACH'!$A:$ZZ,0,$C$8),index('Output_HALO - DACH'!$A:$ZZ,0,$C6)},2,0),iferror(vlookup(X$12&amp;"-"&amp;$E19,{index('Output_HALO - DACH'!$A:$ZZ,0,$C$8),index('Output_HALO - DACH'!$A:$ZZ,0,$C6)},2,0),iferror(vlookup(X$12&amp;"-"&amp;$E22,{index('Output_HALO - DACH'!$A:$ZZ,0,$C$8),index('Output_HALO - DACH'!$A:$ZZ,0,$C6)},2,0),iferror(vlookup(X$12&amp;"-"&amp;$E25,{index('Output_HALO - DACH'!$A:$ZZ,0,$C$8),index('Output_HALO - DACH'!$A:$ZZ,0,$C6)},2,0),"")))))</f>
        <v/>
      </c>
      <c r="Y11" s="351" t="str">
        <f t="array" ref="Y11">iferror(vlookup(Y$12&amp;"-"&amp;$E13,{index('Output_HALO - DACH'!$A:$ZZ,0,$C$8),index('Output_HALO - DACH'!$A:$ZZ,0,$C6)},2,0),iferror(vlookup(Y$12&amp;"-"&amp;$E16,{index('Output_HALO - DACH'!$A:$ZZ,0,$C$8),index('Output_HALO - DACH'!$A:$ZZ,0,$C6)},2,0),iferror(vlookup(Y$12&amp;"-"&amp;$E19,{index('Output_HALO - DACH'!$A:$ZZ,0,$C$8),index('Output_HALO - DACH'!$A:$ZZ,0,$C6)},2,0),iferror(vlookup(Y$12&amp;"-"&amp;$E22,{index('Output_HALO - DACH'!$A:$ZZ,0,$C$8),index('Output_HALO - DACH'!$A:$ZZ,0,$C6)},2,0),iferror(vlookup(Y$12&amp;"-"&amp;$E25,{index('Output_HALO - DACH'!$A:$ZZ,0,$C$8),index('Output_HALO - DACH'!$A:$ZZ,0,$C6)},2,0),"")))))</f>
        <v/>
      </c>
      <c r="Z11" s="351" t="str">
        <f t="array" ref="Z11">iferror(vlookup(Z$12&amp;"-"&amp;$E13,{index('Output_HALO - DACH'!$A:$ZZ,0,$C$8),index('Output_HALO - DACH'!$A:$ZZ,0,$C6)},2,0),iferror(vlookup(Z$12&amp;"-"&amp;$E16,{index('Output_HALO - DACH'!$A:$ZZ,0,$C$8),index('Output_HALO - DACH'!$A:$ZZ,0,$C6)},2,0),iferror(vlookup(Z$12&amp;"-"&amp;$E19,{index('Output_HALO - DACH'!$A:$ZZ,0,$C$8),index('Output_HALO - DACH'!$A:$ZZ,0,$C6)},2,0),iferror(vlookup(Z$12&amp;"-"&amp;$E22,{index('Output_HALO - DACH'!$A:$ZZ,0,$C$8),index('Output_HALO - DACH'!$A:$ZZ,0,$C6)},2,0),iferror(vlookup(Z$12&amp;"-"&amp;$E25,{index('Output_HALO - DACH'!$A:$ZZ,0,$C$8),index('Output_HALO - DACH'!$A:$ZZ,0,$C6)},2,0),"")))))</f>
        <v/>
      </c>
      <c r="AA11" s="351" t="str">
        <f t="array" ref="AA11">iferror(vlookup(AA$12&amp;"-"&amp;$E13,{index('Output_HALO - DACH'!$A:$ZZ,0,$C$8),index('Output_HALO - DACH'!$A:$ZZ,0,$C6)},2,0),iferror(vlookup(AA$12&amp;"-"&amp;$E16,{index('Output_HALO - DACH'!$A:$ZZ,0,$C$8),index('Output_HALO - DACH'!$A:$ZZ,0,$C6)},2,0),iferror(vlookup(AA$12&amp;"-"&amp;$E19,{index('Output_HALO - DACH'!$A:$ZZ,0,$C$8),index('Output_HALO - DACH'!$A:$ZZ,0,$C6)},2,0),iferror(vlookup(AA$12&amp;"-"&amp;$E22,{index('Output_HALO - DACH'!$A:$ZZ,0,$C$8),index('Output_HALO - DACH'!$A:$ZZ,0,$C6)},2,0),iferror(vlookup(AA$12&amp;"-"&amp;$E25,{index('Output_HALO - DACH'!$A:$ZZ,0,$C$8),index('Output_HALO - DACH'!$A:$ZZ,0,$C6)},2,0),"")))))</f>
        <v/>
      </c>
      <c r="AB11" s="351" t="str">
        <f t="array" ref="AB11">iferror(vlookup(AB$12&amp;"-"&amp;$E13,{index('Output_HALO - DACH'!$A:$ZZ,0,$C$8),index('Output_HALO - DACH'!$A:$ZZ,0,$C6)},2,0),iferror(vlookup(AB$12&amp;"-"&amp;$E16,{index('Output_HALO - DACH'!$A:$ZZ,0,$C$8),index('Output_HALO - DACH'!$A:$ZZ,0,$C6)},2,0),iferror(vlookup(AB$12&amp;"-"&amp;$E19,{index('Output_HALO - DACH'!$A:$ZZ,0,$C$8),index('Output_HALO - DACH'!$A:$ZZ,0,$C6)},2,0),iferror(vlookup(AB$12&amp;"-"&amp;$E22,{index('Output_HALO - DACH'!$A:$ZZ,0,$C$8),index('Output_HALO - DACH'!$A:$ZZ,0,$C6)},2,0),iferror(vlookup(AB$12&amp;"-"&amp;$E25,{index('Output_HALO - DACH'!$A:$ZZ,0,$C$8),index('Output_HALO - DACH'!$A:$ZZ,0,$C6)},2,0),"")))))</f>
        <v/>
      </c>
      <c r="AC11" s="351">
        <f t="array" ref="AC11">iferror(vlookup(AC$12&amp;"-"&amp;$E13,{index('Output_HALO - DACH'!$A:$ZZ,0,$C$8),index('Output_HALO - DACH'!$A:$ZZ,0,$C6)},2,0),iferror(vlookup(AC$12&amp;"-"&amp;$E16,{index('Output_HALO - DACH'!$A:$ZZ,0,$C$8),index('Output_HALO - DACH'!$A:$ZZ,0,$C6)},2,0),iferror(vlookup(AC$12&amp;"-"&amp;$E19,{index('Output_HALO - DACH'!$A:$ZZ,0,$C$8),index('Output_HALO - DACH'!$A:$ZZ,0,$C6)},2,0),iferror(vlookup(AC$12&amp;"-"&amp;$E22,{index('Output_HALO - DACH'!$A:$ZZ,0,$C$8),index('Output_HALO - DACH'!$A:$ZZ,0,$C6)},2,0),iferror(vlookup(AC$12&amp;"-"&amp;$E25,{index('Output_HALO - DACH'!$A:$ZZ,0,$C$8),index('Output_HALO - DACH'!$A:$ZZ,0,$C6)},2,0),"")))))</f>
        <v>8</v>
      </c>
      <c r="AD11" s="351">
        <f t="array" ref="AD11">iferror(vlookup(AD$12&amp;"-"&amp;$E13,{index('Output_HALO - DACH'!$A:$ZZ,0,$C$8),index('Output_HALO - DACH'!$A:$ZZ,0,$C6)},2,0),iferror(vlookup(AD$12&amp;"-"&amp;$E16,{index('Output_HALO - DACH'!$A:$ZZ,0,$C$8),index('Output_HALO - DACH'!$A:$ZZ,0,$C6)},2,0),iferror(vlookup(AD$12&amp;"-"&amp;$E19,{index('Output_HALO - DACH'!$A:$ZZ,0,$C$8),index('Output_HALO - DACH'!$A:$ZZ,0,$C6)},2,0),iferror(vlookup(AD$12&amp;"-"&amp;$E22,{index('Output_HALO - DACH'!$A:$ZZ,0,$C$8),index('Output_HALO - DACH'!$A:$ZZ,0,$C6)},2,0),iferror(vlookup(AD$12&amp;"-"&amp;$E25,{index('Output_HALO - DACH'!$A:$ZZ,0,$C$8),index('Output_HALO - DACH'!$A:$ZZ,0,$C6)},2,0),"")))))</f>
        <v>8</v>
      </c>
      <c r="AE11" s="351">
        <f t="array" ref="AE11">iferror(vlookup(AE$12&amp;"-"&amp;$E13,{index('Output_HALO - DACH'!$A:$ZZ,0,$C$8),index('Output_HALO - DACH'!$A:$ZZ,0,$C6)},2,0),iferror(vlookup(AE$12&amp;"-"&amp;$E16,{index('Output_HALO - DACH'!$A:$ZZ,0,$C$8),index('Output_HALO - DACH'!$A:$ZZ,0,$C6)},2,0),iferror(vlookup(AE$12&amp;"-"&amp;$E19,{index('Output_HALO - DACH'!$A:$ZZ,0,$C$8),index('Output_HALO - DACH'!$A:$ZZ,0,$C6)},2,0),iferror(vlookup(AE$12&amp;"-"&amp;$E22,{index('Output_HALO - DACH'!$A:$ZZ,0,$C$8),index('Output_HALO - DACH'!$A:$ZZ,0,$C6)},2,0),iferror(vlookup(AE$12&amp;"-"&amp;$E25,{index('Output_HALO - DACH'!$A:$ZZ,0,$C$8),index('Output_HALO - DACH'!$A:$ZZ,0,$C6)},2,0),"")))))</f>
        <v>8</v>
      </c>
      <c r="AF11" s="351">
        <f t="array" ref="AF11">iferror(vlookup(AF$12&amp;"-"&amp;$E13,{index('Output_HALO - DACH'!$A:$ZZ,0,$C$8),index('Output_HALO - DACH'!$A:$ZZ,0,$C6)},2,0),iferror(vlookup(AF$12&amp;"-"&amp;$E16,{index('Output_HALO - DACH'!$A:$ZZ,0,$C$8),index('Output_HALO - DACH'!$A:$ZZ,0,$C6)},2,0),iferror(vlookup(AF$12&amp;"-"&amp;$E19,{index('Output_HALO - DACH'!$A:$ZZ,0,$C$8),index('Output_HALO - DACH'!$A:$ZZ,0,$C6)},2,0),iferror(vlookup(AF$12&amp;"-"&amp;$E22,{index('Output_HALO - DACH'!$A:$ZZ,0,$C$8),index('Output_HALO - DACH'!$A:$ZZ,0,$C6)},2,0),iferror(vlookup(AF$12&amp;"-"&amp;$E25,{index('Output_HALO - DACH'!$A:$ZZ,0,$C$8),index('Output_HALO - DACH'!$A:$ZZ,0,$C6)},2,0),"")))))</f>
        <v>9</v>
      </c>
      <c r="AG11" s="351" t="str">
        <f t="array" ref="AG11">iferror(vlookup(AG$12&amp;"-"&amp;$E13,{index('Output_HALO - DACH'!$A:$ZZ,0,$C$8),index('Output_HALO - DACH'!$A:$ZZ,0,$C6)},2,0),iferror(vlookup(AG$12&amp;"-"&amp;$E16,{index('Output_HALO - DACH'!$A:$ZZ,0,$C$8),index('Output_HALO - DACH'!$A:$ZZ,0,$C6)},2,0),iferror(vlookup(AG$12&amp;"-"&amp;$E19,{index('Output_HALO - DACH'!$A:$ZZ,0,$C$8),index('Output_HALO - DACH'!$A:$ZZ,0,$C6)},2,0),iferror(vlookup(AG$12&amp;"-"&amp;$E22,{index('Output_HALO - DACH'!$A:$ZZ,0,$C$8),index('Output_HALO - DACH'!$A:$ZZ,0,$C6)},2,0),iferror(vlookup(AG$12&amp;"-"&amp;$E25,{index('Output_HALO - DACH'!$A:$ZZ,0,$C$8),index('Output_HALO - DACH'!$A:$ZZ,0,$C6)},2,0),"")))))</f>
        <v/>
      </c>
      <c r="AH11" s="351" t="str">
        <f t="array" ref="AH11">iferror(vlookup(AH$12&amp;"-"&amp;$E13,{index('Output_HALO - DACH'!$A:$ZZ,0,$C$8),index('Output_HALO - DACH'!$A:$ZZ,0,$C6)},2,0),iferror(vlookup(AH$12&amp;"-"&amp;$E16,{index('Output_HALO - DACH'!$A:$ZZ,0,$C$8),index('Output_HALO - DACH'!$A:$ZZ,0,$C6)},2,0),iferror(vlookup(AH$12&amp;"-"&amp;$E19,{index('Output_HALO - DACH'!$A:$ZZ,0,$C$8),index('Output_HALO - DACH'!$A:$ZZ,0,$C6)},2,0),iferror(vlookup(AH$12&amp;"-"&amp;$E22,{index('Output_HALO - DACH'!$A:$ZZ,0,$C$8),index('Output_HALO - DACH'!$A:$ZZ,0,$C6)},2,0),iferror(vlookup(AH$12&amp;"-"&amp;$E25,{index('Output_HALO - DACH'!$A:$ZZ,0,$C$8),index('Output_HALO - DACH'!$A:$ZZ,0,$C6)},2,0),"")))))</f>
        <v/>
      </c>
      <c r="AI11" s="351" t="str">
        <f t="array" ref="AI11">iferror(vlookup(AI$12&amp;"-"&amp;$E13,{index('Output_HALO - DACH'!$A:$ZZ,0,$C$8),index('Output_HALO - DACH'!$A:$ZZ,0,$C6)},2,0),iferror(vlookup(AI$12&amp;"-"&amp;$E16,{index('Output_HALO - DACH'!$A:$ZZ,0,$C$8),index('Output_HALO - DACH'!$A:$ZZ,0,$C6)},2,0),iferror(vlookup(AI$12&amp;"-"&amp;$E19,{index('Output_HALO - DACH'!$A:$ZZ,0,$C$8),index('Output_HALO - DACH'!$A:$ZZ,0,$C6)},2,0),iferror(vlookup(AI$12&amp;"-"&amp;$E22,{index('Output_HALO - DACH'!$A:$ZZ,0,$C$8),index('Output_HALO - DACH'!$A:$ZZ,0,$C6)},2,0),iferror(vlookup(AI$12&amp;"-"&amp;$E25,{index('Output_HALO - DACH'!$A:$ZZ,0,$C$8),index('Output_HALO - DACH'!$A:$ZZ,0,$C6)},2,0),"")))))</f>
        <v/>
      </c>
      <c r="AJ11" s="351" t="str">
        <f t="array" ref="AJ11">iferror(vlookup(AJ$12&amp;"-"&amp;$E13,{index('Output_HALO - DACH'!$A:$ZZ,0,$C$8),index('Output_HALO - DACH'!$A:$ZZ,0,$C6)},2,0),iferror(vlookup(AJ$12&amp;"-"&amp;$E16,{index('Output_HALO - DACH'!$A:$ZZ,0,$C$8),index('Output_HALO - DACH'!$A:$ZZ,0,$C6)},2,0),iferror(vlookup(AJ$12&amp;"-"&amp;$E19,{index('Output_HALO - DACH'!$A:$ZZ,0,$C$8),index('Output_HALO - DACH'!$A:$ZZ,0,$C6)},2,0),iferror(vlookup(AJ$12&amp;"-"&amp;$E22,{index('Output_HALO - DACH'!$A:$ZZ,0,$C$8),index('Output_HALO - DACH'!$A:$ZZ,0,$C6)},2,0),iferror(vlookup(AJ$12&amp;"-"&amp;$E25,{index('Output_HALO - DACH'!$A:$ZZ,0,$C$8),index('Output_HALO - DACH'!$A:$ZZ,0,$C6)},2,0),"")))))</f>
        <v/>
      </c>
      <c r="AK11" s="351" t="str">
        <f t="array" ref="AK11">iferror(vlookup(AK$12&amp;"-"&amp;$E13,{index('Output_HALO - DACH'!$A:$ZZ,0,$C$8),index('Output_HALO - DACH'!$A:$ZZ,0,$C6)},2,0),iferror(vlookup(AK$12&amp;"-"&amp;$E16,{index('Output_HALO - DACH'!$A:$ZZ,0,$C$8),index('Output_HALO - DACH'!$A:$ZZ,0,$C6)},2,0),iferror(vlookup(AK$12&amp;"-"&amp;$E19,{index('Output_HALO - DACH'!$A:$ZZ,0,$C$8),index('Output_HALO - DACH'!$A:$ZZ,0,$C6)},2,0),iferror(vlookup(AK$12&amp;"-"&amp;$E22,{index('Output_HALO - DACH'!$A:$ZZ,0,$C$8),index('Output_HALO - DACH'!$A:$ZZ,0,$C6)},2,0),iferror(vlookup(AK$12&amp;"-"&amp;$E25,{index('Output_HALO - DACH'!$A:$ZZ,0,$C$8),index('Output_HALO - DACH'!$A:$ZZ,0,$C6)},2,0),"")))))</f>
        <v/>
      </c>
      <c r="AL11" s="351" t="str">
        <f t="array" ref="AL11">iferror(vlookup(AL$12&amp;"-"&amp;$E13,{index('Output_HALO - DACH'!$A:$ZZ,0,$C$8),index('Output_HALO - DACH'!$A:$ZZ,0,$C6)},2,0),iferror(vlookup(AL$12&amp;"-"&amp;$E16,{index('Output_HALO - DACH'!$A:$ZZ,0,$C$8),index('Output_HALO - DACH'!$A:$ZZ,0,$C6)},2,0),iferror(vlookup(AL$12&amp;"-"&amp;$E19,{index('Output_HALO - DACH'!$A:$ZZ,0,$C$8),index('Output_HALO - DACH'!$A:$ZZ,0,$C6)},2,0),iferror(vlookup(AL$12&amp;"-"&amp;$E22,{index('Output_HALO - DACH'!$A:$ZZ,0,$C$8),index('Output_HALO - DACH'!$A:$ZZ,0,$C6)},2,0),iferror(vlookup(AL$12&amp;"-"&amp;$E25,{index('Output_HALO - DACH'!$A:$ZZ,0,$C$8),index('Output_HALO - DACH'!$A:$ZZ,0,$C6)},2,0),"")))))</f>
        <v/>
      </c>
      <c r="AM11" s="351">
        <f t="array" ref="AM11">iferror(vlookup(AM$12&amp;"-"&amp;$E13,{index('Output_HALO - DACH'!$A:$ZZ,0,$C$8),index('Output_HALO - DACH'!$A:$ZZ,0,$C6)},2,0),iferror(vlookup(AM$12&amp;"-"&amp;$E16,{index('Output_HALO - DACH'!$A:$ZZ,0,$C$8),index('Output_HALO - DACH'!$A:$ZZ,0,$C6)},2,0),iferror(vlookup(AM$12&amp;"-"&amp;$E19,{index('Output_HALO - DACH'!$A:$ZZ,0,$C$8),index('Output_HALO - DACH'!$A:$ZZ,0,$C6)},2,0),iferror(vlookup(AM$12&amp;"-"&amp;$E22,{index('Output_HALO - DACH'!$A:$ZZ,0,$C$8),index('Output_HALO - DACH'!$A:$ZZ,0,$C6)},2,0),iferror(vlookup(AM$12&amp;"-"&amp;$E25,{index('Output_HALO - DACH'!$A:$ZZ,0,$C$8),index('Output_HALO - DACH'!$A:$ZZ,0,$C6)},2,0),"")))))</f>
        <v>12</v>
      </c>
      <c r="AN11" s="351">
        <f t="array" ref="AN11">iferror(vlookup(AN$12&amp;"-"&amp;$E13,{index('Output_HALO - DACH'!$A:$ZZ,0,$C$8),index('Output_HALO - DACH'!$A:$ZZ,0,$C6)},2,0),iferror(vlookup(AN$12&amp;"-"&amp;$E16,{index('Output_HALO - DACH'!$A:$ZZ,0,$C$8),index('Output_HALO - DACH'!$A:$ZZ,0,$C6)},2,0),iferror(vlookup(AN$12&amp;"-"&amp;$E19,{index('Output_HALO - DACH'!$A:$ZZ,0,$C$8),index('Output_HALO - DACH'!$A:$ZZ,0,$C6)},2,0),iferror(vlookup(AN$12&amp;"-"&amp;$E22,{index('Output_HALO - DACH'!$A:$ZZ,0,$C$8),index('Output_HALO - DACH'!$A:$ZZ,0,$C6)},2,0),iferror(vlookup(AN$12&amp;"-"&amp;$E25,{index('Output_HALO - DACH'!$A:$ZZ,0,$C$8),index('Output_HALO - DACH'!$A:$ZZ,0,$C6)},2,0),"")))))</f>
        <v>12</v>
      </c>
      <c r="AO11" s="351">
        <f t="array" ref="AO11">iferror(vlookup(AO$12&amp;"-"&amp;$E13,{index('Output_HALO - DACH'!$A:$ZZ,0,$C$8),index('Output_HALO - DACH'!$A:$ZZ,0,$C6)},2,0),iferror(vlookup(AO$12&amp;"-"&amp;$E16,{index('Output_HALO - DACH'!$A:$ZZ,0,$C$8),index('Output_HALO - DACH'!$A:$ZZ,0,$C6)},2,0),iferror(vlookup(AO$12&amp;"-"&amp;$E19,{index('Output_HALO - DACH'!$A:$ZZ,0,$C$8),index('Output_HALO - DACH'!$A:$ZZ,0,$C6)},2,0),iferror(vlookup(AO$12&amp;"-"&amp;$E22,{index('Output_HALO - DACH'!$A:$ZZ,0,$C$8),index('Output_HALO - DACH'!$A:$ZZ,0,$C6)},2,0),iferror(vlookup(AO$12&amp;"-"&amp;$E25,{index('Output_HALO - DACH'!$A:$ZZ,0,$C$8),index('Output_HALO - DACH'!$A:$ZZ,0,$C6)},2,0),"")))))</f>
        <v>13</v>
      </c>
      <c r="AP11" s="351">
        <f t="array" ref="AP11">iferror(vlookup(AP$12&amp;"-"&amp;$E13,{index('Output_HALO - DACH'!$A:$ZZ,0,$C$8),index('Output_HALO - DACH'!$A:$ZZ,0,$C6)},2,0),iferror(vlookup(AP$12&amp;"-"&amp;$E16,{index('Output_HALO - DACH'!$A:$ZZ,0,$C$8),index('Output_HALO - DACH'!$A:$ZZ,0,$C6)},2,0),iferror(vlookup(AP$12&amp;"-"&amp;$E19,{index('Output_HALO - DACH'!$A:$ZZ,0,$C$8),index('Output_HALO - DACH'!$A:$ZZ,0,$C6)},2,0),iferror(vlookup(AP$12&amp;"-"&amp;$E22,{index('Output_HALO - DACH'!$A:$ZZ,0,$C$8),index('Output_HALO - DACH'!$A:$ZZ,0,$C6)},2,0),iferror(vlookup(AP$12&amp;"-"&amp;$E25,{index('Output_HALO - DACH'!$A:$ZZ,0,$C$8),index('Output_HALO - DACH'!$A:$ZZ,0,$C6)},2,0),"")))))</f>
        <v>13</v>
      </c>
      <c r="AQ11" s="351">
        <f t="array" ref="AQ11">iferror(vlookup(AQ$12&amp;"-"&amp;$E13,{index('Output_HALO - DACH'!$A:$ZZ,0,$C$8),index('Output_HALO - DACH'!$A:$ZZ,0,$C6)},2,0),iferror(vlookup(AQ$12&amp;"-"&amp;$E16,{index('Output_HALO - DACH'!$A:$ZZ,0,$C$8),index('Output_HALO - DACH'!$A:$ZZ,0,$C6)},2,0),iferror(vlookup(AQ$12&amp;"-"&amp;$E19,{index('Output_HALO - DACH'!$A:$ZZ,0,$C$8),index('Output_HALO - DACH'!$A:$ZZ,0,$C6)},2,0),iferror(vlookup(AQ$12&amp;"-"&amp;$E22,{index('Output_HALO - DACH'!$A:$ZZ,0,$C$8),index('Output_HALO - DACH'!$A:$ZZ,0,$C6)},2,0),iferror(vlookup(AQ$12&amp;"-"&amp;$E25,{index('Output_HALO - DACH'!$A:$ZZ,0,$C$8),index('Output_HALO - DACH'!$A:$ZZ,0,$C6)},2,0),"")))))</f>
        <v>13</v>
      </c>
      <c r="AR11" s="351" t="str">
        <f t="array" ref="AR11">iferror(vlookup(AR$12&amp;"-"&amp;$E13,{index('Output_HALO - DACH'!$A:$ZZ,0,$C$8),index('Output_HALO - DACH'!$A:$ZZ,0,$C6)},2,0),iferror(vlookup(AR$12&amp;"-"&amp;$E16,{index('Output_HALO - DACH'!$A:$ZZ,0,$C$8),index('Output_HALO - DACH'!$A:$ZZ,0,$C6)},2,0),iferror(vlookup(AR$12&amp;"-"&amp;$E19,{index('Output_HALO - DACH'!$A:$ZZ,0,$C$8),index('Output_HALO - DACH'!$A:$ZZ,0,$C6)},2,0),iferror(vlookup(AR$12&amp;"-"&amp;$E22,{index('Output_HALO - DACH'!$A:$ZZ,0,$C$8),index('Output_HALO - DACH'!$A:$ZZ,0,$C6)},2,0),iferror(vlookup(AR$12&amp;"-"&amp;$E25,{index('Output_HALO - DACH'!$A:$ZZ,0,$C$8),index('Output_HALO - DACH'!$A:$ZZ,0,$C6)},2,0),"")))))</f>
        <v/>
      </c>
      <c r="AS11" s="351" t="str">
        <f t="array" ref="AS11">iferror(vlookup(AS$12&amp;"-"&amp;$E13,{index('Output_HALO - DACH'!$A:$ZZ,0,$C$8),index('Output_HALO - DACH'!$A:$ZZ,0,$C6)},2,0),iferror(vlookup(AS$12&amp;"-"&amp;$E16,{index('Output_HALO - DACH'!$A:$ZZ,0,$C$8),index('Output_HALO - DACH'!$A:$ZZ,0,$C6)},2,0),iferror(vlookup(AS$12&amp;"-"&amp;$E19,{index('Output_HALO - DACH'!$A:$ZZ,0,$C$8),index('Output_HALO - DACH'!$A:$ZZ,0,$C6)},2,0),iferror(vlookup(AS$12&amp;"-"&amp;$E22,{index('Output_HALO - DACH'!$A:$ZZ,0,$C$8),index('Output_HALO - DACH'!$A:$ZZ,0,$C6)},2,0),iferror(vlookup(AS$12&amp;"-"&amp;$E25,{index('Output_HALO - DACH'!$A:$ZZ,0,$C$8),index('Output_HALO - DACH'!$A:$ZZ,0,$C6)},2,0),"")))))</f>
        <v/>
      </c>
      <c r="AT11" s="351">
        <f t="array" ref="AT11">iferror(vlookup(AT$12&amp;"-"&amp;$E13,{index('Output_HALO - DACH'!$A:$ZZ,0,$C$8),index('Output_HALO - DACH'!$A:$ZZ,0,$C6)},2,0),iferror(vlookup(AT$12&amp;"-"&amp;$E16,{index('Output_HALO - DACH'!$A:$ZZ,0,$C$8),index('Output_HALO - DACH'!$A:$ZZ,0,$C6)},2,0),iferror(vlookup(AT$12&amp;"-"&amp;$E19,{index('Output_HALO - DACH'!$A:$ZZ,0,$C$8),index('Output_HALO - DACH'!$A:$ZZ,0,$C6)},2,0),iferror(vlookup(AT$12&amp;"-"&amp;$E22,{index('Output_HALO - DACH'!$A:$ZZ,0,$C$8),index('Output_HALO - DACH'!$A:$ZZ,0,$C6)},2,0),iferror(vlookup(AT$12&amp;"-"&amp;$E25,{index('Output_HALO - DACH'!$A:$ZZ,0,$C$8),index('Output_HALO - DACH'!$A:$ZZ,0,$C6)},2,0),"")))))</f>
        <v>14</v>
      </c>
      <c r="AU11" s="351">
        <f t="array" ref="AU11">iferror(vlookup(AU$12&amp;"-"&amp;$E13,{index('Output_HALO - DACH'!$A:$ZZ,0,$C$8),index('Output_HALO - DACH'!$A:$ZZ,0,$C6)},2,0),iferror(vlookup(AU$12&amp;"-"&amp;$E16,{index('Output_HALO - DACH'!$A:$ZZ,0,$C$8),index('Output_HALO - DACH'!$A:$ZZ,0,$C6)},2,0),iferror(vlookup(AU$12&amp;"-"&amp;$E19,{index('Output_HALO - DACH'!$A:$ZZ,0,$C$8),index('Output_HALO - DACH'!$A:$ZZ,0,$C6)},2,0),iferror(vlookup(AU$12&amp;"-"&amp;$E22,{index('Output_HALO - DACH'!$A:$ZZ,0,$C$8),index('Output_HALO - DACH'!$A:$ZZ,0,$C6)},2,0),iferror(vlookup(AU$12&amp;"-"&amp;$E25,{index('Output_HALO - DACH'!$A:$ZZ,0,$C$8),index('Output_HALO - DACH'!$A:$ZZ,0,$C6)},2,0),"")))))</f>
        <v>14</v>
      </c>
      <c r="AV11" s="351">
        <f t="array" ref="AV11">iferror(vlookup(AV$12&amp;"-"&amp;$E13,{index('Output_HALO - DACH'!$A:$ZZ,0,$C$8),index('Output_HALO - DACH'!$A:$ZZ,0,$C6)},2,0),iferror(vlookup(AV$12&amp;"-"&amp;$E16,{index('Output_HALO - DACH'!$A:$ZZ,0,$C$8),index('Output_HALO - DACH'!$A:$ZZ,0,$C6)},2,0),iferror(vlookup(AV$12&amp;"-"&amp;$E19,{index('Output_HALO - DACH'!$A:$ZZ,0,$C$8),index('Output_HALO - DACH'!$A:$ZZ,0,$C6)},2,0),iferror(vlookup(AV$12&amp;"-"&amp;$E22,{index('Output_HALO - DACH'!$A:$ZZ,0,$C$8),index('Output_HALO - DACH'!$A:$ZZ,0,$C6)},2,0),iferror(vlookup(AV$12&amp;"-"&amp;$E25,{index('Output_HALO - DACH'!$A:$ZZ,0,$C$8),index('Output_HALO - DACH'!$A:$ZZ,0,$C6)},2,0),"")))))</f>
        <v>14</v>
      </c>
      <c r="AW11" s="351">
        <f t="array" ref="AW11">iferror(vlookup(AW$12&amp;"-"&amp;$E13,{index('Output_HALO - DACH'!$A:$ZZ,0,$C$8),index('Output_HALO - DACH'!$A:$ZZ,0,$C6)},2,0),iferror(vlookup(AW$12&amp;"-"&amp;$E16,{index('Output_HALO - DACH'!$A:$ZZ,0,$C$8),index('Output_HALO - DACH'!$A:$ZZ,0,$C6)},2,0),iferror(vlookup(AW$12&amp;"-"&amp;$E19,{index('Output_HALO - DACH'!$A:$ZZ,0,$C$8),index('Output_HALO - DACH'!$A:$ZZ,0,$C6)},2,0),iferror(vlookup(AW$12&amp;"-"&amp;$E22,{index('Output_HALO - DACH'!$A:$ZZ,0,$C$8),index('Output_HALO - DACH'!$A:$ZZ,0,$C6)},2,0),iferror(vlookup(AW$12&amp;"-"&amp;$E25,{index('Output_HALO - DACH'!$A:$ZZ,0,$C$8),index('Output_HALO - DACH'!$A:$ZZ,0,$C6)},2,0),"")))))</f>
        <v>14</v>
      </c>
      <c r="AX11" s="351" t="str">
        <f t="array" ref="AX11">iferror(vlookup(AX$12&amp;"-"&amp;$E13,{index('Output_HALO - DACH'!$A:$ZZ,0,$C$8),index('Output_HALO - DACH'!$A:$ZZ,0,$C6)},2,0),iferror(vlookup(AX$12&amp;"-"&amp;$E16,{index('Output_HALO - DACH'!$A:$ZZ,0,$C$8),index('Output_HALO - DACH'!$A:$ZZ,0,$C6)},2,0),iferror(vlookup(AX$12&amp;"-"&amp;$E19,{index('Output_HALO - DACH'!$A:$ZZ,0,$C$8),index('Output_HALO - DACH'!$A:$ZZ,0,$C6)},2,0),iferror(vlookup(AX$12&amp;"-"&amp;$E22,{index('Output_HALO - DACH'!$A:$ZZ,0,$C$8),index('Output_HALO - DACH'!$A:$ZZ,0,$C6)},2,0),iferror(vlookup(AX$12&amp;"-"&amp;$E25,{index('Output_HALO - DACH'!$A:$ZZ,0,$C$8),index('Output_HALO - DACH'!$A:$ZZ,0,$C6)},2,0),"")))))</f>
        <v/>
      </c>
      <c r="AY11" s="351" t="str">
        <f t="array" ref="AY11">iferror(vlookup(AY$12&amp;"-"&amp;$E13,{index('Output_HALO - DACH'!$A:$ZZ,0,$C$8),index('Output_HALO - DACH'!$A:$ZZ,0,$C6)},2,0),iferror(vlookup(AY$12&amp;"-"&amp;$E16,{index('Output_HALO - DACH'!$A:$ZZ,0,$C$8),index('Output_HALO - DACH'!$A:$ZZ,0,$C6)},2,0),iferror(vlookup(AY$12&amp;"-"&amp;$E19,{index('Output_HALO - DACH'!$A:$ZZ,0,$C$8),index('Output_HALO - DACH'!$A:$ZZ,0,$C6)},2,0),iferror(vlookup(AY$12&amp;"-"&amp;$E22,{index('Output_HALO - DACH'!$A:$ZZ,0,$C$8),index('Output_HALO - DACH'!$A:$ZZ,0,$C6)},2,0),iferror(vlookup(AY$12&amp;"-"&amp;$E25,{index('Output_HALO - DACH'!$A:$ZZ,0,$C$8),index('Output_HALO - DACH'!$A:$ZZ,0,$C6)},2,0),"")))))</f>
        <v/>
      </c>
      <c r="AZ11" s="351" t="str">
        <f t="array" ref="AZ11">iferror(vlookup(AZ$12&amp;"-"&amp;$E13,{index('Output_HALO - DACH'!$A:$ZZ,0,$C$8),index('Output_HALO - DACH'!$A:$ZZ,0,$C6)},2,0),iferror(vlookup(AZ$12&amp;"-"&amp;$E16,{index('Output_HALO - DACH'!$A:$ZZ,0,$C$8),index('Output_HALO - DACH'!$A:$ZZ,0,$C6)},2,0),iferror(vlookup(AZ$12&amp;"-"&amp;$E19,{index('Output_HALO - DACH'!$A:$ZZ,0,$C$8),index('Output_HALO - DACH'!$A:$ZZ,0,$C6)},2,0),iferror(vlookup(AZ$12&amp;"-"&amp;$E22,{index('Output_HALO - DACH'!$A:$ZZ,0,$C$8),index('Output_HALO - DACH'!$A:$ZZ,0,$C6)},2,0),iferror(vlookup(AZ$12&amp;"-"&amp;$E25,{index('Output_HALO - DACH'!$A:$ZZ,0,$C$8),index('Output_HALO - DACH'!$A:$ZZ,0,$C6)},2,0),"")))))</f>
        <v/>
      </c>
      <c r="BA11" s="351" t="str">
        <f t="array" ref="BA11">iferror(vlookup(BA$12&amp;"-"&amp;$E13,{index('Output_HALO - DACH'!$A:$ZZ,0,$C$8),index('Output_HALO - DACH'!$A:$ZZ,0,$C6)},2,0),iferror(vlookup(BA$12&amp;"-"&amp;$E16,{index('Output_HALO - DACH'!$A:$ZZ,0,$C$8),index('Output_HALO - DACH'!$A:$ZZ,0,$C6)},2,0),iferror(vlookup(BA$12&amp;"-"&amp;$E19,{index('Output_HALO - DACH'!$A:$ZZ,0,$C$8),index('Output_HALO - DACH'!$A:$ZZ,0,$C6)},2,0),iferror(vlookup(BA$12&amp;"-"&amp;$E22,{index('Output_HALO - DACH'!$A:$ZZ,0,$C$8),index('Output_HALO - DACH'!$A:$ZZ,0,$C6)},2,0),iferror(vlookup(BA$12&amp;"-"&amp;$E25,{index('Output_HALO - DACH'!$A:$ZZ,0,$C$8),index('Output_HALO - DACH'!$A:$ZZ,0,$C6)},2,0),"")))))</f>
        <v/>
      </c>
      <c r="BB11" s="351">
        <f t="array" ref="BB11">iferror(vlookup(BB$12&amp;"-"&amp;$E13,{index('Output_HALO - DACH'!$A:$ZZ,0,$C$8),index('Output_HALO - DACH'!$A:$ZZ,0,$C6)},2,0),iferror(vlookup(BB$12&amp;"-"&amp;$E16,{index('Output_HALO - DACH'!$A:$ZZ,0,$C$8),index('Output_HALO - DACH'!$A:$ZZ,0,$C6)},2,0),iferror(vlookup(BB$12&amp;"-"&amp;$E19,{index('Output_HALO - DACH'!$A:$ZZ,0,$C$8),index('Output_HALO - DACH'!$A:$ZZ,0,$C6)},2,0),iferror(vlookup(BB$12&amp;"-"&amp;$E22,{index('Output_HALO - DACH'!$A:$ZZ,0,$C$8),index('Output_HALO - DACH'!$A:$ZZ,0,$C6)},2,0),iferror(vlookup(BB$12&amp;"-"&amp;$E25,{index('Output_HALO - DACH'!$A:$ZZ,0,$C$8),index('Output_HALO - DACH'!$A:$ZZ,0,$C6)},2,0),"")))))</f>
        <v>16</v>
      </c>
      <c r="BC11" s="351">
        <f t="array" ref="BC11">iferror(vlookup(BC$12&amp;"-"&amp;$E13,{index('Output_HALO - DACH'!$A:$ZZ,0,$C$8),index('Output_HALO - DACH'!$A:$ZZ,0,$C6)},2,0),iferror(vlookup(BC$12&amp;"-"&amp;$E16,{index('Output_HALO - DACH'!$A:$ZZ,0,$C$8),index('Output_HALO - DACH'!$A:$ZZ,0,$C6)},2,0),iferror(vlookup(BC$12&amp;"-"&amp;$E19,{index('Output_HALO - DACH'!$A:$ZZ,0,$C$8),index('Output_HALO - DACH'!$A:$ZZ,0,$C6)},2,0),iferror(vlookup(BC$12&amp;"-"&amp;$E22,{index('Output_HALO - DACH'!$A:$ZZ,0,$C$8),index('Output_HALO - DACH'!$A:$ZZ,0,$C6)},2,0),iferror(vlookup(BC$12&amp;"-"&amp;$E25,{index('Output_HALO - DACH'!$A:$ZZ,0,$C$8),index('Output_HALO - DACH'!$A:$ZZ,0,$C6)},2,0),"")))))</f>
        <v>16</v>
      </c>
      <c r="BD11" s="351">
        <f t="array" ref="BD11">iferror(vlookup(BD$12&amp;"-"&amp;$E13,{index('Output_HALO - DACH'!$A:$ZZ,0,$C$8),index('Output_HALO - DACH'!$A:$ZZ,0,$C6)},2,0),iferror(vlookup(BD$12&amp;"-"&amp;$E16,{index('Output_HALO - DACH'!$A:$ZZ,0,$C$8),index('Output_HALO - DACH'!$A:$ZZ,0,$C6)},2,0),iferror(vlookup(BD$12&amp;"-"&amp;$E19,{index('Output_HALO - DACH'!$A:$ZZ,0,$C$8),index('Output_HALO - DACH'!$A:$ZZ,0,$C6)},2,0),iferror(vlookup(BD$12&amp;"-"&amp;$E22,{index('Output_HALO - DACH'!$A:$ZZ,0,$C$8),index('Output_HALO - DACH'!$A:$ZZ,0,$C6)},2,0),iferror(vlookup(BD$12&amp;"-"&amp;$E25,{index('Output_HALO - DACH'!$A:$ZZ,0,$C$8),index('Output_HALO - DACH'!$A:$ZZ,0,$C6)},2,0),"")))))</f>
        <v>16</v>
      </c>
      <c r="BE11" s="351">
        <f t="array" ref="BE11">iferror(vlookup(BE$12&amp;"-"&amp;$E13,{index('Output_HALO - DACH'!$A:$ZZ,0,$C$8),index('Output_HALO - DACH'!$A:$ZZ,0,$C6)},2,0),iferror(vlookup(BE$12&amp;"-"&amp;$E16,{index('Output_HALO - DACH'!$A:$ZZ,0,$C$8),index('Output_HALO - DACH'!$A:$ZZ,0,$C6)},2,0),iferror(vlookup(BE$12&amp;"-"&amp;$E19,{index('Output_HALO - DACH'!$A:$ZZ,0,$C$8),index('Output_HALO - DACH'!$A:$ZZ,0,$C6)},2,0),iferror(vlookup(BE$12&amp;"-"&amp;$E22,{index('Output_HALO - DACH'!$A:$ZZ,0,$C$8),index('Output_HALO - DACH'!$A:$ZZ,0,$C6)},2,0),iferror(vlookup(BE$12&amp;"-"&amp;$E25,{index('Output_HALO - DACH'!$A:$ZZ,0,$C$8),index('Output_HALO - DACH'!$A:$ZZ,0,$C6)},2,0),"")))))</f>
        <v>16</v>
      </c>
      <c r="BF11" s="351" t="str">
        <f t="array" ref="BF11">iferror(vlookup(BF$12&amp;"-"&amp;$E13,{index('Output_HALO - DACH'!$A:$ZZ,0,$C$8),index('Output_HALO - DACH'!$A:$ZZ,0,$C6)},2,0),iferror(vlookup(BF$12&amp;"-"&amp;$E16,{index('Output_HALO - DACH'!$A:$ZZ,0,$C$8),index('Output_HALO - DACH'!$A:$ZZ,0,$C6)},2,0),iferror(vlookup(BF$12&amp;"-"&amp;$E19,{index('Output_HALO - DACH'!$A:$ZZ,0,$C$8),index('Output_HALO - DACH'!$A:$ZZ,0,$C6)},2,0),iferror(vlookup(BF$12&amp;"-"&amp;$E22,{index('Output_HALO - DACH'!$A:$ZZ,0,$C$8),index('Output_HALO - DACH'!$A:$ZZ,0,$C6)},2,0),iferror(vlookup(BF$12&amp;"-"&amp;$E25,{index('Output_HALO - DACH'!$A:$ZZ,0,$C$8),index('Output_HALO - DACH'!$A:$ZZ,0,$C6)},2,0),"")))))</f>
        <v/>
      </c>
      <c r="BG11" s="351">
        <f t="array" ref="BG11">iferror(vlookup(BG$12&amp;"-"&amp;$E13,{index('Output_HALO - DACH'!$A:$ZZ,0,$C$8),index('Output_HALO - DACH'!$A:$ZZ,0,$C6)},2,0),iferror(vlookup(BG$12&amp;"-"&amp;$E16,{index('Output_HALO - DACH'!$A:$ZZ,0,$C$8),index('Output_HALO - DACH'!$A:$ZZ,0,$C6)},2,0),iferror(vlookup(BG$12&amp;"-"&amp;$E19,{index('Output_HALO - DACH'!$A:$ZZ,0,$C$8),index('Output_HALO - DACH'!$A:$ZZ,0,$C6)},2,0),iferror(vlookup(BG$12&amp;"-"&amp;$E22,{index('Output_HALO - DACH'!$A:$ZZ,0,$C$8),index('Output_HALO - DACH'!$A:$ZZ,0,$C6)},2,0),iferror(vlookup(BG$12&amp;"-"&amp;$E25,{index('Output_HALO - DACH'!$A:$ZZ,0,$C$8),index('Output_HALO - DACH'!$A:$ZZ,0,$C6)},2,0),"")))))</f>
        <v>17</v>
      </c>
      <c r="BH11" s="351">
        <f t="array" ref="BH11">iferror(vlookup(BH$12&amp;"-"&amp;$E13,{index('Output_HALO - DACH'!$A:$ZZ,0,$C$8),index('Output_HALO - DACH'!$A:$ZZ,0,$C6)},2,0),iferror(vlookup(BH$12&amp;"-"&amp;$E16,{index('Output_HALO - DACH'!$A:$ZZ,0,$C$8),index('Output_HALO - DACH'!$A:$ZZ,0,$C6)},2,0),iferror(vlookup(BH$12&amp;"-"&amp;$E19,{index('Output_HALO - DACH'!$A:$ZZ,0,$C$8),index('Output_HALO - DACH'!$A:$ZZ,0,$C6)},2,0),iferror(vlookup(BH$12&amp;"-"&amp;$E22,{index('Output_HALO - DACH'!$A:$ZZ,0,$C$8),index('Output_HALO - DACH'!$A:$ZZ,0,$C6)},2,0),iferror(vlookup(BH$12&amp;"-"&amp;$E25,{index('Output_HALO - DACH'!$A:$ZZ,0,$C$8),index('Output_HALO - DACH'!$A:$ZZ,0,$C6)},2,0),"")))))</f>
        <v>17</v>
      </c>
      <c r="BI11" s="351">
        <f t="array" ref="BI11">iferror(vlookup(BI$12&amp;"-"&amp;$E13,{index('Output_HALO - DACH'!$A:$ZZ,0,$C$8),index('Output_HALO - DACH'!$A:$ZZ,0,$C6)},2,0),iferror(vlookup(BI$12&amp;"-"&amp;$E16,{index('Output_HALO - DACH'!$A:$ZZ,0,$C$8),index('Output_HALO - DACH'!$A:$ZZ,0,$C6)},2,0),iferror(vlookup(BI$12&amp;"-"&amp;$E19,{index('Output_HALO - DACH'!$A:$ZZ,0,$C$8),index('Output_HALO - DACH'!$A:$ZZ,0,$C6)},2,0),iferror(vlookup(BI$12&amp;"-"&amp;$E22,{index('Output_HALO - DACH'!$A:$ZZ,0,$C$8),index('Output_HALO - DACH'!$A:$ZZ,0,$C6)},2,0),iferror(vlookup(BI$12&amp;"-"&amp;$E25,{index('Output_HALO - DACH'!$A:$ZZ,0,$C$8),index('Output_HALO - DACH'!$A:$ZZ,0,$C6)},2,0),"")))))</f>
        <v>17</v>
      </c>
      <c r="BJ11" s="351">
        <f t="array" ref="BJ11">iferror(vlookup(BJ$12&amp;"-"&amp;$E13,{index('Output_HALO - DACH'!$A:$ZZ,0,$C$8),index('Output_HALO - DACH'!$A:$ZZ,0,$C6)},2,0),iferror(vlookup(BJ$12&amp;"-"&amp;$E16,{index('Output_HALO - DACH'!$A:$ZZ,0,$C$8),index('Output_HALO - DACH'!$A:$ZZ,0,$C6)},2,0),iferror(vlookup(BJ$12&amp;"-"&amp;$E19,{index('Output_HALO - DACH'!$A:$ZZ,0,$C$8),index('Output_HALO - DACH'!$A:$ZZ,0,$C6)},2,0),iferror(vlookup(BJ$12&amp;"-"&amp;$E22,{index('Output_HALO - DACH'!$A:$ZZ,0,$C$8),index('Output_HALO - DACH'!$A:$ZZ,0,$C6)},2,0),iferror(vlookup(BJ$12&amp;"-"&amp;$E25,{index('Output_HALO - DACH'!$A:$ZZ,0,$C$8),index('Output_HALO - DACH'!$A:$ZZ,0,$C6)},2,0),"")))))</f>
        <v>18</v>
      </c>
      <c r="BK11" s="351">
        <f t="array" ref="BK11">iferror(vlookup(BK$12&amp;"-"&amp;$E13,{index('Output_HALO - DACH'!$A:$ZZ,0,$C$8),index('Output_HALO - DACH'!$A:$ZZ,0,$C6)},2,0),iferror(vlookup(BK$12&amp;"-"&amp;$E16,{index('Output_HALO - DACH'!$A:$ZZ,0,$C$8),index('Output_HALO - DACH'!$A:$ZZ,0,$C6)},2,0),iferror(vlookup(BK$12&amp;"-"&amp;$E19,{index('Output_HALO - DACH'!$A:$ZZ,0,$C$8),index('Output_HALO - DACH'!$A:$ZZ,0,$C6)},2,0),iferror(vlookup(BK$12&amp;"-"&amp;$E22,{index('Output_HALO - DACH'!$A:$ZZ,0,$C$8),index('Output_HALO - DACH'!$A:$ZZ,0,$C6)},2,0),iferror(vlookup(BK$12&amp;"-"&amp;$E25,{index('Output_HALO - DACH'!$A:$ZZ,0,$C$8),index('Output_HALO - DACH'!$A:$ZZ,0,$C6)},2,0),"")))))</f>
        <v>18</v>
      </c>
      <c r="BL11" s="351">
        <f t="array" ref="BL11">iferror(vlookup(BL$12&amp;"-"&amp;$E13,{index('Output_HALO - DACH'!$A:$ZZ,0,$C$8),index('Output_HALO - DACH'!$A:$ZZ,0,$C6)},2,0),iferror(vlookup(BL$12&amp;"-"&amp;$E16,{index('Output_HALO - DACH'!$A:$ZZ,0,$C$8),index('Output_HALO - DACH'!$A:$ZZ,0,$C6)},2,0),iferror(vlookup(BL$12&amp;"-"&amp;$E19,{index('Output_HALO - DACH'!$A:$ZZ,0,$C$8),index('Output_HALO - DACH'!$A:$ZZ,0,$C6)},2,0),iferror(vlookup(BL$12&amp;"-"&amp;$E22,{index('Output_HALO - DACH'!$A:$ZZ,0,$C$8),index('Output_HALO - DACH'!$A:$ZZ,0,$C6)},2,0),iferror(vlookup(BL$12&amp;"-"&amp;$E25,{index('Output_HALO - DACH'!$A:$ZZ,0,$C$8),index('Output_HALO - DACH'!$A:$ZZ,0,$C6)},2,0),"")))))</f>
        <v>18</v>
      </c>
      <c r="BM11" s="351">
        <f t="array" ref="BM11">iferror(vlookup(BM$12&amp;"-"&amp;$E13,{index('Output_HALO - DACH'!$A:$ZZ,0,$C$8),index('Output_HALO - DACH'!$A:$ZZ,0,$C6)},2,0),iferror(vlookup(BM$12&amp;"-"&amp;$E16,{index('Output_HALO - DACH'!$A:$ZZ,0,$C$8),index('Output_HALO - DACH'!$A:$ZZ,0,$C6)},2,0),iferror(vlookup(BM$12&amp;"-"&amp;$E19,{index('Output_HALO - DACH'!$A:$ZZ,0,$C$8),index('Output_HALO - DACH'!$A:$ZZ,0,$C6)},2,0),iferror(vlookup(BM$12&amp;"-"&amp;$E22,{index('Output_HALO - DACH'!$A:$ZZ,0,$C$8),index('Output_HALO - DACH'!$A:$ZZ,0,$C6)},2,0),iferror(vlookup(BM$12&amp;"-"&amp;$E25,{index('Output_HALO - DACH'!$A:$ZZ,0,$C$8),index('Output_HALO - DACH'!$A:$ZZ,0,$C6)},2,0),"")))))</f>
        <v>18</v>
      </c>
      <c r="BN11" s="351" t="str">
        <f t="array" ref="BN11">iferror(vlookup(BN$12&amp;"-"&amp;$E13,{index('Output_HALO - DACH'!$A:$ZZ,0,$C$8),index('Output_HALO - DACH'!$A:$ZZ,0,$C6)},2,0),iferror(vlookup(BN$12&amp;"-"&amp;$E16,{index('Output_HALO - DACH'!$A:$ZZ,0,$C$8),index('Output_HALO - DACH'!$A:$ZZ,0,$C6)},2,0),iferror(vlookup(BN$12&amp;"-"&amp;$E19,{index('Output_HALO - DACH'!$A:$ZZ,0,$C$8),index('Output_HALO - DACH'!$A:$ZZ,0,$C6)},2,0),iferror(vlookup(BN$12&amp;"-"&amp;$E22,{index('Output_HALO - DACH'!$A:$ZZ,0,$C$8),index('Output_HALO - DACH'!$A:$ZZ,0,$C6)},2,0),iferror(vlookup(BN$12&amp;"-"&amp;$E25,{index('Output_HALO - DACH'!$A:$ZZ,0,$C$8),index('Output_HALO - DACH'!$A:$ZZ,0,$C6)},2,0),"")))))</f>
        <v/>
      </c>
      <c r="BO11" s="351" t="str">
        <f t="array" ref="BO11">iferror(vlookup(BO$12&amp;"-"&amp;$E13,{index('Output_HALO - DACH'!$A:$ZZ,0,$C$8),index('Output_HALO - DACH'!$A:$ZZ,0,$C6)},2,0),iferror(vlookup(BO$12&amp;"-"&amp;$E16,{index('Output_HALO - DACH'!$A:$ZZ,0,$C$8),index('Output_HALO - DACH'!$A:$ZZ,0,$C6)},2,0),iferror(vlookup(BO$12&amp;"-"&amp;$E19,{index('Output_HALO - DACH'!$A:$ZZ,0,$C$8),index('Output_HALO - DACH'!$A:$ZZ,0,$C6)},2,0),iferror(vlookup(BO$12&amp;"-"&amp;$E22,{index('Output_HALO - DACH'!$A:$ZZ,0,$C$8),index('Output_HALO - DACH'!$A:$ZZ,0,$C6)},2,0),iferror(vlookup(BO$12&amp;"-"&amp;$E25,{index('Output_HALO - DACH'!$A:$ZZ,0,$C$8),index('Output_HALO - DACH'!$A:$ZZ,0,$C6)},2,0),"")))))</f>
        <v/>
      </c>
      <c r="BP11" s="351" t="str">
        <f t="array" ref="BP11">iferror(vlookup(BP$12&amp;"-"&amp;$E13,{index('Output_HALO - DACH'!$A:$ZZ,0,$C$8),index('Output_HALO - DACH'!$A:$ZZ,0,$C6)},2,0),iferror(vlookup(BP$12&amp;"-"&amp;$E16,{index('Output_HALO - DACH'!$A:$ZZ,0,$C$8),index('Output_HALO - DACH'!$A:$ZZ,0,$C6)},2,0),iferror(vlookup(BP$12&amp;"-"&amp;$E19,{index('Output_HALO - DACH'!$A:$ZZ,0,$C$8),index('Output_HALO - DACH'!$A:$ZZ,0,$C6)},2,0),iferror(vlookup(BP$12&amp;"-"&amp;$E22,{index('Output_HALO - DACH'!$A:$ZZ,0,$C$8),index('Output_HALO - DACH'!$A:$ZZ,0,$C6)},2,0),iferror(vlookup(BP$12&amp;"-"&amp;$E25,{index('Output_HALO - DACH'!$A:$ZZ,0,$C$8),index('Output_HALO - DACH'!$A:$ZZ,0,$C6)},2,0),"")))))</f>
        <v/>
      </c>
      <c r="BQ11" s="351" t="str">
        <f t="array" ref="BQ11">iferror(vlookup(BQ$12&amp;"-"&amp;$E13,{index('Output_HALO - DACH'!$A:$ZZ,0,$C$8),index('Output_HALO - DACH'!$A:$ZZ,0,$C6)},2,0),iferror(vlookup(BQ$12&amp;"-"&amp;$E16,{index('Output_HALO - DACH'!$A:$ZZ,0,$C$8),index('Output_HALO - DACH'!$A:$ZZ,0,$C6)},2,0),iferror(vlookup(BQ$12&amp;"-"&amp;$E19,{index('Output_HALO - DACH'!$A:$ZZ,0,$C$8),index('Output_HALO - DACH'!$A:$ZZ,0,$C6)},2,0),iferror(vlookup(BQ$12&amp;"-"&amp;$E22,{index('Output_HALO - DACH'!$A:$ZZ,0,$C$8),index('Output_HALO - DACH'!$A:$ZZ,0,$C6)},2,0),iferror(vlookup(BQ$12&amp;"-"&amp;$E25,{index('Output_HALO - DACH'!$A:$ZZ,0,$C$8),index('Output_HALO - DACH'!$A:$ZZ,0,$C6)},2,0),"")))))</f>
        <v/>
      </c>
    </row>
    <row r="12">
      <c r="A12" s="118"/>
      <c r="E12" s="348" t="s">
        <v>468</v>
      </c>
      <c r="F12" s="352">
        <v>1.0</v>
      </c>
      <c r="G12" s="352">
        <v>2.0</v>
      </c>
      <c r="H12" s="352">
        <v>3.0</v>
      </c>
      <c r="I12" s="352">
        <v>4.0</v>
      </c>
      <c r="J12" s="352">
        <v>5.0</v>
      </c>
      <c r="K12" s="352">
        <v>6.0</v>
      </c>
      <c r="L12" s="352">
        <v>7.0</v>
      </c>
      <c r="M12" s="352">
        <v>8.0</v>
      </c>
      <c r="N12" s="352">
        <v>9.0</v>
      </c>
      <c r="O12" s="352">
        <v>10.0</v>
      </c>
      <c r="P12" s="352">
        <v>11.0</v>
      </c>
      <c r="Q12" s="352">
        <v>12.0</v>
      </c>
      <c r="R12" s="352">
        <v>13.0</v>
      </c>
      <c r="S12" s="352">
        <v>14.0</v>
      </c>
      <c r="T12" s="352">
        <v>15.0</v>
      </c>
      <c r="U12" s="352">
        <v>16.0</v>
      </c>
      <c r="V12" s="352">
        <v>17.0</v>
      </c>
      <c r="W12" s="352">
        <v>18.0</v>
      </c>
      <c r="X12" s="352">
        <v>19.0</v>
      </c>
      <c r="Y12" s="352">
        <v>20.0</v>
      </c>
      <c r="Z12" s="352">
        <v>21.0</v>
      </c>
      <c r="AA12" s="352">
        <v>22.0</v>
      </c>
      <c r="AB12" s="352">
        <v>23.0</v>
      </c>
      <c r="AC12" s="352">
        <v>24.0</v>
      </c>
      <c r="AD12" s="352">
        <v>25.0</v>
      </c>
      <c r="AE12" s="352">
        <v>26.0</v>
      </c>
      <c r="AF12" s="352">
        <v>27.0</v>
      </c>
      <c r="AG12" s="352">
        <v>28.0</v>
      </c>
      <c r="AH12" s="352">
        <v>29.0</v>
      </c>
      <c r="AI12" s="352">
        <v>30.0</v>
      </c>
      <c r="AJ12" s="352">
        <v>31.0</v>
      </c>
      <c r="AK12" s="352">
        <v>32.0</v>
      </c>
      <c r="AL12" s="352">
        <v>33.0</v>
      </c>
      <c r="AM12" s="352">
        <v>34.0</v>
      </c>
      <c r="AN12" s="352">
        <v>35.0</v>
      </c>
      <c r="AO12" s="352">
        <v>36.0</v>
      </c>
      <c r="AP12" s="352">
        <v>37.0</v>
      </c>
      <c r="AQ12" s="352">
        <v>38.0</v>
      </c>
      <c r="AR12" s="352">
        <v>39.0</v>
      </c>
      <c r="AS12" s="352">
        <v>40.0</v>
      </c>
      <c r="AT12" s="352">
        <v>41.0</v>
      </c>
      <c r="AU12" s="352">
        <v>42.0</v>
      </c>
      <c r="AV12" s="352">
        <v>43.0</v>
      </c>
      <c r="AW12" s="352">
        <v>44.0</v>
      </c>
      <c r="AX12" s="352">
        <v>45.0</v>
      </c>
      <c r="AY12" s="352">
        <v>46.0</v>
      </c>
      <c r="AZ12" s="352">
        <v>47.0</v>
      </c>
      <c r="BA12" s="352">
        <v>48.0</v>
      </c>
      <c r="BB12" s="352">
        <v>49.0</v>
      </c>
      <c r="BC12" s="352">
        <v>50.0</v>
      </c>
      <c r="BD12" s="352">
        <v>51.0</v>
      </c>
      <c r="BE12" s="352">
        <v>52.0</v>
      </c>
      <c r="BF12" s="352">
        <v>53.0</v>
      </c>
      <c r="BG12" s="352">
        <v>54.0</v>
      </c>
      <c r="BH12" s="352">
        <v>55.0</v>
      </c>
      <c r="BI12" s="352">
        <v>56.0</v>
      </c>
      <c r="BJ12" s="352">
        <v>57.0</v>
      </c>
      <c r="BK12" s="352">
        <v>58.0</v>
      </c>
      <c r="BL12" s="352">
        <v>59.0</v>
      </c>
      <c r="BM12" s="352">
        <v>60.0</v>
      </c>
      <c r="BN12" s="352">
        <v>61.0</v>
      </c>
      <c r="BO12" s="352">
        <v>62.0</v>
      </c>
      <c r="BP12" s="352">
        <v>63.0</v>
      </c>
      <c r="BQ12" s="352">
        <v>64.0</v>
      </c>
    </row>
    <row r="13" hidden="1">
      <c r="E13" s="348">
        <v>5.0</v>
      </c>
      <c r="F13" s="353" t="str">
        <f t="array" ref="F13">iferror(vlookup(F$12&amp;"-"&amp;$E13,{index('Output_HALO - DACH'!$A:$ZZ,0,$C$8),index('Output_HALO - DACH'!$A:$ZZ,0,$C$3)},2,0),"")</f>
        <v/>
      </c>
      <c r="G13" s="353" t="str">
        <f t="array" ref="G13">iferror(vlookup(G$12&amp;"-"&amp;$E13,{index('Output_HALO - DACH'!$A:$ZZ,0,$C$8),index('Output_HALO - DACH'!$A:$ZZ,0,$C$3)},2,0),"")</f>
        <v/>
      </c>
      <c r="H13" s="353" t="str">
        <f t="array" ref="H13">iferror(vlookup(H$12&amp;"-"&amp;$E13,{index('Output_HALO - DACH'!$A:$ZZ,0,$C$8),index('Output_HALO - DACH'!$A:$ZZ,0,$C$3)},2,0),"")</f>
        <v/>
      </c>
      <c r="I13" s="353" t="str">
        <f t="array" ref="I13">iferror(vlookup(I$12&amp;"-"&amp;$E13,{index('Output_HALO - DACH'!$A:$ZZ,0,$C$8),index('Output_HALO - DACH'!$A:$ZZ,0,$C$3)},2,0),"")</f>
        <v/>
      </c>
      <c r="J13" s="353" t="str">
        <f t="array" ref="J13">iferror(vlookup(J$12&amp;"-"&amp;$E13,{index('Output_HALO - DACH'!$A:$ZZ,0,$C$8),index('Output_HALO - DACH'!$A:$ZZ,0,$C$3)},2,0),"")</f>
        <v/>
      </c>
      <c r="K13" s="353" t="str">
        <f t="array" ref="K13">iferror(vlookup(K$12&amp;"-"&amp;$E13,{index('Output_HALO - DACH'!$A:$ZZ,0,$C$8),index('Output_HALO - DACH'!$A:$ZZ,0,$C$3)},2,0),"")</f>
        <v/>
      </c>
      <c r="L13" s="353" t="str">
        <f t="array" ref="L13">iferror(vlookup(L$12&amp;"-"&amp;$E13,{index('Output_HALO - DACH'!$A:$ZZ,0,$C$8),index('Output_HALO - DACH'!$A:$ZZ,0,$C$3)},2,0),"")</f>
        <v/>
      </c>
      <c r="M13" s="353" t="str">
        <f t="array" ref="M13">iferror(vlookup(M$12&amp;"-"&amp;$E13,{index('Output_HALO - DACH'!$A:$ZZ,0,$C$8),index('Output_HALO - DACH'!$A:$ZZ,0,$C$3)},2,0),"")</f>
        <v/>
      </c>
      <c r="N13" s="353" t="str">
        <f t="array" ref="N13">iferror(vlookup(N$12&amp;"-"&amp;$E13,{index('Output_HALO - DACH'!$A:$ZZ,0,$C$8),index('Output_HALO - DACH'!$A:$ZZ,0,$C$3)},2,0),"")</f>
        <v/>
      </c>
      <c r="O13" s="353" t="str">
        <f t="array" ref="O13">iferror(vlookup(O$12&amp;"-"&amp;$E13,{index('Output_HALO - DACH'!$A:$ZZ,0,$C$8),index('Output_HALO - DACH'!$A:$ZZ,0,$C$3)},2,0),"")</f>
        <v/>
      </c>
      <c r="P13" s="353" t="str">
        <f t="array" ref="P13">iferror(vlookup(P$12&amp;"-"&amp;$E13,{index('Output_HALO - DACH'!$A:$ZZ,0,$C$8),index('Output_HALO - DACH'!$A:$ZZ,0,$C$3)},2,0),"")</f>
        <v/>
      </c>
      <c r="Q13" s="353" t="str">
        <f t="array" ref="Q13">iferror(vlookup(Q$12&amp;"-"&amp;$E13,{index('Output_HALO - DACH'!$A:$ZZ,0,$C$8),index('Output_HALO - DACH'!$A:$ZZ,0,$C$3)},2,0),"")</f>
        <v/>
      </c>
      <c r="R13" s="353" t="str">
        <f t="array" ref="R13">iferror(vlookup(R$12&amp;"-"&amp;$E13,{index('Output_HALO - DACH'!$A:$ZZ,0,$C$8),index('Output_HALO - DACH'!$A:$ZZ,0,$C$3)},2,0),"")</f>
        <v/>
      </c>
      <c r="S13" s="353" t="str">
        <f t="array" ref="S13">iferror(vlookup(S$12&amp;"-"&amp;$E13,{index('Output_HALO - DACH'!$A:$ZZ,0,$C$8),index('Output_HALO - DACH'!$A:$ZZ,0,$C$3)},2,0),"")</f>
        <v/>
      </c>
      <c r="T13" s="353" t="str">
        <f t="array" ref="T13">iferror(vlookup(T$12&amp;"-"&amp;$E13,{index('Output_HALO - DACH'!$A:$ZZ,0,$C$8),index('Output_HALO - DACH'!$A:$ZZ,0,$C$3)},2,0),"")</f>
        <v/>
      </c>
      <c r="U13" s="353" t="str">
        <f t="array" ref="U13">iferror(vlookup(U$12&amp;"-"&amp;$E13,{index('Output_HALO - DACH'!$A:$ZZ,0,$C$8),index('Output_HALO - DACH'!$A:$ZZ,0,$C$3)},2,0),"")</f>
        <v/>
      </c>
      <c r="V13" s="353" t="str">
        <f t="array" ref="V13">iferror(vlookup(V$12&amp;"-"&amp;$E13,{index('Output_HALO - DACH'!$A:$ZZ,0,$C$8),index('Output_HALO - DACH'!$A:$ZZ,0,$C$3)},2,0),"")</f>
        <v/>
      </c>
      <c r="W13" s="353" t="str">
        <f t="array" ref="W13">iferror(vlookup(W$12&amp;"-"&amp;$E13,{index('Output_HALO - DACH'!$A:$ZZ,0,$C$8),index('Output_HALO - DACH'!$A:$ZZ,0,$C$3)},2,0),"")</f>
        <v/>
      </c>
      <c r="X13" s="353" t="str">
        <f t="array" ref="X13">iferror(vlookup(X$12&amp;"-"&amp;$E13,{index('Output_HALO - DACH'!$A:$ZZ,0,$C$8),index('Output_HALO - DACH'!$A:$ZZ,0,$C$3)},2,0),"")</f>
        <v/>
      </c>
      <c r="Y13" s="353" t="str">
        <f t="array" ref="Y13">iferror(vlookup(Y$12&amp;"-"&amp;$E13,{index('Output_HALO - DACH'!$A:$ZZ,0,$C$8),index('Output_HALO - DACH'!$A:$ZZ,0,$C$3)},2,0),"")</f>
        <v/>
      </c>
      <c r="Z13" s="353" t="str">
        <f t="array" ref="Z13">iferror(vlookup(Z$12&amp;"-"&amp;$E13,{index('Output_HALO - DACH'!$A:$ZZ,0,$C$8),index('Output_HALO - DACH'!$A:$ZZ,0,$C$3)},2,0),"")</f>
        <v/>
      </c>
      <c r="AA13" s="353" t="str">
        <f t="array" ref="AA13">iferror(vlookup(AA$12&amp;"-"&amp;$E13,{index('Output_HALO - DACH'!$A:$ZZ,0,$C$8),index('Output_HALO - DACH'!$A:$ZZ,0,$C$3)},2,0),"")</f>
        <v/>
      </c>
      <c r="AB13" s="353" t="str">
        <f t="array" ref="AB13">iferror(vlookup(AB$12&amp;"-"&amp;$E13,{index('Output_HALO - DACH'!$A:$ZZ,0,$C$8),index('Output_HALO - DACH'!$A:$ZZ,0,$C$3)},2,0),"")</f>
        <v/>
      </c>
      <c r="AC13" s="353" t="str">
        <f t="array" ref="AC13">iferror(vlookup(AC$12&amp;"-"&amp;$E13,{index('Output_HALO - DACH'!$A:$ZZ,0,$C$8),index('Output_HALO - DACH'!$A:$ZZ,0,$C$3)},2,0),"")</f>
        <v/>
      </c>
      <c r="AD13" s="353" t="str">
        <f t="array" ref="AD13">iferror(vlookup(AD$12&amp;"-"&amp;$E13,{index('Output_HALO - DACH'!$A:$ZZ,0,$C$8),index('Output_HALO - DACH'!$A:$ZZ,0,$C$3)},2,0),"")</f>
        <v/>
      </c>
      <c r="AE13" s="353" t="str">
        <f t="array" ref="AE13">iferror(vlookup(AE$12&amp;"-"&amp;$E13,{index('Output_HALO - DACH'!$A:$ZZ,0,$C$8),index('Output_HALO - DACH'!$A:$ZZ,0,$C$3)},2,0),"")</f>
        <v/>
      </c>
      <c r="AF13" s="353" t="str">
        <f t="array" ref="AF13">iferror(vlookup(AF$12&amp;"-"&amp;$E13,{index('Output_HALO - DACH'!$A:$ZZ,0,$C$8),index('Output_HALO - DACH'!$A:$ZZ,0,$C$3)},2,0),"")</f>
        <v/>
      </c>
      <c r="AG13" s="353" t="str">
        <f t="array" ref="AG13">iferror(vlookup(AG$12&amp;"-"&amp;$E13,{index('Output_HALO - DACH'!$A:$ZZ,0,$C$8),index('Output_HALO - DACH'!$A:$ZZ,0,$C$3)},2,0),"")</f>
        <v/>
      </c>
      <c r="AH13" s="353" t="str">
        <f t="array" ref="AH13">iferror(vlookup(AH$12&amp;"-"&amp;$E13,{index('Output_HALO - DACH'!$A:$ZZ,0,$C$8),index('Output_HALO - DACH'!$A:$ZZ,0,$C$3)},2,0),"")</f>
        <v/>
      </c>
      <c r="AI13" s="353" t="str">
        <f t="array" ref="AI13">iferror(vlookup(AI$12&amp;"-"&amp;$E13,{index('Output_HALO - DACH'!$A:$ZZ,0,$C$8),index('Output_HALO - DACH'!$A:$ZZ,0,$C$3)},2,0),"")</f>
        <v/>
      </c>
      <c r="AJ13" s="353" t="str">
        <f t="array" ref="AJ13">iferror(vlookup(AJ$12&amp;"-"&amp;$E13,{index('Output_HALO - DACH'!$A:$ZZ,0,$C$8),index('Output_HALO - DACH'!$A:$ZZ,0,$C$3)},2,0),"")</f>
        <v/>
      </c>
      <c r="AK13" s="353" t="str">
        <f t="array" ref="AK13">iferror(vlookup(AK$12&amp;"-"&amp;$E13,{index('Output_HALO - DACH'!$A:$ZZ,0,$C$8),index('Output_HALO - DACH'!$A:$ZZ,0,$C$3)},2,0),"")</f>
        <v/>
      </c>
      <c r="AL13" s="353" t="str">
        <f t="array" ref="AL13">iferror(vlookup(AL$12&amp;"-"&amp;$E13,{index('Output_HALO - DACH'!$A:$ZZ,0,$C$8),index('Output_HALO - DACH'!$A:$ZZ,0,$C$3)},2,0),"")</f>
        <v/>
      </c>
      <c r="AM13" s="353" t="str">
        <f t="array" ref="AM13">iferror(vlookup(AM$12&amp;"-"&amp;$E13,{index('Output_HALO - DACH'!$A:$ZZ,0,$C$8),index('Output_HALO - DACH'!$A:$ZZ,0,$C$3)},2,0),"")</f>
        <v/>
      </c>
      <c r="AN13" s="353" t="str">
        <f t="array" ref="AN13">iferror(vlookup(AN$12&amp;"-"&amp;$E13,{index('Output_HALO - DACH'!$A:$ZZ,0,$C$8),index('Output_HALO - DACH'!$A:$ZZ,0,$C$3)},2,0),"")</f>
        <v/>
      </c>
      <c r="AO13" s="353" t="str">
        <f t="array" ref="AO13">iferror(vlookup(AO$12&amp;"-"&amp;$E13,{index('Output_HALO - DACH'!$A:$ZZ,0,$C$8),index('Output_HALO - DACH'!$A:$ZZ,0,$C$3)},2,0),"")</f>
        <v/>
      </c>
      <c r="AP13" s="353" t="str">
        <f t="array" ref="AP13">iferror(vlookup(AP$12&amp;"-"&amp;$E13,{index('Output_HALO - DACH'!$A:$ZZ,0,$C$8),index('Output_HALO - DACH'!$A:$ZZ,0,$C$3)},2,0),"")</f>
        <v/>
      </c>
      <c r="AQ13" s="353" t="str">
        <f t="array" ref="AQ13">iferror(vlookup(AQ$12&amp;"-"&amp;$E13,{index('Output_HALO - DACH'!$A:$ZZ,0,$C$8),index('Output_HALO - DACH'!$A:$ZZ,0,$C$3)},2,0),"")</f>
        <v/>
      </c>
      <c r="AR13" s="353" t="str">
        <f t="array" ref="AR13">iferror(vlookup(AR$12&amp;"-"&amp;$E13,{index('Output_HALO - DACH'!$A:$ZZ,0,$C$8),index('Output_HALO - DACH'!$A:$ZZ,0,$C$3)},2,0),"")</f>
        <v/>
      </c>
      <c r="AS13" s="353" t="str">
        <f t="array" ref="AS13">iferror(vlookup(AS$12&amp;"-"&amp;$E13,{index('Output_HALO - DACH'!$A:$ZZ,0,$C$8),index('Output_HALO - DACH'!$A:$ZZ,0,$C$3)},2,0),"")</f>
        <v/>
      </c>
      <c r="AT13" s="353" t="str">
        <f t="array" ref="AT13">iferror(vlookup(AT$12&amp;"-"&amp;$E13,{index('Output_HALO - DACH'!$A:$ZZ,0,$C$8),index('Output_HALO - DACH'!$A:$ZZ,0,$C$3)},2,0),"")</f>
        <v/>
      </c>
      <c r="AU13" s="353" t="str">
        <f t="array" ref="AU13">iferror(vlookup(AU$12&amp;"-"&amp;$E13,{index('Output_HALO - DACH'!$A:$ZZ,0,$C$8),index('Output_HALO - DACH'!$A:$ZZ,0,$C$3)},2,0),"")</f>
        <v/>
      </c>
      <c r="AV13" s="353" t="str">
        <f t="array" ref="AV13">iferror(vlookup(AV$12&amp;"-"&amp;$E13,{index('Output_HALO - DACH'!$A:$ZZ,0,$C$8),index('Output_HALO - DACH'!$A:$ZZ,0,$C$3)},2,0),"")</f>
        <v/>
      </c>
      <c r="AW13" s="353" t="str">
        <f t="array" ref="AW13">iferror(vlookup(AW$12&amp;"-"&amp;$E13,{index('Output_HALO - DACH'!$A:$ZZ,0,$C$8),index('Output_HALO - DACH'!$A:$ZZ,0,$C$3)},2,0),"")</f>
        <v/>
      </c>
      <c r="AX13" s="353" t="str">
        <f t="array" ref="AX13">iferror(vlookup(AX$12&amp;"-"&amp;$E13,{index('Output_HALO - DACH'!$A:$ZZ,0,$C$8),index('Output_HALO - DACH'!$A:$ZZ,0,$C$3)},2,0),"")</f>
        <v/>
      </c>
      <c r="AY13" s="353" t="str">
        <f t="array" ref="AY13">iferror(vlookup(AY$12&amp;"-"&amp;$E13,{index('Output_HALO - DACH'!$A:$ZZ,0,$C$8),index('Output_HALO - DACH'!$A:$ZZ,0,$C$3)},2,0),"")</f>
        <v/>
      </c>
      <c r="AZ13" s="353" t="str">
        <f t="array" ref="AZ13">iferror(vlookup(AZ$12&amp;"-"&amp;$E13,{index('Output_HALO - DACH'!$A:$ZZ,0,$C$8),index('Output_HALO - DACH'!$A:$ZZ,0,$C$3)},2,0),"")</f>
        <v/>
      </c>
      <c r="BA13" s="353" t="str">
        <f t="array" ref="BA13">iferror(vlookup(BA$12&amp;"-"&amp;$E13,{index('Output_HALO - DACH'!$A:$ZZ,0,$C$8),index('Output_HALO - DACH'!$A:$ZZ,0,$C$3)},2,0),"")</f>
        <v/>
      </c>
      <c r="BB13" s="353" t="str">
        <f t="array" ref="BB13">iferror(vlookup(BB$12&amp;"-"&amp;$E13,{index('Output_HALO - DACH'!$A:$ZZ,0,$C$8),index('Output_HALO - DACH'!$A:$ZZ,0,$C$3)},2,0),"")</f>
        <v/>
      </c>
      <c r="BC13" s="353" t="str">
        <f t="array" ref="BC13">iferror(vlookup(BC$12&amp;"-"&amp;$E13,{index('Output_HALO - DACH'!$A:$ZZ,0,$C$8),index('Output_HALO - DACH'!$A:$ZZ,0,$C$3)},2,0),"")</f>
        <v/>
      </c>
      <c r="BD13" s="353" t="str">
        <f t="array" ref="BD13">iferror(vlookup(BD$12&amp;"-"&amp;$E13,{index('Output_HALO - DACH'!$A:$ZZ,0,$C$8),index('Output_HALO - DACH'!$A:$ZZ,0,$C$3)},2,0),"")</f>
        <v/>
      </c>
      <c r="BE13" s="353" t="str">
        <f t="array" ref="BE13">iferror(vlookup(BE$12&amp;"-"&amp;$E13,{index('Output_HALO - DACH'!$A:$ZZ,0,$C$8),index('Output_HALO - DACH'!$A:$ZZ,0,$C$3)},2,0),"")</f>
        <v/>
      </c>
      <c r="BF13" s="353" t="str">
        <f t="array" ref="BF13">iferror(vlookup(BF$12&amp;"-"&amp;$E13,{index('Output_HALO - DACH'!$A:$ZZ,0,$C$8),index('Output_HALO - DACH'!$A:$ZZ,0,$C$3)},2,0),"")</f>
        <v/>
      </c>
      <c r="BG13" s="353" t="str">
        <f t="array" ref="BG13">iferror(vlookup(BG$12&amp;"-"&amp;$E13,{index('Output_HALO - DACH'!$A:$ZZ,0,$C$8),index('Output_HALO - DACH'!$A:$ZZ,0,$C$3)},2,0),"")</f>
        <v/>
      </c>
      <c r="BH13" s="353" t="str">
        <f t="array" ref="BH13">iferror(vlookup(BH$12&amp;"-"&amp;$E13,{index('Output_HALO - DACH'!$A:$ZZ,0,$C$8),index('Output_HALO - DACH'!$A:$ZZ,0,$C$3)},2,0),"")</f>
        <v/>
      </c>
      <c r="BI13" s="353" t="str">
        <f t="array" ref="BI13">iferror(vlookup(BI$12&amp;"-"&amp;$E13,{index('Output_HALO - DACH'!$A:$ZZ,0,$C$8),index('Output_HALO - DACH'!$A:$ZZ,0,$C$3)},2,0),"")</f>
        <v/>
      </c>
      <c r="BJ13" s="353" t="str">
        <f t="array" ref="BJ13">iferror(vlookup(BJ$12&amp;"-"&amp;$E13,{index('Output_HALO - DACH'!$A:$ZZ,0,$C$8),index('Output_HALO - DACH'!$A:$ZZ,0,$C$3)},2,0),"")</f>
        <v/>
      </c>
      <c r="BK13" s="353" t="str">
        <f t="array" ref="BK13">iferror(vlookup(BK$12&amp;"-"&amp;$E13,{index('Output_HALO - DACH'!$A:$ZZ,0,$C$8),index('Output_HALO - DACH'!$A:$ZZ,0,$C$3)},2,0),"")</f>
        <v/>
      </c>
      <c r="BL13" s="353" t="str">
        <f t="array" ref="BL13">iferror(vlookup(BL$12&amp;"-"&amp;$E13,{index('Output_HALO - DACH'!$A:$ZZ,0,$C$8),index('Output_HALO - DACH'!$A:$ZZ,0,$C$3)},2,0),"")</f>
        <v/>
      </c>
      <c r="BM13" s="353" t="str">
        <f t="array" ref="BM13">iferror(vlookup(BM$12&amp;"-"&amp;$E13,{index('Output_HALO - DACH'!$A:$ZZ,0,$C$8),index('Output_HALO - DACH'!$A:$ZZ,0,$C$3)},2,0),"")</f>
        <v/>
      </c>
      <c r="BN13" s="353" t="str">
        <f t="array" ref="BN13">iferror(vlookup(BN$12&amp;"-"&amp;$E13,{index('Output_HALO - DACH'!$A:$ZZ,0,$C$8),index('Output_HALO - DACH'!$A:$ZZ,0,$C$3)},2,0),"")</f>
        <v/>
      </c>
      <c r="BO13" s="353" t="str">
        <f t="array" ref="BO13">iferror(vlookup(BO$12&amp;"-"&amp;$E13,{index('Output_HALO - DACH'!$A:$ZZ,0,$C$8),index('Output_HALO - DACH'!$A:$ZZ,0,$C$3)},2,0),"")</f>
        <v/>
      </c>
      <c r="BP13" s="353" t="str">
        <f t="array" ref="BP13">iferror(vlookup(BP$12&amp;"-"&amp;$E13,{index('Output_HALO - DACH'!$A:$ZZ,0,$C$8),index('Output_HALO - DACH'!$A:$ZZ,0,$C$3)},2,0),"")</f>
        <v/>
      </c>
      <c r="BQ13" s="353" t="str">
        <f t="array" ref="BQ13">iferror(vlookup(BQ$12&amp;"-"&amp;$E13,{index('Output_HALO - DACH'!$A:$ZZ,0,$C$8),index('Output_HALO - DACH'!$A:$ZZ,0,$C$3)},2,0),"")</f>
        <v/>
      </c>
    </row>
    <row r="14" hidden="1">
      <c r="E14" s="348">
        <v>5.0</v>
      </c>
      <c r="F14" s="353">
        <f t="array" ref="F14">iferror(vlookup(F13,{index('Output_HALO - DACH'!$A:$ZZ,0,$C$3),index('Output_HALO - DACH'!$A:$ZZ,0,$C$4)},2,0),"")</f>
        <v>0</v>
      </c>
      <c r="G14" s="353">
        <f t="array" ref="G14">iferror(vlookup(G13,{index('Output_HALO - DACH'!$A:$ZZ,0,$C$3),index('Output_HALO - DACH'!$A:$ZZ,0,$C$4)},2,0),"")</f>
        <v>0</v>
      </c>
      <c r="H14" s="353">
        <f t="array" ref="H14">iferror(vlookup(H13,{index('Output_HALO - DACH'!$A:$ZZ,0,$C$3),index('Output_HALO - DACH'!$A:$ZZ,0,$C$4)},2,0),"")</f>
        <v>0</v>
      </c>
      <c r="I14" s="353">
        <f t="array" ref="I14">iferror(vlookup(I13,{index('Output_HALO - DACH'!$A:$ZZ,0,$C$3),index('Output_HALO - DACH'!$A:$ZZ,0,$C$4)},2,0),"")</f>
        <v>0</v>
      </c>
      <c r="J14" s="353">
        <f t="array" ref="J14">iferror(vlookup(J13,{index('Output_HALO - DACH'!$A:$ZZ,0,$C$3),index('Output_HALO - DACH'!$A:$ZZ,0,$C$4)},2,0),"")</f>
        <v>0</v>
      </c>
      <c r="K14" s="353">
        <f t="array" ref="K14">iferror(vlookup(K13,{index('Output_HALO - DACH'!$A:$ZZ,0,$C$3),index('Output_HALO - DACH'!$A:$ZZ,0,$C$4)},2,0),"")</f>
        <v>0</v>
      </c>
      <c r="L14" s="353">
        <f t="array" ref="L14">iferror(vlookup(L13,{index('Output_HALO - DACH'!$A:$ZZ,0,$C$3),index('Output_HALO - DACH'!$A:$ZZ,0,$C$4)},2,0),"")</f>
        <v>0</v>
      </c>
      <c r="M14" s="353">
        <f t="array" ref="M14">iferror(vlookup(M13,{index('Output_HALO - DACH'!$A:$ZZ,0,$C$3),index('Output_HALO - DACH'!$A:$ZZ,0,$C$4)},2,0),"")</f>
        <v>0</v>
      </c>
      <c r="N14" s="353">
        <f t="array" ref="N14">iferror(vlookup(N13,{index('Output_HALO - DACH'!$A:$ZZ,0,$C$3),index('Output_HALO - DACH'!$A:$ZZ,0,$C$4)},2,0),"")</f>
        <v>0</v>
      </c>
      <c r="O14" s="353">
        <f t="array" ref="O14">iferror(vlookup(O13,{index('Output_HALO - DACH'!$A:$ZZ,0,$C$3),index('Output_HALO - DACH'!$A:$ZZ,0,$C$4)},2,0),"")</f>
        <v>0</v>
      </c>
      <c r="P14" s="353">
        <f t="array" ref="P14">iferror(vlookup(P13,{index('Output_HALO - DACH'!$A:$ZZ,0,$C$3),index('Output_HALO - DACH'!$A:$ZZ,0,$C$4)},2,0),"")</f>
        <v>0</v>
      </c>
      <c r="Q14" s="353">
        <f t="array" ref="Q14">iferror(vlookup(Q13,{index('Output_HALO - DACH'!$A:$ZZ,0,$C$3),index('Output_HALO - DACH'!$A:$ZZ,0,$C$4)},2,0),"")</f>
        <v>0</v>
      </c>
      <c r="R14" s="353">
        <f t="array" ref="R14">iferror(vlookup(R13,{index('Output_HALO - DACH'!$A:$ZZ,0,$C$3),index('Output_HALO - DACH'!$A:$ZZ,0,$C$4)},2,0),"")</f>
        <v>0</v>
      </c>
      <c r="S14" s="353">
        <f t="array" ref="S14">iferror(vlookup(S13,{index('Output_HALO - DACH'!$A:$ZZ,0,$C$3),index('Output_HALO - DACH'!$A:$ZZ,0,$C$4)},2,0),"")</f>
        <v>0</v>
      </c>
      <c r="T14" s="353">
        <f t="array" ref="T14">iferror(vlookup(T13,{index('Output_HALO - DACH'!$A:$ZZ,0,$C$3),index('Output_HALO - DACH'!$A:$ZZ,0,$C$4)},2,0),"")</f>
        <v>0</v>
      </c>
      <c r="U14" s="353">
        <f t="array" ref="U14">iferror(vlookup(U13,{index('Output_HALO - DACH'!$A:$ZZ,0,$C$3),index('Output_HALO - DACH'!$A:$ZZ,0,$C$4)},2,0),"")</f>
        <v>0</v>
      </c>
      <c r="V14" s="353">
        <f t="array" ref="V14">iferror(vlookup(V13,{index('Output_HALO - DACH'!$A:$ZZ,0,$C$3),index('Output_HALO - DACH'!$A:$ZZ,0,$C$4)},2,0),"")</f>
        <v>0</v>
      </c>
      <c r="W14" s="353">
        <f t="array" ref="W14">iferror(vlookup(W13,{index('Output_HALO - DACH'!$A:$ZZ,0,$C$3),index('Output_HALO - DACH'!$A:$ZZ,0,$C$4)},2,0),"")</f>
        <v>0</v>
      </c>
      <c r="X14" s="353">
        <f t="array" ref="X14">iferror(vlookup(X13,{index('Output_HALO - DACH'!$A:$ZZ,0,$C$3),index('Output_HALO - DACH'!$A:$ZZ,0,$C$4)},2,0),"")</f>
        <v>0</v>
      </c>
      <c r="Y14" s="353">
        <f t="array" ref="Y14">iferror(vlookup(Y13,{index('Output_HALO - DACH'!$A:$ZZ,0,$C$3),index('Output_HALO - DACH'!$A:$ZZ,0,$C$4)},2,0),"")</f>
        <v>0</v>
      </c>
      <c r="Z14" s="353">
        <f t="array" ref="Z14">iferror(vlookup(Z13,{index('Output_HALO - DACH'!$A:$ZZ,0,$C$3),index('Output_HALO - DACH'!$A:$ZZ,0,$C$4)},2,0),"")</f>
        <v>0</v>
      </c>
      <c r="AA14" s="353">
        <f t="array" ref="AA14">iferror(vlookup(AA13,{index('Output_HALO - DACH'!$A:$ZZ,0,$C$3),index('Output_HALO - DACH'!$A:$ZZ,0,$C$4)},2,0),"")</f>
        <v>0</v>
      </c>
      <c r="AB14" s="353">
        <f t="array" ref="AB14">iferror(vlookup(AB13,{index('Output_HALO - DACH'!$A:$ZZ,0,$C$3),index('Output_HALO - DACH'!$A:$ZZ,0,$C$4)},2,0),"")</f>
        <v>0</v>
      </c>
      <c r="AC14" s="353">
        <f t="array" ref="AC14">iferror(vlookup(AC13,{index('Output_HALO - DACH'!$A:$ZZ,0,$C$3),index('Output_HALO - DACH'!$A:$ZZ,0,$C$4)},2,0),"")</f>
        <v>0</v>
      </c>
      <c r="AD14" s="353">
        <f t="array" ref="AD14">iferror(vlookup(AD13,{index('Output_HALO - DACH'!$A:$ZZ,0,$C$3),index('Output_HALO - DACH'!$A:$ZZ,0,$C$4)},2,0),"")</f>
        <v>0</v>
      </c>
      <c r="AE14" s="353">
        <f t="array" ref="AE14">iferror(vlookup(AE13,{index('Output_HALO - DACH'!$A:$ZZ,0,$C$3),index('Output_HALO - DACH'!$A:$ZZ,0,$C$4)},2,0),"")</f>
        <v>0</v>
      </c>
      <c r="AF14" s="353">
        <f t="array" ref="AF14">iferror(vlookup(AF13,{index('Output_HALO - DACH'!$A:$ZZ,0,$C$3),index('Output_HALO - DACH'!$A:$ZZ,0,$C$4)},2,0),"")</f>
        <v>0</v>
      </c>
      <c r="AG14" s="353">
        <f t="array" ref="AG14">iferror(vlookup(AG13,{index('Output_HALO - DACH'!$A:$ZZ,0,$C$3),index('Output_HALO - DACH'!$A:$ZZ,0,$C$4)},2,0),"")</f>
        <v>0</v>
      </c>
      <c r="AH14" s="353">
        <f t="array" ref="AH14">iferror(vlookup(AH13,{index('Output_HALO - DACH'!$A:$ZZ,0,$C$3),index('Output_HALO - DACH'!$A:$ZZ,0,$C$4)},2,0),"")</f>
        <v>0</v>
      </c>
      <c r="AI14" s="353">
        <f t="array" ref="AI14">iferror(vlookup(AI13,{index('Output_HALO - DACH'!$A:$ZZ,0,$C$3),index('Output_HALO - DACH'!$A:$ZZ,0,$C$4)},2,0),"")</f>
        <v>0</v>
      </c>
      <c r="AJ14" s="353">
        <f t="array" ref="AJ14">iferror(vlookup(AJ13,{index('Output_HALO - DACH'!$A:$ZZ,0,$C$3),index('Output_HALO - DACH'!$A:$ZZ,0,$C$4)},2,0),"")</f>
        <v>0</v>
      </c>
      <c r="AK14" s="353">
        <f t="array" ref="AK14">iferror(vlookup(AK13,{index('Output_HALO - DACH'!$A:$ZZ,0,$C$3),index('Output_HALO - DACH'!$A:$ZZ,0,$C$4)},2,0),"")</f>
        <v>0</v>
      </c>
      <c r="AL14" s="353">
        <f t="array" ref="AL14">iferror(vlookup(AL13,{index('Output_HALO - DACH'!$A:$ZZ,0,$C$3),index('Output_HALO - DACH'!$A:$ZZ,0,$C$4)},2,0),"")</f>
        <v>0</v>
      </c>
      <c r="AM14" s="353">
        <f t="array" ref="AM14">iferror(vlookup(AM13,{index('Output_HALO - DACH'!$A:$ZZ,0,$C$3),index('Output_HALO - DACH'!$A:$ZZ,0,$C$4)},2,0),"")</f>
        <v>0</v>
      </c>
      <c r="AN14" s="353">
        <f t="array" ref="AN14">iferror(vlookup(AN13,{index('Output_HALO - DACH'!$A:$ZZ,0,$C$3),index('Output_HALO - DACH'!$A:$ZZ,0,$C$4)},2,0),"")</f>
        <v>0</v>
      </c>
      <c r="AO14" s="353">
        <f t="array" ref="AO14">iferror(vlookup(AO13,{index('Output_HALO - DACH'!$A:$ZZ,0,$C$3),index('Output_HALO - DACH'!$A:$ZZ,0,$C$4)},2,0),"")</f>
        <v>0</v>
      </c>
      <c r="AP14" s="353">
        <f t="array" ref="AP14">iferror(vlookup(AP13,{index('Output_HALO - DACH'!$A:$ZZ,0,$C$3),index('Output_HALO - DACH'!$A:$ZZ,0,$C$4)},2,0),"")</f>
        <v>0</v>
      </c>
      <c r="AQ14" s="353">
        <f t="array" ref="AQ14">iferror(vlookup(AQ13,{index('Output_HALO - DACH'!$A:$ZZ,0,$C$3),index('Output_HALO - DACH'!$A:$ZZ,0,$C$4)},2,0),"")</f>
        <v>0</v>
      </c>
      <c r="AR14" s="353">
        <f t="array" ref="AR14">iferror(vlookup(AR13,{index('Output_HALO - DACH'!$A:$ZZ,0,$C$3),index('Output_HALO - DACH'!$A:$ZZ,0,$C$4)},2,0),"")</f>
        <v>0</v>
      </c>
      <c r="AS14" s="353">
        <f t="array" ref="AS14">iferror(vlookup(AS13,{index('Output_HALO - DACH'!$A:$ZZ,0,$C$3),index('Output_HALO - DACH'!$A:$ZZ,0,$C$4)},2,0),"")</f>
        <v>0</v>
      </c>
      <c r="AT14" s="353">
        <f t="array" ref="AT14">iferror(vlookup(AT13,{index('Output_HALO - DACH'!$A:$ZZ,0,$C$3),index('Output_HALO - DACH'!$A:$ZZ,0,$C$4)},2,0),"")</f>
        <v>0</v>
      </c>
      <c r="AU14" s="353">
        <f t="array" ref="AU14">iferror(vlookup(AU13,{index('Output_HALO - DACH'!$A:$ZZ,0,$C$3),index('Output_HALO - DACH'!$A:$ZZ,0,$C$4)},2,0),"")</f>
        <v>0</v>
      </c>
      <c r="AV14" s="353">
        <f t="array" ref="AV14">iferror(vlookup(AV13,{index('Output_HALO - DACH'!$A:$ZZ,0,$C$3),index('Output_HALO - DACH'!$A:$ZZ,0,$C$4)},2,0),"")</f>
        <v>0</v>
      </c>
      <c r="AW14" s="353">
        <f t="array" ref="AW14">iferror(vlookup(AW13,{index('Output_HALO - DACH'!$A:$ZZ,0,$C$3),index('Output_HALO - DACH'!$A:$ZZ,0,$C$4)},2,0),"")</f>
        <v>0</v>
      </c>
      <c r="AX14" s="353">
        <f t="array" ref="AX14">iferror(vlookup(AX13,{index('Output_HALO - DACH'!$A:$ZZ,0,$C$3),index('Output_HALO - DACH'!$A:$ZZ,0,$C$4)},2,0),"")</f>
        <v>0</v>
      </c>
      <c r="AY14" s="353">
        <f t="array" ref="AY14">iferror(vlookup(AY13,{index('Output_HALO - DACH'!$A:$ZZ,0,$C$3),index('Output_HALO - DACH'!$A:$ZZ,0,$C$4)},2,0),"")</f>
        <v>0</v>
      </c>
      <c r="AZ14" s="353">
        <f t="array" ref="AZ14">iferror(vlookup(AZ13,{index('Output_HALO - DACH'!$A:$ZZ,0,$C$3),index('Output_HALO - DACH'!$A:$ZZ,0,$C$4)},2,0),"")</f>
        <v>0</v>
      </c>
      <c r="BA14" s="353">
        <f t="array" ref="BA14">iferror(vlookup(BA13,{index('Output_HALO - DACH'!$A:$ZZ,0,$C$3),index('Output_HALO - DACH'!$A:$ZZ,0,$C$4)},2,0),"")</f>
        <v>0</v>
      </c>
      <c r="BB14" s="353">
        <f t="array" ref="BB14">iferror(vlookup(BB13,{index('Output_HALO - DACH'!$A:$ZZ,0,$C$3),index('Output_HALO - DACH'!$A:$ZZ,0,$C$4)},2,0),"")</f>
        <v>0</v>
      </c>
      <c r="BC14" s="353">
        <f t="array" ref="BC14">iferror(vlookup(BC13,{index('Output_HALO - DACH'!$A:$ZZ,0,$C$3),index('Output_HALO - DACH'!$A:$ZZ,0,$C$4)},2,0),"")</f>
        <v>0</v>
      </c>
      <c r="BD14" s="353">
        <f t="array" ref="BD14">iferror(vlookup(BD13,{index('Output_HALO - DACH'!$A:$ZZ,0,$C$3),index('Output_HALO - DACH'!$A:$ZZ,0,$C$4)},2,0),"")</f>
        <v>0</v>
      </c>
      <c r="BE14" s="353">
        <f t="array" ref="BE14">iferror(vlookup(BE13,{index('Output_HALO - DACH'!$A:$ZZ,0,$C$3),index('Output_HALO - DACH'!$A:$ZZ,0,$C$4)},2,0),"")</f>
        <v>0</v>
      </c>
      <c r="BF14" s="353">
        <f t="array" ref="BF14">iferror(vlookup(BF13,{index('Output_HALO - DACH'!$A:$ZZ,0,$C$3),index('Output_HALO - DACH'!$A:$ZZ,0,$C$4)},2,0),"")</f>
        <v>0</v>
      </c>
      <c r="BG14" s="353">
        <f t="array" ref="BG14">iferror(vlookup(BG13,{index('Output_HALO - DACH'!$A:$ZZ,0,$C$3),index('Output_HALO - DACH'!$A:$ZZ,0,$C$4)},2,0),"")</f>
        <v>0</v>
      </c>
      <c r="BH14" s="353">
        <f t="array" ref="BH14">iferror(vlookup(BH13,{index('Output_HALO - DACH'!$A:$ZZ,0,$C$3),index('Output_HALO - DACH'!$A:$ZZ,0,$C$4)},2,0),"")</f>
        <v>0</v>
      </c>
      <c r="BI14" s="353">
        <f t="array" ref="BI14">iferror(vlookup(BI13,{index('Output_HALO - DACH'!$A:$ZZ,0,$C$3),index('Output_HALO - DACH'!$A:$ZZ,0,$C$4)},2,0),"")</f>
        <v>0</v>
      </c>
      <c r="BJ14" s="353">
        <f t="array" ref="BJ14">iferror(vlookup(BJ13,{index('Output_HALO - DACH'!$A:$ZZ,0,$C$3),index('Output_HALO - DACH'!$A:$ZZ,0,$C$4)},2,0),"")</f>
        <v>0</v>
      </c>
      <c r="BK14" s="353">
        <f t="array" ref="BK14">iferror(vlookup(BK13,{index('Output_HALO - DACH'!$A:$ZZ,0,$C$3),index('Output_HALO - DACH'!$A:$ZZ,0,$C$4)},2,0),"")</f>
        <v>0</v>
      </c>
      <c r="BL14" s="353">
        <f t="array" ref="BL14">iferror(vlookup(BL13,{index('Output_HALO - DACH'!$A:$ZZ,0,$C$3),index('Output_HALO - DACH'!$A:$ZZ,0,$C$4)},2,0),"")</f>
        <v>0</v>
      </c>
      <c r="BM14" s="353">
        <f t="array" ref="BM14">iferror(vlookup(BM13,{index('Output_HALO - DACH'!$A:$ZZ,0,$C$3),index('Output_HALO - DACH'!$A:$ZZ,0,$C$4)},2,0),"")</f>
        <v>0</v>
      </c>
      <c r="BN14" s="353">
        <f t="array" ref="BN14">iferror(vlookup(BN13,{index('Output_HALO - DACH'!$A:$ZZ,0,$C$3),index('Output_HALO - DACH'!$A:$ZZ,0,$C$4)},2,0),"")</f>
        <v>0</v>
      </c>
      <c r="BO14" s="353">
        <f t="array" ref="BO14">iferror(vlookup(BO13,{index('Output_HALO - DACH'!$A:$ZZ,0,$C$3),index('Output_HALO - DACH'!$A:$ZZ,0,$C$4)},2,0),"")</f>
        <v>0</v>
      </c>
      <c r="BP14" s="353">
        <f t="array" ref="BP14">iferror(vlookup(BP13,{index('Output_HALO - DACH'!$A:$ZZ,0,$C$3),index('Output_HALO - DACH'!$A:$ZZ,0,$C$4)},2,0),"")</f>
        <v>0</v>
      </c>
      <c r="BQ14" s="353">
        <f t="array" ref="BQ14">iferror(vlookup(BQ13,{index('Output_HALO - DACH'!$A:$ZZ,0,$C$3),index('Output_HALO - DACH'!$A:$ZZ,0,$C$4)},2,0),"")</f>
        <v>0</v>
      </c>
    </row>
    <row r="15" hidden="1">
      <c r="E15" s="348">
        <v>5.0</v>
      </c>
      <c r="F15" s="353" t="str">
        <f t="array" ref="F15">iferror(vlookup(F$12&amp;"-"&amp;$E15,{index('Output_HALO - DACH'!$A:$ZZ,0,$C$8),index('Output_HALO - DACH'!$A:$ZZ,0,$C$5)},2,0),"")</f>
        <v/>
      </c>
      <c r="G15" s="353" t="str">
        <f t="array" ref="G15">iferror(vlookup(G$12&amp;"-"&amp;$E15,{index('Output_HALO - DACH'!$A:$ZZ,0,$C$8),index('Output_HALO - DACH'!$A:$ZZ,0,$C$5)},2,0),"")</f>
        <v/>
      </c>
      <c r="H15" s="353" t="str">
        <f t="array" ref="H15">iferror(vlookup(H$12&amp;"-"&amp;$E15,{index('Output_HALO - DACH'!$A:$ZZ,0,$C$8),index('Output_HALO - DACH'!$A:$ZZ,0,$C$5)},2,0),"")</f>
        <v/>
      </c>
      <c r="I15" s="353" t="str">
        <f t="array" ref="I15">iferror(vlookup(I$12&amp;"-"&amp;$E15,{index('Output_HALO - DACH'!$A:$ZZ,0,$C$8),index('Output_HALO - DACH'!$A:$ZZ,0,$C$5)},2,0),"")</f>
        <v/>
      </c>
      <c r="J15" s="353" t="str">
        <f t="array" ref="J15">iferror(vlookup(J$12&amp;"-"&amp;$E15,{index('Output_HALO - DACH'!$A:$ZZ,0,$C$8),index('Output_HALO - DACH'!$A:$ZZ,0,$C$5)},2,0),"")</f>
        <v/>
      </c>
      <c r="K15" s="353" t="str">
        <f t="array" ref="K15">iferror(vlookup(K$12&amp;"-"&amp;$E15,{index('Output_HALO - DACH'!$A:$ZZ,0,$C$8),index('Output_HALO - DACH'!$A:$ZZ,0,$C$5)},2,0),"")</f>
        <v/>
      </c>
      <c r="L15" s="353" t="str">
        <f t="array" ref="L15">iferror(vlookup(L$12&amp;"-"&amp;$E15,{index('Output_HALO - DACH'!$A:$ZZ,0,$C$8),index('Output_HALO - DACH'!$A:$ZZ,0,$C$5)},2,0),"")</f>
        <v/>
      </c>
      <c r="M15" s="353" t="str">
        <f t="array" ref="M15">iferror(vlookup(M$12&amp;"-"&amp;$E15,{index('Output_HALO - DACH'!$A:$ZZ,0,$C$8),index('Output_HALO - DACH'!$A:$ZZ,0,$C$5)},2,0),"")</f>
        <v/>
      </c>
      <c r="N15" s="353" t="str">
        <f t="array" ref="N15">iferror(vlookup(N$12&amp;"-"&amp;$E15,{index('Output_HALO - DACH'!$A:$ZZ,0,$C$8),index('Output_HALO - DACH'!$A:$ZZ,0,$C$5)},2,0),"")</f>
        <v/>
      </c>
      <c r="O15" s="353" t="str">
        <f t="array" ref="O15">iferror(vlookup(O$12&amp;"-"&amp;$E15,{index('Output_HALO - DACH'!$A:$ZZ,0,$C$8),index('Output_HALO - DACH'!$A:$ZZ,0,$C$5)},2,0),"")</f>
        <v/>
      </c>
      <c r="P15" s="353" t="str">
        <f t="array" ref="P15">iferror(vlookup(P$12&amp;"-"&amp;$E15,{index('Output_HALO - DACH'!$A:$ZZ,0,$C$8),index('Output_HALO - DACH'!$A:$ZZ,0,$C$5)},2,0),"")</f>
        <v/>
      </c>
      <c r="Q15" s="353" t="str">
        <f t="array" ref="Q15">iferror(vlookup(Q$12&amp;"-"&amp;$E15,{index('Output_HALO - DACH'!$A:$ZZ,0,$C$8),index('Output_HALO - DACH'!$A:$ZZ,0,$C$5)},2,0),"")</f>
        <v/>
      </c>
      <c r="R15" s="353" t="str">
        <f t="array" ref="R15">iferror(vlookup(R$12&amp;"-"&amp;$E15,{index('Output_HALO - DACH'!$A:$ZZ,0,$C$8),index('Output_HALO - DACH'!$A:$ZZ,0,$C$5)},2,0),"")</f>
        <v/>
      </c>
      <c r="S15" s="353" t="str">
        <f t="array" ref="S15">iferror(vlookup(S$12&amp;"-"&amp;$E15,{index('Output_HALO - DACH'!$A:$ZZ,0,$C$8),index('Output_HALO - DACH'!$A:$ZZ,0,$C$5)},2,0),"")</f>
        <v/>
      </c>
      <c r="T15" s="353" t="str">
        <f t="array" ref="T15">iferror(vlookup(T$12&amp;"-"&amp;$E15,{index('Output_HALO - DACH'!$A:$ZZ,0,$C$8),index('Output_HALO - DACH'!$A:$ZZ,0,$C$5)},2,0),"")</f>
        <v/>
      </c>
      <c r="U15" s="353" t="str">
        <f t="array" ref="U15">iferror(vlookup(U$12&amp;"-"&amp;$E15,{index('Output_HALO - DACH'!$A:$ZZ,0,$C$8),index('Output_HALO - DACH'!$A:$ZZ,0,$C$5)},2,0),"")</f>
        <v/>
      </c>
      <c r="V15" s="353" t="str">
        <f t="array" ref="V15">iferror(vlookup(V$12&amp;"-"&amp;$E15,{index('Output_HALO - DACH'!$A:$ZZ,0,$C$8),index('Output_HALO - DACH'!$A:$ZZ,0,$C$5)},2,0),"")</f>
        <v/>
      </c>
      <c r="W15" s="353" t="str">
        <f t="array" ref="W15">iferror(vlookup(W$12&amp;"-"&amp;$E15,{index('Output_HALO - DACH'!$A:$ZZ,0,$C$8),index('Output_HALO - DACH'!$A:$ZZ,0,$C$5)},2,0),"")</f>
        <v/>
      </c>
      <c r="X15" s="353" t="str">
        <f t="array" ref="X15">iferror(vlookup(X$12&amp;"-"&amp;$E15,{index('Output_HALO - DACH'!$A:$ZZ,0,$C$8),index('Output_HALO - DACH'!$A:$ZZ,0,$C$5)},2,0),"")</f>
        <v/>
      </c>
      <c r="Y15" s="353" t="str">
        <f t="array" ref="Y15">iferror(vlookup(Y$12&amp;"-"&amp;$E15,{index('Output_HALO - DACH'!$A:$ZZ,0,$C$8),index('Output_HALO - DACH'!$A:$ZZ,0,$C$5)},2,0),"")</f>
        <v/>
      </c>
      <c r="Z15" s="353" t="str">
        <f t="array" ref="Z15">iferror(vlookup(Z$12&amp;"-"&amp;$E15,{index('Output_HALO - DACH'!$A:$ZZ,0,$C$8),index('Output_HALO - DACH'!$A:$ZZ,0,$C$5)},2,0),"")</f>
        <v/>
      </c>
      <c r="AA15" s="353" t="str">
        <f t="array" ref="AA15">iferror(vlookup(AA$12&amp;"-"&amp;$E15,{index('Output_HALO - DACH'!$A:$ZZ,0,$C$8),index('Output_HALO - DACH'!$A:$ZZ,0,$C$5)},2,0),"")</f>
        <v/>
      </c>
      <c r="AB15" s="353" t="str">
        <f t="array" ref="AB15">iferror(vlookup(AB$12&amp;"-"&amp;$E15,{index('Output_HALO - DACH'!$A:$ZZ,0,$C$8),index('Output_HALO - DACH'!$A:$ZZ,0,$C$5)},2,0),"")</f>
        <v/>
      </c>
      <c r="AC15" s="353" t="str">
        <f t="array" ref="AC15">iferror(vlookup(AC$12&amp;"-"&amp;$E15,{index('Output_HALO - DACH'!$A:$ZZ,0,$C$8),index('Output_HALO - DACH'!$A:$ZZ,0,$C$5)},2,0),"")</f>
        <v/>
      </c>
      <c r="AD15" s="353" t="str">
        <f t="array" ref="AD15">iferror(vlookup(AD$12&amp;"-"&amp;$E15,{index('Output_HALO - DACH'!$A:$ZZ,0,$C$8),index('Output_HALO - DACH'!$A:$ZZ,0,$C$5)},2,0),"")</f>
        <v/>
      </c>
      <c r="AE15" s="353" t="str">
        <f t="array" ref="AE15">iferror(vlookup(AE$12&amp;"-"&amp;$E15,{index('Output_HALO - DACH'!$A:$ZZ,0,$C$8),index('Output_HALO - DACH'!$A:$ZZ,0,$C$5)},2,0),"")</f>
        <v/>
      </c>
      <c r="AF15" s="353" t="str">
        <f t="array" ref="AF15">iferror(vlookup(AF$12&amp;"-"&amp;$E15,{index('Output_HALO - DACH'!$A:$ZZ,0,$C$8),index('Output_HALO - DACH'!$A:$ZZ,0,$C$5)},2,0),"")</f>
        <v/>
      </c>
      <c r="AG15" s="353" t="str">
        <f t="array" ref="AG15">iferror(vlookup(AG$12&amp;"-"&amp;$E15,{index('Output_HALO - DACH'!$A:$ZZ,0,$C$8),index('Output_HALO - DACH'!$A:$ZZ,0,$C$5)},2,0),"")</f>
        <v/>
      </c>
      <c r="AH15" s="353" t="str">
        <f t="array" ref="AH15">iferror(vlookup(AH$12&amp;"-"&amp;$E15,{index('Output_HALO - DACH'!$A:$ZZ,0,$C$8),index('Output_HALO - DACH'!$A:$ZZ,0,$C$5)},2,0),"")</f>
        <v/>
      </c>
      <c r="AI15" s="353" t="str">
        <f t="array" ref="AI15">iferror(vlookup(AI$12&amp;"-"&amp;$E15,{index('Output_HALO - DACH'!$A:$ZZ,0,$C$8),index('Output_HALO - DACH'!$A:$ZZ,0,$C$5)},2,0),"")</f>
        <v/>
      </c>
      <c r="AJ15" s="353" t="str">
        <f t="array" ref="AJ15">iferror(vlookup(AJ$12&amp;"-"&amp;$E15,{index('Output_HALO - DACH'!$A:$ZZ,0,$C$8),index('Output_HALO - DACH'!$A:$ZZ,0,$C$5)},2,0),"")</f>
        <v/>
      </c>
      <c r="AK15" s="353" t="str">
        <f t="array" ref="AK15">iferror(vlookup(AK$12&amp;"-"&amp;$E15,{index('Output_HALO - DACH'!$A:$ZZ,0,$C$8),index('Output_HALO - DACH'!$A:$ZZ,0,$C$5)},2,0),"")</f>
        <v/>
      </c>
      <c r="AL15" s="353" t="str">
        <f t="array" ref="AL15">iferror(vlookup(AL$12&amp;"-"&amp;$E15,{index('Output_HALO - DACH'!$A:$ZZ,0,$C$8),index('Output_HALO - DACH'!$A:$ZZ,0,$C$5)},2,0),"")</f>
        <v/>
      </c>
      <c r="AM15" s="353" t="str">
        <f t="array" ref="AM15">iferror(vlookup(AM$12&amp;"-"&amp;$E15,{index('Output_HALO - DACH'!$A:$ZZ,0,$C$8),index('Output_HALO - DACH'!$A:$ZZ,0,$C$5)},2,0),"")</f>
        <v/>
      </c>
      <c r="AN15" s="353" t="str">
        <f t="array" ref="AN15">iferror(vlookup(AN$12&amp;"-"&amp;$E15,{index('Output_HALO - DACH'!$A:$ZZ,0,$C$8),index('Output_HALO - DACH'!$A:$ZZ,0,$C$5)},2,0),"")</f>
        <v/>
      </c>
      <c r="AO15" s="353" t="str">
        <f t="array" ref="AO15">iferror(vlookup(AO$12&amp;"-"&amp;$E15,{index('Output_HALO - DACH'!$A:$ZZ,0,$C$8),index('Output_HALO - DACH'!$A:$ZZ,0,$C$5)},2,0),"")</f>
        <v/>
      </c>
      <c r="AP15" s="353" t="str">
        <f t="array" ref="AP15">iferror(vlookup(AP$12&amp;"-"&amp;$E15,{index('Output_HALO - DACH'!$A:$ZZ,0,$C$8),index('Output_HALO - DACH'!$A:$ZZ,0,$C$5)},2,0),"")</f>
        <v/>
      </c>
      <c r="AQ15" s="353" t="str">
        <f t="array" ref="AQ15">iferror(vlookup(AQ$12&amp;"-"&amp;$E15,{index('Output_HALO - DACH'!$A:$ZZ,0,$C$8),index('Output_HALO - DACH'!$A:$ZZ,0,$C$5)},2,0),"")</f>
        <v/>
      </c>
      <c r="AR15" s="353" t="str">
        <f t="array" ref="AR15">iferror(vlookup(AR$12&amp;"-"&amp;$E15,{index('Output_HALO - DACH'!$A:$ZZ,0,$C$8),index('Output_HALO - DACH'!$A:$ZZ,0,$C$5)},2,0),"")</f>
        <v/>
      </c>
      <c r="AS15" s="353" t="str">
        <f t="array" ref="AS15">iferror(vlookup(AS$12&amp;"-"&amp;$E15,{index('Output_HALO - DACH'!$A:$ZZ,0,$C$8),index('Output_HALO - DACH'!$A:$ZZ,0,$C$5)},2,0),"")</f>
        <v/>
      </c>
      <c r="AT15" s="353" t="str">
        <f t="array" ref="AT15">iferror(vlookup(AT$12&amp;"-"&amp;$E15,{index('Output_HALO - DACH'!$A:$ZZ,0,$C$8),index('Output_HALO - DACH'!$A:$ZZ,0,$C$5)},2,0),"")</f>
        <v/>
      </c>
      <c r="AU15" s="353" t="str">
        <f t="array" ref="AU15">iferror(vlookup(AU$12&amp;"-"&amp;$E15,{index('Output_HALO - DACH'!$A:$ZZ,0,$C$8),index('Output_HALO - DACH'!$A:$ZZ,0,$C$5)},2,0),"")</f>
        <v/>
      </c>
      <c r="AV15" s="353" t="str">
        <f t="array" ref="AV15">iferror(vlookup(AV$12&amp;"-"&amp;$E15,{index('Output_HALO - DACH'!$A:$ZZ,0,$C$8),index('Output_HALO - DACH'!$A:$ZZ,0,$C$5)},2,0),"")</f>
        <v/>
      </c>
      <c r="AW15" s="353" t="str">
        <f t="array" ref="AW15">iferror(vlookup(AW$12&amp;"-"&amp;$E15,{index('Output_HALO - DACH'!$A:$ZZ,0,$C$8),index('Output_HALO - DACH'!$A:$ZZ,0,$C$5)},2,0),"")</f>
        <v/>
      </c>
      <c r="AX15" s="353" t="str">
        <f t="array" ref="AX15">iferror(vlookup(AX$12&amp;"-"&amp;$E15,{index('Output_HALO - DACH'!$A:$ZZ,0,$C$8),index('Output_HALO - DACH'!$A:$ZZ,0,$C$5)},2,0),"")</f>
        <v/>
      </c>
      <c r="AY15" s="353" t="str">
        <f t="array" ref="AY15">iferror(vlookup(AY$12&amp;"-"&amp;$E15,{index('Output_HALO - DACH'!$A:$ZZ,0,$C$8),index('Output_HALO - DACH'!$A:$ZZ,0,$C$5)},2,0),"")</f>
        <v/>
      </c>
      <c r="AZ15" s="353" t="str">
        <f t="array" ref="AZ15">iferror(vlookup(AZ$12&amp;"-"&amp;$E15,{index('Output_HALO - DACH'!$A:$ZZ,0,$C$8),index('Output_HALO - DACH'!$A:$ZZ,0,$C$5)},2,0),"")</f>
        <v/>
      </c>
      <c r="BA15" s="353" t="str">
        <f t="array" ref="BA15">iferror(vlookup(BA$12&amp;"-"&amp;$E15,{index('Output_HALO - DACH'!$A:$ZZ,0,$C$8),index('Output_HALO - DACH'!$A:$ZZ,0,$C$5)},2,0),"")</f>
        <v/>
      </c>
      <c r="BB15" s="353" t="str">
        <f t="array" ref="BB15">iferror(vlookup(BB$12&amp;"-"&amp;$E15,{index('Output_HALO - DACH'!$A:$ZZ,0,$C$8),index('Output_HALO - DACH'!$A:$ZZ,0,$C$5)},2,0),"")</f>
        <v/>
      </c>
      <c r="BC15" s="353" t="str">
        <f t="array" ref="BC15">iferror(vlookup(BC$12&amp;"-"&amp;$E15,{index('Output_HALO - DACH'!$A:$ZZ,0,$C$8),index('Output_HALO - DACH'!$A:$ZZ,0,$C$5)},2,0),"")</f>
        <v/>
      </c>
      <c r="BD15" s="353" t="str">
        <f t="array" ref="BD15">iferror(vlookup(BD$12&amp;"-"&amp;$E15,{index('Output_HALO - DACH'!$A:$ZZ,0,$C$8),index('Output_HALO - DACH'!$A:$ZZ,0,$C$5)},2,0),"")</f>
        <v/>
      </c>
      <c r="BE15" s="353" t="str">
        <f t="array" ref="BE15">iferror(vlookup(BE$12&amp;"-"&amp;$E15,{index('Output_HALO - DACH'!$A:$ZZ,0,$C$8),index('Output_HALO - DACH'!$A:$ZZ,0,$C$5)},2,0),"")</f>
        <v/>
      </c>
      <c r="BF15" s="353" t="str">
        <f t="array" ref="BF15">iferror(vlookup(BF$12&amp;"-"&amp;$E15,{index('Output_HALO - DACH'!$A:$ZZ,0,$C$8),index('Output_HALO - DACH'!$A:$ZZ,0,$C$5)},2,0),"")</f>
        <v/>
      </c>
      <c r="BG15" s="353" t="str">
        <f t="array" ref="BG15">iferror(vlookup(BG$12&amp;"-"&amp;$E15,{index('Output_HALO - DACH'!$A:$ZZ,0,$C$8),index('Output_HALO - DACH'!$A:$ZZ,0,$C$5)},2,0),"")</f>
        <v/>
      </c>
      <c r="BH15" s="353" t="str">
        <f t="array" ref="BH15">iferror(vlookup(BH$12&amp;"-"&amp;$E15,{index('Output_HALO - DACH'!$A:$ZZ,0,$C$8),index('Output_HALO - DACH'!$A:$ZZ,0,$C$5)},2,0),"")</f>
        <v/>
      </c>
      <c r="BI15" s="353" t="str">
        <f t="array" ref="BI15">iferror(vlookup(BI$12&amp;"-"&amp;$E15,{index('Output_HALO - DACH'!$A:$ZZ,0,$C$8),index('Output_HALO - DACH'!$A:$ZZ,0,$C$5)},2,0),"")</f>
        <v/>
      </c>
      <c r="BJ15" s="353" t="str">
        <f t="array" ref="BJ15">iferror(vlookup(BJ$12&amp;"-"&amp;$E15,{index('Output_HALO - DACH'!$A:$ZZ,0,$C$8),index('Output_HALO - DACH'!$A:$ZZ,0,$C$5)},2,0),"")</f>
        <v/>
      </c>
      <c r="BK15" s="353" t="str">
        <f t="array" ref="BK15">iferror(vlookup(BK$12&amp;"-"&amp;$E15,{index('Output_HALO - DACH'!$A:$ZZ,0,$C$8),index('Output_HALO - DACH'!$A:$ZZ,0,$C$5)},2,0),"")</f>
        <v/>
      </c>
      <c r="BL15" s="353" t="str">
        <f t="array" ref="BL15">iferror(vlookup(BL$12&amp;"-"&amp;$E15,{index('Output_HALO - DACH'!$A:$ZZ,0,$C$8),index('Output_HALO - DACH'!$A:$ZZ,0,$C$5)},2,0),"")</f>
        <v/>
      </c>
      <c r="BM15" s="353" t="str">
        <f t="array" ref="BM15">iferror(vlookup(BM$12&amp;"-"&amp;$E15,{index('Output_HALO - DACH'!$A:$ZZ,0,$C$8),index('Output_HALO - DACH'!$A:$ZZ,0,$C$5)},2,0),"")</f>
        <v/>
      </c>
      <c r="BN15" s="353" t="str">
        <f t="array" ref="BN15">iferror(vlookup(BN$12&amp;"-"&amp;$E15,{index('Output_HALO - DACH'!$A:$ZZ,0,$C$8),index('Output_HALO - DACH'!$A:$ZZ,0,$C$5)},2,0),"")</f>
        <v/>
      </c>
      <c r="BO15" s="353" t="str">
        <f t="array" ref="BO15">iferror(vlookup(BO$12&amp;"-"&amp;$E15,{index('Output_HALO - DACH'!$A:$ZZ,0,$C$8),index('Output_HALO - DACH'!$A:$ZZ,0,$C$5)},2,0),"")</f>
        <v/>
      </c>
      <c r="BP15" s="353" t="str">
        <f t="array" ref="BP15">iferror(vlookup(BP$12&amp;"-"&amp;$E15,{index('Output_HALO - DACH'!$A:$ZZ,0,$C$8),index('Output_HALO - DACH'!$A:$ZZ,0,$C$5)},2,0),"")</f>
        <v/>
      </c>
      <c r="BQ15" s="353" t="str">
        <f t="array" ref="BQ15">iferror(vlookup(BQ$12&amp;"-"&amp;$E15,{index('Output_HALO - DACH'!$A:$ZZ,0,$C$8),index('Output_HALO - DACH'!$A:$ZZ,0,$C$5)},2,0),"")</f>
        <v/>
      </c>
    </row>
    <row r="16" hidden="1">
      <c r="E16" s="354">
        <v>4.0</v>
      </c>
      <c r="F16" s="353" t="str">
        <f t="array" ref="F16">iferror(vlookup(F$12&amp;"-"&amp;$E16,{index('Output_HALO - DACH'!$A:$ZZ,0,$C$8),index('Output_HALO - DACH'!$A:$ZZ,0,$C$3)},2,0),"")</f>
        <v/>
      </c>
      <c r="G16" s="353" t="str">
        <f t="array" ref="G16">iferror(vlookup(G$12&amp;"-"&amp;$E16,{index('Output_HALO - DACH'!$A:$ZZ,0,$C$8),index('Output_HALO - DACH'!$A:$ZZ,0,$C$3)},2,0),"")</f>
        <v/>
      </c>
      <c r="H16" s="353" t="str">
        <f t="array" ref="H16">iferror(vlookup(H$12&amp;"-"&amp;$E16,{index('Output_HALO - DACH'!$A:$ZZ,0,$C$8),index('Output_HALO - DACH'!$A:$ZZ,0,$C$3)},2,0),"")</f>
        <v/>
      </c>
      <c r="I16" s="353" t="str">
        <f t="array" ref="I16">iferror(vlookup(I$12&amp;"-"&amp;$E16,{index('Output_HALO - DACH'!$A:$ZZ,0,$C$8),index('Output_HALO - DACH'!$A:$ZZ,0,$C$3)},2,0),"")</f>
        <v/>
      </c>
      <c r="J16" s="353" t="str">
        <f t="array" ref="J16">iferror(vlookup(J$12&amp;"-"&amp;$E16,{index('Output_HALO - DACH'!$A:$ZZ,0,$C$8),index('Output_HALO - DACH'!$A:$ZZ,0,$C$3)},2,0),"")</f>
        <v/>
      </c>
      <c r="K16" s="353" t="str">
        <f t="array" ref="K16">iferror(vlookup(K$12&amp;"-"&amp;$E16,{index('Output_HALO - DACH'!$A:$ZZ,0,$C$8),index('Output_HALO - DACH'!$A:$ZZ,0,$C$3)},2,0),"")</f>
        <v/>
      </c>
      <c r="L16" s="353" t="str">
        <f t="array" ref="L16">iferror(vlookup(L$12&amp;"-"&amp;$E16,{index('Output_HALO - DACH'!$A:$ZZ,0,$C$8),index('Output_HALO - DACH'!$A:$ZZ,0,$C$3)},2,0),"")</f>
        <v/>
      </c>
      <c r="M16" s="353" t="str">
        <f t="array" ref="M16">iferror(vlookup(M$12&amp;"-"&amp;$E16,{index('Output_HALO - DACH'!$A:$ZZ,0,$C$8),index('Output_HALO - DACH'!$A:$ZZ,0,$C$3)},2,0),"")</f>
        <v/>
      </c>
      <c r="N16" s="353" t="str">
        <f t="array" ref="N16">iferror(vlookup(N$12&amp;"-"&amp;$E16,{index('Output_HALO - DACH'!$A:$ZZ,0,$C$8),index('Output_HALO - DACH'!$A:$ZZ,0,$C$3)},2,0),"")</f>
        <v/>
      </c>
      <c r="O16" s="353" t="str">
        <f t="array" ref="O16">iferror(vlookup(O$12&amp;"-"&amp;$E16,{index('Output_HALO - DACH'!$A:$ZZ,0,$C$8),index('Output_HALO - DACH'!$A:$ZZ,0,$C$3)},2,0),"")</f>
        <v/>
      </c>
      <c r="P16" s="353" t="str">
        <f t="array" ref="P16">iferror(vlookup(P$12&amp;"-"&amp;$E16,{index('Output_HALO - DACH'!$A:$ZZ,0,$C$8),index('Output_HALO - DACH'!$A:$ZZ,0,$C$3)},2,0),"")</f>
        <v/>
      </c>
      <c r="Q16" s="353" t="str">
        <f t="array" ref="Q16">iferror(vlookup(Q$12&amp;"-"&amp;$E16,{index('Output_HALO - DACH'!$A:$ZZ,0,$C$8),index('Output_HALO - DACH'!$A:$ZZ,0,$C$3)},2,0),"")</f>
        <v/>
      </c>
      <c r="R16" s="353" t="str">
        <f t="array" ref="R16">iferror(vlookup(R$12&amp;"-"&amp;$E16,{index('Output_HALO - DACH'!$A:$ZZ,0,$C$8),index('Output_HALO - DACH'!$A:$ZZ,0,$C$3)},2,0),"")</f>
        <v/>
      </c>
      <c r="S16" s="353" t="str">
        <f t="array" ref="S16">iferror(vlookup(S$12&amp;"-"&amp;$E16,{index('Output_HALO - DACH'!$A:$ZZ,0,$C$8),index('Output_HALO - DACH'!$A:$ZZ,0,$C$3)},2,0),"")</f>
        <v/>
      </c>
      <c r="T16" s="353" t="str">
        <f t="array" ref="T16">iferror(vlookup(T$12&amp;"-"&amp;$E16,{index('Output_HALO - DACH'!$A:$ZZ,0,$C$8),index('Output_HALO - DACH'!$A:$ZZ,0,$C$3)},2,0),"")</f>
        <v/>
      </c>
      <c r="U16" s="353" t="str">
        <f t="array" ref="U16">iferror(vlookup(U$12&amp;"-"&amp;$E16,{index('Output_HALO - DACH'!$A:$ZZ,0,$C$8),index('Output_HALO - DACH'!$A:$ZZ,0,$C$3)},2,0),"")</f>
        <v/>
      </c>
      <c r="V16" s="353" t="str">
        <f t="array" ref="V16">iferror(vlookup(V$12&amp;"-"&amp;$E16,{index('Output_HALO - DACH'!$A:$ZZ,0,$C$8),index('Output_HALO - DACH'!$A:$ZZ,0,$C$3)},2,0),"")</f>
        <v/>
      </c>
      <c r="W16" s="353" t="str">
        <f t="array" ref="W16">iferror(vlookup(W$12&amp;"-"&amp;$E16,{index('Output_HALO - DACH'!$A:$ZZ,0,$C$8),index('Output_HALO - DACH'!$A:$ZZ,0,$C$3)},2,0),"")</f>
        <v/>
      </c>
      <c r="X16" s="353" t="str">
        <f t="array" ref="X16">iferror(vlookup(X$12&amp;"-"&amp;$E16,{index('Output_HALO - DACH'!$A:$ZZ,0,$C$8),index('Output_HALO - DACH'!$A:$ZZ,0,$C$3)},2,0),"")</f>
        <v/>
      </c>
      <c r="Y16" s="353" t="str">
        <f t="array" ref="Y16">iferror(vlookup(Y$12&amp;"-"&amp;$E16,{index('Output_HALO - DACH'!$A:$ZZ,0,$C$8),index('Output_HALO - DACH'!$A:$ZZ,0,$C$3)},2,0),"")</f>
        <v/>
      </c>
      <c r="Z16" s="353" t="str">
        <f t="array" ref="Z16">iferror(vlookup(Z$12&amp;"-"&amp;$E16,{index('Output_HALO - DACH'!$A:$ZZ,0,$C$8),index('Output_HALO - DACH'!$A:$ZZ,0,$C$3)},2,0),"")</f>
        <v/>
      </c>
      <c r="AA16" s="353" t="str">
        <f t="array" ref="AA16">iferror(vlookup(AA$12&amp;"-"&amp;$E16,{index('Output_HALO - DACH'!$A:$ZZ,0,$C$8),index('Output_HALO - DACH'!$A:$ZZ,0,$C$3)},2,0),"")</f>
        <v/>
      </c>
      <c r="AB16" s="353" t="str">
        <f t="array" ref="AB16">iferror(vlookup(AB$12&amp;"-"&amp;$E16,{index('Output_HALO - DACH'!$A:$ZZ,0,$C$8),index('Output_HALO - DACH'!$A:$ZZ,0,$C$3)},2,0),"")</f>
        <v/>
      </c>
      <c r="AC16" s="353" t="str">
        <f t="array" ref="AC16">iferror(vlookup(AC$12&amp;"-"&amp;$E16,{index('Output_HALO - DACH'!$A:$ZZ,0,$C$8),index('Output_HALO - DACH'!$A:$ZZ,0,$C$3)},2,0),"")</f>
        <v/>
      </c>
      <c r="AD16" s="353" t="str">
        <f t="array" ref="AD16">iferror(vlookup(AD$12&amp;"-"&amp;$E16,{index('Output_HALO - DACH'!$A:$ZZ,0,$C$8),index('Output_HALO - DACH'!$A:$ZZ,0,$C$3)},2,0),"")</f>
        <v/>
      </c>
      <c r="AE16" s="353" t="str">
        <f t="array" ref="AE16">iferror(vlookup(AE$12&amp;"-"&amp;$E16,{index('Output_HALO - DACH'!$A:$ZZ,0,$C$8),index('Output_HALO - DACH'!$A:$ZZ,0,$C$3)},2,0),"")</f>
        <v/>
      </c>
      <c r="AF16" s="353" t="str">
        <f t="array" ref="AF16">iferror(vlookup(AF$12&amp;"-"&amp;$E16,{index('Output_HALO - DACH'!$A:$ZZ,0,$C$8),index('Output_HALO - DACH'!$A:$ZZ,0,$C$3)},2,0),"")</f>
        <v/>
      </c>
      <c r="AG16" s="353" t="str">
        <f t="array" ref="AG16">iferror(vlookup(AG$12&amp;"-"&amp;$E16,{index('Output_HALO - DACH'!$A:$ZZ,0,$C$8),index('Output_HALO - DACH'!$A:$ZZ,0,$C$3)},2,0),"")</f>
        <v/>
      </c>
      <c r="AH16" s="353" t="str">
        <f t="array" ref="AH16">iferror(vlookup(AH$12&amp;"-"&amp;$E16,{index('Output_HALO - DACH'!$A:$ZZ,0,$C$8),index('Output_HALO - DACH'!$A:$ZZ,0,$C$3)},2,0),"")</f>
        <v/>
      </c>
      <c r="AI16" s="353" t="str">
        <f t="array" ref="AI16">iferror(vlookup(AI$12&amp;"-"&amp;$E16,{index('Output_HALO - DACH'!$A:$ZZ,0,$C$8),index('Output_HALO - DACH'!$A:$ZZ,0,$C$3)},2,0),"")</f>
        <v/>
      </c>
      <c r="AJ16" s="353" t="str">
        <f t="array" ref="AJ16">iferror(vlookup(AJ$12&amp;"-"&amp;$E16,{index('Output_HALO - DACH'!$A:$ZZ,0,$C$8),index('Output_HALO - DACH'!$A:$ZZ,0,$C$3)},2,0),"")</f>
        <v/>
      </c>
      <c r="AK16" s="353" t="str">
        <f t="array" ref="AK16">iferror(vlookup(AK$12&amp;"-"&amp;$E16,{index('Output_HALO - DACH'!$A:$ZZ,0,$C$8),index('Output_HALO - DACH'!$A:$ZZ,0,$C$3)},2,0),"")</f>
        <v/>
      </c>
      <c r="AL16" s="353" t="str">
        <f t="array" ref="AL16">iferror(vlookup(AL$12&amp;"-"&amp;$E16,{index('Output_HALO - DACH'!$A:$ZZ,0,$C$8),index('Output_HALO - DACH'!$A:$ZZ,0,$C$3)},2,0),"")</f>
        <v/>
      </c>
      <c r="AM16" s="353" t="str">
        <f t="array" ref="AM16">iferror(vlookup(AM$12&amp;"-"&amp;$E16,{index('Output_HALO - DACH'!$A:$ZZ,0,$C$8),index('Output_HALO - DACH'!$A:$ZZ,0,$C$3)},2,0),"")</f>
        <v/>
      </c>
      <c r="AN16" s="353" t="str">
        <f t="array" ref="AN16">iferror(vlookup(AN$12&amp;"-"&amp;$E16,{index('Output_HALO - DACH'!$A:$ZZ,0,$C$8),index('Output_HALO - DACH'!$A:$ZZ,0,$C$3)},2,0),"")</f>
        <v/>
      </c>
      <c r="AO16" s="353" t="str">
        <f t="array" ref="AO16">iferror(vlookup(AO$12&amp;"-"&amp;$E16,{index('Output_HALO - DACH'!$A:$ZZ,0,$C$8),index('Output_HALO - DACH'!$A:$ZZ,0,$C$3)},2,0),"")</f>
        <v/>
      </c>
      <c r="AP16" s="353" t="str">
        <f t="array" ref="AP16">iferror(vlookup(AP$12&amp;"-"&amp;$E16,{index('Output_HALO - DACH'!$A:$ZZ,0,$C$8),index('Output_HALO - DACH'!$A:$ZZ,0,$C$3)},2,0),"")</f>
        <v/>
      </c>
      <c r="AQ16" s="353" t="str">
        <f t="array" ref="AQ16">iferror(vlookup(AQ$12&amp;"-"&amp;$E16,{index('Output_HALO - DACH'!$A:$ZZ,0,$C$8),index('Output_HALO - DACH'!$A:$ZZ,0,$C$3)},2,0),"")</f>
        <v/>
      </c>
      <c r="AR16" s="353" t="str">
        <f t="array" ref="AR16">iferror(vlookup(AR$12&amp;"-"&amp;$E16,{index('Output_HALO - DACH'!$A:$ZZ,0,$C$8),index('Output_HALO - DACH'!$A:$ZZ,0,$C$3)},2,0),"")</f>
        <v/>
      </c>
      <c r="AS16" s="353" t="str">
        <f t="array" ref="AS16">iferror(vlookup(AS$12&amp;"-"&amp;$E16,{index('Output_HALO - DACH'!$A:$ZZ,0,$C$8),index('Output_HALO - DACH'!$A:$ZZ,0,$C$3)},2,0),"")</f>
        <v/>
      </c>
      <c r="AT16" s="353" t="str">
        <f t="array" ref="AT16">iferror(vlookup(AT$12&amp;"-"&amp;$E16,{index('Output_HALO - DACH'!$A:$ZZ,0,$C$8),index('Output_HALO - DACH'!$A:$ZZ,0,$C$3)},2,0),"")</f>
        <v/>
      </c>
      <c r="AU16" s="353" t="str">
        <f t="array" ref="AU16">iferror(vlookup(AU$12&amp;"-"&amp;$E16,{index('Output_HALO - DACH'!$A:$ZZ,0,$C$8),index('Output_HALO - DACH'!$A:$ZZ,0,$C$3)},2,0),"")</f>
        <v/>
      </c>
      <c r="AV16" s="353" t="str">
        <f t="array" ref="AV16">iferror(vlookup(AV$12&amp;"-"&amp;$E16,{index('Output_HALO - DACH'!$A:$ZZ,0,$C$8),index('Output_HALO - DACH'!$A:$ZZ,0,$C$3)},2,0),"")</f>
        <v/>
      </c>
      <c r="AW16" s="353" t="str">
        <f t="array" ref="AW16">iferror(vlookup(AW$12&amp;"-"&amp;$E16,{index('Output_HALO - DACH'!$A:$ZZ,0,$C$8),index('Output_HALO - DACH'!$A:$ZZ,0,$C$3)},2,0),"")</f>
        <v/>
      </c>
      <c r="AX16" s="353" t="str">
        <f t="array" ref="AX16">iferror(vlookup(AX$12&amp;"-"&amp;$E16,{index('Output_HALO - DACH'!$A:$ZZ,0,$C$8),index('Output_HALO - DACH'!$A:$ZZ,0,$C$3)},2,0),"")</f>
        <v/>
      </c>
      <c r="AY16" s="353" t="str">
        <f t="array" ref="AY16">iferror(vlookup(AY$12&amp;"-"&amp;$E16,{index('Output_HALO - DACH'!$A:$ZZ,0,$C$8),index('Output_HALO - DACH'!$A:$ZZ,0,$C$3)},2,0),"")</f>
        <v/>
      </c>
      <c r="AZ16" s="353" t="str">
        <f t="array" ref="AZ16">iferror(vlookup(AZ$12&amp;"-"&amp;$E16,{index('Output_HALO - DACH'!$A:$ZZ,0,$C$8),index('Output_HALO - DACH'!$A:$ZZ,0,$C$3)},2,0),"")</f>
        <v/>
      </c>
      <c r="BA16" s="353" t="str">
        <f t="array" ref="BA16">iferror(vlookup(BA$12&amp;"-"&amp;$E16,{index('Output_HALO - DACH'!$A:$ZZ,0,$C$8),index('Output_HALO - DACH'!$A:$ZZ,0,$C$3)},2,0),"")</f>
        <v/>
      </c>
      <c r="BB16" s="353" t="str">
        <f t="array" ref="BB16">iferror(vlookup(BB$12&amp;"-"&amp;$E16,{index('Output_HALO - DACH'!$A:$ZZ,0,$C$8),index('Output_HALO - DACH'!$A:$ZZ,0,$C$3)},2,0),"")</f>
        <v/>
      </c>
      <c r="BC16" s="353" t="str">
        <f t="array" ref="BC16">iferror(vlookup(BC$12&amp;"-"&amp;$E16,{index('Output_HALO - DACH'!$A:$ZZ,0,$C$8),index('Output_HALO - DACH'!$A:$ZZ,0,$C$3)},2,0),"")</f>
        <v/>
      </c>
      <c r="BD16" s="353" t="str">
        <f t="array" ref="BD16">iferror(vlookup(BD$12&amp;"-"&amp;$E16,{index('Output_HALO - DACH'!$A:$ZZ,0,$C$8),index('Output_HALO - DACH'!$A:$ZZ,0,$C$3)},2,0),"")</f>
        <v/>
      </c>
      <c r="BE16" s="353" t="str">
        <f t="array" ref="BE16">iferror(vlookup(BE$12&amp;"-"&amp;$E16,{index('Output_HALO - DACH'!$A:$ZZ,0,$C$8),index('Output_HALO - DACH'!$A:$ZZ,0,$C$3)},2,0),"")</f>
        <v/>
      </c>
      <c r="BF16" s="353" t="str">
        <f t="array" ref="BF16">iferror(vlookup(BF$12&amp;"-"&amp;$E16,{index('Output_HALO - DACH'!$A:$ZZ,0,$C$8),index('Output_HALO - DACH'!$A:$ZZ,0,$C$3)},2,0),"")</f>
        <v/>
      </c>
      <c r="BG16" s="353" t="str">
        <f t="array" ref="BG16">iferror(vlookup(BG$12&amp;"-"&amp;$E16,{index('Output_HALO - DACH'!$A:$ZZ,0,$C$8),index('Output_HALO - DACH'!$A:$ZZ,0,$C$3)},2,0),"")</f>
        <v/>
      </c>
      <c r="BH16" s="353" t="str">
        <f t="array" ref="BH16">iferror(vlookup(BH$12&amp;"-"&amp;$E16,{index('Output_HALO - DACH'!$A:$ZZ,0,$C$8),index('Output_HALO - DACH'!$A:$ZZ,0,$C$3)},2,0),"")</f>
        <v/>
      </c>
      <c r="BI16" s="353" t="str">
        <f t="array" ref="BI16">iferror(vlookup(BI$12&amp;"-"&amp;$E16,{index('Output_HALO - DACH'!$A:$ZZ,0,$C$8),index('Output_HALO - DACH'!$A:$ZZ,0,$C$3)},2,0),"")</f>
        <v/>
      </c>
      <c r="BJ16" s="353" t="str">
        <f t="array" ref="BJ16">iferror(vlookup(BJ$12&amp;"-"&amp;$E16,{index('Output_HALO - DACH'!$A:$ZZ,0,$C$8),index('Output_HALO - DACH'!$A:$ZZ,0,$C$3)},2,0),"")</f>
        <v/>
      </c>
      <c r="BK16" s="353" t="str">
        <f t="array" ref="BK16">iferror(vlookup(BK$12&amp;"-"&amp;$E16,{index('Output_HALO - DACH'!$A:$ZZ,0,$C$8),index('Output_HALO - DACH'!$A:$ZZ,0,$C$3)},2,0),"")</f>
        <v/>
      </c>
      <c r="BL16" s="353" t="str">
        <f t="array" ref="BL16">iferror(vlookup(BL$12&amp;"-"&amp;$E16,{index('Output_HALO - DACH'!$A:$ZZ,0,$C$8),index('Output_HALO - DACH'!$A:$ZZ,0,$C$3)},2,0),"")</f>
        <v/>
      </c>
      <c r="BM16" s="353" t="str">
        <f t="array" ref="BM16">iferror(vlookup(BM$12&amp;"-"&amp;$E16,{index('Output_HALO - DACH'!$A:$ZZ,0,$C$8),index('Output_HALO - DACH'!$A:$ZZ,0,$C$3)},2,0),"")</f>
        <v/>
      </c>
      <c r="BN16" s="353" t="str">
        <f t="array" ref="BN16">iferror(vlookup(BN$12&amp;"-"&amp;$E16,{index('Output_HALO - DACH'!$A:$ZZ,0,$C$8),index('Output_HALO - DACH'!$A:$ZZ,0,$C$3)},2,0),"")</f>
        <v/>
      </c>
      <c r="BO16" s="353" t="str">
        <f t="array" ref="BO16">iferror(vlookup(BO$12&amp;"-"&amp;$E16,{index('Output_HALO - DACH'!$A:$ZZ,0,$C$8),index('Output_HALO - DACH'!$A:$ZZ,0,$C$3)},2,0),"")</f>
        <v/>
      </c>
      <c r="BP16" s="353" t="str">
        <f t="array" ref="BP16">iferror(vlookup(BP$12&amp;"-"&amp;$E16,{index('Output_HALO - DACH'!$A:$ZZ,0,$C$8),index('Output_HALO - DACH'!$A:$ZZ,0,$C$3)},2,0),"")</f>
        <v/>
      </c>
      <c r="BQ16" s="353" t="str">
        <f t="array" ref="BQ16">iferror(vlookup(BQ$12&amp;"-"&amp;$E16,{index('Output_HALO - DACH'!$A:$ZZ,0,$C$8),index('Output_HALO - DACH'!$A:$ZZ,0,$C$3)},2,0),"")</f>
        <v/>
      </c>
    </row>
    <row r="17" hidden="1">
      <c r="E17" s="354">
        <v>4.0</v>
      </c>
      <c r="F17" s="353">
        <f t="array" ref="F17">iferror(vlookup(F16,{index('Output_HALO - DACH'!$A:$ZZ,0,$C$3),index('Output_HALO - DACH'!$A:$ZZ,0,$C$4)},2,0),"")</f>
        <v>0</v>
      </c>
      <c r="G17" s="353">
        <f t="array" ref="G17">iferror(vlookup(G16,{index('Output_HALO - DACH'!$A:$ZZ,0,$C$3),index('Output_HALO - DACH'!$A:$ZZ,0,$C$4)},2,0),"")</f>
        <v>0</v>
      </c>
      <c r="H17" s="353">
        <f t="array" ref="H17">iferror(vlookup(H16,{index('Output_HALO - DACH'!$A:$ZZ,0,$C$3),index('Output_HALO - DACH'!$A:$ZZ,0,$C$4)},2,0),"")</f>
        <v>0</v>
      </c>
      <c r="I17" s="353">
        <f t="array" ref="I17">iferror(vlookup(I16,{index('Output_HALO - DACH'!$A:$ZZ,0,$C$3),index('Output_HALO - DACH'!$A:$ZZ,0,$C$4)},2,0),"")</f>
        <v>0</v>
      </c>
      <c r="J17" s="353">
        <f t="array" ref="J17">iferror(vlookup(J16,{index('Output_HALO - DACH'!$A:$ZZ,0,$C$3),index('Output_HALO - DACH'!$A:$ZZ,0,$C$4)},2,0),"")</f>
        <v>0</v>
      </c>
      <c r="K17" s="353">
        <f t="array" ref="K17">iferror(vlookup(K16,{index('Output_HALO - DACH'!$A:$ZZ,0,$C$3),index('Output_HALO - DACH'!$A:$ZZ,0,$C$4)},2,0),"")</f>
        <v>0</v>
      </c>
      <c r="L17" s="353">
        <f t="array" ref="L17">iferror(vlookup(L16,{index('Output_HALO - DACH'!$A:$ZZ,0,$C$3),index('Output_HALO - DACH'!$A:$ZZ,0,$C$4)},2,0),"")</f>
        <v>0</v>
      </c>
      <c r="M17" s="353">
        <f t="array" ref="M17">iferror(vlookup(M16,{index('Output_HALO - DACH'!$A:$ZZ,0,$C$3),index('Output_HALO - DACH'!$A:$ZZ,0,$C$4)},2,0),"")</f>
        <v>0</v>
      </c>
      <c r="N17" s="353">
        <f t="array" ref="N17">iferror(vlookup(N16,{index('Output_HALO - DACH'!$A:$ZZ,0,$C$3),index('Output_HALO - DACH'!$A:$ZZ,0,$C$4)},2,0),"")</f>
        <v>0</v>
      </c>
      <c r="O17" s="353">
        <f t="array" ref="O17">iferror(vlookup(O16,{index('Output_HALO - DACH'!$A:$ZZ,0,$C$3),index('Output_HALO - DACH'!$A:$ZZ,0,$C$4)},2,0),"")</f>
        <v>0</v>
      </c>
      <c r="P17" s="353">
        <f t="array" ref="P17">iferror(vlookup(P16,{index('Output_HALO - DACH'!$A:$ZZ,0,$C$3),index('Output_HALO - DACH'!$A:$ZZ,0,$C$4)},2,0),"")</f>
        <v>0</v>
      </c>
      <c r="Q17" s="353">
        <f t="array" ref="Q17">iferror(vlookup(Q16,{index('Output_HALO - DACH'!$A:$ZZ,0,$C$3),index('Output_HALO - DACH'!$A:$ZZ,0,$C$4)},2,0),"")</f>
        <v>0</v>
      </c>
      <c r="R17" s="353">
        <f t="array" ref="R17">iferror(vlookup(R16,{index('Output_HALO - DACH'!$A:$ZZ,0,$C$3),index('Output_HALO - DACH'!$A:$ZZ,0,$C$4)},2,0),"")</f>
        <v>0</v>
      </c>
      <c r="S17" s="353">
        <f t="array" ref="S17">iferror(vlookup(S16,{index('Output_HALO - DACH'!$A:$ZZ,0,$C$3),index('Output_HALO - DACH'!$A:$ZZ,0,$C$4)},2,0),"")</f>
        <v>0</v>
      </c>
      <c r="T17" s="353">
        <f t="array" ref="T17">iferror(vlookup(T16,{index('Output_HALO - DACH'!$A:$ZZ,0,$C$3),index('Output_HALO - DACH'!$A:$ZZ,0,$C$4)},2,0),"")</f>
        <v>0</v>
      </c>
      <c r="U17" s="353">
        <f t="array" ref="U17">iferror(vlookup(U16,{index('Output_HALO - DACH'!$A:$ZZ,0,$C$3),index('Output_HALO - DACH'!$A:$ZZ,0,$C$4)},2,0),"")</f>
        <v>0</v>
      </c>
      <c r="V17" s="353">
        <f t="array" ref="V17">iferror(vlookup(V16,{index('Output_HALO - DACH'!$A:$ZZ,0,$C$3),index('Output_HALO - DACH'!$A:$ZZ,0,$C$4)},2,0),"")</f>
        <v>0</v>
      </c>
      <c r="W17" s="353">
        <f t="array" ref="W17">iferror(vlookup(W16,{index('Output_HALO - DACH'!$A:$ZZ,0,$C$3),index('Output_HALO - DACH'!$A:$ZZ,0,$C$4)},2,0),"")</f>
        <v>0</v>
      </c>
      <c r="X17" s="353">
        <f t="array" ref="X17">iferror(vlookup(X16,{index('Output_HALO - DACH'!$A:$ZZ,0,$C$3),index('Output_HALO - DACH'!$A:$ZZ,0,$C$4)},2,0),"")</f>
        <v>0</v>
      </c>
      <c r="Y17" s="353">
        <f t="array" ref="Y17">iferror(vlookup(Y16,{index('Output_HALO - DACH'!$A:$ZZ,0,$C$3),index('Output_HALO - DACH'!$A:$ZZ,0,$C$4)},2,0),"")</f>
        <v>0</v>
      </c>
      <c r="Z17" s="353">
        <f t="array" ref="Z17">iferror(vlookup(Z16,{index('Output_HALO - DACH'!$A:$ZZ,0,$C$3),index('Output_HALO - DACH'!$A:$ZZ,0,$C$4)},2,0),"")</f>
        <v>0</v>
      </c>
      <c r="AA17" s="353">
        <f t="array" ref="AA17">iferror(vlookup(AA16,{index('Output_HALO - DACH'!$A:$ZZ,0,$C$3),index('Output_HALO - DACH'!$A:$ZZ,0,$C$4)},2,0),"")</f>
        <v>0</v>
      </c>
      <c r="AB17" s="353">
        <f t="array" ref="AB17">iferror(vlookup(AB16,{index('Output_HALO - DACH'!$A:$ZZ,0,$C$3),index('Output_HALO - DACH'!$A:$ZZ,0,$C$4)},2,0),"")</f>
        <v>0</v>
      </c>
      <c r="AC17" s="353">
        <f t="array" ref="AC17">iferror(vlookup(AC16,{index('Output_HALO - DACH'!$A:$ZZ,0,$C$3),index('Output_HALO - DACH'!$A:$ZZ,0,$C$4)},2,0),"")</f>
        <v>0</v>
      </c>
      <c r="AD17" s="353">
        <f t="array" ref="AD17">iferror(vlookup(AD16,{index('Output_HALO - DACH'!$A:$ZZ,0,$C$3),index('Output_HALO - DACH'!$A:$ZZ,0,$C$4)},2,0),"")</f>
        <v>0</v>
      </c>
      <c r="AE17" s="353">
        <f t="array" ref="AE17">iferror(vlookup(AE16,{index('Output_HALO - DACH'!$A:$ZZ,0,$C$3),index('Output_HALO - DACH'!$A:$ZZ,0,$C$4)},2,0),"")</f>
        <v>0</v>
      </c>
      <c r="AF17" s="353">
        <f t="array" ref="AF17">iferror(vlookup(AF16,{index('Output_HALO - DACH'!$A:$ZZ,0,$C$3),index('Output_HALO - DACH'!$A:$ZZ,0,$C$4)},2,0),"")</f>
        <v>0</v>
      </c>
      <c r="AG17" s="353">
        <f t="array" ref="AG17">iferror(vlookup(AG16,{index('Output_HALO - DACH'!$A:$ZZ,0,$C$3),index('Output_HALO - DACH'!$A:$ZZ,0,$C$4)},2,0),"")</f>
        <v>0</v>
      </c>
      <c r="AH17" s="353">
        <f t="array" ref="AH17">iferror(vlookup(AH16,{index('Output_HALO - DACH'!$A:$ZZ,0,$C$3),index('Output_HALO - DACH'!$A:$ZZ,0,$C$4)},2,0),"")</f>
        <v>0</v>
      </c>
      <c r="AI17" s="353">
        <f t="array" ref="AI17">iferror(vlookup(AI16,{index('Output_HALO - DACH'!$A:$ZZ,0,$C$3),index('Output_HALO - DACH'!$A:$ZZ,0,$C$4)},2,0),"")</f>
        <v>0</v>
      </c>
      <c r="AJ17" s="353">
        <f t="array" ref="AJ17">iferror(vlookup(AJ16,{index('Output_HALO - DACH'!$A:$ZZ,0,$C$3),index('Output_HALO - DACH'!$A:$ZZ,0,$C$4)},2,0),"")</f>
        <v>0</v>
      </c>
      <c r="AK17" s="353">
        <f t="array" ref="AK17">iferror(vlookup(AK16,{index('Output_HALO - DACH'!$A:$ZZ,0,$C$3),index('Output_HALO - DACH'!$A:$ZZ,0,$C$4)},2,0),"")</f>
        <v>0</v>
      </c>
      <c r="AL17" s="353">
        <f t="array" ref="AL17">iferror(vlookup(AL16,{index('Output_HALO - DACH'!$A:$ZZ,0,$C$3),index('Output_HALO - DACH'!$A:$ZZ,0,$C$4)},2,0),"")</f>
        <v>0</v>
      </c>
      <c r="AM17" s="353">
        <f t="array" ref="AM17">iferror(vlookup(AM16,{index('Output_HALO - DACH'!$A:$ZZ,0,$C$3),index('Output_HALO - DACH'!$A:$ZZ,0,$C$4)},2,0),"")</f>
        <v>0</v>
      </c>
      <c r="AN17" s="353">
        <f t="array" ref="AN17">iferror(vlookup(AN16,{index('Output_HALO - DACH'!$A:$ZZ,0,$C$3),index('Output_HALO - DACH'!$A:$ZZ,0,$C$4)},2,0),"")</f>
        <v>0</v>
      </c>
      <c r="AO17" s="353">
        <f t="array" ref="AO17">iferror(vlookup(AO16,{index('Output_HALO - DACH'!$A:$ZZ,0,$C$3),index('Output_HALO - DACH'!$A:$ZZ,0,$C$4)},2,0),"")</f>
        <v>0</v>
      </c>
      <c r="AP17" s="353">
        <f t="array" ref="AP17">iferror(vlookup(AP16,{index('Output_HALO - DACH'!$A:$ZZ,0,$C$3),index('Output_HALO - DACH'!$A:$ZZ,0,$C$4)},2,0),"")</f>
        <v>0</v>
      </c>
      <c r="AQ17" s="353">
        <f t="array" ref="AQ17">iferror(vlookup(AQ16,{index('Output_HALO - DACH'!$A:$ZZ,0,$C$3),index('Output_HALO - DACH'!$A:$ZZ,0,$C$4)},2,0),"")</f>
        <v>0</v>
      </c>
      <c r="AR17" s="353">
        <f t="array" ref="AR17">iferror(vlookup(AR16,{index('Output_HALO - DACH'!$A:$ZZ,0,$C$3),index('Output_HALO - DACH'!$A:$ZZ,0,$C$4)},2,0),"")</f>
        <v>0</v>
      </c>
      <c r="AS17" s="353">
        <f t="array" ref="AS17">iferror(vlookup(AS16,{index('Output_HALO - DACH'!$A:$ZZ,0,$C$3),index('Output_HALO - DACH'!$A:$ZZ,0,$C$4)},2,0),"")</f>
        <v>0</v>
      </c>
      <c r="AT17" s="353">
        <f t="array" ref="AT17">iferror(vlookup(AT16,{index('Output_HALO - DACH'!$A:$ZZ,0,$C$3),index('Output_HALO - DACH'!$A:$ZZ,0,$C$4)},2,0),"")</f>
        <v>0</v>
      </c>
      <c r="AU17" s="353">
        <f t="array" ref="AU17">iferror(vlookup(AU16,{index('Output_HALO - DACH'!$A:$ZZ,0,$C$3),index('Output_HALO - DACH'!$A:$ZZ,0,$C$4)},2,0),"")</f>
        <v>0</v>
      </c>
      <c r="AV17" s="353">
        <f t="array" ref="AV17">iferror(vlookup(AV16,{index('Output_HALO - DACH'!$A:$ZZ,0,$C$3),index('Output_HALO - DACH'!$A:$ZZ,0,$C$4)},2,0),"")</f>
        <v>0</v>
      </c>
      <c r="AW17" s="353">
        <f t="array" ref="AW17">iferror(vlookup(AW16,{index('Output_HALO - DACH'!$A:$ZZ,0,$C$3),index('Output_HALO - DACH'!$A:$ZZ,0,$C$4)},2,0),"")</f>
        <v>0</v>
      </c>
      <c r="AX17" s="353">
        <f t="array" ref="AX17">iferror(vlookup(AX16,{index('Output_HALO - DACH'!$A:$ZZ,0,$C$3),index('Output_HALO - DACH'!$A:$ZZ,0,$C$4)},2,0),"")</f>
        <v>0</v>
      </c>
      <c r="AY17" s="353">
        <f t="array" ref="AY17">iferror(vlookup(AY16,{index('Output_HALO - DACH'!$A:$ZZ,0,$C$3),index('Output_HALO - DACH'!$A:$ZZ,0,$C$4)},2,0),"")</f>
        <v>0</v>
      </c>
      <c r="AZ17" s="353">
        <f t="array" ref="AZ17">iferror(vlookup(AZ16,{index('Output_HALO - DACH'!$A:$ZZ,0,$C$3),index('Output_HALO - DACH'!$A:$ZZ,0,$C$4)},2,0),"")</f>
        <v>0</v>
      </c>
      <c r="BA17" s="353">
        <f t="array" ref="BA17">iferror(vlookup(BA16,{index('Output_HALO - DACH'!$A:$ZZ,0,$C$3),index('Output_HALO - DACH'!$A:$ZZ,0,$C$4)},2,0),"")</f>
        <v>0</v>
      </c>
      <c r="BB17" s="353">
        <f t="array" ref="BB17">iferror(vlookup(BB16,{index('Output_HALO - DACH'!$A:$ZZ,0,$C$3),index('Output_HALO - DACH'!$A:$ZZ,0,$C$4)},2,0),"")</f>
        <v>0</v>
      </c>
      <c r="BC17" s="353">
        <f t="array" ref="BC17">iferror(vlookup(BC16,{index('Output_HALO - DACH'!$A:$ZZ,0,$C$3),index('Output_HALO - DACH'!$A:$ZZ,0,$C$4)},2,0),"")</f>
        <v>0</v>
      </c>
      <c r="BD17" s="353">
        <f t="array" ref="BD17">iferror(vlookup(BD16,{index('Output_HALO - DACH'!$A:$ZZ,0,$C$3),index('Output_HALO - DACH'!$A:$ZZ,0,$C$4)},2,0),"")</f>
        <v>0</v>
      </c>
      <c r="BE17" s="353">
        <f t="array" ref="BE17">iferror(vlookup(BE16,{index('Output_HALO - DACH'!$A:$ZZ,0,$C$3),index('Output_HALO - DACH'!$A:$ZZ,0,$C$4)},2,0),"")</f>
        <v>0</v>
      </c>
      <c r="BF17" s="353">
        <f t="array" ref="BF17">iferror(vlookup(BF16,{index('Output_HALO - DACH'!$A:$ZZ,0,$C$3),index('Output_HALO - DACH'!$A:$ZZ,0,$C$4)},2,0),"")</f>
        <v>0</v>
      </c>
      <c r="BG17" s="353">
        <f t="array" ref="BG17">iferror(vlookup(BG16,{index('Output_HALO - DACH'!$A:$ZZ,0,$C$3),index('Output_HALO - DACH'!$A:$ZZ,0,$C$4)},2,0),"")</f>
        <v>0</v>
      </c>
      <c r="BH17" s="353">
        <f t="array" ref="BH17">iferror(vlookup(BH16,{index('Output_HALO - DACH'!$A:$ZZ,0,$C$3),index('Output_HALO - DACH'!$A:$ZZ,0,$C$4)},2,0),"")</f>
        <v>0</v>
      </c>
      <c r="BI17" s="353">
        <f t="array" ref="BI17">iferror(vlookup(BI16,{index('Output_HALO - DACH'!$A:$ZZ,0,$C$3),index('Output_HALO - DACH'!$A:$ZZ,0,$C$4)},2,0),"")</f>
        <v>0</v>
      </c>
      <c r="BJ17" s="353">
        <f t="array" ref="BJ17">iferror(vlookup(BJ16,{index('Output_HALO - DACH'!$A:$ZZ,0,$C$3),index('Output_HALO - DACH'!$A:$ZZ,0,$C$4)},2,0),"")</f>
        <v>0</v>
      </c>
      <c r="BK17" s="353">
        <f t="array" ref="BK17">iferror(vlookup(BK16,{index('Output_HALO - DACH'!$A:$ZZ,0,$C$3),index('Output_HALO - DACH'!$A:$ZZ,0,$C$4)},2,0),"")</f>
        <v>0</v>
      </c>
      <c r="BL17" s="353">
        <f t="array" ref="BL17">iferror(vlookup(BL16,{index('Output_HALO - DACH'!$A:$ZZ,0,$C$3),index('Output_HALO - DACH'!$A:$ZZ,0,$C$4)},2,0),"")</f>
        <v>0</v>
      </c>
      <c r="BM17" s="353">
        <f t="array" ref="BM17">iferror(vlookup(BM16,{index('Output_HALO - DACH'!$A:$ZZ,0,$C$3),index('Output_HALO - DACH'!$A:$ZZ,0,$C$4)},2,0),"")</f>
        <v>0</v>
      </c>
      <c r="BN17" s="353">
        <f t="array" ref="BN17">iferror(vlookup(BN16,{index('Output_HALO - DACH'!$A:$ZZ,0,$C$3),index('Output_HALO - DACH'!$A:$ZZ,0,$C$4)},2,0),"")</f>
        <v>0</v>
      </c>
      <c r="BO17" s="353">
        <f t="array" ref="BO17">iferror(vlookup(BO16,{index('Output_HALO - DACH'!$A:$ZZ,0,$C$3),index('Output_HALO - DACH'!$A:$ZZ,0,$C$4)},2,0),"")</f>
        <v>0</v>
      </c>
      <c r="BP17" s="353">
        <f t="array" ref="BP17">iferror(vlookup(BP16,{index('Output_HALO - DACH'!$A:$ZZ,0,$C$3),index('Output_HALO - DACH'!$A:$ZZ,0,$C$4)},2,0),"")</f>
        <v>0</v>
      </c>
      <c r="BQ17" s="353">
        <f t="array" ref="BQ17">iferror(vlookup(BQ16,{index('Output_HALO - DACH'!$A:$ZZ,0,$C$3),index('Output_HALO - DACH'!$A:$ZZ,0,$C$4)},2,0),"")</f>
        <v>0</v>
      </c>
    </row>
    <row r="18" hidden="1">
      <c r="E18" s="354">
        <v>4.0</v>
      </c>
      <c r="F18" s="353" t="str">
        <f t="array" ref="F18">iferror(vlookup(F$12&amp;"-"&amp;$E18,{index('Output_HALO - DACH'!$A:$ZZ,0,$C$8),index('Output_HALO - DACH'!$A:$ZZ,0,$C$5)},2,0),"")</f>
        <v/>
      </c>
      <c r="G18" s="353" t="str">
        <f t="array" ref="G18">iferror(vlookup(G$12&amp;"-"&amp;$E18,{index('Output_HALO - DACH'!$A:$ZZ,0,$C$8),index('Output_HALO - DACH'!$A:$ZZ,0,$C$5)},2,0),"")</f>
        <v/>
      </c>
      <c r="H18" s="353" t="str">
        <f t="array" ref="H18">iferror(vlookup(H$12&amp;"-"&amp;$E18,{index('Output_HALO - DACH'!$A:$ZZ,0,$C$8),index('Output_HALO - DACH'!$A:$ZZ,0,$C$5)},2,0),"")</f>
        <v/>
      </c>
      <c r="I18" s="353" t="str">
        <f t="array" ref="I18">iferror(vlookup(I$12&amp;"-"&amp;$E18,{index('Output_HALO - DACH'!$A:$ZZ,0,$C$8),index('Output_HALO - DACH'!$A:$ZZ,0,$C$5)},2,0),"")</f>
        <v/>
      </c>
      <c r="J18" s="353" t="str">
        <f t="array" ref="J18">iferror(vlookup(J$12&amp;"-"&amp;$E18,{index('Output_HALO - DACH'!$A:$ZZ,0,$C$8),index('Output_HALO - DACH'!$A:$ZZ,0,$C$5)},2,0),"")</f>
        <v/>
      </c>
      <c r="K18" s="353" t="str">
        <f t="array" ref="K18">iferror(vlookup(K$12&amp;"-"&amp;$E18,{index('Output_HALO - DACH'!$A:$ZZ,0,$C$8),index('Output_HALO - DACH'!$A:$ZZ,0,$C$5)},2,0),"")</f>
        <v/>
      </c>
      <c r="L18" s="353" t="str">
        <f t="array" ref="L18">iferror(vlookup(L$12&amp;"-"&amp;$E18,{index('Output_HALO - DACH'!$A:$ZZ,0,$C$8),index('Output_HALO - DACH'!$A:$ZZ,0,$C$5)},2,0),"")</f>
        <v/>
      </c>
      <c r="M18" s="353" t="str">
        <f t="array" ref="M18">iferror(vlookup(M$12&amp;"-"&amp;$E18,{index('Output_HALO - DACH'!$A:$ZZ,0,$C$8),index('Output_HALO - DACH'!$A:$ZZ,0,$C$5)},2,0),"")</f>
        <v/>
      </c>
      <c r="N18" s="353" t="str">
        <f t="array" ref="N18">iferror(vlookup(N$12&amp;"-"&amp;$E18,{index('Output_HALO - DACH'!$A:$ZZ,0,$C$8),index('Output_HALO - DACH'!$A:$ZZ,0,$C$5)},2,0),"")</f>
        <v/>
      </c>
      <c r="O18" s="353" t="str">
        <f t="array" ref="O18">iferror(vlookup(O$12&amp;"-"&amp;$E18,{index('Output_HALO - DACH'!$A:$ZZ,0,$C$8),index('Output_HALO - DACH'!$A:$ZZ,0,$C$5)},2,0),"")</f>
        <v/>
      </c>
      <c r="P18" s="353" t="str">
        <f t="array" ref="P18">iferror(vlookup(P$12&amp;"-"&amp;$E18,{index('Output_HALO - DACH'!$A:$ZZ,0,$C$8),index('Output_HALO - DACH'!$A:$ZZ,0,$C$5)},2,0),"")</f>
        <v/>
      </c>
      <c r="Q18" s="353" t="str">
        <f t="array" ref="Q18">iferror(vlookup(Q$12&amp;"-"&amp;$E18,{index('Output_HALO - DACH'!$A:$ZZ,0,$C$8),index('Output_HALO - DACH'!$A:$ZZ,0,$C$5)},2,0),"")</f>
        <v/>
      </c>
      <c r="R18" s="353" t="str">
        <f t="array" ref="R18">iferror(vlookup(R$12&amp;"-"&amp;$E18,{index('Output_HALO - DACH'!$A:$ZZ,0,$C$8),index('Output_HALO - DACH'!$A:$ZZ,0,$C$5)},2,0),"")</f>
        <v/>
      </c>
      <c r="S18" s="353" t="str">
        <f t="array" ref="S18">iferror(vlookup(S$12&amp;"-"&amp;$E18,{index('Output_HALO - DACH'!$A:$ZZ,0,$C$8),index('Output_HALO - DACH'!$A:$ZZ,0,$C$5)},2,0),"")</f>
        <v/>
      </c>
      <c r="T18" s="353" t="str">
        <f t="array" ref="T18">iferror(vlookup(T$12&amp;"-"&amp;$E18,{index('Output_HALO - DACH'!$A:$ZZ,0,$C$8),index('Output_HALO - DACH'!$A:$ZZ,0,$C$5)},2,0),"")</f>
        <v/>
      </c>
      <c r="U18" s="353" t="str">
        <f t="array" ref="U18">iferror(vlookup(U$12&amp;"-"&amp;$E18,{index('Output_HALO - DACH'!$A:$ZZ,0,$C$8),index('Output_HALO - DACH'!$A:$ZZ,0,$C$5)},2,0),"")</f>
        <v/>
      </c>
      <c r="V18" s="353" t="str">
        <f t="array" ref="V18">iferror(vlookup(V$12&amp;"-"&amp;$E18,{index('Output_HALO - DACH'!$A:$ZZ,0,$C$8),index('Output_HALO - DACH'!$A:$ZZ,0,$C$5)},2,0),"")</f>
        <v/>
      </c>
      <c r="W18" s="353" t="str">
        <f t="array" ref="W18">iferror(vlookup(W$12&amp;"-"&amp;$E18,{index('Output_HALO - DACH'!$A:$ZZ,0,$C$8),index('Output_HALO - DACH'!$A:$ZZ,0,$C$5)},2,0),"")</f>
        <v/>
      </c>
      <c r="X18" s="353" t="str">
        <f t="array" ref="X18">iferror(vlookup(X$12&amp;"-"&amp;$E18,{index('Output_HALO - DACH'!$A:$ZZ,0,$C$8),index('Output_HALO - DACH'!$A:$ZZ,0,$C$5)},2,0),"")</f>
        <v/>
      </c>
      <c r="Y18" s="353" t="str">
        <f t="array" ref="Y18">iferror(vlookup(Y$12&amp;"-"&amp;$E18,{index('Output_HALO - DACH'!$A:$ZZ,0,$C$8),index('Output_HALO - DACH'!$A:$ZZ,0,$C$5)},2,0),"")</f>
        <v/>
      </c>
      <c r="Z18" s="353" t="str">
        <f t="array" ref="Z18">iferror(vlookup(Z$12&amp;"-"&amp;$E18,{index('Output_HALO - DACH'!$A:$ZZ,0,$C$8),index('Output_HALO - DACH'!$A:$ZZ,0,$C$5)},2,0),"")</f>
        <v/>
      </c>
      <c r="AA18" s="353" t="str">
        <f t="array" ref="AA18">iferror(vlookup(AA$12&amp;"-"&amp;$E18,{index('Output_HALO - DACH'!$A:$ZZ,0,$C$8),index('Output_HALO - DACH'!$A:$ZZ,0,$C$5)},2,0),"")</f>
        <v/>
      </c>
      <c r="AB18" s="353" t="str">
        <f t="array" ref="AB18">iferror(vlookup(AB$12&amp;"-"&amp;$E18,{index('Output_HALO - DACH'!$A:$ZZ,0,$C$8),index('Output_HALO - DACH'!$A:$ZZ,0,$C$5)},2,0),"")</f>
        <v/>
      </c>
      <c r="AC18" s="353" t="str">
        <f t="array" ref="AC18">iferror(vlookup(AC$12&amp;"-"&amp;$E18,{index('Output_HALO - DACH'!$A:$ZZ,0,$C$8),index('Output_HALO - DACH'!$A:$ZZ,0,$C$5)},2,0),"")</f>
        <v/>
      </c>
      <c r="AD18" s="353" t="str">
        <f t="array" ref="AD18">iferror(vlookup(AD$12&amp;"-"&amp;$E18,{index('Output_HALO - DACH'!$A:$ZZ,0,$C$8),index('Output_HALO - DACH'!$A:$ZZ,0,$C$5)},2,0),"")</f>
        <v/>
      </c>
      <c r="AE18" s="353" t="str">
        <f t="array" ref="AE18">iferror(vlookup(AE$12&amp;"-"&amp;$E18,{index('Output_HALO - DACH'!$A:$ZZ,0,$C$8),index('Output_HALO - DACH'!$A:$ZZ,0,$C$5)},2,0),"")</f>
        <v/>
      </c>
      <c r="AF18" s="353" t="str">
        <f t="array" ref="AF18">iferror(vlookup(AF$12&amp;"-"&amp;$E18,{index('Output_HALO - DACH'!$A:$ZZ,0,$C$8),index('Output_HALO - DACH'!$A:$ZZ,0,$C$5)},2,0),"")</f>
        <v/>
      </c>
      <c r="AG18" s="353" t="str">
        <f t="array" ref="AG18">iferror(vlookup(AG$12&amp;"-"&amp;$E18,{index('Output_HALO - DACH'!$A:$ZZ,0,$C$8),index('Output_HALO - DACH'!$A:$ZZ,0,$C$5)},2,0),"")</f>
        <v/>
      </c>
      <c r="AH18" s="353" t="str">
        <f t="array" ref="AH18">iferror(vlookup(AH$12&amp;"-"&amp;$E18,{index('Output_HALO - DACH'!$A:$ZZ,0,$C$8),index('Output_HALO - DACH'!$A:$ZZ,0,$C$5)},2,0),"")</f>
        <v/>
      </c>
      <c r="AI18" s="353" t="str">
        <f t="array" ref="AI18">iferror(vlookup(AI$12&amp;"-"&amp;$E18,{index('Output_HALO - DACH'!$A:$ZZ,0,$C$8),index('Output_HALO - DACH'!$A:$ZZ,0,$C$5)},2,0),"")</f>
        <v/>
      </c>
      <c r="AJ18" s="353" t="str">
        <f t="array" ref="AJ18">iferror(vlookup(AJ$12&amp;"-"&amp;$E18,{index('Output_HALO - DACH'!$A:$ZZ,0,$C$8),index('Output_HALO - DACH'!$A:$ZZ,0,$C$5)},2,0),"")</f>
        <v/>
      </c>
      <c r="AK18" s="353" t="str">
        <f t="array" ref="AK18">iferror(vlookup(AK$12&amp;"-"&amp;$E18,{index('Output_HALO - DACH'!$A:$ZZ,0,$C$8),index('Output_HALO - DACH'!$A:$ZZ,0,$C$5)},2,0),"")</f>
        <v/>
      </c>
      <c r="AL18" s="353" t="str">
        <f t="array" ref="AL18">iferror(vlookup(AL$12&amp;"-"&amp;$E18,{index('Output_HALO - DACH'!$A:$ZZ,0,$C$8),index('Output_HALO - DACH'!$A:$ZZ,0,$C$5)},2,0),"")</f>
        <v/>
      </c>
      <c r="AM18" s="353" t="str">
        <f t="array" ref="AM18">iferror(vlookup(AM$12&amp;"-"&amp;$E18,{index('Output_HALO - DACH'!$A:$ZZ,0,$C$8),index('Output_HALO - DACH'!$A:$ZZ,0,$C$5)},2,0),"")</f>
        <v/>
      </c>
      <c r="AN18" s="353" t="str">
        <f t="array" ref="AN18">iferror(vlookup(AN$12&amp;"-"&amp;$E18,{index('Output_HALO - DACH'!$A:$ZZ,0,$C$8),index('Output_HALO - DACH'!$A:$ZZ,0,$C$5)},2,0),"")</f>
        <v/>
      </c>
      <c r="AO18" s="353" t="str">
        <f t="array" ref="AO18">iferror(vlookup(AO$12&amp;"-"&amp;$E18,{index('Output_HALO - DACH'!$A:$ZZ,0,$C$8),index('Output_HALO - DACH'!$A:$ZZ,0,$C$5)},2,0),"")</f>
        <v/>
      </c>
      <c r="AP18" s="353" t="str">
        <f t="array" ref="AP18">iferror(vlookup(AP$12&amp;"-"&amp;$E18,{index('Output_HALO - DACH'!$A:$ZZ,0,$C$8),index('Output_HALO - DACH'!$A:$ZZ,0,$C$5)},2,0),"")</f>
        <v/>
      </c>
      <c r="AQ18" s="353" t="str">
        <f t="array" ref="AQ18">iferror(vlookup(AQ$12&amp;"-"&amp;$E18,{index('Output_HALO - DACH'!$A:$ZZ,0,$C$8),index('Output_HALO - DACH'!$A:$ZZ,0,$C$5)},2,0),"")</f>
        <v/>
      </c>
      <c r="AR18" s="353" t="str">
        <f t="array" ref="AR18">iferror(vlookup(AR$12&amp;"-"&amp;$E18,{index('Output_HALO - DACH'!$A:$ZZ,0,$C$8),index('Output_HALO - DACH'!$A:$ZZ,0,$C$5)},2,0),"")</f>
        <v/>
      </c>
      <c r="AS18" s="353" t="str">
        <f t="array" ref="AS18">iferror(vlookup(AS$12&amp;"-"&amp;$E18,{index('Output_HALO - DACH'!$A:$ZZ,0,$C$8),index('Output_HALO - DACH'!$A:$ZZ,0,$C$5)},2,0),"")</f>
        <v/>
      </c>
      <c r="AT18" s="353" t="str">
        <f t="array" ref="AT18">iferror(vlookup(AT$12&amp;"-"&amp;$E18,{index('Output_HALO - DACH'!$A:$ZZ,0,$C$8),index('Output_HALO - DACH'!$A:$ZZ,0,$C$5)},2,0),"")</f>
        <v/>
      </c>
      <c r="AU18" s="353" t="str">
        <f t="array" ref="AU18">iferror(vlookup(AU$12&amp;"-"&amp;$E18,{index('Output_HALO - DACH'!$A:$ZZ,0,$C$8),index('Output_HALO - DACH'!$A:$ZZ,0,$C$5)},2,0),"")</f>
        <v/>
      </c>
      <c r="AV18" s="353" t="str">
        <f t="array" ref="AV18">iferror(vlookup(AV$12&amp;"-"&amp;$E18,{index('Output_HALO - DACH'!$A:$ZZ,0,$C$8),index('Output_HALO - DACH'!$A:$ZZ,0,$C$5)},2,0),"")</f>
        <v/>
      </c>
      <c r="AW18" s="353" t="str">
        <f t="array" ref="AW18">iferror(vlookup(AW$12&amp;"-"&amp;$E18,{index('Output_HALO - DACH'!$A:$ZZ,0,$C$8),index('Output_HALO - DACH'!$A:$ZZ,0,$C$5)},2,0),"")</f>
        <v/>
      </c>
      <c r="AX18" s="353" t="str">
        <f t="array" ref="AX18">iferror(vlookup(AX$12&amp;"-"&amp;$E18,{index('Output_HALO - DACH'!$A:$ZZ,0,$C$8),index('Output_HALO - DACH'!$A:$ZZ,0,$C$5)},2,0),"")</f>
        <v/>
      </c>
      <c r="AY18" s="353" t="str">
        <f t="array" ref="AY18">iferror(vlookup(AY$12&amp;"-"&amp;$E18,{index('Output_HALO - DACH'!$A:$ZZ,0,$C$8),index('Output_HALO - DACH'!$A:$ZZ,0,$C$5)},2,0),"")</f>
        <v/>
      </c>
      <c r="AZ18" s="353" t="str">
        <f t="array" ref="AZ18">iferror(vlookup(AZ$12&amp;"-"&amp;$E18,{index('Output_HALO - DACH'!$A:$ZZ,0,$C$8),index('Output_HALO - DACH'!$A:$ZZ,0,$C$5)},2,0),"")</f>
        <v/>
      </c>
      <c r="BA18" s="353" t="str">
        <f t="array" ref="BA18">iferror(vlookup(BA$12&amp;"-"&amp;$E18,{index('Output_HALO - DACH'!$A:$ZZ,0,$C$8),index('Output_HALO - DACH'!$A:$ZZ,0,$C$5)},2,0),"")</f>
        <v/>
      </c>
      <c r="BB18" s="353" t="str">
        <f t="array" ref="BB18">iferror(vlookup(BB$12&amp;"-"&amp;$E18,{index('Output_HALO - DACH'!$A:$ZZ,0,$C$8),index('Output_HALO - DACH'!$A:$ZZ,0,$C$5)},2,0),"")</f>
        <v/>
      </c>
      <c r="BC18" s="353" t="str">
        <f t="array" ref="BC18">iferror(vlookup(BC$12&amp;"-"&amp;$E18,{index('Output_HALO - DACH'!$A:$ZZ,0,$C$8),index('Output_HALO - DACH'!$A:$ZZ,0,$C$5)},2,0),"")</f>
        <v/>
      </c>
      <c r="BD18" s="353" t="str">
        <f t="array" ref="BD18">iferror(vlookup(BD$12&amp;"-"&amp;$E18,{index('Output_HALO - DACH'!$A:$ZZ,0,$C$8),index('Output_HALO - DACH'!$A:$ZZ,0,$C$5)},2,0),"")</f>
        <v/>
      </c>
      <c r="BE18" s="353" t="str">
        <f t="array" ref="BE18">iferror(vlookup(BE$12&amp;"-"&amp;$E18,{index('Output_HALO - DACH'!$A:$ZZ,0,$C$8),index('Output_HALO - DACH'!$A:$ZZ,0,$C$5)},2,0),"")</f>
        <v/>
      </c>
      <c r="BF18" s="353" t="str">
        <f t="array" ref="BF18">iferror(vlookup(BF$12&amp;"-"&amp;$E18,{index('Output_HALO - DACH'!$A:$ZZ,0,$C$8),index('Output_HALO - DACH'!$A:$ZZ,0,$C$5)},2,0),"")</f>
        <v/>
      </c>
      <c r="BG18" s="353" t="str">
        <f t="array" ref="BG18">iferror(vlookup(BG$12&amp;"-"&amp;$E18,{index('Output_HALO - DACH'!$A:$ZZ,0,$C$8),index('Output_HALO - DACH'!$A:$ZZ,0,$C$5)},2,0),"")</f>
        <v/>
      </c>
      <c r="BH18" s="353" t="str">
        <f t="array" ref="BH18">iferror(vlookup(BH$12&amp;"-"&amp;$E18,{index('Output_HALO - DACH'!$A:$ZZ,0,$C$8),index('Output_HALO - DACH'!$A:$ZZ,0,$C$5)},2,0),"")</f>
        <v/>
      </c>
      <c r="BI18" s="353" t="str">
        <f t="array" ref="BI18">iferror(vlookup(BI$12&amp;"-"&amp;$E18,{index('Output_HALO - DACH'!$A:$ZZ,0,$C$8),index('Output_HALO - DACH'!$A:$ZZ,0,$C$5)},2,0),"")</f>
        <v/>
      </c>
      <c r="BJ18" s="353" t="str">
        <f t="array" ref="BJ18">iferror(vlookup(BJ$12&amp;"-"&amp;$E18,{index('Output_HALO - DACH'!$A:$ZZ,0,$C$8),index('Output_HALO - DACH'!$A:$ZZ,0,$C$5)},2,0),"")</f>
        <v/>
      </c>
      <c r="BK18" s="353" t="str">
        <f t="array" ref="BK18">iferror(vlookup(BK$12&amp;"-"&amp;$E18,{index('Output_HALO - DACH'!$A:$ZZ,0,$C$8),index('Output_HALO - DACH'!$A:$ZZ,0,$C$5)},2,0),"")</f>
        <v/>
      </c>
      <c r="BL18" s="353" t="str">
        <f t="array" ref="BL18">iferror(vlookup(BL$12&amp;"-"&amp;$E18,{index('Output_HALO - DACH'!$A:$ZZ,0,$C$8),index('Output_HALO - DACH'!$A:$ZZ,0,$C$5)},2,0),"")</f>
        <v/>
      </c>
      <c r="BM18" s="353" t="str">
        <f t="array" ref="BM18">iferror(vlookup(BM$12&amp;"-"&amp;$E18,{index('Output_HALO - DACH'!$A:$ZZ,0,$C$8),index('Output_HALO - DACH'!$A:$ZZ,0,$C$5)},2,0),"")</f>
        <v/>
      </c>
      <c r="BN18" s="353" t="str">
        <f t="array" ref="BN18">iferror(vlookup(BN$12&amp;"-"&amp;$E18,{index('Output_HALO - DACH'!$A:$ZZ,0,$C$8),index('Output_HALO - DACH'!$A:$ZZ,0,$C$5)},2,0),"")</f>
        <v/>
      </c>
      <c r="BO18" s="353" t="str">
        <f t="array" ref="BO18">iferror(vlookup(BO$12&amp;"-"&amp;$E18,{index('Output_HALO - DACH'!$A:$ZZ,0,$C$8),index('Output_HALO - DACH'!$A:$ZZ,0,$C$5)},2,0),"")</f>
        <v/>
      </c>
      <c r="BP18" s="353" t="str">
        <f t="array" ref="BP18">iferror(vlookup(BP$12&amp;"-"&amp;$E18,{index('Output_HALO - DACH'!$A:$ZZ,0,$C$8),index('Output_HALO - DACH'!$A:$ZZ,0,$C$5)},2,0),"")</f>
        <v/>
      </c>
      <c r="BQ18" s="353" t="str">
        <f t="array" ref="BQ18">iferror(vlookup(BQ$12&amp;"-"&amp;$E18,{index('Output_HALO - DACH'!$A:$ZZ,0,$C$8),index('Output_HALO - DACH'!$A:$ZZ,0,$C$5)},2,0),"")</f>
        <v/>
      </c>
    </row>
    <row r="19" ht="84.75" customHeight="1">
      <c r="E19" s="354">
        <v>3.0</v>
      </c>
      <c r="F19" s="353" t="str">
        <f t="array" ref="F19">iferror(vlookup(F$12&amp;"-"&amp;$E19,{index('Output_HALO - DACH'!$A:$ZZ,0,$C$8),index('Output_HALO - DACH'!$A:$ZZ,0,$C$3)},2,0),"")</f>
        <v/>
      </c>
      <c r="G19" s="353" t="str">
        <f t="array" ref="G19">iferror(vlookup(G$12&amp;"-"&amp;$E19,{index('Output_HALO - DACH'!$A:$ZZ,0,$C$8),index('Output_HALO - DACH'!$A:$ZZ,0,$C$3)},2,0),"")</f>
        <v/>
      </c>
      <c r="H19" s="353" t="str">
        <f t="array" ref="H19">iferror(vlookup(H$12&amp;"-"&amp;$E19,{index('Output_HALO - DACH'!$A:$ZZ,0,$C$8),index('Output_HALO - DACH'!$A:$ZZ,0,$C$3)},2,0),"")</f>
        <v/>
      </c>
      <c r="I19" s="353" t="str">
        <f t="array" ref="I19">iferror(vlookup(I$12&amp;"-"&amp;$E19,{index('Output_HALO - DACH'!$A:$ZZ,0,$C$8),index('Output_HALO - DACH'!$A:$ZZ,0,$C$3)},2,0),"")</f>
        <v/>
      </c>
      <c r="J19" s="353" t="str">
        <f t="array" ref="J19">iferror(vlookup(J$12&amp;"-"&amp;$E19,{index('Output_HALO - DACH'!$A:$ZZ,0,$C$8),index('Output_HALO - DACH'!$A:$ZZ,0,$C$3)},2,0),"")</f>
        <v/>
      </c>
      <c r="K19" s="353" t="str">
        <f t="array" ref="K19">iferror(vlookup(K$12&amp;"-"&amp;$E19,{index('Output_HALO - DACH'!$A:$ZZ,0,$C$8),index('Output_HALO - DACH'!$A:$ZZ,0,$C$3)},2,0),"")</f>
        <v/>
      </c>
      <c r="L19" s="353" t="str">
        <f t="array" ref="L19">iferror(vlookup(L$12&amp;"-"&amp;$E19,{index('Output_HALO - DACH'!$A:$ZZ,0,$C$8),index('Output_HALO - DACH'!$A:$ZZ,0,$C$3)},2,0),"")</f>
        <v/>
      </c>
      <c r="M19" s="353" t="str">
        <f t="array" ref="M19">iferror(vlookup(M$12&amp;"-"&amp;$E19,{index('Output_HALO - DACH'!$A:$ZZ,0,$C$8),index('Output_HALO - DACH'!$A:$ZZ,0,$C$3)},2,0),"")</f>
        <v/>
      </c>
      <c r="N19" s="353" t="str">
        <f t="array" ref="N19">iferror(vlookup(N$12&amp;"-"&amp;$E19,{index('Output_HALO - DACH'!$A:$ZZ,0,$C$8),index('Output_HALO - DACH'!$A:$ZZ,0,$C$3)},2,0),"")</f>
        <v/>
      </c>
      <c r="O19" s="353" t="str">
        <f t="array" ref="O19">iferror(vlookup(O$12&amp;"-"&amp;$E19,{index('Output_HALO - DACH'!$A:$ZZ,0,$C$8),index('Output_HALO - DACH'!$A:$ZZ,0,$C$3)},2,0),"")</f>
        <v/>
      </c>
      <c r="P19" s="353" t="str">
        <f t="array" ref="P19">iferror(vlookup(P$12&amp;"-"&amp;$E19,{index('Output_HALO - DACH'!$A:$ZZ,0,$C$8),index('Output_HALO - DACH'!$A:$ZZ,0,$C$3)},2,0),"")</f>
        <v/>
      </c>
      <c r="Q19" s="353" t="str">
        <f t="array" ref="Q19">iferror(vlookup(Q$12&amp;"-"&amp;$E19,{index('Output_HALO - DACH'!$A:$ZZ,0,$C$8),index('Output_HALO - DACH'!$A:$ZZ,0,$C$3)},2,0),"")</f>
        <v/>
      </c>
      <c r="R19" s="353" t="str">
        <f t="array" ref="R19">iferror(vlookup(R$12&amp;"-"&amp;$E19,{index('Output_HALO - DACH'!$A:$ZZ,0,$C$8),index('Output_HALO - DACH'!$A:$ZZ,0,$C$3)},2,0),"")</f>
        <v/>
      </c>
      <c r="S19" s="353" t="str">
        <f t="array" ref="S19">iferror(vlookup(S$12&amp;"-"&amp;$E19,{index('Output_HALO - DACH'!$A:$ZZ,0,$C$8),index('Output_HALO - DACH'!$A:$ZZ,0,$C$3)},2,0),"")</f>
        <v/>
      </c>
      <c r="T19" s="353" t="str">
        <f t="array" ref="T19">iferror(vlookup(T$12&amp;"-"&amp;$E19,{index('Output_HALO - DACH'!$A:$ZZ,0,$C$8),index('Output_HALO - DACH'!$A:$ZZ,0,$C$3)},2,0),"")</f>
        <v/>
      </c>
      <c r="U19" s="353" t="str">
        <f t="array" ref="U19">iferror(vlookup(U$12&amp;"-"&amp;$E19,{index('Output_HALO - DACH'!$A:$ZZ,0,$C$8),index('Output_HALO - DACH'!$A:$ZZ,0,$C$3)},2,0),"")</f>
        <v/>
      </c>
      <c r="V19" s="353" t="str">
        <f t="array" ref="V19">iferror(vlookup(V$12&amp;"-"&amp;$E19,{index('Output_HALO - DACH'!$A:$ZZ,0,$C$8),index('Output_HALO - DACH'!$A:$ZZ,0,$C$3)},2,0),"")</f>
        <v/>
      </c>
      <c r="W19" s="353" t="str">
        <f t="array" ref="W19">iferror(vlookup(W$12&amp;"-"&amp;$E19,{index('Output_HALO - DACH'!$A:$ZZ,0,$C$8),index('Output_HALO - DACH'!$A:$ZZ,0,$C$3)},2,0),"")</f>
        <v/>
      </c>
      <c r="X19" s="353" t="str">
        <f t="array" ref="X19">iferror(vlookup(X$12&amp;"-"&amp;$E19,{index('Output_HALO - DACH'!$A:$ZZ,0,$C$8),index('Output_HALO - DACH'!$A:$ZZ,0,$C$3)},2,0),"")</f>
        <v/>
      </c>
      <c r="Y19" s="353" t="str">
        <f t="array" ref="Y19">iferror(vlookup(Y$12&amp;"-"&amp;$E19,{index('Output_HALO - DACH'!$A:$ZZ,0,$C$8),index('Output_HALO - DACH'!$A:$ZZ,0,$C$3)},2,0),"")</f>
        <v/>
      </c>
      <c r="Z19" s="353" t="str">
        <f t="array" ref="Z19">iferror(vlookup(Z$12&amp;"-"&amp;$E19,{index('Output_HALO - DACH'!$A:$ZZ,0,$C$8),index('Output_HALO - DACH'!$A:$ZZ,0,$C$3)},2,0),"")</f>
        <v/>
      </c>
      <c r="AA19" s="353" t="str">
        <f t="array" ref="AA19">iferror(vlookup(AA$12&amp;"-"&amp;$E19,{index('Output_HALO - DACH'!$A:$ZZ,0,$C$8),index('Output_HALO - DACH'!$A:$ZZ,0,$C$3)},2,0),"")</f>
        <v/>
      </c>
      <c r="AB19" s="353" t="str">
        <f t="array" ref="AB19">iferror(vlookup(AB$12&amp;"-"&amp;$E19,{index('Output_HALO - DACH'!$A:$ZZ,0,$C$8),index('Output_HALO - DACH'!$A:$ZZ,0,$C$3)},2,0),"")</f>
        <v/>
      </c>
      <c r="AC19" s="353" t="str">
        <f t="array" ref="AC19">iferror(vlookup(AC$12&amp;"-"&amp;$E19,{index('Output_HALO - DACH'!$A:$ZZ,0,$C$8),index('Output_HALO - DACH'!$A:$ZZ,0,$C$3)},2,0),"")</f>
        <v/>
      </c>
      <c r="AD19" s="353" t="str">
        <f t="array" ref="AD19">iferror(vlookup(AD$12&amp;"-"&amp;$E19,{index('Output_HALO - DACH'!$A:$ZZ,0,$C$8),index('Output_HALO - DACH'!$A:$ZZ,0,$C$3)},2,0),"")</f>
        <v/>
      </c>
      <c r="AE19" s="353" t="str">
        <f t="array" ref="AE19">iferror(vlookup(AE$12&amp;"-"&amp;$E19,{index('Output_HALO - DACH'!$A:$ZZ,0,$C$8),index('Output_HALO - DACH'!$A:$ZZ,0,$C$3)},2,0),"")</f>
        <v/>
      </c>
      <c r="AF19" s="353" t="str">
        <f t="array" ref="AF19">iferror(vlookup(AF$12&amp;"-"&amp;$E19,{index('Output_HALO - DACH'!$A:$ZZ,0,$C$8),index('Output_HALO - DACH'!$A:$ZZ,0,$C$3)},2,0),"")</f>
        <v/>
      </c>
      <c r="AG19" s="353" t="str">
        <f t="array" ref="AG19">iferror(vlookup(AG$12&amp;"-"&amp;$E19,{index('Output_HALO - DACH'!$A:$ZZ,0,$C$8),index('Output_HALO - DACH'!$A:$ZZ,0,$C$3)},2,0),"")</f>
        <v/>
      </c>
      <c r="AH19" s="353" t="str">
        <f t="array" ref="AH19">iferror(vlookup(AH$12&amp;"-"&amp;$E19,{index('Output_HALO - DACH'!$A:$ZZ,0,$C$8),index('Output_HALO - DACH'!$A:$ZZ,0,$C$3)},2,0),"")</f>
        <v/>
      </c>
      <c r="AI19" s="353" t="str">
        <f t="array" ref="AI19">iferror(vlookup(AI$12&amp;"-"&amp;$E19,{index('Output_HALO - DACH'!$A:$ZZ,0,$C$8),index('Output_HALO - DACH'!$A:$ZZ,0,$C$3)},2,0),"")</f>
        <v/>
      </c>
      <c r="AJ19" s="353" t="str">
        <f t="array" ref="AJ19">iferror(vlookup(AJ$12&amp;"-"&amp;$E19,{index('Output_HALO - DACH'!$A:$ZZ,0,$C$8),index('Output_HALO - DACH'!$A:$ZZ,0,$C$3)},2,0),"")</f>
        <v/>
      </c>
      <c r="AK19" s="353" t="str">
        <f t="array" ref="AK19">iferror(vlookup(AK$12&amp;"-"&amp;$E19,{index('Output_HALO - DACH'!$A:$ZZ,0,$C$8),index('Output_HALO - DACH'!$A:$ZZ,0,$C$3)},2,0),"")</f>
        <v/>
      </c>
      <c r="AL19" s="353" t="str">
        <f t="array" ref="AL19">iferror(vlookup(AL$12&amp;"-"&amp;$E19,{index('Output_HALO - DACH'!$A:$ZZ,0,$C$8),index('Output_HALO - DACH'!$A:$ZZ,0,$C$3)},2,0),"")</f>
        <v/>
      </c>
      <c r="AM19" s="353" t="str">
        <f t="array" ref="AM19">iferror(vlookup(AM$12&amp;"-"&amp;$E19,{index('Output_HALO - DACH'!$A:$ZZ,0,$C$8),index('Output_HALO - DACH'!$A:$ZZ,0,$C$3)},2,0),"")</f>
        <v/>
      </c>
      <c r="AN19" s="353" t="str">
        <f t="array" ref="AN19">iferror(vlookup(AN$12&amp;"-"&amp;$E19,{index('Output_HALO - DACH'!$A:$ZZ,0,$C$8),index('Output_HALO - DACH'!$A:$ZZ,0,$C$3)},2,0),"")</f>
        <v/>
      </c>
      <c r="AO19" s="353" t="str">
        <f t="array" ref="AO19">iferror(vlookup(AO$12&amp;"-"&amp;$E19,{index('Output_HALO - DACH'!$A:$ZZ,0,$C$8),index('Output_HALO - DACH'!$A:$ZZ,0,$C$3)},2,0),"")</f>
        <v/>
      </c>
      <c r="AP19" s="353" t="str">
        <f t="array" ref="AP19">iferror(vlookup(AP$12&amp;"-"&amp;$E19,{index('Output_HALO - DACH'!$A:$ZZ,0,$C$8),index('Output_HALO - DACH'!$A:$ZZ,0,$C$3)},2,0),"")</f>
        <v>565189 - Lachs Piccata</v>
      </c>
      <c r="AQ19" s="353" t="str">
        <f t="array" ref="AQ19">iferror(vlookup(AQ$12&amp;"-"&amp;$E19,{index('Output_HALO - DACH'!$A:$ZZ,0,$C$8),index('Output_HALO - DACH'!$A:$ZZ,0,$C$3)},2,0),"")</f>
        <v/>
      </c>
      <c r="AR19" s="353" t="str">
        <f t="array" ref="AR19">iferror(vlookup(AR$12&amp;"-"&amp;$E19,{index('Output_HALO - DACH'!$A:$ZZ,0,$C$8),index('Output_HALO - DACH'!$A:$ZZ,0,$C$3)},2,0),"")</f>
        <v/>
      </c>
      <c r="AS19" s="353" t="str">
        <f t="array" ref="AS19">iferror(vlookup(AS$12&amp;"-"&amp;$E19,{index('Output_HALO - DACH'!$A:$ZZ,0,$C$8),index('Output_HALO - DACH'!$A:$ZZ,0,$C$3)},2,0),"")</f>
        <v/>
      </c>
      <c r="AT19" s="353" t="str">
        <f t="array" ref="AT19">iferror(vlookup(AT$12&amp;"-"&amp;$E19,{index('Output_HALO - DACH'!$A:$ZZ,0,$C$8),index('Output_HALO - DACH'!$A:$ZZ,0,$C$3)},2,0),"")</f>
        <v/>
      </c>
      <c r="AU19" s="353" t="str">
        <f t="array" ref="AU19">iferror(vlookup(AU$12&amp;"-"&amp;$E19,{index('Output_HALO - DACH'!$A:$ZZ,0,$C$8),index('Output_HALO - DACH'!$A:$ZZ,0,$C$3)},2,0),"")</f>
        <v/>
      </c>
      <c r="AV19" s="353" t="str">
        <f t="array" ref="AV19">iferror(vlookup(AV$12&amp;"-"&amp;$E19,{index('Output_HALO - DACH'!$A:$ZZ,0,$C$8),index('Output_HALO - DACH'!$A:$ZZ,0,$C$3)},2,0),"")</f>
        <v/>
      </c>
      <c r="AW19" s="353" t="str">
        <f t="array" ref="AW19">iferror(vlookup(AW$12&amp;"-"&amp;$E19,{index('Output_HALO - DACH'!$A:$ZZ,0,$C$8),index('Output_HALO - DACH'!$A:$ZZ,0,$C$3)},2,0),"")</f>
        <v/>
      </c>
      <c r="AX19" s="353" t="str">
        <f t="array" ref="AX19">iferror(vlookup(AX$12&amp;"-"&amp;$E19,{index('Output_HALO - DACH'!$A:$ZZ,0,$C$8),index('Output_HALO - DACH'!$A:$ZZ,0,$C$3)},2,0),"")</f>
        <v/>
      </c>
      <c r="AY19" s="353" t="str">
        <f t="array" ref="AY19">iferror(vlookup(AY$12&amp;"-"&amp;$E19,{index('Output_HALO - DACH'!$A:$ZZ,0,$C$8),index('Output_HALO - DACH'!$A:$ZZ,0,$C$3)},2,0),"")</f>
        <v/>
      </c>
      <c r="AZ19" s="353" t="str">
        <f t="array" ref="AZ19">iferror(vlookup(AZ$12&amp;"-"&amp;$E19,{index('Output_HALO - DACH'!$A:$ZZ,0,$C$8),index('Output_HALO - DACH'!$A:$ZZ,0,$C$3)},2,0),"")</f>
        <v/>
      </c>
      <c r="BA19" s="353" t="str">
        <f t="array" ref="BA19">iferror(vlookup(BA$12&amp;"-"&amp;$E19,{index('Output_HALO - DACH'!$A:$ZZ,0,$C$8),index('Output_HALO - DACH'!$A:$ZZ,0,$C$3)},2,0),"")</f>
        <v/>
      </c>
      <c r="BB19" s="353" t="str">
        <f t="array" ref="BB19">iferror(vlookup(BB$12&amp;"-"&amp;$E19,{index('Output_HALO - DACH'!$A:$ZZ,0,$C$8),index('Output_HALO - DACH'!$A:$ZZ,0,$C$3)},2,0),"")</f>
        <v/>
      </c>
      <c r="BC19" s="353" t="str">
        <f t="array" ref="BC19">iferror(vlookup(BC$12&amp;"-"&amp;$E19,{index('Output_HALO - DACH'!$A:$ZZ,0,$C$8),index('Output_HALO - DACH'!$A:$ZZ,0,$C$3)},2,0),"")</f>
        <v/>
      </c>
      <c r="BD19" s="353" t="str">
        <f t="array" ref="BD19">iferror(vlookup(BD$12&amp;"-"&amp;$E19,{index('Output_HALO - DACH'!$A:$ZZ,0,$C$8),index('Output_HALO - DACH'!$A:$ZZ,0,$C$3)},2,0),"")</f>
        <v/>
      </c>
      <c r="BE19" s="353" t="str">
        <f t="array" ref="BE19">iferror(vlookup(BE$12&amp;"-"&amp;$E19,{index('Output_HALO - DACH'!$A:$ZZ,0,$C$8),index('Output_HALO - DACH'!$A:$ZZ,0,$C$3)},2,0),"")</f>
        <v/>
      </c>
      <c r="BF19" s="353" t="str">
        <f t="array" ref="BF19">iferror(vlookup(BF$12&amp;"-"&amp;$E19,{index('Output_HALO - DACH'!$A:$ZZ,0,$C$8),index('Output_HALO - DACH'!$A:$ZZ,0,$C$3)},2,0),"")</f>
        <v/>
      </c>
      <c r="BG19" s="353" t="str">
        <f t="array" ref="BG19">iferror(vlookup(BG$12&amp;"-"&amp;$E19,{index('Output_HALO - DACH'!$A:$ZZ,0,$C$8),index('Output_HALO - DACH'!$A:$ZZ,0,$C$3)},2,0),"")</f>
        <v/>
      </c>
      <c r="BH19" s="353" t="str">
        <f t="array" ref="BH19">iferror(vlookup(BH$12&amp;"-"&amp;$E19,{index('Output_HALO - DACH'!$A:$ZZ,0,$C$8),index('Output_HALO - DACH'!$A:$ZZ,0,$C$3)},2,0),"")</f>
        <v/>
      </c>
      <c r="BI19" s="353" t="str">
        <f t="array" ref="BI19">iferror(vlookup(BI$12&amp;"-"&amp;$E19,{index('Output_HALO - DACH'!$A:$ZZ,0,$C$8),index('Output_HALO - DACH'!$A:$ZZ,0,$C$3)},2,0),"")</f>
        <v/>
      </c>
      <c r="BJ19" s="353" t="str">
        <f t="array" ref="BJ19">iferror(vlookup(BJ$12&amp;"-"&amp;$E19,{index('Output_HALO - DACH'!$A:$ZZ,0,$C$8),index('Output_HALO - DACH'!$A:$ZZ,0,$C$3)},2,0),"")</f>
        <v/>
      </c>
      <c r="BK19" s="353" t="str">
        <f t="array" ref="BK19">iferror(vlookup(BK$12&amp;"-"&amp;$E19,{index('Output_HALO - DACH'!$A:$ZZ,0,$C$8),index('Output_HALO - DACH'!$A:$ZZ,0,$C$3)},2,0),"")</f>
        <v/>
      </c>
      <c r="BL19" s="353" t="str">
        <f t="array" ref="BL19">iferror(vlookup(BL$12&amp;"-"&amp;$E19,{index('Output_HALO - DACH'!$A:$ZZ,0,$C$8),index('Output_HALO - DACH'!$A:$ZZ,0,$C$3)},2,0),"")</f>
        <v/>
      </c>
      <c r="BM19" s="353" t="str">
        <f t="array" ref="BM19">iferror(vlookup(BM$12&amp;"-"&amp;$E19,{index('Output_HALO - DACH'!$A:$ZZ,0,$C$8),index('Output_HALO - DACH'!$A:$ZZ,0,$C$3)},2,0),"")</f>
        <v/>
      </c>
      <c r="BN19" s="353" t="str">
        <f t="array" ref="BN19">iferror(vlookup(BN$12&amp;"-"&amp;$E19,{index('Output_HALO - DACH'!$A:$ZZ,0,$C$8),index('Output_HALO - DACH'!$A:$ZZ,0,$C$3)},2,0),"")</f>
        <v/>
      </c>
      <c r="BO19" s="353" t="str">
        <f t="array" ref="BO19">iferror(vlookup(BO$12&amp;"-"&amp;$E19,{index('Output_HALO - DACH'!$A:$ZZ,0,$C$8),index('Output_HALO - DACH'!$A:$ZZ,0,$C$3)},2,0),"")</f>
        <v/>
      </c>
      <c r="BP19" s="353" t="str">
        <f t="array" ref="BP19">iferror(vlookup(BP$12&amp;"-"&amp;$E19,{index('Output_HALO - DACH'!$A:$ZZ,0,$C$8),index('Output_HALO - DACH'!$A:$ZZ,0,$C$3)},2,0),"")</f>
        <v/>
      </c>
      <c r="BQ19" s="353" t="str">
        <f t="array" ref="BQ19">iferror(vlookup(BQ$12&amp;"-"&amp;$E19,{index('Output_HALO - DACH'!$A:$ZZ,0,$C$8),index('Output_HALO - DACH'!$A:$ZZ,0,$C$3)},2,0),"")</f>
        <v/>
      </c>
    </row>
    <row r="20">
      <c r="E20" s="354">
        <v>3.0</v>
      </c>
      <c r="F20" s="353">
        <f t="array" ref="F20">iferror(vlookup(F19,{index('Output_HALO - DACH'!$A:$ZZ,0,$C$3),index('Output_HALO - DACH'!$A:$ZZ,0,$C$4)},2,0),"")</f>
        <v>0</v>
      </c>
      <c r="G20" s="353">
        <f t="array" ref="G20">iferror(vlookup(G19,{index('Output_HALO - DACH'!$A:$ZZ,0,$C$3),index('Output_HALO - DACH'!$A:$ZZ,0,$C$4)},2,0),"")</f>
        <v>0</v>
      </c>
      <c r="H20" s="353">
        <f t="array" ref="H20">iferror(vlookup(H19,{index('Output_HALO - DACH'!$A:$ZZ,0,$C$3),index('Output_HALO - DACH'!$A:$ZZ,0,$C$4)},2,0),"")</f>
        <v>0</v>
      </c>
      <c r="I20" s="353">
        <f t="array" ref="I20">iferror(vlookup(I19,{index('Output_HALO - DACH'!$A:$ZZ,0,$C$3),index('Output_HALO - DACH'!$A:$ZZ,0,$C$4)},2,0),"")</f>
        <v>0</v>
      </c>
      <c r="J20" s="353">
        <f t="array" ref="J20">iferror(vlookup(J19,{index('Output_HALO - DACH'!$A:$ZZ,0,$C$3),index('Output_HALO - DACH'!$A:$ZZ,0,$C$4)},2,0),"")</f>
        <v>0</v>
      </c>
      <c r="K20" s="353">
        <f t="array" ref="K20">iferror(vlookup(K19,{index('Output_HALO - DACH'!$A:$ZZ,0,$C$3),index('Output_HALO - DACH'!$A:$ZZ,0,$C$4)},2,0),"")</f>
        <v>0</v>
      </c>
      <c r="L20" s="353">
        <f t="array" ref="L20">iferror(vlookup(L19,{index('Output_HALO - DACH'!$A:$ZZ,0,$C$3),index('Output_HALO - DACH'!$A:$ZZ,0,$C$4)},2,0),"")</f>
        <v>0</v>
      </c>
      <c r="M20" s="353">
        <f t="array" ref="M20">iferror(vlookup(M19,{index('Output_HALO - DACH'!$A:$ZZ,0,$C$3),index('Output_HALO - DACH'!$A:$ZZ,0,$C$4)},2,0),"")</f>
        <v>0</v>
      </c>
      <c r="N20" s="353">
        <f t="array" ref="N20">iferror(vlookup(N19,{index('Output_HALO - DACH'!$A:$ZZ,0,$C$3),index('Output_HALO - DACH'!$A:$ZZ,0,$C$4)},2,0),"")</f>
        <v>0</v>
      </c>
      <c r="O20" s="353">
        <f t="array" ref="O20">iferror(vlookup(O19,{index('Output_HALO - DACH'!$A:$ZZ,0,$C$3),index('Output_HALO - DACH'!$A:$ZZ,0,$C$4)},2,0),"")</f>
        <v>0</v>
      </c>
      <c r="P20" s="353">
        <f t="array" ref="P20">iferror(vlookup(P19,{index('Output_HALO - DACH'!$A:$ZZ,0,$C$3),index('Output_HALO - DACH'!$A:$ZZ,0,$C$4)},2,0),"")</f>
        <v>0</v>
      </c>
      <c r="Q20" s="353">
        <f t="array" ref="Q20">iferror(vlookup(Q19,{index('Output_HALO - DACH'!$A:$ZZ,0,$C$3),index('Output_HALO - DACH'!$A:$ZZ,0,$C$4)},2,0),"")</f>
        <v>0</v>
      </c>
      <c r="R20" s="353">
        <f t="array" ref="R20">iferror(vlookup(R19,{index('Output_HALO - DACH'!$A:$ZZ,0,$C$3),index('Output_HALO - DACH'!$A:$ZZ,0,$C$4)},2,0),"")</f>
        <v>0</v>
      </c>
      <c r="S20" s="353">
        <f t="array" ref="S20">iferror(vlookup(S19,{index('Output_HALO - DACH'!$A:$ZZ,0,$C$3),index('Output_HALO - DACH'!$A:$ZZ,0,$C$4)},2,0),"")</f>
        <v>0</v>
      </c>
      <c r="T20" s="353">
        <f t="array" ref="T20">iferror(vlookup(T19,{index('Output_HALO - DACH'!$A:$ZZ,0,$C$3),index('Output_HALO - DACH'!$A:$ZZ,0,$C$4)},2,0),"")</f>
        <v>0</v>
      </c>
      <c r="U20" s="353">
        <f t="array" ref="U20">iferror(vlookup(U19,{index('Output_HALO - DACH'!$A:$ZZ,0,$C$3),index('Output_HALO - DACH'!$A:$ZZ,0,$C$4)},2,0),"")</f>
        <v>0</v>
      </c>
      <c r="V20" s="353">
        <f t="array" ref="V20">iferror(vlookup(V19,{index('Output_HALO - DACH'!$A:$ZZ,0,$C$3),index('Output_HALO - DACH'!$A:$ZZ,0,$C$4)},2,0),"")</f>
        <v>0</v>
      </c>
      <c r="W20" s="353">
        <f t="array" ref="W20">iferror(vlookup(W19,{index('Output_HALO - DACH'!$A:$ZZ,0,$C$3),index('Output_HALO - DACH'!$A:$ZZ,0,$C$4)},2,0),"")</f>
        <v>0</v>
      </c>
      <c r="X20" s="353">
        <f t="array" ref="X20">iferror(vlookup(X19,{index('Output_HALO - DACH'!$A:$ZZ,0,$C$3),index('Output_HALO - DACH'!$A:$ZZ,0,$C$4)},2,0),"")</f>
        <v>0</v>
      </c>
      <c r="Y20" s="353">
        <f t="array" ref="Y20">iferror(vlookup(Y19,{index('Output_HALO - DACH'!$A:$ZZ,0,$C$3),index('Output_HALO - DACH'!$A:$ZZ,0,$C$4)},2,0),"")</f>
        <v>0</v>
      </c>
      <c r="Z20" s="353">
        <f t="array" ref="Z20">iferror(vlookup(Z19,{index('Output_HALO - DACH'!$A:$ZZ,0,$C$3),index('Output_HALO - DACH'!$A:$ZZ,0,$C$4)},2,0),"")</f>
        <v>0</v>
      </c>
      <c r="AA20" s="353">
        <f t="array" ref="AA20">iferror(vlookup(AA19,{index('Output_HALO - DACH'!$A:$ZZ,0,$C$3),index('Output_HALO - DACH'!$A:$ZZ,0,$C$4)},2,0),"")</f>
        <v>0</v>
      </c>
      <c r="AB20" s="353">
        <f t="array" ref="AB20">iferror(vlookup(AB19,{index('Output_HALO - DACH'!$A:$ZZ,0,$C$3),index('Output_HALO - DACH'!$A:$ZZ,0,$C$4)},2,0),"")</f>
        <v>0</v>
      </c>
      <c r="AC20" s="353">
        <f t="array" ref="AC20">iferror(vlookup(AC19,{index('Output_HALO - DACH'!$A:$ZZ,0,$C$3),index('Output_HALO - DACH'!$A:$ZZ,0,$C$4)},2,0),"")</f>
        <v>0</v>
      </c>
      <c r="AD20" s="353">
        <f t="array" ref="AD20">iferror(vlookup(AD19,{index('Output_HALO - DACH'!$A:$ZZ,0,$C$3),index('Output_HALO - DACH'!$A:$ZZ,0,$C$4)},2,0),"")</f>
        <v>0</v>
      </c>
      <c r="AE20" s="353">
        <f t="array" ref="AE20">iferror(vlookup(AE19,{index('Output_HALO - DACH'!$A:$ZZ,0,$C$3),index('Output_HALO - DACH'!$A:$ZZ,0,$C$4)},2,0),"")</f>
        <v>0</v>
      </c>
      <c r="AF20" s="353">
        <f t="array" ref="AF20">iferror(vlookup(AF19,{index('Output_HALO - DACH'!$A:$ZZ,0,$C$3),index('Output_HALO - DACH'!$A:$ZZ,0,$C$4)},2,0),"")</f>
        <v>0</v>
      </c>
      <c r="AG20" s="353">
        <f t="array" ref="AG20">iferror(vlookup(AG19,{index('Output_HALO - DACH'!$A:$ZZ,0,$C$3),index('Output_HALO - DACH'!$A:$ZZ,0,$C$4)},2,0),"")</f>
        <v>0</v>
      </c>
      <c r="AH20" s="353">
        <f t="array" ref="AH20">iferror(vlookup(AH19,{index('Output_HALO - DACH'!$A:$ZZ,0,$C$3),index('Output_HALO - DACH'!$A:$ZZ,0,$C$4)},2,0),"")</f>
        <v>0</v>
      </c>
      <c r="AI20" s="353">
        <f t="array" ref="AI20">iferror(vlookup(AI19,{index('Output_HALO - DACH'!$A:$ZZ,0,$C$3),index('Output_HALO - DACH'!$A:$ZZ,0,$C$4)},2,0),"")</f>
        <v>0</v>
      </c>
      <c r="AJ20" s="353">
        <f t="array" ref="AJ20">iferror(vlookup(AJ19,{index('Output_HALO - DACH'!$A:$ZZ,0,$C$3),index('Output_HALO - DACH'!$A:$ZZ,0,$C$4)},2,0),"")</f>
        <v>0</v>
      </c>
      <c r="AK20" s="353">
        <f t="array" ref="AK20">iferror(vlookup(AK19,{index('Output_HALO - DACH'!$A:$ZZ,0,$C$3),index('Output_HALO - DACH'!$A:$ZZ,0,$C$4)},2,0),"")</f>
        <v>0</v>
      </c>
      <c r="AL20" s="353">
        <f t="array" ref="AL20">iferror(vlookup(AL19,{index('Output_HALO - DACH'!$A:$ZZ,0,$C$3),index('Output_HALO - DACH'!$A:$ZZ,0,$C$4)},2,0),"")</f>
        <v>0</v>
      </c>
      <c r="AM20" s="353">
        <f t="array" ref="AM20">iferror(vlookup(AM19,{index('Output_HALO - DACH'!$A:$ZZ,0,$C$3),index('Output_HALO - DACH'!$A:$ZZ,0,$C$4)},2,0),"")</f>
        <v>0</v>
      </c>
      <c r="AN20" s="353">
        <f t="array" ref="AN20">iferror(vlookup(AN19,{index('Output_HALO - DACH'!$A:$ZZ,0,$C$3),index('Output_HALO - DACH'!$A:$ZZ,0,$C$4)},2,0),"")</f>
        <v>0</v>
      </c>
      <c r="AO20" s="353">
        <f t="array" ref="AO20">iferror(vlookup(AO19,{index('Output_HALO - DACH'!$A:$ZZ,0,$C$3),index('Output_HALO - DACH'!$A:$ZZ,0,$C$4)},2,0),"")</f>
        <v>0</v>
      </c>
      <c r="AP20" s="353">
        <f t="array" ref="AP20">iferror(vlookup(AP19,{index('Output_HALO - DACH'!$A:$ZZ,0,$C$3),index('Output_HALO - DACH'!$A:$ZZ,0,$C$4)},2,0),"")</f>
        <v>0</v>
      </c>
      <c r="AQ20" s="353">
        <f t="array" ref="AQ20">iferror(vlookup(AQ19,{index('Output_HALO - DACH'!$A:$ZZ,0,$C$3),index('Output_HALO - DACH'!$A:$ZZ,0,$C$4)},2,0),"")</f>
        <v>0</v>
      </c>
      <c r="AR20" s="353">
        <f t="array" ref="AR20">iferror(vlookup(AR19,{index('Output_HALO - DACH'!$A:$ZZ,0,$C$3),index('Output_HALO - DACH'!$A:$ZZ,0,$C$4)},2,0),"")</f>
        <v>0</v>
      </c>
      <c r="AS20" s="353">
        <f t="array" ref="AS20">iferror(vlookup(AS19,{index('Output_HALO - DACH'!$A:$ZZ,0,$C$3),index('Output_HALO - DACH'!$A:$ZZ,0,$C$4)},2,0),"")</f>
        <v>0</v>
      </c>
      <c r="AT20" s="353">
        <f t="array" ref="AT20">iferror(vlookup(AT19,{index('Output_HALO - DACH'!$A:$ZZ,0,$C$3),index('Output_HALO - DACH'!$A:$ZZ,0,$C$4)},2,0),"")</f>
        <v>0</v>
      </c>
      <c r="AU20" s="353">
        <f t="array" ref="AU20">iferror(vlookup(AU19,{index('Output_HALO - DACH'!$A:$ZZ,0,$C$3),index('Output_HALO - DACH'!$A:$ZZ,0,$C$4)},2,0),"")</f>
        <v>0</v>
      </c>
      <c r="AV20" s="353">
        <f t="array" ref="AV20">iferror(vlookup(AV19,{index('Output_HALO - DACH'!$A:$ZZ,0,$C$3),index('Output_HALO - DACH'!$A:$ZZ,0,$C$4)},2,0),"")</f>
        <v>0</v>
      </c>
      <c r="AW20" s="353">
        <f t="array" ref="AW20">iferror(vlookup(AW19,{index('Output_HALO - DACH'!$A:$ZZ,0,$C$3),index('Output_HALO - DACH'!$A:$ZZ,0,$C$4)},2,0),"")</f>
        <v>0</v>
      </c>
      <c r="AX20" s="353">
        <f t="array" ref="AX20">iferror(vlookup(AX19,{index('Output_HALO - DACH'!$A:$ZZ,0,$C$3),index('Output_HALO - DACH'!$A:$ZZ,0,$C$4)},2,0),"")</f>
        <v>0</v>
      </c>
      <c r="AY20" s="353">
        <f t="array" ref="AY20">iferror(vlookup(AY19,{index('Output_HALO - DACH'!$A:$ZZ,0,$C$3),index('Output_HALO - DACH'!$A:$ZZ,0,$C$4)},2,0),"")</f>
        <v>0</v>
      </c>
      <c r="AZ20" s="353">
        <f t="array" ref="AZ20">iferror(vlookup(AZ19,{index('Output_HALO - DACH'!$A:$ZZ,0,$C$3),index('Output_HALO - DACH'!$A:$ZZ,0,$C$4)},2,0),"")</f>
        <v>0</v>
      </c>
      <c r="BA20" s="353">
        <f t="array" ref="BA20">iferror(vlookup(BA19,{index('Output_HALO - DACH'!$A:$ZZ,0,$C$3),index('Output_HALO - DACH'!$A:$ZZ,0,$C$4)},2,0),"")</f>
        <v>0</v>
      </c>
      <c r="BB20" s="353">
        <f t="array" ref="BB20">iferror(vlookup(BB19,{index('Output_HALO - DACH'!$A:$ZZ,0,$C$3),index('Output_HALO - DACH'!$A:$ZZ,0,$C$4)},2,0),"")</f>
        <v>0</v>
      </c>
      <c r="BC20" s="353">
        <f t="array" ref="BC20">iferror(vlookup(BC19,{index('Output_HALO - DACH'!$A:$ZZ,0,$C$3),index('Output_HALO - DACH'!$A:$ZZ,0,$C$4)},2,0),"")</f>
        <v>0</v>
      </c>
      <c r="BD20" s="353">
        <f t="array" ref="BD20">iferror(vlookup(BD19,{index('Output_HALO - DACH'!$A:$ZZ,0,$C$3),index('Output_HALO - DACH'!$A:$ZZ,0,$C$4)},2,0),"")</f>
        <v>0</v>
      </c>
      <c r="BE20" s="353">
        <f t="array" ref="BE20">iferror(vlookup(BE19,{index('Output_HALO - DACH'!$A:$ZZ,0,$C$3),index('Output_HALO - DACH'!$A:$ZZ,0,$C$4)},2,0),"")</f>
        <v>0</v>
      </c>
      <c r="BF20" s="353">
        <f t="array" ref="BF20">iferror(vlookup(BF19,{index('Output_HALO - DACH'!$A:$ZZ,0,$C$3),index('Output_HALO - DACH'!$A:$ZZ,0,$C$4)},2,0),"")</f>
        <v>0</v>
      </c>
      <c r="BG20" s="353">
        <f t="array" ref="BG20">iferror(vlookup(BG19,{index('Output_HALO - DACH'!$A:$ZZ,0,$C$3),index('Output_HALO - DACH'!$A:$ZZ,0,$C$4)},2,0),"")</f>
        <v>0</v>
      </c>
      <c r="BH20" s="353">
        <f t="array" ref="BH20">iferror(vlookup(BH19,{index('Output_HALO - DACH'!$A:$ZZ,0,$C$3),index('Output_HALO - DACH'!$A:$ZZ,0,$C$4)},2,0),"")</f>
        <v>0</v>
      </c>
      <c r="BI20" s="353">
        <f t="array" ref="BI20">iferror(vlookup(BI19,{index('Output_HALO - DACH'!$A:$ZZ,0,$C$3),index('Output_HALO - DACH'!$A:$ZZ,0,$C$4)},2,0),"")</f>
        <v>0</v>
      </c>
      <c r="BJ20" s="353">
        <f t="array" ref="BJ20">iferror(vlookup(BJ19,{index('Output_HALO - DACH'!$A:$ZZ,0,$C$3),index('Output_HALO - DACH'!$A:$ZZ,0,$C$4)},2,0),"")</f>
        <v>0</v>
      </c>
      <c r="BK20" s="353">
        <f t="array" ref="BK20">iferror(vlookup(BK19,{index('Output_HALO - DACH'!$A:$ZZ,0,$C$3),index('Output_HALO - DACH'!$A:$ZZ,0,$C$4)},2,0),"")</f>
        <v>0</v>
      </c>
      <c r="BL20" s="353">
        <f t="array" ref="BL20">iferror(vlookup(BL19,{index('Output_HALO - DACH'!$A:$ZZ,0,$C$3),index('Output_HALO - DACH'!$A:$ZZ,0,$C$4)},2,0),"")</f>
        <v>0</v>
      </c>
      <c r="BM20" s="353">
        <f t="array" ref="BM20">iferror(vlookup(BM19,{index('Output_HALO - DACH'!$A:$ZZ,0,$C$3),index('Output_HALO - DACH'!$A:$ZZ,0,$C$4)},2,0),"")</f>
        <v>0</v>
      </c>
      <c r="BN20" s="353">
        <f t="array" ref="BN20">iferror(vlookup(BN19,{index('Output_HALO - DACH'!$A:$ZZ,0,$C$3),index('Output_HALO - DACH'!$A:$ZZ,0,$C$4)},2,0),"")</f>
        <v>0</v>
      </c>
      <c r="BO20" s="353">
        <f t="array" ref="BO20">iferror(vlookup(BO19,{index('Output_HALO - DACH'!$A:$ZZ,0,$C$3),index('Output_HALO - DACH'!$A:$ZZ,0,$C$4)},2,0),"")</f>
        <v>0</v>
      </c>
      <c r="BP20" s="353">
        <f t="array" ref="BP20">iferror(vlookup(BP19,{index('Output_HALO - DACH'!$A:$ZZ,0,$C$3),index('Output_HALO - DACH'!$A:$ZZ,0,$C$4)},2,0),"")</f>
        <v>0</v>
      </c>
      <c r="BQ20" s="353">
        <f t="array" ref="BQ20">iferror(vlookup(BQ19,{index('Output_HALO - DACH'!$A:$ZZ,0,$C$3),index('Output_HALO - DACH'!$A:$ZZ,0,$C$4)},2,0),"")</f>
        <v>0</v>
      </c>
    </row>
    <row r="21">
      <c r="E21" s="354">
        <v>3.0</v>
      </c>
      <c r="F21" s="353" t="str">
        <f t="array" ref="F21">iferror(vlookup(F$12&amp;"-"&amp;$E21,{index('Output_HALO - DACH'!$A:$ZZ,0,$C$8),index('Output_HALO - DACH'!$A:$ZZ,0,$C$5)},2,0),"")</f>
        <v/>
      </c>
      <c r="G21" s="353" t="str">
        <f t="array" ref="G21">iferror(vlookup(G$12&amp;"-"&amp;$E21,{index('Output_HALO - DACH'!$A:$ZZ,0,$C$8),index('Output_HALO - DACH'!$A:$ZZ,0,$C$5)},2,0),"")</f>
        <v/>
      </c>
      <c r="H21" s="353" t="str">
        <f t="array" ref="H21">iferror(vlookup(H$12&amp;"-"&amp;$E21,{index('Output_HALO - DACH'!$A:$ZZ,0,$C$8),index('Output_HALO - DACH'!$A:$ZZ,0,$C$5)},2,0),"")</f>
        <v/>
      </c>
      <c r="I21" s="353" t="str">
        <f t="array" ref="I21">iferror(vlookup(I$12&amp;"-"&amp;$E21,{index('Output_HALO - DACH'!$A:$ZZ,0,$C$8),index('Output_HALO - DACH'!$A:$ZZ,0,$C$5)},2,0),"")</f>
        <v/>
      </c>
      <c r="J21" s="353" t="str">
        <f t="array" ref="J21">iferror(vlookup(J$12&amp;"-"&amp;$E21,{index('Output_HALO - DACH'!$A:$ZZ,0,$C$8),index('Output_HALO - DACH'!$A:$ZZ,0,$C$5)},2,0),"")</f>
        <v/>
      </c>
      <c r="K21" s="353" t="str">
        <f t="array" ref="K21">iferror(vlookup(K$12&amp;"-"&amp;$E21,{index('Output_HALO - DACH'!$A:$ZZ,0,$C$8),index('Output_HALO - DACH'!$A:$ZZ,0,$C$5)},2,0),"")</f>
        <v/>
      </c>
      <c r="L21" s="353" t="str">
        <f t="array" ref="L21">iferror(vlookup(L$12&amp;"-"&amp;$E21,{index('Output_HALO - DACH'!$A:$ZZ,0,$C$8),index('Output_HALO - DACH'!$A:$ZZ,0,$C$5)},2,0),"")</f>
        <v/>
      </c>
      <c r="M21" s="353" t="str">
        <f t="array" ref="M21">iferror(vlookup(M$12&amp;"-"&amp;$E21,{index('Output_HALO - DACH'!$A:$ZZ,0,$C$8),index('Output_HALO - DACH'!$A:$ZZ,0,$C$5)},2,0),"")</f>
        <v/>
      </c>
      <c r="N21" s="353" t="str">
        <f t="array" ref="N21">iferror(vlookup(N$12&amp;"-"&amp;$E21,{index('Output_HALO - DACH'!$A:$ZZ,0,$C$8),index('Output_HALO - DACH'!$A:$ZZ,0,$C$5)},2,0),"")</f>
        <v/>
      </c>
      <c r="O21" s="353" t="str">
        <f t="array" ref="O21">iferror(vlookup(O$12&amp;"-"&amp;$E21,{index('Output_HALO - DACH'!$A:$ZZ,0,$C$8),index('Output_HALO - DACH'!$A:$ZZ,0,$C$5)},2,0),"")</f>
        <v/>
      </c>
      <c r="P21" s="353" t="str">
        <f t="array" ref="P21">iferror(vlookup(P$12&amp;"-"&amp;$E21,{index('Output_HALO - DACH'!$A:$ZZ,0,$C$8),index('Output_HALO - DACH'!$A:$ZZ,0,$C$5)},2,0),"")</f>
        <v/>
      </c>
      <c r="Q21" s="353" t="str">
        <f t="array" ref="Q21">iferror(vlookup(Q$12&amp;"-"&amp;$E21,{index('Output_HALO - DACH'!$A:$ZZ,0,$C$8),index('Output_HALO - DACH'!$A:$ZZ,0,$C$5)},2,0),"")</f>
        <v/>
      </c>
      <c r="R21" s="353" t="str">
        <f t="array" ref="R21">iferror(vlookup(R$12&amp;"-"&amp;$E21,{index('Output_HALO - DACH'!$A:$ZZ,0,$C$8),index('Output_HALO - DACH'!$A:$ZZ,0,$C$5)},2,0),"")</f>
        <v/>
      </c>
      <c r="S21" s="353" t="str">
        <f t="array" ref="S21">iferror(vlookup(S$12&amp;"-"&amp;$E21,{index('Output_HALO - DACH'!$A:$ZZ,0,$C$8),index('Output_HALO - DACH'!$A:$ZZ,0,$C$5)},2,0),"")</f>
        <v/>
      </c>
      <c r="T21" s="353" t="str">
        <f t="array" ref="T21">iferror(vlookup(T$12&amp;"-"&amp;$E21,{index('Output_HALO - DACH'!$A:$ZZ,0,$C$8),index('Output_HALO - DACH'!$A:$ZZ,0,$C$5)},2,0),"")</f>
        <v/>
      </c>
      <c r="U21" s="353" t="str">
        <f t="array" ref="U21">iferror(vlookup(U$12&amp;"-"&amp;$E21,{index('Output_HALO - DACH'!$A:$ZZ,0,$C$8),index('Output_HALO - DACH'!$A:$ZZ,0,$C$5)},2,0),"")</f>
        <v/>
      </c>
      <c r="V21" s="353" t="str">
        <f t="array" ref="V21">iferror(vlookup(V$12&amp;"-"&amp;$E21,{index('Output_HALO - DACH'!$A:$ZZ,0,$C$8),index('Output_HALO - DACH'!$A:$ZZ,0,$C$5)},2,0),"")</f>
        <v/>
      </c>
      <c r="W21" s="353" t="str">
        <f t="array" ref="W21">iferror(vlookup(W$12&amp;"-"&amp;$E21,{index('Output_HALO - DACH'!$A:$ZZ,0,$C$8),index('Output_HALO - DACH'!$A:$ZZ,0,$C$5)},2,0),"")</f>
        <v/>
      </c>
      <c r="X21" s="353" t="str">
        <f t="array" ref="X21">iferror(vlookup(X$12&amp;"-"&amp;$E21,{index('Output_HALO - DACH'!$A:$ZZ,0,$C$8),index('Output_HALO - DACH'!$A:$ZZ,0,$C$5)},2,0),"")</f>
        <v/>
      </c>
      <c r="Y21" s="353" t="str">
        <f t="array" ref="Y21">iferror(vlookup(Y$12&amp;"-"&amp;$E21,{index('Output_HALO - DACH'!$A:$ZZ,0,$C$8),index('Output_HALO - DACH'!$A:$ZZ,0,$C$5)},2,0),"")</f>
        <v/>
      </c>
      <c r="Z21" s="353" t="str">
        <f t="array" ref="Z21">iferror(vlookup(Z$12&amp;"-"&amp;$E21,{index('Output_HALO - DACH'!$A:$ZZ,0,$C$8),index('Output_HALO - DACH'!$A:$ZZ,0,$C$5)},2,0),"")</f>
        <v/>
      </c>
      <c r="AA21" s="353" t="str">
        <f t="array" ref="AA21">iferror(vlookup(AA$12&amp;"-"&amp;$E21,{index('Output_HALO - DACH'!$A:$ZZ,0,$C$8),index('Output_HALO - DACH'!$A:$ZZ,0,$C$5)},2,0),"")</f>
        <v/>
      </c>
      <c r="AB21" s="353" t="str">
        <f t="array" ref="AB21">iferror(vlookup(AB$12&amp;"-"&amp;$E21,{index('Output_HALO - DACH'!$A:$ZZ,0,$C$8),index('Output_HALO - DACH'!$A:$ZZ,0,$C$5)},2,0),"")</f>
        <v/>
      </c>
      <c r="AC21" s="353" t="str">
        <f t="array" ref="AC21">iferror(vlookup(AC$12&amp;"-"&amp;$E21,{index('Output_HALO - DACH'!$A:$ZZ,0,$C$8),index('Output_HALO - DACH'!$A:$ZZ,0,$C$5)},2,0),"")</f>
        <v/>
      </c>
      <c r="AD21" s="353" t="str">
        <f t="array" ref="AD21">iferror(vlookup(AD$12&amp;"-"&amp;$E21,{index('Output_HALO - DACH'!$A:$ZZ,0,$C$8),index('Output_HALO - DACH'!$A:$ZZ,0,$C$5)},2,0),"")</f>
        <v/>
      </c>
      <c r="AE21" s="353" t="str">
        <f t="array" ref="AE21">iferror(vlookup(AE$12&amp;"-"&amp;$E21,{index('Output_HALO - DACH'!$A:$ZZ,0,$C$8),index('Output_HALO - DACH'!$A:$ZZ,0,$C$5)},2,0),"")</f>
        <v/>
      </c>
      <c r="AF21" s="353" t="str">
        <f t="array" ref="AF21">iferror(vlookup(AF$12&amp;"-"&amp;$E21,{index('Output_HALO - DACH'!$A:$ZZ,0,$C$8),index('Output_HALO - DACH'!$A:$ZZ,0,$C$5)},2,0),"")</f>
        <v/>
      </c>
      <c r="AG21" s="353" t="str">
        <f t="array" ref="AG21">iferror(vlookup(AG$12&amp;"-"&amp;$E21,{index('Output_HALO - DACH'!$A:$ZZ,0,$C$8),index('Output_HALO - DACH'!$A:$ZZ,0,$C$5)},2,0),"")</f>
        <v/>
      </c>
      <c r="AH21" s="353" t="str">
        <f t="array" ref="AH21">iferror(vlookup(AH$12&amp;"-"&amp;$E21,{index('Output_HALO - DACH'!$A:$ZZ,0,$C$8),index('Output_HALO - DACH'!$A:$ZZ,0,$C$5)},2,0),"")</f>
        <v/>
      </c>
      <c r="AI21" s="353" t="str">
        <f t="array" ref="AI21">iferror(vlookup(AI$12&amp;"-"&amp;$E21,{index('Output_HALO - DACH'!$A:$ZZ,0,$C$8),index('Output_HALO - DACH'!$A:$ZZ,0,$C$5)},2,0),"")</f>
        <v/>
      </c>
      <c r="AJ21" s="353" t="str">
        <f t="array" ref="AJ21">iferror(vlookup(AJ$12&amp;"-"&amp;$E21,{index('Output_HALO - DACH'!$A:$ZZ,0,$C$8),index('Output_HALO - DACH'!$A:$ZZ,0,$C$5)},2,0),"")</f>
        <v/>
      </c>
      <c r="AK21" s="353" t="str">
        <f t="array" ref="AK21">iferror(vlookup(AK$12&amp;"-"&amp;$E21,{index('Output_HALO - DACH'!$A:$ZZ,0,$C$8),index('Output_HALO - DACH'!$A:$ZZ,0,$C$5)},2,0),"")</f>
        <v/>
      </c>
      <c r="AL21" s="353" t="str">
        <f t="array" ref="AL21">iferror(vlookup(AL$12&amp;"-"&amp;$E21,{index('Output_HALO - DACH'!$A:$ZZ,0,$C$8),index('Output_HALO - DACH'!$A:$ZZ,0,$C$5)},2,0),"")</f>
        <v/>
      </c>
      <c r="AM21" s="353" t="str">
        <f t="array" ref="AM21">iferror(vlookup(AM$12&amp;"-"&amp;$E21,{index('Output_HALO - DACH'!$A:$ZZ,0,$C$8),index('Output_HALO - DACH'!$A:$ZZ,0,$C$5)},2,0),"")</f>
        <v/>
      </c>
      <c r="AN21" s="353" t="str">
        <f t="array" ref="AN21">iferror(vlookup(AN$12&amp;"-"&amp;$E21,{index('Output_HALO - DACH'!$A:$ZZ,0,$C$8),index('Output_HALO - DACH'!$A:$ZZ,0,$C$5)},2,0),"")</f>
        <v/>
      </c>
      <c r="AO21" s="353" t="str">
        <f t="array" ref="AO21">iferror(vlookup(AO$12&amp;"-"&amp;$E21,{index('Output_HALO - DACH'!$A:$ZZ,0,$C$8),index('Output_HALO - DACH'!$A:$ZZ,0,$C$5)},2,0),"")</f>
        <v/>
      </c>
      <c r="AP21" s="353" t="str">
        <f t="array" ref="AP21">iferror(vlookup(AP$12&amp;"-"&amp;$E21,{index('Output_HALO - DACH'!$A:$ZZ,0,$C$8),index('Output_HALO - DACH'!$A:$ZZ,0,$C$5)},2,0),"")</f>
        <v>F96</v>
      </c>
      <c r="AQ21" s="353" t="str">
        <f t="array" ref="AQ21">iferror(vlookup(AQ$12&amp;"-"&amp;$E21,{index('Output_HALO - DACH'!$A:$ZZ,0,$C$8),index('Output_HALO - DACH'!$A:$ZZ,0,$C$5)},2,0),"")</f>
        <v/>
      </c>
      <c r="AR21" s="353" t="str">
        <f t="array" ref="AR21">iferror(vlookup(AR$12&amp;"-"&amp;$E21,{index('Output_HALO - DACH'!$A:$ZZ,0,$C$8),index('Output_HALO - DACH'!$A:$ZZ,0,$C$5)},2,0),"")</f>
        <v/>
      </c>
      <c r="AS21" s="353" t="str">
        <f t="array" ref="AS21">iferror(vlookup(AS$12&amp;"-"&amp;$E21,{index('Output_HALO - DACH'!$A:$ZZ,0,$C$8),index('Output_HALO - DACH'!$A:$ZZ,0,$C$5)},2,0),"")</f>
        <v/>
      </c>
      <c r="AT21" s="353" t="str">
        <f t="array" ref="AT21">iferror(vlookup(AT$12&amp;"-"&amp;$E21,{index('Output_HALO - DACH'!$A:$ZZ,0,$C$8),index('Output_HALO - DACH'!$A:$ZZ,0,$C$5)},2,0),"")</f>
        <v/>
      </c>
      <c r="AU21" s="353" t="str">
        <f t="array" ref="AU21">iferror(vlookup(AU$12&amp;"-"&amp;$E21,{index('Output_HALO - DACH'!$A:$ZZ,0,$C$8),index('Output_HALO - DACH'!$A:$ZZ,0,$C$5)},2,0),"")</f>
        <v/>
      </c>
      <c r="AV21" s="353" t="str">
        <f t="array" ref="AV21">iferror(vlookup(AV$12&amp;"-"&amp;$E21,{index('Output_HALO - DACH'!$A:$ZZ,0,$C$8),index('Output_HALO - DACH'!$A:$ZZ,0,$C$5)},2,0),"")</f>
        <v/>
      </c>
      <c r="AW21" s="353" t="str">
        <f t="array" ref="AW21">iferror(vlookup(AW$12&amp;"-"&amp;$E21,{index('Output_HALO - DACH'!$A:$ZZ,0,$C$8),index('Output_HALO - DACH'!$A:$ZZ,0,$C$5)},2,0),"")</f>
        <v/>
      </c>
      <c r="AX21" s="353" t="str">
        <f t="array" ref="AX21">iferror(vlookup(AX$12&amp;"-"&amp;$E21,{index('Output_HALO - DACH'!$A:$ZZ,0,$C$8),index('Output_HALO - DACH'!$A:$ZZ,0,$C$5)},2,0),"")</f>
        <v/>
      </c>
      <c r="AY21" s="353" t="str">
        <f t="array" ref="AY21">iferror(vlookup(AY$12&amp;"-"&amp;$E21,{index('Output_HALO - DACH'!$A:$ZZ,0,$C$8),index('Output_HALO - DACH'!$A:$ZZ,0,$C$5)},2,0),"")</f>
        <v/>
      </c>
      <c r="AZ21" s="353" t="str">
        <f t="array" ref="AZ21">iferror(vlookup(AZ$12&amp;"-"&amp;$E21,{index('Output_HALO - DACH'!$A:$ZZ,0,$C$8),index('Output_HALO - DACH'!$A:$ZZ,0,$C$5)},2,0),"")</f>
        <v/>
      </c>
      <c r="BA21" s="353" t="str">
        <f t="array" ref="BA21">iferror(vlookup(BA$12&amp;"-"&amp;$E21,{index('Output_HALO - DACH'!$A:$ZZ,0,$C$8),index('Output_HALO - DACH'!$A:$ZZ,0,$C$5)},2,0),"")</f>
        <v/>
      </c>
      <c r="BB21" s="353" t="str">
        <f t="array" ref="BB21">iferror(vlookup(BB$12&amp;"-"&amp;$E21,{index('Output_HALO - DACH'!$A:$ZZ,0,$C$8),index('Output_HALO - DACH'!$A:$ZZ,0,$C$5)},2,0),"")</f>
        <v/>
      </c>
      <c r="BC21" s="353" t="str">
        <f t="array" ref="BC21">iferror(vlookup(BC$12&amp;"-"&amp;$E21,{index('Output_HALO - DACH'!$A:$ZZ,0,$C$8),index('Output_HALO - DACH'!$A:$ZZ,0,$C$5)},2,0),"")</f>
        <v/>
      </c>
      <c r="BD21" s="353" t="str">
        <f t="array" ref="BD21">iferror(vlookup(BD$12&amp;"-"&amp;$E21,{index('Output_HALO - DACH'!$A:$ZZ,0,$C$8),index('Output_HALO - DACH'!$A:$ZZ,0,$C$5)},2,0),"")</f>
        <v/>
      </c>
      <c r="BE21" s="353" t="str">
        <f t="array" ref="BE21">iferror(vlookup(BE$12&amp;"-"&amp;$E21,{index('Output_HALO - DACH'!$A:$ZZ,0,$C$8),index('Output_HALO - DACH'!$A:$ZZ,0,$C$5)},2,0),"")</f>
        <v/>
      </c>
      <c r="BF21" s="353" t="str">
        <f t="array" ref="BF21">iferror(vlookup(BF$12&amp;"-"&amp;$E21,{index('Output_HALO - DACH'!$A:$ZZ,0,$C$8),index('Output_HALO - DACH'!$A:$ZZ,0,$C$5)},2,0),"")</f>
        <v/>
      </c>
      <c r="BG21" s="353" t="str">
        <f t="array" ref="BG21">iferror(vlookup(BG$12&amp;"-"&amp;$E21,{index('Output_HALO - DACH'!$A:$ZZ,0,$C$8),index('Output_HALO - DACH'!$A:$ZZ,0,$C$5)},2,0),"")</f>
        <v/>
      </c>
      <c r="BH21" s="353" t="str">
        <f t="array" ref="BH21">iferror(vlookup(BH$12&amp;"-"&amp;$E21,{index('Output_HALO - DACH'!$A:$ZZ,0,$C$8),index('Output_HALO - DACH'!$A:$ZZ,0,$C$5)},2,0),"")</f>
        <v/>
      </c>
      <c r="BI21" s="353" t="str">
        <f t="array" ref="BI21">iferror(vlookup(BI$12&amp;"-"&amp;$E21,{index('Output_HALO - DACH'!$A:$ZZ,0,$C$8),index('Output_HALO - DACH'!$A:$ZZ,0,$C$5)},2,0),"")</f>
        <v/>
      </c>
      <c r="BJ21" s="353" t="str">
        <f t="array" ref="BJ21">iferror(vlookup(BJ$12&amp;"-"&amp;$E21,{index('Output_HALO - DACH'!$A:$ZZ,0,$C$8),index('Output_HALO - DACH'!$A:$ZZ,0,$C$5)},2,0),"")</f>
        <v/>
      </c>
      <c r="BK21" s="353" t="str">
        <f t="array" ref="BK21">iferror(vlookup(BK$12&amp;"-"&amp;$E21,{index('Output_HALO - DACH'!$A:$ZZ,0,$C$8),index('Output_HALO - DACH'!$A:$ZZ,0,$C$5)},2,0),"")</f>
        <v/>
      </c>
      <c r="BL21" s="353" t="str">
        <f t="array" ref="BL21">iferror(vlookup(BL$12&amp;"-"&amp;$E21,{index('Output_HALO - DACH'!$A:$ZZ,0,$C$8),index('Output_HALO - DACH'!$A:$ZZ,0,$C$5)},2,0),"")</f>
        <v/>
      </c>
      <c r="BM21" s="353" t="str">
        <f t="array" ref="BM21">iferror(vlookup(BM$12&amp;"-"&amp;$E21,{index('Output_HALO - DACH'!$A:$ZZ,0,$C$8),index('Output_HALO - DACH'!$A:$ZZ,0,$C$5)},2,0),"")</f>
        <v/>
      </c>
      <c r="BN21" s="353" t="str">
        <f t="array" ref="BN21">iferror(vlookup(BN$12&amp;"-"&amp;$E21,{index('Output_HALO - DACH'!$A:$ZZ,0,$C$8),index('Output_HALO - DACH'!$A:$ZZ,0,$C$5)},2,0),"")</f>
        <v/>
      </c>
      <c r="BO21" s="353" t="str">
        <f t="array" ref="BO21">iferror(vlookup(BO$12&amp;"-"&amp;$E21,{index('Output_HALO - DACH'!$A:$ZZ,0,$C$8),index('Output_HALO - DACH'!$A:$ZZ,0,$C$5)},2,0),"")</f>
        <v/>
      </c>
      <c r="BP21" s="353" t="str">
        <f t="array" ref="BP21">iferror(vlookup(BP$12&amp;"-"&amp;$E21,{index('Output_HALO - DACH'!$A:$ZZ,0,$C$8),index('Output_HALO - DACH'!$A:$ZZ,0,$C$5)},2,0),"")</f>
        <v/>
      </c>
      <c r="BQ21" s="353" t="str">
        <f t="array" ref="BQ21">iferror(vlookup(BQ$12&amp;"-"&amp;$E21,{index('Output_HALO - DACH'!$A:$ZZ,0,$C$8),index('Output_HALO - DACH'!$A:$ZZ,0,$C$5)},2,0),"")</f>
        <v/>
      </c>
    </row>
    <row r="22">
      <c r="E22" s="354">
        <v>2.0</v>
      </c>
      <c r="F22" s="353" t="str">
        <f t="array" ref="F22">iferror(vlookup(F$12&amp;"-"&amp;$E22,{index('Output_HALO - DACH'!$A:$ZZ,0,$C$8),index('Output_HALO - DACH'!$A:$ZZ,0,$C$3)},2,0),"")</f>
        <v/>
      </c>
      <c r="G22" s="353" t="str">
        <f t="array" ref="G22">iferror(vlookup(G$12&amp;"-"&amp;$E22,{index('Output_HALO - DACH'!$A:$ZZ,0,$C$8),index('Output_HALO - DACH'!$A:$ZZ,0,$C$3)},2,0),"")</f>
        <v/>
      </c>
      <c r="H22" s="353" t="str">
        <f t="array" ref="H22">iferror(vlookup(H$12&amp;"-"&amp;$E22,{index('Output_HALO - DACH'!$A:$ZZ,0,$C$8),index('Output_HALO - DACH'!$A:$ZZ,0,$C$3)},2,0),"")</f>
        <v/>
      </c>
      <c r="I22" s="353" t="str">
        <f t="array" ref="I22">iferror(vlookup(I$12&amp;"-"&amp;$E22,{index('Output_HALO - DACH'!$A:$ZZ,0,$C$8),index('Output_HALO - DACH'!$A:$ZZ,0,$C$3)},2,0),"")</f>
        <v/>
      </c>
      <c r="J22" s="353" t="str">
        <f t="array" ref="J22">iferror(vlookup(J$12&amp;"-"&amp;$E22,{index('Output_HALO - DACH'!$A:$ZZ,0,$C$8),index('Output_HALO - DACH'!$A:$ZZ,0,$C$3)},2,0),"")</f>
        <v/>
      </c>
      <c r="K22" s="353" t="str">
        <f t="array" ref="K22">iferror(vlookup(K$12&amp;"-"&amp;$E22,{index('Output_HALO - DACH'!$A:$ZZ,0,$C$8),index('Output_HALO - DACH'!$A:$ZZ,0,$C$3)},2,0),"")</f>
        <v>Factor Liner Small1</v>
      </c>
      <c r="L22" s="353" t="str">
        <f t="array" ref="L22">iferror(vlookup(L$12&amp;"-"&amp;$E22,{index('Output_HALO - DACH'!$A:$ZZ,0,$C$8),index('Output_HALO - DACH'!$A:$ZZ,0,$C$3)},2,0),"")</f>
        <v>Factor Liner Medium1</v>
      </c>
      <c r="M22" s="353" t="str">
        <f t="array" ref="M22">iferror(vlookup(M$12&amp;"-"&amp;$E22,{index('Output_HALO - DACH'!$A:$ZZ,0,$C$8),index('Output_HALO - DACH'!$A:$ZZ,0,$C$3)},2,0),"")</f>
        <v>Factor Liner Small2</v>
      </c>
      <c r="N22" s="353" t="str">
        <f t="array" ref="N22">iferror(vlookup(N$12&amp;"-"&amp;$E22,{index('Output_HALO - DACH'!$A:$ZZ,0,$C$8),index('Output_HALO - DACH'!$A:$ZZ,0,$C$3)},2,0),"")</f>
        <v>Factor Liner Medium2</v>
      </c>
      <c r="O22" s="353" t="str">
        <f t="array" ref="O22">iferror(vlookup(O$12&amp;"-"&amp;$E22,{index('Output_HALO - DACH'!$A:$ZZ,0,$C$8),index('Output_HALO - DACH'!$A:$ZZ,0,$C$3)},2,0),"")</f>
        <v/>
      </c>
      <c r="P22" s="353" t="str">
        <f t="array" ref="P22">iferror(vlookup(P$12&amp;"-"&amp;$E22,{index('Output_HALO - DACH'!$A:$ZZ,0,$C$8),index('Output_HALO - DACH'!$A:$ZZ,0,$C$3)},2,0),"")</f>
        <v/>
      </c>
      <c r="Q22" s="353" t="str">
        <f t="array" ref="Q22">iferror(vlookup(Q$12&amp;"-"&amp;$E22,{index('Output_HALO - DACH'!$A:$ZZ,0,$C$8),index('Output_HALO - DACH'!$A:$ZZ,0,$C$3)},2,0),"")</f>
        <v/>
      </c>
      <c r="R22" s="353" t="str">
        <f t="array" ref="R22">iferror(vlookup(R$12&amp;"-"&amp;$E22,{index('Output_HALO - DACH'!$A:$ZZ,0,$C$8),index('Output_HALO - DACH'!$A:$ZZ,0,$C$3)},2,0),"")</f>
        <v/>
      </c>
      <c r="S22" s="353" t="str">
        <f t="array" ref="S22">iferror(vlookup(S$12&amp;"-"&amp;$E22,{index('Output_HALO - DACH'!$A:$ZZ,0,$C$8),index('Output_HALO - DACH'!$A:$ZZ,0,$C$3)},2,0),"")</f>
        <v/>
      </c>
      <c r="T22" s="353" t="str">
        <f t="array" ref="T22">iferror(vlookup(T$12&amp;"-"&amp;$E22,{index('Output_HALO - DACH'!$A:$ZZ,0,$C$8),index('Output_HALO - DACH'!$A:$ZZ,0,$C$3)},2,0),"")</f>
        <v/>
      </c>
      <c r="U22" s="353" t="str">
        <f t="array" ref="U22">iferror(vlookup(U$12&amp;"-"&amp;$E22,{index('Output_HALO - DACH'!$A:$ZZ,0,$C$8),index('Output_HALO - DACH'!$A:$ZZ,0,$C$3)},2,0),"")</f>
        <v/>
      </c>
      <c r="V22" s="353" t="str">
        <f t="array" ref="V22">iferror(vlookup(V$12&amp;"-"&amp;$E22,{index('Output_HALO - DACH'!$A:$ZZ,0,$C$8),index('Output_HALO - DACH'!$A:$ZZ,0,$C$3)},2,0),"")</f>
        <v/>
      </c>
      <c r="W22" s="353" t="str">
        <f t="array" ref="W22">iferror(vlookup(W$12&amp;"-"&amp;$E22,{index('Output_HALO - DACH'!$A:$ZZ,0,$C$8),index('Output_HALO - DACH'!$A:$ZZ,0,$C$3)},2,0),"")</f>
        <v/>
      </c>
      <c r="X22" s="353" t="str">
        <f t="array" ref="X22">iferror(vlookup(X$12&amp;"-"&amp;$E22,{index('Output_HALO - DACH'!$A:$ZZ,0,$C$8),index('Output_HALO - DACH'!$A:$ZZ,0,$C$3)},2,0),"")</f>
        <v/>
      </c>
      <c r="Y22" s="353" t="str">
        <f t="array" ref="Y22">iferror(vlookup(Y$12&amp;"-"&amp;$E22,{index('Output_HALO - DACH'!$A:$ZZ,0,$C$8),index('Output_HALO - DACH'!$A:$ZZ,0,$C$3)},2,0),"")</f>
        <v/>
      </c>
      <c r="Z22" s="353" t="str">
        <f t="array" ref="Z22">iferror(vlookup(Z$12&amp;"-"&amp;$E22,{index('Output_HALO - DACH'!$A:$ZZ,0,$C$8),index('Output_HALO - DACH'!$A:$ZZ,0,$C$3)},2,0),"")</f>
        <v/>
      </c>
      <c r="AA22" s="353" t="str">
        <f t="array" ref="AA22">iferror(vlookup(AA$12&amp;"-"&amp;$E22,{index('Output_HALO - DACH'!$A:$ZZ,0,$C$8),index('Output_HALO - DACH'!$A:$ZZ,0,$C$3)},2,0),"")</f>
        <v/>
      </c>
      <c r="AB22" s="353" t="str">
        <f t="array" ref="AB22">iferror(vlookup(AB$12&amp;"-"&amp;$E22,{index('Output_HALO - DACH'!$A:$ZZ,0,$C$8),index('Output_HALO - DACH'!$A:$ZZ,0,$C$3)},2,0),"")</f>
        <v/>
      </c>
      <c r="AC22" s="353" t="str">
        <f t="array" ref="AC22">iferror(vlookup(AC$12&amp;"-"&amp;$E22,{index('Output_HALO - DACH'!$A:$ZZ,0,$C$8),index('Output_HALO - DACH'!$A:$ZZ,0,$C$3)},2,0),"")</f>
        <v>565095 - Schweinefilet in würziger Ancho-Chili-Sauce</v>
      </c>
      <c r="AD22" s="353" t="str">
        <f t="array" ref="AD22">iferror(vlookup(AD$12&amp;"-"&amp;$E22,{index('Output_HALO - DACH'!$A:$ZZ,0,$C$8),index('Output_HALO - DACH'!$A:$ZZ,0,$C$3)},2,0),"")</f>
        <v>565252 - Rinderragù mit sonnengetrockneten Tomaten und Pasta</v>
      </c>
      <c r="AE22" s="353" t="str">
        <f t="array" ref="AE22">iferror(vlookup(AE$12&amp;"-"&amp;$E22,{index('Output_HALO - DACH'!$A:$ZZ,0,$C$8),index('Output_HALO - DACH'!$A:$ZZ,0,$C$3)},2,0),"")</f>
        <v>565091 - Scharfes Rinderhack mit Jalapeños</v>
      </c>
      <c r="AF22" s="353" t="str">
        <f t="array" ref="AF22">iferror(vlookup(AF$12&amp;"-"&amp;$E22,{index('Output_HALO - DACH'!$A:$ZZ,0,$C$8),index('Output_HALO - DACH'!$A:$ZZ,0,$C$3)},2,0),"")</f>
        <v>565043 - Würziges Hähnchen mit Jalapeño, Limette und Cheddar</v>
      </c>
      <c r="AG22" s="353" t="str">
        <f t="array" ref="AG22">iferror(vlookup(AG$12&amp;"-"&amp;$E22,{index('Output_HALO - DACH'!$A:$ZZ,0,$C$8),index('Output_HALO - DACH'!$A:$ZZ,0,$C$3)},2,0),"")</f>
        <v/>
      </c>
      <c r="AH22" s="353" t="str">
        <f t="array" ref="AH22">iferror(vlookup(AH$12&amp;"-"&amp;$E22,{index('Output_HALO - DACH'!$A:$ZZ,0,$C$8),index('Output_HALO - DACH'!$A:$ZZ,0,$C$3)},2,0),"")</f>
        <v/>
      </c>
      <c r="AI22" s="353" t="str">
        <f t="array" ref="AI22">iferror(vlookup(AI$12&amp;"-"&amp;$E22,{index('Output_HALO - DACH'!$A:$ZZ,0,$C$8),index('Output_HALO - DACH'!$A:$ZZ,0,$C$3)},2,0),"")</f>
        <v/>
      </c>
      <c r="AJ22" s="353" t="str">
        <f t="array" ref="AJ22">iferror(vlookup(AJ$12&amp;"-"&amp;$E22,{index('Output_HALO - DACH'!$A:$ZZ,0,$C$8),index('Output_HALO - DACH'!$A:$ZZ,0,$C$3)},2,0),"")</f>
        <v/>
      </c>
      <c r="AK22" s="353" t="str">
        <f t="array" ref="AK22">iferror(vlookup(AK$12&amp;"-"&amp;$E22,{index('Output_HALO - DACH'!$A:$ZZ,0,$C$8),index('Output_HALO - DACH'!$A:$ZZ,0,$C$3)},2,0),"")</f>
        <v/>
      </c>
      <c r="AL22" s="353" t="str">
        <f t="array" ref="AL22">iferror(vlookup(AL$12&amp;"-"&amp;$E22,{index('Output_HALO - DACH'!$A:$ZZ,0,$C$8),index('Output_HALO - DACH'!$A:$ZZ,0,$C$3)},2,0),"")</f>
        <v/>
      </c>
      <c r="AM22" s="353" t="str">
        <f t="array" ref="AM22">iferror(vlookup(AM$12&amp;"-"&amp;$E22,{index('Output_HALO - DACH'!$A:$ZZ,0,$C$8),index('Output_HALO - DACH'!$A:$ZZ,0,$C$3)},2,0),"")</f>
        <v>205 - FACTOR_ Ginger Lemon Apple Wellness Shot</v>
      </c>
      <c r="AN22" s="353" t="str">
        <f t="array" ref="AN22">iferror(vlookup(AN$12&amp;"-"&amp;$E22,{index('Output_HALO - DACH'!$A:$ZZ,0,$C$8),index('Output_HALO - DACH'!$A:$ZZ,0,$C$3)},2,0),"")</f>
        <v>220 - Free4Life_ Ginger Lemon Apple Wellness Shot_Single</v>
      </c>
      <c r="AO22" s="353" t="str">
        <f t="array" ref="AO22">iferror(vlookup(AO$12&amp;"-"&amp;$E22,{index('Output_HALO - DACH'!$A:$ZZ,0,$C$8),index('Output_HALO - DACH'!$A:$ZZ,0,$C$3)},2,0),"")</f>
        <v>565164 - Hähnchen mit karamellisierten Zwiebeln &amp; Emmentaler-Fondue</v>
      </c>
      <c r="AP22" s="353" t="str">
        <f t="array" ref="AP22">iferror(vlookup(AP$12&amp;"-"&amp;$E22,{index('Output_HALO - DACH'!$A:$ZZ,0,$C$8),index('Output_HALO - DACH'!$A:$ZZ,0,$C$3)},2,0),"")</f>
        <v/>
      </c>
      <c r="AQ22" s="353" t="str">
        <f t="array" ref="AQ22">iferror(vlookup(AQ$12&amp;"-"&amp;$E22,{index('Output_HALO - DACH'!$A:$ZZ,0,$C$8),index('Output_HALO - DACH'!$A:$ZZ,0,$C$3)},2,0),"")</f>
        <v/>
      </c>
      <c r="AR22" s="353" t="str">
        <f t="array" ref="AR22">iferror(vlookup(AR$12&amp;"-"&amp;$E22,{index('Output_HALO - DACH'!$A:$ZZ,0,$C$8),index('Output_HALO - DACH'!$A:$ZZ,0,$C$3)},2,0),"")</f>
        <v/>
      </c>
      <c r="AS22" s="353" t="str">
        <f t="array" ref="AS22">iferror(vlookup(AS$12&amp;"-"&amp;$E22,{index('Output_HALO - DACH'!$A:$ZZ,0,$C$8),index('Output_HALO - DACH'!$A:$ZZ,0,$C$3)},2,0),"")</f>
        <v/>
      </c>
      <c r="AT22" s="353" t="str">
        <f t="array" ref="AT22">iferror(vlookup(AT$12&amp;"-"&amp;$E22,{index('Output_HALO - DACH'!$A:$ZZ,0,$C$8),index('Output_HALO - DACH'!$A:$ZZ,0,$C$3)},2,0),"")</f>
        <v>565119 - Gegrilltes Hähnchen mit Knoblauch-Kräutern</v>
      </c>
      <c r="AU22" s="353" t="str">
        <f t="array" ref="AU22">iferror(vlookup(AU$12&amp;"-"&amp;$E22,{index('Output_HALO - DACH'!$A:$ZZ,0,$C$8),index('Output_HALO - DACH'!$A:$ZZ,0,$C$3)},2,0),"")</f>
        <v/>
      </c>
      <c r="AV22" s="353" t="str">
        <f t="array" ref="AV22">iferror(vlookup(AV$12&amp;"-"&amp;$E22,{index('Output_HALO - DACH'!$A:$ZZ,0,$C$8),index('Output_HALO - DACH'!$A:$ZZ,0,$C$3)},2,0),"")</f>
        <v>209 - FACTOR_ Spirulina Ginger Lime Ginger Shot</v>
      </c>
      <c r="AW22" s="353" t="str">
        <f t="array" ref="AW22">iferror(vlookup(AW$12&amp;"-"&amp;$E22,{index('Output_HALO - DACH'!$A:$ZZ,0,$C$8),index('Output_HALO - DACH'!$A:$ZZ,0,$C$3)},2,0),"")</f>
        <v>221 - Free4Life_ Spirulina Ginger Lime Ginger Shot_Single</v>
      </c>
      <c r="AX22" s="353" t="str">
        <f t="array" ref="AX22">iferror(vlookup(AX$12&amp;"-"&amp;$E22,{index('Output_HALO - DACH'!$A:$ZZ,0,$C$8),index('Output_HALO - DACH'!$A:$ZZ,0,$C$3)},2,0),"")</f>
        <v/>
      </c>
      <c r="AY22" s="353" t="str">
        <f t="array" ref="AY22">iferror(vlookup(AY$12&amp;"-"&amp;$E22,{index('Output_HALO - DACH'!$A:$ZZ,0,$C$8),index('Output_HALO - DACH'!$A:$ZZ,0,$C$3)},2,0),"")</f>
        <v/>
      </c>
      <c r="AZ22" s="353" t="str">
        <f t="array" ref="AZ22">iferror(vlookup(AZ$12&amp;"-"&amp;$E22,{index('Output_HALO - DACH'!$A:$ZZ,0,$C$8),index('Output_HALO - DACH'!$A:$ZZ,0,$C$3)},2,0),"")</f>
        <v/>
      </c>
      <c r="BA22" s="353" t="str">
        <f t="array" ref="BA22">iferror(vlookup(BA$12&amp;"-"&amp;$E22,{index('Output_HALO - DACH'!$A:$ZZ,0,$C$8),index('Output_HALO - DACH'!$A:$ZZ,0,$C$3)},2,0),"")</f>
        <v/>
      </c>
      <c r="BB22" s="353" t="str">
        <f t="array" ref="BB22">iferror(vlookup(BB$12&amp;"-"&amp;$E22,{index('Output_HALO - DACH'!$A:$ZZ,0,$C$8),index('Output_HALO - DACH'!$A:$ZZ,0,$C$3)},2,0),"")</f>
        <v>210 - FACTOR_ Turmeric Cayenne Pineapple Ginger Shot</v>
      </c>
      <c r="BC22" s="353" t="str">
        <f t="array" ref="BC22">iferror(vlookup(BC$12&amp;"-"&amp;$E22,{index('Output_HALO - DACH'!$A:$ZZ,0,$C$8),index('Output_HALO - DACH'!$A:$ZZ,0,$C$3)},2,0),"")</f>
        <v>222 - Free4Life_ Turmeric Cayenne Pineapple Ginger Shot_Single</v>
      </c>
      <c r="BD22" s="353" t="str">
        <f t="array" ref="BD22">iferror(vlookup(BD$12&amp;"-"&amp;$E22,{index('Output_HALO - DACH'!$A:$ZZ,0,$C$8),index('Output_HALO - DACH'!$A:$ZZ,0,$C$3)},2,0),"")</f>
        <v>565141 - Zucchini-Paprika-Ratatouille</v>
      </c>
      <c r="BE22" s="353" t="str">
        <f t="array" ref="BE22">iferror(vlookup(BE$12&amp;"-"&amp;$E22,{index('Output_HALO - DACH'!$A:$ZZ,0,$C$8),index('Output_HALO - DACH'!$A:$ZZ,0,$C$3)},2,0),"")</f>
        <v/>
      </c>
      <c r="BF22" s="353" t="str">
        <f t="array" ref="BF22">iferror(vlookup(BF$12&amp;"-"&amp;$E22,{index('Output_HALO - DACH'!$A:$ZZ,0,$C$8),index('Output_HALO - DACH'!$A:$ZZ,0,$C$3)},2,0),"")</f>
        <v/>
      </c>
      <c r="BG22" s="353" t="str">
        <f t="array" ref="BG22">iferror(vlookup(BG$12&amp;"-"&amp;$E22,{index('Output_HALO - DACH'!$A:$ZZ,0,$C$8),index('Output_HALO - DACH'!$A:$ZZ,0,$C$3)},2,0),"")</f>
        <v/>
      </c>
      <c r="BH22" s="353" t="str">
        <f t="array" ref="BH22">iferror(vlookup(BH$12&amp;"-"&amp;$E22,{index('Output_HALO - DACH'!$A:$ZZ,0,$C$8),index('Output_HALO - DACH'!$A:$ZZ,0,$C$3)},2,0),"")</f>
        <v>565244 - Cremiges Tomaten-Risotto</v>
      </c>
      <c r="BI22" s="353" t="str">
        <f t="array" ref="BI22">iferror(vlookup(BI$12&amp;"-"&amp;$E22,{index('Output_HALO - DACH'!$A:$ZZ,0,$C$8),index('Output_HALO - DACH'!$A:$ZZ,0,$C$3)},2,0),"")</f>
        <v>FA-DE Fourth Box - Flyer</v>
      </c>
      <c r="BJ22" s="353" t="str">
        <f t="array" ref="BJ22">iferror(vlookup(BJ$12&amp;"-"&amp;$E22,{index('Output_HALO - DACH'!$A:$ZZ,0,$C$8),index('Output_HALO - DACH'!$A:$ZZ,0,$C$3)},2,0),"")</f>
        <v>FA-DE Third Box - Socks</v>
      </c>
      <c r="BK22" s="353" t="str">
        <f t="array" ref="BK22">iferror(vlookup(BK$12&amp;"-"&amp;$E22,{index('Output_HALO - DACH'!$A:$ZZ,0,$C$8),index('Output_HALO - DACH'!$A:$ZZ,0,$C$3)},2,0),"")</f>
        <v>FA-DE Second Box - Flyer</v>
      </c>
      <c r="BL22" s="353" t="str">
        <f t="array" ref="BL22">iferror(vlookup(BL$12&amp;"-"&amp;$E22,{index('Output_HALO - DACH'!$A:$ZZ,0,$C$8),index('Output_HALO - DACH'!$A:$ZZ,0,$C$3)},2,0),"")</f>
        <v>FA-DE Welcome Booklet</v>
      </c>
      <c r="BM22" s="353" t="str">
        <f t="array" ref="BM22">iferror(vlookup(BM$12&amp;"-"&amp;$E22,{index('Output_HALO - DACH'!$A:$ZZ,0,$C$8),index('Output_HALO - DACH'!$A:$ZZ,0,$C$3)},2,0),"")</f>
        <v>IcePack1</v>
      </c>
      <c r="BN22" s="353" t="str">
        <f t="array" ref="BN22">iferror(vlookup(BN$12&amp;"-"&amp;$E22,{index('Output_HALO - DACH'!$A:$ZZ,0,$C$8),index('Output_HALO - DACH'!$A:$ZZ,0,$C$3)},2,0),"")</f>
        <v/>
      </c>
      <c r="BO22" s="353" t="str">
        <f t="array" ref="BO22">iferror(vlookup(BO$12&amp;"-"&amp;$E22,{index('Output_HALO - DACH'!$A:$ZZ,0,$C$8),index('Output_HALO - DACH'!$A:$ZZ,0,$C$3)},2,0),"")</f>
        <v/>
      </c>
      <c r="BP22" s="353" t="str">
        <f t="array" ref="BP22">iferror(vlookup(BP$12&amp;"-"&amp;$E22,{index('Output_HALO - DACH'!$A:$ZZ,0,$C$8),index('Output_HALO - DACH'!$A:$ZZ,0,$C$3)},2,0),"")</f>
        <v/>
      </c>
      <c r="BQ22" s="353" t="str">
        <f t="array" ref="BQ22">iferror(vlookup(BQ$12&amp;"-"&amp;$E22,{index('Output_HALO - DACH'!$A:$ZZ,0,$C$8),index('Output_HALO - DACH'!$A:$ZZ,0,$C$3)},2,0),"")</f>
        <v/>
      </c>
    </row>
    <row r="23">
      <c r="E23" s="354">
        <v>2.0</v>
      </c>
      <c r="F23" s="353">
        <f t="array" ref="F23">iferror(vlookup(F22,{index('Output_HALO - DACH'!$A:$ZZ,0,$C$3),index('Output_HALO - DACH'!$A:$ZZ,0,$C$4)},2,0),"")</f>
        <v>0</v>
      </c>
      <c r="G23" s="353">
        <f t="array" ref="G23">iferror(vlookup(G22,{index('Output_HALO - DACH'!$A:$ZZ,0,$C$3),index('Output_HALO - DACH'!$A:$ZZ,0,$C$4)},2,0),"")</f>
        <v>0</v>
      </c>
      <c r="H23" s="353">
        <f t="array" ref="H23">iferror(vlookup(H22,{index('Output_HALO - DACH'!$A:$ZZ,0,$C$3),index('Output_HALO - DACH'!$A:$ZZ,0,$C$4)},2,0),"")</f>
        <v>0</v>
      </c>
      <c r="I23" s="353">
        <f t="array" ref="I23">iferror(vlookup(I22,{index('Output_HALO - DACH'!$A:$ZZ,0,$C$3),index('Output_HALO - DACH'!$A:$ZZ,0,$C$4)},2,0),"")</f>
        <v>0</v>
      </c>
      <c r="J23" s="353">
        <f t="array" ref="J23">iferror(vlookup(J22,{index('Output_HALO - DACH'!$A:$ZZ,0,$C$3),index('Output_HALO - DACH'!$A:$ZZ,0,$C$4)},2,0),"")</f>
        <v>0</v>
      </c>
      <c r="K23" s="353">
        <f t="array" ref="K23">iferror(vlookup(K22,{index('Output_HALO - DACH'!$A:$ZZ,0,$C$3),index('Output_HALO - DACH'!$A:$ZZ,0,$C$4)},2,0),"")</f>
        <v>0</v>
      </c>
      <c r="L23" s="353">
        <f t="array" ref="L23">iferror(vlookup(L22,{index('Output_HALO - DACH'!$A:$ZZ,0,$C$3),index('Output_HALO - DACH'!$A:$ZZ,0,$C$4)},2,0),"")</f>
        <v>0</v>
      </c>
      <c r="M23" s="353">
        <f t="array" ref="M23">iferror(vlookup(M22,{index('Output_HALO - DACH'!$A:$ZZ,0,$C$3),index('Output_HALO - DACH'!$A:$ZZ,0,$C$4)},2,0),"")</f>
        <v>0</v>
      </c>
      <c r="N23" s="353">
        <f t="array" ref="N23">iferror(vlookup(N22,{index('Output_HALO - DACH'!$A:$ZZ,0,$C$3),index('Output_HALO - DACH'!$A:$ZZ,0,$C$4)},2,0),"")</f>
        <v>0</v>
      </c>
      <c r="O23" s="353">
        <f t="array" ref="O23">iferror(vlookup(O22,{index('Output_HALO - DACH'!$A:$ZZ,0,$C$3),index('Output_HALO - DACH'!$A:$ZZ,0,$C$4)},2,0),"")</f>
        <v>0</v>
      </c>
      <c r="P23" s="353">
        <f t="array" ref="P23">iferror(vlookup(P22,{index('Output_HALO - DACH'!$A:$ZZ,0,$C$3),index('Output_HALO - DACH'!$A:$ZZ,0,$C$4)},2,0),"")</f>
        <v>0</v>
      </c>
      <c r="Q23" s="353">
        <f t="array" ref="Q23">iferror(vlookup(Q22,{index('Output_HALO - DACH'!$A:$ZZ,0,$C$3),index('Output_HALO - DACH'!$A:$ZZ,0,$C$4)},2,0),"")</f>
        <v>0</v>
      </c>
      <c r="R23" s="353">
        <f t="array" ref="R23">iferror(vlookup(R22,{index('Output_HALO - DACH'!$A:$ZZ,0,$C$3),index('Output_HALO - DACH'!$A:$ZZ,0,$C$4)},2,0),"")</f>
        <v>0</v>
      </c>
      <c r="S23" s="353">
        <f t="array" ref="S23">iferror(vlookup(S22,{index('Output_HALO - DACH'!$A:$ZZ,0,$C$3),index('Output_HALO - DACH'!$A:$ZZ,0,$C$4)},2,0),"")</f>
        <v>0</v>
      </c>
      <c r="T23" s="353">
        <f t="array" ref="T23">iferror(vlookup(T22,{index('Output_HALO - DACH'!$A:$ZZ,0,$C$3),index('Output_HALO - DACH'!$A:$ZZ,0,$C$4)},2,0),"")</f>
        <v>0</v>
      </c>
      <c r="U23" s="353">
        <f t="array" ref="U23">iferror(vlookup(U22,{index('Output_HALO - DACH'!$A:$ZZ,0,$C$3),index('Output_HALO - DACH'!$A:$ZZ,0,$C$4)},2,0),"")</f>
        <v>0</v>
      </c>
      <c r="V23" s="353">
        <f t="array" ref="V23">iferror(vlookup(V22,{index('Output_HALO - DACH'!$A:$ZZ,0,$C$3),index('Output_HALO - DACH'!$A:$ZZ,0,$C$4)},2,0),"")</f>
        <v>0</v>
      </c>
      <c r="W23" s="353">
        <f t="array" ref="W23">iferror(vlookup(W22,{index('Output_HALO - DACH'!$A:$ZZ,0,$C$3),index('Output_HALO - DACH'!$A:$ZZ,0,$C$4)},2,0),"")</f>
        <v>0</v>
      </c>
      <c r="X23" s="353">
        <f t="array" ref="X23">iferror(vlookup(X22,{index('Output_HALO - DACH'!$A:$ZZ,0,$C$3),index('Output_HALO - DACH'!$A:$ZZ,0,$C$4)},2,0),"")</f>
        <v>0</v>
      </c>
      <c r="Y23" s="353">
        <f t="array" ref="Y23">iferror(vlookup(Y22,{index('Output_HALO - DACH'!$A:$ZZ,0,$C$3),index('Output_HALO - DACH'!$A:$ZZ,0,$C$4)},2,0),"")</f>
        <v>0</v>
      </c>
      <c r="Z23" s="353">
        <f t="array" ref="Z23">iferror(vlookup(Z22,{index('Output_HALO - DACH'!$A:$ZZ,0,$C$3),index('Output_HALO - DACH'!$A:$ZZ,0,$C$4)},2,0),"")</f>
        <v>0</v>
      </c>
      <c r="AA23" s="353">
        <f t="array" ref="AA23">iferror(vlookup(AA22,{index('Output_HALO - DACH'!$A:$ZZ,0,$C$3),index('Output_HALO - DACH'!$A:$ZZ,0,$C$4)},2,0),"")</f>
        <v>0</v>
      </c>
      <c r="AB23" s="353">
        <f t="array" ref="AB23">iferror(vlookup(AB22,{index('Output_HALO - DACH'!$A:$ZZ,0,$C$3),index('Output_HALO - DACH'!$A:$ZZ,0,$C$4)},2,0),"")</f>
        <v>0</v>
      </c>
      <c r="AC23" s="353">
        <f t="array" ref="AC23">iferror(vlookup(AC22,{index('Output_HALO - DACH'!$A:$ZZ,0,$C$3),index('Output_HALO - DACH'!$A:$ZZ,0,$C$4)},2,0),"")</f>
        <v>504</v>
      </c>
      <c r="AD23" s="353">
        <f t="array" ref="AD23">iferror(vlookup(AD22,{index('Output_HALO - DACH'!$A:$ZZ,0,$C$3),index('Output_HALO - DACH'!$A:$ZZ,0,$C$4)},2,0),"")</f>
        <v>1733</v>
      </c>
      <c r="AE23" s="353">
        <f t="array" ref="AE23">iferror(vlookup(AE22,{index('Output_HALO - DACH'!$A:$ZZ,0,$C$3),index('Output_HALO - DACH'!$A:$ZZ,0,$C$4)},2,0),"")</f>
        <v>678</v>
      </c>
      <c r="AF23" s="353">
        <f t="array" ref="AF23">iferror(vlookup(AF22,{index('Output_HALO - DACH'!$A:$ZZ,0,$C$3),index('Output_HALO - DACH'!$A:$ZZ,0,$C$4)},2,0),"")</f>
        <v>1246</v>
      </c>
      <c r="AG23" s="353">
        <f t="array" ref="AG23">iferror(vlookup(AG22,{index('Output_HALO - DACH'!$A:$ZZ,0,$C$3),index('Output_HALO - DACH'!$A:$ZZ,0,$C$4)},2,0),"")</f>
        <v>0</v>
      </c>
      <c r="AH23" s="353">
        <f t="array" ref="AH23">iferror(vlookup(AH22,{index('Output_HALO - DACH'!$A:$ZZ,0,$C$3),index('Output_HALO - DACH'!$A:$ZZ,0,$C$4)},2,0),"")</f>
        <v>0</v>
      </c>
      <c r="AI23" s="353">
        <f t="array" ref="AI23">iferror(vlookup(AI22,{index('Output_HALO - DACH'!$A:$ZZ,0,$C$3),index('Output_HALO - DACH'!$A:$ZZ,0,$C$4)},2,0),"")</f>
        <v>0</v>
      </c>
      <c r="AJ23" s="353">
        <f t="array" ref="AJ23">iferror(vlookup(AJ22,{index('Output_HALO - DACH'!$A:$ZZ,0,$C$3),index('Output_HALO - DACH'!$A:$ZZ,0,$C$4)},2,0),"")</f>
        <v>0</v>
      </c>
      <c r="AK23" s="353">
        <f t="array" ref="AK23">iferror(vlookup(AK22,{index('Output_HALO - DACH'!$A:$ZZ,0,$C$3),index('Output_HALO - DACH'!$A:$ZZ,0,$C$4)},2,0),"")</f>
        <v>0</v>
      </c>
      <c r="AL23" s="353">
        <f t="array" ref="AL23">iferror(vlookup(AL22,{index('Output_HALO - DACH'!$A:$ZZ,0,$C$3),index('Output_HALO - DACH'!$A:$ZZ,0,$C$4)},2,0),"")</f>
        <v>0</v>
      </c>
      <c r="AM23" s="353">
        <f t="array" ref="AM23">iferror(vlookup(AM22,{index('Output_HALO - DACH'!$A:$ZZ,0,$C$3),index('Output_HALO - DACH'!$A:$ZZ,0,$C$4)},2,0),"")</f>
        <v>48</v>
      </c>
      <c r="AN23" s="353">
        <f t="array" ref="AN23">iferror(vlookup(AN22,{index('Output_HALO - DACH'!$A:$ZZ,0,$C$3),index('Output_HALO - DACH'!$A:$ZZ,0,$C$4)},2,0),"")</f>
        <v>48</v>
      </c>
      <c r="AO23" s="353">
        <f t="array" ref="AO23">iferror(vlookup(AO22,{index('Output_HALO - DACH'!$A:$ZZ,0,$C$3),index('Output_HALO - DACH'!$A:$ZZ,0,$C$4)},2,0),"")</f>
        <v>0</v>
      </c>
      <c r="AP23" s="353">
        <f t="array" ref="AP23">iferror(vlookup(AP22,{index('Output_HALO - DACH'!$A:$ZZ,0,$C$3),index('Output_HALO - DACH'!$A:$ZZ,0,$C$4)},2,0),"")</f>
        <v>0</v>
      </c>
      <c r="AQ23" s="353">
        <f t="array" ref="AQ23">iferror(vlookup(AQ22,{index('Output_HALO - DACH'!$A:$ZZ,0,$C$3),index('Output_HALO - DACH'!$A:$ZZ,0,$C$4)},2,0),"")</f>
        <v>0</v>
      </c>
      <c r="AR23" s="353">
        <f t="array" ref="AR23">iferror(vlookup(AR22,{index('Output_HALO - DACH'!$A:$ZZ,0,$C$3),index('Output_HALO - DACH'!$A:$ZZ,0,$C$4)},2,0),"")</f>
        <v>0</v>
      </c>
      <c r="AS23" s="353">
        <f t="array" ref="AS23">iferror(vlookup(AS22,{index('Output_HALO - DACH'!$A:$ZZ,0,$C$3),index('Output_HALO - DACH'!$A:$ZZ,0,$C$4)},2,0),"")</f>
        <v>0</v>
      </c>
      <c r="AT23" s="353" t="str">
        <f t="array" ref="AT23">iferror(vlookup(AT22,{index('Output_HALO - DACH'!$A:$ZZ,0,$C$3),index('Output_HALO - DACH'!$A:$ZZ,0,$C$4)},2,0),"")</f>
        <v/>
      </c>
      <c r="AU23" s="353">
        <f t="array" ref="AU23">iferror(vlookup(AU22,{index('Output_HALO - DACH'!$A:$ZZ,0,$C$3),index('Output_HALO - DACH'!$A:$ZZ,0,$C$4)},2,0),"")</f>
        <v>0</v>
      </c>
      <c r="AV23" s="353">
        <f t="array" ref="AV23">iferror(vlookup(AV22,{index('Output_HALO - DACH'!$A:$ZZ,0,$C$3),index('Output_HALO - DACH'!$A:$ZZ,0,$C$4)},2,0),"")</f>
        <v>56</v>
      </c>
      <c r="AW23" s="353">
        <f t="array" ref="AW23">iferror(vlookup(AW22,{index('Output_HALO - DACH'!$A:$ZZ,0,$C$3),index('Output_HALO - DACH'!$A:$ZZ,0,$C$4)},2,0),"")</f>
        <v>56</v>
      </c>
      <c r="AX23" s="353">
        <f t="array" ref="AX23">iferror(vlookup(AX22,{index('Output_HALO - DACH'!$A:$ZZ,0,$C$3),index('Output_HALO - DACH'!$A:$ZZ,0,$C$4)},2,0),"")</f>
        <v>0</v>
      </c>
      <c r="AY23" s="353">
        <f t="array" ref="AY23">iferror(vlookup(AY22,{index('Output_HALO - DACH'!$A:$ZZ,0,$C$3),index('Output_HALO - DACH'!$A:$ZZ,0,$C$4)},2,0),"")</f>
        <v>0</v>
      </c>
      <c r="AZ23" s="353">
        <f t="array" ref="AZ23">iferror(vlookup(AZ22,{index('Output_HALO - DACH'!$A:$ZZ,0,$C$3),index('Output_HALO - DACH'!$A:$ZZ,0,$C$4)},2,0),"")</f>
        <v>0</v>
      </c>
      <c r="BA23" s="353">
        <f t="array" ref="BA23">iferror(vlookup(BA22,{index('Output_HALO - DACH'!$A:$ZZ,0,$C$3),index('Output_HALO - DACH'!$A:$ZZ,0,$C$4)},2,0),"")</f>
        <v>0</v>
      </c>
      <c r="BB23" s="353">
        <f t="array" ref="BB23">iferror(vlookup(BB22,{index('Output_HALO - DACH'!$A:$ZZ,0,$C$3),index('Output_HALO - DACH'!$A:$ZZ,0,$C$4)},2,0),"")</f>
        <v>36</v>
      </c>
      <c r="BC23" s="353">
        <f t="array" ref="BC23">iferror(vlookup(BC22,{index('Output_HALO - DACH'!$A:$ZZ,0,$C$3),index('Output_HALO - DACH'!$A:$ZZ,0,$C$4)},2,0),"")</f>
        <v>36</v>
      </c>
      <c r="BD23" s="353">
        <f t="array" ref="BD23">iferror(vlookup(BD22,{index('Output_HALO - DACH'!$A:$ZZ,0,$C$3),index('Output_HALO - DACH'!$A:$ZZ,0,$C$4)},2,0),"")</f>
        <v>293</v>
      </c>
      <c r="BE23" s="353">
        <f t="array" ref="BE23">iferror(vlookup(BE22,{index('Output_HALO - DACH'!$A:$ZZ,0,$C$3),index('Output_HALO - DACH'!$A:$ZZ,0,$C$4)},2,0),"")</f>
        <v>0</v>
      </c>
      <c r="BF23" s="353">
        <f t="array" ref="BF23">iferror(vlookup(BF22,{index('Output_HALO - DACH'!$A:$ZZ,0,$C$3),index('Output_HALO - DACH'!$A:$ZZ,0,$C$4)},2,0),"")</f>
        <v>0</v>
      </c>
      <c r="BG23" s="353">
        <f t="array" ref="BG23">iferror(vlookup(BG22,{index('Output_HALO - DACH'!$A:$ZZ,0,$C$3),index('Output_HALO - DACH'!$A:$ZZ,0,$C$4)},2,0),"")</f>
        <v>0</v>
      </c>
      <c r="BH23" s="353">
        <f t="array" ref="BH23">iferror(vlookup(BH22,{index('Output_HALO - DACH'!$A:$ZZ,0,$C$3),index('Output_HALO - DACH'!$A:$ZZ,0,$C$4)},2,0),"")</f>
        <v>326</v>
      </c>
      <c r="BI23" s="353">
        <f t="array" ref="BI23">iferror(vlookup(BI22,{index('Output_HALO - DACH'!$A:$ZZ,0,$C$3),index('Output_HALO - DACH'!$A:$ZZ,0,$C$4)},2,0),"")</f>
        <v>0</v>
      </c>
      <c r="BJ23" s="353">
        <f t="array" ref="BJ23">iferror(vlookup(BJ22,{index('Output_HALO - DACH'!$A:$ZZ,0,$C$3),index('Output_HALO - DACH'!$A:$ZZ,0,$C$4)},2,0),"")</f>
        <v>0</v>
      </c>
      <c r="BK23" s="353">
        <f t="array" ref="BK23">iferror(vlookup(BK22,{index('Output_HALO - DACH'!$A:$ZZ,0,$C$3),index('Output_HALO - DACH'!$A:$ZZ,0,$C$4)},2,0),"")</f>
        <v>0</v>
      </c>
      <c r="BL23" s="353">
        <f t="array" ref="BL23">iferror(vlookup(BL22,{index('Output_HALO - DACH'!$A:$ZZ,0,$C$3),index('Output_HALO - DACH'!$A:$ZZ,0,$C$4)},2,0),"")</f>
        <v>0</v>
      </c>
      <c r="BM23" s="353">
        <f t="array" ref="BM23">iferror(vlookup(BM22,{index('Output_HALO - DACH'!$A:$ZZ,0,$C$3),index('Output_HALO - DACH'!$A:$ZZ,0,$C$4)},2,0),"")</f>
        <v>55</v>
      </c>
      <c r="BN23" s="353">
        <f t="array" ref="BN23">iferror(vlookup(BN22,{index('Output_HALO - DACH'!$A:$ZZ,0,$C$3),index('Output_HALO - DACH'!$A:$ZZ,0,$C$4)},2,0),"")</f>
        <v>0</v>
      </c>
      <c r="BO23" s="353">
        <f t="array" ref="BO23">iferror(vlookup(BO22,{index('Output_HALO - DACH'!$A:$ZZ,0,$C$3),index('Output_HALO - DACH'!$A:$ZZ,0,$C$4)},2,0),"")</f>
        <v>0</v>
      </c>
      <c r="BP23" s="353">
        <f t="array" ref="BP23">iferror(vlookup(BP22,{index('Output_HALO - DACH'!$A:$ZZ,0,$C$3),index('Output_HALO - DACH'!$A:$ZZ,0,$C$4)},2,0),"")</f>
        <v>0</v>
      </c>
      <c r="BQ23" s="353">
        <f t="array" ref="BQ23">iferror(vlookup(BQ22,{index('Output_HALO - DACH'!$A:$ZZ,0,$C$3),index('Output_HALO - DACH'!$A:$ZZ,0,$C$4)},2,0),"")</f>
        <v>0</v>
      </c>
    </row>
    <row r="24">
      <c r="E24" s="354">
        <v>2.0</v>
      </c>
      <c r="F24" s="353" t="str">
        <f t="array" ref="F24">iferror(vlookup(F$12&amp;"-"&amp;$E24,{index('Output_HALO - DACH'!$A:$ZZ,0,$C$8),index('Output_HALO - DACH'!$A:$ZZ,0,$C$5)},2,0),"")</f>
        <v/>
      </c>
      <c r="G24" s="353" t="str">
        <f t="array" ref="G24">iferror(vlookup(G$12&amp;"-"&amp;$E24,{index('Output_HALO - DACH'!$A:$ZZ,0,$C$8),index('Output_HALO - DACH'!$A:$ZZ,0,$C$5)},2,0),"")</f>
        <v/>
      </c>
      <c r="H24" s="353" t="str">
        <f t="array" ref="H24">iferror(vlookup(H$12&amp;"-"&amp;$E24,{index('Output_HALO - DACH'!$A:$ZZ,0,$C$8),index('Output_HALO - DACH'!$A:$ZZ,0,$C$5)},2,0),"")</f>
        <v/>
      </c>
      <c r="I24" s="353" t="str">
        <f t="array" ref="I24">iferror(vlookup(I$12&amp;"-"&amp;$E24,{index('Output_HALO - DACH'!$A:$ZZ,0,$C$8),index('Output_HALO - DACH'!$A:$ZZ,0,$C$5)},2,0),"")</f>
        <v/>
      </c>
      <c r="J24" s="353" t="str">
        <f t="array" ref="J24">iferror(vlookup(J$12&amp;"-"&amp;$E24,{index('Output_HALO - DACH'!$A:$ZZ,0,$C$8),index('Output_HALO - DACH'!$A:$ZZ,0,$C$5)},2,0),"")</f>
        <v/>
      </c>
      <c r="K24" s="353" t="str">
        <f t="array" ref="K24">iferror(vlookup(K$12&amp;"-"&amp;$E24,{index('Output_HALO - DACH'!$A:$ZZ,0,$C$8),index('Output_HALO - DACH'!$A:$ZZ,0,$C$5)},2,0),"")</f>
        <v>F06</v>
      </c>
      <c r="L24" s="353" t="str">
        <f t="array" ref="L24">iferror(vlookup(L$12&amp;"-"&amp;$E24,{index('Output_HALO - DACH'!$A:$ZZ,0,$C$8),index('Output_HALO - DACH'!$A:$ZZ,0,$C$5)},2,0),"")</f>
        <v>F08</v>
      </c>
      <c r="M24" s="353" t="str">
        <f t="array" ref="M24">iferror(vlookup(M$12&amp;"-"&amp;$E24,{index('Output_HALO - DACH'!$A:$ZZ,0,$C$8),index('Output_HALO - DACH'!$A:$ZZ,0,$C$5)},2,0),"")</f>
        <v>F10</v>
      </c>
      <c r="N24" s="353" t="str">
        <f t="array" ref="N24">iferror(vlookup(N$12&amp;"-"&amp;$E24,{index('Output_HALO - DACH'!$A:$ZZ,0,$C$8),index('Output_HALO - DACH'!$A:$ZZ,0,$C$5)},2,0),"")</f>
        <v>F12</v>
      </c>
      <c r="O24" s="353" t="str">
        <f t="array" ref="O24">iferror(vlookup(O$12&amp;"-"&amp;$E24,{index('Output_HALO - DACH'!$A:$ZZ,0,$C$8),index('Output_HALO - DACH'!$A:$ZZ,0,$C$5)},2,0),"")</f>
        <v/>
      </c>
      <c r="P24" s="353" t="str">
        <f t="array" ref="P24">iferror(vlookup(P$12&amp;"-"&amp;$E24,{index('Output_HALO - DACH'!$A:$ZZ,0,$C$8),index('Output_HALO - DACH'!$A:$ZZ,0,$C$5)},2,0),"")</f>
        <v/>
      </c>
      <c r="Q24" s="353" t="str">
        <f t="array" ref="Q24">iferror(vlookup(Q$12&amp;"-"&amp;$E24,{index('Output_HALO - DACH'!$A:$ZZ,0,$C$8),index('Output_HALO - DACH'!$A:$ZZ,0,$C$5)},2,0),"")</f>
        <v/>
      </c>
      <c r="R24" s="353" t="str">
        <f t="array" ref="R24">iferror(vlookup(R$12&amp;"-"&amp;$E24,{index('Output_HALO - DACH'!$A:$ZZ,0,$C$8),index('Output_HALO - DACH'!$A:$ZZ,0,$C$5)},2,0),"")</f>
        <v/>
      </c>
      <c r="S24" s="353" t="str">
        <f t="array" ref="S24">iferror(vlookup(S$12&amp;"-"&amp;$E24,{index('Output_HALO - DACH'!$A:$ZZ,0,$C$8),index('Output_HALO - DACH'!$A:$ZZ,0,$C$5)},2,0),"")</f>
        <v/>
      </c>
      <c r="T24" s="353" t="str">
        <f t="array" ref="T24">iferror(vlookup(T$12&amp;"-"&amp;$E24,{index('Output_HALO - DACH'!$A:$ZZ,0,$C$8),index('Output_HALO - DACH'!$A:$ZZ,0,$C$5)},2,0),"")</f>
        <v/>
      </c>
      <c r="U24" s="353" t="str">
        <f t="array" ref="U24">iferror(vlookup(U$12&amp;"-"&amp;$E24,{index('Output_HALO - DACH'!$A:$ZZ,0,$C$8),index('Output_HALO - DACH'!$A:$ZZ,0,$C$5)},2,0),"")</f>
        <v/>
      </c>
      <c r="V24" s="353" t="str">
        <f t="array" ref="V24">iferror(vlookup(V$12&amp;"-"&amp;$E24,{index('Output_HALO - DACH'!$A:$ZZ,0,$C$8),index('Output_HALO - DACH'!$A:$ZZ,0,$C$5)},2,0),"")</f>
        <v/>
      </c>
      <c r="W24" s="353" t="str">
        <f t="array" ref="W24">iferror(vlookup(W$12&amp;"-"&amp;$E24,{index('Output_HALO - DACH'!$A:$ZZ,0,$C$8),index('Output_HALO - DACH'!$A:$ZZ,0,$C$5)},2,0),"")</f>
        <v/>
      </c>
      <c r="X24" s="353" t="str">
        <f t="array" ref="X24">iferror(vlookup(X$12&amp;"-"&amp;$E24,{index('Output_HALO - DACH'!$A:$ZZ,0,$C$8),index('Output_HALO - DACH'!$A:$ZZ,0,$C$5)},2,0),"")</f>
        <v/>
      </c>
      <c r="Y24" s="353" t="str">
        <f t="array" ref="Y24">iferror(vlookup(Y$12&amp;"-"&amp;$E24,{index('Output_HALO - DACH'!$A:$ZZ,0,$C$8),index('Output_HALO - DACH'!$A:$ZZ,0,$C$5)},2,0),"")</f>
        <v/>
      </c>
      <c r="Z24" s="353" t="str">
        <f t="array" ref="Z24">iferror(vlookup(Z$12&amp;"-"&amp;$E24,{index('Output_HALO - DACH'!$A:$ZZ,0,$C$8),index('Output_HALO - DACH'!$A:$ZZ,0,$C$5)},2,0),"")</f>
        <v/>
      </c>
      <c r="AA24" s="353" t="str">
        <f t="array" ref="AA24">iferror(vlookup(AA$12&amp;"-"&amp;$E24,{index('Output_HALO - DACH'!$A:$ZZ,0,$C$8),index('Output_HALO - DACH'!$A:$ZZ,0,$C$5)},2,0),"")</f>
        <v/>
      </c>
      <c r="AB24" s="353" t="str">
        <f t="array" ref="AB24">iferror(vlookup(AB$12&amp;"-"&amp;$E24,{index('Output_HALO - DACH'!$A:$ZZ,0,$C$8),index('Output_HALO - DACH'!$A:$ZZ,0,$C$5)},2,0),"")</f>
        <v/>
      </c>
      <c r="AC24" s="353" t="str">
        <f t="array" ref="AC24">iferror(vlookup(AC$12&amp;"-"&amp;$E24,{index('Output_HALO - DACH'!$A:$ZZ,0,$C$8),index('Output_HALO - DACH'!$A:$ZZ,0,$C$5)},2,0),"")</f>
        <v>F56</v>
      </c>
      <c r="AD24" s="353" t="str">
        <f t="array" ref="AD24">iferror(vlookup(AD$12&amp;"-"&amp;$E24,{index('Output_HALO - DACH'!$A:$ZZ,0,$C$8),index('Output_HALO - DACH'!$A:$ZZ,0,$C$5)},2,0),"")</f>
        <v>F59</v>
      </c>
      <c r="AE24" s="353" t="str">
        <f t="array" ref="AE24">iferror(vlookup(AE$12&amp;"-"&amp;$E24,{index('Output_HALO - DACH'!$A:$ZZ,0,$C$8),index('Output_HALO - DACH'!$A:$ZZ,0,$C$5)},2,0),"")</f>
        <v>F62</v>
      </c>
      <c r="AF24" s="353" t="str">
        <f t="array" ref="AF24">iferror(vlookup(AF$12&amp;"-"&amp;$E24,{index('Output_HALO - DACH'!$A:$ZZ,0,$C$8),index('Output_HALO - DACH'!$A:$ZZ,0,$C$5)},2,0),"")</f>
        <v>F65</v>
      </c>
      <c r="AG24" s="353" t="str">
        <f t="array" ref="AG24">iferror(vlookup(AG$12&amp;"-"&amp;$E24,{index('Output_HALO - DACH'!$A:$ZZ,0,$C$8),index('Output_HALO - DACH'!$A:$ZZ,0,$C$5)},2,0),"")</f>
        <v/>
      </c>
      <c r="AH24" s="353" t="str">
        <f t="array" ref="AH24">iferror(vlookup(AH$12&amp;"-"&amp;$E24,{index('Output_HALO - DACH'!$A:$ZZ,0,$C$8),index('Output_HALO - DACH'!$A:$ZZ,0,$C$5)},2,0),"")</f>
        <v/>
      </c>
      <c r="AI24" s="353" t="str">
        <f t="array" ref="AI24">iferror(vlookup(AI$12&amp;"-"&amp;$E24,{index('Output_HALO - DACH'!$A:$ZZ,0,$C$8),index('Output_HALO - DACH'!$A:$ZZ,0,$C$5)},2,0),"")</f>
        <v/>
      </c>
      <c r="AJ24" s="353" t="str">
        <f t="array" ref="AJ24">iferror(vlookup(AJ$12&amp;"-"&amp;$E24,{index('Output_HALO - DACH'!$A:$ZZ,0,$C$8),index('Output_HALO - DACH'!$A:$ZZ,0,$C$5)},2,0),"")</f>
        <v/>
      </c>
      <c r="AK24" s="353" t="str">
        <f t="array" ref="AK24">iferror(vlookup(AK$12&amp;"-"&amp;$E24,{index('Output_HALO - DACH'!$A:$ZZ,0,$C$8),index('Output_HALO - DACH'!$A:$ZZ,0,$C$5)},2,0),"")</f>
        <v/>
      </c>
      <c r="AL24" s="353" t="str">
        <f t="array" ref="AL24">iferror(vlookup(AL$12&amp;"-"&amp;$E24,{index('Output_HALO - DACH'!$A:$ZZ,0,$C$8),index('Output_HALO - DACH'!$A:$ZZ,0,$C$5)},2,0),"")</f>
        <v/>
      </c>
      <c r="AM24" s="353" t="str">
        <f t="array" ref="AM24">iferror(vlookup(AM$12&amp;"-"&amp;$E24,{index('Output_HALO - DACH'!$A:$ZZ,0,$C$8),index('Output_HALO - DACH'!$A:$ZZ,0,$C$5)},2,0),"")</f>
        <v>F86</v>
      </c>
      <c r="AN24" s="353" t="str">
        <f t="array" ref="AN24">iferror(vlookup(AN$12&amp;"-"&amp;$E24,{index('Output_HALO - DACH'!$A:$ZZ,0,$C$8),index('Output_HALO - DACH'!$A:$ZZ,0,$C$5)},2,0),"")</f>
        <v>F89</v>
      </c>
      <c r="AO24" s="353" t="str">
        <f t="array" ref="AO24">iferror(vlookup(AO$12&amp;"-"&amp;$E24,{index('Output_HALO - DACH'!$A:$ZZ,0,$C$8),index('Output_HALO - DACH'!$A:$ZZ,0,$C$5)},2,0),"")</f>
        <v>F92</v>
      </c>
      <c r="AP24" s="353" t="str">
        <f t="array" ref="AP24">iferror(vlookup(AP$12&amp;"-"&amp;$E24,{index('Output_HALO - DACH'!$A:$ZZ,0,$C$8),index('Output_HALO - DACH'!$A:$ZZ,0,$C$5)},2,0),"")</f>
        <v/>
      </c>
      <c r="AQ24" s="353" t="str">
        <f t="array" ref="AQ24">iferror(vlookup(AQ$12&amp;"-"&amp;$E24,{index('Output_HALO - DACH'!$A:$ZZ,0,$C$8),index('Output_HALO - DACH'!$A:$ZZ,0,$C$5)},2,0),"")</f>
        <v/>
      </c>
      <c r="AR24" s="353" t="str">
        <f t="array" ref="AR24">iferror(vlookup(AR$12&amp;"-"&amp;$E24,{index('Output_HALO - DACH'!$A:$ZZ,0,$C$8),index('Output_HALO - DACH'!$A:$ZZ,0,$C$5)},2,0),"")</f>
        <v/>
      </c>
      <c r="AS24" s="353" t="str">
        <f t="array" ref="AS24">iferror(vlookup(AS$12&amp;"-"&amp;$E24,{index('Output_HALO - DACH'!$A:$ZZ,0,$C$8),index('Output_HALO - DACH'!$A:$ZZ,0,$C$5)},2,0),"")</f>
        <v/>
      </c>
      <c r="AT24" s="353" t="str">
        <f t="array" ref="AT24">iferror(vlookup(AT$12&amp;"-"&amp;$E24,{index('Output_HALO - DACH'!$A:$ZZ,0,$C$8),index('Output_HALO - DACH'!$A:$ZZ,0,$C$5)},2,0),"")</f>
        <v>F106</v>
      </c>
      <c r="AU24" s="353" t="str">
        <f t="array" ref="AU24">iferror(vlookup(AU$12&amp;"-"&amp;$E24,{index('Output_HALO - DACH'!$A:$ZZ,0,$C$8),index('Output_HALO - DACH'!$A:$ZZ,0,$C$5)},2,0),"")</f>
        <v/>
      </c>
      <c r="AV24" s="353" t="str">
        <f t="array" ref="AV24">iferror(vlookup(AV$12&amp;"-"&amp;$E24,{index('Output_HALO - DACH'!$A:$ZZ,0,$C$8),index('Output_HALO - DACH'!$A:$ZZ,0,$C$5)},2,0),"")</f>
        <v>F110</v>
      </c>
      <c r="AW24" s="353" t="str">
        <f t="array" ref="AW24">iferror(vlookup(AW$12&amp;"-"&amp;$E24,{index('Output_HALO - DACH'!$A:$ZZ,0,$C$8),index('Output_HALO - DACH'!$A:$ZZ,0,$C$5)},2,0),"")</f>
        <v>F112</v>
      </c>
      <c r="AX24" s="353" t="str">
        <f t="array" ref="AX24">iferror(vlookup(AX$12&amp;"-"&amp;$E24,{index('Output_HALO - DACH'!$A:$ZZ,0,$C$8),index('Output_HALO - DACH'!$A:$ZZ,0,$C$5)},2,0),"")</f>
        <v/>
      </c>
      <c r="AY24" s="353" t="str">
        <f t="array" ref="AY24">iferror(vlookup(AY$12&amp;"-"&amp;$E24,{index('Output_HALO - DACH'!$A:$ZZ,0,$C$8),index('Output_HALO - DACH'!$A:$ZZ,0,$C$5)},2,0),"")</f>
        <v/>
      </c>
      <c r="AZ24" s="353" t="str">
        <f t="array" ref="AZ24">iferror(vlookup(AZ$12&amp;"-"&amp;$E24,{index('Output_HALO - DACH'!$A:$ZZ,0,$C$8),index('Output_HALO - DACH'!$A:$ZZ,0,$C$5)},2,0),"")</f>
        <v/>
      </c>
      <c r="BA24" s="353" t="str">
        <f t="array" ref="BA24">iferror(vlookup(BA$12&amp;"-"&amp;$E24,{index('Output_HALO - DACH'!$A:$ZZ,0,$C$8),index('Output_HALO - DACH'!$A:$ZZ,0,$C$5)},2,0),"")</f>
        <v/>
      </c>
      <c r="BB24" s="353" t="str">
        <f t="array" ref="BB24">iferror(vlookup(BB$12&amp;"-"&amp;$E24,{index('Output_HALO - DACH'!$A:$ZZ,0,$C$8),index('Output_HALO - DACH'!$A:$ZZ,0,$C$5)},2,0),"")</f>
        <v>F122</v>
      </c>
      <c r="BC24" s="353" t="str">
        <f t="array" ref="BC24">iferror(vlookup(BC$12&amp;"-"&amp;$E24,{index('Output_HALO - DACH'!$A:$ZZ,0,$C$8),index('Output_HALO - DACH'!$A:$ZZ,0,$C$5)},2,0),"")</f>
        <v>F124</v>
      </c>
      <c r="BD24" s="353" t="str">
        <f t="array" ref="BD24">iferror(vlookup(BD$12&amp;"-"&amp;$E24,{index('Output_HALO - DACH'!$A:$ZZ,0,$C$8),index('Output_HALO - DACH'!$A:$ZZ,0,$C$5)},2,0),"")</f>
        <v>F126</v>
      </c>
      <c r="BE24" s="353" t="str">
        <f t="array" ref="BE24">iferror(vlookup(BE$12&amp;"-"&amp;$E24,{index('Output_HALO - DACH'!$A:$ZZ,0,$C$8),index('Output_HALO - DACH'!$A:$ZZ,0,$C$5)},2,0),"")</f>
        <v/>
      </c>
      <c r="BF24" s="353" t="str">
        <f t="array" ref="BF24">iferror(vlookup(BF$12&amp;"-"&amp;$E24,{index('Output_HALO - DACH'!$A:$ZZ,0,$C$8),index('Output_HALO - DACH'!$A:$ZZ,0,$C$5)},2,0),"")</f>
        <v/>
      </c>
      <c r="BG24" s="353" t="str">
        <f t="array" ref="BG24">iferror(vlookup(BG$12&amp;"-"&amp;$E24,{index('Output_HALO - DACH'!$A:$ZZ,0,$C$8),index('Output_HALO - DACH'!$A:$ZZ,0,$C$5)},2,0),"")</f>
        <v/>
      </c>
      <c r="BH24" s="353" t="str">
        <f t="array" ref="BH24">iferror(vlookup(BH$12&amp;"-"&amp;$E24,{index('Output_HALO - DACH'!$A:$ZZ,0,$C$8),index('Output_HALO - DACH'!$A:$ZZ,0,$C$5)},2,0),"")</f>
        <v>F134</v>
      </c>
      <c r="BI24" s="353" t="str">
        <f t="array" ref="BI24">iferror(vlookup(BI$12&amp;"-"&amp;$E24,{index('Output_HALO - DACH'!$A:$ZZ,0,$C$8),index('Output_HALO - DACH'!$A:$ZZ,0,$C$5)},2,0),"")</f>
        <v>F136</v>
      </c>
      <c r="BJ24" s="353" t="str">
        <f t="array" ref="BJ24">iferror(vlookup(BJ$12&amp;"-"&amp;$E24,{index('Output_HALO - DACH'!$A:$ZZ,0,$C$8),index('Output_HALO - DACH'!$A:$ZZ,0,$C$5)},2,0),"")</f>
        <v>F138</v>
      </c>
      <c r="BK24" s="353" t="str">
        <f t="array" ref="BK24">iferror(vlookup(BK$12&amp;"-"&amp;$E24,{index('Output_HALO - DACH'!$A:$ZZ,0,$C$8),index('Output_HALO - DACH'!$A:$ZZ,0,$C$5)},2,0),"")</f>
        <v>F140</v>
      </c>
      <c r="BL24" s="353" t="str">
        <f t="array" ref="BL24">iferror(vlookup(BL$12&amp;"-"&amp;$E24,{index('Output_HALO - DACH'!$A:$ZZ,0,$C$8),index('Output_HALO - DACH'!$A:$ZZ,0,$C$5)},2,0),"")</f>
        <v>F142</v>
      </c>
      <c r="BM24" s="353" t="str">
        <f t="array" ref="BM24">iferror(vlookup(BM$12&amp;"-"&amp;$E24,{index('Output_HALO - DACH'!$A:$ZZ,0,$C$8),index('Output_HALO - DACH'!$A:$ZZ,0,$C$5)},2,0),"")</f>
        <v>F144</v>
      </c>
      <c r="BN24" s="353" t="str">
        <f t="array" ref="BN24">iferror(vlookup(BN$12&amp;"-"&amp;$E24,{index('Output_HALO - DACH'!$A:$ZZ,0,$C$8),index('Output_HALO - DACH'!$A:$ZZ,0,$C$5)},2,0),"")</f>
        <v/>
      </c>
      <c r="BO24" s="353" t="str">
        <f t="array" ref="BO24">iferror(vlookup(BO$12&amp;"-"&amp;$E24,{index('Output_HALO - DACH'!$A:$ZZ,0,$C$8),index('Output_HALO - DACH'!$A:$ZZ,0,$C$5)},2,0),"")</f>
        <v/>
      </c>
      <c r="BP24" s="353" t="str">
        <f t="array" ref="BP24">iferror(vlookup(BP$12&amp;"-"&amp;$E24,{index('Output_HALO - DACH'!$A:$ZZ,0,$C$8),index('Output_HALO - DACH'!$A:$ZZ,0,$C$5)},2,0),"")</f>
        <v/>
      </c>
      <c r="BQ24" s="353" t="str">
        <f t="array" ref="BQ24">iferror(vlookup(BQ$12&amp;"-"&amp;$E24,{index('Output_HALO - DACH'!$A:$ZZ,0,$C$8),index('Output_HALO - DACH'!$A:$ZZ,0,$C$5)},2,0),"")</f>
        <v/>
      </c>
    </row>
    <row r="25">
      <c r="E25" s="354">
        <v>1.0</v>
      </c>
      <c r="F25" s="353" t="str">
        <f t="array" ref="F25">iferror(vlookup(F$12&amp;"-"&amp;$E25,{index('Output_HALO - DACH'!$A:$ZZ,0,$C$8),index('Output_HALO - DACH'!$A:$ZZ,0,$C$3)},2,0),"")</f>
        <v/>
      </c>
      <c r="G25" s="353" t="str">
        <f t="array" ref="G25">iferror(vlookup(G$12&amp;"-"&amp;$E25,{index('Output_HALO - DACH'!$A:$ZZ,0,$C$8),index('Output_HALO - DACH'!$A:$ZZ,0,$C$3)},2,0),"")</f>
        <v>Factor Box Large</v>
      </c>
      <c r="H25" s="353" t="str">
        <f t="array" ref="H25">iferror(vlookup(H$12&amp;"-"&amp;$E25,{index('Output_HALO - DACH'!$A:$ZZ,0,$C$8),index('Output_HALO - DACH'!$A:$ZZ,0,$C$3)},2,0),"")</f>
        <v>Factor Box Medium</v>
      </c>
      <c r="I25" s="353" t="str">
        <f t="array" ref="I25">iferror(vlookup(I$12&amp;"-"&amp;$E25,{index('Output_HALO - DACH'!$A:$ZZ,0,$C$8),index('Output_HALO - DACH'!$A:$ZZ,0,$C$3)},2,0),"")</f>
        <v/>
      </c>
      <c r="J25" s="353" t="str">
        <f t="array" ref="J25">iferror(vlookup(J$12&amp;"-"&amp;$E25,{index('Output_HALO - DACH'!$A:$ZZ,0,$C$8),index('Output_HALO - DACH'!$A:$ZZ,0,$C$3)},2,0),"")</f>
        <v>Factor Box Small</v>
      </c>
      <c r="K25" s="353" t="str">
        <f t="array" ref="K25">iferror(vlookup(K$12&amp;"-"&amp;$E25,{index('Output_HALO - DACH'!$A:$ZZ,0,$C$8),index('Output_HALO - DACH'!$A:$ZZ,0,$C$3)},2,0),"")</f>
        <v/>
      </c>
      <c r="L25" s="353" t="str">
        <f t="array" ref="L25">iferror(vlookup(L$12&amp;"-"&amp;$E25,{index('Output_HALO - DACH'!$A:$ZZ,0,$C$8),index('Output_HALO - DACH'!$A:$ZZ,0,$C$3)},2,0),"")</f>
        <v>Factor Liner Large1</v>
      </c>
      <c r="M25" s="353" t="str">
        <f t="array" ref="M25">iferror(vlookup(M$12&amp;"-"&amp;$E25,{index('Output_HALO - DACH'!$A:$ZZ,0,$C$8),index('Output_HALO - DACH'!$A:$ZZ,0,$C$3)},2,0),"")</f>
        <v/>
      </c>
      <c r="N25" s="353" t="str">
        <f t="array" ref="N25">iferror(vlookup(N$12&amp;"-"&amp;$E25,{index('Output_HALO - DACH'!$A:$ZZ,0,$C$8),index('Output_HALO - DACH'!$A:$ZZ,0,$C$3)},2,0),"")</f>
        <v>Factor Liner Large2</v>
      </c>
      <c r="O25" s="353" t="str">
        <f t="array" ref="O25">iferror(vlookup(O$12&amp;"-"&amp;$E25,{index('Output_HALO - DACH'!$A:$ZZ,0,$C$8),index('Output_HALO - DACH'!$A:$ZZ,0,$C$3)},2,0),"")</f>
        <v/>
      </c>
      <c r="P25" s="353" t="str">
        <f t="array" ref="P25">iferror(vlookup(P$12&amp;"-"&amp;$E25,{index('Output_HALO - DACH'!$A:$ZZ,0,$C$8),index('Output_HALO - DACH'!$A:$ZZ,0,$C$3)},2,0),"")</f>
        <v/>
      </c>
      <c r="Q25" s="353" t="str">
        <f t="array" ref="Q25">iferror(vlookup(Q$12&amp;"-"&amp;$E25,{index('Output_HALO - DACH'!$A:$ZZ,0,$C$8),index('Output_HALO - DACH'!$A:$ZZ,0,$C$3)},2,0),"")</f>
        <v/>
      </c>
      <c r="R25" s="353" t="str">
        <f t="array" ref="R25">iferror(vlookup(R$12&amp;"-"&amp;$E25,{index('Output_HALO - DACH'!$A:$ZZ,0,$C$8),index('Output_HALO - DACH'!$A:$ZZ,0,$C$3)},2,0),"")</f>
        <v/>
      </c>
      <c r="S25" s="353" t="str">
        <f t="array" ref="S25">iferror(vlookup(S$12&amp;"-"&amp;$E25,{index('Output_HALO - DACH'!$A:$ZZ,0,$C$8),index('Output_HALO - DACH'!$A:$ZZ,0,$C$3)},2,0),"")</f>
        <v/>
      </c>
      <c r="T25" s="353" t="str">
        <f t="array" ref="T25">iferror(vlookup(T$12&amp;"-"&amp;$E25,{index('Output_HALO - DACH'!$A:$ZZ,0,$C$8),index('Output_HALO - DACH'!$A:$ZZ,0,$C$3)},2,0),"")</f>
        <v/>
      </c>
      <c r="U25" s="353" t="str">
        <f t="array" ref="U25">iferror(vlookup(U$12&amp;"-"&amp;$E25,{index('Output_HALO - DACH'!$A:$ZZ,0,$C$8),index('Output_HALO - DACH'!$A:$ZZ,0,$C$3)},2,0),"")</f>
        <v/>
      </c>
      <c r="V25" s="353" t="str">
        <f t="array" ref="V25">iferror(vlookup(V$12&amp;"-"&amp;$E25,{index('Output_HALO - DACH'!$A:$ZZ,0,$C$8),index('Output_HALO - DACH'!$A:$ZZ,0,$C$3)},2,0),"")</f>
        <v/>
      </c>
      <c r="W25" s="353" t="str">
        <f t="array" ref="W25">iferror(vlookup(W$12&amp;"-"&amp;$E25,{index('Output_HALO - DACH'!$A:$ZZ,0,$C$8),index('Output_HALO - DACH'!$A:$ZZ,0,$C$3)},2,0),"")</f>
        <v/>
      </c>
      <c r="X25" s="353" t="str">
        <f t="array" ref="X25">iferror(vlookup(X$12&amp;"-"&amp;$E25,{index('Output_HALO - DACH'!$A:$ZZ,0,$C$8),index('Output_HALO - DACH'!$A:$ZZ,0,$C$3)},2,0),"")</f>
        <v/>
      </c>
      <c r="Y25" s="353" t="str">
        <f t="array" ref="Y25">iferror(vlookup(Y$12&amp;"-"&amp;$E25,{index('Output_HALO - DACH'!$A:$ZZ,0,$C$8),index('Output_HALO - DACH'!$A:$ZZ,0,$C$3)},2,0),"")</f>
        <v/>
      </c>
      <c r="Z25" s="353" t="str">
        <f t="array" ref="Z25">iferror(vlookup(Z$12&amp;"-"&amp;$E25,{index('Output_HALO - DACH'!$A:$ZZ,0,$C$8),index('Output_HALO - DACH'!$A:$ZZ,0,$C$3)},2,0),"")</f>
        <v/>
      </c>
      <c r="AA25" s="353" t="str">
        <f t="array" ref="AA25">iferror(vlookup(AA$12&amp;"-"&amp;$E25,{index('Output_HALO - DACH'!$A:$ZZ,0,$C$8),index('Output_HALO - DACH'!$A:$ZZ,0,$C$3)},2,0),"")</f>
        <v/>
      </c>
      <c r="AB25" s="353" t="str">
        <f t="array" ref="AB25">iferror(vlookup(AB$12&amp;"-"&amp;$E25,{index('Output_HALO - DACH'!$A:$ZZ,0,$C$8),index('Output_HALO - DACH'!$A:$ZZ,0,$C$3)},2,0),"")</f>
        <v/>
      </c>
      <c r="AC25" s="353" t="str">
        <f t="array" ref="AC25">iferror(vlookup(AC$12&amp;"-"&amp;$E25,{index('Output_HALO - DACH'!$A:$ZZ,0,$C$8),index('Output_HALO - DACH'!$A:$ZZ,0,$C$3)},2,0),"")</f>
        <v>565064 - Lachs in Senf-Dill-Sauce</v>
      </c>
      <c r="AD25" s="353" t="str">
        <f t="array" ref="AD25">iferror(vlookup(AD$12&amp;"-"&amp;$E25,{index('Output_HALO - DACH'!$A:$ZZ,0,$C$8),index('Output_HALO - DACH'!$A:$ZZ,0,$C$3)},2,0),"")</f>
        <v/>
      </c>
      <c r="AE25" s="353" t="str">
        <f t="array" ref="AE25">iferror(vlookup(AE$12&amp;"-"&amp;$E25,{index('Output_HALO - DACH'!$A:$ZZ,0,$C$8),index('Output_HALO - DACH'!$A:$ZZ,0,$C$3)},2,0),"")</f>
        <v/>
      </c>
      <c r="AF25" s="353" t="str">
        <f t="array" ref="AF25">iferror(vlookup(AF$12&amp;"-"&amp;$E25,{index('Output_HALO - DACH'!$A:$ZZ,0,$C$8),index('Output_HALO - DACH'!$A:$ZZ,0,$C$3)},2,0),"")</f>
        <v/>
      </c>
      <c r="AG25" s="353" t="str">
        <f t="array" ref="AG25">iferror(vlookup(AG$12&amp;"-"&amp;$E25,{index('Output_HALO - DACH'!$A:$ZZ,0,$C$8),index('Output_HALO - DACH'!$A:$ZZ,0,$C$3)},2,0),"")</f>
        <v/>
      </c>
      <c r="AH25" s="353" t="str">
        <f t="array" ref="AH25">iferror(vlookup(AH$12&amp;"-"&amp;$E25,{index('Output_HALO - DACH'!$A:$ZZ,0,$C$8),index('Output_HALO - DACH'!$A:$ZZ,0,$C$3)},2,0),"")</f>
        <v/>
      </c>
      <c r="AI25" s="353" t="str">
        <f t="array" ref="AI25">iferror(vlookup(AI$12&amp;"-"&amp;$E25,{index('Output_HALO - DACH'!$A:$ZZ,0,$C$8),index('Output_HALO - DACH'!$A:$ZZ,0,$C$3)},2,0),"")</f>
        <v/>
      </c>
      <c r="AJ25" s="353" t="str">
        <f t="array" ref="AJ25">iferror(vlookup(AJ$12&amp;"-"&amp;$E25,{index('Output_HALO - DACH'!$A:$ZZ,0,$C$8),index('Output_HALO - DACH'!$A:$ZZ,0,$C$3)},2,0),"")</f>
        <v/>
      </c>
      <c r="AK25" s="353" t="str">
        <f t="array" ref="AK25">iferror(vlookup(AK$12&amp;"-"&amp;$E25,{index('Output_HALO - DACH'!$A:$ZZ,0,$C$8),index('Output_HALO - DACH'!$A:$ZZ,0,$C$3)},2,0),"")</f>
        <v/>
      </c>
      <c r="AL25" s="353" t="str">
        <f t="array" ref="AL25">iferror(vlookup(AL$12&amp;"-"&amp;$E25,{index('Output_HALO - DACH'!$A:$ZZ,0,$C$8),index('Output_HALO - DACH'!$A:$ZZ,0,$C$3)},2,0),"")</f>
        <v/>
      </c>
      <c r="AM25" s="353" t="str">
        <f t="array" ref="AM25">iferror(vlookup(AM$12&amp;"-"&amp;$E25,{index('Output_HALO - DACH'!$A:$ZZ,0,$C$8),index('Output_HALO - DACH'!$A:$ZZ,0,$C$3)},2,0),"")</f>
        <v>565211 - Gegrilltes Hähnchen in Ingwer-Knoblauch-Marinade</v>
      </c>
      <c r="AN25" s="353" t="str">
        <f t="array" ref="AN25">iferror(vlookup(AN$12&amp;"-"&amp;$E25,{index('Output_HALO - DACH'!$A:$ZZ,0,$C$8),index('Output_HALO - DACH'!$A:$ZZ,0,$C$3)},2,0),"")</f>
        <v>565309 - Geschmortes Rind in Kräuterjus</v>
      </c>
      <c r="AO25" s="353" t="str">
        <f t="array" ref="AO25">iferror(vlookup(AO$12&amp;"-"&amp;$E25,{index('Output_HALO - DACH'!$A:$ZZ,0,$C$8),index('Output_HALO - DACH'!$A:$ZZ,0,$C$3)},2,0),"")</f>
        <v/>
      </c>
      <c r="AP25" s="353" t="str">
        <f t="array" ref="AP25">iferror(vlookup(AP$12&amp;"-"&amp;$E25,{index('Output_HALO - DACH'!$A:$ZZ,0,$C$8),index('Output_HALO - DACH'!$A:$ZZ,0,$C$3)},2,0),"")</f>
        <v/>
      </c>
      <c r="AQ25" s="353" t="str">
        <f t="array" ref="AQ25">iferror(vlookup(AQ$12&amp;"-"&amp;$E25,{index('Output_HALO - DACH'!$A:$ZZ,0,$C$8),index('Output_HALO - DACH'!$A:$ZZ,0,$C$3)},2,0),"")</f>
        <v>565072 - Gegrilltes Hähnchen mit Ratatouille</v>
      </c>
      <c r="AR25" s="353" t="str">
        <f t="array" ref="AR25">iferror(vlookup(AR$12&amp;"-"&amp;$E25,{index('Output_HALO - DACH'!$A:$ZZ,0,$C$8),index('Output_HALO - DACH'!$A:$ZZ,0,$C$3)},2,0),"")</f>
        <v/>
      </c>
      <c r="AS25" s="353" t="str">
        <f t="array" ref="AS25">iferror(vlookup(AS$12&amp;"-"&amp;$E25,{index('Output_HALO - DACH'!$A:$ZZ,0,$C$8),index('Output_HALO - DACH'!$A:$ZZ,0,$C$3)},2,0),"")</f>
        <v/>
      </c>
      <c r="AT25" s="353" t="str">
        <f t="array" ref="AT25">iferror(vlookup(AT$12&amp;"-"&amp;$E25,{index('Output_HALO - DACH'!$A:$ZZ,0,$C$8),index('Output_HALO - DACH'!$A:$ZZ,0,$C$3)},2,0),"")</f>
        <v>IcePack2</v>
      </c>
      <c r="AU25" s="353" t="str">
        <f t="array" ref="AU25">iferror(vlookup(AU$12&amp;"-"&amp;$E25,{index('Output_HALO - DACH'!$A:$ZZ,0,$C$8),index('Output_HALO - DACH'!$A:$ZZ,0,$C$3)},2,0),"")</f>
        <v>565143 - Schweinefilet in cremiger Knoblauch-Senf-Sauce</v>
      </c>
      <c r="AV25" s="353" t="str">
        <f t="array" ref="AV25">iferror(vlookup(AV$12&amp;"-"&amp;$E25,{index('Output_HALO - DACH'!$A:$ZZ,0,$C$8),index('Output_HALO - DACH'!$A:$ZZ,0,$C$3)},2,0),"")</f>
        <v>565178 - Westafrikanisches Hähnchen-Erdnuss-Curry</v>
      </c>
      <c r="AW25" s="353" t="str">
        <f t="array" ref="AW25">iferror(vlookup(AW$12&amp;"-"&amp;$E25,{index('Output_HALO - DACH'!$A:$ZZ,0,$C$8),index('Output_HALO - DACH'!$A:$ZZ,0,$C$3)},2,0),"")</f>
        <v/>
      </c>
      <c r="AX25" s="353" t="str">
        <f t="array" ref="AX25">iferror(vlookup(AX$12&amp;"-"&amp;$E25,{index('Output_HALO - DACH'!$A:$ZZ,0,$C$8),index('Output_HALO - DACH'!$A:$ZZ,0,$C$3)},2,0),"")</f>
        <v/>
      </c>
      <c r="AY25" s="353" t="str">
        <f t="array" ref="AY25">iferror(vlookup(AY$12&amp;"-"&amp;$E25,{index('Output_HALO - DACH'!$A:$ZZ,0,$C$8),index('Output_HALO - DACH'!$A:$ZZ,0,$C$3)},2,0),"")</f>
        <v/>
      </c>
      <c r="AZ25" s="353" t="str">
        <f t="array" ref="AZ25">iferror(vlookup(AZ$12&amp;"-"&amp;$E25,{index('Output_HALO - DACH'!$A:$ZZ,0,$C$8),index('Output_HALO - DACH'!$A:$ZZ,0,$C$3)},2,0),"")</f>
        <v/>
      </c>
      <c r="BA25" s="353" t="str">
        <f t="array" ref="BA25">iferror(vlookup(BA$12&amp;"-"&amp;$E25,{index('Output_HALO - DACH'!$A:$ZZ,0,$C$8),index('Output_HALO - DACH'!$A:$ZZ,0,$C$3)},2,0),"")</f>
        <v/>
      </c>
      <c r="BB25" s="353" t="str">
        <f t="array" ref="BB25">iferror(vlookup(BB$12&amp;"-"&amp;$E25,{index('Output_HALO - DACH'!$A:$ZZ,0,$C$8),index('Output_HALO - DACH'!$A:$ZZ,0,$C$3)},2,0),"")</f>
        <v/>
      </c>
      <c r="BC25" s="353" t="str">
        <f t="array" ref="BC25">iferror(vlookup(BC$12&amp;"-"&amp;$E25,{index('Output_HALO - DACH'!$A:$ZZ,0,$C$8),index('Output_HALO - DACH'!$A:$ZZ,0,$C$3)},2,0),"")</f>
        <v>565130 - Pulled Pork mit roter Chilisauce</v>
      </c>
      <c r="BD25" s="353" t="str">
        <f t="array" ref="BD25">iferror(vlookup(BD$12&amp;"-"&amp;$E25,{index('Output_HALO - DACH'!$A:$ZZ,0,$C$8),index('Output_HALO - DACH'!$A:$ZZ,0,$C$3)},2,0),"")</f>
        <v>565196 - Ají Verde Lachs</v>
      </c>
      <c r="BE25" s="353" t="str">
        <f t="array" ref="BE25">iferror(vlookup(BE$12&amp;"-"&amp;$E25,{index('Output_HALO - DACH'!$A:$ZZ,0,$C$8),index('Output_HALO - DACH'!$A:$ZZ,0,$C$3)},2,0),"")</f>
        <v>IcePack3</v>
      </c>
      <c r="BF25" s="353" t="str">
        <f t="array" ref="BF25">iferror(vlookup(BF$12&amp;"-"&amp;$E25,{index('Output_HALO - DACH'!$A:$ZZ,0,$C$8),index('Output_HALO - DACH'!$A:$ZZ,0,$C$3)},2,0),"")</f>
        <v/>
      </c>
      <c r="BG25" s="353" t="str">
        <f t="array" ref="BG25">iferror(vlookup(BG$12&amp;"-"&amp;$E25,{index('Output_HALO - DACH'!$A:$ZZ,0,$C$8),index('Output_HALO - DACH'!$A:$ZZ,0,$C$3)},2,0),"")</f>
        <v>565221 - Lachs-Bowl mit Zitrus-Miso</v>
      </c>
      <c r="BH25" s="353" t="str">
        <f t="array" ref="BH25">iferror(vlookup(BH$12&amp;"-"&amp;$E25,{index('Output_HALO - DACH'!$A:$ZZ,0,$C$8),index('Output_HALO - DACH'!$A:$ZZ,0,$C$3)},2,0),"")</f>
        <v>565209 - Grünes Chili-Hähnchen mit Quinoa-Salsa</v>
      </c>
      <c r="BI25" s="353" t="str">
        <f t="array" ref="BI25">iferror(vlookup(BI$12&amp;"-"&amp;$E25,{index('Output_HALO - DACH'!$A:$ZZ,0,$C$8),index('Output_HALO - DACH'!$A:$ZZ,0,$C$3)},2,0),"")</f>
        <v>FA-DE Fourth Box - Hydroflask</v>
      </c>
      <c r="BJ25" s="353" t="str">
        <f t="array" ref="BJ25">iferror(vlookup(BJ$12&amp;"-"&amp;$E25,{index('Output_HALO - DACH'!$A:$ZZ,0,$C$8),index('Output_HALO - DACH'!$A:$ZZ,0,$C$3)},2,0),"")</f>
        <v>FA-DE Third Box - Flyer</v>
      </c>
      <c r="BK25" s="353" t="str">
        <f t="array" ref="BK25">iferror(vlookup(BK$12&amp;"-"&amp;$E25,{index('Output_HALO - DACH'!$A:$ZZ,0,$C$8),index('Output_HALO - DACH'!$A:$ZZ,0,$C$3)},2,0),"")</f>
        <v>FA-DE Second Box - Tote Bag</v>
      </c>
      <c r="BL25" s="353" t="str">
        <f t="array" ref="BL25">iferror(vlookup(BL$12&amp;"-"&amp;$E25,{index('Output_HALO - DACH'!$A:$ZZ,0,$C$8),index('Output_HALO - DACH'!$A:$ZZ,0,$C$3)},2,0),"")</f>
        <v>FA-DE First Box - Flyer about program</v>
      </c>
      <c r="BM25" s="353" t="str">
        <f t="array" ref="BM25">iferror(vlookup(BM$12&amp;"-"&amp;$E25,{index('Output_HALO - DACH'!$A:$ZZ,0,$C$8),index('Output_HALO - DACH'!$A:$ZZ,0,$C$3)},2,0),"")</f>
        <v>FA-DE Freebies</v>
      </c>
      <c r="BN25" s="353" t="str">
        <f t="array" ref="BN25">iferror(vlookup(BN$12&amp;"-"&amp;$E25,{index('Output_HALO - DACH'!$A:$ZZ,0,$C$8),index('Output_HALO - DACH'!$A:$ZZ,0,$C$3)},2,0),"")</f>
        <v/>
      </c>
      <c r="BO25" s="353" t="str">
        <f t="array" ref="BO25">iferror(vlookup(BO$12&amp;"-"&amp;$E25,{index('Output_HALO - DACH'!$A:$ZZ,0,$C$8),index('Output_HALO - DACH'!$A:$ZZ,0,$C$3)},2,0),"")</f>
        <v/>
      </c>
      <c r="BP25" s="353" t="str">
        <f t="array" ref="BP25">iferror(vlookup(BP$12&amp;"-"&amp;$E25,{index('Output_HALO - DACH'!$A:$ZZ,0,$C$8),index('Output_HALO - DACH'!$A:$ZZ,0,$C$3)},2,0),"")</f>
        <v/>
      </c>
      <c r="BQ25" s="353" t="str">
        <f t="array" ref="BQ25">iferror(vlookup(BQ$12&amp;"-"&amp;$E25,{index('Output_HALO - DACH'!$A:$ZZ,0,$C$8),index('Output_HALO - DACH'!$A:$ZZ,0,$C$3)},2,0),"")</f>
        <v/>
      </c>
    </row>
    <row r="26">
      <c r="E26" s="354">
        <v>1.0</v>
      </c>
      <c r="F26" s="353">
        <f t="array" ref="F26">iferror(vlookup(F25,{index('Output_HALO - DACH'!$A:$ZZ,0,$C$3),index('Output_HALO - DACH'!$A:$ZZ,0,$C$4)},2,0),"")</f>
        <v>0</v>
      </c>
      <c r="G26" s="353">
        <f t="array" ref="G26">iferror(vlookup(G25,{index('Output_HALO - DACH'!$A:$ZZ,0,$C$3),index('Output_HALO - DACH'!$A:$ZZ,0,$C$4)},2,0),"")</f>
        <v>0</v>
      </c>
      <c r="H26" s="353">
        <f t="array" ref="H26">iferror(vlookup(H25,{index('Output_HALO - DACH'!$A:$ZZ,0,$C$3),index('Output_HALO - DACH'!$A:$ZZ,0,$C$4)},2,0),"")</f>
        <v>0</v>
      </c>
      <c r="I26" s="353">
        <f t="array" ref="I26">iferror(vlookup(I25,{index('Output_HALO - DACH'!$A:$ZZ,0,$C$3),index('Output_HALO - DACH'!$A:$ZZ,0,$C$4)},2,0),"")</f>
        <v>0</v>
      </c>
      <c r="J26" s="353">
        <f t="array" ref="J26">iferror(vlookup(J25,{index('Output_HALO - DACH'!$A:$ZZ,0,$C$3),index('Output_HALO - DACH'!$A:$ZZ,0,$C$4)},2,0),"")</f>
        <v>0</v>
      </c>
      <c r="K26" s="353">
        <f t="array" ref="K26">iferror(vlookup(K25,{index('Output_HALO - DACH'!$A:$ZZ,0,$C$3),index('Output_HALO - DACH'!$A:$ZZ,0,$C$4)},2,0),"")</f>
        <v>0</v>
      </c>
      <c r="L26" s="353">
        <f t="array" ref="L26">iferror(vlookup(L25,{index('Output_HALO - DACH'!$A:$ZZ,0,$C$3),index('Output_HALO - DACH'!$A:$ZZ,0,$C$4)},2,0),"")</f>
        <v>0</v>
      </c>
      <c r="M26" s="353">
        <f t="array" ref="M26">iferror(vlookup(M25,{index('Output_HALO - DACH'!$A:$ZZ,0,$C$3),index('Output_HALO - DACH'!$A:$ZZ,0,$C$4)},2,0),"")</f>
        <v>0</v>
      </c>
      <c r="N26" s="353">
        <f t="array" ref="N26">iferror(vlookup(N25,{index('Output_HALO - DACH'!$A:$ZZ,0,$C$3),index('Output_HALO - DACH'!$A:$ZZ,0,$C$4)},2,0),"")</f>
        <v>0</v>
      </c>
      <c r="O26" s="353">
        <f t="array" ref="O26">iferror(vlookup(O25,{index('Output_HALO - DACH'!$A:$ZZ,0,$C$3),index('Output_HALO - DACH'!$A:$ZZ,0,$C$4)},2,0),"")</f>
        <v>0</v>
      </c>
      <c r="P26" s="353">
        <f t="array" ref="P26">iferror(vlookup(P25,{index('Output_HALO - DACH'!$A:$ZZ,0,$C$3),index('Output_HALO - DACH'!$A:$ZZ,0,$C$4)},2,0),"")</f>
        <v>0</v>
      </c>
      <c r="Q26" s="353">
        <f t="array" ref="Q26">iferror(vlookup(Q25,{index('Output_HALO - DACH'!$A:$ZZ,0,$C$3),index('Output_HALO - DACH'!$A:$ZZ,0,$C$4)},2,0),"")</f>
        <v>0</v>
      </c>
      <c r="R26" s="353">
        <f t="array" ref="R26">iferror(vlookup(R25,{index('Output_HALO - DACH'!$A:$ZZ,0,$C$3),index('Output_HALO - DACH'!$A:$ZZ,0,$C$4)},2,0),"")</f>
        <v>0</v>
      </c>
      <c r="S26" s="353">
        <f t="array" ref="S26">iferror(vlookup(S25,{index('Output_HALO - DACH'!$A:$ZZ,0,$C$3),index('Output_HALO - DACH'!$A:$ZZ,0,$C$4)},2,0),"")</f>
        <v>0</v>
      </c>
      <c r="T26" s="353">
        <f t="array" ref="T26">iferror(vlookup(T25,{index('Output_HALO - DACH'!$A:$ZZ,0,$C$3),index('Output_HALO - DACH'!$A:$ZZ,0,$C$4)},2,0),"")</f>
        <v>0</v>
      </c>
      <c r="U26" s="353">
        <f t="array" ref="U26">iferror(vlookup(U25,{index('Output_HALO - DACH'!$A:$ZZ,0,$C$3),index('Output_HALO - DACH'!$A:$ZZ,0,$C$4)},2,0),"")</f>
        <v>0</v>
      </c>
      <c r="V26" s="353">
        <f t="array" ref="V26">iferror(vlookup(V25,{index('Output_HALO - DACH'!$A:$ZZ,0,$C$3),index('Output_HALO - DACH'!$A:$ZZ,0,$C$4)},2,0),"")</f>
        <v>0</v>
      </c>
      <c r="W26" s="353">
        <f t="array" ref="W26">iferror(vlookup(W25,{index('Output_HALO - DACH'!$A:$ZZ,0,$C$3),index('Output_HALO - DACH'!$A:$ZZ,0,$C$4)},2,0),"")</f>
        <v>0</v>
      </c>
      <c r="X26" s="353">
        <f t="array" ref="X26">iferror(vlookup(X25,{index('Output_HALO - DACH'!$A:$ZZ,0,$C$3),index('Output_HALO - DACH'!$A:$ZZ,0,$C$4)},2,0),"")</f>
        <v>0</v>
      </c>
      <c r="Y26" s="353">
        <f t="array" ref="Y26">iferror(vlookup(Y25,{index('Output_HALO - DACH'!$A:$ZZ,0,$C$3),index('Output_HALO - DACH'!$A:$ZZ,0,$C$4)},2,0),"")</f>
        <v>0</v>
      </c>
      <c r="Z26" s="353">
        <f t="array" ref="Z26">iferror(vlookup(Z25,{index('Output_HALO - DACH'!$A:$ZZ,0,$C$3),index('Output_HALO - DACH'!$A:$ZZ,0,$C$4)},2,0),"")</f>
        <v>0</v>
      </c>
      <c r="AA26" s="353">
        <f t="array" ref="AA26">iferror(vlookup(AA25,{index('Output_HALO - DACH'!$A:$ZZ,0,$C$3),index('Output_HALO - DACH'!$A:$ZZ,0,$C$4)},2,0),"")</f>
        <v>0</v>
      </c>
      <c r="AB26" s="353">
        <f t="array" ref="AB26">iferror(vlookup(AB25,{index('Output_HALO - DACH'!$A:$ZZ,0,$C$3),index('Output_HALO - DACH'!$A:$ZZ,0,$C$4)},2,0),"")</f>
        <v>0</v>
      </c>
      <c r="AC26" s="353">
        <f t="array" ref="AC26">iferror(vlookup(AC25,{index('Output_HALO - DACH'!$A:$ZZ,0,$C$3),index('Output_HALO - DACH'!$A:$ZZ,0,$C$4)},2,0),"")</f>
        <v>0</v>
      </c>
      <c r="AD26" s="353">
        <f t="array" ref="AD26">iferror(vlookup(AD25,{index('Output_HALO - DACH'!$A:$ZZ,0,$C$3),index('Output_HALO - DACH'!$A:$ZZ,0,$C$4)},2,0),"")</f>
        <v>0</v>
      </c>
      <c r="AE26" s="353">
        <f t="array" ref="AE26">iferror(vlookup(AE25,{index('Output_HALO - DACH'!$A:$ZZ,0,$C$3),index('Output_HALO - DACH'!$A:$ZZ,0,$C$4)},2,0),"")</f>
        <v>0</v>
      </c>
      <c r="AF26" s="353">
        <f t="array" ref="AF26">iferror(vlookup(AF25,{index('Output_HALO - DACH'!$A:$ZZ,0,$C$3),index('Output_HALO - DACH'!$A:$ZZ,0,$C$4)},2,0),"")</f>
        <v>0</v>
      </c>
      <c r="AG26" s="353">
        <f t="array" ref="AG26">iferror(vlookup(AG25,{index('Output_HALO - DACH'!$A:$ZZ,0,$C$3),index('Output_HALO - DACH'!$A:$ZZ,0,$C$4)},2,0),"")</f>
        <v>0</v>
      </c>
      <c r="AH26" s="353">
        <f t="array" ref="AH26">iferror(vlookup(AH25,{index('Output_HALO - DACH'!$A:$ZZ,0,$C$3),index('Output_HALO - DACH'!$A:$ZZ,0,$C$4)},2,0),"")</f>
        <v>0</v>
      </c>
      <c r="AI26" s="353">
        <f t="array" ref="AI26">iferror(vlookup(AI25,{index('Output_HALO - DACH'!$A:$ZZ,0,$C$3),index('Output_HALO - DACH'!$A:$ZZ,0,$C$4)},2,0),"")</f>
        <v>0</v>
      </c>
      <c r="AJ26" s="353">
        <f t="array" ref="AJ26">iferror(vlookup(AJ25,{index('Output_HALO - DACH'!$A:$ZZ,0,$C$3),index('Output_HALO - DACH'!$A:$ZZ,0,$C$4)},2,0),"")</f>
        <v>0</v>
      </c>
      <c r="AK26" s="353">
        <f t="array" ref="AK26">iferror(vlookup(AK25,{index('Output_HALO - DACH'!$A:$ZZ,0,$C$3),index('Output_HALO - DACH'!$A:$ZZ,0,$C$4)},2,0),"")</f>
        <v>0</v>
      </c>
      <c r="AL26" s="353">
        <f t="array" ref="AL26">iferror(vlookup(AL25,{index('Output_HALO - DACH'!$A:$ZZ,0,$C$3),index('Output_HALO - DACH'!$A:$ZZ,0,$C$4)},2,0),"")</f>
        <v>0</v>
      </c>
      <c r="AM26" s="353">
        <f t="array" ref="AM26">iferror(vlookup(AM25,{index('Output_HALO - DACH'!$A:$ZZ,0,$C$3),index('Output_HALO - DACH'!$A:$ZZ,0,$C$4)},2,0),"")</f>
        <v>670</v>
      </c>
      <c r="AN26" s="353">
        <f t="array" ref="AN26">iferror(vlookup(AN25,{index('Output_HALO - DACH'!$A:$ZZ,0,$C$3),index('Output_HALO - DACH'!$A:$ZZ,0,$C$4)},2,0),"")</f>
        <v>2052</v>
      </c>
      <c r="AO26" s="353">
        <f t="array" ref="AO26">iferror(vlookup(AO25,{index('Output_HALO - DACH'!$A:$ZZ,0,$C$3),index('Output_HALO - DACH'!$A:$ZZ,0,$C$4)},2,0),"")</f>
        <v>0</v>
      </c>
      <c r="AP26" s="353">
        <f t="array" ref="AP26">iferror(vlookup(AP25,{index('Output_HALO - DACH'!$A:$ZZ,0,$C$3),index('Output_HALO - DACH'!$A:$ZZ,0,$C$4)},2,0),"")</f>
        <v>0</v>
      </c>
      <c r="AQ26" s="353">
        <f t="array" ref="AQ26">iferror(vlookup(AQ25,{index('Output_HALO - DACH'!$A:$ZZ,0,$C$3),index('Output_HALO - DACH'!$A:$ZZ,0,$C$4)},2,0),"")</f>
        <v>2993</v>
      </c>
      <c r="AR26" s="353">
        <f t="array" ref="AR26">iferror(vlookup(AR25,{index('Output_HALO - DACH'!$A:$ZZ,0,$C$3),index('Output_HALO - DACH'!$A:$ZZ,0,$C$4)},2,0),"")</f>
        <v>0</v>
      </c>
      <c r="AS26" s="353">
        <f t="array" ref="AS26">iferror(vlookup(AS25,{index('Output_HALO - DACH'!$A:$ZZ,0,$C$3),index('Output_HALO - DACH'!$A:$ZZ,0,$C$4)},2,0),"")</f>
        <v>0</v>
      </c>
      <c r="AT26" s="353">
        <f t="array" ref="AT26">iferror(vlookup(AT25,{index('Output_HALO - DACH'!$A:$ZZ,0,$C$3),index('Output_HALO - DACH'!$A:$ZZ,0,$C$4)},2,0),"")</f>
        <v>48</v>
      </c>
      <c r="AU26" s="353">
        <f t="array" ref="AU26">iferror(vlookup(AU25,{index('Output_HALO - DACH'!$A:$ZZ,0,$C$3),index('Output_HALO - DACH'!$A:$ZZ,0,$C$4)},2,0),"")</f>
        <v>598</v>
      </c>
      <c r="AV26" s="353">
        <f t="array" ref="AV26">iferror(vlookup(AV25,{index('Output_HALO - DACH'!$A:$ZZ,0,$C$3),index('Output_HALO - DACH'!$A:$ZZ,0,$C$4)},2,0),"")</f>
        <v>2180</v>
      </c>
      <c r="AW26" s="353">
        <f t="array" ref="AW26">iferror(vlookup(AW25,{index('Output_HALO - DACH'!$A:$ZZ,0,$C$3),index('Output_HALO - DACH'!$A:$ZZ,0,$C$4)},2,0),"")</f>
        <v>0</v>
      </c>
      <c r="AX26" s="353">
        <f t="array" ref="AX26">iferror(vlookup(AX25,{index('Output_HALO - DACH'!$A:$ZZ,0,$C$3),index('Output_HALO - DACH'!$A:$ZZ,0,$C$4)},2,0),"")</f>
        <v>0</v>
      </c>
      <c r="AY26" s="353">
        <f t="array" ref="AY26">iferror(vlookup(AY25,{index('Output_HALO - DACH'!$A:$ZZ,0,$C$3),index('Output_HALO - DACH'!$A:$ZZ,0,$C$4)},2,0),"")</f>
        <v>0</v>
      </c>
      <c r="AZ26" s="353">
        <f t="array" ref="AZ26">iferror(vlookup(AZ25,{index('Output_HALO - DACH'!$A:$ZZ,0,$C$3),index('Output_HALO - DACH'!$A:$ZZ,0,$C$4)},2,0),"")</f>
        <v>0</v>
      </c>
      <c r="BA26" s="353">
        <f t="array" ref="BA26">iferror(vlookup(BA25,{index('Output_HALO - DACH'!$A:$ZZ,0,$C$3),index('Output_HALO - DACH'!$A:$ZZ,0,$C$4)},2,0),"")</f>
        <v>0</v>
      </c>
      <c r="BB26" s="353">
        <f t="array" ref="BB26">iferror(vlookup(BB25,{index('Output_HALO - DACH'!$A:$ZZ,0,$C$3),index('Output_HALO - DACH'!$A:$ZZ,0,$C$4)},2,0),"")</f>
        <v>0</v>
      </c>
      <c r="BC26" s="353">
        <f t="array" ref="BC26">iferror(vlookup(BC25,{index('Output_HALO - DACH'!$A:$ZZ,0,$C$3),index('Output_HALO - DACH'!$A:$ZZ,0,$C$4)},2,0),"")</f>
        <v>1276</v>
      </c>
      <c r="BD26" s="353">
        <f t="array" ref="BD26">iferror(vlookup(BD25,{index('Output_HALO - DACH'!$A:$ZZ,0,$C$3),index('Output_HALO - DACH'!$A:$ZZ,0,$C$4)},2,0),"")</f>
        <v>1282</v>
      </c>
      <c r="BE26" s="353">
        <f t="array" ref="BE26">iferror(vlookup(BE25,{index('Output_HALO - DACH'!$A:$ZZ,0,$C$3),index('Output_HALO - DACH'!$A:$ZZ,0,$C$4)},2,0),"")</f>
        <v>55</v>
      </c>
      <c r="BF26" s="353">
        <f t="array" ref="BF26">iferror(vlookup(BF25,{index('Output_HALO - DACH'!$A:$ZZ,0,$C$3),index('Output_HALO - DACH'!$A:$ZZ,0,$C$4)},2,0),"")</f>
        <v>0</v>
      </c>
      <c r="BG26" s="353">
        <f t="array" ref="BG26">iferror(vlookup(BG25,{index('Output_HALO - DACH'!$A:$ZZ,0,$C$3),index('Output_HALO - DACH'!$A:$ZZ,0,$C$4)},2,0),"")</f>
        <v>773</v>
      </c>
      <c r="BH26" s="353">
        <f t="array" ref="BH26">iferror(vlookup(BH25,{index('Output_HALO - DACH'!$A:$ZZ,0,$C$3),index('Output_HALO - DACH'!$A:$ZZ,0,$C$4)},2,0),"")</f>
        <v>1863</v>
      </c>
      <c r="BI26" s="353">
        <f t="array" ref="BI26">iferror(vlookup(BI25,{index('Output_HALO - DACH'!$A:$ZZ,0,$C$3),index('Output_HALO - DACH'!$A:$ZZ,0,$C$4)},2,0),"")</f>
        <v>0</v>
      </c>
      <c r="BJ26" s="353">
        <f t="array" ref="BJ26">iferror(vlookup(BJ25,{index('Output_HALO - DACH'!$A:$ZZ,0,$C$3),index('Output_HALO - DACH'!$A:$ZZ,0,$C$4)},2,0),"")</f>
        <v>0</v>
      </c>
      <c r="BK26" s="353">
        <f t="array" ref="BK26">iferror(vlookup(BK25,{index('Output_HALO - DACH'!$A:$ZZ,0,$C$3),index('Output_HALO - DACH'!$A:$ZZ,0,$C$4)},2,0),"")</f>
        <v>0</v>
      </c>
      <c r="BL26" s="353">
        <f t="array" ref="BL26">iferror(vlookup(BL25,{index('Output_HALO - DACH'!$A:$ZZ,0,$C$3),index('Output_HALO - DACH'!$A:$ZZ,0,$C$4)},2,0),"")</f>
        <v>0</v>
      </c>
      <c r="BM26" s="353">
        <f t="array" ref="BM26">iferror(vlookup(BM25,{index('Output_HALO - DACH'!$A:$ZZ,0,$C$3),index('Output_HALO - DACH'!$A:$ZZ,0,$C$4)},2,0),"")</f>
        <v>0</v>
      </c>
      <c r="BN26" s="353">
        <f t="array" ref="BN26">iferror(vlookup(BN25,{index('Output_HALO - DACH'!$A:$ZZ,0,$C$3),index('Output_HALO - DACH'!$A:$ZZ,0,$C$4)},2,0),"")</f>
        <v>0</v>
      </c>
      <c r="BO26" s="353">
        <f t="array" ref="BO26">iferror(vlookup(BO25,{index('Output_HALO - DACH'!$A:$ZZ,0,$C$3),index('Output_HALO - DACH'!$A:$ZZ,0,$C$4)},2,0),"")</f>
        <v>0</v>
      </c>
      <c r="BP26" s="353">
        <f t="array" ref="BP26">iferror(vlookup(BP25,{index('Output_HALO - DACH'!$A:$ZZ,0,$C$3),index('Output_HALO - DACH'!$A:$ZZ,0,$C$4)},2,0),"")</f>
        <v>0</v>
      </c>
      <c r="BQ26" s="353">
        <f t="array" ref="BQ26">iferror(vlookup(BQ25,{index('Output_HALO - DACH'!$A:$ZZ,0,$C$3),index('Output_HALO - DACH'!$A:$ZZ,0,$C$4)},2,0),"")</f>
        <v>0</v>
      </c>
    </row>
    <row r="27">
      <c r="E27" s="354">
        <v>1.0</v>
      </c>
      <c r="F27" s="353" t="str">
        <f t="array" ref="F27">iferror(vlookup(F$12&amp;"-"&amp;$E27,{index('Output_HALO - DACH'!$A:$ZZ,0,$C$8),index('Output_HALO - DACH'!$A:$ZZ,0,$C$5)},2,0),"")</f>
        <v/>
      </c>
      <c r="G27" s="353" t="str">
        <f t="array" ref="G27">iferror(vlookup(G$12&amp;"-"&amp;$E27,{index('Output_HALO - DACH'!$A:$ZZ,0,$C$8),index('Output_HALO - DACH'!$A:$ZZ,0,$C$5)},2,0),"")</f>
        <v>F02</v>
      </c>
      <c r="H27" s="353" t="str">
        <f t="array" ref="H27">iferror(vlookup(H$12&amp;"-"&amp;$E27,{index('Output_HALO - DACH'!$A:$ZZ,0,$C$8),index('Output_HALO - DACH'!$A:$ZZ,0,$C$5)},2,0),"")</f>
        <v>F03</v>
      </c>
      <c r="I27" s="353" t="str">
        <f t="array" ref="I27">iferror(vlookup(I$12&amp;"-"&amp;$E27,{index('Output_HALO - DACH'!$A:$ZZ,0,$C$8),index('Output_HALO - DACH'!$A:$ZZ,0,$C$5)},2,0),"")</f>
        <v/>
      </c>
      <c r="J27" s="353" t="str">
        <f t="array" ref="J27">iferror(vlookup(J$12&amp;"-"&amp;$E27,{index('Output_HALO - DACH'!$A:$ZZ,0,$C$8),index('Output_HALO - DACH'!$A:$ZZ,0,$C$5)},2,0),"")</f>
        <v>F05</v>
      </c>
      <c r="K27" s="353" t="str">
        <f t="array" ref="K27">iferror(vlookup(K$12&amp;"-"&amp;$E27,{index('Output_HALO - DACH'!$A:$ZZ,0,$C$8),index('Output_HALO - DACH'!$A:$ZZ,0,$C$5)},2,0),"")</f>
        <v/>
      </c>
      <c r="L27" s="353" t="str">
        <f t="array" ref="L27">iferror(vlookup(L$12&amp;"-"&amp;$E27,{index('Output_HALO - DACH'!$A:$ZZ,0,$C$8),index('Output_HALO - DACH'!$A:$ZZ,0,$C$5)},2,0),"")</f>
        <v>F07</v>
      </c>
      <c r="M27" s="353" t="str">
        <f t="array" ref="M27">iferror(vlookup(M$12&amp;"-"&amp;$E27,{index('Output_HALO - DACH'!$A:$ZZ,0,$C$8),index('Output_HALO - DACH'!$A:$ZZ,0,$C$5)},2,0),"")</f>
        <v/>
      </c>
      <c r="N27" s="353" t="str">
        <f t="array" ref="N27">iferror(vlookup(N$12&amp;"-"&amp;$E27,{index('Output_HALO - DACH'!$A:$ZZ,0,$C$8),index('Output_HALO - DACH'!$A:$ZZ,0,$C$5)},2,0),"")</f>
        <v>F11</v>
      </c>
      <c r="O27" s="353" t="str">
        <f t="array" ref="O27">iferror(vlookup(O$12&amp;"-"&amp;$E27,{index('Output_HALO - DACH'!$A:$ZZ,0,$C$8),index('Output_HALO - DACH'!$A:$ZZ,0,$C$5)},2,0),"")</f>
        <v/>
      </c>
      <c r="P27" s="353" t="str">
        <f t="array" ref="P27">iferror(vlookup(P$12&amp;"-"&amp;$E27,{index('Output_HALO - DACH'!$A:$ZZ,0,$C$8),index('Output_HALO - DACH'!$A:$ZZ,0,$C$5)},2,0),"")</f>
        <v/>
      </c>
      <c r="Q27" s="353" t="str">
        <f t="array" ref="Q27">iferror(vlookup(Q$12&amp;"-"&amp;$E27,{index('Output_HALO - DACH'!$A:$ZZ,0,$C$8),index('Output_HALO - DACH'!$A:$ZZ,0,$C$5)},2,0),"")</f>
        <v/>
      </c>
      <c r="R27" s="353" t="str">
        <f t="array" ref="R27">iferror(vlookup(R$12&amp;"-"&amp;$E27,{index('Output_HALO - DACH'!$A:$ZZ,0,$C$8),index('Output_HALO - DACH'!$A:$ZZ,0,$C$5)},2,0),"")</f>
        <v/>
      </c>
      <c r="S27" s="353" t="str">
        <f t="array" ref="S27">iferror(vlookup(S$12&amp;"-"&amp;$E27,{index('Output_HALO - DACH'!$A:$ZZ,0,$C$8),index('Output_HALO - DACH'!$A:$ZZ,0,$C$5)},2,0),"")</f>
        <v/>
      </c>
      <c r="T27" s="353" t="str">
        <f t="array" ref="T27">iferror(vlookup(T$12&amp;"-"&amp;$E27,{index('Output_HALO - DACH'!$A:$ZZ,0,$C$8),index('Output_HALO - DACH'!$A:$ZZ,0,$C$5)},2,0),"")</f>
        <v/>
      </c>
      <c r="U27" s="353" t="str">
        <f t="array" ref="U27">iferror(vlookup(U$12&amp;"-"&amp;$E27,{index('Output_HALO - DACH'!$A:$ZZ,0,$C$8),index('Output_HALO - DACH'!$A:$ZZ,0,$C$5)},2,0),"")</f>
        <v/>
      </c>
      <c r="V27" s="353" t="str">
        <f t="array" ref="V27">iferror(vlookup(V$12&amp;"-"&amp;$E27,{index('Output_HALO - DACH'!$A:$ZZ,0,$C$8),index('Output_HALO - DACH'!$A:$ZZ,0,$C$5)},2,0),"")</f>
        <v/>
      </c>
      <c r="W27" s="353" t="str">
        <f t="array" ref="W27">iferror(vlookup(W$12&amp;"-"&amp;$E27,{index('Output_HALO - DACH'!$A:$ZZ,0,$C$8),index('Output_HALO - DACH'!$A:$ZZ,0,$C$5)},2,0),"")</f>
        <v/>
      </c>
      <c r="X27" s="353" t="str">
        <f t="array" ref="X27">iferror(vlookup(X$12&amp;"-"&amp;$E27,{index('Output_HALO - DACH'!$A:$ZZ,0,$C$8),index('Output_HALO - DACH'!$A:$ZZ,0,$C$5)},2,0),"")</f>
        <v/>
      </c>
      <c r="Y27" s="353" t="str">
        <f t="array" ref="Y27">iferror(vlookup(Y$12&amp;"-"&amp;$E27,{index('Output_HALO - DACH'!$A:$ZZ,0,$C$8),index('Output_HALO - DACH'!$A:$ZZ,0,$C$5)},2,0),"")</f>
        <v/>
      </c>
      <c r="Z27" s="353" t="str">
        <f t="array" ref="Z27">iferror(vlookup(Z$12&amp;"-"&amp;$E27,{index('Output_HALO - DACH'!$A:$ZZ,0,$C$8),index('Output_HALO - DACH'!$A:$ZZ,0,$C$5)},2,0),"")</f>
        <v/>
      </c>
      <c r="AA27" s="353" t="str">
        <f t="array" ref="AA27">iferror(vlookup(AA$12&amp;"-"&amp;$E27,{index('Output_HALO - DACH'!$A:$ZZ,0,$C$8),index('Output_HALO - DACH'!$A:$ZZ,0,$C$5)},2,0),"")</f>
        <v/>
      </c>
      <c r="AB27" s="353" t="str">
        <f t="array" ref="AB27">iferror(vlookup(AB$12&amp;"-"&amp;$E27,{index('Output_HALO - DACH'!$A:$ZZ,0,$C$8),index('Output_HALO - DACH'!$A:$ZZ,0,$C$5)},2,0),"")</f>
        <v/>
      </c>
      <c r="AC27" s="353" t="str">
        <f t="array" ref="AC27">iferror(vlookup(AC$12&amp;"-"&amp;$E27,{index('Output_HALO - DACH'!$A:$ZZ,0,$C$8),index('Output_HALO - DACH'!$A:$ZZ,0,$C$5)},2,0),"")</f>
        <v>F55</v>
      </c>
      <c r="AD27" s="353" t="str">
        <f t="array" ref="AD27">iferror(vlookup(AD$12&amp;"-"&amp;$E27,{index('Output_HALO - DACH'!$A:$ZZ,0,$C$8),index('Output_HALO - DACH'!$A:$ZZ,0,$C$5)},2,0),"")</f>
        <v>F58</v>
      </c>
      <c r="AE27" s="353" t="str">
        <f t="array" ref="AE27">iferror(vlookup(AE$12&amp;"-"&amp;$E27,{index('Output_HALO - DACH'!$A:$ZZ,0,$C$8),index('Output_HALO - DACH'!$A:$ZZ,0,$C$5)},2,0),"")</f>
        <v/>
      </c>
      <c r="AF27" s="353" t="str">
        <f t="array" ref="AF27">iferror(vlookup(AF$12&amp;"-"&amp;$E27,{index('Output_HALO - DACH'!$A:$ZZ,0,$C$8),index('Output_HALO - DACH'!$A:$ZZ,0,$C$5)},2,0),"")</f>
        <v/>
      </c>
      <c r="AG27" s="353" t="str">
        <f t="array" ref="AG27">iferror(vlookup(AG$12&amp;"-"&amp;$E27,{index('Output_HALO - DACH'!$A:$ZZ,0,$C$8),index('Output_HALO - DACH'!$A:$ZZ,0,$C$5)},2,0),"")</f>
        <v/>
      </c>
      <c r="AH27" s="353" t="str">
        <f t="array" ref="AH27">iferror(vlookup(AH$12&amp;"-"&amp;$E27,{index('Output_HALO - DACH'!$A:$ZZ,0,$C$8),index('Output_HALO - DACH'!$A:$ZZ,0,$C$5)},2,0),"")</f>
        <v/>
      </c>
      <c r="AI27" s="353" t="str">
        <f t="array" ref="AI27">iferror(vlookup(AI$12&amp;"-"&amp;$E27,{index('Output_HALO - DACH'!$A:$ZZ,0,$C$8),index('Output_HALO - DACH'!$A:$ZZ,0,$C$5)},2,0),"")</f>
        <v/>
      </c>
      <c r="AJ27" s="353" t="str">
        <f t="array" ref="AJ27">iferror(vlookup(AJ$12&amp;"-"&amp;$E27,{index('Output_HALO - DACH'!$A:$ZZ,0,$C$8),index('Output_HALO - DACH'!$A:$ZZ,0,$C$5)},2,0),"")</f>
        <v/>
      </c>
      <c r="AK27" s="353" t="str">
        <f t="array" ref="AK27">iferror(vlookup(AK$12&amp;"-"&amp;$E27,{index('Output_HALO - DACH'!$A:$ZZ,0,$C$8),index('Output_HALO - DACH'!$A:$ZZ,0,$C$5)},2,0),"")</f>
        <v/>
      </c>
      <c r="AL27" s="353" t="str">
        <f t="array" ref="AL27">iferror(vlookup(AL$12&amp;"-"&amp;$E27,{index('Output_HALO - DACH'!$A:$ZZ,0,$C$8),index('Output_HALO - DACH'!$A:$ZZ,0,$C$5)},2,0),"")</f>
        <v/>
      </c>
      <c r="AM27" s="353" t="str">
        <f t="array" ref="AM27">iferror(vlookup(AM$12&amp;"-"&amp;$E27,{index('Output_HALO - DACH'!$A:$ZZ,0,$C$8),index('Output_HALO - DACH'!$A:$ZZ,0,$C$5)},2,0),"")</f>
        <v>F85</v>
      </c>
      <c r="AN27" s="353" t="str">
        <f t="array" ref="AN27">iferror(vlookup(AN$12&amp;"-"&amp;$E27,{index('Output_HALO - DACH'!$A:$ZZ,0,$C$8),index('Output_HALO - DACH'!$A:$ZZ,0,$C$5)},2,0),"")</f>
        <v>F88</v>
      </c>
      <c r="AO27" s="353" t="str">
        <f t="array" ref="AO27">iferror(vlookup(AO$12&amp;"-"&amp;$E27,{index('Output_HALO - DACH'!$A:$ZZ,0,$C$8),index('Output_HALO - DACH'!$A:$ZZ,0,$C$5)},2,0),"")</f>
        <v/>
      </c>
      <c r="AP27" s="353" t="str">
        <f t="array" ref="AP27">iferror(vlookup(AP$12&amp;"-"&amp;$E27,{index('Output_HALO - DACH'!$A:$ZZ,0,$C$8),index('Output_HALO - DACH'!$A:$ZZ,0,$C$5)},2,0),"")</f>
        <v/>
      </c>
      <c r="AQ27" s="353" t="str">
        <f t="array" ref="AQ27">iferror(vlookup(AQ$12&amp;"-"&amp;$E27,{index('Output_HALO - DACH'!$A:$ZZ,0,$C$8),index('Output_HALO - DACH'!$A:$ZZ,0,$C$5)},2,0),"")</f>
        <v>F97</v>
      </c>
      <c r="AR27" s="353" t="str">
        <f t="array" ref="AR27">iferror(vlookup(AR$12&amp;"-"&amp;$E27,{index('Output_HALO - DACH'!$A:$ZZ,0,$C$8),index('Output_HALO - DACH'!$A:$ZZ,0,$C$5)},2,0),"")</f>
        <v/>
      </c>
      <c r="AS27" s="353" t="str">
        <f t="array" ref="AS27">iferror(vlookup(AS$12&amp;"-"&amp;$E27,{index('Output_HALO - DACH'!$A:$ZZ,0,$C$8),index('Output_HALO - DACH'!$A:$ZZ,0,$C$5)},2,0),"")</f>
        <v/>
      </c>
      <c r="AT27" s="353" t="str">
        <f t="array" ref="AT27">iferror(vlookup(AT$12&amp;"-"&amp;$E27,{index('Output_HALO - DACH'!$A:$ZZ,0,$C$8),index('Output_HALO - DACH'!$A:$ZZ,0,$C$5)},2,0),"")</f>
        <v>F105</v>
      </c>
      <c r="AU27" s="353" t="str">
        <f t="array" ref="AU27">iferror(vlookup(AU$12&amp;"-"&amp;$E27,{index('Output_HALO - DACH'!$A:$ZZ,0,$C$8),index('Output_HALO - DACH'!$A:$ZZ,0,$C$5)},2,0),"")</f>
        <v>F107</v>
      </c>
      <c r="AV27" s="353" t="str">
        <f t="array" ref="AV27">iferror(vlookup(AV$12&amp;"-"&amp;$E27,{index('Output_HALO - DACH'!$A:$ZZ,0,$C$8),index('Output_HALO - DACH'!$A:$ZZ,0,$C$5)},2,0),"")</f>
        <v>F109</v>
      </c>
      <c r="AW27" s="353" t="str">
        <f t="array" ref="AW27">iferror(vlookup(AW$12&amp;"-"&amp;$E27,{index('Output_HALO - DACH'!$A:$ZZ,0,$C$8),index('Output_HALO - DACH'!$A:$ZZ,0,$C$5)},2,0),"")</f>
        <v/>
      </c>
      <c r="AX27" s="353" t="str">
        <f t="array" ref="AX27">iferror(vlookup(AX$12&amp;"-"&amp;$E27,{index('Output_HALO - DACH'!$A:$ZZ,0,$C$8),index('Output_HALO - DACH'!$A:$ZZ,0,$C$5)},2,0),"")</f>
        <v/>
      </c>
      <c r="AY27" s="353" t="str">
        <f t="array" ref="AY27">iferror(vlookup(AY$12&amp;"-"&amp;$E27,{index('Output_HALO - DACH'!$A:$ZZ,0,$C$8),index('Output_HALO - DACH'!$A:$ZZ,0,$C$5)},2,0),"")</f>
        <v/>
      </c>
      <c r="AZ27" s="353" t="str">
        <f t="array" ref="AZ27">iferror(vlookup(AZ$12&amp;"-"&amp;$E27,{index('Output_HALO - DACH'!$A:$ZZ,0,$C$8),index('Output_HALO - DACH'!$A:$ZZ,0,$C$5)},2,0),"")</f>
        <v/>
      </c>
      <c r="BA27" s="353" t="str">
        <f t="array" ref="BA27">iferror(vlookup(BA$12&amp;"-"&amp;$E27,{index('Output_HALO - DACH'!$A:$ZZ,0,$C$8),index('Output_HALO - DACH'!$A:$ZZ,0,$C$5)},2,0),"")</f>
        <v/>
      </c>
      <c r="BB27" s="353" t="str">
        <f t="array" ref="BB27">iferror(vlookup(BB$12&amp;"-"&amp;$E27,{index('Output_HALO - DACH'!$A:$ZZ,0,$C$8),index('Output_HALO - DACH'!$A:$ZZ,0,$C$5)},2,0),"")</f>
        <v/>
      </c>
      <c r="BC27" s="353" t="str">
        <f t="array" ref="BC27">iferror(vlookup(BC$12&amp;"-"&amp;$E27,{index('Output_HALO - DACH'!$A:$ZZ,0,$C$8),index('Output_HALO - DACH'!$A:$ZZ,0,$C$5)},2,0),"")</f>
        <v>F123</v>
      </c>
      <c r="BD27" s="353" t="str">
        <f t="array" ref="BD27">iferror(vlookup(BD$12&amp;"-"&amp;$E27,{index('Output_HALO - DACH'!$A:$ZZ,0,$C$8),index('Output_HALO - DACH'!$A:$ZZ,0,$C$5)},2,0),"")</f>
        <v>F125</v>
      </c>
      <c r="BE27" s="353" t="str">
        <f t="array" ref="BE27">iferror(vlookup(BE$12&amp;"-"&amp;$E27,{index('Output_HALO - DACH'!$A:$ZZ,0,$C$8),index('Output_HALO - DACH'!$A:$ZZ,0,$C$5)},2,0),"")</f>
        <v>F127</v>
      </c>
      <c r="BF27" s="353" t="str">
        <f t="array" ref="BF27">iferror(vlookup(BF$12&amp;"-"&amp;$E27,{index('Output_HALO - DACH'!$A:$ZZ,0,$C$8),index('Output_HALO - DACH'!$A:$ZZ,0,$C$5)},2,0),"")</f>
        <v/>
      </c>
      <c r="BG27" s="353" t="str">
        <f t="array" ref="BG27">iferror(vlookup(BG$12&amp;"-"&amp;$E27,{index('Output_HALO - DACH'!$A:$ZZ,0,$C$8),index('Output_HALO - DACH'!$A:$ZZ,0,$C$5)},2,0),"")</f>
        <v>F131</v>
      </c>
      <c r="BH27" s="353" t="str">
        <f t="array" ref="BH27">iferror(vlookup(BH$12&amp;"-"&amp;$E27,{index('Output_HALO - DACH'!$A:$ZZ,0,$C$8),index('Output_HALO - DACH'!$A:$ZZ,0,$C$5)},2,0),"")</f>
        <v>F133</v>
      </c>
      <c r="BI27" s="353" t="str">
        <f t="array" ref="BI27">iferror(vlookup(BI$12&amp;"-"&amp;$E27,{index('Output_HALO - DACH'!$A:$ZZ,0,$C$8),index('Output_HALO - DACH'!$A:$ZZ,0,$C$5)},2,0),"")</f>
        <v>F135</v>
      </c>
      <c r="BJ27" s="353" t="str">
        <f t="array" ref="BJ27">iferror(vlookup(BJ$12&amp;"-"&amp;$E27,{index('Output_HALO - DACH'!$A:$ZZ,0,$C$8),index('Output_HALO - DACH'!$A:$ZZ,0,$C$5)},2,0),"")</f>
        <v>F137</v>
      </c>
      <c r="BK27" s="353" t="str">
        <f t="array" ref="BK27">iferror(vlookup(BK$12&amp;"-"&amp;$E27,{index('Output_HALO - DACH'!$A:$ZZ,0,$C$8),index('Output_HALO - DACH'!$A:$ZZ,0,$C$5)},2,0),"")</f>
        <v>F139</v>
      </c>
      <c r="BL27" s="353" t="str">
        <f t="array" ref="BL27">iferror(vlookup(BL$12&amp;"-"&amp;$E27,{index('Output_HALO - DACH'!$A:$ZZ,0,$C$8),index('Output_HALO - DACH'!$A:$ZZ,0,$C$5)},2,0),"")</f>
        <v>F141</v>
      </c>
      <c r="BM27" s="353" t="str">
        <f t="array" ref="BM27">iferror(vlookup(BM$12&amp;"-"&amp;$E27,{index('Output_HALO - DACH'!$A:$ZZ,0,$C$8),index('Output_HALO - DACH'!$A:$ZZ,0,$C$5)},2,0),"")</f>
        <v>F143</v>
      </c>
      <c r="BN27" s="353" t="str">
        <f t="array" ref="BN27">iferror(vlookup(BN$12&amp;"-"&amp;$E27,{index('Output_HALO - DACH'!$A:$ZZ,0,$C$8),index('Output_HALO - DACH'!$A:$ZZ,0,$C$5)},2,0),"")</f>
        <v/>
      </c>
      <c r="BO27" s="353" t="str">
        <f t="array" ref="BO27">iferror(vlookup(BO$12&amp;"-"&amp;$E27,{index('Output_HALO - DACH'!$A:$ZZ,0,$C$8),index('Output_HALO - DACH'!$A:$ZZ,0,$C$5)},2,0),"")</f>
        <v/>
      </c>
      <c r="BP27" s="353" t="str">
        <f t="array" ref="BP27">iferror(vlookup(BP$12&amp;"-"&amp;$E27,{index('Output_HALO - DACH'!$A:$ZZ,0,$C$8),index('Output_HALO - DACH'!$A:$ZZ,0,$C$5)},2,0),"")</f>
        <v/>
      </c>
      <c r="BQ27" s="353" t="str">
        <f t="array" ref="BQ27">iferror(vlookup(BQ$12&amp;"-"&amp;$E27,{index('Output_HALO - DACH'!$A:$ZZ,0,$C$8),index('Output_HALO - DACH'!$A:$ZZ,0,$C$5)},2,0),"")</f>
        <v/>
      </c>
    </row>
    <row r="28">
      <c r="E28" s="354"/>
      <c r="F28" s="355"/>
      <c r="G28" s="355"/>
      <c r="H28" s="355"/>
      <c r="I28" s="355"/>
      <c r="J28" s="355"/>
      <c r="K28" s="355"/>
      <c r="L28" s="355"/>
      <c r="M28" s="355"/>
      <c r="N28" s="355"/>
      <c r="O28" s="355"/>
      <c r="P28" s="355"/>
      <c r="Q28" s="355"/>
      <c r="R28" s="355"/>
      <c r="S28" s="355"/>
      <c r="T28" s="355"/>
      <c r="U28" s="355"/>
      <c r="V28" s="355"/>
      <c r="W28" s="355"/>
      <c r="X28" s="355"/>
      <c r="Y28" s="355"/>
      <c r="Z28" s="355"/>
      <c r="AA28" s="355"/>
      <c r="AB28" s="355"/>
      <c r="AC28" s="355"/>
      <c r="AD28" s="355"/>
      <c r="AE28" s="355"/>
      <c r="AF28" s="355"/>
      <c r="AG28" s="355"/>
      <c r="AH28" s="355"/>
      <c r="AI28" s="355"/>
      <c r="AJ28" s="355"/>
      <c r="AK28" s="355"/>
      <c r="AL28" s="355"/>
      <c r="AM28" s="355"/>
      <c r="AN28" s="355"/>
      <c r="AO28" s="355"/>
      <c r="AP28" s="355"/>
      <c r="AQ28" s="355"/>
      <c r="AR28" s="355"/>
      <c r="AS28" s="355"/>
      <c r="AT28" s="355"/>
      <c r="AU28" s="355"/>
      <c r="AV28" s="355"/>
      <c r="AW28" s="355"/>
      <c r="AX28" s="355"/>
      <c r="AY28" s="355"/>
      <c r="AZ28" s="355"/>
      <c r="BA28" s="355"/>
      <c r="BB28" s="355"/>
      <c r="BC28" s="355"/>
      <c r="BD28" s="355"/>
      <c r="BE28" s="355"/>
      <c r="BF28" s="355"/>
      <c r="BG28" s="355"/>
      <c r="BH28" s="355"/>
      <c r="BI28" s="355"/>
      <c r="BJ28" s="355"/>
      <c r="BK28" s="355"/>
      <c r="BL28" s="355"/>
      <c r="BM28" s="355"/>
      <c r="BN28" s="355"/>
      <c r="BO28" s="355"/>
      <c r="BP28" s="355"/>
      <c r="BQ28" s="355"/>
    </row>
    <row r="29">
      <c r="E29" s="354"/>
      <c r="F29" s="355"/>
      <c r="G29" s="355"/>
      <c r="H29" s="355"/>
      <c r="I29" s="355"/>
      <c r="J29" s="355"/>
      <c r="K29" s="355"/>
      <c r="L29" s="355"/>
      <c r="M29" s="355"/>
      <c r="N29" s="355"/>
      <c r="O29" s="355"/>
      <c r="P29" s="355"/>
      <c r="Q29" s="355"/>
      <c r="R29" s="355"/>
      <c r="S29" s="355"/>
      <c r="T29" s="355"/>
      <c r="U29" s="355"/>
      <c r="V29" s="355"/>
      <c r="W29" s="355"/>
      <c r="X29" s="355"/>
      <c r="Y29" s="355"/>
      <c r="Z29" s="355"/>
      <c r="AA29" s="355"/>
      <c r="AB29" s="355"/>
      <c r="AC29" s="355"/>
      <c r="AD29" s="355"/>
      <c r="AE29" s="355"/>
      <c r="AF29" s="355"/>
      <c r="AG29" s="355"/>
      <c r="AH29" s="355"/>
      <c r="AI29" s="355"/>
      <c r="AJ29" s="355"/>
      <c r="AK29" s="355"/>
      <c r="AL29" s="355"/>
      <c r="AM29" s="355"/>
      <c r="AN29" s="355"/>
      <c r="AO29" s="355"/>
      <c r="AP29" s="355"/>
      <c r="AQ29" s="355"/>
      <c r="AR29" s="355"/>
      <c r="AS29" s="355"/>
      <c r="AT29" s="355"/>
      <c r="AU29" s="355"/>
      <c r="AV29" s="355"/>
      <c r="AW29" s="355"/>
      <c r="AX29" s="355"/>
      <c r="AY29" s="355"/>
      <c r="AZ29" s="355"/>
      <c r="BA29" s="355"/>
      <c r="BB29" s="355"/>
      <c r="BC29" s="355"/>
      <c r="BD29" s="355"/>
      <c r="BE29" s="355"/>
      <c r="BF29" s="355"/>
      <c r="BG29" s="355"/>
      <c r="BH29" s="355"/>
      <c r="BI29" s="355"/>
      <c r="BJ29" s="355"/>
      <c r="BK29" s="355"/>
      <c r="BL29" s="355"/>
      <c r="BM29" s="355"/>
      <c r="BN29" s="355"/>
      <c r="BO29" s="355"/>
      <c r="BP29" s="355"/>
      <c r="BQ29" s="355"/>
    </row>
    <row r="30" hidden="1">
      <c r="E30" s="348">
        <v>-1.0</v>
      </c>
      <c r="F30" s="355"/>
      <c r="G30" s="355"/>
      <c r="H30" s="355"/>
      <c r="I30" s="355"/>
      <c r="J30" s="355"/>
      <c r="K30" s="355"/>
      <c r="L30" s="355"/>
      <c r="M30" s="355"/>
      <c r="N30" s="355"/>
      <c r="O30" s="355"/>
      <c r="P30" s="355"/>
      <c r="Q30" s="355"/>
      <c r="R30" s="355"/>
      <c r="S30" s="355"/>
      <c r="T30" s="355"/>
      <c r="U30" s="355"/>
      <c r="V30" s="355"/>
      <c r="W30" s="355"/>
      <c r="X30" s="356" t="e">
        <v>#N/A</v>
      </c>
      <c r="Y30" s="356" t="e">
        <v>#N/A</v>
      </c>
      <c r="Z30" s="355"/>
      <c r="AA30" s="355"/>
      <c r="AB30" s="355"/>
      <c r="AC30" s="355"/>
      <c r="AD30" s="355"/>
      <c r="AE30" s="355"/>
      <c r="AF30" s="355"/>
      <c r="AG30" s="356" t="e">
        <v>#N/A</v>
      </c>
      <c r="AH30" s="356" t="e">
        <v>#N/A</v>
      </c>
      <c r="AI30" s="355"/>
      <c r="AJ30" s="356" t="e">
        <v>#N/A</v>
      </c>
      <c r="AK30" s="356" t="e">
        <v>#N/A</v>
      </c>
      <c r="AL30" s="355"/>
      <c r="AM30" s="355"/>
      <c r="AN30" s="355"/>
      <c r="AO30" s="355"/>
      <c r="AP30" s="355"/>
      <c r="AQ30" s="355"/>
      <c r="AR30" s="355"/>
      <c r="AS30" s="355"/>
      <c r="AT30" s="355"/>
      <c r="AU30" s="355"/>
      <c r="AV30" s="355"/>
      <c r="AW30" s="355"/>
      <c r="AX30" s="355"/>
      <c r="AY30" s="355"/>
      <c r="AZ30" s="355"/>
      <c r="BA30" s="355"/>
      <c r="BB30" s="355"/>
      <c r="BC30" s="355"/>
      <c r="BD30" s="355"/>
      <c r="BE30" s="355"/>
      <c r="BF30" s="355"/>
      <c r="BG30" s="355"/>
      <c r="BH30" s="355"/>
      <c r="BI30" s="355"/>
      <c r="BJ30" s="355"/>
      <c r="BK30" s="355"/>
      <c r="BL30" s="355"/>
      <c r="BM30" s="355"/>
      <c r="BN30" s="355"/>
      <c r="BO30" s="355"/>
      <c r="BP30" s="355"/>
      <c r="BQ30" s="355"/>
    </row>
    <row r="31" hidden="1">
      <c r="E31" s="348">
        <v>-2.0</v>
      </c>
      <c r="F31" s="355"/>
      <c r="G31" s="355"/>
      <c r="H31" s="355"/>
      <c r="I31" s="355"/>
      <c r="J31" s="355"/>
      <c r="K31" s="355"/>
      <c r="L31" s="355"/>
      <c r="M31" s="355"/>
      <c r="N31" s="355"/>
      <c r="O31" s="355"/>
      <c r="P31" s="355"/>
      <c r="Q31" s="355"/>
      <c r="R31" s="355"/>
      <c r="S31" s="355"/>
      <c r="T31" s="355"/>
      <c r="U31" s="355"/>
      <c r="V31" s="355"/>
      <c r="W31" s="355"/>
      <c r="X31" s="355"/>
      <c r="Y31" s="355"/>
      <c r="Z31" s="355"/>
      <c r="AA31" s="355"/>
      <c r="AB31" s="355"/>
      <c r="AC31" s="355"/>
      <c r="AD31" s="355"/>
      <c r="AE31" s="355"/>
      <c r="AF31" s="355"/>
      <c r="AG31" s="355"/>
      <c r="AH31" s="355"/>
      <c r="AI31" s="355"/>
      <c r="AJ31" s="355"/>
      <c r="AK31" s="355"/>
      <c r="AL31" s="355"/>
      <c r="AM31" s="355"/>
      <c r="AN31" s="355"/>
      <c r="AO31" s="355"/>
      <c r="AP31" s="355"/>
      <c r="AQ31" s="355"/>
      <c r="AR31" s="355"/>
      <c r="AS31" s="355"/>
      <c r="AT31" s="355"/>
      <c r="AU31" s="355"/>
      <c r="AV31" s="355"/>
      <c r="AW31" s="355"/>
      <c r="AX31" s="355"/>
      <c r="AY31" s="355"/>
      <c r="AZ31" s="355"/>
      <c r="BA31" s="355"/>
      <c r="BB31" s="355"/>
      <c r="BC31" s="355"/>
      <c r="BD31" s="355"/>
      <c r="BE31" s="355"/>
      <c r="BF31" s="355"/>
      <c r="BG31" s="355"/>
      <c r="BH31" s="355"/>
      <c r="BI31" s="355"/>
      <c r="BJ31" s="355"/>
      <c r="BK31" s="355"/>
      <c r="BL31" s="355"/>
      <c r="BM31" s="355"/>
      <c r="BN31" s="355"/>
      <c r="BO31" s="355"/>
      <c r="BP31" s="355"/>
      <c r="BQ31" s="355"/>
    </row>
    <row r="32" hidden="1">
      <c r="E32" s="348">
        <v>-3.0</v>
      </c>
      <c r="F32" s="355"/>
      <c r="G32" s="355"/>
      <c r="H32" s="355"/>
      <c r="I32" s="355"/>
      <c r="J32" s="355"/>
      <c r="K32" s="355"/>
      <c r="L32" s="355"/>
      <c r="M32" s="355"/>
      <c r="N32" s="355"/>
      <c r="O32" s="355"/>
      <c r="P32" s="355"/>
      <c r="Q32" s="355"/>
      <c r="R32" s="355"/>
      <c r="S32" s="355"/>
      <c r="T32" s="355"/>
      <c r="U32" s="355"/>
      <c r="V32" s="355"/>
      <c r="W32" s="355"/>
      <c r="X32" s="355"/>
      <c r="Y32" s="355"/>
      <c r="Z32" s="355"/>
      <c r="AA32" s="355"/>
      <c r="AB32" s="355"/>
      <c r="AC32" s="355"/>
      <c r="AD32" s="355"/>
      <c r="AE32" s="355"/>
      <c r="AF32" s="355"/>
      <c r="AG32" s="355"/>
      <c r="AH32" s="355"/>
      <c r="AI32" s="355"/>
      <c r="AJ32" s="355"/>
      <c r="AK32" s="355"/>
      <c r="AL32" s="355"/>
      <c r="AM32" s="355"/>
      <c r="AN32" s="355"/>
      <c r="AO32" s="355"/>
      <c r="AP32" s="355"/>
      <c r="AQ32" s="355"/>
      <c r="AR32" s="355"/>
      <c r="AS32" s="355"/>
      <c r="AT32" s="355"/>
      <c r="AU32" s="355"/>
      <c r="AV32" s="355"/>
      <c r="AW32" s="355"/>
      <c r="AX32" s="355"/>
      <c r="AY32" s="355"/>
      <c r="AZ32" s="355"/>
      <c r="BA32" s="355"/>
      <c r="BB32" s="355"/>
      <c r="BC32" s="355"/>
      <c r="BD32" s="355"/>
      <c r="BE32" s="355"/>
      <c r="BF32" s="355"/>
      <c r="BG32" s="355"/>
      <c r="BH32" s="355"/>
      <c r="BI32" s="355"/>
      <c r="BJ32" s="355"/>
      <c r="BK32" s="355"/>
      <c r="BL32" s="355"/>
      <c r="BM32" s="355"/>
      <c r="BN32" s="355"/>
      <c r="BO32" s="355"/>
      <c r="BP32" s="355"/>
      <c r="BQ32" s="355"/>
    </row>
    <row r="33" hidden="1">
      <c r="E33" s="348">
        <v>-4.0</v>
      </c>
      <c r="F33" s="355"/>
      <c r="G33" s="355"/>
      <c r="H33" s="355"/>
      <c r="I33" s="355"/>
      <c r="J33" s="355"/>
      <c r="K33" s="355"/>
      <c r="L33" s="355"/>
      <c r="M33" s="355"/>
      <c r="N33" s="355"/>
      <c r="O33" s="355"/>
      <c r="P33" s="355"/>
      <c r="Q33" s="355"/>
      <c r="R33" s="355"/>
      <c r="S33" s="355"/>
      <c r="T33" s="355"/>
      <c r="U33" s="355"/>
      <c r="V33" s="355"/>
      <c r="W33" s="355"/>
      <c r="X33" s="355"/>
      <c r="Y33" s="355"/>
      <c r="Z33" s="355"/>
      <c r="AA33" s="355"/>
      <c r="AB33" s="355"/>
      <c r="AC33" s="355"/>
      <c r="AD33" s="355"/>
      <c r="AE33" s="355"/>
      <c r="AF33" s="355"/>
      <c r="AG33" s="355"/>
      <c r="AH33" s="355"/>
      <c r="AI33" s="355"/>
      <c r="AJ33" s="355"/>
      <c r="AK33" s="355"/>
      <c r="AL33" s="355"/>
      <c r="AM33" s="355"/>
      <c r="AN33" s="355"/>
      <c r="AO33" s="355"/>
      <c r="AP33" s="355"/>
      <c r="AQ33" s="355"/>
      <c r="AR33" s="355"/>
      <c r="AS33" s="355"/>
      <c r="AT33" s="355"/>
      <c r="AU33" s="355"/>
      <c r="AV33" s="355"/>
      <c r="AW33" s="355"/>
      <c r="AX33" s="355"/>
      <c r="AY33" s="355"/>
      <c r="AZ33" s="355"/>
      <c r="BA33" s="355"/>
      <c r="BB33" s="355"/>
      <c r="BC33" s="355"/>
      <c r="BD33" s="355"/>
      <c r="BE33" s="355"/>
      <c r="BF33" s="355"/>
      <c r="BG33" s="355"/>
      <c r="BH33" s="355"/>
      <c r="BI33" s="355"/>
      <c r="BJ33" s="355"/>
      <c r="BK33" s="355"/>
      <c r="BL33" s="355"/>
      <c r="BM33" s="355"/>
      <c r="BN33" s="355"/>
      <c r="BO33" s="355"/>
      <c r="BP33" s="355"/>
      <c r="BQ33" s="355"/>
    </row>
    <row r="34" hidden="1">
      <c r="E34" s="348">
        <v>-5.0</v>
      </c>
      <c r="F34" s="355"/>
      <c r="G34" s="355"/>
      <c r="H34" s="355"/>
      <c r="I34" s="355"/>
      <c r="J34" s="355"/>
      <c r="K34" s="355"/>
      <c r="L34" s="355"/>
      <c r="M34" s="355"/>
      <c r="N34" s="355"/>
      <c r="O34" s="355"/>
      <c r="P34" s="355"/>
      <c r="Q34" s="355"/>
      <c r="R34" s="355"/>
      <c r="S34" s="355"/>
      <c r="T34" s="355"/>
      <c r="U34" s="355"/>
      <c r="V34" s="355"/>
      <c r="W34" s="355"/>
      <c r="X34" s="355"/>
      <c r="Y34" s="355"/>
      <c r="Z34" s="355"/>
      <c r="AA34" s="355"/>
      <c r="AB34" s="355"/>
      <c r="AC34" s="355"/>
      <c r="AD34" s="355"/>
      <c r="AE34" s="355"/>
      <c r="AF34" s="355"/>
      <c r="AG34" s="355"/>
      <c r="AH34" s="355"/>
      <c r="AI34" s="355"/>
      <c r="AJ34" s="355"/>
      <c r="AK34" s="355"/>
      <c r="AL34" s="355"/>
      <c r="AM34" s="355"/>
      <c r="AN34" s="355"/>
      <c r="AO34" s="355"/>
      <c r="AP34" s="355"/>
      <c r="AQ34" s="355"/>
      <c r="AR34" s="355"/>
      <c r="AS34" s="355"/>
      <c r="AT34" s="355"/>
      <c r="AU34" s="355"/>
      <c r="AV34" s="355"/>
      <c r="AW34" s="355"/>
      <c r="AX34" s="355"/>
      <c r="AY34" s="355"/>
      <c r="AZ34" s="355"/>
      <c r="BA34" s="355"/>
      <c r="BB34" s="355"/>
      <c r="BC34" s="355"/>
      <c r="BD34" s="355"/>
      <c r="BE34" s="355"/>
      <c r="BF34" s="355"/>
      <c r="BG34" s="355"/>
      <c r="BH34" s="355"/>
      <c r="BI34" s="355"/>
      <c r="BJ34" s="355"/>
      <c r="BK34" s="355"/>
      <c r="BL34" s="355"/>
      <c r="BM34" s="355"/>
      <c r="BN34" s="355"/>
      <c r="BO34" s="355"/>
      <c r="BP34" s="355"/>
      <c r="BQ34" s="355"/>
    </row>
    <row r="35">
      <c r="E35" s="354"/>
      <c r="F35" s="355"/>
      <c r="G35" s="355"/>
      <c r="H35" s="355"/>
      <c r="I35" s="355"/>
      <c r="J35" s="355"/>
      <c r="K35" s="355"/>
      <c r="L35" s="355"/>
      <c r="M35" s="355"/>
      <c r="N35" s="355"/>
      <c r="O35" s="355"/>
      <c r="P35" s="355"/>
      <c r="Q35" s="355"/>
      <c r="R35" s="355"/>
      <c r="S35" s="355"/>
      <c r="T35" s="355"/>
      <c r="U35" s="355"/>
      <c r="V35" s="355"/>
      <c r="W35" s="355"/>
      <c r="X35" s="355"/>
      <c r="Y35" s="355"/>
      <c r="Z35" s="355"/>
      <c r="AA35" s="355"/>
      <c r="AB35" s="355"/>
      <c r="AC35" s="355"/>
      <c r="AD35" s="355"/>
      <c r="AE35" s="355"/>
      <c r="AF35" s="355"/>
      <c r="AG35" s="355"/>
      <c r="AH35" s="355"/>
      <c r="AI35" s="355"/>
      <c r="AJ35" s="355"/>
      <c r="AK35" s="355"/>
      <c r="AL35" s="355"/>
      <c r="AM35" s="355"/>
      <c r="AN35" s="355"/>
      <c r="AO35" s="355"/>
      <c r="AP35" s="355"/>
      <c r="AQ35" s="355"/>
      <c r="AR35" s="355"/>
      <c r="AS35" s="355"/>
      <c r="AT35" s="355"/>
      <c r="AU35" s="355"/>
      <c r="AV35" s="355"/>
      <c r="AW35" s="355"/>
      <c r="AX35" s="355"/>
      <c r="AY35" s="355"/>
      <c r="AZ35" s="355"/>
      <c r="BA35" s="355"/>
      <c r="BB35" s="355"/>
      <c r="BC35" s="355"/>
      <c r="BD35" s="355"/>
      <c r="BE35" s="355"/>
      <c r="BF35" s="355"/>
      <c r="BG35" s="355"/>
      <c r="BH35" s="355"/>
      <c r="BI35" s="355"/>
      <c r="BJ35" s="355"/>
      <c r="BK35" s="355"/>
      <c r="BL35" s="355"/>
      <c r="BM35" s="355"/>
      <c r="BN35" s="355"/>
      <c r="BO35" s="355"/>
      <c r="BP35" s="355"/>
      <c r="BQ35" s="355"/>
    </row>
    <row r="36">
      <c r="E36" s="354"/>
      <c r="F36" s="355"/>
      <c r="G36" s="355"/>
      <c r="H36" s="355"/>
      <c r="I36" s="355"/>
      <c r="J36" s="355"/>
      <c r="K36" s="355"/>
      <c r="L36" s="355"/>
      <c r="M36" s="355"/>
      <c r="N36" s="355"/>
      <c r="O36" s="355"/>
      <c r="P36" s="355"/>
      <c r="Q36" s="355"/>
      <c r="R36" s="355"/>
      <c r="S36" s="355"/>
      <c r="T36" s="355"/>
      <c r="U36" s="355"/>
      <c r="V36" s="355"/>
      <c r="W36" s="355"/>
      <c r="X36" s="355"/>
      <c r="Y36" s="355"/>
      <c r="Z36" s="355"/>
      <c r="AA36" s="355"/>
      <c r="AB36" s="355"/>
      <c r="AC36" s="355"/>
      <c r="AD36" s="355"/>
      <c r="AE36" s="355"/>
      <c r="AF36" s="355"/>
      <c r="AG36" s="355"/>
      <c r="AH36" s="355"/>
      <c r="AI36" s="355"/>
      <c r="AJ36" s="355"/>
      <c r="AK36" s="355"/>
      <c r="AL36" s="355"/>
      <c r="AM36" s="355"/>
      <c r="AN36" s="355"/>
      <c r="AO36" s="355"/>
      <c r="AP36" s="355"/>
      <c r="AQ36" s="355"/>
      <c r="AR36" s="355"/>
      <c r="AS36" s="355"/>
      <c r="AT36" s="355"/>
      <c r="AU36" s="355"/>
      <c r="AV36" s="355"/>
      <c r="AW36" s="355"/>
      <c r="AX36" s="355"/>
      <c r="AY36" s="355"/>
      <c r="AZ36" s="355"/>
      <c r="BA36" s="355"/>
      <c r="BB36" s="355"/>
      <c r="BC36" s="355"/>
      <c r="BD36" s="355"/>
      <c r="BE36" s="355"/>
      <c r="BF36" s="355"/>
      <c r="BG36" s="355"/>
      <c r="BH36" s="355"/>
      <c r="BI36" s="355"/>
      <c r="BJ36" s="355"/>
      <c r="BK36" s="355"/>
      <c r="BL36" s="355"/>
      <c r="BM36" s="355"/>
      <c r="BN36" s="355"/>
      <c r="BO36" s="355"/>
      <c r="BP36" s="355"/>
      <c r="BQ36" s="355"/>
    </row>
    <row r="37">
      <c r="E37" s="354"/>
      <c r="F37" s="355"/>
      <c r="G37" s="355"/>
      <c r="H37" s="355"/>
      <c r="I37" s="355"/>
      <c r="J37" s="355"/>
      <c r="K37" s="355"/>
      <c r="L37" s="355"/>
      <c r="M37" s="355"/>
      <c r="N37" s="355"/>
      <c r="O37" s="355"/>
      <c r="P37" s="355"/>
      <c r="Q37" s="355"/>
      <c r="R37" s="355"/>
      <c r="S37" s="355"/>
      <c r="T37" s="355"/>
      <c r="U37" s="355"/>
      <c r="V37" s="355"/>
      <c r="W37" s="355"/>
      <c r="X37" s="355"/>
      <c r="Y37" s="355"/>
      <c r="Z37" s="355"/>
      <c r="AA37" s="355"/>
      <c r="AB37" s="355"/>
      <c r="AC37" s="355"/>
      <c r="AD37" s="355"/>
      <c r="AE37" s="355"/>
      <c r="AF37" s="355"/>
      <c r="AG37" s="355"/>
      <c r="AH37" s="355"/>
      <c r="AI37" s="355"/>
      <c r="AJ37" s="355"/>
      <c r="AK37" s="355"/>
      <c r="AL37" s="355"/>
      <c r="AM37" s="355"/>
      <c r="AN37" s="355"/>
      <c r="AO37" s="355"/>
      <c r="AP37" s="355"/>
      <c r="AQ37" s="355"/>
      <c r="AR37" s="355"/>
      <c r="AS37" s="355"/>
      <c r="AT37" s="355"/>
      <c r="AU37" s="355"/>
      <c r="AV37" s="355"/>
      <c r="AW37" s="355"/>
      <c r="AX37" s="355"/>
      <c r="AY37" s="355"/>
      <c r="AZ37" s="355"/>
      <c r="BA37" s="355"/>
      <c r="BB37" s="355"/>
      <c r="BC37" s="355"/>
      <c r="BD37" s="355"/>
      <c r="BE37" s="355"/>
      <c r="BF37" s="355"/>
      <c r="BG37" s="355"/>
      <c r="BH37" s="355"/>
      <c r="BI37" s="355"/>
      <c r="BJ37" s="355"/>
      <c r="BK37" s="355"/>
      <c r="BL37" s="355"/>
      <c r="BM37" s="355"/>
      <c r="BN37" s="355"/>
      <c r="BO37" s="355"/>
      <c r="BP37" s="355"/>
      <c r="BQ37" s="355"/>
    </row>
    <row r="38">
      <c r="E38" s="354"/>
      <c r="F38" s="355"/>
      <c r="G38" s="355"/>
      <c r="H38" s="355"/>
      <c r="I38" s="355"/>
      <c r="J38" s="355"/>
      <c r="K38" s="355"/>
      <c r="L38" s="355"/>
      <c r="M38" s="355"/>
      <c r="N38" s="355"/>
      <c r="O38" s="355"/>
      <c r="P38" s="355"/>
      <c r="Q38" s="355"/>
      <c r="R38" s="355"/>
      <c r="S38" s="355"/>
      <c r="T38" s="355"/>
      <c r="U38" s="355"/>
      <c r="V38" s="355"/>
      <c r="W38" s="355"/>
      <c r="X38" s="355"/>
      <c r="Y38" s="355"/>
      <c r="Z38" s="355"/>
      <c r="AA38" s="355"/>
      <c r="AB38" s="355"/>
      <c r="AC38" s="355"/>
      <c r="AD38" s="355"/>
      <c r="AE38" s="355"/>
      <c r="AF38" s="355"/>
      <c r="AG38" s="355"/>
      <c r="AH38" s="355"/>
      <c r="AI38" s="355"/>
      <c r="AJ38" s="355"/>
      <c r="AK38" s="355"/>
      <c r="AL38" s="355"/>
      <c r="AM38" s="355"/>
      <c r="AN38" s="355"/>
      <c r="AO38" s="355"/>
      <c r="AP38" s="355"/>
      <c r="AQ38" s="355"/>
      <c r="AR38" s="355"/>
      <c r="AS38" s="355"/>
      <c r="AT38" s="355"/>
      <c r="AU38" s="355"/>
      <c r="AV38" s="355"/>
      <c r="AW38" s="355"/>
      <c r="AX38" s="355"/>
      <c r="AY38" s="355"/>
      <c r="AZ38" s="355"/>
      <c r="BA38" s="355"/>
      <c r="BB38" s="355"/>
      <c r="BC38" s="355"/>
      <c r="BD38" s="355"/>
      <c r="BE38" s="355"/>
      <c r="BF38" s="355"/>
      <c r="BG38" s="355"/>
      <c r="BH38" s="355"/>
      <c r="BI38" s="355"/>
      <c r="BJ38" s="355"/>
      <c r="BK38" s="355"/>
      <c r="BL38" s="355"/>
      <c r="BM38" s="355"/>
      <c r="BN38" s="355"/>
      <c r="BO38" s="355"/>
      <c r="BP38" s="355"/>
      <c r="BQ38" s="355"/>
    </row>
    <row r="39">
      <c r="E39" s="354"/>
      <c r="F39" s="355"/>
      <c r="G39" s="355"/>
      <c r="H39" s="355"/>
      <c r="I39" s="355"/>
      <c r="J39" s="355"/>
      <c r="K39" s="355"/>
      <c r="L39" s="355"/>
      <c r="M39" s="355"/>
      <c r="N39" s="355"/>
      <c r="O39" s="355"/>
      <c r="P39" s="355"/>
      <c r="Q39" s="355"/>
      <c r="R39" s="355"/>
      <c r="S39" s="355"/>
      <c r="T39" s="355"/>
      <c r="U39" s="355"/>
      <c r="V39" s="355"/>
      <c r="W39" s="355"/>
      <c r="X39" s="355"/>
      <c r="Y39" s="355"/>
      <c r="Z39" s="355"/>
      <c r="AA39" s="355"/>
      <c r="AB39" s="355"/>
      <c r="AC39" s="355"/>
      <c r="AD39" s="355"/>
      <c r="AE39" s="355"/>
      <c r="AF39" s="355"/>
      <c r="AG39" s="355"/>
      <c r="AH39" s="355"/>
      <c r="AI39" s="355"/>
      <c r="AJ39" s="355"/>
      <c r="AK39" s="355"/>
      <c r="AL39" s="355"/>
      <c r="AM39" s="355"/>
      <c r="AN39" s="355"/>
      <c r="AO39" s="355"/>
      <c r="AP39" s="355"/>
      <c r="AQ39" s="355"/>
      <c r="AR39" s="355"/>
      <c r="AS39" s="355"/>
      <c r="AT39" s="355"/>
      <c r="AU39" s="355"/>
      <c r="AV39" s="355"/>
      <c r="AW39" s="355"/>
      <c r="AX39" s="355"/>
      <c r="AY39" s="355"/>
      <c r="AZ39" s="355"/>
      <c r="BA39" s="355"/>
      <c r="BB39" s="355"/>
      <c r="BC39" s="355"/>
      <c r="BD39" s="355"/>
      <c r="BE39" s="355"/>
      <c r="BF39" s="355"/>
      <c r="BG39" s="355"/>
      <c r="BH39" s="355"/>
      <c r="BI39" s="355"/>
      <c r="BJ39" s="355"/>
      <c r="BK39" s="355"/>
      <c r="BL39" s="355"/>
      <c r="BM39" s="355"/>
      <c r="BN39" s="355"/>
      <c r="BO39" s="355"/>
      <c r="BP39" s="355"/>
      <c r="BQ39" s="355"/>
    </row>
    <row r="40">
      <c r="E40" s="354"/>
      <c r="F40" s="355"/>
      <c r="G40" s="355"/>
      <c r="H40" s="355"/>
      <c r="I40" s="355"/>
      <c r="J40" s="355"/>
      <c r="K40" s="355"/>
      <c r="L40" s="355"/>
      <c r="M40" s="355"/>
      <c r="N40" s="355"/>
      <c r="O40" s="355"/>
      <c r="P40" s="355"/>
      <c r="Q40" s="355"/>
      <c r="R40" s="355"/>
      <c r="S40" s="355"/>
      <c r="T40" s="355"/>
      <c r="U40" s="355"/>
      <c r="V40" s="355"/>
      <c r="W40" s="355"/>
      <c r="X40" s="355"/>
      <c r="Y40" s="355"/>
      <c r="Z40" s="355"/>
      <c r="AA40" s="355"/>
      <c r="AB40" s="355"/>
      <c r="AC40" s="355"/>
      <c r="AD40" s="355"/>
      <c r="AE40" s="355"/>
      <c r="AF40" s="355"/>
      <c r="AG40" s="355"/>
      <c r="AH40" s="355"/>
      <c r="AI40" s="355"/>
      <c r="AJ40" s="355"/>
      <c r="AK40" s="355"/>
      <c r="AL40" s="355"/>
      <c r="AM40" s="355"/>
      <c r="AN40" s="355"/>
      <c r="AO40" s="355"/>
      <c r="AP40" s="355"/>
      <c r="AQ40" s="355"/>
      <c r="AR40" s="355"/>
      <c r="AS40" s="355"/>
      <c r="AT40" s="355"/>
      <c r="AU40" s="355"/>
      <c r="AV40" s="355"/>
      <c r="AW40" s="355"/>
      <c r="AX40" s="355"/>
      <c r="AY40" s="355"/>
      <c r="AZ40" s="355"/>
      <c r="BA40" s="355"/>
      <c r="BB40" s="355"/>
      <c r="BC40" s="355"/>
      <c r="BD40" s="355"/>
      <c r="BE40" s="355"/>
      <c r="BF40" s="355"/>
      <c r="BG40" s="355"/>
      <c r="BH40" s="355"/>
      <c r="BI40" s="355"/>
      <c r="BJ40" s="355"/>
      <c r="BK40" s="355"/>
      <c r="BL40" s="355"/>
      <c r="BM40" s="355"/>
      <c r="BN40" s="355"/>
      <c r="BO40" s="355"/>
      <c r="BP40" s="355"/>
      <c r="BQ40" s="355"/>
    </row>
    <row r="41">
      <c r="E41" s="354"/>
      <c r="F41" s="355"/>
      <c r="G41" s="355"/>
      <c r="H41" s="355"/>
      <c r="I41" s="355"/>
      <c r="J41" s="355"/>
      <c r="K41" s="355"/>
      <c r="L41" s="355"/>
      <c r="M41" s="355"/>
      <c r="N41" s="355"/>
      <c r="O41" s="355"/>
      <c r="P41" s="355"/>
      <c r="Q41" s="355"/>
      <c r="R41" s="355"/>
      <c r="S41" s="355"/>
      <c r="T41" s="355"/>
      <c r="U41" s="355"/>
      <c r="V41" s="355"/>
      <c r="W41" s="355"/>
      <c r="X41" s="355"/>
      <c r="Y41" s="355"/>
      <c r="Z41" s="355"/>
      <c r="AA41" s="355"/>
      <c r="AB41" s="355"/>
      <c r="AC41" s="355"/>
      <c r="AD41" s="355"/>
      <c r="AE41" s="355"/>
      <c r="AF41" s="355"/>
      <c r="AG41" s="355"/>
      <c r="AH41" s="355"/>
      <c r="AI41" s="355"/>
      <c r="AJ41" s="355"/>
      <c r="AK41" s="355"/>
      <c r="AL41" s="355"/>
      <c r="AM41" s="355"/>
      <c r="AN41" s="355"/>
      <c r="AO41" s="355"/>
      <c r="AP41" s="355"/>
      <c r="AQ41" s="355"/>
      <c r="AR41" s="355"/>
      <c r="AS41" s="355"/>
      <c r="AT41" s="355"/>
      <c r="AU41" s="355"/>
      <c r="AV41" s="355"/>
      <c r="AW41" s="355"/>
      <c r="AX41" s="355"/>
      <c r="AY41" s="355"/>
      <c r="AZ41" s="355"/>
      <c r="BA41" s="355"/>
      <c r="BB41" s="355"/>
      <c r="BC41" s="355"/>
      <c r="BD41" s="355"/>
      <c r="BE41" s="355"/>
      <c r="BF41" s="355"/>
      <c r="BG41" s="355"/>
      <c r="BH41" s="355"/>
      <c r="BI41" s="355"/>
      <c r="BJ41" s="355"/>
      <c r="BK41" s="355"/>
      <c r="BL41" s="355"/>
      <c r="BM41" s="355"/>
      <c r="BN41" s="355"/>
      <c r="BO41" s="355"/>
      <c r="BP41" s="355"/>
      <c r="BQ41" s="355"/>
    </row>
    <row r="42">
      <c r="E42" s="354"/>
      <c r="F42" s="355"/>
      <c r="G42" s="355"/>
      <c r="H42" s="355"/>
      <c r="I42" s="355"/>
      <c r="J42" s="355"/>
      <c r="K42" s="355"/>
      <c r="L42" s="355"/>
      <c r="M42" s="355"/>
      <c r="N42" s="355"/>
      <c r="O42" s="355"/>
      <c r="P42" s="355"/>
      <c r="Q42" s="355"/>
      <c r="R42" s="355"/>
      <c r="S42" s="355"/>
      <c r="T42" s="355"/>
      <c r="U42" s="355"/>
      <c r="V42" s="355"/>
      <c r="W42" s="355"/>
      <c r="X42" s="355"/>
      <c r="Y42" s="355"/>
      <c r="Z42" s="355"/>
      <c r="AA42" s="355"/>
      <c r="AB42" s="355"/>
      <c r="AC42" s="355"/>
      <c r="AD42" s="355"/>
      <c r="AE42" s="355"/>
      <c r="AF42" s="355"/>
      <c r="AG42" s="355"/>
      <c r="AH42" s="355"/>
      <c r="AI42" s="355"/>
      <c r="AJ42" s="355"/>
      <c r="AK42" s="355"/>
      <c r="AL42" s="355"/>
      <c r="AM42" s="355"/>
      <c r="AN42" s="355"/>
      <c r="AO42" s="355"/>
      <c r="AP42" s="355"/>
      <c r="AQ42" s="355"/>
      <c r="AR42" s="355"/>
      <c r="AS42" s="355"/>
      <c r="AT42" s="355"/>
      <c r="AU42" s="355"/>
      <c r="AV42" s="355"/>
      <c r="AW42" s="355"/>
      <c r="AX42" s="355"/>
      <c r="AY42" s="355"/>
      <c r="AZ42" s="355"/>
      <c r="BA42" s="355"/>
      <c r="BB42" s="355"/>
      <c r="BC42" s="355"/>
      <c r="BD42" s="355"/>
      <c r="BE42" s="355"/>
      <c r="BF42" s="355"/>
      <c r="BG42" s="355"/>
      <c r="BH42" s="355"/>
      <c r="BI42" s="355"/>
      <c r="BJ42" s="355"/>
      <c r="BK42" s="355"/>
      <c r="BL42" s="355"/>
      <c r="BM42" s="355"/>
      <c r="BN42" s="355"/>
      <c r="BO42" s="355"/>
      <c r="BP42" s="355"/>
      <c r="BQ42" s="355"/>
    </row>
    <row r="43">
      <c r="E43" s="354"/>
      <c r="F43" s="355"/>
      <c r="G43" s="355"/>
      <c r="H43" s="355"/>
      <c r="I43" s="355"/>
      <c r="J43" s="355"/>
      <c r="K43" s="355"/>
      <c r="L43" s="355"/>
      <c r="M43" s="355"/>
      <c r="N43" s="355"/>
      <c r="O43" s="355"/>
      <c r="P43" s="355"/>
      <c r="Q43" s="355"/>
      <c r="R43" s="355"/>
      <c r="S43" s="355"/>
      <c r="T43" s="355"/>
      <c r="U43" s="355"/>
      <c r="V43" s="355"/>
      <c r="W43" s="355"/>
      <c r="X43" s="355"/>
      <c r="Y43" s="355"/>
      <c r="Z43" s="355"/>
      <c r="AA43" s="355"/>
      <c r="AB43" s="355"/>
      <c r="AC43" s="355"/>
      <c r="AD43" s="355"/>
      <c r="AE43" s="355"/>
      <c r="AF43" s="355"/>
      <c r="AG43" s="355"/>
      <c r="AH43" s="355"/>
      <c r="AI43" s="355"/>
      <c r="AJ43" s="355"/>
      <c r="AK43" s="355"/>
      <c r="AL43" s="355"/>
      <c r="AM43" s="355"/>
      <c r="AN43" s="355"/>
      <c r="AO43" s="355"/>
      <c r="AP43" s="355"/>
      <c r="AQ43" s="355"/>
      <c r="AR43" s="355"/>
      <c r="AS43" s="355"/>
      <c r="AT43" s="355"/>
      <c r="AU43" s="355"/>
      <c r="AV43" s="355"/>
      <c r="AW43" s="355"/>
      <c r="AX43" s="355"/>
      <c r="AY43" s="355"/>
      <c r="AZ43" s="355"/>
      <c r="BA43" s="355"/>
      <c r="BB43" s="355"/>
      <c r="BC43" s="355"/>
      <c r="BD43" s="355"/>
      <c r="BE43" s="355"/>
      <c r="BF43" s="355"/>
      <c r="BG43" s="355"/>
      <c r="BH43" s="355"/>
      <c r="BI43" s="355"/>
      <c r="BJ43" s="355"/>
      <c r="BK43" s="355"/>
      <c r="BL43" s="355"/>
      <c r="BM43" s="355"/>
      <c r="BN43" s="355"/>
      <c r="BO43" s="355"/>
      <c r="BP43" s="355"/>
      <c r="BQ43" s="355"/>
    </row>
    <row r="44">
      <c r="E44" s="354"/>
      <c r="F44" s="355"/>
      <c r="G44" s="355"/>
      <c r="H44" s="355"/>
      <c r="I44" s="355"/>
      <c r="J44" s="355"/>
      <c r="K44" s="355"/>
      <c r="L44" s="355"/>
      <c r="M44" s="355"/>
      <c r="N44" s="355"/>
      <c r="O44" s="355"/>
      <c r="P44" s="355"/>
      <c r="Q44" s="355"/>
      <c r="R44" s="355"/>
      <c r="S44" s="355"/>
      <c r="T44" s="355"/>
      <c r="U44" s="355"/>
      <c r="V44" s="355"/>
      <c r="W44" s="355"/>
      <c r="X44" s="355"/>
      <c r="Y44" s="355"/>
      <c r="Z44" s="355"/>
      <c r="AA44" s="355"/>
      <c r="AB44" s="355"/>
      <c r="AC44" s="355"/>
      <c r="AD44" s="355"/>
      <c r="AE44" s="355"/>
      <c r="AF44" s="355"/>
      <c r="AG44" s="355"/>
      <c r="AH44" s="355"/>
      <c r="AI44" s="355"/>
      <c r="AJ44" s="355"/>
      <c r="AK44" s="355"/>
      <c r="AL44" s="355"/>
      <c r="AM44" s="355"/>
      <c r="AN44" s="355"/>
      <c r="AO44" s="355"/>
      <c r="AP44" s="355"/>
      <c r="AQ44" s="355"/>
      <c r="AR44" s="355"/>
      <c r="AS44" s="355"/>
      <c r="AT44" s="355"/>
      <c r="AU44" s="355"/>
      <c r="AV44" s="355"/>
      <c r="AW44" s="355"/>
      <c r="AX44" s="355"/>
      <c r="AY44" s="355"/>
      <c r="AZ44" s="355"/>
      <c r="BA44" s="355"/>
      <c r="BB44" s="355"/>
      <c r="BC44" s="355"/>
      <c r="BD44" s="355"/>
      <c r="BE44" s="355"/>
      <c r="BF44" s="355"/>
      <c r="BG44" s="355"/>
      <c r="BH44" s="355"/>
      <c r="BI44" s="355"/>
      <c r="BJ44" s="355"/>
      <c r="BK44" s="355"/>
      <c r="BL44" s="355"/>
      <c r="BM44" s="355"/>
      <c r="BN44" s="355"/>
      <c r="BO44" s="355"/>
      <c r="BP44" s="355"/>
      <c r="BQ44" s="355"/>
    </row>
    <row r="45">
      <c r="E45" s="354"/>
      <c r="F45" s="355"/>
      <c r="G45" s="355"/>
      <c r="H45" s="355"/>
      <c r="I45" s="355"/>
      <c r="J45" s="355"/>
      <c r="K45" s="355"/>
      <c r="L45" s="355"/>
      <c r="M45" s="355"/>
      <c r="N45" s="355"/>
      <c r="O45" s="355"/>
      <c r="P45" s="355"/>
      <c r="Q45" s="355"/>
      <c r="R45" s="355"/>
      <c r="S45" s="355"/>
      <c r="T45" s="355"/>
      <c r="U45" s="355"/>
      <c r="V45" s="355"/>
      <c r="W45" s="355"/>
      <c r="X45" s="355"/>
      <c r="Y45" s="355"/>
      <c r="Z45" s="355"/>
      <c r="AA45" s="355"/>
      <c r="AB45" s="355"/>
      <c r="AC45" s="355"/>
      <c r="AD45" s="355"/>
      <c r="AE45" s="355"/>
      <c r="AF45" s="355"/>
      <c r="AG45" s="355"/>
      <c r="AH45" s="355"/>
      <c r="AI45" s="355"/>
      <c r="AJ45" s="355"/>
      <c r="AK45" s="355"/>
      <c r="AL45" s="355"/>
      <c r="AM45" s="355"/>
      <c r="AN45" s="355"/>
      <c r="AO45" s="355"/>
      <c r="AP45" s="355"/>
      <c r="AQ45" s="355"/>
      <c r="AR45" s="355"/>
      <c r="AS45" s="355"/>
      <c r="AT45" s="355"/>
      <c r="AU45" s="355"/>
      <c r="AV45" s="355"/>
      <c r="AW45" s="355"/>
      <c r="AX45" s="355"/>
      <c r="AY45" s="355"/>
      <c r="AZ45" s="355"/>
      <c r="BA45" s="355"/>
      <c r="BB45" s="355"/>
      <c r="BC45" s="355"/>
      <c r="BD45" s="355"/>
      <c r="BE45" s="355"/>
      <c r="BF45" s="355"/>
      <c r="BG45" s="355"/>
      <c r="BH45" s="355"/>
      <c r="BI45" s="355"/>
      <c r="BJ45" s="355"/>
      <c r="BK45" s="355"/>
      <c r="BL45" s="355"/>
      <c r="BM45" s="355"/>
      <c r="BN45" s="355"/>
      <c r="BO45" s="355"/>
      <c r="BP45" s="355"/>
      <c r="BQ45" s="355"/>
    </row>
    <row r="46">
      <c r="E46" s="354"/>
      <c r="F46" s="355"/>
      <c r="G46" s="355"/>
      <c r="H46" s="355"/>
      <c r="I46" s="355"/>
      <c r="J46" s="355"/>
      <c r="K46" s="355"/>
      <c r="L46" s="355"/>
      <c r="M46" s="355"/>
      <c r="N46" s="355"/>
      <c r="O46" s="355"/>
      <c r="P46" s="355"/>
      <c r="Q46" s="355"/>
      <c r="R46" s="355"/>
      <c r="S46" s="355"/>
      <c r="T46" s="355"/>
      <c r="U46" s="355"/>
      <c r="V46" s="355"/>
      <c r="W46" s="355"/>
      <c r="X46" s="355"/>
      <c r="Y46" s="355"/>
      <c r="Z46" s="355"/>
      <c r="AA46" s="355"/>
      <c r="AB46" s="355"/>
      <c r="AC46" s="355"/>
      <c r="AD46" s="355"/>
      <c r="AE46" s="355"/>
      <c r="AF46" s="355"/>
      <c r="AG46" s="355"/>
      <c r="AH46" s="355"/>
      <c r="AI46" s="355"/>
      <c r="AJ46" s="355"/>
      <c r="AK46" s="355"/>
      <c r="AL46" s="355"/>
      <c r="AM46" s="355"/>
      <c r="AN46" s="355"/>
      <c r="AO46" s="355"/>
      <c r="AP46" s="355"/>
      <c r="AQ46" s="355"/>
      <c r="AR46" s="355"/>
      <c r="AS46" s="355"/>
      <c r="AT46" s="355"/>
      <c r="AU46" s="355"/>
      <c r="AV46" s="355"/>
      <c r="AW46" s="355"/>
      <c r="AX46" s="355"/>
      <c r="AY46" s="355"/>
      <c r="AZ46" s="355"/>
      <c r="BA46" s="355"/>
      <c r="BB46" s="355"/>
      <c r="BC46" s="355"/>
      <c r="BD46" s="355"/>
      <c r="BE46" s="355"/>
      <c r="BF46" s="355"/>
      <c r="BG46" s="355"/>
      <c r="BH46" s="355"/>
      <c r="BI46" s="355"/>
      <c r="BJ46" s="355"/>
      <c r="BK46" s="355"/>
      <c r="BL46" s="355"/>
      <c r="BM46" s="355"/>
      <c r="BN46" s="355"/>
      <c r="BO46" s="355"/>
      <c r="BP46" s="355"/>
      <c r="BQ46" s="355"/>
    </row>
    <row r="47">
      <c r="E47" s="354"/>
      <c r="F47" s="355"/>
      <c r="G47" s="355"/>
      <c r="H47" s="355"/>
      <c r="I47" s="355"/>
      <c r="J47" s="355"/>
      <c r="K47" s="355"/>
      <c r="L47" s="355"/>
      <c r="M47" s="355"/>
      <c r="N47" s="355"/>
      <c r="O47" s="355"/>
      <c r="P47" s="355"/>
      <c r="Q47" s="355"/>
      <c r="R47" s="355"/>
      <c r="S47" s="355"/>
      <c r="T47" s="355"/>
      <c r="U47" s="355"/>
      <c r="V47" s="355"/>
      <c r="W47" s="355"/>
      <c r="X47" s="355"/>
      <c r="Y47" s="355"/>
      <c r="Z47" s="355"/>
      <c r="AA47" s="355"/>
      <c r="AB47" s="355"/>
      <c r="AC47" s="355"/>
      <c r="AD47" s="355"/>
      <c r="AE47" s="355"/>
      <c r="AF47" s="355"/>
      <c r="AG47" s="355"/>
      <c r="AH47" s="355"/>
      <c r="AI47" s="355"/>
      <c r="AJ47" s="355"/>
      <c r="AK47" s="355"/>
      <c r="AL47" s="355"/>
      <c r="AM47" s="355"/>
      <c r="AN47" s="355"/>
      <c r="AO47" s="355"/>
      <c r="AP47" s="355"/>
      <c r="AQ47" s="355"/>
      <c r="AR47" s="355"/>
      <c r="AS47" s="355"/>
      <c r="AT47" s="355"/>
      <c r="AU47" s="355"/>
      <c r="AV47" s="355"/>
      <c r="AW47" s="355"/>
      <c r="AX47" s="355"/>
      <c r="AY47" s="355"/>
      <c r="AZ47" s="355"/>
      <c r="BA47" s="355"/>
      <c r="BB47" s="355"/>
      <c r="BC47" s="355"/>
      <c r="BD47" s="355"/>
      <c r="BE47" s="355"/>
      <c r="BF47" s="355"/>
      <c r="BG47" s="355"/>
      <c r="BH47" s="355"/>
      <c r="BI47" s="355"/>
      <c r="BJ47" s="355"/>
      <c r="BK47" s="355"/>
      <c r="BL47" s="355"/>
      <c r="BM47" s="355"/>
      <c r="BN47" s="355"/>
      <c r="BO47" s="355"/>
      <c r="BP47" s="355"/>
      <c r="BQ47" s="355"/>
    </row>
    <row r="48">
      <c r="E48" s="354"/>
      <c r="F48" s="355"/>
      <c r="G48" s="355"/>
      <c r="H48" s="355"/>
      <c r="I48" s="355"/>
      <c r="J48" s="355"/>
      <c r="K48" s="355"/>
      <c r="L48" s="355"/>
      <c r="M48" s="355"/>
      <c r="N48" s="355"/>
      <c r="O48" s="355"/>
      <c r="P48" s="355"/>
      <c r="Q48" s="355"/>
      <c r="R48" s="355"/>
      <c r="S48" s="355"/>
      <c r="T48" s="355"/>
      <c r="U48" s="355"/>
      <c r="V48" s="355"/>
      <c r="W48" s="355"/>
      <c r="X48" s="355"/>
      <c r="Y48" s="355"/>
      <c r="Z48" s="355"/>
      <c r="AA48" s="355"/>
      <c r="AB48" s="355"/>
      <c r="AC48" s="355"/>
      <c r="AD48" s="355"/>
      <c r="AE48" s="355"/>
      <c r="AF48" s="355"/>
      <c r="AG48" s="355"/>
      <c r="AH48" s="355"/>
      <c r="AI48" s="355"/>
      <c r="AJ48" s="355"/>
      <c r="AK48" s="355"/>
      <c r="AL48" s="355"/>
      <c r="AM48" s="355"/>
      <c r="AN48" s="355"/>
      <c r="AO48" s="355"/>
      <c r="AP48" s="355"/>
      <c r="AQ48" s="355"/>
      <c r="AR48" s="355"/>
      <c r="AS48" s="355"/>
      <c r="AT48" s="355"/>
      <c r="AU48" s="355"/>
      <c r="AV48" s="355"/>
      <c r="AW48" s="355"/>
      <c r="AX48" s="355"/>
      <c r="AY48" s="355"/>
      <c r="AZ48" s="355"/>
      <c r="BA48" s="355"/>
      <c r="BB48" s="355"/>
      <c r="BC48" s="355"/>
      <c r="BD48" s="355"/>
      <c r="BE48" s="355"/>
      <c r="BF48" s="355"/>
      <c r="BG48" s="355"/>
      <c r="BH48" s="355"/>
      <c r="BI48" s="355"/>
      <c r="BJ48" s="355"/>
      <c r="BK48" s="355"/>
      <c r="BL48" s="355"/>
      <c r="BM48" s="355"/>
      <c r="BN48" s="355"/>
      <c r="BO48" s="355"/>
      <c r="BP48" s="355"/>
      <c r="BQ48" s="355"/>
    </row>
    <row r="49">
      <c r="E49" s="354"/>
      <c r="F49" s="355"/>
      <c r="G49" s="355"/>
      <c r="H49" s="355"/>
      <c r="I49" s="355"/>
      <c r="J49" s="355"/>
      <c r="K49" s="355"/>
      <c r="L49" s="355"/>
      <c r="M49" s="355"/>
      <c r="N49" s="355"/>
      <c r="O49" s="355"/>
      <c r="P49" s="355"/>
      <c r="Q49" s="355"/>
      <c r="R49" s="355"/>
      <c r="S49" s="355"/>
      <c r="T49" s="355"/>
      <c r="U49" s="355"/>
      <c r="V49" s="355"/>
      <c r="W49" s="355"/>
      <c r="X49" s="355"/>
      <c r="Y49" s="355"/>
      <c r="Z49" s="355"/>
      <c r="AA49" s="355"/>
      <c r="AB49" s="355"/>
      <c r="AC49" s="355"/>
      <c r="AD49" s="355"/>
      <c r="AE49" s="355"/>
      <c r="AF49" s="355"/>
      <c r="AG49" s="355"/>
      <c r="AH49" s="355"/>
      <c r="AI49" s="355"/>
      <c r="AJ49" s="355"/>
      <c r="AK49" s="355"/>
      <c r="AL49" s="355"/>
      <c r="AM49" s="355"/>
      <c r="AN49" s="355"/>
      <c r="AO49" s="355"/>
      <c r="AP49" s="355"/>
      <c r="AQ49" s="355"/>
      <c r="AR49" s="355"/>
      <c r="AS49" s="355"/>
      <c r="AT49" s="355"/>
      <c r="AU49" s="355"/>
      <c r="AV49" s="355"/>
      <c r="AW49" s="355"/>
      <c r="AX49" s="355"/>
      <c r="AY49" s="355"/>
      <c r="AZ49" s="355"/>
      <c r="BA49" s="355"/>
      <c r="BB49" s="355"/>
      <c r="BC49" s="355"/>
      <c r="BD49" s="355"/>
      <c r="BE49" s="355"/>
      <c r="BF49" s="355"/>
      <c r="BG49" s="355"/>
      <c r="BH49" s="355"/>
      <c r="BI49" s="355"/>
      <c r="BJ49" s="355"/>
      <c r="BK49" s="355"/>
      <c r="BL49" s="355"/>
      <c r="BM49" s="355"/>
      <c r="BN49" s="355"/>
      <c r="BO49" s="355"/>
      <c r="BP49" s="355"/>
      <c r="BQ49" s="355"/>
    </row>
    <row r="50">
      <c r="E50" s="354"/>
      <c r="F50" s="355"/>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row>
    <row r="51">
      <c r="E51" s="354"/>
      <c r="F51" s="355"/>
      <c r="G51" s="355"/>
      <c r="H51" s="355"/>
      <c r="I51" s="355"/>
      <c r="J51" s="355"/>
      <c r="K51" s="355"/>
      <c r="L51" s="355"/>
      <c r="M51" s="355"/>
      <c r="N51" s="355"/>
      <c r="O51" s="355"/>
      <c r="P51" s="355"/>
      <c r="Q51" s="355"/>
      <c r="R51" s="355"/>
      <c r="S51" s="355"/>
      <c r="T51" s="355"/>
      <c r="U51" s="355"/>
      <c r="V51" s="355"/>
      <c r="W51" s="355"/>
      <c r="X51" s="355"/>
      <c r="Y51" s="355"/>
      <c r="Z51" s="355"/>
      <c r="AA51" s="355"/>
      <c r="AB51" s="355"/>
      <c r="AC51" s="355"/>
      <c r="AD51" s="355"/>
      <c r="AE51" s="355"/>
      <c r="AF51" s="355"/>
      <c r="AG51" s="355"/>
      <c r="AH51" s="355"/>
      <c r="AI51" s="355"/>
      <c r="AJ51" s="355"/>
      <c r="AK51" s="355"/>
      <c r="AL51" s="355"/>
      <c r="AM51" s="355"/>
      <c r="AN51" s="355"/>
      <c r="AO51" s="355"/>
      <c r="AP51" s="355"/>
      <c r="AQ51" s="355"/>
      <c r="AR51" s="355"/>
      <c r="AS51" s="355"/>
      <c r="AT51" s="355"/>
      <c r="AU51" s="355"/>
      <c r="AV51" s="355"/>
      <c r="AW51" s="355"/>
      <c r="AX51" s="355"/>
      <c r="AY51" s="355"/>
      <c r="AZ51" s="355"/>
      <c r="BA51" s="355"/>
      <c r="BB51" s="355"/>
      <c r="BC51" s="355"/>
      <c r="BD51" s="355"/>
      <c r="BE51" s="355"/>
      <c r="BF51" s="355"/>
      <c r="BG51" s="355"/>
      <c r="BH51" s="355"/>
      <c r="BI51" s="355"/>
      <c r="BJ51" s="355"/>
      <c r="BK51" s="355"/>
      <c r="BL51" s="355"/>
      <c r="BM51" s="355"/>
      <c r="BN51" s="355"/>
      <c r="BO51" s="355"/>
      <c r="BP51" s="355"/>
      <c r="BQ51" s="355"/>
    </row>
    <row r="52">
      <c r="E52" s="354"/>
      <c r="F52" s="355"/>
      <c r="G52" s="355"/>
      <c r="H52" s="355"/>
      <c r="I52" s="355"/>
      <c r="J52" s="355"/>
      <c r="K52" s="355"/>
      <c r="L52" s="355"/>
      <c r="M52" s="355"/>
      <c r="N52" s="355"/>
      <c r="O52" s="355"/>
      <c r="P52" s="355"/>
      <c r="Q52" s="355"/>
      <c r="R52" s="355"/>
      <c r="S52" s="355"/>
      <c r="T52" s="355"/>
      <c r="U52" s="355"/>
      <c r="V52" s="355"/>
      <c r="W52" s="355"/>
      <c r="X52" s="355"/>
      <c r="Y52" s="355"/>
      <c r="Z52" s="355"/>
      <c r="AA52" s="355"/>
      <c r="AB52" s="355"/>
      <c r="AC52" s="355"/>
      <c r="AD52" s="355"/>
      <c r="AE52" s="355"/>
      <c r="AF52" s="355"/>
      <c r="AG52" s="355"/>
      <c r="AH52" s="355"/>
      <c r="AI52" s="355"/>
      <c r="AJ52" s="355"/>
      <c r="AK52" s="355"/>
      <c r="AL52" s="355"/>
      <c r="AM52" s="355"/>
      <c r="AN52" s="355"/>
      <c r="AO52" s="355"/>
      <c r="AP52" s="355"/>
      <c r="AQ52" s="355"/>
      <c r="AR52" s="355"/>
      <c r="AS52" s="355"/>
      <c r="AT52" s="355"/>
      <c r="AU52" s="355"/>
      <c r="AV52" s="355"/>
      <c r="AW52" s="355"/>
      <c r="AX52" s="355"/>
      <c r="AY52" s="355"/>
      <c r="AZ52" s="355"/>
      <c r="BA52" s="355"/>
      <c r="BB52" s="355"/>
      <c r="BC52" s="355"/>
      <c r="BD52" s="355"/>
      <c r="BE52" s="355"/>
      <c r="BF52" s="355"/>
      <c r="BG52" s="355"/>
      <c r="BH52" s="355"/>
      <c r="BI52" s="355"/>
      <c r="BJ52" s="355"/>
      <c r="BK52" s="355"/>
      <c r="BL52" s="355"/>
      <c r="BM52" s="355"/>
      <c r="BN52" s="355"/>
      <c r="BO52" s="355"/>
      <c r="BP52" s="355"/>
      <c r="BQ52" s="355"/>
    </row>
    <row r="53">
      <c r="E53" s="354"/>
      <c r="F53" s="355"/>
      <c r="G53" s="355"/>
      <c r="H53" s="355"/>
      <c r="I53" s="355"/>
      <c r="J53" s="355"/>
      <c r="K53" s="355"/>
      <c r="L53" s="355"/>
      <c r="M53" s="355"/>
      <c r="N53" s="355"/>
      <c r="O53" s="355"/>
      <c r="P53" s="355"/>
      <c r="Q53" s="355"/>
      <c r="R53" s="355"/>
      <c r="S53" s="355"/>
      <c r="T53" s="355"/>
      <c r="U53" s="355"/>
      <c r="V53" s="355"/>
      <c r="W53" s="355"/>
      <c r="X53" s="355"/>
      <c r="Y53" s="355"/>
      <c r="Z53" s="355"/>
      <c r="AA53" s="355"/>
      <c r="AB53" s="355"/>
      <c r="AC53" s="355"/>
      <c r="AD53" s="355"/>
      <c r="AE53" s="355"/>
      <c r="AF53" s="355"/>
      <c r="AG53" s="355"/>
      <c r="AH53" s="355"/>
      <c r="AI53" s="355"/>
      <c r="AJ53" s="355"/>
      <c r="AK53" s="355"/>
      <c r="AL53" s="355"/>
      <c r="AM53" s="355"/>
      <c r="AN53" s="355"/>
      <c r="AO53" s="355"/>
      <c r="AP53" s="355"/>
      <c r="AQ53" s="355"/>
      <c r="AR53" s="355"/>
      <c r="AS53" s="355"/>
      <c r="AT53" s="355"/>
      <c r="AU53" s="355"/>
      <c r="AV53" s="355"/>
      <c r="AW53" s="355"/>
      <c r="AX53" s="355"/>
      <c r="AY53" s="355"/>
      <c r="AZ53" s="355"/>
      <c r="BA53" s="355"/>
      <c r="BB53" s="355"/>
      <c r="BC53" s="355"/>
      <c r="BD53" s="355"/>
      <c r="BE53" s="355"/>
      <c r="BF53" s="355"/>
      <c r="BG53" s="355"/>
      <c r="BH53" s="355"/>
      <c r="BI53" s="355"/>
      <c r="BJ53" s="355"/>
      <c r="BK53" s="355"/>
      <c r="BL53" s="355"/>
      <c r="BM53" s="355"/>
      <c r="BN53" s="355"/>
      <c r="BO53" s="355"/>
      <c r="BP53" s="355"/>
      <c r="BQ53" s="355"/>
    </row>
    <row r="54">
      <c r="E54" s="354"/>
      <c r="F54" s="355"/>
      <c r="G54" s="355"/>
      <c r="H54" s="355"/>
      <c r="I54" s="355"/>
      <c r="J54" s="355"/>
      <c r="K54" s="355"/>
      <c r="L54" s="355"/>
      <c r="M54" s="355"/>
      <c r="N54" s="355"/>
      <c r="O54" s="355"/>
      <c r="P54" s="355"/>
      <c r="Q54" s="355"/>
      <c r="R54" s="355"/>
      <c r="S54" s="355"/>
      <c r="T54" s="355"/>
      <c r="U54" s="355"/>
      <c r="V54" s="355"/>
      <c r="W54" s="355"/>
      <c r="X54" s="355"/>
      <c r="Y54" s="355"/>
      <c r="Z54" s="355"/>
      <c r="AA54" s="355"/>
      <c r="AB54" s="355"/>
      <c r="AC54" s="355"/>
      <c r="AD54" s="355"/>
      <c r="AE54" s="355"/>
      <c r="AF54" s="355"/>
      <c r="AG54" s="355"/>
      <c r="AH54" s="355"/>
      <c r="AI54" s="355"/>
      <c r="AJ54" s="355"/>
      <c r="AK54" s="355"/>
      <c r="AL54" s="355"/>
      <c r="AM54" s="355"/>
      <c r="AN54" s="355"/>
      <c r="AO54" s="355"/>
      <c r="AP54" s="355"/>
      <c r="AQ54" s="355"/>
      <c r="AR54" s="355"/>
      <c r="AS54" s="355"/>
      <c r="AT54" s="355"/>
      <c r="AU54" s="355"/>
      <c r="AV54" s="355"/>
      <c r="AW54" s="355"/>
      <c r="AX54" s="355"/>
      <c r="AY54" s="355"/>
      <c r="AZ54" s="355"/>
      <c r="BA54" s="355"/>
      <c r="BB54" s="355"/>
      <c r="BC54" s="355"/>
      <c r="BD54" s="355"/>
      <c r="BE54" s="355"/>
      <c r="BF54" s="355"/>
      <c r="BG54" s="355"/>
      <c r="BH54" s="355"/>
      <c r="BI54" s="355"/>
      <c r="BJ54" s="355"/>
      <c r="BK54" s="355"/>
      <c r="BL54" s="355"/>
      <c r="BM54" s="355"/>
      <c r="BN54" s="355"/>
      <c r="BO54" s="355"/>
      <c r="BP54" s="355"/>
      <c r="BQ54" s="355"/>
    </row>
    <row r="55">
      <c r="E55" s="354"/>
      <c r="F55" s="355"/>
      <c r="G55" s="355"/>
      <c r="H55" s="355"/>
      <c r="I55" s="355"/>
      <c r="J55" s="355"/>
      <c r="K55" s="355"/>
      <c r="L55" s="355"/>
      <c r="M55" s="355"/>
      <c r="N55" s="355"/>
      <c r="O55" s="355"/>
      <c r="P55" s="355"/>
      <c r="Q55" s="355"/>
      <c r="R55" s="355"/>
      <c r="S55" s="355"/>
      <c r="T55" s="355"/>
      <c r="U55" s="355"/>
      <c r="V55" s="355"/>
      <c r="W55" s="355"/>
      <c r="X55" s="355"/>
      <c r="Y55" s="355"/>
      <c r="Z55" s="355"/>
      <c r="AA55" s="355"/>
      <c r="AB55" s="355"/>
      <c r="AC55" s="355"/>
      <c r="AD55" s="355"/>
      <c r="AE55" s="355"/>
      <c r="AF55" s="355"/>
      <c r="AG55" s="355"/>
      <c r="AH55" s="355"/>
      <c r="AI55" s="355"/>
      <c r="AJ55" s="355"/>
      <c r="AK55" s="355"/>
      <c r="AL55" s="355"/>
      <c r="AM55" s="355"/>
      <c r="AN55" s="355"/>
      <c r="AO55" s="355"/>
      <c r="AP55" s="355"/>
      <c r="AQ55" s="355"/>
      <c r="AR55" s="355"/>
      <c r="AS55" s="355"/>
      <c r="AT55" s="355"/>
      <c r="AU55" s="355"/>
      <c r="AV55" s="355"/>
      <c r="AW55" s="355"/>
      <c r="AX55" s="355"/>
      <c r="AY55" s="355"/>
      <c r="AZ55" s="355"/>
      <c r="BA55" s="355"/>
      <c r="BB55" s="355"/>
      <c r="BC55" s="355"/>
      <c r="BD55" s="355"/>
      <c r="BE55" s="355"/>
      <c r="BF55" s="355"/>
      <c r="BG55" s="355"/>
      <c r="BH55" s="355"/>
      <c r="BI55" s="355"/>
      <c r="BJ55" s="355"/>
      <c r="BK55" s="355"/>
      <c r="BL55" s="355"/>
      <c r="BM55" s="355"/>
      <c r="BN55" s="355"/>
      <c r="BO55" s="355"/>
      <c r="BP55" s="355"/>
      <c r="BQ55" s="355"/>
    </row>
    <row r="56">
      <c r="E56" s="354"/>
      <c r="F56" s="355"/>
      <c r="G56" s="355"/>
      <c r="H56" s="355"/>
      <c r="I56" s="355"/>
      <c r="J56" s="355"/>
      <c r="K56" s="355"/>
      <c r="L56" s="355"/>
      <c r="M56" s="355"/>
      <c r="N56" s="355"/>
      <c r="O56" s="355"/>
      <c r="P56" s="355"/>
      <c r="Q56" s="355"/>
      <c r="R56" s="355"/>
      <c r="S56" s="355"/>
      <c r="T56" s="355"/>
      <c r="U56" s="355"/>
      <c r="V56" s="355"/>
      <c r="W56" s="355"/>
      <c r="X56" s="355"/>
      <c r="Y56" s="355"/>
      <c r="Z56" s="355"/>
      <c r="AA56" s="355"/>
      <c r="AB56" s="355"/>
      <c r="AC56" s="355"/>
      <c r="AD56" s="355"/>
      <c r="AE56" s="355"/>
      <c r="AF56" s="355"/>
      <c r="AG56" s="355"/>
      <c r="AH56" s="355"/>
      <c r="AI56" s="355"/>
      <c r="AJ56" s="355"/>
      <c r="AK56" s="355"/>
      <c r="AL56" s="355"/>
      <c r="AM56" s="355"/>
      <c r="AN56" s="355"/>
      <c r="AO56" s="355"/>
      <c r="AP56" s="355"/>
      <c r="AQ56" s="355"/>
      <c r="AR56" s="355"/>
      <c r="AS56" s="355"/>
      <c r="AT56" s="355"/>
      <c r="AU56" s="355"/>
      <c r="AV56" s="355"/>
      <c r="AW56" s="355"/>
      <c r="AX56" s="355"/>
      <c r="AY56" s="355"/>
      <c r="AZ56" s="355"/>
      <c r="BA56" s="355"/>
      <c r="BB56" s="355"/>
      <c r="BC56" s="355"/>
      <c r="BD56" s="355"/>
      <c r="BE56" s="355"/>
      <c r="BF56" s="355"/>
      <c r="BG56" s="355"/>
      <c r="BH56" s="355"/>
      <c r="BI56" s="355"/>
      <c r="BJ56" s="355"/>
      <c r="BK56" s="355"/>
      <c r="BL56" s="355"/>
      <c r="BM56" s="355"/>
      <c r="BN56" s="355"/>
      <c r="BO56" s="355"/>
      <c r="BP56" s="355"/>
      <c r="BQ56" s="355"/>
    </row>
    <row r="57">
      <c r="E57" s="354"/>
      <c r="F57" s="355"/>
      <c r="G57" s="355"/>
      <c r="H57" s="355"/>
      <c r="I57" s="355"/>
      <c r="J57" s="355"/>
      <c r="K57" s="355"/>
      <c r="L57" s="355"/>
      <c r="M57" s="355"/>
      <c r="N57" s="355"/>
      <c r="O57" s="355"/>
      <c r="P57" s="355"/>
      <c r="Q57" s="355"/>
      <c r="R57" s="355"/>
      <c r="S57" s="355"/>
      <c r="T57" s="355"/>
      <c r="U57" s="355"/>
      <c r="V57" s="355"/>
      <c r="W57" s="355"/>
      <c r="X57" s="355"/>
      <c r="Y57" s="355"/>
      <c r="Z57" s="355"/>
      <c r="AA57" s="355"/>
      <c r="AB57" s="355"/>
      <c r="AC57" s="355"/>
      <c r="AD57" s="355"/>
      <c r="AE57" s="355"/>
      <c r="AF57" s="355"/>
      <c r="AG57" s="355"/>
      <c r="AH57" s="355"/>
      <c r="AI57" s="355"/>
      <c r="AJ57" s="355"/>
      <c r="AK57" s="355"/>
      <c r="AL57" s="355"/>
      <c r="AM57" s="355"/>
      <c r="AN57" s="355"/>
      <c r="AO57" s="355"/>
      <c r="AP57" s="355"/>
      <c r="AQ57" s="355"/>
      <c r="AR57" s="355"/>
      <c r="AS57" s="355"/>
      <c r="AT57" s="355"/>
      <c r="AU57" s="355"/>
      <c r="AV57" s="355"/>
      <c r="AW57" s="355"/>
      <c r="AX57" s="355"/>
      <c r="AY57" s="355"/>
      <c r="AZ57" s="355"/>
      <c r="BA57" s="355"/>
      <c r="BB57" s="355"/>
      <c r="BC57" s="355"/>
      <c r="BD57" s="355"/>
      <c r="BE57" s="355"/>
      <c r="BF57" s="355"/>
      <c r="BG57" s="355"/>
      <c r="BH57" s="355"/>
      <c r="BI57" s="355"/>
      <c r="BJ57" s="355"/>
      <c r="BK57" s="355"/>
      <c r="BL57" s="355"/>
      <c r="BM57" s="355"/>
      <c r="BN57" s="355"/>
      <c r="BO57" s="355"/>
      <c r="BP57" s="355"/>
      <c r="BQ57" s="355"/>
    </row>
    <row r="58">
      <c r="E58" s="354"/>
      <c r="F58" s="355"/>
      <c r="G58" s="355"/>
      <c r="H58" s="355"/>
      <c r="I58" s="355"/>
      <c r="J58" s="355"/>
      <c r="K58" s="355"/>
      <c r="L58" s="355"/>
      <c r="M58" s="355"/>
      <c r="N58" s="355"/>
      <c r="O58" s="355"/>
      <c r="P58" s="355"/>
      <c r="Q58" s="355"/>
      <c r="R58" s="355"/>
      <c r="S58" s="355"/>
      <c r="T58" s="355"/>
      <c r="U58" s="355"/>
      <c r="V58" s="355"/>
      <c r="W58" s="355"/>
      <c r="X58" s="355"/>
      <c r="Y58" s="355"/>
      <c r="Z58" s="355"/>
      <c r="AA58" s="355"/>
      <c r="AB58" s="355"/>
      <c r="AC58" s="355"/>
      <c r="AD58" s="355"/>
      <c r="AE58" s="355"/>
      <c r="AF58" s="355"/>
      <c r="AG58" s="355"/>
      <c r="AH58" s="355"/>
      <c r="AI58" s="355"/>
      <c r="AJ58" s="355"/>
      <c r="AK58" s="355"/>
      <c r="AL58" s="355"/>
      <c r="AM58" s="355"/>
      <c r="AN58" s="355"/>
      <c r="AO58" s="355"/>
      <c r="AP58" s="355"/>
      <c r="AQ58" s="355"/>
      <c r="AR58" s="355"/>
      <c r="AS58" s="355"/>
      <c r="AT58" s="355"/>
      <c r="AU58" s="355"/>
      <c r="AV58" s="355"/>
      <c r="AW58" s="355"/>
      <c r="AX58" s="355"/>
      <c r="AY58" s="355"/>
      <c r="AZ58" s="355"/>
      <c r="BA58" s="355"/>
      <c r="BB58" s="355"/>
      <c r="BC58" s="355"/>
      <c r="BD58" s="355"/>
      <c r="BE58" s="355"/>
      <c r="BF58" s="355"/>
      <c r="BG58" s="355"/>
      <c r="BH58" s="355"/>
      <c r="BI58" s="355"/>
      <c r="BJ58" s="355"/>
      <c r="BK58" s="355"/>
      <c r="BL58" s="355"/>
      <c r="BM58" s="355"/>
      <c r="BN58" s="355"/>
      <c r="BO58" s="355"/>
      <c r="BP58" s="355"/>
      <c r="BQ58" s="355"/>
    </row>
    <row r="59">
      <c r="E59" s="354"/>
      <c r="F59" s="355"/>
      <c r="G59" s="355"/>
      <c r="H59" s="355"/>
      <c r="I59" s="355"/>
      <c r="J59" s="355"/>
      <c r="K59" s="355"/>
      <c r="L59" s="355"/>
      <c r="M59" s="355"/>
      <c r="N59" s="355"/>
      <c r="O59" s="355"/>
      <c r="P59" s="355"/>
      <c r="Q59" s="355"/>
      <c r="R59" s="355"/>
      <c r="S59" s="355"/>
      <c r="T59" s="355"/>
      <c r="U59" s="355"/>
      <c r="V59" s="355"/>
      <c r="W59" s="355"/>
      <c r="X59" s="355"/>
      <c r="Y59" s="355"/>
      <c r="Z59" s="355"/>
      <c r="AA59" s="355"/>
      <c r="AB59" s="355"/>
      <c r="AC59" s="355"/>
      <c r="AD59" s="355"/>
      <c r="AE59" s="355"/>
      <c r="AF59" s="355"/>
      <c r="AG59" s="355"/>
      <c r="AH59" s="355"/>
      <c r="AI59" s="355"/>
      <c r="AJ59" s="355"/>
      <c r="AK59" s="355"/>
      <c r="AL59" s="355"/>
      <c r="AM59" s="355"/>
      <c r="AN59" s="355"/>
      <c r="AO59" s="355"/>
      <c r="AP59" s="355"/>
      <c r="AQ59" s="355"/>
      <c r="AR59" s="355"/>
      <c r="AS59" s="355"/>
      <c r="AT59" s="355"/>
      <c r="AU59" s="355"/>
      <c r="AV59" s="355"/>
      <c r="AW59" s="355"/>
      <c r="AX59" s="355"/>
      <c r="AY59" s="355"/>
      <c r="AZ59" s="355"/>
      <c r="BA59" s="355"/>
      <c r="BB59" s="355"/>
      <c r="BC59" s="355"/>
      <c r="BD59" s="355"/>
      <c r="BE59" s="355"/>
      <c r="BF59" s="355"/>
      <c r="BG59" s="355"/>
      <c r="BH59" s="355"/>
      <c r="BI59" s="355"/>
      <c r="BJ59" s="355"/>
      <c r="BK59" s="355"/>
      <c r="BL59" s="355"/>
      <c r="BM59" s="355"/>
      <c r="BN59" s="355"/>
      <c r="BO59" s="355"/>
      <c r="BP59" s="355"/>
      <c r="BQ59" s="355"/>
    </row>
    <row r="60">
      <c r="E60" s="354"/>
      <c r="F60" s="355"/>
      <c r="G60" s="355"/>
      <c r="H60" s="355"/>
      <c r="I60" s="355"/>
      <c r="J60" s="355"/>
      <c r="K60" s="355"/>
      <c r="L60" s="355"/>
      <c r="M60" s="355"/>
      <c r="N60" s="355"/>
      <c r="O60" s="355"/>
      <c r="P60" s="355"/>
      <c r="Q60" s="355"/>
      <c r="R60" s="355"/>
      <c r="S60" s="355"/>
      <c r="T60" s="355"/>
      <c r="U60" s="355"/>
      <c r="V60" s="355"/>
      <c r="W60" s="355"/>
      <c r="X60" s="355"/>
      <c r="Y60" s="355"/>
      <c r="Z60" s="355"/>
      <c r="AA60" s="355"/>
      <c r="AB60" s="355"/>
      <c r="AC60" s="355"/>
      <c r="AD60" s="355"/>
      <c r="AE60" s="355"/>
      <c r="AF60" s="355"/>
      <c r="AG60" s="355"/>
      <c r="AH60" s="355"/>
      <c r="AI60" s="355"/>
      <c r="AJ60" s="355"/>
      <c r="AK60" s="355"/>
      <c r="AL60" s="355"/>
      <c r="AM60" s="355"/>
      <c r="AN60" s="355"/>
      <c r="AO60" s="355"/>
      <c r="AP60" s="355"/>
      <c r="AQ60" s="355"/>
      <c r="AR60" s="355"/>
      <c r="AS60" s="355"/>
      <c r="AT60" s="355"/>
      <c r="AU60" s="355"/>
      <c r="AV60" s="355"/>
      <c r="AW60" s="355"/>
      <c r="AX60" s="355"/>
      <c r="AY60" s="355"/>
      <c r="AZ60" s="355"/>
      <c r="BA60" s="355"/>
      <c r="BB60" s="355"/>
      <c r="BC60" s="355"/>
      <c r="BD60" s="355"/>
      <c r="BE60" s="355"/>
      <c r="BF60" s="355"/>
      <c r="BG60" s="355"/>
      <c r="BH60" s="355"/>
      <c r="BI60" s="355"/>
      <c r="BJ60" s="355"/>
      <c r="BK60" s="355"/>
      <c r="BL60" s="355"/>
      <c r="BM60" s="355"/>
      <c r="BN60" s="355"/>
      <c r="BO60" s="355"/>
      <c r="BP60" s="355"/>
      <c r="BQ60" s="355"/>
    </row>
    <row r="61">
      <c r="E61" s="354"/>
      <c r="F61" s="355"/>
      <c r="G61" s="355"/>
      <c r="H61" s="355"/>
      <c r="I61" s="355"/>
      <c r="J61" s="355"/>
      <c r="K61" s="355"/>
      <c r="L61" s="355"/>
      <c r="M61" s="355"/>
      <c r="N61" s="355"/>
      <c r="O61" s="355"/>
      <c r="P61" s="355"/>
      <c r="Q61" s="355"/>
      <c r="R61" s="355"/>
      <c r="S61" s="355"/>
      <c r="T61" s="355"/>
      <c r="U61" s="355"/>
      <c r="V61" s="355"/>
      <c r="W61" s="355"/>
      <c r="X61" s="355"/>
      <c r="Y61" s="355"/>
      <c r="Z61" s="355"/>
      <c r="AA61" s="355"/>
      <c r="AB61" s="355"/>
      <c r="AC61" s="355"/>
      <c r="AD61" s="355"/>
      <c r="AE61" s="355"/>
      <c r="AF61" s="355"/>
      <c r="AG61" s="355"/>
      <c r="AH61" s="355"/>
      <c r="AI61" s="355"/>
      <c r="AJ61" s="355"/>
      <c r="AK61" s="355"/>
      <c r="AL61" s="355"/>
      <c r="AM61" s="355"/>
      <c r="AN61" s="355"/>
      <c r="AO61" s="355"/>
      <c r="AP61" s="355"/>
      <c r="AQ61" s="355"/>
      <c r="AR61" s="355"/>
      <c r="AS61" s="355"/>
      <c r="AT61" s="355"/>
      <c r="AU61" s="355"/>
      <c r="AV61" s="355"/>
      <c r="AW61" s="355"/>
      <c r="AX61" s="355"/>
      <c r="AY61" s="355"/>
      <c r="AZ61" s="355"/>
      <c r="BA61" s="355"/>
      <c r="BB61" s="355"/>
      <c r="BC61" s="355"/>
      <c r="BD61" s="355"/>
      <c r="BE61" s="355"/>
      <c r="BF61" s="355"/>
      <c r="BG61" s="355"/>
      <c r="BH61" s="355"/>
      <c r="BI61" s="355"/>
      <c r="BJ61" s="355"/>
      <c r="BK61" s="355"/>
      <c r="BL61" s="355"/>
      <c r="BM61" s="355"/>
      <c r="BN61" s="355"/>
      <c r="BO61" s="355"/>
      <c r="BP61" s="355"/>
      <c r="BQ61" s="355"/>
    </row>
    <row r="62">
      <c r="E62" s="354"/>
      <c r="F62" s="355"/>
      <c r="G62" s="355"/>
      <c r="H62" s="355"/>
      <c r="I62" s="355"/>
      <c r="J62" s="355"/>
      <c r="K62" s="355"/>
      <c r="L62" s="355"/>
      <c r="M62" s="355"/>
      <c r="N62" s="355"/>
      <c r="O62" s="355"/>
      <c r="P62" s="355"/>
      <c r="Q62" s="355"/>
      <c r="R62" s="355"/>
      <c r="S62" s="355"/>
      <c r="T62" s="355"/>
      <c r="U62" s="355"/>
      <c r="V62" s="355"/>
      <c r="W62" s="355"/>
      <c r="X62" s="355"/>
      <c r="Y62" s="355"/>
      <c r="Z62" s="355"/>
      <c r="AA62" s="355"/>
      <c r="AB62" s="355"/>
      <c r="AC62" s="355"/>
      <c r="AD62" s="355"/>
      <c r="AE62" s="355"/>
      <c r="AF62" s="355"/>
      <c r="AG62" s="355"/>
      <c r="AH62" s="355"/>
      <c r="AI62" s="355"/>
      <c r="AJ62" s="355"/>
      <c r="AK62" s="355"/>
      <c r="AL62" s="355"/>
      <c r="AM62" s="355"/>
      <c r="AN62" s="355"/>
      <c r="AO62" s="355"/>
      <c r="AP62" s="355"/>
      <c r="AQ62" s="355"/>
      <c r="AR62" s="355"/>
      <c r="AS62" s="355"/>
      <c r="AT62" s="355"/>
      <c r="AU62" s="355"/>
      <c r="AV62" s="355"/>
      <c r="AW62" s="355"/>
      <c r="AX62" s="355"/>
      <c r="AY62" s="355"/>
      <c r="AZ62" s="355"/>
      <c r="BA62" s="355"/>
      <c r="BB62" s="355"/>
      <c r="BC62" s="355"/>
      <c r="BD62" s="355"/>
      <c r="BE62" s="355"/>
      <c r="BF62" s="355"/>
      <c r="BG62" s="355"/>
      <c r="BH62" s="355"/>
      <c r="BI62" s="355"/>
      <c r="BJ62" s="355"/>
      <c r="BK62" s="355"/>
      <c r="BL62" s="355"/>
      <c r="BM62" s="355"/>
      <c r="BN62" s="355"/>
      <c r="BO62" s="355"/>
      <c r="BP62" s="355"/>
      <c r="BQ62" s="355"/>
    </row>
    <row r="63">
      <c r="E63" s="354"/>
      <c r="F63" s="355"/>
      <c r="G63" s="355"/>
      <c r="H63" s="355"/>
      <c r="I63" s="355"/>
      <c r="J63" s="355"/>
      <c r="K63" s="355"/>
      <c r="L63" s="355"/>
      <c r="M63" s="355"/>
      <c r="N63" s="355"/>
      <c r="O63" s="355"/>
      <c r="P63" s="355"/>
      <c r="Q63" s="355"/>
      <c r="R63" s="355"/>
      <c r="S63" s="355"/>
      <c r="T63" s="355"/>
      <c r="U63" s="355"/>
      <c r="V63" s="355"/>
      <c r="W63" s="355"/>
      <c r="X63" s="355"/>
      <c r="Y63" s="355"/>
      <c r="Z63" s="355"/>
      <c r="AA63" s="355"/>
      <c r="AB63" s="355"/>
      <c r="AC63" s="355"/>
      <c r="AD63" s="355"/>
      <c r="AE63" s="355"/>
      <c r="AF63" s="355"/>
      <c r="AG63" s="355"/>
      <c r="AH63" s="355"/>
      <c r="AI63" s="355"/>
      <c r="AJ63" s="355"/>
      <c r="AK63" s="355"/>
      <c r="AL63" s="355"/>
      <c r="AM63" s="355"/>
      <c r="AN63" s="355"/>
      <c r="AO63" s="355"/>
      <c r="AP63" s="355"/>
      <c r="AQ63" s="355"/>
      <c r="AR63" s="355"/>
      <c r="AS63" s="355"/>
      <c r="AT63" s="355"/>
      <c r="AU63" s="355"/>
      <c r="AV63" s="355"/>
      <c r="AW63" s="355"/>
      <c r="AX63" s="355"/>
      <c r="AY63" s="355"/>
      <c r="AZ63" s="355"/>
      <c r="BA63" s="355"/>
      <c r="BB63" s="355"/>
      <c r="BC63" s="355"/>
      <c r="BD63" s="355"/>
      <c r="BE63" s="355"/>
      <c r="BF63" s="355"/>
      <c r="BG63" s="355"/>
      <c r="BH63" s="355"/>
      <c r="BI63" s="355"/>
      <c r="BJ63" s="355"/>
      <c r="BK63" s="355"/>
      <c r="BL63" s="355"/>
      <c r="BM63" s="355"/>
      <c r="BN63" s="355"/>
      <c r="BO63" s="355"/>
      <c r="BP63" s="355"/>
      <c r="BQ63" s="355"/>
    </row>
    <row r="64">
      <c r="E64" s="354"/>
      <c r="F64" s="355"/>
      <c r="G64" s="355"/>
      <c r="H64" s="355"/>
      <c r="I64" s="355"/>
      <c r="J64" s="355"/>
      <c r="K64" s="355"/>
      <c r="L64" s="355"/>
      <c r="M64" s="355"/>
      <c r="N64" s="355"/>
      <c r="O64" s="355"/>
      <c r="P64" s="355"/>
      <c r="Q64" s="355"/>
      <c r="R64" s="355"/>
      <c r="S64" s="355"/>
      <c r="T64" s="355"/>
      <c r="U64" s="355"/>
      <c r="V64" s="355"/>
      <c r="W64" s="355"/>
      <c r="X64" s="355"/>
      <c r="Y64" s="355"/>
      <c r="Z64" s="355"/>
      <c r="AA64" s="355"/>
      <c r="AB64" s="355"/>
      <c r="AC64" s="355"/>
      <c r="AD64" s="355"/>
      <c r="AE64" s="355"/>
      <c r="AF64" s="355"/>
      <c r="AG64" s="355"/>
      <c r="AH64" s="355"/>
      <c r="AI64" s="355"/>
      <c r="AJ64" s="355"/>
      <c r="AK64" s="355"/>
      <c r="AL64" s="355"/>
      <c r="AM64" s="355"/>
      <c r="AN64" s="355"/>
      <c r="AO64" s="355"/>
      <c r="AP64" s="355"/>
      <c r="AQ64" s="355"/>
      <c r="AR64" s="355"/>
      <c r="AS64" s="355"/>
      <c r="AT64" s="355"/>
      <c r="AU64" s="355"/>
      <c r="AV64" s="355"/>
      <c r="AW64" s="355"/>
      <c r="AX64" s="355"/>
      <c r="AY64" s="355"/>
      <c r="AZ64" s="355"/>
      <c r="BA64" s="355"/>
      <c r="BB64" s="355"/>
      <c r="BC64" s="355"/>
      <c r="BD64" s="355"/>
      <c r="BE64" s="355"/>
      <c r="BF64" s="355"/>
      <c r="BG64" s="355"/>
      <c r="BH64" s="355"/>
      <c r="BI64" s="355"/>
      <c r="BJ64" s="355"/>
      <c r="BK64" s="355"/>
      <c r="BL64" s="355"/>
      <c r="BM64" s="355"/>
      <c r="BN64" s="355"/>
      <c r="BO64" s="355"/>
      <c r="BP64" s="355"/>
      <c r="BQ64" s="355"/>
    </row>
    <row r="65">
      <c r="E65" s="354"/>
      <c r="F65" s="355"/>
      <c r="G65" s="355"/>
      <c r="H65" s="355"/>
      <c r="I65" s="355"/>
      <c r="J65" s="355"/>
      <c r="K65" s="355"/>
      <c r="L65" s="355"/>
      <c r="M65" s="355"/>
      <c r="N65" s="355"/>
      <c r="O65" s="355"/>
      <c r="P65" s="355"/>
      <c r="Q65" s="355"/>
      <c r="R65" s="355"/>
      <c r="S65" s="355"/>
      <c r="T65" s="355"/>
      <c r="U65" s="355"/>
      <c r="V65" s="355"/>
      <c r="W65" s="355"/>
      <c r="X65" s="355"/>
      <c r="Y65" s="355"/>
      <c r="Z65" s="355"/>
      <c r="AA65" s="355"/>
      <c r="AB65" s="355"/>
      <c r="AC65" s="355"/>
      <c r="AD65" s="355"/>
      <c r="AE65" s="355"/>
      <c r="AF65" s="355"/>
      <c r="AG65" s="355"/>
      <c r="AH65" s="355"/>
      <c r="AI65" s="355"/>
      <c r="AJ65" s="355"/>
      <c r="AK65" s="355"/>
      <c r="AL65" s="355"/>
      <c r="AM65" s="355"/>
      <c r="AN65" s="355"/>
      <c r="AO65" s="355"/>
      <c r="AP65" s="355"/>
      <c r="AQ65" s="355"/>
      <c r="AR65" s="355"/>
      <c r="AS65" s="355"/>
      <c r="AT65" s="355"/>
      <c r="AU65" s="355"/>
      <c r="AV65" s="355"/>
      <c r="AW65" s="355"/>
      <c r="AX65" s="355"/>
      <c r="AY65" s="355"/>
      <c r="AZ65" s="355"/>
      <c r="BA65" s="355"/>
      <c r="BB65" s="355"/>
      <c r="BC65" s="355"/>
      <c r="BD65" s="355"/>
      <c r="BE65" s="355"/>
      <c r="BF65" s="355"/>
      <c r="BG65" s="355"/>
      <c r="BH65" s="355"/>
      <c r="BI65" s="355"/>
      <c r="BJ65" s="355"/>
      <c r="BK65" s="355"/>
      <c r="BL65" s="355"/>
      <c r="BM65" s="355"/>
      <c r="BN65" s="355"/>
      <c r="BO65" s="355"/>
      <c r="BP65" s="355"/>
      <c r="BQ65" s="355"/>
    </row>
    <row r="66">
      <c r="E66" s="354"/>
      <c r="F66" s="355"/>
      <c r="G66" s="355"/>
      <c r="H66" s="355"/>
      <c r="I66" s="355"/>
      <c r="J66" s="355"/>
      <c r="K66" s="355"/>
      <c r="L66" s="355"/>
      <c r="M66" s="355"/>
      <c r="N66" s="355"/>
      <c r="O66" s="355"/>
      <c r="P66" s="355"/>
      <c r="Q66" s="355"/>
      <c r="R66" s="355"/>
      <c r="S66" s="355"/>
      <c r="T66" s="355"/>
      <c r="U66" s="355"/>
      <c r="V66" s="355"/>
      <c r="W66" s="355"/>
      <c r="X66" s="355"/>
      <c r="Y66" s="355"/>
      <c r="Z66" s="355"/>
      <c r="AA66" s="355"/>
      <c r="AB66" s="355"/>
      <c r="AC66" s="355"/>
      <c r="AD66" s="355"/>
      <c r="AE66" s="355"/>
      <c r="AF66" s="355"/>
      <c r="AG66" s="355"/>
      <c r="AH66" s="355"/>
      <c r="AI66" s="355"/>
      <c r="AJ66" s="355"/>
      <c r="AK66" s="355"/>
      <c r="AL66" s="355"/>
      <c r="AM66" s="355"/>
      <c r="AN66" s="355"/>
      <c r="AO66" s="355"/>
      <c r="AP66" s="355"/>
      <c r="AQ66" s="355"/>
      <c r="AR66" s="355"/>
      <c r="AS66" s="355"/>
      <c r="AT66" s="355"/>
      <c r="AU66" s="355"/>
      <c r="AV66" s="355"/>
      <c r="AW66" s="355"/>
      <c r="AX66" s="355"/>
      <c r="AY66" s="355"/>
      <c r="AZ66" s="355"/>
      <c r="BA66" s="355"/>
      <c r="BB66" s="355"/>
      <c r="BC66" s="355"/>
      <c r="BD66" s="355"/>
      <c r="BE66" s="355"/>
      <c r="BF66" s="355"/>
      <c r="BG66" s="355"/>
      <c r="BH66" s="355"/>
      <c r="BI66" s="355"/>
      <c r="BJ66" s="355"/>
      <c r="BK66" s="355"/>
      <c r="BL66" s="355"/>
      <c r="BM66" s="355"/>
      <c r="BN66" s="355"/>
      <c r="BO66" s="355"/>
      <c r="BP66" s="355"/>
      <c r="BQ66" s="355"/>
    </row>
    <row r="67">
      <c r="E67" s="354"/>
      <c r="F67" s="355"/>
      <c r="G67" s="355"/>
      <c r="H67" s="355"/>
      <c r="I67" s="355"/>
      <c r="J67" s="355"/>
      <c r="K67" s="355"/>
      <c r="L67" s="355"/>
      <c r="M67" s="355"/>
      <c r="N67" s="355"/>
      <c r="O67" s="355"/>
      <c r="P67" s="355"/>
      <c r="Q67" s="355"/>
      <c r="R67" s="355"/>
      <c r="S67" s="355"/>
      <c r="T67" s="355"/>
      <c r="U67" s="355"/>
      <c r="V67" s="355"/>
      <c r="W67" s="355"/>
      <c r="X67" s="355"/>
      <c r="Y67" s="355"/>
      <c r="Z67" s="355"/>
      <c r="AA67" s="355"/>
      <c r="AB67" s="355"/>
      <c r="AC67" s="355"/>
      <c r="AD67" s="355"/>
      <c r="AE67" s="355"/>
      <c r="AF67" s="355"/>
      <c r="AG67" s="355"/>
      <c r="AH67" s="355"/>
      <c r="AI67" s="355"/>
      <c r="AJ67" s="355"/>
      <c r="AK67" s="355"/>
      <c r="AL67" s="355"/>
      <c r="AM67" s="355"/>
      <c r="AN67" s="355"/>
      <c r="AO67" s="355"/>
      <c r="AP67" s="355"/>
      <c r="AQ67" s="355"/>
      <c r="AR67" s="355"/>
      <c r="AS67" s="355"/>
      <c r="AT67" s="355"/>
      <c r="AU67" s="355"/>
      <c r="AV67" s="355"/>
      <c r="AW67" s="355"/>
      <c r="AX67" s="355"/>
      <c r="AY67" s="355"/>
      <c r="AZ67" s="355"/>
      <c r="BA67" s="355"/>
      <c r="BB67" s="355"/>
      <c r="BC67" s="355"/>
      <c r="BD67" s="355"/>
      <c r="BE67" s="355"/>
      <c r="BF67" s="355"/>
      <c r="BG67" s="355"/>
      <c r="BH67" s="355"/>
      <c r="BI67" s="355"/>
      <c r="BJ67" s="355"/>
      <c r="BK67" s="355"/>
      <c r="BL67" s="355"/>
      <c r="BM67" s="355"/>
      <c r="BN67" s="355"/>
      <c r="BO67" s="355"/>
      <c r="BP67" s="355"/>
      <c r="BQ67" s="355"/>
    </row>
    <row r="68">
      <c r="E68" s="354"/>
      <c r="F68" s="355"/>
      <c r="G68" s="355"/>
      <c r="H68" s="355"/>
      <c r="I68" s="355"/>
      <c r="J68" s="355"/>
      <c r="K68" s="355"/>
      <c r="L68" s="355"/>
      <c r="M68" s="355"/>
      <c r="N68" s="355"/>
      <c r="O68" s="355"/>
      <c r="P68" s="355"/>
      <c r="Q68" s="355"/>
      <c r="R68" s="355"/>
      <c r="S68" s="355"/>
      <c r="T68" s="355"/>
      <c r="U68" s="355"/>
      <c r="V68" s="355"/>
      <c r="W68" s="355"/>
      <c r="X68" s="355"/>
      <c r="Y68" s="355"/>
      <c r="Z68" s="355"/>
      <c r="AA68" s="355"/>
      <c r="AB68" s="355"/>
      <c r="AC68" s="355"/>
      <c r="AD68" s="355"/>
      <c r="AE68" s="355"/>
      <c r="AF68" s="355"/>
      <c r="AG68" s="355"/>
      <c r="AH68" s="355"/>
      <c r="AI68" s="355"/>
      <c r="AJ68" s="355"/>
      <c r="AK68" s="355"/>
      <c r="AL68" s="355"/>
      <c r="AM68" s="355"/>
      <c r="AN68" s="355"/>
      <c r="AO68" s="355"/>
      <c r="AP68" s="355"/>
      <c r="AQ68" s="355"/>
      <c r="AR68" s="355"/>
      <c r="AS68" s="355"/>
      <c r="AT68" s="355"/>
      <c r="AU68" s="355"/>
      <c r="AV68" s="355"/>
      <c r="AW68" s="355"/>
      <c r="AX68" s="355"/>
      <c r="AY68" s="355"/>
      <c r="AZ68" s="355"/>
      <c r="BA68" s="355"/>
      <c r="BB68" s="355"/>
      <c r="BC68" s="355"/>
      <c r="BD68" s="355"/>
      <c r="BE68" s="355"/>
      <c r="BF68" s="355"/>
      <c r="BG68" s="355"/>
      <c r="BH68" s="355"/>
      <c r="BI68" s="355"/>
      <c r="BJ68" s="355"/>
      <c r="BK68" s="355"/>
      <c r="BL68" s="355"/>
      <c r="BM68" s="355"/>
      <c r="BN68" s="355"/>
      <c r="BO68" s="355"/>
      <c r="BP68" s="355"/>
      <c r="BQ68" s="355"/>
    </row>
    <row r="69">
      <c r="E69" s="354"/>
      <c r="F69" s="355"/>
      <c r="G69" s="355"/>
      <c r="H69" s="355"/>
      <c r="I69" s="355"/>
      <c r="J69" s="355"/>
      <c r="K69" s="355"/>
      <c r="L69" s="355"/>
      <c r="M69" s="355"/>
      <c r="N69" s="355"/>
      <c r="O69" s="355"/>
      <c r="P69" s="355"/>
      <c r="Q69" s="355"/>
      <c r="R69" s="355"/>
      <c r="S69" s="355"/>
      <c r="T69" s="355"/>
      <c r="U69" s="355"/>
      <c r="V69" s="355"/>
      <c r="W69" s="355"/>
      <c r="X69" s="355"/>
      <c r="Y69" s="355"/>
      <c r="Z69" s="355"/>
      <c r="AA69" s="355"/>
      <c r="AB69" s="355"/>
      <c r="AC69" s="355"/>
      <c r="AD69" s="355"/>
      <c r="AE69" s="355"/>
      <c r="AF69" s="355"/>
      <c r="AG69" s="355"/>
      <c r="AH69" s="355"/>
      <c r="AI69" s="355"/>
      <c r="AJ69" s="355"/>
      <c r="AK69" s="355"/>
      <c r="AL69" s="355"/>
      <c r="AM69" s="355"/>
      <c r="AN69" s="355"/>
      <c r="AO69" s="355"/>
      <c r="AP69" s="355"/>
      <c r="AQ69" s="355"/>
      <c r="AR69" s="355"/>
      <c r="AS69" s="355"/>
      <c r="AT69" s="355"/>
      <c r="AU69" s="355"/>
      <c r="AV69" s="355"/>
      <c r="AW69" s="355"/>
      <c r="AX69" s="355"/>
      <c r="AY69" s="355"/>
      <c r="AZ69" s="355"/>
      <c r="BA69" s="355"/>
      <c r="BB69" s="355"/>
      <c r="BC69" s="355"/>
      <c r="BD69" s="355"/>
      <c r="BE69" s="355"/>
      <c r="BF69" s="355"/>
      <c r="BG69" s="355"/>
      <c r="BH69" s="355"/>
      <c r="BI69" s="355"/>
      <c r="BJ69" s="355"/>
      <c r="BK69" s="355"/>
      <c r="BL69" s="355"/>
      <c r="BM69" s="355"/>
      <c r="BN69" s="355"/>
      <c r="BO69" s="355"/>
      <c r="BP69" s="355"/>
      <c r="BQ69" s="355"/>
    </row>
    <row r="70">
      <c r="E70" s="354"/>
      <c r="F70" s="355"/>
      <c r="G70" s="355"/>
      <c r="H70" s="355"/>
      <c r="I70" s="355"/>
      <c r="J70" s="355"/>
      <c r="K70" s="355"/>
      <c r="L70" s="355"/>
      <c r="M70" s="355"/>
      <c r="N70" s="355"/>
      <c r="O70" s="355"/>
      <c r="P70" s="355"/>
      <c r="Q70" s="355"/>
      <c r="R70" s="355"/>
      <c r="S70" s="355"/>
      <c r="T70" s="355"/>
      <c r="U70" s="355"/>
      <c r="V70" s="355"/>
      <c r="W70" s="355"/>
      <c r="X70" s="355"/>
      <c r="Y70" s="355"/>
      <c r="Z70" s="355"/>
      <c r="AA70" s="355"/>
      <c r="AB70" s="355"/>
      <c r="AC70" s="355"/>
      <c r="AD70" s="355"/>
      <c r="AE70" s="355"/>
      <c r="AF70" s="355"/>
      <c r="AG70" s="355"/>
      <c r="AH70" s="355"/>
      <c r="AI70" s="355"/>
      <c r="AJ70" s="355"/>
      <c r="AK70" s="355"/>
      <c r="AL70" s="355"/>
      <c r="AM70" s="355"/>
      <c r="AN70" s="355"/>
      <c r="AO70" s="355"/>
      <c r="AP70" s="355"/>
      <c r="AQ70" s="355"/>
      <c r="AR70" s="355"/>
      <c r="AS70" s="355"/>
      <c r="AT70" s="355"/>
      <c r="AU70" s="355"/>
      <c r="AV70" s="355"/>
      <c r="AW70" s="355"/>
      <c r="AX70" s="355"/>
      <c r="AY70" s="355"/>
      <c r="AZ70" s="355"/>
      <c r="BA70" s="355"/>
      <c r="BB70" s="355"/>
      <c r="BC70" s="355"/>
      <c r="BD70" s="355"/>
      <c r="BE70" s="355"/>
      <c r="BF70" s="355"/>
      <c r="BG70" s="355"/>
      <c r="BH70" s="355"/>
      <c r="BI70" s="355"/>
      <c r="BJ70" s="355"/>
      <c r="BK70" s="355"/>
      <c r="BL70" s="355"/>
      <c r="BM70" s="355"/>
      <c r="BN70" s="355"/>
      <c r="BO70" s="355"/>
      <c r="BP70" s="355"/>
      <c r="BQ70" s="355"/>
    </row>
    <row r="71">
      <c r="E71" s="354"/>
      <c r="F71" s="355"/>
      <c r="G71" s="355"/>
      <c r="H71" s="355"/>
      <c r="I71" s="355"/>
      <c r="J71" s="355"/>
      <c r="K71" s="355"/>
      <c r="L71" s="355"/>
      <c r="M71" s="355"/>
      <c r="N71" s="355"/>
      <c r="O71" s="355"/>
      <c r="P71" s="355"/>
      <c r="Q71" s="355"/>
      <c r="R71" s="355"/>
      <c r="S71" s="355"/>
      <c r="T71" s="355"/>
      <c r="U71" s="355"/>
      <c r="V71" s="355"/>
      <c r="W71" s="355"/>
      <c r="X71" s="355"/>
      <c r="Y71" s="355"/>
      <c r="Z71" s="355"/>
      <c r="AA71" s="355"/>
      <c r="AB71" s="355"/>
      <c r="AC71" s="355"/>
      <c r="AD71" s="355"/>
      <c r="AE71" s="355"/>
      <c r="AF71" s="355"/>
      <c r="AG71" s="355"/>
      <c r="AH71" s="355"/>
      <c r="AI71" s="355"/>
      <c r="AJ71" s="355"/>
      <c r="AK71" s="355"/>
      <c r="AL71" s="355"/>
      <c r="AM71" s="355"/>
      <c r="AN71" s="355"/>
      <c r="AO71" s="355"/>
      <c r="AP71" s="355"/>
      <c r="AQ71" s="355"/>
      <c r="AR71" s="355"/>
      <c r="AS71" s="355"/>
      <c r="AT71" s="355"/>
      <c r="AU71" s="355"/>
      <c r="AV71" s="355"/>
      <c r="AW71" s="355"/>
      <c r="AX71" s="355"/>
      <c r="AY71" s="355"/>
      <c r="AZ71" s="355"/>
      <c r="BA71" s="355"/>
      <c r="BB71" s="355"/>
      <c r="BC71" s="355"/>
      <c r="BD71" s="355"/>
      <c r="BE71" s="355"/>
      <c r="BF71" s="355"/>
      <c r="BG71" s="355"/>
      <c r="BH71" s="355"/>
      <c r="BI71" s="355"/>
      <c r="BJ71" s="355"/>
      <c r="BK71" s="355"/>
      <c r="BL71" s="355"/>
      <c r="BM71" s="355"/>
      <c r="BN71" s="355"/>
      <c r="BO71" s="355"/>
      <c r="BP71" s="355"/>
      <c r="BQ71" s="355"/>
    </row>
    <row r="72">
      <c r="E72" s="354"/>
      <c r="F72" s="355"/>
      <c r="G72" s="355"/>
      <c r="H72" s="355"/>
      <c r="I72" s="355"/>
      <c r="J72" s="355"/>
      <c r="K72" s="355"/>
      <c r="L72" s="355"/>
      <c r="M72" s="355"/>
      <c r="N72" s="355"/>
      <c r="O72" s="355"/>
      <c r="P72" s="355"/>
      <c r="Q72" s="355"/>
      <c r="R72" s="355"/>
      <c r="S72" s="355"/>
      <c r="T72" s="355"/>
      <c r="U72" s="355"/>
      <c r="V72" s="355"/>
      <c r="W72" s="355"/>
      <c r="X72" s="355"/>
      <c r="Y72" s="355"/>
      <c r="Z72" s="355"/>
      <c r="AA72" s="355"/>
      <c r="AB72" s="355"/>
      <c r="AC72" s="355"/>
      <c r="AD72" s="355"/>
      <c r="AE72" s="355"/>
      <c r="AF72" s="355"/>
      <c r="AG72" s="355"/>
      <c r="AH72" s="355"/>
      <c r="AI72" s="355"/>
      <c r="AJ72" s="355"/>
      <c r="AK72" s="355"/>
      <c r="AL72" s="355"/>
      <c r="AM72" s="355"/>
      <c r="AN72" s="355"/>
      <c r="AO72" s="355"/>
      <c r="AP72" s="355"/>
      <c r="AQ72" s="355"/>
      <c r="AR72" s="355"/>
      <c r="AS72" s="355"/>
      <c r="AT72" s="355"/>
      <c r="AU72" s="355"/>
      <c r="AV72" s="355"/>
      <c r="AW72" s="355"/>
      <c r="AX72" s="355"/>
      <c r="AY72" s="355"/>
      <c r="AZ72" s="355"/>
      <c r="BA72" s="355"/>
      <c r="BB72" s="355"/>
      <c r="BC72" s="355"/>
      <c r="BD72" s="355"/>
      <c r="BE72" s="355"/>
      <c r="BF72" s="355"/>
      <c r="BG72" s="355"/>
      <c r="BH72" s="355"/>
      <c r="BI72" s="355"/>
      <c r="BJ72" s="355"/>
      <c r="BK72" s="355"/>
      <c r="BL72" s="355"/>
      <c r="BM72" s="355"/>
      <c r="BN72" s="355"/>
      <c r="BO72" s="355"/>
      <c r="BP72" s="355"/>
      <c r="BQ72" s="355"/>
    </row>
    <row r="73">
      <c r="E73" s="354"/>
      <c r="F73" s="355"/>
      <c r="G73" s="355"/>
      <c r="H73" s="355"/>
      <c r="I73" s="355"/>
      <c r="J73" s="355"/>
      <c r="K73" s="355"/>
      <c r="L73" s="355"/>
      <c r="M73" s="355"/>
      <c r="N73" s="355"/>
      <c r="O73" s="355"/>
      <c r="P73" s="355"/>
      <c r="Q73" s="355"/>
      <c r="R73" s="355"/>
      <c r="S73" s="355"/>
      <c r="T73" s="355"/>
      <c r="U73" s="355"/>
      <c r="V73" s="355"/>
      <c r="W73" s="355"/>
      <c r="X73" s="355"/>
      <c r="Y73" s="355"/>
      <c r="Z73" s="355"/>
      <c r="AA73" s="355"/>
      <c r="AB73" s="355"/>
      <c r="AC73" s="355"/>
      <c r="AD73" s="355"/>
      <c r="AE73" s="355"/>
      <c r="AF73" s="355"/>
      <c r="AG73" s="355"/>
      <c r="AH73" s="355"/>
      <c r="AI73" s="355"/>
      <c r="AJ73" s="355"/>
      <c r="AK73" s="355"/>
      <c r="AL73" s="355"/>
      <c r="AM73" s="355"/>
      <c r="AN73" s="355"/>
      <c r="AO73" s="355"/>
      <c r="AP73" s="355"/>
      <c r="AQ73" s="355"/>
      <c r="AR73" s="355"/>
      <c r="AS73" s="355"/>
      <c r="AT73" s="355"/>
      <c r="AU73" s="355"/>
      <c r="AV73" s="355"/>
      <c r="AW73" s="355"/>
      <c r="AX73" s="355"/>
      <c r="AY73" s="355"/>
      <c r="AZ73" s="355"/>
      <c r="BA73" s="355"/>
      <c r="BB73" s="355"/>
      <c r="BC73" s="355"/>
      <c r="BD73" s="355"/>
      <c r="BE73" s="355"/>
      <c r="BF73" s="355"/>
      <c r="BG73" s="355"/>
      <c r="BH73" s="355"/>
      <c r="BI73" s="355"/>
      <c r="BJ73" s="355"/>
      <c r="BK73" s="355"/>
      <c r="BL73" s="355"/>
      <c r="BM73" s="355"/>
      <c r="BN73" s="355"/>
      <c r="BO73" s="355"/>
      <c r="BP73" s="355"/>
      <c r="BQ73" s="355"/>
    </row>
    <row r="74">
      <c r="E74" s="354"/>
      <c r="F74" s="355"/>
      <c r="G74" s="355"/>
      <c r="H74" s="355"/>
      <c r="I74" s="355"/>
      <c r="J74" s="355"/>
      <c r="K74" s="355"/>
      <c r="L74" s="355"/>
      <c r="M74" s="355"/>
      <c r="N74" s="355"/>
      <c r="O74" s="355"/>
      <c r="P74" s="355"/>
      <c r="Q74" s="355"/>
      <c r="R74" s="355"/>
      <c r="S74" s="355"/>
      <c r="T74" s="355"/>
      <c r="U74" s="355"/>
      <c r="V74" s="355"/>
      <c r="W74" s="355"/>
      <c r="X74" s="355"/>
      <c r="Y74" s="355"/>
      <c r="Z74" s="355"/>
      <c r="AA74" s="355"/>
      <c r="AB74" s="355"/>
      <c r="AC74" s="355"/>
      <c r="AD74" s="355"/>
      <c r="AE74" s="355"/>
      <c r="AF74" s="355"/>
      <c r="AG74" s="355"/>
      <c r="AH74" s="355"/>
      <c r="AI74" s="355"/>
      <c r="AJ74" s="355"/>
      <c r="AK74" s="355"/>
      <c r="AL74" s="355"/>
      <c r="AM74" s="355"/>
      <c r="AN74" s="355"/>
      <c r="AO74" s="355"/>
      <c r="AP74" s="355"/>
      <c r="AQ74" s="355"/>
      <c r="AR74" s="355"/>
      <c r="AS74" s="355"/>
      <c r="AT74" s="355"/>
      <c r="AU74" s="355"/>
      <c r="AV74" s="355"/>
      <c r="AW74" s="355"/>
      <c r="AX74" s="355"/>
      <c r="AY74" s="355"/>
      <c r="AZ74" s="355"/>
      <c r="BA74" s="355"/>
      <c r="BB74" s="355"/>
      <c r="BC74" s="355"/>
      <c r="BD74" s="355"/>
      <c r="BE74" s="355"/>
      <c r="BF74" s="355"/>
      <c r="BG74" s="355"/>
      <c r="BH74" s="355"/>
      <c r="BI74" s="355"/>
      <c r="BJ74" s="355"/>
      <c r="BK74" s="355"/>
      <c r="BL74" s="355"/>
      <c r="BM74" s="355"/>
      <c r="BN74" s="355"/>
      <c r="BO74" s="355"/>
      <c r="BP74" s="355"/>
      <c r="BQ74" s="355"/>
    </row>
    <row r="75">
      <c r="E75" s="354"/>
      <c r="F75" s="355"/>
      <c r="G75" s="355"/>
      <c r="H75" s="355"/>
      <c r="I75" s="355"/>
      <c r="J75" s="355"/>
      <c r="K75" s="355"/>
      <c r="L75" s="355"/>
      <c r="M75" s="355"/>
      <c r="N75" s="355"/>
      <c r="O75" s="355"/>
      <c r="P75" s="355"/>
      <c r="Q75" s="355"/>
      <c r="R75" s="355"/>
      <c r="S75" s="355"/>
      <c r="T75" s="355"/>
      <c r="U75" s="355"/>
      <c r="V75" s="355"/>
      <c r="W75" s="355"/>
      <c r="X75" s="355"/>
      <c r="Y75" s="355"/>
      <c r="Z75" s="355"/>
      <c r="AA75" s="355"/>
      <c r="AB75" s="355"/>
      <c r="AC75" s="355"/>
      <c r="AD75" s="355"/>
      <c r="AE75" s="355"/>
      <c r="AF75" s="355"/>
      <c r="AG75" s="355"/>
      <c r="AH75" s="355"/>
      <c r="AI75" s="355"/>
      <c r="AJ75" s="355"/>
      <c r="AK75" s="355"/>
      <c r="AL75" s="355"/>
      <c r="AM75" s="355"/>
      <c r="AN75" s="355"/>
      <c r="AO75" s="355"/>
      <c r="AP75" s="355"/>
      <c r="AQ75" s="355"/>
      <c r="AR75" s="355"/>
      <c r="AS75" s="355"/>
      <c r="AT75" s="355"/>
      <c r="AU75" s="355"/>
      <c r="AV75" s="355"/>
      <c r="AW75" s="355"/>
      <c r="AX75" s="355"/>
      <c r="AY75" s="355"/>
      <c r="AZ75" s="355"/>
      <c r="BA75" s="355"/>
      <c r="BB75" s="355"/>
      <c r="BC75" s="355"/>
      <c r="BD75" s="355"/>
      <c r="BE75" s="355"/>
      <c r="BF75" s="355"/>
      <c r="BG75" s="355"/>
      <c r="BH75" s="355"/>
      <c r="BI75" s="355"/>
      <c r="BJ75" s="355"/>
      <c r="BK75" s="355"/>
      <c r="BL75" s="355"/>
      <c r="BM75" s="355"/>
      <c r="BN75" s="355"/>
      <c r="BO75" s="355"/>
      <c r="BP75" s="355"/>
      <c r="BQ75" s="355"/>
    </row>
    <row r="76">
      <c r="E76" s="354"/>
      <c r="F76" s="355"/>
      <c r="G76" s="355"/>
      <c r="H76" s="355"/>
      <c r="I76" s="355"/>
      <c r="J76" s="355"/>
      <c r="K76" s="355"/>
      <c r="L76" s="355"/>
      <c r="M76" s="355"/>
      <c r="N76" s="355"/>
      <c r="O76" s="355"/>
      <c r="P76" s="355"/>
      <c r="Q76" s="355"/>
      <c r="R76" s="355"/>
      <c r="S76" s="355"/>
      <c r="T76" s="355"/>
      <c r="U76" s="355"/>
      <c r="V76" s="355"/>
      <c r="W76" s="355"/>
      <c r="X76" s="355"/>
      <c r="Y76" s="355"/>
      <c r="Z76" s="355"/>
      <c r="AA76" s="355"/>
      <c r="AB76" s="355"/>
      <c r="AC76" s="355"/>
      <c r="AD76" s="355"/>
      <c r="AE76" s="355"/>
      <c r="AF76" s="355"/>
      <c r="AG76" s="355"/>
      <c r="AH76" s="355"/>
      <c r="AI76" s="355"/>
      <c r="AJ76" s="355"/>
      <c r="AK76" s="355"/>
      <c r="AL76" s="355"/>
      <c r="AM76" s="355"/>
      <c r="AN76" s="355"/>
      <c r="AO76" s="355"/>
      <c r="AP76" s="355"/>
      <c r="AQ76" s="355"/>
      <c r="AR76" s="355"/>
      <c r="AS76" s="355"/>
      <c r="AT76" s="355"/>
      <c r="AU76" s="355"/>
      <c r="AV76" s="355"/>
      <c r="AW76" s="355"/>
      <c r="AX76" s="355"/>
      <c r="AY76" s="355"/>
      <c r="AZ76" s="355"/>
      <c r="BA76" s="355"/>
      <c r="BB76" s="355"/>
      <c r="BC76" s="355"/>
      <c r="BD76" s="355"/>
      <c r="BE76" s="355"/>
      <c r="BF76" s="355"/>
      <c r="BG76" s="355"/>
      <c r="BH76" s="355"/>
      <c r="BI76" s="355"/>
      <c r="BJ76" s="355"/>
      <c r="BK76" s="355"/>
      <c r="BL76" s="355"/>
      <c r="BM76" s="355"/>
      <c r="BN76" s="355"/>
      <c r="BO76" s="355"/>
      <c r="BP76" s="355"/>
      <c r="BQ76" s="355"/>
    </row>
    <row r="77">
      <c r="E77" s="354"/>
      <c r="F77" s="355"/>
      <c r="G77" s="355"/>
      <c r="H77" s="355"/>
      <c r="I77" s="355"/>
      <c r="J77" s="355"/>
      <c r="K77" s="355"/>
      <c r="L77" s="355"/>
      <c r="M77" s="355"/>
      <c r="N77" s="355"/>
      <c r="O77" s="355"/>
      <c r="P77" s="355"/>
      <c r="Q77" s="355"/>
      <c r="R77" s="355"/>
      <c r="S77" s="355"/>
      <c r="T77" s="355"/>
      <c r="U77" s="355"/>
      <c r="V77" s="355"/>
      <c r="W77" s="355"/>
      <c r="X77" s="355"/>
      <c r="Y77" s="355"/>
      <c r="Z77" s="355"/>
      <c r="AA77" s="355"/>
      <c r="AB77" s="355"/>
      <c r="AC77" s="355"/>
      <c r="AD77" s="355"/>
      <c r="AE77" s="355"/>
      <c r="AF77" s="355"/>
      <c r="AG77" s="355"/>
      <c r="AH77" s="355"/>
      <c r="AI77" s="355"/>
      <c r="AJ77" s="355"/>
      <c r="AK77" s="355"/>
      <c r="AL77" s="355"/>
      <c r="AM77" s="355"/>
      <c r="AN77" s="355"/>
      <c r="AO77" s="355"/>
      <c r="AP77" s="355"/>
      <c r="AQ77" s="355"/>
      <c r="AR77" s="355"/>
      <c r="AS77" s="355"/>
      <c r="AT77" s="355"/>
      <c r="AU77" s="355"/>
      <c r="AV77" s="355"/>
      <c r="AW77" s="355"/>
      <c r="AX77" s="355"/>
      <c r="AY77" s="355"/>
      <c r="AZ77" s="355"/>
      <c r="BA77" s="355"/>
      <c r="BB77" s="355"/>
      <c r="BC77" s="355"/>
      <c r="BD77" s="355"/>
      <c r="BE77" s="355"/>
      <c r="BF77" s="355"/>
      <c r="BG77" s="355"/>
      <c r="BH77" s="355"/>
      <c r="BI77" s="355"/>
      <c r="BJ77" s="355"/>
      <c r="BK77" s="355"/>
      <c r="BL77" s="355"/>
      <c r="BM77" s="355"/>
      <c r="BN77" s="355"/>
      <c r="BO77" s="355"/>
      <c r="BP77" s="355"/>
      <c r="BQ77" s="355"/>
    </row>
    <row r="78">
      <c r="E78" s="354"/>
      <c r="F78" s="355"/>
      <c r="G78" s="355"/>
      <c r="H78" s="355"/>
      <c r="I78" s="355"/>
      <c r="J78" s="355"/>
      <c r="K78" s="355"/>
      <c r="L78" s="355"/>
      <c r="M78" s="355"/>
      <c r="N78" s="355"/>
      <c r="O78" s="355"/>
      <c r="P78" s="355"/>
      <c r="Q78" s="355"/>
      <c r="R78" s="355"/>
      <c r="S78" s="355"/>
      <c r="T78" s="355"/>
      <c r="U78" s="355"/>
      <c r="V78" s="355"/>
      <c r="W78" s="355"/>
      <c r="X78" s="355"/>
      <c r="Y78" s="355"/>
      <c r="Z78" s="355"/>
      <c r="AA78" s="355"/>
      <c r="AB78" s="355"/>
      <c r="AC78" s="355"/>
      <c r="AD78" s="355"/>
      <c r="AE78" s="355"/>
      <c r="AF78" s="355"/>
      <c r="AG78" s="355"/>
      <c r="AH78" s="355"/>
      <c r="AI78" s="355"/>
      <c r="AJ78" s="355"/>
      <c r="AK78" s="355"/>
      <c r="AL78" s="355"/>
      <c r="AM78" s="355"/>
      <c r="AN78" s="355"/>
      <c r="AO78" s="355"/>
      <c r="AP78" s="355"/>
      <c r="AQ78" s="355"/>
      <c r="AR78" s="355"/>
      <c r="AS78" s="355"/>
      <c r="AT78" s="355"/>
      <c r="AU78" s="355"/>
      <c r="AV78" s="355"/>
      <c r="AW78" s="355"/>
      <c r="AX78" s="355"/>
      <c r="AY78" s="355"/>
      <c r="AZ78" s="355"/>
      <c r="BA78" s="355"/>
      <c r="BB78" s="355"/>
      <c r="BC78" s="355"/>
      <c r="BD78" s="355"/>
      <c r="BE78" s="355"/>
      <c r="BF78" s="355"/>
      <c r="BG78" s="355"/>
      <c r="BH78" s="355"/>
      <c r="BI78" s="355"/>
      <c r="BJ78" s="355"/>
      <c r="BK78" s="355"/>
      <c r="BL78" s="355"/>
      <c r="BM78" s="355"/>
      <c r="BN78" s="355"/>
      <c r="BO78" s="355"/>
      <c r="BP78" s="355"/>
      <c r="BQ78" s="355"/>
    </row>
    <row r="79">
      <c r="E79" s="354"/>
      <c r="F79" s="355"/>
      <c r="G79" s="355"/>
      <c r="H79" s="355"/>
      <c r="I79" s="355"/>
      <c r="J79" s="355"/>
      <c r="K79" s="355"/>
      <c r="L79" s="355"/>
      <c r="M79" s="355"/>
      <c r="N79" s="355"/>
      <c r="O79" s="355"/>
      <c r="P79" s="355"/>
      <c r="Q79" s="355"/>
      <c r="R79" s="355"/>
      <c r="S79" s="355"/>
      <c r="T79" s="355"/>
      <c r="U79" s="355"/>
      <c r="V79" s="355"/>
      <c r="W79" s="355"/>
      <c r="X79" s="355"/>
      <c r="Y79" s="355"/>
      <c r="Z79" s="355"/>
      <c r="AA79" s="355"/>
      <c r="AB79" s="355"/>
      <c r="AC79" s="355"/>
      <c r="AD79" s="355"/>
      <c r="AE79" s="355"/>
      <c r="AF79" s="355"/>
      <c r="AG79" s="355"/>
      <c r="AH79" s="355"/>
      <c r="AI79" s="355"/>
      <c r="AJ79" s="355"/>
      <c r="AK79" s="355"/>
      <c r="AL79" s="355"/>
      <c r="AM79" s="355"/>
      <c r="AN79" s="355"/>
      <c r="AO79" s="355"/>
      <c r="AP79" s="355"/>
      <c r="AQ79" s="355"/>
      <c r="AR79" s="355"/>
      <c r="AS79" s="355"/>
      <c r="AT79" s="355"/>
      <c r="AU79" s="355"/>
      <c r="AV79" s="355"/>
      <c r="AW79" s="355"/>
      <c r="AX79" s="355"/>
      <c r="AY79" s="355"/>
      <c r="AZ79" s="355"/>
      <c r="BA79" s="355"/>
      <c r="BB79" s="355"/>
      <c r="BC79" s="355"/>
      <c r="BD79" s="355"/>
      <c r="BE79" s="355"/>
      <c r="BF79" s="355"/>
      <c r="BG79" s="355"/>
      <c r="BH79" s="355"/>
      <c r="BI79" s="355"/>
      <c r="BJ79" s="355"/>
      <c r="BK79" s="355"/>
      <c r="BL79" s="355"/>
      <c r="BM79" s="355"/>
      <c r="BN79" s="355"/>
      <c r="BO79" s="355"/>
      <c r="BP79" s="355"/>
      <c r="BQ79" s="355"/>
    </row>
    <row r="80">
      <c r="E80" s="354"/>
      <c r="F80" s="355"/>
      <c r="G80" s="355"/>
      <c r="H80" s="355"/>
      <c r="I80" s="355"/>
      <c r="J80" s="355"/>
      <c r="K80" s="355"/>
      <c r="L80" s="355"/>
      <c r="M80" s="355"/>
      <c r="N80" s="355"/>
      <c r="O80" s="355"/>
      <c r="P80" s="355"/>
      <c r="Q80" s="355"/>
      <c r="R80" s="355"/>
      <c r="S80" s="355"/>
      <c r="T80" s="355"/>
      <c r="U80" s="355"/>
      <c r="V80" s="355"/>
      <c r="W80" s="355"/>
      <c r="X80" s="355"/>
      <c r="Y80" s="355"/>
      <c r="Z80" s="355"/>
      <c r="AA80" s="355"/>
      <c r="AB80" s="355"/>
      <c r="AC80" s="355"/>
      <c r="AD80" s="355"/>
      <c r="AE80" s="355"/>
      <c r="AF80" s="355"/>
      <c r="AG80" s="355"/>
      <c r="AH80" s="355"/>
      <c r="AI80" s="355"/>
      <c r="AJ80" s="355"/>
      <c r="AK80" s="355"/>
      <c r="AL80" s="355"/>
      <c r="AM80" s="355"/>
      <c r="AN80" s="355"/>
      <c r="AO80" s="355"/>
      <c r="AP80" s="355"/>
      <c r="AQ80" s="355"/>
      <c r="AR80" s="355"/>
      <c r="AS80" s="355"/>
      <c r="AT80" s="355"/>
      <c r="AU80" s="355"/>
      <c r="AV80" s="355"/>
      <c r="AW80" s="355"/>
      <c r="AX80" s="355"/>
      <c r="AY80" s="355"/>
      <c r="AZ80" s="355"/>
      <c r="BA80" s="355"/>
      <c r="BB80" s="355"/>
      <c r="BC80" s="355"/>
      <c r="BD80" s="355"/>
      <c r="BE80" s="355"/>
      <c r="BF80" s="355"/>
      <c r="BG80" s="355"/>
      <c r="BH80" s="355"/>
      <c r="BI80" s="355"/>
      <c r="BJ80" s="355"/>
      <c r="BK80" s="355"/>
      <c r="BL80" s="355"/>
      <c r="BM80" s="355"/>
      <c r="BN80" s="355"/>
      <c r="BO80" s="355"/>
      <c r="BP80" s="355"/>
      <c r="BQ80" s="355"/>
    </row>
    <row r="81">
      <c r="E81" s="354"/>
      <c r="F81" s="355"/>
      <c r="G81" s="355"/>
      <c r="H81" s="355"/>
      <c r="I81" s="355"/>
      <c r="J81" s="355"/>
      <c r="K81" s="355"/>
      <c r="L81" s="355"/>
      <c r="M81" s="355"/>
      <c r="N81" s="355"/>
      <c r="O81" s="355"/>
      <c r="P81" s="355"/>
      <c r="Q81" s="355"/>
      <c r="R81" s="355"/>
      <c r="S81" s="355"/>
      <c r="T81" s="355"/>
      <c r="U81" s="355"/>
      <c r="V81" s="355"/>
      <c r="W81" s="355"/>
      <c r="X81" s="355"/>
      <c r="Y81" s="355"/>
      <c r="Z81" s="355"/>
      <c r="AA81" s="355"/>
      <c r="AB81" s="355"/>
      <c r="AC81" s="355"/>
      <c r="AD81" s="355"/>
      <c r="AE81" s="355"/>
      <c r="AF81" s="355"/>
      <c r="AG81" s="355"/>
      <c r="AH81" s="355"/>
      <c r="AI81" s="355"/>
      <c r="AJ81" s="355"/>
      <c r="AK81" s="355"/>
      <c r="AL81" s="355"/>
      <c r="AM81" s="355"/>
      <c r="AN81" s="355"/>
      <c r="AO81" s="355"/>
      <c r="AP81" s="355"/>
      <c r="AQ81" s="355"/>
      <c r="AR81" s="355"/>
      <c r="AS81" s="355"/>
      <c r="AT81" s="355"/>
      <c r="AU81" s="355"/>
      <c r="AV81" s="355"/>
      <c r="AW81" s="355"/>
      <c r="AX81" s="355"/>
      <c r="AY81" s="355"/>
      <c r="AZ81" s="355"/>
      <c r="BA81" s="355"/>
      <c r="BB81" s="355"/>
      <c r="BC81" s="355"/>
      <c r="BD81" s="355"/>
      <c r="BE81" s="355"/>
      <c r="BF81" s="355"/>
      <c r="BG81" s="355"/>
      <c r="BH81" s="355"/>
      <c r="BI81" s="355"/>
      <c r="BJ81" s="355"/>
      <c r="BK81" s="355"/>
      <c r="BL81" s="355"/>
      <c r="BM81" s="355"/>
      <c r="BN81" s="355"/>
      <c r="BO81" s="355"/>
      <c r="BP81" s="355"/>
      <c r="BQ81" s="355"/>
    </row>
    <row r="82">
      <c r="E82" s="354"/>
      <c r="F82" s="355"/>
      <c r="G82" s="355"/>
      <c r="H82" s="355"/>
      <c r="I82" s="355"/>
      <c r="J82" s="355"/>
      <c r="K82" s="355"/>
      <c r="L82" s="355"/>
      <c r="M82" s="355"/>
      <c r="N82" s="355"/>
      <c r="O82" s="355"/>
      <c r="P82" s="355"/>
      <c r="Q82" s="355"/>
      <c r="R82" s="355"/>
      <c r="S82" s="355"/>
      <c r="T82" s="355"/>
      <c r="U82" s="355"/>
      <c r="V82" s="355"/>
      <c r="W82" s="355"/>
      <c r="X82" s="355"/>
      <c r="Y82" s="355"/>
      <c r="Z82" s="355"/>
      <c r="AA82" s="355"/>
      <c r="AB82" s="355"/>
      <c r="AC82" s="355"/>
      <c r="AD82" s="355"/>
      <c r="AE82" s="355"/>
      <c r="AF82" s="355"/>
      <c r="AG82" s="355"/>
      <c r="AH82" s="355"/>
      <c r="AI82" s="355"/>
      <c r="AJ82" s="355"/>
      <c r="AK82" s="355"/>
      <c r="AL82" s="355"/>
      <c r="AM82" s="355"/>
      <c r="AN82" s="355"/>
      <c r="AO82" s="355"/>
      <c r="AP82" s="355"/>
      <c r="AQ82" s="355"/>
      <c r="AR82" s="355"/>
      <c r="AS82" s="355"/>
      <c r="AT82" s="355"/>
      <c r="AU82" s="355"/>
      <c r="AV82" s="355"/>
      <c r="AW82" s="355"/>
      <c r="AX82" s="355"/>
      <c r="AY82" s="355"/>
      <c r="AZ82" s="355"/>
      <c r="BA82" s="355"/>
      <c r="BB82" s="355"/>
      <c r="BC82" s="355"/>
      <c r="BD82" s="355"/>
      <c r="BE82" s="355"/>
      <c r="BF82" s="355"/>
      <c r="BG82" s="355"/>
      <c r="BH82" s="355"/>
      <c r="BI82" s="355"/>
      <c r="BJ82" s="355"/>
      <c r="BK82" s="355"/>
      <c r="BL82" s="355"/>
      <c r="BM82" s="355"/>
      <c r="BN82" s="355"/>
      <c r="BO82" s="355"/>
      <c r="BP82" s="355"/>
      <c r="BQ82" s="355"/>
    </row>
    <row r="83">
      <c r="E83" s="354"/>
      <c r="F83" s="355"/>
      <c r="G83" s="355"/>
      <c r="H83" s="355"/>
      <c r="I83" s="355"/>
      <c r="J83" s="355"/>
      <c r="K83" s="355"/>
      <c r="L83" s="355"/>
      <c r="M83" s="355"/>
      <c r="N83" s="355"/>
      <c r="O83" s="355"/>
      <c r="P83" s="355"/>
      <c r="Q83" s="355"/>
      <c r="R83" s="355"/>
      <c r="S83" s="355"/>
      <c r="T83" s="355"/>
      <c r="U83" s="355"/>
      <c r="V83" s="355"/>
      <c r="W83" s="355"/>
      <c r="X83" s="355"/>
      <c r="Y83" s="355"/>
      <c r="Z83" s="355"/>
      <c r="AA83" s="355"/>
      <c r="AB83" s="355"/>
      <c r="AC83" s="355"/>
      <c r="AD83" s="355"/>
      <c r="AE83" s="355"/>
      <c r="AF83" s="355"/>
      <c r="AG83" s="355"/>
      <c r="AH83" s="355"/>
      <c r="AI83" s="355"/>
      <c r="AJ83" s="355"/>
      <c r="AK83" s="355"/>
      <c r="AL83" s="355"/>
      <c r="AM83" s="355"/>
      <c r="AN83" s="355"/>
      <c r="AO83" s="355"/>
      <c r="AP83" s="355"/>
      <c r="AQ83" s="355"/>
      <c r="AR83" s="355"/>
      <c r="AS83" s="355"/>
      <c r="AT83" s="355"/>
      <c r="AU83" s="355"/>
      <c r="AV83" s="355"/>
      <c r="AW83" s="355"/>
      <c r="AX83" s="355"/>
      <c r="AY83" s="355"/>
      <c r="AZ83" s="355"/>
      <c r="BA83" s="355"/>
      <c r="BB83" s="355"/>
      <c r="BC83" s="355"/>
      <c r="BD83" s="355"/>
      <c r="BE83" s="355"/>
      <c r="BF83" s="355"/>
      <c r="BG83" s="355"/>
      <c r="BH83" s="355"/>
      <c r="BI83" s="355"/>
      <c r="BJ83" s="355"/>
      <c r="BK83" s="355"/>
      <c r="BL83" s="355"/>
      <c r="BM83" s="355"/>
      <c r="BN83" s="355"/>
      <c r="BO83" s="355"/>
      <c r="BP83" s="355"/>
      <c r="BQ83" s="355"/>
    </row>
    <row r="84">
      <c r="E84" s="354"/>
      <c r="F84" s="355"/>
      <c r="G84" s="355"/>
      <c r="H84" s="355"/>
      <c r="I84" s="355"/>
      <c r="J84" s="355"/>
      <c r="K84" s="355"/>
      <c r="L84" s="355"/>
      <c r="M84" s="355"/>
      <c r="N84" s="355"/>
      <c r="O84" s="355"/>
      <c r="P84" s="355"/>
      <c r="Q84" s="355"/>
      <c r="R84" s="355"/>
      <c r="S84" s="355"/>
      <c r="T84" s="355"/>
      <c r="U84" s="355"/>
      <c r="V84" s="355"/>
      <c r="W84" s="355"/>
      <c r="X84" s="355"/>
      <c r="Y84" s="355"/>
      <c r="Z84" s="355"/>
      <c r="AA84" s="355"/>
      <c r="AB84" s="355"/>
      <c r="AC84" s="355"/>
      <c r="AD84" s="355"/>
      <c r="AE84" s="355"/>
      <c r="AF84" s="355"/>
      <c r="AG84" s="355"/>
      <c r="AH84" s="355"/>
      <c r="AI84" s="355"/>
      <c r="AJ84" s="355"/>
      <c r="AK84" s="355"/>
      <c r="AL84" s="355"/>
      <c r="AM84" s="355"/>
      <c r="AN84" s="355"/>
      <c r="AO84" s="355"/>
      <c r="AP84" s="355"/>
      <c r="AQ84" s="355"/>
      <c r="AR84" s="355"/>
      <c r="AS84" s="355"/>
      <c r="AT84" s="355"/>
      <c r="AU84" s="355"/>
      <c r="AV84" s="355"/>
      <c r="AW84" s="355"/>
      <c r="AX84" s="355"/>
      <c r="AY84" s="355"/>
      <c r="AZ84" s="355"/>
      <c r="BA84" s="355"/>
      <c r="BB84" s="355"/>
      <c r="BC84" s="355"/>
      <c r="BD84" s="355"/>
      <c r="BE84" s="355"/>
      <c r="BF84" s="355"/>
      <c r="BG84" s="355"/>
      <c r="BH84" s="355"/>
      <c r="BI84" s="355"/>
      <c r="BJ84" s="355"/>
      <c r="BK84" s="355"/>
      <c r="BL84" s="355"/>
      <c r="BM84" s="355"/>
      <c r="BN84" s="355"/>
      <c r="BO84" s="355"/>
      <c r="BP84" s="355"/>
      <c r="BQ84" s="355"/>
    </row>
    <row r="85">
      <c r="E85" s="354"/>
      <c r="F85" s="355"/>
      <c r="G85" s="355"/>
      <c r="H85" s="355"/>
      <c r="I85" s="355"/>
      <c r="J85" s="355"/>
      <c r="K85" s="355"/>
      <c r="L85" s="355"/>
      <c r="M85" s="355"/>
      <c r="N85" s="355"/>
      <c r="O85" s="355"/>
      <c r="P85" s="355"/>
      <c r="Q85" s="355"/>
      <c r="R85" s="355"/>
      <c r="S85" s="355"/>
      <c r="T85" s="355"/>
      <c r="U85" s="355"/>
      <c r="V85" s="355"/>
      <c r="W85" s="355"/>
      <c r="X85" s="355"/>
      <c r="Y85" s="355"/>
      <c r="Z85" s="355"/>
      <c r="AA85" s="355"/>
      <c r="AB85" s="355"/>
      <c r="AC85" s="355"/>
      <c r="AD85" s="355"/>
      <c r="AE85" s="355"/>
      <c r="AF85" s="355"/>
      <c r="AG85" s="355"/>
      <c r="AH85" s="355"/>
      <c r="AI85" s="355"/>
      <c r="AJ85" s="355"/>
      <c r="AK85" s="355"/>
      <c r="AL85" s="355"/>
      <c r="AM85" s="355"/>
      <c r="AN85" s="355"/>
      <c r="AO85" s="355"/>
      <c r="AP85" s="355"/>
      <c r="AQ85" s="355"/>
      <c r="AR85" s="355"/>
      <c r="AS85" s="355"/>
      <c r="AT85" s="355"/>
      <c r="AU85" s="355"/>
      <c r="AV85" s="355"/>
      <c r="AW85" s="355"/>
      <c r="AX85" s="355"/>
      <c r="AY85" s="355"/>
      <c r="AZ85" s="355"/>
      <c r="BA85" s="355"/>
      <c r="BB85" s="355"/>
      <c r="BC85" s="355"/>
      <c r="BD85" s="355"/>
      <c r="BE85" s="355"/>
      <c r="BF85" s="355"/>
      <c r="BG85" s="355"/>
      <c r="BH85" s="355"/>
      <c r="BI85" s="355"/>
      <c r="BJ85" s="355"/>
      <c r="BK85" s="355"/>
      <c r="BL85" s="355"/>
      <c r="BM85" s="355"/>
      <c r="BN85" s="355"/>
      <c r="BO85" s="355"/>
      <c r="BP85" s="355"/>
      <c r="BQ85" s="355"/>
    </row>
    <row r="86">
      <c r="E86" s="354"/>
      <c r="F86" s="355"/>
      <c r="G86" s="355"/>
      <c r="H86" s="355"/>
      <c r="I86" s="355"/>
      <c r="J86" s="355"/>
      <c r="K86" s="355"/>
      <c r="L86" s="355"/>
      <c r="M86" s="355"/>
      <c r="N86" s="355"/>
      <c r="O86" s="355"/>
      <c r="P86" s="355"/>
      <c r="Q86" s="355"/>
      <c r="R86" s="355"/>
      <c r="S86" s="355"/>
      <c r="T86" s="355"/>
      <c r="U86" s="355"/>
      <c r="V86" s="355"/>
      <c r="W86" s="355"/>
      <c r="X86" s="355"/>
      <c r="Y86" s="355"/>
      <c r="Z86" s="355"/>
      <c r="AA86" s="355"/>
      <c r="AB86" s="355"/>
      <c r="AC86" s="355"/>
      <c r="AD86" s="355"/>
      <c r="AE86" s="355"/>
      <c r="AF86" s="355"/>
      <c r="AG86" s="355"/>
      <c r="AH86" s="355"/>
      <c r="AI86" s="355"/>
      <c r="AJ86" s="355"/>
      <c r="AK86" s="355"/>
      <c r="AL86" s="355"/>
      <c r="AM86" s="355"/>
      <c r="AN86" s="355"/>
      <c r="AO86" s="355"/>
      <c r="AP86" s="355"/>
      <c r="AQ86" s="355"/>
      <c r="AR86" s="355"/>
      <c r="AS86" s="355"/>
      <c r="AT86" s="355"/>
      <c r="AU86" s="355"/>
      <c r="AV86" s="355"/>
      <c r="AW86" s="355"/>
      <c r="AX86" s="355"/>
      <c r="AY86" s="355"/>
      <c r="AZ86" s="355"/>
      <c r="BA86" s="355"/>
      <c r="BB86" s="355"/>
      <c r="BC86" s="355"/>
      <c r="BD86" s="355"/>
      <c r="BE86" s="355"/>
      <c r="BF86" s="355"/>
      <c r="BG86" s="355"/>
      <c r="BH86" s="355"/>
      <c r="BI86" s="355"/>
      <c r="BJ86" s="355"/>
      <c r="BK86" s="355"/>
      <c r="BL86" s="355"/>
      <c r="BM86" s="355"/>
      <c r="BN86" s="355"/>
      <c r="BO86" s="355"/>
      <c r="BP86" s="355"/>
      <c r="BQ86" s="355"/>
    </row>
    <row r="87">
      <c r="E87" s="354"/>
      <c r="F87" s="355"/>
      <c r="G87" s="355"/>
      <c r="H87" s="355"/>
      <c r="I87" s="355"/>
      <c r="J87" s="355"/>
      <c r="K87" s="355"/>
      <c r="L87" s="355"/>
      <c r="M87" s="355"/>
      <c r="N87" s="355"/>
      <c r="O87" s="355"/>
      <c r="P87" s="355"/>
      <c r="Q87" s="355"/>
      <c r="R87" s="355"/>
      <c r="S87" s="355"/>
      <c r="T87" s="355"/>
      <c r="U87" s="355"/>
      <c r="V87" s="355"/>
      <c r="W87" s="355"/>
      <c r="X87" s="355"/>
      <c r="Y87" s="355"/>
      <c r="Z87" s="355"/>
      <c r="AA87" s="355"/>
      <c r="AB87" s="355"/>
      <c r="AC87" s="355"/>
      <c r="AD87" s="355"/>
      <c r="AE87" s="355"/>
      <c r="AF87" s="355"/>
      <c r="AG87" s="355"/>
      <c r="AH87" s="355"/>
      <c r="AI87" s="355"/>
      <c r="AJ87" s="355"/>
      <c r="AK87" s="355"/>
      <c r="AL87" s="355"/>
      <c r="AM87" s="355"/>
      <c r="AN87" s="355"/>
      <c r="AO87" s="355"/>
      <c r="AP87" s="355"/>
      <c r="AQ87" s="355"/>
      <c r="AR87" s="355"/>
      <c r="AS87" s="355"/>
      <c r="AT87" s="355"/>
      <c r="AU87" s="355"/>
      <c r="AV87" s="355"/>
      <c r="AW87" s="355"/>
      <c r="AX87" s="355"/>
      <c r="AY87" s="355"/>
      <c r="AZ87" s="355"/>
      <c r="BA87" s="355"/>
      <c r="BB87" s="355"/>
      <c r="BC87" s="355"/>
      <c r="BD87" s="355"/>
      <c r="BE87" s="355"/>
      <c r="BF87" s="355"/>
      <c r="BG87" s="355"/>
      <c r="BH87" s="355"/>
      <c r="BI87" s="355"/>
      <c r="BJ87" s="355"/>
      <c r="BK87" s="355"/>
      <c r="BL87" s="355"/>
      <c r="BM87" s="355"/>
      <c r="BN87" s="355"/>
      <c r="BO87" s="355"/>
      <c r="BP87" s="355"/>
      <c r="BQ87" s="355"/>
    </row>
    <row r="88">
      <c r="E88" s="354"/>
      <c r="F88" s="355"/>
      <c r="G88" s="355"/>
      <c r="H88" s="355"/>
      <c r="I88" s="355"/>
      <c r="J88" s="355"/>
      <c r="K88" s="355"/>
      <c r="L88" s="355"/>
      <c r="M88" s="355"/>
      <c r="N88" s="355"/>
      <c r="O88" s="355"/>
      <c r="P88" s="355"/>
      <c r="Q88" s="355"/>
      <c r="R88" s="355"/>
      <c r="S88" s="355"/>
      <c r="T88" s="355"/>
      <c r="U88" s="355"/>
      <c r="V88" s="355"/>
      <c r="W88" s="355"/>
      <c r="X88" s="355"/>
      <c r="Y88" s="355"/>
      <c r="Z88" s="355"/>
      <c r="AA88" s="355"/>
      <c r="AB88" s="355"/>
      <c r="AC88" s="355"/>
      <c r="AD88" s="355"/>
      <c r="AE88" s="355"/>
      <c r="AF88" s="355"/>
      <c r="AG88" s="355"/>
      <c r="AH88" s="355"/>
      <c r="AI88" s="355"/>
      <c r="AJ88" s="355"/>
      <c r="AK88" s="355"/>
      <c r="AL88" s="355"/>
      <c r="AM88" s="355"/>
      <c r="AN88" s="355"/>
      <c r="AO88" s="355"/>
      <c r="AP88" s="355"/>
      <c r="AQ88" s="355"/>
      <c r="AR88" s="355"/>
      <c r="AS88" s="355"/>
      <c r="AT88" s="355"/>
      <c r="AU88" s="355"/>
      <c r="AV88" s="355"/>
      <c r="AW88" s="355"/>
      <c r="AX88" s="355"/>
      <c r="AY88" s="355"/>
      <c r="AZ88" s="355"/>
      <c r="BA88" s="355"/>
      <c r="BB88" s="355"/>
      <c r="BC88" s="355"/>
      <c r="BD88" s="355"/>
      <c r="BE88" s="355"/>
      <c r="BF88" s="355"/>
      <c r="BG88" s="355"/>
      <c r="BH88" s="355"/>
      <c r="BI88" s="355"/>
      <c r="BJ88" s="355"/>
      <c r="BK88" s="355"/>
      <c r="BL88" s="355"/>
      <c r="BM88" s="355"/>
      <c r="BN88" s="355"/>
      <c r="BO88" s="355"/>
      <c r="BP88" s="355"/>
      <c r="BQ88" s="355"/>
    </row>
    <row r="89">
      <c r="E89" s="354"/>
      <c r="F89" s="355"/>
      <c r="G89" s="355"/>
      <c r="H89" s="355"/>
      <c r="I89" s="355"/>
      <c r="J89" s="355"/>
      <c r="K89" s="355"/>
      <c r="L89" s="355"/>
      <c r="M89" s="355"/>
      <c r="N89" s="355"/>
      <c r="O89" s="355"/>
      <c r="P89" s="355"/>
      <c r="Q89" s="355"/>
      <c r="R89" s="355"/>
      <c r="S89" s="355"/>
      <c r="T89" s="355"/>
      <c r="U89" s="355"/>
      <c r="V89" s="355"/>
      <c r="W89" s="355"/>
      <c r="X89" s="355"/>
      <c r="Y89" s="355"/>
      <c r="Z89" s="355"/>
      <c r="AA89" s="355"/>
      <c r="AB89" s="355"/>
      <c r="AC89" s="355"/>
      <c r="AD89" s="355"/>
      <c r="AE89" s="355"/>
      <c r="AF89" s="355"/>
      <c r="AG89" s="355"/>
      <c r="AH89" s="355"/>
      <c r="AI89" s="355"/>
      <c r="AJ89" s="355"/>
      <c r="AK89" s="355"/>
      <c r="AL89" s="355"/>
      <c r="AM89" s="355"/>
      <c r="AN89" s="355"/>
      <c r="AO89" s="355"/>
      <c r="AP89" s="355"/>
      <c r="AQ89" s="355"/>
      <c r="AR89" s="355"/>
      <c r="AS89" s="355"/>
      <c r="AT89" s="355"/>
      <c r="AU89" s="355"/>
      <c r="AV89" s="355"/>
      <c r="AW89" s="355"/>
      <c r="AX89" s="355"/>
      <c r="AY89" s="355"/>
      <c r="AZ89" s="355"/>
      <c r="BA89" s="355"/>
      <c r="BB89" s="355"/>
      <c r="BC89" s="355"/>
      <c r="BD89" s="355"/>
      <c r="BE89" s="355"/>
      <c r="BF89" s="355"/>
      <c r="BG89" s="355"/>
      <c r="BH89" s="355"/>
      <c r="BI89" s="355"/>
      <c r="BJ89" s="355"/>
      <c r="BK89" s="355"/>
      <c r="BL89" s="355"/>
      <c r="BM89" s="355"/>
      <c r="BN89" s="355"/>
      <c r="BO89" s="355"/>
      <c r="BP89" s="355"/>
      <c r="BQ89" s="355"/>
    </row>
    <row r="90">
      <c r="E90" s="354"/>
      <c r="F90" s="355"/>
      <c r="G90" s="355"/>
      <c r="H90" s="355"/>
      <c r="I90" s="355"/>
      <c r="J90" s="355"/>
      <c r="K90" s="355"/>
      <c r="L90" s="355"/>
      <c r="M90" s="355"/>
      <c r="N90" s="355"/>
      <c r="O90" s="355"/>
      <c r="P90" s="355"/>
      <c r="Q90" s="355"/>
      <c r="R90" s="355"/>
      <c r="S90" s="355"/>
      <c r="T90" s="355"/>
      <c r="U90" s="355"/>
      <c r="V90" s="355"/>
      <c r="W90" s="355"/>
      <c r="X90" s="355"/>
      <c r="Y90" s="355"/>
      <c r="Z90" s="355"/>
      <c r="AA90" s="355"/>
      <c r="AB90" s="355"/>
      <c r="AC90" s="355"/>
      <c r="AD90" s="355"/>
      <c r="AE90" s="355"/>
      <c r="AF90" s="355"/>
      <c r="AG90" s="355"/>
      <c r="AH90" s="355"/>
      <c r="AI90" s="355"/>
      <c r="AJ90" s="355"/>
      <c r="AK90" s="355"/>
      <c r="AL90" s="355"/>
      <c r="AM90" s="355"/>
      <c r="AN90" s="355"/>
      <c r="AO90" s="355"/>
      <c r="AP90" s="355"/>
      <c r="AQ90" s="355"/>
      <c r="AR90" s="355"/>
      <c r="AS90" s="355"/>
      <c r="AT90" s="355"/>
      <c r="AU90" s="355"/>
      <c r="AV90" s="355"/>
      <c r="AW90" s="355"/>
      <c r="AX90" s="355"/>
      <c r="AY90" s="355"/>
      <c r="AZ90" s="355"/>
      <c r="BA90" s="355"/>
      <c r="BB90" s="355"/>
      <c r="BC90" s="355"/>
      <c r="BD90" s="355"/>
      <c r="BE90" s="355"/>
      <c r="BF90" s="355"/>
      <c r="BG90" s="355"/>
      <c r="BH90" s="355"/>
      <c r="BI90" s="355"/>
      <c r="BJ90" s="355"/>
      <c r="BK90" s="355"/>
      <c r="BL90" s="355"/>
      <c r="BM90" s="355"/>
      <c r="BN90" s="355"/>
      <c r="BO90" s="355"/>
      <c r="BP90" s="355"/>
      <c r="BQ90" s="355"/>
    </row>
    <row r="91">
      <c r="E91" s="354"/>
      <c r="F91" s="355"/>
      <c r="G91" s="355"/>
      <c r="H91" s="355"/>
      <c r="I91" s="355"/>
      <c r="J91" s="355"/>
      <c r="K91" s="355"/>
      <c r="L91" s="355"/>
      <c r="M91" s="355"/>
      <c r="N91" s="355"/>
      <c r="O91" s="355"/>
      <c r="P91" s="355"/>
      <c r="Q91" s="355"/>
      <c r="R91" s="355"/>
      <c r="S91" s="355"/>
      <c r="T91" s="355"/>
      <c r="U91" s="355"/>
      <c r="V91" s="355"/>
      <c r="W91" s="355"/>
      <c r="X91" s="355"/>
      <c r="Y91" s="355"/>
      <c r="Z91" s="355"/>
      <c r="AA91" s="355"/>
      <c r="AB91" s="355"/>
      <c r="AC91" s="355"/>
      <c r="AD91" s="355"/>
      <c r="AE91" s="355"/>
      <c r="AF91" s="355"/>
      <c r="AG91" s="355"/>
      <c r="AH91" s="355"/>
      <c r="AI91" s="355"/>
      <c r="AJ91" s="355"/>
      <c r="AK91" s="355"/>
      <c r="AL91" s="355"/>
      <c r="AM91" s="355"/>
      <c r="AN91" s="355"/>
      <c r="AO91" s="355"/>
      <c r="AP91" s="355"/>
      <c r="AQ91" s="355"/>
      <c r="AR91" s="355"/>
      <c r="AS91" s="355"/>
      <c r="AT91" s="355"/>
      <c r="AU91" s="355"/>
      <c r="AV91" s="355"/>
      <c r="AW91" s="355"/>
      <c r="AX91" s="355"/>
      <c r="AY91" s="355"/>
      <c r="AZ91" s="355"/>
      <c r="BA91" s="355"/>
      <c r="BB91" s="355"/>
      <c r="BC91" s="355"/>
      <c r="BD91" s="355"/>
      <c r="BE91" s="355"/>
      <c r="BF91" s="355"/>
      <c r="BG91" s="355"/>
      <c r="BH91" s="355"/>
      <c r="BI91" s="355"/>
      <c r="BJ91" s="355"/>
      <c r="BK91" s="355"/>
      <c r="BL91" s="355"/>
      <c r="BM91" s="355"/>
      <c r="BN91" s="355"/>
      <c r="BO91" s="355"/>
      <c r="BP91" s="355"/>
      <c r="BQ91" s="355"/>
    </row>
    <row r="92">
      <c r="E92" s="354"/>
      <c r="F92" s="355"/>
      <c r="G92" s="355"/>
      <c r="H92" s="355"/>
      <c r="I92" s="355"/>
      <c r="J92" s="355"/>
      <c r="K92" s="355"/>
      <c r="L92" s="355"/>
      <c r="M92" s="355"/>
      <c r="N92" s="355"/>
      <c r="O92" s="355"/>
      <c r="P92" s="355"/>
      <c r="Q92" s="355"/>
      <c r="R92" s="355"/>
      <c r="S92" s="355"/>
      <c r="T92" s="355"/>
      <c r="U92" s="355"/>
      <c r="V92" s="355"/>
      <c r="W92" s="355"/>
      <c r="X92" s="355"/>
      <c r="Y92" s="355"/>
      <c r="Z92" s="355"/>
      <c r="AA92" s="355"/>
      <c r="AB92" s="355"/>
      <c r="AC92" s="355"/>
      <c r="AD92" s="355"/>
      <c r="AE92" s="355"/>
      <c r="AF92" s="355"/>
      <c r="AG92" s="355"/>
      <c r="AH92" s="355"/>
      <c r="AI92" s="355"/>
      <c r="AJ92" s="355"/>
      <c r="AK92" s="355"/>
      <c r="AL92" s="355"/>
      <c r="AM92" s="355"/>
      <c r="AN92" s="355"/>
      <c r="AO92" s="355"/>
      <c r="AP92" s="355"/>
      <c r="AQ92" s="355"/>
      <c r="AR92" s="355"/>
      <c r="AS92" s="355"/>
      <c r="AT92" s="355"/>
      <c r="AU92" s="355"/>
      <c r="AV92" s="355"/>
      <c r="AW92" s="355"/>
      <c r="AX92" s="355"/>
      <c r="AY92" s="355"/>
      <c r="AZ92" s="355"/>
      <c r="BA92" s="355"/>
      <c r="BB92" s="355"/>
      <c r="BC92" s="355"/>
      <c r="BD92" s="355"/>
      <c r="BE92" s="355"/>
      <c r="BF92" s="355"/>
      <c r="BG92" s="355"/>
      <c r="BH92" s="355"/>
      <c r="BI92" s="355"/>
      <c r="BJ92" s="355"/>
      <c r="BK92" s="355"/>
      <c r="BL92" s="355"/>
      <c r="BM92" s="355"/>
      <c r="BN92" s="355"/>
      <c r="BO92" s="355"/>
      <c r="BP92" s="355"/>
      <c r="BQ92" s="355"/>
    </row>
    <row r="93">
      <c r="E93" s="354"/>
      <c r="F93" s="355"/>
      <c r="G93" s="355"/>
      <c r="H93" s="355"/>
      <c r="I93" s="355"/>
      <c r="J93" s="355"/>
      <c r="K93" s="355"/>
      <c r="L93" s="355"/>
      <c r="M93" s="355"/>
      <c r="N93" s="355"/>
      <c r="O93" s="355"/>
      <c r="P93" s="355"/>
      <c r="Q93" s="355"/>
      <c r="R93" s="355"/>
      <c r="S93" s="355"/>
      <c r="T93" s="355"/>
      <c r="U93" s="355"/>
      <c r="V93" s="355"/>
      <c r="W93" s="355"/>
      <c r="X93" s="355"/>
      <c r="Y93" s="355"/>
      <c r="Z93" s="355"/>
      <c r="AA93" s="355"/>
      <c r="AB93" s="355"/>
      <c r="AC93" s="355"/>
      <c r="AD93" s="355"/>
      <c r="AE93" s="355"/>
      <c r="AF93" s="355"/>
      <c r="AG93" s="355"/>
      <c r="AH93" s="355"/>
      <c r="AI93" s="355"/>
      <c r="AJ93" s="355"/>
      <c r="AK93" s="355"/>
      <c r="AL93" s="355"/>
      <c r="AM93" s="355"/>
      <c r="AN93" s="355"/>
      <c r="AO93" s="355"/>
      <c r="AP93" s="355"/>
      <c r="AQ93" s="355"/>
      <c r="AR93" s="355"/>
      <c r="AS93" s="355"/>
      <c r="AT93" s="355"/>
      <c r="AU93" s="355"/>
      <c r="AV93" s="355"/>
      <c r="AW93" s="355"/>
      <c r="AX93" s="355"/>
      <c r="AY93" s="355"/>
      <c r="AZ93" s="355"/>
      <c r="BA93" s="355"/>
      <c r="BB93" s="355"/>
      <c r="BC93" s="355"/>
      <c r="BD93" s="355"/>
      <c r="BE93" s="355"/>
      <c r="BF93" s="355"/>
      <c r="BG93" s="355"/>
      <c r="BH93" s="355"/>
      <c r="BI93" s="355"/>
      <c r="BJ93" s="355"/>
      <c r="BK93" s="355"/>
      <c r="BL93" s="355"/>
      <c r="BM93" s="355"/>
      <c r="BN93" s="355"/>
      <c r="BO93" s="355"/>
      <c r="BP93" s="355"/>
      <c r="BQ93" s="355"/>
    </row>
    <row r="94">
      <c r="E94" s="354"/>
      <c r="F94" s="355"/>
      <c r="G94" s="355"/>
      <c r="H94" s="355"/>
      <c r="I94" s="355"/>
      <c r="J94" s="355"/>
      <c r="K94" s="355"/>
      <c r="L94" s="355"/>
      <c r="M94" s="355"/>
      <c r="N94" s="355"/>
      <c r="O94" s="355"/>
      <c r="P94" s="355"/>
      <c r="Q94" s="355"/>
      <c r="R94" s="355"/>
      <c r="S94" s="355"/>
      <c r="T94" s="355"/>
      <c r="U94" s="355"/>
      <c r="V94" s="355"/>
      <c r="W94" s="355"/>
      <c r="X94" s="355"/>
      <c r="Y94" s="355"/>
      <c r="Z94" s="355"/>
      <c r="AA94" s="355"/>
      <c r="AB94" s="355"/>
      <c r="AC94" s="355"/>
      <c r="AD94" s="355"/>
      <c r="AE94" s="355"/>
      <c r="AF94" s="355"/>
      <c r="AG94" s="355"/>
      <c r="AH94" s="355"/>
      <c r="AI94" s="355"/>
      <c r="AJ94" s="355"/>
      <c r="AK94" s="355"/>
      <c r="AL94" s="355"/>
      <c r="AM94" s="355"/>
      <c r="AN94" s="355"/>
      <c r="AO94" s="355"/>
      <c r="AP94" s="355"/>
      <c r="AQ94" s="355"/>
      <c r="AR94" s="355"/>
      <c r="AS94" s="355"/>
      <c r="AT94" s="355"/>
      <c r="AU94" s="355"/>
      <c r="AV94" s="355"/>
      <c r="AW94" s="355"/>
      <c r="AX94" s="355"/>
      <c r="AY94" s="355"/>
      <c r="AZ94" s="355"/>
      <c r="BA94" s="355"/>
      <c r="BB94" s="355"/>
      <c r="BC94" s="355"/>
      <c r="BD94" s="355"/>
      <c r="BE94" s="355"/>
      <c r="BF94" s="355"/>
      <c r="BG94" s="355"/>
      <c r="BH94" s="355"/>
      <c r="BI94" s="355"/>
      <c r="BJ94" s="355"/>
      <c r="BK94" s="355"/>
      <c r="BL94" s="355"/>
      <c r="BM94" s="355"/>
      <c r="BN94" s="355"/>
      <c r="BO94" s="355"/>
      <c r="BP94" s="355"/>
      <c r="BQ94" s="355"/>
    </row>
    <row r="95">
      <c r="E95" s="354"/>
      <c r="F95" s="355"/>
      <c r="G95" s="355"/>
      <c r="H95" s="355"/>
      <c r="I95" s="355"/>
      <c r="J95" s="355"/>
      <c r="K95" s="355"/>
      <c r="L95" s="355"/>
      <c r="M95" s="355"/>
      <c r="N95" s="355"/>
      <c r="O95" s="355"/>
      <c r="P95" s="355"/>
      <c r="Q95" s="355"/>
      <c r="R95" s="355"/>
      <c r="S95" s="355"/>
      <c r="T95" s="355"/>
      <c r="U95" s="355"/>
      <c r="V95" s="355"/>
      <c r="W95" s="355"/>
      <c r="X95" s="355"/>
      <c r="Y95" s="355"/>
      <c r="Z95" s="355"/>
      <c r="AA95" s="355"/>
      <c r="AB95" s="355"/>
      <c r="AC95" s="355"/>
      <c r="AD95" s="355"/>
      <c r="AE95" s="355"/>
      <c r="AF95" s="355"/>
      <c r="AG95" s="355"/>
      <c r="AH95" s="355"/>
      <c r="AI95" s="355"/>
      <c r="AJ95" s="355"/>
      <c r="AK95" s="355"/>
      <c r="AL95" s="355"/>
      <c r="AM95" s="355"/>
      <c r="AN95" s="355"/>
      <c r="AO95" s="355"/>
      <c r="AP95" s="355"/>
      <c r="AQ95" s="355"/>
      <c r="AR95" s="355"/>
      <c r="AS95" s="355"/>
      <c r="AT95" s="355"/>
      <c r="AU95" s="355"/>
      <c r="AV95" s="355"/>
      <c r="AW95" s="355"/>
      <c r="AX95" s="355"/>
      <c r="AY95" s="355"/>
      <c r="AZ95" s="355"/>
      <c r="BA95" s="355"/>
      <c r="BB95" s="355"/>
      <c r="BC95" s="355"/>
      <c r="BD95" s="355"/>
      <c r="BE95" s="355"/>
      <c r="BF95" s="355"/>
      <c r="BG95" s="355"/>
      <c r="BH95" s="355"/>
      <c r="BI95" s="355"/>
      <c r="BJ95" s="355"/>
      <c r="BK95" s="355"/>
      <c r="BL95" s="355"/>
      <c r="BM95" s="355"/>
      <c r="BN95" s="355"/>
      <c r="BO95" s="355"/>
      <c r="BP95" s="355"/>
      <c r="BQ95" s="355"/>
    </row>
    <row r="96">
      <c r="E96" s="354"/>
      <c r="F96" s="355"/>
      <c r="G96" s="355"/>
      <c r="H96" s="355"/>
      <c r="I96" s="355"/>
      <c r="J96" s="355"/>
      <c r="K96" s="355"/>
      <c r="L96" s="355"/>
      <c r="M96" s="355"/>
      <c r="N96" s="355"/>
      <c r="O96" s="355"/>
      <c r="P96" s="355"/>
      <c r="Q96" s="355"/>
      <c r="R96" s="355"/>
      <c r="S96" s="355"/>
      <c r="T96" s="355"/>
      <c r="U96" s="355"/>
      <c r="V96" s="355"/>
      <c r="W96" s="355"/>
      <c r="X96" s="355"/>
      <c r="Y96" s="355"/>
      <c r="Z96" s="355"/>
      <c r="AA96" s="355"/>
      <c r="AB96" s="355"/>
      <c r="AC96" s="355"/>
      <c r="AD96" s="355"/>
      <c r="AE96" s="355"/>
      <c r="AF96" s="355"/>
      <c r="AG96" s="355"/>
      <c r="AH96" s="355"/>
      <c r="AI96" s="355"/>
      <c r="AJ96" s="355"/>
      <c r="AK96" s="355"/>
      <c r="AL96" s="355"/>
      <c r="AM96" s="355"/>
      <c r="AN96" s="355"/>
      <c r="AO96" s="355"/>
      <c r="AP96" s="355"/>
      <c r="AQ96" s="355"/>
      <c r="AR96" s="355"/>
      <c r="AS96" s="355"/>
      <c r="AT96" s="355"/>
      <c r="AU96" s="355"/>
      <c r="AV96" s="355"/>
      <c r="AW96" s="355"/>
      <c r="AX96" s="355"/>
      <c r="AY96" s="355"/>
      <c r="AZ96" s="355"/>
      <c r="BA96" s="355"/>
      <c r="BB96" s="355"/>
      <c r="BC96" s="355"/>
      <c r="BD96" s="355"/>
      <c r="BE96" s="355"/>
      <c r="BF96" s="355"/>
      <c r="BG96" s="355"/>
      <c r="BH96" s="355"/>
      <c r="BI96" s="355"/>
      <c r="BJ96" s="355"/>
      <c r="BK96" s="355"/>
      <c r="BL96" s="355"/>
      <c r="BM96" s="355"/>
      <c r="BN96" s="355"/>
      <c r="BO96" s="355"/>
      <c r="BP96" s="355"/>
      <c r="BQ96" s="355"/>
    </row>
    <row r="97">
      <c r="E97" s="354"/>
      <c r="F97" s="355"/>
      <c r="G97" s="355"/>
      <c r="H97" s="355"/>
      <c r="I97" s="355"/>
      <c r="J97" s="355"/>
      <c r="K97" s="355"/>
      <c r="L97" s="355"/>
      <c r="M97" s="355"/>
      <c r="N97" s="355"/>
      <c r="O97" s="355"/>
      <c r="P97" s="355"/>
      <c r="Q97" s="355"/>
      <c r="R97" s="355"/>
      <c r="S97" s="355"/>
      <c r="T97" s="355"/>
      <c r="U97" s="355"/>
      <c r="V97" s="355"/>
      <c r="W97" s="355"/>
      <c r="X97" s="355"/>
      <c r="Y97" s="355"/>
      <c r="Z97" s="355"/>
      <c r="AA97" s="355"/>
      <c r="AB97" s="355"/>
      <c r="AC97" s="355"/>
      <c r="AD97" s="355"/>
      <c r="AE97" s="355"/>
      <c r="AF97" s="355"/>
      <c r="AG97" s="355"/>
      <c r="AH97" s="355"/>
      <c r="AI97" s="355"/>
      <c r="AJ97" s="355"/>
      <c r="AK97" s="355"/>
      <c r="AL97" s="355"/>
      <c r="AM97" s="355"/>
      <c r="AN97" s="355"/>
      <c r="AO97" s="355"/>
      <c r="AP97" s="355"/>
      <c r="AQ97" s="355"/>
      <c r="AR97" s="355"/>
      <c r="AS97" s="355"/>
      <c r="AT97" s="355"/>
      <c r="AU97" s="355"/>
      <c r="AV97" s="355"/>
      <c r="AW97" s="355"/>
      <c r="AX97" s="355"/>
      <c r="AY97" s="355"/>
      <c r="AZ97" s="355"/>
      <c r="BA97" s="355"/>
      <c r="BB97" s="355"/>
      <c r="BC97" s="355"/>
      <c r="BD97" s="355"/>
      <c r="BE97" s="355"/>
      <c r="BF97" s="355"/>
      <c r="BG97" s="355"/>
      <c r="BH97" s="355"/>
      <c r="BI97" s="355"/>
      <c r="BJ97" s="355"/>
      <c r="BK97" s="355"/>
      <c r="BL97" s="355"/>
      <c r="BM97" s="355"/>
      <c r="BN97" s="355"/>
      <c r="BO97" s="355"/>
      <c r="BP97" s="355"/>
      <c r="BQ97" s="355"/>
    </row>
    <row r="98">
      <c r="E98" s="354"/>
      <c r="F98" s="355"/>
      <c r="G98" s="355"/>
      <c r="H98" s="355"/>
      <c r="I98" s="355"/>
      <c r="J98" s="355"/>
      <c r="K98" s="355"/>
      <c r="L98" s="355"/>
      <c r="M98" s="355"/>
      <c r="N98" s="355"/>
      <c r="O98" s="355"/>
      <c r="P98" s="355"/>
      <c r="Q98" s="355"/>
      <c r="R98" s="355"/>
      <c r="S98" s="355"/>
      <c r="T98" s="355"/>
      <c r="U98" s="355"/>
      <c r="V98" s="355"/>
      <c r="W98" s="355"/>
      <c r="X98" s="355"/>
      <c r="Y98" s="355"/>
      <c r="Z98" s="355"/>
      <c r="AA98" s="355"/>
      <c r="AB98" s="355"/>
      <c r="AC98" s="355"/>
      <c r="AD98" s="355"/>
      <c r="AE98" s="355"/>
      <c r="AF98" s="355"/>
      <c r="AG98" s="355"/>
      <c r="AH98" s="355"/>
      <c r="AI98" s="355"/>
      <c r="AJ98" s="355"/>
      <c r="AK98" s="355"/>
      <c r="AL98" s="355"/>
      <c r="AM98" s="355"/>
      <c r="AN98" s="355"/>
      <c r="AO98" s="355"/>
      <c r="AP98" s="355"/>
      <c r="AQ98" s="355"/>
      <c r="AR98" s="355"/>
      <c r="AS98" s="355"/>
      <c r="AT98" s="355"/>
      <c r="AU98" s="355"/>
      <c r="AV98" s="355"/>
      <c r="AW98" s="355"/>
      <c r="AX98" s="355"/>
      <c r="AY98" s="355"/>
      <c r="AZ98" s="355"/>
      <c r="BA98" s="355"/>
      <c r="BB98" s="355"/>
      <c r="BC98" s="355"/>
      <c r="BD98" s="355"/>
      <c r="BE98" s="355"/>
      <c r="BF98" s="355"/>
      <c r="BG98" s="355"/>
      <c r="BH98" s="355"/>
      <c r="BI98" s="355"/>
      <c r="BJ98" s="355"/>
      <c r="BK98" s="355"/>
      <c r="BL98" s="355"/>
      <c r="BM98" s="355"/>
      <c r="BN98" s="355"/>
      <c r="BO98" s="355"/>
      <c r="BP98" s="355"/>
      <c r="BQ98" s="355"/>
    </row>
    <row r="99">
      <c r="E99" s="354"/>
      <c r="F99" s="355"/>
      <c r="G99" s="355"/>
      <c r="H99" s="355"/>
      <c r="I99" s="355"/>
      <c r="J99" s="355"/>
      <c r="K99" s="355"/>
      <c r="L99" s="355"/>
      <c r="M99" s="355"/>
      <c r="N99" s="355"/>
      <c r="O99" s="355"/>
      <c r="P99" s="355"/>
      <c r="Q99" s="355"/>
      <c r="R99" s="355"/>
      <c r="S99" s="355"/>
      <c r="T99" s="355"/>
      <c r="U99" s="355"/>
      <c r="V99" s="355"/>
      <c r="W99" s="355"/>
      <c r="X99" s="355"/>
      <c r="Y99" s="355"/>
      <c r="Z99" s="355"/>
      <c r="AA99" s="355"/>
      <c r="AB99" s="355"/>
      <c r="AC99" s="355"/>
      <c r="AD99" s="355"/>
      <c r="AE99" s="355"/>
      <c r="AF99" s="355"/>
      <c r="AG99" s="355"/>
      <c r="AH99" s="355"/>
      <c r="AI99" s="355"/>
      <c r="AJ99" s="355"/>
      <c r="AK99" s="355"/>
      <c r="AL99" s="355"/>
      <c r="AM99" s="355"/>
      <c r="AN99" s="355"/>
      <c r="AO99" s="355"/>
      <c r="AP99" s="355"/>
      <c r="AQ99" s="355"/>
      <c r="AR99" s="355"/>
      <c r="AS99" s="355"/>
      <c r="AT99" s="355"/>
      <c r="AU99" s="355"/>
      <c r="AV99" s="355"/>
      <c r="AW99" s="355"/>
      <c r="AX99" s="355"/>
      <c r="AY99" s="355"/>
      <c r="AZ99" s="355"/>
      <c r="BA99" s="355"/>
      <c r="BB99" s="355"/>
      <c r="BC99" s="355"/>
      <c r="BD99" s="355"/>
      <c r="BE99" s="355"/>
      <c r="BF99" s="355"/>
      <c r="BG99" s="355"/>
      <c r="BH99" s="355"/>
      <c r="BI99" s="355"/>
      <c r="BJ99" s="355"/>
      <c r="BK99" s="355"/>
      <c r="BL99" s="355"/>
      <c r="BM99" s="355"/>
      <c r="BN99" s="355"/>
      <c r="BO99" s="355"/>
      <c r="BP99" s="355"/>
      <c r="BQ99" s="355"/>
    </row>
    <row r="100">
      <c r="E100" s="354"/>
      <c r="F100" s="355"/>
      <c r="G100" s="355"/>
      <c r="H100" s="355"/>
      <c r="I100" s="355"/>
      <c r="J100" s="355"/>
      <c r="K100" s="355"/>
      <c r="L100" s="355"/>
      <c r="M100" s="355"/>
      <c r="N100" s="355"/>
      <c r="O100" s="355"/>
      <c r="P100" s="355"/>
      <c r="Q100" s="355"/>
      <c r="R100" s="355"/>
      <c r="S100" s="355"/>
      <c r="T100" s="355"/>
      <c r="U100" s="355"/>
      <c r="V100" s="355"/>
      <c r="W100" s="355"/>
      <c r="X100" s="355"/>
      <c r="Y100" s="355"/>
      <c r="Z100" s="355"/>
      <c r="AA100" s="355"/>
      <c r="AB100" s="355"/>
      <c r="AC100" s="355"/>
      <c r="AD100" s="355"/>
      <c r="AE100" s="355"/>
      <c r="AF100" s="355"/>
      <c r="AG100" s="355"/>
      <c r="AH100" s="355"/>
      <c r="AI100" s="355"/>
      <c r="AJ100" s="355"/>
      <c r="AK100" s="355"/>
      <c r="AL100" s="355"/>
      <c r="AM100" s="355"/>
      <c r="AN100" s="355"/>
      <c r="AO100" s="355"/>
      <c r="AP100" s="355"/>
      <c r="AQ100" s="355"/>
      <c r="AR100" s="355"/>
      <c r="AS100" s="355"/>
      <c r="AT100" s="355"/>
      <c r="AU100" s="355"/>
      <c r="AV100" s="355"/>
      <c r="AW100" s="355"/>
      <c r="AX100" s="355"/>
      <c r="AY100" s="355"/>
      <c r="AZ100" s="355"/>
      <c r="BA100" s="355"/>
      <c r="BB100" s="355"/>
      <c r="BC100" s="355"/>
      <c r="BD100" s="355"/>
      <c r="BE100" s="355"/>
      <c r="BF100" s="355"/>
      <c r="BG100" s="355"/>
      <c r="BH100" s="355"/>
      <c r="BI100" s="355"/>
      <c r="BJ100" s="355"/>
      <c r="BK100" s="355"/>
      <c r="BL100" s="355"/>
      <c r="BM100" s="355"/>
      <c r="BN100" s="355"/>
      <c r="BO100" s="355"/>
      <c r="BP100" s="355"/>
      <c r="BQ100" s="355"/>
    </row>
    <row r="101">
      <c r="E101" s="354"/>
      <c r="F101" s="355"/>
      <c r="G101" s="355"/>
      <c r="H101" s="355"/>
      <c r="I101" s="355"/>
      <c r="J101" s="355"/>
      <c r="K101" s="355"/>
      <c r="L101" s="355"/>
      <c r="M101" s="355"/>
      <c r="N101" s="355"/>
      <c r="O101" s="355"/>
      <c r="P101" s="355"/>
      <c r="Q101" s="355"/>
      <c r="R101" s="355"/>
      <c r="S101" s="355"/>
      <c r="T101" s="355"/>
      <c r="U101" s="355"/>
      <c r="V101" s="355"/>
      <c r="W101" s="355"/>
      <c r="X101" s="355"/>
      <c r="Y101" s="355"/>
      <c r="Z101" s="355"/>
      <c r="AA101" s="355"/>
      <c r="AB101" s="355"/>
      <c r="AC101" s="355"/>
      <c r="AD101" s="355"/>
      <c r="AE101" s="355"/>
      <c r="AF101" s="355"/>
      <c r="AG101" s="355"/>
      <c r="AH101" s="355"/>
      <c r="AI101" s="355"/>
      <c r="AJ101" s="355"/>
      <c r="AK101" s="355"/>
      <c r="AL101" s="355"/>
      <c r="AM101" s="355"/>
      <c r="AN101" s="355"/>
      <c r="AO101" s="355"/>
      <c r="AP101" s="355"/>
      <c r="AQ101" s="355"/>
      <c r="AR101" s="355"/>
      <c r="AS101" s="355"/>
      <c r="AT101" s="355"/>
      <c r="AU101" s="355"/>
      <c r="AV101" s="355"/>
      <c r="AW101" s="355"/>
      <c r="AX101" s="355"/>
      <c r="AY101" s="355"/>
      <c r="AZ101" s="355"/>
      <c r="BA101" s="355"/>
      <c r="BB101" s="355"/>
      <c r="BC101" s="355"/>
      <c r="BD101" s="355"/>
      <c r="BE101" s="355"/>
      <c r="BF101" s="355"/>
      <c r="BG101" s="355"/>
      <c r="BH101" s="355"/>
      <c r="BI101" s="355"/>
      <c r="BJ101" s="355"/>
      <c r="BK101" s="355"/>
      <c r="BL101" s="355"/>
      <c r="BM101" s="355"/>
      <c r="BN101" s="355"/>
      <c r="BO101" s="355"/>
      <c r="BP101" s="355"/>
      <c r="BQ101" s="355"/>
    </row>
    <row r="102">
      <c r="E102" s="354"/>
      <c r="F102" s="355"/>
      <c r="G102" s="355"/>
      <c r="H102" s="355"/>
      <c r="I102" s="355"/>
      <c r="J102" s="355"/>
      <c r="K102" s="355"/>
      <c r="L102" s="355"/>
      <c r="M102" s="355"/>
      <c r="N102" s="355"/>
      <c r="O102" s="355"/>
      <c r="P102" s="355"/>
      <c r="Q102" s="355"/>
      <c r="R102" s="355"/>
      <c r="S102" s="355"/>
      <c r="T102" s="355"/>
      <c r="U102" s="355"/>
      <c r="V102" s="355"/>
      <c r="W102" s="355"/>
      <c r="X102" s="355"/>
      <c r="Y102" s="355"/>
      <c r="Z102" s="355"/>
      <c r="AA102" s="355"/>
      <c r="AB102" s="355"/>
      <c r="AC102" s="355"/>
      <c r="AD102" s="355"/>
      <c r="AE102" s="355"/>
      <c r="AF102" s="355"/>
      <c r="AG102" s="355"/>
      <c r="AH102" s="355"/>
      <c r="AI102" s="355"/>
      <c r="AJ102" s="355"/>
      <c r="AK102" s="355"/>
      <c r="AL102" s="355"/>
      <c r="AM102" s="355"/>
      <c r="AN102" s="355"/>
      <c r="AO102" s="355"/>
      <c r="AP102" s="355"/>
      <c r="AQ102" s="355"/>
      <c r="AR102" s="355"/>
      <c r="AS102" s="355"/>
      <c r="AT102" s="355"/>
      <c r="AU102" s="355"/>
      <c r="AV102" s="355"/>
      <c r="AW102" s="355"/>
      <c r="AX102" s="355"/>
      <c r="AY102" s="355"/>
      <c r="AZ102" s="355"/>
      <c r="BA102" s="355"/>
      <c r="BB102" s="355"/>
      <c r="BC102" s="355"/>
      <c r="BD102" s="355"/>
      <c r="BE102" s="355"/>
      <c r="BF102" s="355"/>
      <c r="BG102" s="355"/>
      <c r="BH102" s="355"/>
      <c r="BI102" s="355"/>
      <c r="BJ102" s="355"/>
      <c r="BK102" s="355"/>
      <c r="BL102" s="355"/>
      <c r="BM102" s="355"/>
      <c r="BN102" s="355"/>
      <c r="BO102" s="355"/>
      <c r="BP102" s="355"/>
      <c r="BQ102" s="355"/>
    </row>
    <row r="103">
      <c r="E103" s="354"/>
      <c r="F103" s="355"/>
      <c r="G103" s="355"/>
      <c r="H103" s="355"/>
      <c r="I103" s="355"/>
      <c r="J103" s="355"/>
      <c r="K103" s="355"/>
      <c r="L103" s="355"/>
      <c r="M103" s="355"/>
      <c r="N103" s="355"/>
      <c r="O103" s="355"/>
      <c r="P103" s="355"/>
      <c r="Q103" s="355"/>
      <c r="R103" s="355"/>
      <c r="S103" s="355"/>
      <c r="T103" s="355"/>
      <c r="U103" s="355"/>
      <c r="V103" s="355"/>
      <c r="W103" s="355"/>
      <c r="X103" s="355"/>
      <c r="Y103" s="355"/>
      <c r="Z103" s="355"/>
      <c r="AA103" s="355"/>
      <c r="AB103" s="355"/>
      <c r="AC103" s="355"/>
      <c r="AD103" s="355"/>
      <c r="AE103" s="355"/>
      <c r="AF103" s="355"/>
      <c r="AG103" s="355"/>
      <c r="AH103" s="355"/>
      <c r="AI103" s="355"/>
      <c r="AJ103" s="355"/>
      <c r="AK103" s="355"/>
      <c r="AL103" s="355"/>
      <c r="AM103" s="355"/>
      <c r="AN103" s="355"/>
      <c r="AO103" s="355"/>
      <c r="AP103" s="355"/>
      <c r="AQ103" s="355"/>
      <c r="AR103" s="355"/>
      <c r="AS103" s="355"/>
      <c r="AT103" s="355"/>
      <c r="AU103" s="355"/>
      <c r="AV103" s="355"/>
      <c r="AW103" s="355"/>
      <c r="AX103" s="355"/>
      <c r="AY103" s="355"/>
      <c r="AZ103" s="355"/>
      <c r="BA103" s="355"/>
      <c r="BB103" s="355"/>
      <c r="BC103" s="355"/>
      <c r="BD103" s="355"/>
      <c r="BE103" s="355"/>
      <c r="BF103" s="355"/>
      <c r="BG103" s="355"/>
      <c r="BH103" s="355"/>
      <c r="BI103" s="355"/>
      <c r="BJ103" s="355"/>
      <c r="BK103" s="355"/>
      <c r="BL103" s="355"/>
      <c r="BM103" s="355"/>
      <c r="BN103" s="355"/>
      <c r="BO103" s="355"/>
      <c r="BP103" s="355"/>
      <c r="BQ103" s="355"/>
    </row>
    <row r="104">
      <c r="E104" s="354"/>
      <c r="F104" s="355"/>
      <c r="G104" s="355"/>
      <c r="H104" s="355"/>
      <c r="I104" s="355"/>
      <c r="J104" s="355"/>
      <c r="K104" s="355"/>
      <c r="L104" s="355"/>
      <c r="M104" s="355"/>
      <c r="N104" s="355"/>
      <c r="O104" s="355"/>
      <c r="P104" s="355"/>
      <c r="Q104" s="355"/>
      <c r="R104" s="355"/>
      <c r="S104" s="355"/>
      <c r="T104" s="355"/>
      <c r="U104" s="355"/>
      <c r="V104" s="355"/>
      <c r="W104" s="355"/>
      <c r="X104" s="355"/>
      <c r="Y104" s="355"/>
      <c r="Z104" s="355"/>
      <c r="AA104" s="355"/>
      <c r="AB104" s="355"/>
      <c r="AC104" s="355"/>
      <c r="AD104" s="355"/>
      <c r="AE104" s="355"/>
      <c r="AF104" s="355"/>
      <c r="AG104" s="355"/>
      <c r="AH104" s="355"/>
      <c r="AI104" s="355"/>
      <c r="AJ104" s="355"/>
      <c r="AK104" s="355"/>
      <c r="AL104" s="355"/>
      <c r="AM104" s="355"/>
      <c r="AN104" s="355"/>
      <c r="AO104" s="355"/>
      <c r="AP104" s="355"/>
      <c r="AQ104" s="355"/>
      <c r="AR104" s="355"/>
      <c r="AS104" s="355"/>
      <c r="AT104" s="355"/>
      <c r="AU104" s="355"/>
      <c r="AV104" s="355"/>
      <c r="AW104" s="355"/>
      <c r="AX104" s="355"/>
      <c r="AY104" s="355"/>
      <c r="AZ104" s="355"/>
      <c r="BA104" s="355"/>
      <c r="BB104" s="355"/>
      <c r="BC104" s="355"/>
      <c r="BD104" s="355"/>
      <c r="BE104" s="355"/>
      <c r="BF104" s="355"/>
      <c r="BG104" s="355"/>
      <c r="BH104" s="355"/>
      <c r="BI104" s="355"/>
      <c r="BJ104" s="355"/>
      <c r="BK104" s="355"/>
      <c r="BL104" s="355"/>
      <c r="BM104" s="355"/>
      <c r="BN104" s="355"/>
      <c r="BO104" s="355"/>
      <c r="BP104" s="355"/>
      <c r="BQ104" s="355"/>
    </row>
    <row r="105">
      <c r="E105" s="354"/>
      <c r="F105" s="355"/>
      <c r="G105" s="355"/>
      <c r="H105" s="355"/>
      <c r="I105" s="355"/>
      <c r="J105" s="355"/>
      <c r="K105" s="355"/>
      <c r="L105" s="355"/>
      <c r="M105" s="355"/>
      <c r="N105" s="355"/>
      <c r="O105" s="355"/>
      <c r="P105" s="355"/>
      <c r="Q105" s="355"/>
      <c r="R105" s="355"/>
      <c r="S105" s="355"/>
      <c r="T105" s="355"/>
      <c r="U105" s="355"/>
      <c r="V105" s="355"/>
      <c r="W105" s="355"/>
      <c r="X105" s="355"/>
      <c r="Y105" s="355"/>
      <c r="Z105" s="355"/>
      <c r="AA105" s="355"/>
      <c r="AB105" s="355"/>
      <c r="AC105" s="355"/>
      <c r="AD105" s="355"/>
      <c r="AE105" s="355"/>
      <c r="AF105" s="355"/>
      <c r="AG105" s="355"/>
      <c r="AH105" s="355"/>
      <c r="AI105" s="355"/>
      <c r="AJ105" s="355"/>
      <c r="AK105" s="355"/>
      <c r="AL105" s="355"/>
      <c r="AM105" s="355"/>
      <c r="AN105" s="355"/>
      <c r="AO105" s="355"/>
      <c r="AP105" s="355"/>
      <c r="AQ105" s="355"/>
      <c r="AR105" s="355"/>
      <c r="AS105" s="355"/>
      <c r="AT105" s="355"/>
      <c r="AU105" s="355"/>
      <c r="AV105" s="355"/>
      <c r="AW105" s="355"/>
      <c r="AX105" s="355"/>
      <c r="AY105" s="355"/>
      <c r="AZ105" s="355"/>
      <c r="BA105" s="355"/>
      <c r="BB105" s="355"/>
      <c r="BC105" s="355"/>
      <c r="BD105" s="355"/>
      <c r="BE105" s="355"/>
      <c r="BF105" s="355"/>
      <c r="BG105" s="355"/>
      <c r="BH105" s="355"/>
      <c r="BI105" s="355"/>
      <c r="BJ105" s="355"/>
      <c r="BK105" s="355"/>
      <c r="BL105" s="355"/>
      <c r="BM105" s="355"/>
      <c r="BN105" s="355"/>
      <c r="BO105" s="355"/>
      <c r="BP105" s="355"/>
      <c r="BQ105" s="355"/>
    </row>
    <row r="106">
      <c r="E106" s="354"/>
      <c r="F106" s="355"/>
      <c r="G106" s="355"/>
      <c r="H106" s="355"/>
      <c r="I106" s="355"/>
      <c r="J106" s="355"/>
      <c r="K106" s="355"/>
      <c r="L106" s="355"/>
      <c r="M106" s="355"/>
      <c r="N106" s="355"/>
      <c r="O106" s="355"/>
      <c r="P106" s="355"/>
      <c r="Q106" s="355"/>
      <c r="R106" s="355"/>
      <c r="S106" s="355"/>
      <c r="T106" s="355"/>
      <c r="U106" s="355"/>
      <c r="V106" s="355"/>
      <c r="W106" s="355"/>
      <c r="X106" s="355"/>
      <c r="Y106" s="355"/>
      <c r="Z106" s="355"/>
      <c r="AA106" s="355"/>
      <c r="AB106" s="355"/>
      <c r="AC106" s="355"/>
      <c r="AD106" s="355"/>
      <c r="AE106" s="355"/>
      <c r="AF106" s="355"/>
      <c r="AG106" s="355"/>
      <c r="AH106" s="355"/>
      <c r="AI106" s="355"/>
      <c r="AJ106" s="355"/>
      <c r="AK106" s="355"/>
      <c r="AL106" s="355"/>
      <c r="AM106" s="355"/>
      <c r="AN106" s="355"/>
      <c r="AO106" s="355"/>
      <c r="AP106" s="355"/>
      <c r="AQ106" s="355"/>
      <c r="AR106" s="355"/>
      <c r="AS106" s="355"/>
      <c r="AT106" s="355"/>
      <c r="AU106" s="355"/>
      <c r="AV106" s="355"/>
      <c r="AW106" s="355"/>
      <c r="AX106" s="355"/>
      <c r="AY106" s="355"/>
      <c r="AZ106" s="355"/>
      <c r="BA106" s="355"/>
      <c r="BB106" s="355"/>
      <c r="BC106" s="355"/>
      <c r="BD106" s="355"/>
      <c r="BE106" s="355"/>
      <c r="BF106" s="355"/>
      <c r="BG106" s="355"/>
      <c r="BH106" s="355"/>
      <c r="BI106" s="355"/>
      <c r="BJ106" s="355"/>
      <c r="BK106" s="355"/>
      <c r="BL106" s="355"/>
      <c r="BM106" s="355"/>
      <c r="BN106" s="355"/>
      <c r="BO106" s="355"/>
      <c r="BP106" s="355"/>
      <c r="BQ106" s="355"/>
    </row>
    <row r="107">
      <c r="E107" s="354"/>
      <c r="F107" s="355"/>
      <c r="G107" s="355"/>
      <c r="H107" s="355"/>
      <c r="I107" s="355"/>
      <c r="J107" s="355"/>
      <c r="K107" s="355"/>
      <c r="L107" s="355"/>
      <c r="M107" s="355"/>
      <c r="N107" s="355"/>
      <c r="O107" s="355"/>
      <c r="P107" s="355"/>
      <c r="Q107" s="355"/>
      <c r="R107" s="355"/>
      <c r="S107" s="355"/>
      <c r="T107" s="355"/>
      <c r="U107" s="355"/>
      <c r="V107" s="355"/>
      <c r="W107" s="355"/>
      <c r="X107" s="355"/>
      <c r="Y107" s="355"/>
      <c r="Z107" s="355"/>
      <c r="AA107" s="355"/>
      <c r="AB107" s="355"/>
      <c r="AC107" s="355"/>
      <c r="AD107" s="355"/>
      <c r="AE107" s="355"/>
      <c r="AF107" s="355"/>
      <c r="AG107" s="355"/>
      <c r="AH107" s="355"/>
      <c r="AI107" s="355"/>
      <c r="AJ107" s="355"/>
      <c r="AK107" s="355"/>
      <c r="AL107" s="355"/>
      <c r="AM107" s="355"/>
      <c r="AN107" s="355"/>
      <c r="AO107" s="355"/>
      <c r="AP107" s="355"/>
      <c r="AQ107" s="355"/>
      <c r="AR107" s="355"/>
      <c r="AS107" s="355"/>
      <c r="AT107" s="355"/>
      <c r="AU107" s="355"/>
      <c r="AV107" s="355"/>
      <c r="AW107" s="355"/>
      <c r="AX107" s="355"/>
      <c r="AY107" s="355"/>
      <c r="AZ107" s="355"/>
      <c r="BA107" s="355"/>
      <c r="BB107" s="355"/>
      <c r="BC107" s="355"/>
      <c r="BD107" s="355"/>
      <c r="BE107" s="355"/>
      <c r="BF107" s="355"/>
      <c r="BG107" s="355"/>
      <c r="BH107" s="355"/>
      <c r="BI107" s="355"/>
      <c r="BJ107" s="355"/>
      <c r="BK107" s="355"/>
      <c r="BL107" s="355"/>
      <c r="BM107" s="355"/>
      <c r="BN107" s="355"/>
      <c r="BO107" s="355"/>
      <c r="BP107" s="355"/>
      <c r="BQ107" s="355"/>
    </row>
    <row r="108">
      <c r="E108" s="354"/>
      <c r="F108" s="355"/>
      <c r="G108" s="355"/>
      <c r="H108" s="355"/>
      <c r="I108" s="355"/>
      <c r="J108" s="355"/>
      <c r="K108" s="355"/>
      <c r="L108" s="355"/>
      <c r="M108" s="355"/>
      <c r="N108" s="355"/>
      <c r="O108" s="355"/>
      <c r="P108" s="355"/>
      <c r="Q108" s="355"/>
      <c r="R108" s="355"/>
      <c r="S108" s="355"/>
      <c r="T108" s="355"/>
      <c r="U108" s="355"/>
      <c r="V108" s="355"/>
      <c r="W108" s="355"/>
      <c r="X108" s="355"/>
      <c r="Y108" s="355"/>
      <c r="Z108" s="355"/>
      <c r="AA108" s="355"/>
      <c r="AB108" s="355"/>
      <c r="AC108" s="355"/>
      <c r="AD108" s="355"/>
      <c r="AE108" s="355"/>
      <c r="AF108" s="355"/>
      <c r="AG108" s="355"/>
      <c r="AH108" s="355"/>
      <c r="AI108" s="355"/>
      <c r="AJ108" s="355"/>
      <c r="AK108" s="355"/>
      <c r="AL108" s="355"/>
      <c r="AM108" s="355"/>
      <c r="AN108" s="355"/>
      <c r="AO108" s="355"/>
      <c r="AP108" s="355"/>
      <c r="AQ108" s="355"/>
      <c r="AR108" s="355"/>
      <c r="AS108" s="355"/>
      <c r="AT108" s="355"/>
      <c r="AU108" s="355"/>
      <c r="AV108" s="355"/>
      <c r="AW108" s="355"/>
      <c r="AX108" s="355"/>
      <c r="AY108" s="355"/>
      <c r="AZ108" s="355"/>
      <c r="BA108" s="355"/>
      <c r="BB108" s="355"/>
      <c r="BC108" s="355"/>
      <c r="BD108" s="355"/>
      <c r="BE108" s="355"/>
      <c r="BF108" s="355"/>
      <c r="BG108" s="355"/>
      <c r="BH108" s="355"/>
      <c r="BI108" s="355"/>
      <c r="BJ108" s="355"/>
      <c r="BK108" s="355"/>
      <c r="BL108" s="355"/>
      <c r="BM108" s="355"/>
      <c r="BN108" s="355"/>
      <c r="BO108" s="355"/>
      <c r="BP108" s="355"/>
      <c r="BQ108" s="355"/>
    </row>
    <row r="109">
      <c r="E109" s="354"/>
      <c r="F109" s="355"/>
      <c r="G109" s="355"/>
      <c r="H109" s="355"/>
      <c r="I109" s="355"/>
      <c r="J109" s="355"/>
      <c r="K109" s="355"/>
      <c r="L109" s="355"/>
      <c r="M109" s="355"/>
      <c r="N109" s="355"/>
      <c r="O109" s="355"/>
      <c r="P109" s="355"/>
      <c r="Q109" s="355"/>
      <c r="R109" s="355"/>
      <c r="S109" s="355"/>
      <c r="T109" s="355"/>
      <c r="U109" s="355"/>
      <c r="V109" s="355"/>
      <c r="W109" s="355"/>
      <c r="X109" s="355"/>
      <c r="Y109" s="355"/>
      <c r="Z109" s="355"/>
      <c r="AA109" s="355"/>
      <c r="AB109" s="355"/>
      <c r="AC109" s="355"/>
      <c r="AD109" s="355"/>
      <c r="AE109" s="355"/>
      <c r="AF109" s="355"/>
      <c r="AG109" s="355"/>
      <c r="AH109" s="355"/>
      <c r="AI109" s="355"/>
      <c r="AJ109" s="355"/>
      <c r="AK109" s="355"/>
      <c r="AL109" s="355"/>
      <c r="AM109" s="355"/>
      <c r="AN109" s="355"/>
      <c r="AO109" s="355"/>
      <c r="AP109" s="355"/>
      <c r="AQ109" s="355"/>
      <c r="AR109" s="355"/>
      <c r="AS109" s="355"/>
      <c r="AT109" s="355"/>
      <c r="AU109" s="355"/>
      <c r="AV109" s="355"/>
      <c r="AW109" s="355"/>
      <c r="AX109" s="355"/>
      <c r="AY109" s="355"/>
      <c r="AZ109" s="355"/>
      <c r="BA109" s="355"/>
      <c r="BB109" s="355"/>
      <c r="BC109" s="355"/>
      <c r="BD109" s="355"/>
      <c r="BE109" s="355"/>
      <c r="BF109" s="355"/>
      <c r="BG109" s="355"/>
      <c r="BH109" s="355"/>
      <c r="BI109" s="355"/>
      <c r="BJ109" s="355"/>
      <c r="BK109" s="355"/>
      <c r="BL109" s="355"/>
      <c r="BM109" s="355"/>
      <c r="BN109" s="355"/>
      <c r="BO109" s="355"/>
      <c r="BP109" s="355"/>
      <c r="BQ109" s="355"/>
    </row>
    <row r="110">
      <c r="E110" s="354"/>
      <c r="F110" s="355"/>
      <c r="G110" s="355"/>
      <c r="H110" s="355"/>
      <c r="I110" s="355"/>
      <c r="J110" s="355"/>
      <c r="K110" s="355"/>
      <c r="L110" s="355"/>
      <c r="M110" s="355"/>
      <c r="N110" s="355"/>
      <c r="O110" s="355"/>
      <c r="P110" s="355"/>
      <c r="Q110" s="355"/>
      <c r="R110" s="355"/>
      <c r="S110" s="355"/>
      <c r="T110" s="355"/>
      <c r="U110" s="355"/>
      <c r="V110" s="355"/>
      <c r="W110" s="355"/>
      <c r="X110" s="355"/>
      <c r="Y110" s="355"/>
      <c r="Z110" s="355"/>
      <c r="AA110" s="355"/>
      <c r="AB110" s="355"/>
      <c r="AC110" s="355"/>
      <c r="AD110" s="355"/>
      <c r="AE110" s="355"/>
      <c r="AF110" s="355"/>
      <c r="AG110" s="355"/>
      <c r="AH110" s="355"/>
      <c r="AI110" s="355"/>
      <c r="AJ110" s="355"/>
      <c r="AK110" s="355"/>
      <c r="AL110" s="355"/>
      <c r="AM110" s="355"/>
      <c r="AN110" s="355"/>
      <c r="AO110" s="355"/>
      <c r="AP110" s="355"/>
      <c r="AQ110" s="355"/>
      <c r="AR110" s="355"/>
      <c r="AS110" s="355"/>
      <c r="AT110" s="355"/>
      <c r="AU110" s="355"/>
      <c r="AV110" s="355"/>
      <c r="AW110" s="355"/>
      <c r="AX110" s="355"/>
      <c r="AY110" s="355"/>
      <c r="AZ110" s="355"/>
      <c r="BA110" s="355"/>
      <c r="BB110" s="355"/>
      <c r="BC110" s="355"/>
      <c r="BD110" s="355"/>
      <c r="BE110" s="355"/>
      <c r="BF110" s="355"/>
      <c r="BG110" s="355"/>
      <c r="BH110" s="355"/>
      <c r="BI110" s="355"/>
      <c r="BJ110" s="355"/>
      <c r="BK110" s="355"/>
      <c r="BL110" s="355"/>
      <c r="BM110" s="355"/>
      <c r="BN110" s="355"/>
      <c r="BO110" s="355"/>
      <c r="BP110" s="355"/>
      <c r="BQ110" s="355"/>
    </row>
    <row r="111">
      <c r="E111" s="354"/>
      <c r="F111" s="355"/>
      <c r="G111" s="355"/>
      <c r="H111" s="355"/>
      <c r="I111" s="355"/>
      <c r="J111" s="355"/>
      <c r="K111" s="355"/>
      <c r="L111" s="355"/>
      <c r="M111" s="355"/>
      <c r="N111" s="355"/>
      <c r="O111" s="355"/>
      <c r="P111" s="355"/>
      <c r="Q111" s="355"/>
      <c r="R111" s="355"/>
      <c r="S111" s="355"/>
      <c r="T111" s="355"/>
      <c r="U111" s="355"/>
      <c r="V111" s="355"/>
      <c r="W111" s="355"/>
      <c r="X111" s="355"/>
      <c r="Y111" s="355"/>
      <c r="Z111" s="355"/>
      <c r="AA111" s="355"/>
      <c r="AB111" s="355"/>
      <c r="AC111" s="355"/>
      <c r="AD111" s="355"/>
      <c r="AE111" s="355"/>
      <c r="AF111" s="355"/>
      <c r="AG111" s="355"/>
      <c r="AH111" s="355"/>
      <c r="AI111" s="355"/>
      <c r="AJ111" s="355"/>
      <c r="AK111" s="355"/>
      <c r="AL111" s="355"/>
      <c r="AM111" s="355"/>
      <c r="AN111" s="355"/>
      <c r="AO111" s="355"/>
      <c r="AP111" s="355"/>
      <c r="AQ111" s="355"/>
      <c r="AR111" s="355"/>
      <c r="AS111" s="355"/>
      <c r="AT111" s="355"/>
      <c r="AU111" s="355"/>
      <c r="AV111" s="355"/>
      <c r="AW111" s="355"/>
      <c r="AX111" s="355"/>
      <c r="AY111" s="355"/>
      <c r="AZ111" s="355"/>
      <c r="BA111" s="355"/>
      <c r="BB111" s="355"/>
      <c r="BC111" s="355"/>
      <c r="BD111" s="355"/>
      <c r="BE111" s="355"/>
      <c r="BF111" s="355"/>
      <c r="BG111" s="355"/>
      <c r="BH111" s="355"/>
      <c r="BI111" s="355"/>
      <c r="BJ111" s="355"/>
      <c r="BK111" s="355"/>
      <c r="BL111" s="355"/>
      <c r="BM111" s="355"/>
      <c r="BN111" s="355"/>
      <c r="BO111" s="355"/>
      <c r="BP111" s="355"/>
      <c r="BQ111" s="355"/>
    </row>
    <row r="112">
      <c r="E112" s="354"/>
      <c r="F112" s="355"/>
      <c r="G112" s="355"/>
      <c r="H112" s="355"/>
      <c r="I112" s="355"/>
      <c r="J112" s="355"/>
      <c r="K112" s="355"/>
      <c r="L112" s="355"/>
      <c r="M112" s="355"/>
      <c r="N112" s="355"/>
      <c r="O112" s="355"/>
      <c r="P112" s="355"/>
      <c r="Q112" s="355"/>
      <c r="R112" s="355"/>
      <c r="S112" s="355"/>
      <c r="T112" s="355"/>
      <c r="U112" s="355"/>
      <c r="V112" s="355"/>
      <c r="W112" s="355"/>
      <c r="X112" s="355"/>
      <c r="Y112" s="355"/>
      <c r="Z112" s="355"/>
      <c r="AA112" s="355"/>
      <c r="AB112" s="355"/>
      <c r="AC112" s="355"/>
      <c r="AD112" s="355"/>
      <c r="AE112" s="355"/>
      <c r="AF112" s="355"/>
      <c r="AG112" s="355"/>
      <c r="AH112" s="355"/>
      <c r="AI112" s="355"/>
      <c r="AJ112" s="355"/>
      <c r="AK112" s="355"/>
      <c r="AL112" s="355"/>
      <c r="AM112" s="355"/>
      <c r="AN112" s="355"/>
      <c r="AO112" s="355"/>
      <c r="AP112" s="355"/>
      <c r="AQ112" s="355"/>
      <c r="AR112" s="355"/>
      <c r="AS112" s="355"/>
      <c r="AT112" s="355"/>
      <c r="AU112" s="355"/>
      <c r="AV112" s="355"/>
      <c r="AW112" s="355"/>
      <c r="AX112" s="355"/>
      <c r="AY112" s="355"/>
      <c r="AZ112" s="355"/>
      <c r="BA112" s="355"/>
      <c r="BB112" s="355"/>
      <c r="BC112" s="355"/>
      <c r="BD112" s="355"/>
      <c r="BE112" s="355"/>
      <c r="BF112" s="355"/>
      <c r="BG112" s="355"/>
      <c r="BH112" s="355"/>
      <c r="BI112" s="355"/>
      <c r="BJ112" s="355"/>
      <c r="BK112" s="355"/>
      <c r="BL112" s="355"/>
      <c r="BM112" s="355"/>
      <c r="BN112" s="355"/>
      <c r="BO112" s="355"/>
      <c r="BP112" s="355"/>
      <c r="BQ112" s="355"/>
    </row>
    <row r="113">
      <c r="E113" s="354"/>
      <c r="F113" s="355"/>
      <c r="G113" s="355"/>
      <c r="H113" s="355"/>
      <c r="I113" s="355"/>
      <c r="J113" s="355"/>
      <c r="K113" s="355"/>
      <c r="L113" s="355"/>
      <c r="M113" s="355"/>
      <c r="N113" s="355"/>
      <c r="O113" s="355"/>
      <c r="P113" s="355"/>
      <c r="Q113" s="355"/>
      <c r="R113" s="355"/>
      <c r="S113" s="355"/>
      <c r="T113" s="355"/>
      <c r="U113" s="355"/>
      <c r="V113" s="355"/>
      <c r="W113" s="355"/>
      <c r="X113" s="355"/>
      <c r="Y113" s="355"/>
      <c r="Z113" s="355"/>
      <c r="AA113" s="355"/>
      <c r="AB113" s="355"/>
      <c r="AC113" s="355"/>
      <c r="AD113" s="355"/>
      <c r="AE113" s="355"/>
      <c r="AF113" s="355"/>
      <c r="AG113" s="355"/>
      <c r="AH113" s="355"/>
      <c r="AI113" s="355"/>
      <c r="AJ113" s="355"/>
      <c r="AK113" s="355"/>
      <c r="AL113" s="355"/>
      <c r="AM113" s="355"/>
      <c r="AN113" s="355"/>
      <c r="AO113" s="355"/>
      <c r="AP113" s="355"/>
      <c r="AQ113" s="355"/>
      <c r="AR113" s="355"/>
      <c r="AS113" s="355"/>
      <c r="AT113" s="355"/>
      <c r="AU113" s="355"/>
      <c r="AV113" s="355"/>
      <c r="AW113" s="355"/>
      <c r="AX113" s="355"/>
      <c r="AY113" s="355"/>
      <c r="AZ113" s="355"/>
      <c r="BA113" s="355"/>
      <c r="BB113" s="355"/>
      <c r="BC113" s="355"/>
      <c r="BD113" s="355"/>
      <c r="BE113" s="355"/>
      <c r="BF113" s="355"/>
      <c r="BG113" s="355"/>
      <c r="BH113" s="355"/>
      <c r="BI113" s="355"/>
      <c r="BJ113" s="355"/>
      <c r="BK113" s="355"/>
      <c r="BL113" s="355"/>
      <c r="BM113" s="355"/>
      <c r="BN113" s="355"/>
      <c r="BO113" s="355"/>
      <c r="BP113" s="355"/>
      <c r="BQ113" s="355"/>
    </row>
    <row r="114">
      <c r="E114" s="354"/>
      <c r="F114" s="355"/>
      <c r="G114" s="355"/>
      <c r="H114" s="355"/>
      <c r="I114" s="355"/>
      <c r="J114" s="355"/>
      <c r="K114" s="355"/>
      <c r="L114" s="355"/>
      <c r="M114" s="355"/>
      <c r="N114" s="355"/>
      <c r="O114" s="355"/>
      <c r="P114" s="355"/>
      <c r="Q114" s="355"/>
      <c r="R114" s="355"/>
      <c r="S114" s="355"/>
      <c r="T114" s="355"/>
      <c r="U114" s="355"/>
      <c r="V114" s="355"/>
      <c r="W114" s="355"/>
      <c r="X114" s="355"/>
      <c r="Y114" s="355"/>
      <c r="Z114" s="355"/>
      <c r="AA114" s="355"/>
      <c r="AB114" s="355"/>
      <c r="AC114" s="355"/>
      <c r="AD114" s="355"/>
      <c r="AE114" s="355"/>
      <c r="AF114" s="355"/>
      <c r="AG114" s="355"/>
      <c r="AH114" s="355"/>
      <c r="AI114" s="355"/>
      <c r="AJ114" s="355"/>
      <c r="AK114" s="355"/>
      <c r="AL114" s="355"/>
      <c r="AM114" s="355"/>
      <c r="AN114" s="355"/>
      <c r="AO114" s="355"/>
      <c r="AP114" s="355"/>
      <c r="AQ114" s="355"/>
      <c r="AR114" s="355"/>
      <c r="AS114" s="355"/>
      <c r="AT114" s="355"/>
      <c r="AU114" s="355"/>
      <c r="AV114" s="355"/>
      <c r="AW114" s="355"/>
      <c r="AX114" s="355"/>
      <c r="AY114" s="355"/>
      <c r="AZ114" s="355"/>
      <c r="BA114" s="355"/>
      <c r="BB114" s="355"/>
      <c r="BC114" s="355"/>
      <c r="BD114" s="355"/>
      <c r="BE114" s="355"/>
      <c r="BF114" s="355"/>
      <c r="BG114" s="355"/>
      <c r="BH114" s="355"/>
      <c r="BI114" s="355"/>
      <c r="BJ114" s="355"/>
      <c r="BK114" s="355"/>
      <c r="BL114" s="355"/>
      <c r="BM114" s="355"/>
      <c r="BN114" s="355"/>
      <c r="BO114" s="355"/>
      <c r="BP114" s="355"/>
      <c r="BQ114" s="355"/>
    </row>
    <row r="115">
      <c r="E115" s="354"/>
      <c r="F115" s="355"/>
      <c r="G115" s="355"/>
      <c r="H115" s="355"/>
      <c r="I115" s="355"/>
      <c r="J115" s="355"/>
      <c r="K115" s="355"/>
      <c r="L115" s="355"/>
      <c r="M115" s="355"/>
      <c r="N115" s="355"/>
      <c r="O115" s="355"/>
      <c r="P115" s="355"/>
      <c r="Q115" s="355"/>
      <c r="R115" s="355"/>
      <c r="S115" s="355"/>
      <c r="T115" s="355"/>
      <c r="U115" s="355"/>
      <c r="V115" s="355"/>
      <c r="W115" s="355"/>
      <c r="X115" s="355"/>
      <c r="Y115" s="355"/>
      <c r="Z115" s="355"/>
      <c r="AA115" s="355"/>
      <c r="AB115" s="355"/>
      <c r="AC115" s="355"/>
      <c r="AD115" s="355"/>
      <c r="AE115" s="355"/>
      <c r="AF115" s="355"/>
      <c r="AG115" s="355"/>
      <c r="AH115" s="355"/>
      <c r="AI115" s="355"/>
      <c r="AJ115" s="355"/>
      <c r="AK115" s="355"/>
      <c r="AL115" s="355"/>
      <c r="AM115" s="355"/>
      <c r="AN115" s="355"/>
      <c r="AO115" s="355"/>
      <c r="AP115" s="355"/>
      <c r="AQ115" s="355"/>
      <c r="AR115" s="355"/>
      <c r="AS115" s="355"/>
      <c r="AT115" s="355"/>
      <c r="AU115" s="355"/>
      <c r="AV115" s="355"/>
      <c r="AW115" s="355"/>
      <c r="AX115" s="355"/>
      <c r="AY115" s="355"/>
      <c r="AZ115" s="355"/>
      <c r="BA115" s="355"/>
      <c r="BB115" s="355"/>
      <c r="BC115" s="355"/>
      <c r="BD115" s="355"/>
      <c r="BE115" s="355"/>
      <c r="BF115" s="355"/>
      <c r="BG115" s="355"/>
      <c r="BH115" s="355"/>
      <c r="BI115" s="355"/>
      <c r="BJ115" s="355"/>
      <c r="BK115" s="355"/>
      <c r="BL115" s="355"/>
      <c r="BM115" s="355"/>
      <c r="BN115" s="355"/>
      <c r="BO115" s="355"/>
      <c r="BP115" s="355"/>
      <c r="BQ115" s="355"/>
    </row>
    <row r="116">
      <c r="E116" s="354"/>
      <c r="F116" s="355"/>
      <c r="G116" s="355"/>
      <c r="H116" s="355"/>
      <c r="I116" s="355"/>
      <c r="J116" s="355"/>
      <c r="K116" s="355"/>
      <c r="L116" s="355"/>
      <c r="M116" s="355"/>
      <c r="N116" s="355"/>
      <c r="O116" s="355"/>
      <c r="P116" s="355"/>
      <c r="Q116" s="355"/>
      <c r="R116" s="355"/>
      <c r="S116" s="355"/>
      <c r="T116" s="355"/>
      <c r="U116" s="355"/>
      <c r="V116" s="355"/>
      <c r="W116" s="355"/>
      <c r="X116" s="355"/>
      <c r="Y116" s="355"/>
      <c r="Z116" s="355"/>
      <c r="AA116" s="355"/>
      <c r="AB116" s="355"/>
      <c r="AC116" s="355"/>
      <c r="AD116" s="355"/>
      <c r="AE116" s="355"/>
      <c r="AF116" s="355"/>
      <c r="AG116" s="355"/>
      <c r="AH116" s="355"/>
      <c r="AI116" s="355"/>
      <c r="AJ116" s="355"/>
      <c r="AK116" s="355"/>
      <c r="AL116" s="355"/>
      <c r="AM116" s="355"/>
      <c r="AN116" s="355"/>
      <c r="AO116" s="355"/>
      <c r="AP116" s="355"/>
      <c r="AQ116" s="355"/>
      <c r="AR116" s="355"/>
      <c r="AS116" s="355"/>
      <c r="AT116" s="355"/>
      <c r="AU116" s="355"/>
      <c r="AV116" s="355"/>
      <c r="AW116" s="355"/>
      <c r="AX116" s="355"/>
      <c r="AY116" s="355"/>
      <c r="AZ116" s="355"/>
      <c r="BA116" s="355"/>
      <c r="BB116" s="355"/>
      <c r="BC116" s="355"/>
      <c r="BD116" s="355"/>
      <c r="BE116" s="355"/>
      <c r="BF116" s="355"/>
      <c r="BG116" s="355"/>
      <c r="BH116" s="355"/>
      <c r="BI116" s="355"/>
      <c r="BJ116" s="355"/>
      <c r="BK116" s="355"/>
      <c r="BL116" s="355"/>
      <c r="BM116" s="355"/>
      <c r="BN116" s="355"/>
      <c r="BO116" s="355"/>
      <c r="BP116" s="355"/>
      <c r="BQ116" s="355"/>
    </row>
    <row r="117">
      <c r="E117" s="354"/>
      <c r="F117" s="355"/>
      <c r="G117" s="355"/>
      <c r="H117" s="355"/>
      <c r="I117" s="355"/>
      <c r="J117" s="355"/>
      <c r="K117" s="355"/>
      <c r="L117" s="355"/>
      <c r="M117" s="355"/>
      <c r="N117" s="355"/>
      <c r="O117" s="355"/>
      <c r="P117" s="355"/>
      <c r="Q117" s="355"/>
      <c r="R117" s="355"/>
      <c r="S117" s="355"/>
      <c r="T117" s="355"/>
      <c r="U117" s="355"/>
      <c r="V117" s="355"/>
      <c r="W117" s="355"/>
      <c r="X117" s="355"/>
      <c r="Y117" s="355"/>
      <c r="Z117" s="355"/>
      <c r="AA117" s="355"/>
      <c r="AB117" s="355"/>
      <c r="AC117" s="355"/>
      <c r="AD117" s="355"/>
      <c r="AE117" s="355"/>
      <c r="AF117" s="355"/>
      <c r="AG117" s="355"/>
      <c r="AH117" s="355"/>
      <c r="AI117" s="355"/>
      <c r="AJ117" s="355"/>
      <c r="AK117" s="355"/>
      <c r="AL117" s="355"/>
      <c r="AM117" s="355"/>
      <c r="AN117" s="355"/>
      <c r="AO117" s="355"/>
      <c r="AP117" s="355"/>
      <c r="AQ117" s="355"/>
      <c r="AR117" s="355"/>
      <c r="AS117" s="355"/>
      <c r="AT117" s="355"/>
      <c r="AU117" s="355"/>
      <c r="AV117" s="355"/>
      <c r="AW117" s="355"/>
      <c r="AX117" s="355"/>
      <c r="AY117" s="355"/>
      <c r="AZ117" s="355"/>
      <c r="BA117" s="355"/>
      <c r="BB117" s="355"/>
      <c r="BC117" s="355"/>
      <c r="BD117" s="355"/>
      <c r="BE117" s="355"/>
      <c r="BF117" s="355"/>
      <c r="BG117" s="355"/>
      <c r="BH117" s="355"/>
      <c r="BI117" s="355"/>
      <c r="BJ117" s="355"/>
      <c r="BK117" s="355"/>
      <c r="BL117" s="355"/>
      <c r="BM117" s="355"/>
      <c r="BN117" s="355"/>
      <c r="BO117" s="355"/>
      <c r="BP117" s="355"/>
      <c r="BQ117" s="355"/>
    </row>
    <row r="118">
      <c r="E118" s="354"/>
      <c r="F118" s="355"/>
      <c r="G118" s="355"/>
      <c r="H118" s="355"/>
      <c r="I118" s="355"/>
      <c r="J118" s="355"/>
      <c r="K118" s="355"/>
      <c r="L118" s="355"/>
      <c r="M118" s="355"/>
      <c r="N118" s="355"/>
      <c r="O118" s="355"/>
      <c r="P118" s="355"/>
      <c r="Q118" s="355"/>
      <c r="R118" s="355"/>
      <c r="S118" s="355"/>
      <c r="T118" s="355"/>
      <c r="U118" s="355"/>
      <c r="V118" s="355"/>
      <c r="W118" s="355"/>
      <c r="X118" s="355"/>
      <c r="Y118" s="355"/>
      <c r="Z118" s="355"/>
      <c r="AA118" s="355"/>
      <c r="AB118" s="355"/>
      <c r="AC118" s="355"/>
      <c r="AD118" s="355"/>
      <c r="AE118" s="355"/>
      <c r="AF118" s="355"/>
      <c r="AG118" s="355"/>
      <c r="AH118" s="355"/>
      <c r="AI118" s="355"/>
      <c r="AJ118" s="355"/>
      <c r="AK118" s="355"/>
      <c r="AL118" s="355"/>
      <c r="AM118" s="355"/>
      <c r="AN118" s="355"/>
      <c r="AO118" s="355"/>
      <c r="AP118" s="355"/>
      <c r="AQ118" s="355"/>
      <c r="AR118" s="355"/>
      <c r="AS118" s="355"/>
      <c r="AT118" s="355"/>
      <c r="AU118" s="355"/>
      <c r="AV118" s="355"/>
      <c r="AW118" s="355"/>
      <c r="AX118" s="355"/>
      <c r="AY118" s="355"/>
      <c r="AZ118" s="355"/>
      <c r="BA118" s="355"/>
      <c r="BB118" s="355"/>
      <c r="BC118" s="355"/>
      <c r="BD118" s="355"/>
      <c r="BE118" s="355"/>
      <c r="BF118" s="355"/>
      <c r="BG118" s="355"/>
      <c r="BH118" s="355"/>
      <c r="BI118" s="355"/>
      <c r="BJ118" s="355"/>
      <c r="BK118" s="355"/>
      <c r="BL118" s="355"/>
      <c r="BM118" s="355"/>
      <c r="BN118" s="355"/>
      <c r="BO118" s="355"/>
      <c r="BP118" s="355"/>
      <c r="BQ118" s="355"/>
    </row>
    <row r="119">
      <c r="E119" s="354"/>
      <c r="F119" s="355"/>
      <c r="G119" s="355"/>
      <c r="H119" s="355"/>
      <c r="I119" s="355"/>
      <c r="J119" s="355"/>
      <c r="K119" s="355"/>
      <c r="L119" s="355"/>
      <c r="M119" s="355"/>
      <c r="N119" s="355"/>
      <c r="O119" s="355"/>
      <c r="P119" s="355"/>
      <c r="Q119" s="355"/>
      <c r="R119" s="355"/>
      <c r="S119" s="355"/>
      <c r="T119" s="355"/>
      <c r="U119" s="355"/>
      <c r="V119" s="355"/>
      <c r="W119" s="355"/>
      <c r="X119" s="355"/>
      <c r="Y119" s="355"/>
      <c r="Z119" s="355"/>
      <c r="AA119" s="355"/>
      <c r="AB119" s="355"/>
      <c r="AC119" s="355"/>
      <c r="AD119" s="355"/>
      <c r="AE119" s="355"/>
      <c r="AF119" s="355"/>
      <c r="AG119" s="355"/>
      <c r="AH119" s="355"/>
      <c r="AI119" s="355"/>
      <c r="AJ119" s="355"/>
      <c r="AK119" s="355"/>
      <c r="AL119" s="355"/>
      <c r="AM119" s="355"/>
      <c r="AN119" s="355"/>
      <c r="AO119" s="355"/>
      <c r="AP119" s="355"/>
      <c r="AQ119" s="355"/>
      <c r="AR119" s="355"/>
      <c r="AS119" s="355"/>
      <c r="AT119" s="355"/>
      <c r="AU119" s="355"/>
      <c r="AV119" s="355"/>
      <c r="AW119" s="355"/>
      <c r="AX119" s="355"/>
      <c r="AY119" s="355"/>
      <c r="AZ119" s="355"/>
      <c r="BA119" s="355"/>
      <c r="BB119" s="355"/>
      <c r="BC119" s="355"/>
      <c r="BD119" s="355"/>
      <c r="BE119" s="355"/>
      <c r="BF119" s="355"/>
      <c r="BG119" s="355"/>
      <c r="BH119" s="355"/>
      <c r="BI119" s="355"/>
      <c r="BJ119" s="355"/>
      <c r="BK119" s="355"/>
      <c r="BL119" s="355"/>
      <c r="BM119" s="355"/>
      <c r="BN119" s="355"/>
      <c r="BO119" s="355"/>
      <c r="BP119" s="355"/>
      <c r="BQ119" s="355"/>
    </row>
    <row r="120">
      <c r="E120" s="354"/>
      <c r="F120" s="355"/>
      <c r="G120" s="355"/>
      <c r="H120" s="355"/>
      <c r="I120" s="355"/>
      <c r="J120" s="355"/>
      <c r="K120" s="355"/>
      <c r="L120" s="355"/>
      <c r="M120" s="355"/>
      <c r="N120" s="355"/>
      <c r="O120" s="355"/>
      <c r="P120" s="355"/>
      <c r="Q120" s="355"/>
      <c r="R120" s="355"/>
      <c r="S120" s="355"/>
      <c r="T120" s="355"/>
      <c r="U120" s="355"/>
      <c r="V120" s="355"/>
      <c r="W120" s="355"/>
      <c r="X120" s="355"/>
      <c r="Y120" s="355"/>
      <c r="Z120" s="355"/>
      <c r="AA120" s="355"/>
      <c r="AB120" s="355"/>
      <c r="AC120" s="355"/>
      <c r="AD120" s="355"/>
      <c r="AE120" s="355"/>
      <c r="AF120" s="355"/>
      <c r="AG120" s="355"/>
      <c r="AH120" s="355"/>
      <c r="AI120" s="355"/>
      <c r="AJ120" s="355"/>
      <c r="AK120" s="355"/>
      <c r="AL120" s="355"/>
      <c r="AM120" s="355"/>
      <c r="AN120" s="355"/>
      <c r="AO120" s="355"/>
      <c r="AP120" s="355"/>
      <c r="AQ120" s="355"/>
      <c r="AR120" s="355"/>
      <c r="AS120" s="355"/>
      <c r="AT120" s="355"/>
      <c r="AU120" s="355"/>
      <c r="AV120" s="355"/>
      <c r="AW120" s="355"/>
      <c r="AX120" s="355"/>
      <c r="AY120" s="355"/>
      <c r="AZ120" s="355"/>
      <c r="BA120" s="355"/>
      <c r="BB120" s="355"/>
      <c r="BC120" s="355"/>
      <c r="BD120" s="355"/>
      <c r="BE120" s="355"/>
      <c r="BF120" s="355"/>
      <c r="BG120" s="355"/>
      <c r="BH120" s="355"/>
      <c r="BI120" s="355"/>
      <c r="BJ120" s="355"/>
      <c r="BK120" s="355"/>
      <c r="BL120" s="355"/>
      <c r="BM120" s="355"/>
      <c r="BN120" s="355"/>
      <c r="BO120" s="355"/>
      <c r="BP120" s="355"/>
      <c r="BQ120" s="355"/>
    </row>
    <row r="121">
      <c r="E121" s="354"/>
      <c r="F121" s="355"/>
      <c r="G121" s="355"/>
      <c r="H121" s="355"/>
      <c r="I121" s="355"/>
      <c r="J121" s="355"/>
      <c r="K121" s="355"/>
      <c r="L121" s="355"/>
      <c r="M121" s="355"/>
      <c r="N121" s="355"/>
      <c r="O121" s="355"/>
      <c r="P121" s="355"/>
      <c r="Q121" s="355"/>
      <c r="R121" s="355"/>
      <c r="S121" s="355"/>
      <c r="T121" s="355"/>
      <c r="U121" s="355"/>
      <c r="V121" s="355"/>
      <c r="W121" s="355"/>
      <c r="X121" s="355"/>
      <c r="Y121" s="355"/>
      <c r="Z121" s="355"/>
      <c r="AA121" s="355"/>
      <c r="AB121" s="355"/>
      <c r="AC121" s="355"/>
      <c r="AD121" s="355"/>
      <c r="AE121" s="355"/>
      <c r="AF121" s="355"/>
      <c r="AG121" s="355"/>
      <c r="AH121" s="355"/>
      <c r="AI121" s="355"/>
      <c r="AJ121" s="355"/>
      <c r="AK121" s="355"/>
      <c r="AL121" s="355"/>
      <c r="AM121" s="355"/>
      <c r="AN121" s="355"/>
      <c r="AO121" s="355"/>
      <c r="AP121" s="355"/>
      <c r="AQ121" s="355"/>
      <c r="AR121" s="355"/>
      <c r="AS121" s="355"/>
      <c r="AT121" s="355"/>
      <c r="AU121" s="355"/>
      <c r="AV121" s="355"/>
      <c r="AW121" s="355"/>
      <c r="AX121" s="355"/>
      <c r="AY121" s="355"/>
      <c r="AZ121" s="355"/>
      <c r="BA121" s="355"/>
      <c r="BB121" s="355"/>
      <c r="BC121" s="355"/>
      <c r="BD121" s="355"/>
      <c r="BE121" s="355"/>
      <c r="BF121" s="355"/>
      <c r="BG121" s="355"/>
      <c r="BH121" s="355"/>
      <c r="BI121" s="355"/>
      <c r="BJ121" s="355"/>
      <c r="BK121" s="355"/>
      <c r="BL121" s="355"/>
      <c r="BM121" s="355"/>
      <c r="BN121" s="355"/>
      <c r="BO121" s="355"/>
      <c r="BP121" s="355"/>
      <c r="BQ121" s="355"/>
    </row>
    <row r="122">
      <c r="E122" s="354"/>
      <c r="F122" s="355"/>
      <c r="G122" s="355"/>
      <c r="H122" s="355"/>
      <c r="I122" s="355"/>
      <c r="J122" s="355"/>
      <c r="K122" s="355"/>
      <c r="L122" s="355"/>
      <c r="M122" s="355"/>
      <c r="N122" s="355"/>
      <c r="O122" s="355"/>
      <c r="P122" s="355"/>
      <c r="Q122" s="355"/>
      <c r="R122" s="355"/>
      <c r="S122" s="355"/>
      <c r="T122" s="355"/>
      <c r="U122" s="355"/>
      <c r="V122" s="355"/>
      <c r="W122" s="355"/>
      <c r="X122" s="355"/>
      <c r="Y122" s="355"/>
      <c r="Z122" s="355"/>
      <c r="AA122" s="355"/>
      <c r="AB122" s="355"/>
      <c r="AC122" s="355"/>
      <c r="AD122" s="355"/>
      <c r="AE122" s="355"/>
      <c r="AF122" s="355"/>
      <c r="AG122" s="355"/>
      <c r="AH122" s="355"/>
      <c r="AI122" s="355"/>
      <c r="AJ122" s="355"/>
      <c r="AK122" s="355"/>
      <c r="AL122" s="355"/>
      <c r="AM122" s="355"/>
      <c r="AN122" s="355"/>
      <c r="AO122" s="355"/>
      <c r="AP122" s="355"/>
      <c r="AQ122" s="355"/>
      <c r="AR122" s="355"/>
      <c r="AS122" s="355"/>
      <c r="AT122" s="355"/>
      <c r="AU122" s="355"/>
      <c r="AV122" s="355"/>
      <c r="AW122" s="355"/>
      <c r="AX122" s="355"/>
      <c r="AY122" s="355"/>
      <c r="AZ122" s="355"/>
      <c r="BA122" s="355"/>
      <c r="BB122" s="355"/>
      <c r="BC122" s="355"/>
      <c r="BD122" s="355"/>
      <c r="BE122" s="355"/>
      <c r="BF122" s="355"/>
      <c r="BG122" s="355"/>
      <c r="BH122" s="355"/>
      <c r="BI122" s="355"/>
      <c r="BJ122" s="355"/>
      <c r="BK122" s="355"/>
      <c r="BL122" s="355"/>
      <c r="BM122" s="355"/>
      <c r="BN122" s="355"/>
      <c r="BO122" s="355"/>
      <c r="BP122" s="355"/>
      <c r="BQ122" s="355"/>
    </row>
    <row r="123">
      <c r="E123" s="354"/>
      <c r="F123" s="355"/>
      <c r="G123" s="355"/>
      <c r="H123" s="355"/>
      <c r="I123" s="355"/>
      <c r="J123" s="355"/>
      <c r="K123" s="355"/>
      <c r="L123" s="355"/>
      <c r="M123" s="355"/>
      <c r="N123" s="355"/>
      <c r="O123" s="355"/>
      <c r="P123" s="355"/>
      <c r="Q123" s="355"/>
      <c r="R123" s="355"/>
      <c r="S123" s="355"/>
      <c r="T123" s="355"/>
      <c r="U123" s="355"/>
      <c r="V123" s="355"/>
      <c r="W123" s="355"/>
      <c r="X123" s="355"/>
      <c r="Y123" s="355"/>
      <c r="Z123" s="355"/>
      <c r="AA123" s="355"/>
      <c r="AB123" s="355"/>
      <c r="AC123" s="355"/>
      <c r="AD123" s="355"/>
      <c r="AE123" s="355"/>
      <c r="AF123" s="355"/>
      <c r="AG123" s="355"/>
      <c r="AH123" s="355"/>
      <c r="AI123" s="355"/>
      <c r="AJ123" s="355"/>
      <c r="AK123" s="355"/>
      <c r="AL123" s="355"/>
      <c r="AM123" s="355"/>
      <c r="AN123" s="355"/>
      <c r="AO123" s="355"/>
      <c r="AP123" s="355"/>
      <c r="AQ123" s="355"/>
      <c r="AR123" s="355"/>
      <c r="AS123" s="355"/>
      <c r="AT123" s="355"/>
      <c r="AU123" s="355"/>
      <c r="AV123" s="355"/>
      <c r="AW123" s="355"/>
      <c r="AX123" s="355"/>
      <c r="AY123" s="355"/>
      <c r="AZ123" s="355"/>
      <c r="BA123" s="355"/>
      <c r="BB123" s="355"/>
      <c r="BC123" s="355"/>
      <c r="BD123" s="355"/>
      <c r="BE123" s="355"/>
      <c r="BF123" s="355"/>
      <c r="BG123" s="355"/>
      <c r="BH123" s="355"/>
      <c r="BI123" s="355"/>
      <c r="BJ123" s="355"/>
      <c r="BK123" s="355"/>
      <c r="BL123" s="355"/>
      <c r="BM123" s="355"/>
      <c r="BN123" s="355"/>
      <c r="BO123" s="355"/>
      <c r="BP123" s="355"/>
      <c r="BQ123" s="355"/>
    </row>
  </sheetData>
  <conditionalFormatting sqref="F13:BQ123">
    <cfRule type="containsBlanks" dxfId="15" priority="1">
      <formula>LEN(TRIM(F13))=0</formula>
    </cfRule>
  </conditionalFormatting>
  <conditionalFormatting sqref="F14:BQ15 F17:BQ18 F20:BQ21 F23:BQ24 F26:BQ123">
    <cfRule type="colorScale" priority="2">
      <colorScale>
        <cfvo type="min"/>
        <cfvo type="percentile" val="50"/>
        <cfvo type="max"/>
        <color rgb="FF57BB8A"/>
        <color rgb="FFFFD666"/>
        <color rgb="FFE67C73"/>
      </colorScale>
    </cfRule>
  </conditionalFormatting>
  <conditionalFormatting sqref="F11:BQ11">
    <cfRule type="colorScale" priority="3">
      <colorScale>
        <cfvo type="min"/>
        <cfvo type="max"/>
        <color rgb="FFFFFF00"/>
        <color rgb="FF4285F4"/>
      </colorScale>
    </cfRule>
  </conditionalFormatting>
  <conditionalFormatting sqref="F10:BQ10">
    <cfRule type="colorScale" priority="4">
      <colorScale>
        <cfvo type="min"/>
        <cfvo type="percentile" val="50"/>
        <cfvo type="max"/>
        <color rgb="FF57BB8A"/>
        <color rgb="FFFFD666"/>
        <color rgb="FFE67C73"/>
      </colorScale>
    </cfRule>
  </conditionalFormatting>
  <conditionalFormatting sqref="H15:BQ15 F18:BQ18 H21:BQ21 F24:BQ24 F27:BQ123">
    <cfRule type="notContainsBlanks" dxfId="16" priority="5">
      <formula>LEN(TRIM(H15))&gt;0</formula>
    </cfRule>
  </conditionalFormatting>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4" t="s">
        <v>1</v>
      </c>
      <c r="B1" s="4" t="s">
        <v>469</v>
      </c>
    </row>
    <row r="2">
      <c r="A2" s="12" t="s">
        <v>470</v>
      </c>
      <c r="B2" s="12" t="s">
        <v>471</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2" max="2" width="47.63"/>
    <col customWidth="1" min="8" max="8" width="14.75"/>
  </cols>
  <sheetData>
    <row r="1">
      <c r="A1" s="12" t="s">
        <v>21</v>
      </c>
      <c r="B1" s="12" t="s">
        <v>22</v>
      </c>
      <c r="C1" s="12" t="s">
        <v>23</v>
      </c>
      <c r="D1" s="12" t="s">
        <v>24</v>
      </c>
      <c r="E1" s="12" t="s">
        <v>25</v>
      </c>
      <c r="F1" s="12" t="s">
        <v>26</v>
      </c>
      <c r="G1" s="12" t="s">
        <v>27</v>
      </c>
      <c r="H1" s="12" t="s">
        <v>28</v>
      </c>
      <c r="I1" s="12" t="s">
        <v>324</v>
      </c>
      <c r="J1" s="357"/>
    </row>
    <row r="2">
      <c r="A2" s="12" t="s">
        <v>178</v>
      </c>
      <c r="B2" s="12" t="s">
        <v>178</v>
      </c>
      <c r="C2" s="12" t="s">
        <v>178</v>
      </c>
      <c r="D2" s="12" t="s">
        <v>96</v>
      </c>
      <c r="E2" s="12" t="s">
        <v>179</v>
      </c>
      <c r="F2" s="321">
        <v>1.0</v>
      </c>
      <c r="G2" s="12" t="s">
        <v>236</v>
      </c>
      <c r="H2" s="12" t="s">
        <v>262</v>
      </c>
      <c r="I2" s="321">
        <v>1.0</v>
      </c>
    </row>
    <row r="3">
      <c r="A3" s="12" t="s">
        <v>176</v>
      </c>
      <c r="B3" s="12" t="s">
        <v>176</v>
      </c>
      <c r="C3" s="12" t="s">
        <v>176</v>
      </c>
      <c r="D3" s="12" t="s">
        <v>96</v>
      </c>
      <c r="E3" s="12" t="s">
        <v>177</v>
      </c>
      <c r="F3" s="321">
        <v>1.0</v>
      </c>
      <c r="G3" s="12" t="s">
        <v>236</v>
      </c>
      <c r="H3" s="12" t="s">
        <v>262</v>
      </c>
      <c r="I3" s="321">
        <v>1.0</v>
      </c>
    </row>
    <row r="4">
      <c r="A4" s="12" t="s">
        <v>174</v>
      </c>
      <c r="B4" s="12" t="s">
        <v>174</v>
      </c>
      <c r="C4" s="12" t="s">
        <v>174</v>
      </c>
      <c r="D4" s="12" t="s">
        <v>96</v>
      </c>
      <c r="E4" s="12" t="s">
        <v>175</v>
      </c>
      <c r="F4" s="321">
        <v>1.0</v>
      </c>
      <c r="G4" s="12" t="s">
        <v>236</v>
      </c>
      <c r="H4" s="12" t="s">
        <v>262</v>
      </c>
      <c r="I4" s="321">
        <v>1.0</v>
      </c>
    </row>
    <row r="5">
      <c r="A5" s="12" t="s">
        <v>184</v>
      </c>
      <c r="B5" s="12" t="s">
        <v>184</v>
      </c>
      <c r="C5" s="12" t="s">
        <v>184</v>
      </c>
      <c r="D5" s="12" t="s">
        <v>96</v>
      </c>
      <c r="E5" s="12" t="s">
        <v>185</v>
      </c>
      <c r="F5" s="321">
        <v>1.0</v>
      </c>
      <c r="G5" s="12" t="s">
        <v>236</v>
      </c>
      <c r="H5" s="12" t="s">
        <v>262</v>
      </c>
      <c r="I5" s="321">
        <v>2.0</v>
      </c>
    </row>
    <row r="6">
      <c r="A6" s="12" t="s">
        <v>186</v>
      </c>
      <c r="B6" s="12" t="s">
        <v>186</v>
      </c>
      <c r="C6" s="12" t="s">
        <v>186</v>
      </c>
      <c r="D6" s="12" t="s">
        <v>96</v>
      </c>
      <c r="E6" s="12" t="s">
        <v>187</v>
      </c>
      <c r="F6" s="321">
        <v>1.0</v>
      </c>
      <c r="G6" s="12" t="s">
        <v>236</v>
      </c>
      <c r="H6" s="12" t="s">
        <v>262</v>
      </c>
      <c r="I6" s="321">
        <v>2.0</v>
      </c>
    </row>
    <row r="7">
      <c r="A7" s="12" t="s">
        <v>180</v>
      </c>
      <c r="B7" s="12" t="s">
        <v>180</v>
      </c>
      <c r="C7" s="12" t="s">
        <v>180</v>
      </c>
      <c r="D7" s="12" t="s">
        <v>96</v>
      </c>
      <c r="E7" s="12" t="s">
        <v>181</v>
      </c>
      <c r="F7" s="321">
        <v>1.0</v>
      </c>
      <c r="G7" s="12" t="s">
        <v>236</v>
      </c>
      <c r="H7" s="12" t="s">
        <v>262</v>
      </c>
      <c r="I7" s="321">
        <v>2.0</v>
      </c>
    </row>
    <row r="8">
      <c r="A8" s="12" t="s">
        <v>182</v>
      </c>
      <c r="B8" s="12" t="s">
        <v>182</v>
      </c>
      <c r="C8" s="12" t="s">
        <v>182</v>
      </c>
      <c r="D8" s="12" t="s">
        <v>96</v>
      </c>
      <c r="E8" s="12" t="s">
        <v>183</v>
      </c>
      <c r="F8" s="321">
        <v>1.0</v>
      </c>
      <c r="G8" s="12" t="s">
        <v>236</v>
      </c>
      <c r="H8" s="12" t="s">
        <v>262</v>
      </c>
      <c r="I8" s="321">
        <v>2.0</v>
      </c>
    </row>
    <row r="9">
      <c r="A9" s="12" t="s">
        <v>188</v>
      </c>
      <c r="B9" s="12" t="s">
        <v>188</v>
      </c>
      <c r="C9" s="12" t="s">
        <v>188</v>
      </c>
      <c r="D9" s="12" t="s">
        <v>96</v>
      </c>
      <c r="E9" s="12" t="s">
        <v>189</v>
      </c>
      <c r="F9" s="321">
        <v>1.0</v>
      </c>
      <c r="G9" s="12" t="s">
        <v>236</v>
      </c>
      <c r="H9" s="12" t="s">
        <v>262</v>
      </c>
      <c r="I9" s="321">
        <v>2.0</v>
      </c>
    </row>
    <row r="10">
      <c r="A10" s="12" t="s">
        <v>190</v>
      </c>
      <c r="B10" s="12" t="s">
        <v>190</v>
      </c>
      <c r="C10" s="12" t="s">
        <v>190</v>
      </c>
      <c r="D10" s="12" t="s">
        <v>96</v>
      </c>
      <c r="E10" s="12" t="s">
        <v>191</v>
      </c>
      <c r="F10" s="321">
        <v>1.0</v>
      </c>
      <c r="G10" s="12" t="s">
        <v>236</v>
      </c>
      <c r="H10" s="12" t="s">
        <v>262</v>
      </c>
      <c r="I10" s="321">
        <v>2.0</v>
      </c>
    </row>
    <row r="11">
      <c r="A11" s="12" t="s">
        <v>266</v>
      </c>
      <c r="B11" s="12" t="s">
        <v>194</v>
      </c>
      <c r="C11" s="12" t="s">
        <v>264</v>
      </c>
      <c r="D11" s="12" t="s">
        <v>96</v>
      </c>
      <c r="E11" s="12" t="s">
        <v>193</v>
      </c>
      <c r="F11" s="321">
        <v>1.0</v>
      </c>
      <c r="G11" s="12" t="s">
        <v>236</v>
      </c>
      <c r="H11" s="12" t="s">
        <v>265</v>
      </c>
      <c r="I11" s="321">
        <v>18.0</v>
      </c>
    </row>
    <row r="12">
      <c r="A12" s="12" t="s">
        <v>263</v>
      </c>
      <c r="B12" s="12" t="s">
        <v>192</v>
      </c>
      <c r="C12" s="12" t="s">
        <v>264</v>
      </c>
      <c r="D12" s="12" t="s">
        <v>96</v>
      </c>
      <c r="E12" s="12" t="s">
        <v>199</v>
      </c>
      <c r="F12" s="321">
        <v>1.0</v>
      </c>
      <c r="G12" s="12" t="s">
        <v>236</v>
      </c>
      <c r="H12" s="12" t="s">
        <v>265</v>
      </c>
      <c r="I12" s="321">
        <v>18.0</v>
      </c>
    </row>
    <row r="13">
      <c r="A13" s="12" t="s">
        <v>274</v>
      </c>
      <c r="B13" s="12" t="s">
        <v>11</v>
      </c>
      <c r="C13" s="12" t="s">
        <v>275</v>
      </c>
      <c r="D13" s="12" t="s">
        <v>96</v>
      </c>
      <c r="E13" s="12" t="s">
        <v>12</v>
      </c>
      <c r="F13" s="321">
        <v>1.0</v>
      </c>
      <c r="G13" s="12" t="s">
        <v>236</v>
      </c>
      <c r="H13" s="12" t="s">
        <v>265</v>
      </c>
      <c r="I13" s="321">
        <v>5.0</v>
      </c>
    </row>
    <row r="14">
      <c r="A14" s="12" t="s">
        <v>276</v>
      </c>
      <c r="B14" s="12" t="s">
        <v>11</v>
      </c>
      <c r="C14" s="12" t="s">
        <v>275</v>
      </c>
      <c r="D14" s="12" t="s">
        <v>96</v>
      </c>
      <c r="E14" s="12" t="s">
        <v>12</v>
      </c>
      <c r="F14" s="321">
        <v>1.0</v>
      </c>
      <c r="G14" s="12" t="s">
        <v>236</v>
      </c>
      <c r="H14" s="12" t="s">
        <v>265</v>
      </c>
      <c r="I14" s="321">
        <v>5.0</v>
      </c>
    </row>
    <row r="15">
      <c r="A15" s="12" t="s">
        <v>277</v>
      </c>
      <c r="B15" s="12" t="s">
        <v>11</v>
      </c>
      <c r="C15" s="12" t="s">
        <v>275</v>
      </c>
      <c r="D15" s="12" t="s">
        <v>96</v>
      </c>
      <c r="E15" s="12" t="s">
        <v>12</v>
      </c>
      <c r="F15" s="321">
        <v>2.0</v>
      </c>
      <c r="G15" s="12" t="s">
        <v>236</v>
      </c>
      <c r="H15" s="12" t="s">
        <v>265</v>
      </c>
      <c r="I15" s="321">
        <v>5.0</v>
      </c>
    </row>
    <row r="16">
      <c r="A16" s="12" t="s">
        <v>274</v>
      </c>
      <c r="B16" s="12" t="s">
        <v>16</v>
      </c>
      <c r="C16" s="12" t="s">
        <v>275</v>
      </c>
      <c r="D16" s="12" t="s">
        <v>96</v>
      </c>
      <c r="E16" s="12" t="s">
        <v>17</v>
      </c>
      <c r="F16" s="321">
        <v>0.0</v>
      </c>
      <c r="G16" s="12" t="s">
        <v>236</v>
      </c>
      <c r="H16" s="12" t="s">
        <v>265</v>
      </c>
      <c r="I16" s="321">
        <v>14.0</v>
      </c>
    </row>
    <row r="17">
      <c r="A17" s="12" t="s">
        <v>276</v>
      </c>
      <c r="B17" s="12" t="s">
        <v>16</v>
      </c>
      <c r="C17" s="12" t="s">
        <v>275</v>
      </c>
      <c r="D17" s="12" t="s">
        <v>96</v>
      </c>
      <c r="E17" s="12" t="s">
        <v>17</v>
      </c>
      <c r="F17" s="321">
        <v>1.0</v>
      </c>
      <c r="G17" s="12" t="s">
        <v>236</v>
      </c>
      <c r="H17" s="12" t="s">
        <v>265</v>
      </c>
      <c r="I17" s="321">
        <v>14.0</v>
      </c>
    </row>
    <row r="18">
      <c r="A18" s="12" t="s">
        <v>277</v>
      </c>
      <c r="B18" s="12" t="s">
        <v>16</v>
      </c>
      <c r="C18" s="12" t="s">
        <v>275</v>
      </c>
      <c r="D18" s="12" t="s">
        <v>96</v>
      </c>
      <c r="E18" s="12" t="s">
        <v>17</v>
      </c>
      <c r="F18" s="321">
        <v>0.0</v>
      </c>
      <c r="G18" s="12" t="s">
        <v>236</v>
      </c>
      <c r="H18" s="12" t="s">
        <v>265</v>
      </c>
      <c r="I18" s="321">
        <v>14.0</v>
      </c>
    </row>
    <row r="19">
      <c r="A19" s="12" t="s">
        <v>274</v>
      </c>
      <c r="B19" s="12" t="s">
        <v>19</v>
      </c>
      <c r="C19" s="12" t="s">
        <v>275</v>
      </c>
      <c r="D19" s="12" t="s">
        <v>96</v>
      </c>
      <c r="E19" s="12" t="s">
        <v>20</v>
      </c>
      <c r="F19" s="321">
        <v>1.0</v>
      </c>
      <c r="G19" s="12" t="s">
        <v>236</v>
      </c>
      <c r="H19" s="12" t="s">
        <v>265</v>
      </c>
      <c r="I19" s="321">
        <v>18.0</v>
      </c>
    </row>
    <row r="20">
      <c r="A20" s="12" t="s">
        <v>276</v>
      </c>
      <c r="B20" s="12" t="s">
        <v>19</v>
      </c>
      <c r="C20" s="12" t="s">
        <v>275</v>
      </c>
      <c r="D20" s="12" t="s">
        <v>96</v>
      </c>
      <c r="E20" s="12" t="s">
        <v>20</v>
      </c>
      <c r="F20" s="321">
        <v>1.0</v>
      </c>
      <c r="G20" s="12" t="s">
        <v>236</v>
      </c>
      <c r="H20" s="12" t="s">
        <v>265</v>
      </c>
      <c r="I20" s="321">
        <v>18.0</v>
      </c>
    </row>
    <row r="21">
      <c r="A21" s="12" t="s">
        <v>277</v>
      </c>
      <c r="B21" s="12" t="s">
        <v>19</v>
      </c>
      <c r="C21" s="12" t="s">
        <v>275</v>
      </c>
      <c r="D21" s="12" t="s">
        <v>96</v>
      </c>
      <c r="E21" s="12" t="s">
        <v>20</v>
      </c>
      <c r="F21" s="321">
        <v>2.0</v>
      </c>
      <c r="G21" s="12" t="s">
        <v>236</v>
      </c>
      <c r="H21" s="12" t="s">
        <v>265</v>
      </c>
      <c r="I21" s="321">
        <v>18.0</v>
      </c>
    </row>
    <row r="22">
      <c r="A22" s="12" t="s">
        <v>472</v>
      </c>
      <c r="B22" s="12" t="s">
        <v>473</v>
      </c>
      <c r="C22" s="12" t="s">
        <v>63</v>
      </c>
      <c r="D22" s="12" t="s">
        <v>96</v>
      </c>
      <c r="E22" s="12" t="s">
        <v>432</v>
      </c>
      <c r="F22" s="321">
        <v>1.0</v>
      </c>
      <c r="G22" s="12" t="s">
        <v>236</v>
      </c>
      <c r="H22" s="12" t="s">
        <v>265</v>
      </c>
      <c r="I22" s="321">
        <v>16.0</v>
      </c>
    </row>
    <row r="23">
      <c r="A23" s="12" t="s">
        <v>474</v>
      </c>
      <c r="B23" s="12" t="s">
        <v>475</v>
      </c>
      <c r="C23" s="12" t="s">
        <v>476</v>
      </c>
      <c r="D23" s="12" t="s">
        <v>96</v>
      </c>
      <c r="E23" s="12" t="s">
        <v>166</v>
      </c>
      <c r="F23" s="321">
        <v>1.0</v>
      </c>
      <c r="G23" s="12" t="s">
        <v>236</v>
      </c>
      <c r="H23" s="12" t="s">
        <v>265</v>
      </c>
      <c r="I23" s="321">
        <v>12.0</v>
      </c>
    </row>
    <row r="24">
      <c r="A24" s="12" t="s">
        <v>477</v>
      </c>
      <c r="B24" s="12" t="s">
        <v>478</v>
      </c>
      <c r="C24" s="12" t="s">
        <v>479</v>
      </c>
      <c r="D24" s="12" t="s">
        <v>96</v>
      </c>
      <c r="E24" s="12" t="s">
        <v>381</v>
      </c>
      <c r="F24" s="321">
        <v>1.0</v>
      </c>
      <c r="G24" s="12" t="s">
        <v>236</v>
      </c>
      <c r="H24" s="12" t="s">
        <v>265</v>
      </c>
      <c r="I24" s="321">
        <v>8.0</v>
      </c>
    </row>
    <row r="25">
      <c r="A25" s="12" t="s">
        <v>480</v>
      </c>
      <c r="B25" s="12" t="s">
        <v>481</v>
      </c>
      <c r="C25" s="12" t="s">
        <v>482</v>
      </c>
      <c r="D25" s="12" t="s">
        <v>96</v>
      </c>
      <c r="E25" s="12" t="s">
        <v>416</v>
      </c>
      <c r="F25" s="321">
        <v>1.0</v>
      </c>
      <c r="G25" s="12" t="s">
        <v>236</v>
      </c>
      <c r="H25" s="12" t="s">
        <v>265</v>
      </c>
      <c r="I25" s="321">
        <v>13.0</v>
      </c>
    </row>
    <row r="26">
      <c r="A26" s="12" t="s">
        <v>483</v>
      </c>
      <c r="B26" s="12" t="s">
        <v>484</v>
      </c>
      <c r="C26" s="12" t="s">
        <v>485</v>
      </c>
      <c r="D26" s="12" t="s">
        <v>96</v>
      </c>
      <c r="E26" s="12" t="s">
        <v>438</v>
      </c>
      <c r="F26" s="321">
        <v>1.0</v>
      </c>
      <c r="G26" s="12" t="s">
        <v>236</v>
      </c>
      <c r="H26" s="12" t="s">
        <v>265</v>
      </c>
      <c r="I26" s="321">
        <v>17.0</v>
      </c>
    </row>
    <row r="27">
      <c r="A27" s="12" t="s">
        <v>486</v>
      </c>
      <c r="B27" s="12" t="s">
        <v>487</v>
      </c>
      <c r="C27" s="12" t="s">
        <v>488</v>
      </c>
      <c r="D27" s="12" t="s">
        <v>96</v>
      </c>
      <c r="E27" s="12" t="s">
        <v>378</v>
      </c>
      <c r="F27" s="321">
        <v>1.0</v>
      </c>
      <c r="G27" s="12" t="s">
        <v>236</v>
      </c>
      <c r="H27" s="12" t="s">
        <v>265</v>
      </c>
      <c r="I27" s="321">
        <v>8.0</v>
      </c>
    </row>
    <row r="28">
      <c r="A28" s="12" t="s">
        <v>489</v>
      </c>
      <c r="B28" s="12" t="s">
        <v>490</v>
      </c>
      <c r="C28" s="12" t="s">
        <v>69</v>
      </c>
      <c r="D28" s="12" t="s">
        <v>96</v>
      </c>
      <c r="E28" s="12" t="s">
        <v>150</v>
      </c>
      <c r="F28" s="321">
        <v>1.0</v>
      </c>
      <c r="G28" s="12" t="s">
        <v>236</v>
      </c>
      <c r="H28" s="12" t="s">
        <v>265</v>
      </c>
      <c r="I28" s="321">
        <v>14.0</v>
      </c>
    </row>
    <row r="29">
      <c r="A29" s="12" t="s">
        <v>491</v>
      </c>
      <c r="B29" s="12" t="s">
        <v>492</v>
      </c>
      <c r="C29" s="12" t="s">
        <v>493</v>
      </c>
      <c r="D29" s="12" t="s">
        <v>96</v>
      </c>
      <c r="E29" s="12" t="s">
        <v>149</v>
      </c>
      <c r="F29" s="321">
        <v>1.0</v>
      </c>
      <c r="G29" s="12" t="s">
        <v>236</v>
      </c>
      <c r="H29" s="12" t="s">
        <v>265</v>
      </c>
      <c r="I29" s="321">
        <v>12.0</v>
      </c>
    </row>
    <row r="30">
      <c r="A30" s="12" t="s">
        <v>494</v>
      </c>
      <c r="B30" s="12" t="s">
        <v>495</v>
      </c>
      <c r="C30" s="12" t="s">
        <v>496</v>
      </c>
      <c r="D30" s="12" t="s">
        <v>96</v>
      </c>
      <c r="E30" s="12" t="s">
        <v>71</v>
      </c>
      <c r="F30" s="321">
        <v>1.0</v>
      </c>
      <c r="G30" s="12" t="s">
        <v>236</v>
      </c>
      <c r="H30" s="12" t="s">
        <v>265</v>
      </c>
      <c r="I30" s="321">
        <v>5.0</v>
      </c>
    </row>
    <row r="31">
      <c r="A31" s="12" t="s">
        <v>497</v>
      </c>
      <c r="B31" s="12" t="s">
        <v>498</v>
      </c>
      <c r="C31" s="12" t="s">
        <v>499</v>
      </c>
      <c r="D31" s="12" t="s">
        <v>96</v>
      </c>
      <c r="E31" s="12" t="s">
        <v>421</v>
      </c>
      <c r="F31" s="321">
        <v>1.0</v>
      </c>
      <c r="G31" s="12" t="s">
        <v>236</v>
      </c>
      <c r="H31" s="12" t="s">
        <v>265</v>
      </c>
      <c r="I31" s="321">
        <v>14.0</v>
      </c>
    </row>
    <row r="32">
      <c r="A32" s="12" t="s">
        <v>500</v>
      </c>
      <c r="B32" s="12" t="s">
        <v>501</v>
      </c>
      <c r="C32" s="12" t="s">
        <v>502</v>
      </c>
      <c r="D32" s="12" t="s">
        <v>96</v>
      </c>
      <c r="E32" s="12" t="s">
        <v>436</v>
      </c>
      <c r="F32" s="321">
        <v>1.0</v>
      </c>
      <c r="G32" s="12" t="s">
        <v>236</v>
      </c>
      <c r="H32" s="12" t="s">
        <v>265</v>
      </c>
      <c r="I32" s="321">
        <v>17.0</v>
      </c>
    </row>
    <row r="33">
      <c r="A33" s="12" t="s">
        <v>503</v>
      </c>
      <c r="B33" s="12" t="s">
        <v>504</v>
      </c>
      <c r="C33" s="12" t="s">
        <v>51</v>
      </c>
      <c r="D33" s="12" t="s">
        <v>96</v>
      </c>
      <c r="E33" s="12" t="s">
        <v>420</v>
      </c>
      <c r="F33" s="321">
        <v>1.0</v>
      </c>
      <c r="G33" s="12" t="s">
        <v>236</v>
      </c>
      <c r="H33" s="12" t="s">
        <v>265</v>
      </c>
      <c r="I33" s="321">
        <v>14.0</v>
      </c>
    </row>
    <row r="34">
      <c r="A34" s="12" t="s">
        <v>505</v>
      </c>
      <c r="B34" s="12" t="s">
        <v>506</v>
      </c>
      <c r="C34" s="12" t="s">
        <v>507</v>
      </c>
      <c r="D34" s="12" t="s">
        <v>96</v>
      </c>
      <c r="E34" s="12" t="s">
        <v>431</v>
      </c>
      <c r="F34" s="321">
        <v>1.0</v>
      </c>
      <c r="G34" s="12" t="s">
        <v>236</v>
      </c>
      <c r="H34" s="12" t="s">
        <v>265</v>
      </c>
      <c r="I34" s="321">
        <v>16.0</v>
      </c>
    </row>
    <row r="35">
      <c r="A35" s="12" t="s">
        <v>508</v>
      </c>
      <c r="B35" s="12" t="s">
        <v>509</v>
      </c>
      <c r="C35" s="12" t="s">
        <v>45</v>
      </c>
      <c r="D35" s="12" t="s">
        <v>96</v>
      </c>
      <c r="E35" s="12" t="s">
        <v>206</v>
      </c>
      <c r="F35" s="321">
        <v>1.0</v>
      </c>
      <c r="G35" s="12" t="s">
        <v>236</v>
      </c>
      <c r="H35" s="12" t="s">
        <v>265</v>
      </c>
      <c r="I35" s="321">
        <v>17.0</v>
      </c>
    </row>
    <row r="36">
      <c r="A36" s="12" t="s">
        <v>510</v>
      </c>
      <c r="B36" s="12" t="s">
        <v>511</v>
      </c>
      <c r="C36" s="12" t="s">
        <v>512</v>
      </c>
      <c r="D36" s="12" t="s">
        <v>96</v>
      </c>
      <c r="E36" s="12" t="s">
        <v>414</v>
      </c>
      <c r="F36" s="321">
        <v>1.0</v>
      </c>
      <c r="G36" s="12" t="s">
        <v>236</v>
      </c>
      <c r="H36" s="12" t="s">
        <v>265</v>
      </c>
      <c r="I36" s="321">
        <v>13.0</v>
      </c>
    </row>
    <row r="37">
      <c r="A37" s="12" t="s">
        <v>513</v>
      </c>
      <c r="B37" s="12" t="s">
        <v>514</v>
      </c>
      <c r="C37" s="12" t="s">
        <v>515</v>
      </c>
      <c r="D37" s="12" t="s">
        <v>96</v>
      </c>
      <c r="E37" s="12" t="s">
        <v>129</v>
      </c>
      <c r="F37" s="321">
        <v>1.0</v>
      </c>
      <c r="G37" s="12" t="s">
        <v>236</v>
      </c>
      <c r="H37" s="12" t="s">
        <v>265</v>
      </c>
      <c r="I37" s="321">
        <v>18.0</v>
      </c>
    </row>
    <row r="38">
      <c r="A38" s="12" t="s">
        <v>516</v>
      </c>
      <c r="B38" s="12" t="s">
        <v>517</v>
      </c>
      <c r="C38" s="12" t="s">
        <v>518</v>
      </c>
      <c r="D38" s="12" t="s">
        <v>96</v>
      </c>
      <c r="E38" s="12" t="s">
        <v>411</v>
      </c>
      <c r="F38" s="321">
        <v>1.0</v>
      </c>
      <c r="G38" s="12" t="s">
        <v>236</v>
      </c>
      <c r="H38" s="12" t="s">
        <v>265</v>
      </c>
      <c r="I38" s="321">
        <v>13.0</v>
      </c>
    </row>
    <row r="39">
      <c r="A39" s="12" t="s">
        <v>519</v>
      </c>
      <c r="B39" s="12" t="s">
        <v>520</v>
      </c>
      <c r="C39" s="12" t="s">
        <v>72</v>
      </c>
      <c r="D39" s="12" t="s">
        <v>96</v>
      </c>
      <c r="E39" s="12" t="s">
        <v>404</v>
      </c>
      <c r="F39" s="321">
        <v>1.0</v>
      </c>
      <c r="G39" s="12" t="s">
        <v>236</v>
      </c>
      <c r="H39" s="12" t="s">
        <v>265</v>
      </c>
      <c r="I39" s="321">
        <v>12.0</v>
      </c>
    </row>
    <row r="40">
      <c r="A40" s="12" t="s">
        <v>521</v>
      </c>
      <c r="B40" s="12" t="s">
        <v>522</v>
      </c>
      <c r="C40" s="12" t="s">
        <v>74</v>
      </c>
      <c r="D40" s="12" t="s">
        <v>96</v>
      </c>
      <c r="E40" s="12" t="s">
        <v>76</v>
      </c>
      <c r="F40" s="321">
        <v>1.0</v>
      </c>
      <c r="G40" s="12" t="s">
        <v>236</v>
      </c>
      <c r="H40" s="12" t="s">
        <v>265</v>
      </c>
      <c r="I40" s="321">
        <v>13.0</v>
      </c>
    </row>
    <row r="41">
      <c r="A41" s="12" t="s">
        <v>523</v>
      </c>
      <c r="B41" s="12" t="s">
        <v>302</v>
      </c>
      <c r="C41" s="12" t="s">
        <v>151</v>
      </c>
      <c r="D41" s="12" t="s">
        <v>96</v>
      </c>
      <c r="E41" s="12" t="s">
        <v>77</v>
      </c>
      <c r="F41" s="321">
        <v>1.0</v>
      </c>
      <c r="G41" s="12" t="s">
        <v>236</v>
      </c>
      <c r="H41" s="12" t="s">
        <v>265</v>
      </c>
      <c r="I41" s="321">
        <v>14.0</v>
      </c>
    </row>
    <row r="42">
      <c r="A42" s="12" t="s">
        <v>524</v>
      </c>
      <c r="B42" s="12" t="s">
        <v>303</v>
      </c>
      <c r="C42" s="12" t="s">
        <v>154</v>
      </c>
      <c r="D42" s="12" t="s">
        <v>96</v>
      </c>
      <c r="E42" s="12" t="s">
        <v>78</v>
      </c>
      <c r="F42" s="321">
        <v>1.0</v>
      </c>
      <c r="G42" s="12" t="s">
        <v>236</v>
      </c>
      <c r="H42" s="12" t="s">
        <v>265</v>
      </c>
      <c r="I42" s="321">
        <v>16.0</v>
      </c>
    </row>
    <row r="43">
      <c r="A43" s="12" t="s">
        <v>525</v>
      </c>
      <c r="B43" s="12" t="s">
        <v>304</v>
      </c>
      <c r="C43" s="12" t="s">
        <v>156</v>
      </c>
      <c r="D43" s="12" t="s">
        <v>96</v>
      </c>
      <c r="E43" s="12" t="s">
        <v>79</v>
      </c>
      <c r="F43" s="321">
        <v>1.0</v>
      </c>
      <c r="G43" s="12" t="s">
        <v>236</v>
      </c>
      <c r="H43" s="12" t="s">
        <v>265</v>
      </c>
      <c r="I43" s="321">
        <v>17.0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showGridLines="0" workbookViewId="0">
      <pane xSplit="5.0" ySplit="12.0" topLeftCell="F13" activePane="bottomRight" state="frozen"/>
      <selection activeCell="F1" sqref="F1" pane="topRight"/>
      <selection activeCell="A13" sqref="A13" pane="bottomLeft"/>
      <selection activeCell="F13" sqref="F13" pane="bottomRight"/>
    </sheetView>
  </sheetViews>
  <sheetFormatPr customHeight="1" defaultColWidth="12.63" defaultRowHeight="15.75"/>
  <cols>
    <col customWidth="1" hidden="1" min="1" max="1" width="15.38"/>
    <col hidden="1" min="2" max="2" width="12.63"/>
    <col customWidth="1" hidden="1" min="3" max="3" width="14.25"/>
    <col hidden="1" min="4" max="4" width="12.63"/>
    <col customWidth="1" min="5" max="5" width="20.88"/>
    <col customWidth="1" min="13" max="13" width="13.75"/>
    <col customWidth="1" min="17" max="17" width="14.88"/>
    <col hidden="1" min="68" max="69" width="12.63"/>
  </cols>
  <sheetData>
    <row r="1" hidden="1">
      <c r="A1" s="118" t="s">
        <v>455</v>
      </c>
    </row>
    <row r="2" hidden="1">
      <c r="A2" s="118" t="s">
        <v>456</v>
      </c>
      <c r="B2" s="118" t="s">
        <v>457</v>
      </c>
      <c r="C2" s="118" t="s">
        <v>327</v>
      </c>
    </row>
    <row r="3" hidden="1">
      <c r="A3" s="12" t="s">
        <v>458</v>
      </c>
      <c r="B3" s="257" t="s">
        <v>1</v>
      </c>
      <c r="C3" s="186">
        <f>match(B3,Output_HALO!$1:$1,0)</f>
        <v>2</v>
      </c>
      <c r="H3" s="347"/>
      <c r="I3" s="347"/>
      <c r="J3" s="347"/>
      <c r="K3" s="347"/>
      <c r="L3" s="347"/>
      <c r="M3" s="347"/>
    </row>
    <row r="4" hidden="1">
      <c r="A4" s="12" t="s">
        <v>459</v>
      </c>
      <c r="B4" s="257" t="s">
        <v>2</v>
      </c>
      <c r="C4" s="186">
        <f>match(B4,Output_HALO!$1:$1,0)</f>
        <v>11</v>
      </c>
      <c r="G4" s="347"/>
      <c r="H4" s="347"/>
      <c r="I4" s="347"/>
      <c r="J4" s="347"/>
      <c r="K4" s="347"/>
      <c r="L4" s="347"/>
      <c r="M4" s="347"/>
    </row>
    <row r="5" hidden="1">
      <c r="A5" s="12" t="s">
        <v>460</v>
      </c>
      <c r="B5" s="257" t="s">
        <v>323</v>
      </c>
      <c r="C5" s="186">
        <f>match(B5,Output_HALO!$1:$1,0)</f>
        <v>4</v>
      </c>
      <c r="E5" s="347" t="s">
        <v>461</v>
      </c>
      <c r="G5" s="347"/>
      <c r="H5" s="347"/>
      <c r="I5" s="347"/>
      <c r="J5" s="347"/>
      <c r="K5" s="347"/>
      <c r="L5" s="347"/>
      <c r="M5" s="347"/>
    </row>
    <row r="6" hidden="1">
      <c r="A6" s="12" t="s">
        <v>462</v>
      </c>
      <c r="B6" s="257" t="s">
        <v>324</v>
      </c>
      <c r="C6" s="186">
        <f>match(B6,Output_HALO!$1:$1,0)</f>
        <v>5</v>
      </c>
    </row>
    <row r="7" hidden="1">
      <c r="A7" s="12" t="s">
        <v>463</v>
      </c>
      <c r="B7" s="257" t="s">
        <v>328</v>
      </c>
      <c r="C7" s="186">
        <f>match(B7,Output_HALO!$1:$1,0)</f>
        <v>9</v>
      </c>
    </row>
    <row r="8" hidden="1">
      <c r="A8" s="12" t="s">
        <v>464</v>
      </c>
      <c r="B8" s="257" t="s">
        <v>465</v>
      </c>
      <c r="C8" s="186">
        <f>match(B8,Output_HALO!$1:$1,0)</f>
        <v>19</v>
      </c>
    </row>
    <row r="9">
      <c r="E9" s="348" t="s">
        <v>466</v>
      </c>
      <c r="F9" s="349" t="str">
        <f t="array" ref="F9">iferror(vlookup(F$12&amp;"-"&amp;$E13,{index(Output_HALO!$A:$ZZ,0,$C$8),index(Output_HALO!$A:$ZZ,0,$C7)},2,0),iferror(vlookup(F$12&amp;"-"&amp;$E16,{index(Output_HALO!$A:$ZZ,0,$C$8),index(Output_HALO!$A:$ZZ,0,$C7)},2,0),iferror(vlookup(F$12&amp;"-"&amp;$E19,{index(Output_HALO!$A:$ZZ,0,$C$8),index(Output_HALO!$A:$ZZ,0,$C7)},2,0),iferror(vlookup(F$12&amp;"-"&amp;$E22,{index(Output_HALO!$A:$ZZ,0,$C$8),index(Output_HALO!$A:$ZZ,0,$C7)},2,0),iferror(vlookup(F$12&amp;"-"&amp;$E25,{index(Output_HALO!$A:$ZZ,0,$C$8),index(Output_HALO!$A:$ZZ,0,$C7)},2,0),"")))))</f>
        <v/>
      </c>
      <c r="G9" s="349" t="str">
        <f t="array" ref="G9">iferror(vlookup(G$12&amp;"-"&amp;$E13,{index(Output_HALO!$A:$ZZ,0,$C$8),index(Output_HALO!$A:$ZZ,0,$C7)},2,0),iferror(vlookup(G$12&amp;"-"&amp;$E16,{index(Output_HALO!$A:$ZZ,0,$C$8),index(Output_HALO!$A:$ZZ,0,$C7)},2,0),iferror(vlookup(G$12&amp;"-"&amp;$E19,{index(Output_HALO!$A:$ZZ,0,$C$8),index(Output_HALO!$A:$ZZ,0,$C7)},2,0),iferror(vlookup(G$12&amp;"-"&amp;$E22,{index(Output_HALO!$A:$ZZ,0,$C$8),index(Output_HALO!$A:$ZZ,0,$C7)},2,0),iferror(vlookup(G$12&amp;"-"&amp;$E25,{index(Output_HALO!$A:$ZZ,0,$C$8),index(Output_HALO!$A:$ZZ,0,$C7)},2,0),"")))))</f>
        <v>Packaging</v>
      </c>
      <c r="H9" s="349" t="str">
        <f t="array" ref="H9">iferror(vlookup(H$12&amp;"-"&amp;$E13,{index(Output_HALO!$A:$ZZ,0,$C$8),index(Output_HALO!$A:$ZZ,0,$C7)},2,0),iferror(vlookup(H$12&amp;"-"&amp;$E16,{index(Output_HALO!$A:$ZZ,0,$C$8),index(Output_HALO!$A:$ZZ,0,$C7)},2,0),iferror(vlookup(H$12&amp;"-"&amp;$E19,{index(Output_HALO!$A:$ZZ,0,$C$8),index(Output_HALO!$A:$ZZ,0,$C7)},2,0),iferror(vlookup(H$12&amp;"-"&amp;$E22,{index(Output_HALO!$A:$ZZ,0,$C$8),index(Output_HALO!$A:$ZZ,0,$C7)},2,0),iferror(vlookup(H$12&amp;"-"&amp;$E25,{index(Output_HALO!$A:$ZZ,0,$C$8),index(Output_HALO!$A:$ZZ,0,$C7)},2,0),"")))))</f>
        <v>Packaging</v>
      </c>
      <c r="I9" s="349" t="str">
        <f t="array" ref="I9">iferror(vlookup(I$12&amp;"-"&amp;$E13,{index(Output_HALO!$A:$ZZ,0,$C$8),index(Output_HALO!$A:$ZZ,0,$C7)},2,0),iferror(vlookup(I$12&amp;"-"&amp;$E16,{index(Output_HALO!$A:$ZZ,0,$C$8),index(Output_HALO!$A:$ZZ,0,$C7)},2,0),iferror(vlookup(I$12&amp;"-"&amp;$E19,{index(Output_HALO!$A:$ZZ,0,$C$8),index(Output_HALO!$A:$ZZ,0,$C7)},2,0),iferror(vlookup(I$12&amp;"-"&amp;$E22,{index(Output_HALO!$A:$ZZ,0,$C$8),index(Output_HALO!$A:$ZZ,0,$C7)},2,0),iferror(vlookup(I$12&amp;"-"&amp;$E25,{index(Output_HALO!$A:$ZZ,0,$C$8),index(Output_HALO!$A:$ZZ,0,$C7)},2,0),"")))))</f>
        <v>Packaging</v>
      </c>
      <c r="J9" s="349" t="str">
        <f t="array" ref="J9">iferror(vlookup(J$12&amp;"-"&amp;$E13,{index(Output_HALO!$A:$ZZ,0,$C$8),index(Output_HALO!$A:$ZZ,0,$C7)},2,0),iferror(vlookup(J$12&amp;"-"&amp;$E16,{index(Output_HALO!$A:$ZZ,0,$C$8),index(Output_HALO!$A:$ZZ,0,$C7)},2,0),iferror(vlookup(J$12&amp;"-"&amp;$E19,{index(Output_HALO!$A:$ZZ,0,$C$8),index(Output_HALO!$A:$ZZ,0,$C7)},2,0),iferror(vlookup(J$12&amp;"-"&amp;$E22,{index(Output_HALO!$A:$ZZ,0,$C$8),index(Output_HALO!$A:$ZZ,0,$C7)},2,0),iferror(vlookup(J$12&amp;"-"&amp;$E25,{index(Output_HALO!$A:$ZZ,0,$C$8),index(Output_HALO!$A:$ZZ,0,$C7)},2,0),"")))))</f>
        <v>Packaging</v>
      </c>
      <c r="K9" s="349" t="str">
        <f t="array" ref="K9">iferror(vlookup(K$12&amp;"-"&amp;$E13,{index(Output_HALO!$A:$ZZ,0,$C$8),index(Output_HALO!$A:$ZZ,0,$C7)},2,0),iferror(vlookup(K$12&amp;"-"&amp;$E16,{index(Output_HALO!$A:$ZZ,0,$C$8),index(Output_HALO!$A:$ZZ,0,$C7)},2,0),iferror(vlookup(K$12&amp;"-"&amp;$E19,{index(Output_HALO!$A:$ZZ,0,$C$8),index(Output_HALO!$A:$ZZ,0,$C7)},2,0),iferror(vlookup(K$12&amp;"-"&amp;$E22,{index(Output_HALO!$A:$ZZ,0,$C$8),index(Output_HALO!$A:$ZZ,0,$C7)},2,0),iferror(vlookup(K$12&amp;"-"&amp;$E25,{index(Output_HALO!$A:$ZZ,0,$C$8),index(Output_HALO!$A:$ZZ,0,$C7)},2,0),"")))))</f>
        <v>Packaging</v>
      </c>
      <c r="L9" s="349" t="str">
        <f t="array" ref="L9">iferror(vlookup(L$12&amp;"-"&amp;$E13,{index(Output_HALO!$A:$ZZ,0,$C$8),index(Output_HALO!$A:$ZZ,0,$C7)},2,0),iferror(vlookup(L$12&amp;"-"&amp;$E16,{index(Output_HALO!$A:$ZZ,0,$C$8),index(Output_HALO!$A:$ZZ,0,$C7)},2,0),iferror(vlookup(L$12&amp;"-"&amp;$E19,{index(Output_HALO!$A:$ZZ,0,$C$8),index(Output_HALO!$A:$ZZ,0,$C7)},2,0),iferror(vlookup(L$12&amp;"-"&amp;$E22,{index(Output_HALO!$A:$ZZ,0,$C$8),index(Output_HALO!$A:$ZZ,0,$C7)},2,0),iferror(vlookup(L$12&amp;"-"&amp;$E25,{index(Output_HALO!$A:$ZZ,0,$C$8),index(Output_HALO!$A:$ZZ,0,$C7)},2,0),"")))))</f>
        <v>Packaging</v>
      </c>
      <c r="M9" s="349" t="str">
        <f t="array" ref="M9">iferror(vlookup(M$12&amp;"-"&amp;$E13,{index(Output_HALO!$A:$ZZ,0,$C$8),index(Output_HALO!$A:$ZZ,0,$C7)},2,0),iferror(vlookup(M$12&amp;"-"&amp;$E16,{index(Output_HALO!$A:$ZZ,0,$C$8),index(Output_HALO!$A:$ZZ,0,$C7)},2,0),iferror(vlookup(M$12&amp;"-"&amp;$E19,{index(Output_HALO!$A:$ZZ,0,$C$8),index(Output_HALO!$A:$ZZ,0,$C7)},2,0),iferror(vlookup(M$12&amp;"-"&amp;$E22,{index(Output_HALO!$A:$ZZ,0,$C$8),index(Output_HALO!$A:$ZZ,0,$C7)},2,0),iferror(vlookup(M$12&amp;"-"&amp;$E25,{index(Output_HALO!$A:$ZZ,0,$C$8),index(Output_HALO!$A:$ZZ,0,$C7)},2,0),"")))))</f>
        <v>Packaging</v>
      </c>
      <c r="N9" s="349" t="str">
        <f t="array" ref="N9">iferror(vlookup(N$12&amp;"-"&amp;$E13,{index(Output_HALO!$A:$ZZ,0,$C$8),index(Output_HALO!$A:$ZZ,0,$C7)},2,0),iferror(vlookup(N$12&amp;"-"&amp;$E16,{index(Output_HALO!$A:$ZZ,0,$C$8),index(Output_HALO!$A:$ZZ,0,$C7)},2,0),iferror(vlookup(N$12&amp;"-"&amp;$E19,{index(Output_HALO!$A:$ZZ,0,$C$8),index(Output_HALO!$A:$ZZ,0,$C7)},2,0),iferror(vlookup(N$12&amp;"-"&amp;$E22,{index(Output_HALO!$A:$ZZ,0,$C$8),index(Output_HALO!$A:$ZZ,0,$C7)},2,0),iferror(vlookup(N$12&amp;"-"&amp;$E25,{index(Output_HALO!$A:$ZZ,0,$C$8),index(Output_HALO!$A:$ZZ,0,$C7)},2,0),"")))))</f>
        <v>Packaging</v>
      </c>
      <c r="O9" s="349" t="str">
        <f t="array" ref="O9">iferror(vlookup(O$12&amp;"-"&amp;$E13,{index(Output_HALO!$A:$ZZ,0,$C$8),index(Output_HALO!$A:$ZZ,0,$C7)},2,0),iferror(vlookup(O$12&amp;"-"&amp;$E16,{index(Output_HALO!$A:$ZZ,0,$C$8),index(Output_HALO!$A:$ZZ,0,$C7)},2,0),iferror(vlookup(O$12&amp;"-"&amp;$E19,{index(Output_HALO!$A:$ZZ,0,$C$8),index(Output_HALO!$A:$ZZ,0,$C7)},2,0),iferror(vlookup(O$12&amp;"-"&amp;$E22,{index(Output_HALO!$A:$ZZ,0,$C$8),index(Output_HALO!$A:$ZZ,0,$C7)},2,0),iferror(vlookup(O$12&amp;"-"&amp;$E25,{index(Output_HALO!$A:$ZZ,0,$C$8),index(Output_HALO!$A:$ZZ,0,$C7)},2,0),"")))))</f>
        <v/>
      </c>
      <c r="P9" s="349" t="str">
        <f t="array" ref="P9">iferror(vlookup(P$12&amp;"-"&amp;$E13,{index(Output_HALO!$A:$ZZ,0,$C$8),index(Output_HALO!$A:$ZZ,0,$C7)},2,0),iferror(vlookup(P$12&amp;"-"&amp;$E16,{index(Output_HALO!$A:$ZZ,0,$C$8),index(Output_HALO!$A:$ZZ,0,$C7)},2,0),iferror(vlookup(P$12&amp;"-"&amp;$E19,{index(Output_HALO!$A:$ZZ,0,$C$8),index(Output_HALO!$A:$ZZ,0,$C7)},2,0),iferror(vlookup(P$12&amp;"-"&amp;$E22,{index(Output_HALO!$A:$ZZ,0,$C$8),index(Output_HALO!$A:$ZZ,0,$C7)},2,0),iferror(vlookup(P$12&amp;"-"&amp;$E25,{index(Output_HALO!$A:$ZZ,0,$C$8),index(Output_HALO!$A:$ZZ,0,$C7)},2,0),"")))))</f>
        <v/>
      </c>
      <c r="Q9" s="349" t="str">
        <f t="array" ref="Q9">iferror(vlookup(Q$12&amp;"-"&amp;$E13,{index(Output_HALO!$A:$ZZ,0,$C$8),index(Output_HALO!$A:$ZZ,0,$C7)},2,0),iferror(vlookup(Q$12&amp;"-"&amp;$E16,{index(Output_HALO!$A:$ZZ,0,$C$8),index(Output_HALO!$A:$ZZ,0,$C7)},2,0),iferror(vlookup(Q$12&amp;"-"&amp;$E19,{index(Output_HALO!$A:$ZZ,0,$C$8),index(Output_HALO!$A:$ZZ,0,$C7)},2,0),iferror(vlookup(Q$12&amp;"-"&amp;$E22,{index(Output_HALO!$A:$ZZ,0,$C$8),index(Output_HALO!$A:$ZZ,0,$C7)},2,0),iferror(vlookup(Q$12&amp;"-"&amp;$E25,{index(Output_HALO!$A:$ZZ,0,$C$8),index(Output_HALO!$A:$ZZ,0,$C7)},2,0),"")))))</f>
        <v>Chilled</v>
      </c>
      <c r="R9" s="349" t="str">
        <f t="array" ref="R9">iferror(vlookup(R$12&amp;"-"&amp;$E13,{index(Output_HALO!$A:$ZZ,0,$C$8),index(Output_HALO!$A:$ZZ,0,$C7)},2,0),iferror(vlookup(R$12&amp;"-"&amp;$E16,{index(Output_HALO!$A:$ZZ,0,$C$8),index(Output_HALO!$A:$ZZ,0,$C7)},2,0),iferror(vlookup(R$12&amp;"-"&amp;$E19,{index(Output_HALO!$A:$ZZ,0,$C$8),index(Output_HALO!$A:$ZZ,0,$C7)},2,0),iferror(vlookup(R$12&amp;"-"&amp;$E22,{index(Output_HALO!$A:$ZZ,0,$C$8),index(Output_HALO!$A:$ZZ,0,$C7)},2,0),iferror(vlookup(R$12&amp;"-"&amp;$E25,{index(Output_HALO!$A:$ZZ,0,$C$8),index(Output_HALO!$A:$ZZ,0,$C7)},2,0),"")))))</f>
        <v>Chilled</v>
      </c>
      <c r="S9" s="349" t="str">
        <f t="array" ref="S9">iferror(vlookup(S$12&amp;"-"&amp;$E13,{index(Output_HALO!$A:$ZZ,0,$C$8),index(Output_HALO!$A:$ZZ,0,$C7)},2,0),iferror(vlookup(S$12&amp;"-"&amp;$E16,{index(Output_HALO!$A:$ZZ,0,$C$8),index(Output_HALO!$A:$ZZ,0,$C7)},2,0),iferror(vlookup(S$12&amp;"-"&amp;$E19,{index(Output_HALO!$A:$ZZ,0,$C$8),index(Output_HALO!$A:$ZZ,0,$C7)},2,0),iferror(vlookup(S$12&amp;"-"&amp;$E22,{index(Output_HALO!$A:$ZZ,0,$C$8),index(Output_HALO!$A:$ZZ,0,$C7)},2,0),iferror(vlookup(S$12&amp;"-"&amp;$E25,{index(Output_HALO!$A:$ZZ,0,$C$8),index(Output_HALO!$A:$ZZ,0,$C7)},2,0),"")))))</f>
        <v>Chilled</v>
      </c>
      <c r="T9" s="349" t="str">
        <f t="array" ref="T9">iferror(vlookup(T$12&amp;"-"&amp;$E13,{index(Output_HALO!$A:$ZZ,0,$C$8),index(Output_HALO!$A:$ZZ,0,$C7)},2,0),iferror(vlookup(T$12&amp;"-"&amp;$E16,{index(Output_HALO!$A:$ZZ,0,$C$8),index(Output_HALO!$A:$ZZ,0,$C7)},2,0),iferror(vlookup(T$12&amp;"-"&amp;$E19,{index(Output_HALO!$A:$ZZ,0,$C$8),index(Output_HALO!$A:$ZZ,0,$C7)},2,0),iferror(vlookup(T$12&amp;"-"&amp;$E22,{index(Output_HALO!$A:$ZZ,0,$C$8),index(Output_HALO!$A:$ZZ,0,$C7)},2,0),iferror(vlookup(T$12&amp;"-"&amp;$E25,{index(Output_HALO!$A:$ZZ,0,$C$8),index(Output_HALO!$A:$ZZ,0,$C7)},2,0),"")))))</f>
        <v/>
      </c>
      <c r="U9" s="349" t="str">
        <f t="array" ref="U9">iferror(vlookup(U$12&amp;"-"&amp;$E13,{index(Output_HALO!$A:$ZZ,0,$C$8),index(Output_HALO!$A:$ZZ,0,$C7)},2,0),iferror(vlookup(U$12&amp;"-"&amp;$E16,{index(Output_HALO!$A:$ZZ,0,$C$8),index(Output_HALO!$A:$ZZ,0,$C7)},2,0),iferror(vlookup(U$12&amp;"-"&amp;$E19,{index(Output_HALO!$A:$ZZ,0,$C$8),index(Output_HALO!$A:$ZZ,0,$C7)},2,0),iferror(vlookup(U$12&amp;"-"&amp;$E22,{index(Output_HALO!$A:$ZZ,0,$C$8),index(Output_HALO!$A:$ZZ,0,$C7)},2,0),iferror(vlookup(U$12&amp;"-"&amp;$E25,{index(Output_HALO!$A:$ZZ,0,$C$8),index(Output_HALO!$A:$ZZ,0,$C7)},2,0),"")))))</f>
        <v/>
      </c>
      <c r="V9" s="349" t="str">
        <f t="array" ref="V9">iferror(vlookup(V$12&amp;"-"&amp;$E13,{index(Output_HALO!$A:$ZZ,0,$C$8),index(Output_HALO!$A:$ZZ,0,$C7)},2,0),iferror(vlookup(V$12&amp;"-"&amp;$E16,{index(Output_HALO!$A:$ZZ,0,$C$8),index(Output_HALO!$A:$ZZ,0,$C7)},2,0),iferror(vlookup(V$12&amp;"-"&amp;$E19,{index(Output_HALO!$A:$ZZ,0,$C$8),index(Output_HALO!$A:$ZZ,0,$C7)},2,0),iferror(vlookup(V$12&amp;"-"&amp;$E22,{index(Output_HALO!$A:$ZZ,0,$C$8),index(Output_HALO!$A:$ZZ,0,$C7)},2,0),iferror(vlookup(V$12&amp;"-"&amp;$E25,{index(Output_HALO!$A:$ZZ,0,$C$8),index(Output_HALO!$A:$ZZ,0,$C7)},2,0),"")))))</f>
        <v/>
      </c>
      <c r="W9" s="349" t="str">
        <f t="array" ref="W9">iferror(vlookup(W$12&amp;"-"&amp;$E13,{index(Output_HALO!$A:$ZZ,0,$C$8),index(Output_HALO!$A:$ZZ,0,$C7)},2,0),iferror(vlookup(W$12&amp;"-"&amp;$E16,{index(Output_HALO!$A:$ZZ,0,$C$8),index(Output_HALO!$A:$ZZ,0,$C7)},2,0),iferror(vlookup(W$12&amp;"-"&amp;$E19,{index(Output_HALO!$A:$ZZ,0,$C$8),index(Output_HALO!$A:$ZZ,0,$C7)},2,0),iferror(vlookup(W$12&amp;"-"&amp;$E22,{index(Output_HALO!$A:$ZZ,0,$C$8),index(Output_HALO!$A:$ZZ,0,$C7)},2,0),iferror(vlookup(W$12&amp;"-"&amp;$E25,{index(Output_HALO!$A:$ZZ,0,$C$8),index(Output_HALO!$A:$ZZ,0,$C7)},2,0),"")))))</f>
        <v>Chilled</v>
      </c>
      <c r="X9" s="349" t="str">
        <f t="array" ref="X9">iferror(vlookup(X$12&amp;"-"&amp;$E13,{index(Output_HALO!$A:$ZZ,0,$C$8),index(Output_HALO!$A:$ZZ,0,$C7)},2,0),iferror(vlookup(X$12&amp;"-"&amp;$E16,{index(Output_HALO!$A:$ZZ,0,$C$8),index(Output_HALO!$A:$ZZ,0,$C7)},2,0),iferror(vlookup(X$12&amp;"-"&amp;$E19,{index(Output_HALO!$A:$ZZ,0,$C$8),index(Output_HALO!$A:$ZZ,0,$C7)},2,0),iferror(vlookup(X$12&amp;"-"&amp;$E22,{index(Output_HALO!$A:$ZZ,0,$C$8),index(Output_HALO!$A:$ZZ,0,$C7)},2,0),iferror(vlookup(X$12&amp;"-"&amp;$E25,{index(Output_HALO!$A:$ZZ,0,$C$8),index(Output_HALO!$A:$ZZ,0,$C7)},2,0),"")))))</f>
        <v>Chilled</v>
      </c>
      <c r="Y9" s="349" t="str">
        <f t="array" ref="Y9">iferror(vlookup(Y$12&amp;"-"&amp;$E13,{index(Output_HALO!$A:$ZZ,0,$C$8),index(Output_HALO!$A:$ZZ,0,$C7)},2,0),iferror(vlookup(Y$12&amp;"-"&amp;$E16,{index(Output_HALO!$A:$ZZ,0,$C$8),index(Output_HALO!$A:$ZZ,0,$C7)},2,0),iferror(vlookup(Y$12&amp;"-"&amp;$E19,{index(Output_HALO!$A:$ZZ,0,$C$8),index(Output_HALO!$A:$ZZ,0,$C7)},2,0),iferror(vlookup(Y$12&amp;"-"&amp;$E22,{index(Output_HALO!$A:$ZZ,0,$C$8),index(Output_HALO!$A:$ZZ,0,$C7)},2,0),iferror(vlookup(Y$12&amp;"-"&amp;$E25,{index(Output_HALO!$A:$ZZ,0,$C$8),index(Output_HALO!$A:$ZZ,0,$C7)},2,0),"")))))</f>
        <v>Chilled</v>
      </c>
      <c r="Z9" s="349" t="str">
        <f t="array" ref="Z9">iferror(vlookup(Z$12&amp;"-"&amp;$E13,{index(Output_HALO!$A:$ZZ,0,$C$8),index(Output_HALO!$A:$ZZ,0,$C7)},2,0),iferror(vlookup(Z$12&amp;"-"&amp;$E16,{index(Output_HALO!$A:$ZZ,0,$C$8),index(Output_HALO!$A:$ZZ,0,$C7)},2,0),iferror(vlookup(Z$12&amp;"-"&amp;$E19,{index(Output_HALO!$A:$ZZ,0,$C$8),index(Output_HALO!$A:$ZZ,0,$C7)},2,0),iferror(vlookup(Z$12&amp;"-"&amp;$E22,{index(Output_HALO!$A:$ZZ,0,$C$8),index(Output_HALO!$A:$ZZ,0,$C7)},2,0),iferror(vlookup(Z$12&amp;"-"&amp;$E25,{index(Output_HALO!$A:$ZZ,0,$C$8),index(Output_HALO!$A:$ZZ,0,$C7)},2,0),"")))))</f>
        <v/>
      </c>
      <c r="AA9" s="349" t="str">
        <f t="array" ref="AA9">iferror(vlookup(AA$12&amp;"-"&amp;$E13,{index(Output_HALO!$A:$ZZ,0,$C$8),index(Output_HALO!$A:$ZZ,0,$C7)},2,0),iferror(vlookup(AA$12&amp;"-"&amp;$E16,{index(Output_HALO!$A:$ZZ,0,$C$8),index(Output_HALO!$A:$ZZ,0,$C7)},2,0),iferror(vlookup(AA$12&amp;"-"&amp;$E19,{index(Output_HALO!$A:$ZZ,0,$C$8),index(Output_HALO!$A:$ZZ,0,$C7)},2,0),iferror(vlookup(AA$12&amp;"-"&amp;$E22,{index(Output_HALO!$A:$ZZ,0,$C$8),index(Output_HALO!$A:$ZZ,0,$C7)},2,0),iferror(vlookup(AA$12&amp;"-"&amp;$E25,{index(Output_HALO!$A:$ZZ,0,$C$8),index(Output_HALO!$A:$ZZ,0,$C7)},2,0),"")))))</f>
        <v/>
      </c>
      <c r="AB9" s="349" t="str">
        <f t="array" ref="AB9">iferror(vlookup(AB$12&amp;"-"&amp;$E13,{index(Output_HALO!$A:$ZZ,0,$C$8),index(Output_HALO!$A:$ZZ,0,$C7)},2,0),iferror(vlookup(AB$12&amp;"-"&amp;$E16,{index(Output_HALO!$A:$ZZ,0,$C$8),index(Output_HALO!$A:$ZZ,0,$C7)},2,0),iferror(vlookup(AB$12&amp;"-"&amp;$E19,{index(Output_HALO!$A:$ZZ,0,$C$8),index(Output_HALO!$A:$ZZ,0,$C7)},2,0),iferror(vlookup(AB$12&amp;"-"&amp;$E22,{index(Output_HALO!$A:$ZZ,0,$C$8),index(Output_HALO!$A:$ZZ,0,$C7)},2,0),iferror(vlookup(AB$12&amp;"-"&amp;$E25,{index(Output_HALO!$A:$ZZ,0,$C$8),index(Output_HALO!$A:$ZZ,0,$C7)},2,0),"")))))</f>
        <v/>
      </c>
      <c r="AC9" s="349" t="str">
        <f t="array" ref="AC9">iferror(vlookup(AC$12&amp;"-"&amp;$E13,{index(Output_HALO!$A:$ZZ,0,$C$8),index(Output_HALO!$A:$ZZ,0,$C7)},2,0),iferror(vlookup(AC$12&amp;"-"&amp;$E16,{index(Output_HALO!$A:$ZZ,0,$C$8),index(Output_HALO!$A:$ZZ,0,$C7)},2,0),iferror(vlookup(AC$12&amp;"-"&amp;$E19,{index(Output_HALO!$A:$ZZ,0,$C$8),index(Output_HALO!$A:$ZZ,0,$C7)},2,0),iferror(vlookup(AC$12&amp;"-"&amp;$E22,{index(Output_HALO!$A:$ZZ,0,$C$8),index(Output_HALO!$A:$ZZ,0,$C7)},2,0),iferror(vlookup(AC$12&amp;"-"&amp;$E25,{index(Output_HALO!$A:$ZZ,0,$C$8),index(Output_HALO!$A:$ZZ,0,$C7)},2,0),"")))))</f>
        <v>Chilled</v>
      </c>
      <c r="AD9" s="349" t="str">
        <f t="array" ref="AD9">iferror(vlookup(AD$12&amp;"-"&amp;$E13,{index(Output_HALO!$A:$ZZ,0,$C$8),index(Output_HALO!$A:$ZZ,0,$C7)},2,0),iferror(vlookup(AD$12&amp;"-"&amp;$E16,{index(Output_HALO!$A:$ZZ,0,$C$8),index(Output_HALO!$A:$ZZ,0,$C7)},2,0),iferror(vlookup(AD$12&amp;"-"&amp;$E19,{index(Output_HALO!$A:$ZZ,0,$C$8),index(Output_HALO!$A:$ZZ,0,$C7)},2,0),iferror(vlookup(AD$12&amp;"-"&amp;$E22,{index(Output_HALO!$A:$ZZ,0,$C$8),index(Output_HALO!$A:$ZZ,0,$C7)},2,0),iferror(vlookup(AD$12&amp;"-"&amp;$E25,{index(Output_HALO!$A:$ZZ,0,$C$8),index(Output_HALO!$A:$ZZ,0,$C7)},2,0),"")))))</f>
        <v>Chilled</v>
      </c>
      <c r="AE9" s="349" t="str">
        <f t="array" ref="AE9">iferror(vlookup(AE$12&amp;"-"&amp;$E13,{index(Output_HALO!$A:$ZZ,0,$C$8),index(Output_HALO!$A:$ZZ,0,$C7)},2,0),iferror(vlookup(AE$12&amp;"-"&amp;$E16,{index(Output_HALO!$A:$ZZ,0,$C$8),index(Output_HALO!$A:$ZZ,0,$C7)},2,0),iferror(vlookup(AE$12&amp;"-"&amp;$E19,{index(Output_HALO!$A:$ZZ,0,$C$8),index(Output_HALO!$A:$ZZ,0,$C7)},2,0),iferror(vlookup(AE$12&amp;"-"&amp;$E22,{index(Output_HALO!$A:$ZZ,0,$C$8),index(Output_HALO!$A:$ZZ,0,$C7)},2,0),iferror(vlookup(AE$12&amp;"-"&amp;$E25,{index(Output_HALO!$A:$ZZ,0,$C$8),index(Output_HALO!$A:$ZZ,0,$C7)},2,0),"")))))</f>
        <v>Chilled</v>
      </c>
      <c r="AF9" s="349" t="str">
        <f t="array" ref="AF9">iferror(vlookup(AF$12&amp;"-"&amp;$E13,{index(Output_HALO!$A:$ZZ,0,$C$8),index(Output_HALO!$A:$ZZ,0,$C7)},2,0),iferror(vlookup(AF$12&amp;"-"&amp;$E16,{index(Output_HALO!$A:$ZZ,0,$C$8),index(Output_HALO!$A:$ZZ,0,$C7)},2,0),iferror(vlookup(AF$12&amp;"-"&amp;$E19,{index(Output_HALO!$A:$ZZ,0,$C$8),index(Output_HALO!$A:$ZZ,0,$C7)},2,0),iferror(vlookup(AF$12&amp;"-"&amp;$E22,{index(Output_HALO!$A:$ZZ,0,$C$8),index(Output_HALO!$A:$ZZ,0,$C7)},2,0),iferror(vlookup(AF$12&amp;"-"&amp;$E25,{index(Output_HALO!$A:$ZZ,0,$C$8),index(Output_HALO!$A:$ZZ,0,$C7)},2,0),"")))))</f>
        <v>Chilled</v>
      </c>
      <c r="AG9" s="349" t="str">
        <f t="array" ref="AG9">iferror(vlookup(AG$12&amp;"-"&amp;$E13,{index(Output_HALO!$A:$ZZ,0,$C$8),index(Output_HALO!$A:$ZZ,0,$C7)},2,0),iferror(vlookup(AG$12&amp;"-"&amp;$E16,{index(Output_HALO!$A:$ZZ,0,$C$8),index(Output_HALO!$A:$ZZ,0,$C7)},2,0),iferror(vlookup(AG$12&amp;"-"&amp;$E19,{index(Output_HALO!$A:$ZZ,0,$C$8),index(Output_HALO!$A:$ZZ,0,$C7)},2,0),iferror(vlookup(AG$12&amp;"-"&amp;$E22,{index(Output_HALO!$A:$ZZ,0,$C$8),index(Output_HALO!$A:$ZZ,0,$C7)},2,0),iferror(vlookup(AG$12&amp;"-"&amp;$E25,{index(Output_HALO!$A:$ZZ,0,$C$8),index(Output_HALO!$A:$ZZ,0,$C7)},2,0),"")))))</f>
        <v>Chilled</v>
      </c>
      <c r="AH9" s="349" t="str">
        <f t="array" ref="AH9">iferror(vlookup(AH$12&amp;"-"&amp;$E13,{index(Output_HALO!$A:$ZZ,0,$C$8),index(Output_HALO!$A:$ZZ,0,$C7)},2,0),iferror(vlookup(AH$12&amp;"-"&amp;$E16,{index(Output_HALO!$A:$ZZ,0,$C$8),index(Output_HALO!$A:$ZZ,0,$C7)},2,0),iferror(vlookup(AH$12&amp;"-"&amp;$E19,{index(Output_HALO!$A:$ZZ,0,$C$8),index(Output_HALO!$A:$ZZ,0,$C7)},2,0),iferror(vlookup(AH$12&amp;"-"&amp;$E22,{index(Output_HALO!$A:$ZZ,0,$C$8),index(Output_HALO!$A:$ZZ,0,$C7)},2,0),iferror(vlookup(AH$12&amp;"-"&amp;$E25,{index(Output_HALO!$A:$ZZ,0,$C$8),index(Output_HALO!$A:$ZZ,0,$C7)},2,0),"")))))</f>
        <v>Chilled</v>
      </c>
      <c r="AI9" s="349" t="str">
        <f t="array" ref="AI9">iferror(vlookup(AI$12&amp;"-"&amp;$E13,{index(Output_HALO!$A:$ZZ,0,$C$8),index(Output_HALO!$A:$ZZ,0,$C7)},2,0),iferror(vlookup(AI$12&amp;"-"&amp;$E16,{index(Output_HALO!$A:$ZZ,0,$C$8),index(Output_HALO!$A:$ZZ,0,$C7)},2,0),iferror(vlookup(AI$12&amp;"-"&amp;$E19,{index(Output_HALO!$A:$ZZ,0,$C$8),index(Output_HALO!$A:$ZZ,0,$C7)},2,0),iferror(vlookup(AI$12&amp;"-"&amp;$E22,{index(Output_HALO!$A:$ZZ,0,$C$8),index(Output_HALO!$A:$ZZ,0,$C7)},2,0),iferror(vlookup(AI$12&amp;"-"&amp;$E25,{index(Output_HALO!$A:$ZZ,0,$C$8),index(Output_HALO!$A:$ZZ,0,$C7)},2,0),"")))))</f>
        <v/>
      </c>
      <c r="AJ9" s="349" t="str">
        <f t="array" ref="AJ9">iferror(vlookup(AJ$12&amp;"-"&amp;$E13,{index(Output_HALO!$A:$ZZ,0,$C$8),index(Output_HALO!$A:$ZZ,0,$C7)},2,0),iferror(vlookup(AJ$12&amp;"-"&amp;$E16,{index(Output_HALO!$A:$ZZ,0,$C$8),index(Output_HALO!$A:$ZZ,0,$C7)},2,0),iferror(vlookup(AJ$12&amp;"-"&amp;$E19,{index(Output_HALO!$A:$ZZ,0,$C$8),index(Output_HALO!$A:$ZZ,0,$C7)},2,0),iferror(vlookup(AJ$12&amp;"-"&amp;$E22,{index(Output_HALO!$A:$ZZ,0,$C$8),index(Output_HALO!$A:$ZZ,0,$C7)},2,0),iferror(vlookup(AJ$12&amp;"-"&amp;$E25,{index(Output_HALO!$A:$ZZ,0,$C$8),index(Output_HALO!$A:$ZZ,0,$C7)},2,0),"")))))</f>
        <v/>
      </c>
      <c r="AK9" s="349" t="str">
        <f t="array" ref="AK9">iferror(vlookup(AK$12&amp;"-"&amp;$E13,{index(Output_HALO!$A:$ZZ,0,$C$8),index(Output_HALO!$A:$ZZ,0,$C7)},2,0),iferror(vlookup(AK$12&amp;"-"&amp;$E16,{index(Output_HALO!$A:$ZZ,0,$C$8),index(Output_HALO!$A:$ZZ,0,$C7)},2,0),iferror(vlookup(AK$12&amp;"-"&amp;$E19,{index(Output_HALO!$A:$ZZ,0,$C$8),index(Output_HALO!$A:$ZZ,0,$C7)},2,0),iferror(vlookup(AK$12&amp;"-"&amp;$E22,{index(Output_HALO!$A:$ZZ,0,$C$8),index(Output_HALO!$A:$ZZ,0,$C7)},2,0),iferror(vlookup(AK$12&amp;"-"&amp;$E25,{index(Output_HALO!$A:$ZZ,0,$C$8),index(Output_HALO!$A:$ZZ,0,$C7)},2,0),"")))))</f>
        <v/>
      </c>
      <c r="AL9" s="349" t="str">
        <f t="array" ref="AL9">iferror(vlookup(AL$12&amp;"-"&amp;$E13,{index(Output_HALO!$A:$ZZ,0,$C$8),index(Output_HALO!$A:$ZZ,0,$C7)},2,0),iferror(vlookup(AL$12&amp;"-"&amp;$E16,{index(Output_HALO!$A:$ZZ,0,$C$8),index(Output_HALO!$A:$ZZ,0,$C7)},2,0),iferror(vlookup(AL$12&amp;"-"&amp;$E19,{index(Output_HALO!$A:$ZZ,0,$C$8),index(Output_HALO!$A:$ZZ,0,$C7)},2,0),iferror(vlookup(AL$12&amp;"-"&amp;$E22,{index(Output_HALO!$A:$ZZ,0,$C$8),index(Output_HALO!$A:$ZZ,0,$C7)},2,0),iferror(vlookup(AL$12&amp;"-"&amp;$E25,{index(Output_HALO!$A:$ZZ,0,$C$8),index(Output_HALO!$A:$ZZ,0,$C7)},2,0),"")))))</f>
        <v/>
      </c>
      <c r="AM9" s="349" t="str">
        <f t="array" ref="AM9">iferror(vlookup(AM$12&amp;"-"&amp;$E13,{index(Output_HALO!$A:$ZZ,0,$C$8),index(Output_HALO!$A:$ZZ,0,$C7)},2,0),iferror(vlookup(AM$12&amp;"-"&amp;$E16,{index(Output_HALO!$A:$ZZ,0,$C$8),index(Output_HALO!$A:$ZZ,0,$C7)},2,0),iferror(vlookup(AM$12&amp;"-"&amp;$E19,{index(Output_HALO!$A:$ZZ,0,$C$8),index(Output_HALO!$A:$ZZ,0,$C7)},2,0),iferror(vlookup(AM$12&amp;"-"&amp;$E22,{index(Output_HALO!$A:$ZZ,0,$C$8),index(Output_HALO!$A:$ZZ,0,$C7)},2,0),iferror(vlookup(AM$12&amp;"-"&amp;$E25,{index(Output_HALO!$A:$ZZ,0,$C$8),index(Output_HALO!$A:$ZZ,0,$C7)},2,0),"")))))</f>
        <v>Chilled</v>
      </c>
      <c r="AN9" s="349" t="str">
        <f t="array" ref="AN9">iferror(vlookup(AN$12&amp;"-"&amp;$E13,{index(Output_HALO!$A:$ZZ,0,$C$8),index(Output_HALO!$A:$ZZ,0,$C7)},2,0),iferror(vlookup(AN$12&amp;"-"&amp;$E16,{index(Output_HALO!$A:$ZZ,0,$C$8),index(Output_HALO!$A:$ZZ,0,$C7)},2,0),iferror(vlookup(AN$12&amp;"-"&amp;$E19,{index(Output_HALO!$A:$ZZ,0,$C$8),index(Output_HALO!$A:$ZZ,0,$C7)},2,0),iferror(vlookup(AN$12&amp;"-"&amp;$E22,{index(Output_HALO!$A:$ZZ,0,$C$8),index(Output_HALO!$A:$ZZ,0,$C7)},2,0),iferror(vlookup(AN$12&amp;"-"&amp;$E25,{index(Output_HALO!$A:$ZZ,0,$C$8),index(Output_HALO!$A:$ZZ,0,$C7)},2,0),"")))))</f>
        <v>Chilled</v>
      </c>
      <c r="AO9" s="349" t="str">
        <f t="array" ref="AO9">iferror(vlookup(AO$12&amp;"-"&amp;$E13,{index(Output_HALO!$A:$ZZ,0,$C$8),index(Output_HALO!$A:$ZZ,0,$C7)},2,0),iferror(vlookup(AO$12&amp;"-"&amp;$E16,{index(Output_HALO!$A:$ZZ,0,$C$8),index(Output_HALO!$A:$ZZ,0,$C7)},2,0),iferror(vlookup(AO$12&amp;"-"&amp;$E19,{index(Output_HALO!$A:$ZZ,0,$C$8),index(Output_HALO!$A:$ZZ,0,$C7)},2,0),iferror(vlookup(AO$12&amp;"-"&amp;$E22,{index(Output_HALO!$A:$ZZ,0,$C$8),index(Output_HALO!$A:$ZZ,0,$C7)},2,0),iferror(vlookup(AO$12&amp;"-"&amp;$E25,{index(Output_HALO!$A:$ZZ,0,$C$8),index(Output_HALO!$A:$ZZ,0,$C7)},2,0),"")))))</f>
        <v>Chilled</v>
      </c>
      <c r="AP9" s="349" t="str">
        <f t="array" ref="AP9">iferror(vlookup(AP$12&amp;"-"&amp;$E13,{index(Output_HALO!$A:$ZZ,0,$C$8),index(Output_HALO!$A:$ZZ,0,$C7)},2,0),iferror(vlookup(AP$12&amp;"-"&amp;$E16,{index(Output_HALO!$A:$ZZ,0,$C$8),index(Output_HALO!$A:$ZZ,0,$C7)},2,0),iferror(vlookup(AP$12&amp;"-"&amp;$E19,{index(Output_HALO!$A:$ZZ,0,$C$8),index(Output_HALO!$A:$ZZ,0,$C7)},2,0),iferror(vlookup(AP$12&amp;"-"&amp;$E22,{index(Output_HALO!$A:$ZZ,0,$C$8),index(Output_HALO!$A:$ZZ,0,$C7)},2,0),iferror(vlookup(AP$12&amp;"-"&amp;$E25,{index(Output_HALO!$A:$ZZ,0,$C$8),index(Output_HALO!$A:$ZZ,0,$C7)},2,0),"")))))</f>
        <v>Chilled</v>
      </c>
      <c r="AQ9" s="349" t="str">
        <f t="array" ref="AQ9">iferror(vlookup(AQ$12&amp;"-"&amp;$E13,{index(Output_HALO!$A:$ZZ,0,$C$8),index(Output_HALO!$A:$ZZ,0,$C7)},2,0),iferror(vlookup(AQ$12&amp;"-"&amp;$E16,{index(Output_HALO!$A:$ZZ,0,$C$8),index(Output_HALO!$A:$ZZ,0,$C7)},2,0),iferror(vlookup(AQ$12&amp;"-"&amp;$E19,{index(Output_HALO!$A:$ZZ,0,$C$8),index(Output_HALO!$A:$ZZ,0,$C7)},2,0),iferror(vlookup(AQ$12&amp;"-"&amp;$E22,{index(Output_HALO!$A:$ZZ,0,$C$8),index(Output_HALO!$A:$ZZ,0,$C7)},2,0),iferror(vlookup(AQ$12&amp;"-"&amp;$E25,{index(Output_HALO!$A:$ZZ,0,$C$8),index(Output_HALO!$A:$ZZ,0,$C7)},2,0),"")))))</f>
        <v>Chilled</v>
      </c>
      <c r="AR9" s="349" t="str">
        <f t="array" ref="AR9">iferror(vlookup(AR$12&amp;"-"&amp;$E13,{index(Output_HALO!$A:$ZZ,0,$C$8),index(Output_HALO!$A:$ZZ,0,$C7)},2,0),iferror(vlookup(AR$12&amp;"-"&amp;$E16,{index(Output_HALO!$A:$ZZ,0,$C$8),index(Output_HALO!$A:$ZZ,0,$C7)},2,0),iferror(vlookup(AR$12&amp;"-"&amp;$E19,{index(Output_HALO!$A:$ZZ,0,$C$8),index(Output_HALO!$A:$ZZ,0,$C7)},2,0),iferror(vlookup(AR$12&amp;"-"&amp;$E22,{index(Output_HALO!$A:$ZZ,0,$C$8),index(Output_HALO!$A:$ZZ,0,$C7)},2,0),iferror(vlookup(AR$12&amp;"-"&amp;$E25,{index(Output_HALO!$A:$ZZ,0,$C$8),index(Output_HALO!$A:$ZZ,0,$C7)},2,0),"")))))</f>
        <v/>
      </c>
      <c r="AS9" s="349" t="str">
        <f t="array" ref="AS9">iferror(vlookup(AS$12&amp;"-"&amp;$E13,{index(Output_HALO!$A:$ZZ,0,$C$8),index(Output_HALO!$A:$ZZ,0,$C7)},2,0),iferror(vlookup(AS$12&amp;"-"&amp;$E16,{index(Output_HALO!$A:$ZZ,0,$C$8),index(Output_HALO!$A:$ZZ,0,$C7)},2,0),iferror(vlookup(AS$12&amp;"-"&amp;$E19,{index(Output_HALO!$A:$ZZ,0,$C$8),index(Output_HALO!$A:$ZZ,0,$C7)},2,0),iferror(vlookup(AS$12&amp;"-"&amp;$E22,{index(Output_HALO!$A:$ZZ,0,$C$8),index(Output_HALO!$A:$ZZ,0,$C7)},2,0),iferror(vlookup(AS$12&amp;"-"&amp;$E25,{index(Output_HALO!$A:$ZZ,0,$C$8),index(Output_HALO!$A:$ZZ,0,$C7)},2,0),"")))))</f>
        <v/>
      </c>
      <c r="AT9" s="349" t="str">
        <f t="array" ref="AT9">iferror(vlookup(AT$12&amp;"-"&amp;$E13,{index(Output_HALO!$A:$ZZ,0,$C$8),index(Output_HALO!$A:$ZZ,0,$C7)},2,0),iferror(vlookup(AT$12&amp;"-"&amp;$E16,{index(Output_HALO!$A:$ZZ,0,$C$8),index(Output_HALO!$A:$ZZ,0,$C7)},2,0),iferror(vlookup(AT$12&amp;"-"&amp;$E19,{index(Output_HALO!$A:$ZZ,0,$C$8),index(Output_HALO!$A:$ZZ,0,$C7)},2,0),iferror(vlookup(AT$12&amp;"-"&amp;$E22,{index(Output_HALO!$A:$ZZ,0,$C$8),index(Output_HALO!$A:$ZZ,0,$C7)},2,0),iferror(vlookup(AT$12&amp;"-"&amp;$E25,{index(Output_HALO!$A:$ZZ,0,$C$8),index(Output_HALO!$A:$ZZ,0,$C7)},2,0),"")))))</f>
        <v>Chilled</v>
      </c>
      <c r="AU9" s="349" t="str">
        <f t="array" ref="AU9">iferror(vlookup(AU$12&amp;"-"&amp;$E13,{index(Output_HALO!$A:$ZZ,0,$C$8),index(Output_HALO!$A:$ZZ,0,$C7)},2,0),iferror(vlookup(AU$12&amp;"-"&amp;$E16,{index(Output_HALO!$A:$ZZ,0,$C$8),index(Output_HALO!$A:$ZZ,0,$C7)},2,0),iferror(vlookup(AU$12&amp;"-"&amp;$E19,{index(Output_HALO!$A:$ZZ,0,$C$8),index(Output_HALO!$A:$ZZ,0,$C7)},2,0),iferror(vlookup(AU$12&amp;"-"&amp;$E22,{index(Output_HALO!$A:$ZZ,0,$C$8),index(Output_HALO!$A:$ZZ,0,$C7)},2,0),iferror(vlookup(AU$12&amp;"-"&amp;$E25,{index(Output_HALO!$A:$ZZ,0,$C$8),index(Output_HALO!$A:$ZZ,0,$C7)},2,0),"")))))</f>
        <v>Chilled</v>
      </c>
      <c r="AV9" s="349" t="str">
        <f t="array" ref="AV9">iferror(vlookup(AV$12&amp;"-"&amp;$E13,{index(Output_HALO!$A:$ZZ,0,$C$8),index(Output_HALO!$A:$ZZ,0,$C7)},2,0),iferror(vlookup(AV$12&amp;"-"&amp;$E16,{index(Output_HALO!$A:$ZZ,0,$C$8),index(Output_HALO!$A:$ZZ,0,$C7)},2,0),iferror(vlookup(AV$12&amp;"-"&amp;$E19,{index(Output_HALO!$A:$ZZ,0,$C$8),index(Output_HALO!$A:$ZZ,0,$C7)},2,0),iferror(vlookup(AV$12&amp;"-"&amp;$E22,{index(Output_HALO!$A:$ZZ,0,$C$8),index(Output_HALO!$A:$ZZ,0,$C7)},2,0),iferror(vlookup(AV$12&amp;"-"&amp;$E25,{index(Output_HALO!$A:$ZZ,0,$C$8),index(Output_HALO!$A:$ZZ,0,$C7)},2,0),"")))))</f>
        <v>Chilled</v>
      </c>
      <c r="AW9" s="349" t="str">
        <f t="array" ref="AW9">iferror(vlookup(AW$12&amp;"-"&amp;$E13,{index(Output_HALO!$A:$ZZ,0,$C$8),index(Output_HALO!$A:$ZZ,0,$C7)},2,0),iferror(vlookup(AW$12&amp;"-"&amp;$E16,{index(Output_HALO!$A:$ZZ,0,$C$8),index(Output_HALO!$A:$ZZ,0,$C7)},2,0),iferror(vlookup(AW$12&amp;"-"&amp;$E19,{index(Output_HALO!$A:$ZZ,0,$C$8),index(Output_HALO!$A:$ZZ,0,$C7)},2,0),iferror(vlookup(AW$12&amp;"-"&amp;$E22,{index(Output_HALO!$A:$ZZ,0,$C$8),index(Output_HALO!$A:$ZZ,0,$C7)},2,0),iferror(vlookup(AW$12&amp;"-"&amp;$E25,{index(Output_HALO!$A:$ZZ,0,$C$8),index(Output_HALO!$A:$ZZ,0,$C7)},2,0),"")))))</f>
        <v>Chilled</v>
      </c>
      <c r="AX9" s="349" t="str">
        <f t="array" ref="AX9">iferror(vlookup(AX$12&amp;"-"&amp;$E13,{index(Output_HALO!$A:$ZZ,0,$C$8),index(Output_HALO!$A:$ZZ,0,$C7)},2,0),iferror(vlookup(AX$12&amp;"-"&amp;$E16,{index(Output_HALO!$A:$ZZ,0,$C$8),index(Output_HALO!$A:$ZZ,0,$C7)},2,0),iferror(vlookup(AX$12&amp;"-"&amp;$E19,{index(Output_HALO!$A:$ZZ,0,$C$8),index(Output_HALO!$A:$ZZ,0,$C7)},2,0),iferror(vlookup(AX$12&amp;"-"&amp;$E22,{index(Output_HALO!$A:$ZZ,0,$C$8),index(Output_HALO!$A:$ZZ,0,$C7)},2,0),iferror(vlookup(AX$12&amp;"-"&amp;$E25,{index(Output_HALO!$A:$ZZ,0,$C$8),index(Output_HALO!$A:$ZZ,0,$C7)},2,0),"")))))</f>
        <v/>
      </c>
      <c r="AY9" s="349" t="str">
        <f t="array" ref="AY9">iferror(vlookup(AY$12&amp;"-"&amp;$E13,{index(Output_HALO!$A:$ZZ,0,$C$8),index(Output_HALO!$A:$ZZ,0,$C7)},2,0),iferror(vlookup(AY$12&amp;"-"&amp;$E16,{index(Output_HALO!$A:$ZZ,0,$C$8),index(Output_HALO!$A:$ZZ,0,$C7)},2,0),iferror(vlookup(AY$12&amp;"-"&amp;$E19,{index(Output_HALO!$A:$ZZ,0,$C$8),index(Output_HALO!$A:$ZZ,0,$C7)},2,0),iferror(vlookup(AY$12&amp;"-"&amp;$E22,{index(Output_HALO!$A:$ZZ,0,$C$8),index(Output_HALO!$A:$ZZ,0,$C7)},2,0),iferror(vlookup(AY$12&amp;"-"&amp;$E25,{index(Output_HALO!$A:$ZZ,0,$C$8),index(Output_HALO!$A:$ZZ,0,$C7)},2,0),"")))))</f>
        <v/>
      </c>
      <c r="AZ9" s="349" t="str">
        <f t="array" ref="AZ9">iferror(vlookup(AZ$12&amp;"-"&amp;$E13,{index(Output_HALO!$A:$ZZ,0,$C$8),index(Output_HALO!$A:$ZZ,0,$C7)},2,0),iferror(vlookup(AZ$12&amp;"-"&amp;$E16,{index(Output_HALO!$A:$ZZ,0,$C$8),index(Output_HALO!$A:$ZZ,0,$C7)},2,0),iferror(vlookup(AZ$12&amp;"-"&amp;$E19,{index(Output_HALO!$A:$ZZ,0,$C$8),index(Output_HALO!$A:$ZZ,0,$C7)},2,0),iferror(vlookup(AZ$12&amp;"-"&amp;$E22,{index(Output_HALO!$A:$ZZ,0,$C$8),index(Output_HALO!$A:$ZZ,0,$C7)},2,0),iferror(vlookup(AZ$12&amp;"-"&amp;$E25,{index(Output_HALO!$A:$ZZ,0,$C$8),index(Output_HALO!$A:$ZZ,0,$C7)},2,0),"")))))</f>
        <v/>
      </c>
      <c r="BA9" s="349" t="str">
        <f t="array" ref="BA9">iferror(vlookup(BA$12&amp;"-"&amp;$E13,{index(Output_HALO!$A:$ZZ,0,$C$8),index(Output_HALO!$A:$ZZ,0,$C7)},2,0),iferror(vlookup(BA$12&amp;"-"&amp;$E16,{index(Output_HALO!$A:$ZZ,0,$C$8),index(Output_HALO!$A:$ZZ,0,$C7)},2,0),iferror(vlookup(BA$12&amp;"-"&amp;$E19,{index(Output_HALO!$A:$ZZ,0,$C$8),index(Output_HALO!$A:$ZZ,0,$C7)},2,0),iferror(vlookup(BA$12&amp;"-"&amp;$E22,{index(Output_HALO!$A:$ZZ,0,$C$8),index(Output_HALO!$A:$ZZ,0,$C7)},2,0),iferror(vlookup(BA$12&amp;"-"&amp;$E25,{index(Output_HALO!$A:$ZZ,0,$C$8),index(Output_HALO!$A:$ZZ,0,$C7)},2,0),"")))))</f>
        <v/>
      </c>
      <c r="BB9" s="349" t="str">
        <f t="array" ref="BB9">iferror(vlookup(BB$12&amp;"-"&amp;$E13,{index(Output_HALO!$A:$ZZ,0,$C$8),index(Output_HALO!$A:$ZZ,0,$C7)},2,0),iferror(vlookup(BB$12&amp;"-"&amp;$E16,{index(Output_HALO!$A:$ZZ,0,$C$8),index(Output_HALO!$A:$ZZ,0,$C7)},2,0),iferror(vlookup(BB$12&amp;"-"&amp;$E19,{index(Output_HALO!$A:$ZZ,0,$C$8),index(Output_HALO!$A:$ZZ,0,$C7)},2,0),iferror(vlookup(BB$12&amp;"-"&amp;$E22,{index(Output_HALO!$A:$ZZ,0,$C$8),index(Output_HALO!$A:$ZZ,0,$C7)},2,0),iferror(vlookup(BB$12&amp;"-"&amp;$E25,{index(Output_HALO!$A:$ZZ,0,$C$8),index(Output_HALO!$A:$ZZ,0,$C7)},2,0),"")))))</f>
        <v>Chilled</v>
      </c>
      <c r="BC9" s="349" t="str">
        <f t="array" ref="BC9">iferror(vlookup(BC$12&amp;"-"&amp;$E13,{index(Output_HALO!$A:$ZZ,0,$C$8),index(Output_HALO!$A:$ZZ,0,$C7)},2,0),iferror(vlookup(BC$12&amp;"-"&amp;$E16,{index(Output_HALO!$A:$ZZ,0,$C$8),index(Output_HALO!$A:$ZZ,0,$C7)},2,0),iferror(vlookup(BC$12&amp;"-"&amp;$E19,{index(Output_HALO!$A:$ZZ,0,$C$8),index(Output_HALO!$A:$ZZ,0,$C7)},2,0),iferror(vlookup(BC$12&amp;"-"&amp;$E22,{index(Output_HALO!$A:$ZZ,0,$C$8),index(Output_HALO!$A:$ZZ,0,$C7)},2,0),iferror(vlookup(BC$12&amp;"-"&amp;$E25,{index(Output_HALO!$A:$ZZ,0,$C$8),index(Output_HALO!$A:$ZZ,0,$C7)},2,0),"")))))</f>
        <v>Chilled</v>
      </c>
      <c r="BD9" s="349" t="str">
        <f t="array" ref="BD9">iferror(vlookup(BD$12&amp;"-"&amp;$E13,{index(Output_HALO!$A:$ZZ,0,$C$8),index(Output_HALO!$A:$ZZ,0,$C7)},2,0),iferror(vlookup(BD$12&amp;"-"&amp;$E16,{index(Output_HALO!$A:$ZZ,0,$C$8),index(Output_HALO!$A:$ZZ,0,$C7)},2,0),iferror(vlookup(BD$12&amp;"-"&amp;$E19,{index(Output_HALO!$A:$ZZ,0,$C$8),index(Output_HALO!$A:$ZZ,0,$C7)},2,0),iferror(vlookup(BD$12&amp;"-"&amp;$E22,{index(Output_HALO!$A:$ZZ,0,$C$8),index(Output_HALO!$A:$ZZ,0,$C7)},2,0),iferror(vlookup(BD$12&amp;"-"&amp;$E25,{index(Output_HALO!$A:$ZZ,0,$C$8),index(Output_HALO!$A:$ZZ,0,$C7)},2,0),"")))))</f>
        <v>Chilled</v>
      </c>
      <c r="BE9" s="349" t="str">
        <f t="array" ref="BE9">iferror(vlookup(BE$12&amp;"-"&amp;$E13,{index(Output_HALO!$A:$ZZ,0,$C$8),index(Output_HALO!$A:$ZZ,0,$C7)},2,0),iferror(vlookup(BE$12&amp;"-"&amp;$E16,{index(Output_HALO!$A:$ZZ,0,$C$8),index(Output_HALO!$A:$ZZ,0,$C7)},2,0),iferror(vlookup(BE$12&amp;"-"&amp;$E19,{index(Output_HALO!$A:$ZZ,0,$C$8),index(Output_HALO!$A:$ZZ,0,$C7)},2,0),iferror(vlookup(BE$12&amp;"-"&amp;$E22,{index(Output_HALO!$A:$ZZ,0,$C$8),index(Output_HALO!$A:$ZZ,0,$C7)},2,0),iferror(vlookup(BE$12&amp;"-"&amp;$E25,{index(Output_HALO!$A:$ZZ,0,$C$8),index(Output_HALO!$A:$ZZ,0,$C7)},2,0),"")))))</f>
        <v>Chilled</v>
      </c>
      <c r="BF9" s="349" t="str">
        <f t="array" ref="BF9">iferror(vlookup(BF$12&amp;"-"&amp;$E13,{index(Output_HALO!$A:$ZZ,0,$C$8),index(Output_HALO!$A:$ZZ,0,$C7)},2,0),iferror(vlookup(BF$12&amp;"-"&amp;$E16,{index(Output_HALO!$A:$ZZ,0,$C$8),index(Output_HALO!$A:$ZZ,0,$C7)},2,0),iferror(vlookup(BF$12&amp;"-"&amp;$E19,{index(Output_HALO!$A:$ZZ,0,$C$8),index(Output_HALO!$A:$ZZ,0,$C7)},2,0),iferror(vlookup(BF$12&amp;"-"&amp;$E22,{index(Output_HALO!$A:$ZZ,0,$C$8),index(Output_HALO!$A:$ZZ,0,$C7)},2,0),iferror(vlookup(BF$12&amp;"-"&amp;$E25,{index(Output_HALO!$A:$ZZ,0,$C$8),index(Output_HALO!$A:$ZZ,0,$C7)},2,0),"")))))</f>
        <v/>
      </c>
      <c r="BG9" s="349" t="str">
        <f t="array" ref="BG9">iferror(vlookup(BG$12&amp;"-"&amp;$E13,{index(Output_HALO!$A:$ZZ,0,$C$8),index(Output_HALO!$A:$ZZ,0,$C7)},2,0),iferror(vlookup(BG$12&amp;"-"&amp;$E16,{index(Output_HALO!$A:$ZZ,0,$C$8),index(Output_HALO!$A:$ZZ,0,$C7)},2,0),iferror(vlookup(BG$12&amp;"-"&amp;$E19,{index(Output_HALO!$A:$ZZ,0,$C$8),index(Output_HALO!$A:$ZZ,0,$C7)},2,0),iferror(vlookup(BG$12&amp;"-"&amp;$E22,{index(Output_HALO!$A:$ZZ,0,$C$8),index(Output_HALO!$A:$ZZ,0,$C7)},2,0),iferror(vlookup(BG$12&amp;"-"&amp;$E25,{index(Output_HALO!$A:$ZZ,0,$C$8),index(Output_HALO!$A:$ZZ,0,$C7)},2,0),"")))))</f>
        <v>Chilled</v>
      </c>
      <c r="BH9" s="349" t="str">
        <f t="array" ref="BH9">iferror(vlookup(BH$12&amp;"-"&amp;$E13,{index(Output_HALO!$A:$ZZ,0,$C$8),index(Output_HALO!$A:$ZZ,0,$C7)},2,0),iferror(vlookup(BH$12&amp;"-"&amp;$E16,{index(Output_HALO!$A:$ZZ,0,$C$8),index(Output_HALO!$A:$ZZ,0,$C7)},2,0),iferror(vlookup(BH$12&amp;"-"&amp;$E19,{index(Output_HALO!$A:$ZZ,0,$C$8),index(Output_HALO!$A:$ZZ,0,$C7)},2,0),iferror(vlookup(BH$12&amp;"-"&amp;$E22,{index(Output_HALO!$A:$ZZ,0,$C$8),index(Output_HALO!$A:$ZZ,0,$C7)},2,0),iferror(vlookup(BH$12&amp;"-"&amp;$E25,{index(Output_HALO!$A:$ZZ,0,$C$8),index(Output_HALO!$A:$ZZ,0,$C7)},2,0),"")))))</f>
        <v>Chilled</v>
      </c>
      <c r="BI9" s="349" t="str">
        <f t="array" ref="BI9">iferror(vlookup(BI$12&amp;"-"&amp;$E13,{index(Output_HALO!$A:$ZZ,0,$C$8),index(Output_HALO!$A:$ZZ,0,$C7)},2,0),iferror(vlookup(BI$12&amp;"-"&amp;$E16,{index(Output_HALO!$A:$ZZ,0,$C$8),index(Output_HALO!$A:$ZZ,0,$C7)},2,0),iferror(vlookup(BI$12&amp;"-"&amp;$E19,{index(Output_HALO!$A:$ZZ,0,$C$8),index(Output_HALO!$A:$ZZ,0,$C7)},2,0),iferror(vlookup(BI$12&amp;"-"&amp;$E22,{index(Output_HALO!$A:$ZZ,0,$C$8),index(Output_HALO!$A:$ZZ,0,$C7)},2,0),iferror(vlookup(BI$12&amp;"-"&amp;$E25,{index(Output_HALO!$A:$ZZ,0,$C$8),index(Output_HALO!$A:$ZZ,0,$C7)},2,0),"")))))</f>
        <v>Chilled</v>
      </c>
      <c r="BJ9" s="349" t="str">
        <f t="array" ref="BJ9">iferror(vlookup(BJ$12&amp;"-"&amp;$E13,{index(Output_HALO!$A:$ZZ,0,$C$8),index(Output_HALO!$A:$ZZ,0,$C7)},2,0),iferror(vlookup(BJ$12&amp;"-"&amp;$E16,{index(Output_HALO!$A:$ZZ,0,$C$8),index(Output_HALO!$A:$ZZ,0,$C7)},2,0),iferror(vlookup(BJ$12&amp;"-"&amp;$E19,{index(Output_HALO!$A:$ZZ,0,$C$8),index(Output_HALO!$A:$ZZ,0,$C7)},2,0),iferror(vlookup(BJ$12&amp;"-"&amp;$E22,{index(Output_HALO!$A:$ZZ,0,$C$8),index(Output_HALO!$A:$ZZ,0,$C7)},2,0),iferror(vlookup(BJ$12&amp;"-"&amp;$E25,{index(Output_HALO!$A:$ZZ,0,$C$8),index(Output_HALO!$A:$ZZ,0,$C7)},2,0),"")))))</f>
        <v>Chilled</v>
      </c>
      <c r="BK9" s="349" t="str">
        <f t="array" ref="BK9">iferror(vlookup(BK$12&amp;"-"&amp;$E13,{index(Output_HALO!$A:$ZZ,0,$C$8),index(Output_HALO!$A:$ZZ,0,$C7)},2,0),iferror(vlookup(BK$12&amp;"-"&amp;$E16,{index(Output_HALO!$A:$ZZ,0,$C$8),index(Output_HALO!$A:$ZZ,0,$C7)},2,0),iferror(vlookup(BK$12&amp;"-"&amp;$E19,{index(Output_HALO!$A:$ZZ,0,$C$8),index(Output_HALO!$A:$ZZ,0,$C7)},2,0),iferror(vlookup(BK$12&amp;"-"&amp;$E22,{index(Output_HALO!$A:$ZZ,0,$C$8),index(Output_HALO!$A:$ZZ,0,$C7)},2,0),iferror(vlookup(BK$12&amp;"-"&amp;$E25,{index(Output_HALO!$A:$ZZ,0,$C$8),index(Output_HALO!$A:$ZZ,0,$C7)},2,0),"")))))</f>
        <v>Chilled</v>
      </c>
      <c r="BL9" s="349" t="str">
        <f t="array" ref="BL9">iferror(vlookup(BL$12&amp;"-"&amp;$E13,{index(Output_HALO!$A:$ZZ,0,$C$8),index(Output_HALO!$A:$ZZ,0,$C7)},2,0),iferror(vlookup(BL$12&amp;"-"&amp;$E16,{index(Output_HALO!$A:$ZZ,0,$C$8),index(Output_HALO!$A:$ZZ,0,$C7)},2,0),iferror(vlookup(BL$12&amp;"-"&amp;$E19,{index(Output_HALO!$A:$ZZ,0,$C$8),index(Output_HALO!$A:$ZZ,0,$C7)},2,0),iferror(vlookup(BL$12&amp;"-"&amp;$E22,{index(Output_HALO!$A:$ZZ,0,$C$8),index(Output_HALO!$A:$ZZ,0,$C7)},2,0),iferror(vlookup(BL$12&amp;"-"&amp;$E25,{index(Output_HALO!$A:$ZZ,0,$C$8),index(Output_HALO!$A:$ZZ,0,$C7)},2,0),"")))))</f>
        <v>Chilled</v>
      </c>
      <c r="BM9" s="349" t="str">
        <f t="array" ref="BM9">iferror(vlookup(BM$12&amp;"-"&amp;$E13,{index(Output_HALO!$A:$ZZ,0,$C$8),index(Output_HALO!$A:$ZZ,0,$C7)},2,0),iferror(vlookup(BM$12&amp;"-"&amp;$E16,{index(Output_HALO!$A:$ZZ,0,$C$8),index(Output_HALO!$A:$ZZ,0,$C7)},2,0),iferror(vlookup(BM$12&amp;"-"&amp;$E19,{index(Output_HALO!$A:$ZZ,0,$C$8),index(Output_HALO!$A:$ZZ,0,$C7)},2,0),iferror(vlookup(BM$12&amp;"-"&amp;$E22,{index(Output_HALO!$A:$ZZ,0,$C$8),index(Output_HALO!$A:$ZZ,0,$C7)},2,0),iferror(vlookup(BM$12&amp;"-"&amp;$E25,{index(Output_HALO!$A:$ZZ,0,$C$8),index(Output_HALO!$A:$ZZ,0,$C7)},2,0),"")))))</f>
        <v>Chilled</v>
      </c>
      <c r="BN9" s="349" t="str">
        <f t="array" ref="BN9">iferror(vlookup(BN$12&amp;"-"&amp;$E13,{index(Output_HALO!$A:$ZZ,0,$C$8),index(Output_HALO!$A:$ZZ,0,$C7)},2,0),iferror(vlookup(BN$12&amp;"-"&amp;$E16,{index(Output_HALO!$A:$ZZ,0,$C$8),index(Output_HALO!$A:$ZZ,0,$C7)},2,0),iferror(vlookup(BN$12&amp;"-"&amp;$E19,{index(Output_HALO!$A:$ZZ,0,$C$8),index(Output_HALO!$A:$ZZ,0,$C7)},2,0),iferror(vlookup(BN$12&amp;"-"&amp;$E22,{index(Output_HALO!$A:$ZZ,0,$C$8),index(Output_HALO!$A:$ZZ,0,$C7)},2,0),iferror(vlookup(BN$12&amp;"-"&amp;$E25,{index(Output_HALO!$A:$ZZ,0,$C$8),index(Output_HALO!$A:$ZZ,0,$C7)},2,0),"")))))</f>
        <v/>
      </c>
      <c r="BO9" s="349" t="str">
        <f t="array" ref="BO9">iferror(vlookup(BO$12&amp;"-"&amp;$E13,{index(Output_HALO!$A:$ZZ,0,$C$8),index(Output_HALO!$A:$ZZ,0,$C7)},2,0),iferror(vlookup(BO$12&amp;"-"&amp;$E16,{index(Output_HALO!$A:$ZZ,0,$C$8),index(Output_HALO!$A:$ZZ,0,$C7)},2,0),iferror(vlookup(BO$12&amp;"-"&amp;$E19,{index(Output_HALO!$A:$ZZ,0,$C$8),index(Output_HALO!$A:$ZZ,0,$C7)},2,0),iferror(vlookup(BO$12&amp;"-"&amp;$E22,{index(Output_HALO!$A:$ZZ,0,$C$8),index(Output_HALO!$A:$ZZ,0,$C7)},2,0),iferror(vlookup(BO$12&amp;"-"&amp;$E25,{index(Output_HALO!$A:$ZZ,0,$C$8),index(Output_HALO!$A:$ZZ,0,$C7)},2,0),"")))))</f>
        <v/>
      </c>
      <c r="BP9" s="349" t="str">
        <f t="array" ref="BP9">iferror(vlookup(BP$12&amp;"-"&amp;$E13,{index(Output_HALO!$A:$ZZ,0,$C$8),index(Output_HALO!$A:$ZZ,0,$C7)},2,0),iferror(vlookup(BP$12&amp;"-"&amp;$E16,{index(Output_HALO!$A:$ZZ,0,$C$8),index(Output_HALO!$A:$ZZ,0,$C7)},2,0),iferror(vlookup(BP$12&amp;"-"&amp;$E19,{index(Output_HALO!$A:$ZZ,0,$C$8),index(Output_HALO!$A:$ZZ,0,$C7)},2,0),iferror(vlookup(BP$12&amp;"-"&amp;$E22,{index(Output_HALO!$A:$ZZ,0,$C$8),index(Output_HALO!$A:$ZZ,0,$C7)},2,0),iferror(vlookup(BP$12&amp;"-"&amp;$E25,{index(Output_HALO!$A:$ZZ,0,$C$8),index(Output_HALO!$A:$ZZ,0,$C7)},2,0),"")))))</f>
        <v/>
      </c>
      <c r="BQ9" s="349" t="str">
        <f t="array" ref="BQ9">iferror(vlookup(BQ$12&amp;"-"&amp;$E13,{index(Output_HALO!$A:$ZZ,0,$C$8),index(Output_HALO!$A:$ZZ,0,$C7)},2,0),iferror(vlookup(BQ$12&amp;"-"&amp;$E16,{index(Output_HALO!$A:$ZZ,0,$C$8),index(Output_HALO!$A:$ZZ,0,$C7)},2,0),iferror(vlookup(BQ$12&amp;"-"&amp;$E19,{index(Output_HALO!$A:$ZZ,0,$C$8),index(Output_HALO!$A:$ZZ,0,$C7)},2,0),iferror(vlookup(BQ$12&amp;"-"&amp;$E22,{index(Output_HALO!$A:$ZZ,0,$C$8),index(Output_HALO!$A:$ZZ,0,$C7)},2,0),iferror(vlookup(BQ$12&amp;"-"&amp;$E25,{index(Output_HALO!$A:$ZZ,0,$C$8),index(Output_HALO!$A:$ZZ,0,$C7)},2,0),"")))))</f>
        <v/>
      </c>
    </row>
    <row r="10">
      <c r="A10" s="118"/>
      <c r="E10" s="348" t="str">
        <f>"PICKS (" &amp; round(average(F10:BQ10)/max(F10:BQ10),2)*100 &amp; "%)"</f>
        <v>PICKS (51%)</v>
      </c>
      <c r="F10" s="350" t="str">
        <f t="array" ref="F10">if(AND(F11&lt;&gt;"",F11&lt;&gt;G11), sumifs(index(Output_HALO!1:100000,0,$C$4),index(Output_HALO!1:100000,0,$C$6),F11),"")</f>
        <v/>
      </c>
      <c r="G10" s="350" t="str">
        <f t="array" ref="G10">if(AND(G11&lt;&gt;"",G11&lt;&gt;H11), sumifs(index(Output_HALO!1:100000,0,$C$4),index(Output_HALO!1:100000,0,$C$6),G11),"")</f>
        <v/>
      </c>
      <c r="H10" s="350" t="str">
        <f t="array" ref="H10">if(AND(H11&lt;&gt;"",H11&lt;&gt;I11), sumifs(index(Output_HALO!1:100000,0,$C$4),index(Output_HALO!1:100000,0,$C$6),H11),"")</f>
        <v/>
      </c>
      <c r="I10" s="350" t="str">
        <f t="array" ref="I10">if(AND(I11&lt;&gt;"",I11&lt;&gt;J11), sumifs(index(Output_HALO!1:100000,0,$C$4),index(Output_HALO!1:100000,0,$C$6),I11),"")</f>
        <v/>
      </c>
      <c r="J10" s="350">
        <f t="array" ref="J10">if(AND(J11&lt;&gt;"",J11&lt;&gt;K11), sumifs(index(Output_HALO!1:100000,0,$C$4),index(Output_HALO!1:100000,0,$C$6),J11),"")</f>
        <v>0</v>
      </c>
      <c r="K10" s="350" t="str">
        <f t="array" ref="K10">if(AND(K11&lt;&gt;"",K11&lt;&gt;L11), sumifs(index(Output_HALO!1:100000,0,$C$4),index(Output_HALO!1:100000,0,$C$6),K11),"")</f>
        <v/>
      </c>
      <c r="L10" s="350" t="str">
        <f t="array" ref="L10">if(AND(L11&lt;&gt;"",L11&lt;&gt;M11), sumifs(index(Output_HALO!1:100000,0,$C$4),index(Output_HALO!1:100000,0,$C$6),L11),"")</f>
        <v/>
      </c>
      <c r="M10" s="350" t="str">
        <f t="array" ref="M10">if(AND(M11&lt;&gt;"",M11&lt;&gt;N11), sumifs(index(Output_HALO!1:100000,0,$C$4),index(Output_HALO!1:100000,0,$C$6),M11),"")</f>
        <v/>
      </c>
      <c r="N10" s="350">
        <f t="array" ref="N10">if(AND(N11&lt;&gt;"",N11&lt;&gt;O11), sumifs(index(Output_HALO!1:100000,0,$C$4),index(Output_HALO!1:100000,0,$C$6),N11),"")</f>
        <v>0</v>
      </c>
      <c r="O10" s="350" t="str">
        <f t="array" ref="O10">if(AND(O11&lt;&gt;"",O11&lt;&gt;P11), sumifs(index(Output_HALO!1:100000,0,$C$4),index(Output_HALO!1:100000,0,$C$6),O11),"")</f>
        <v/>
      </c>
      <c r="P10" s="350" t="str">
        <f t="array" ref="P10">if(AND(P11&lt;&gt;"",P11&lt;&gt;Q11), sumifs(index(Output_HALO!1:100000,0,$C$4),index(Output_HALO!1:100000,0,$C$6),P11),"")</f>
        <v/>
      </c>
      <c r="Q10" s="350" t="str">
        <f t="array" ref="Q10">if(AND(Q11&lt;&gt;"",Q11&lt;&gt;R11), sumifs(index(Output_HALO!1:100000,0,$C$4),index(Output_HALO!1:100000,0,$C$6),Q11),"")</f>
        <v/>
      </c>
      <c r="R10" s="350" t="str">
        <f t="array" ref="R10">if(AND(R11&lt;&gt;"",R11&lt;&gt;S11), sumifs(index(Output_HALO!1:100000,0,$C$4),index(Output_HALO!1:100000,0,$C$6),R11),"")</f>
        <v/>
      </c>
      <c r="S10" s="350">
        <f t="array" ref="S10">if(AND(S11&lt;&gt;"",S11&lt;&gt;T11), sumifs(index(Output_HALO!1:100000,0,$C$4),index(Output_HALO!1:100000,0,$C$6),S11),"")</f>
        <v>3692</v>
      </c>
      <c r="T10" s="350" t="str">
        <f t="array" ref="T10">if(AND(T11&lt;&gt;"",T11&lt;&gt;U11), sumifs(index(Output_HALO!1:100000,0,$C$4),index(Output_HALO!1:100000,0,$C$6),T11),"")</f>
        <v/>
      </c>
      <c r="U10" s="350" t="str">
        <f t="array" ref="U10">if(AND(U11&lt;&gt;"",U11&lt;&gt;V11), sumifs(index(Output_HALO!1:100000,0,$C$4),index(Output_HALO!1:100000,0,$C$6),U11),"")</f>
        <v/>
      </c>
      <c r="V10" s="350" t="str">
        <f t="array" ref="V10">if(AND(V11&lt;&gt;"",V11&lt;&gt;W11), sumifs(index(Output_HALO!1:100000,0,$C$4),index(Output_HALO!1:100000,0,$C$6),V11),"")</f>
        <v/>
      </c>
      <c r="W10" s="350" t="str">
        <f t="array" ref="W10">if(AND(W11&lt;&gt;"",W11&lt;&gt;X11), sumifs(index(Output_HALO!1:100000,0,$C$4),index(Output_HALO!1:100000,0,$C$6),W11),"")</f>
        <v/>
      </c>
      <c r="X10" s="350" t="str">
        <f t="array" ref="X10">if(AND(X11&lt;&gt;"",X11&lt;&gt;Y11), sumifs(index(Output_HALO!1:100000,0,$C$4),index(Output_HALO!1:100000,0,$C$6),X11),"")</f>
        <v/>
      </c>
      <c r="Y10" s="350">
        <f t="array" ref="Y10">if(AND(Y11&lt;&gt;"",Y11&lt;&gt;Z11), sumifs(index(Output_HALO!1:100000,0,$C$4),index(Output_HALO!1:100000,0,$C$6),Y11),"")</f>
        <v>3739</v>
      </c>
      <c r="Z10" s="350" t="str">
        <f t="array" ref="Z10">if(AND(Z11&lt;&gt;"",Z11&lt;&gt;AA11), sumifs(index(Output_HALO!1:100000,0,$C$4),index(Output_HALO!1:100000,0,$C$6),Z11),"")</f>
        <v/>
      </c>
      <c r="AA10" s="350" t="str">
        <f t="array" ref="AA10">if(AND(AA11&lt;&gt;"",AA11&lt;&gt;AB11), sumifs(index(Output_HALO!1:100000,0,$C$4),index(Output_HALO!1:100000,0,$C$6),AA11),"")</f>
        <v/>
      </c>
      <c r="AB10" s="350" t="str">
        <f t="array" ref="AB10">if(AND(AB11&lt;&gt;"",AB11&lt;&gt;AC11), sumifs(index(Output_HALO!1:100000,0,$C$4),index(Output_HALO!1:100000,0,$C$6),AB11),"")</f>
        <v/>
      </c>
      <c r="AC10" s="350" t="str">
        <f t="array" ref="AC10">if(AND(AC11&lt;&gt;"",AC11&lt;&gt;AD11), sumifs(index(Output_HALO!1:100000,0,$C$4),index(Output_HALO!1:100000,0,$C$6),AC11),"")</f>
        <v/>
      </c>
      <c r="AD10" s="350" t="str">
        <f t="array" ref="AD10">if(AND(AD11&lt;&gt;"",AD11&lt;&gt;AE11), sumifs(index(Output_HALO!1:100000,0,$C$4),index(Output_HALO!1:100000,0,$C$6),AD11),"")</f>
        <v/>
      </c>
      <c r="AE10" s="350">
        <f t="array" ref="AE10">if(AND(AE11&lt;&gt;"",AE11&lt;&gt;AF11), sumifs(index(Output_HALO!1:100000,0,$C$4),index(Output_HALO!1:100000,0,$C$6),AE11),"")</f>
        <v>2915</v>
      </c>
      <c r="AF10" s="350" t="str">
        <f t="array" ref="AF10">if(AND(AF11&lt;&gt;"",AF11&lt;&gt;AG11), sumifs(index(Output_HALO!1:100000,0,$C$4),index(Output_HALO!1:100000,0,$C$6),AF11),"")</f>
        <v/>
      </c>
      <c r="AG10" s="350" t="str">
        <f t="array" ref="AG10">if(AND(AG11&lt;&gt;"",AG11&lt;&gt;AH11), sumifs(index(Output_HALO!1:100000,0,$C$4),index(Output_HALO!1:100000,0,$C$6),AG11),"")</f>
        <v/>
      </c>
      <c r="AH10" s="350">
        <f t="array" ref="AH10">if(AND(AH11&lt;&gt;"",AH11&lt;&gt;AI11), sumifs(index(Output_HALO!1:100000,0,$C$4),index(Output_HALO!1:100000,0,$C$6),AH11),"")</f>
        <v>5015</v>
      </c>
      <c r="AI10" s="350" t="str">
        <f t="array" ref="AI10">if(AND(AI11&lt;&gt;"",AI11&lt;&gt;AJ11), sumifs(index(Output_HALO!1:100000,0,$C$4),index(Output_HALO!1:100000,0,$C$6),AI11),"")</f>
        <v/>
      </c>
      <c r="AJ10" s="350" t="str">
        <f t="array" ref="AJ10">if(AND(AJ11&lt;&gt;"",AJ11&lt;&gt;AK11), sumifs(index(Output_HALO!1:100000,0,$C$4),index(Output_HALO!1:100000,0,$C$6),AJ11),"")</f>
        <v/>
      </c>
      <c r="AK10" s="350" t="str">
        <f t="array" ref="AK10">if(AND(AK11&lt;&gt;"",AK11&lt;&gt;AL11), sumifs(index(Output_HALO!1:100000,0,$C$4),index(Output_HALO!1:100000,0,$C$6),AK11),"")</f>
        <v/>
      </c>
      <c r="AL10" s="350" t="str">
        <f t="array" ref="AL10">if(AND(AL11&lt;&gt;"",AL11&lt;&gt;AM11), sumifs(index(Output_HALO!1:100000,0,$C$4),index(Output_HALO!1:100000,0,$C$6),AL11),"")</f>
        <v/>
      </c>
      <c r="AM10" s="350" t="str">
        <f t="array" ref="AM10">if(AND(AM11&lt;&gt;"",AM11&lt;&gt;AN11), sumifs(index(Output_HALO!1:100000,0,$C$4),index(Output_HALO!1:100000,0,$C$6),AM11),"")</f>
        <v/>
      </c>
      <c r="AN10" s="350">
        <f t="array" ref="AN10">if(AND(AN11&lt;&gt;"",AN11&lt;&gt;AO11), sumifs(index(Output_HALO!1:100000,0,$C$4),index(Output_HALO!1:100000,0,$C$6),AN11),"")</f>
        <v>6233</v>
      </c>
      <c r="AO10" s="350" t="str">
        <f t="array" ref="AO10">if(AND(AO11&lt;&gt;"",AO11&lt;&gt;AP11), sumifs(index(Output_HALO!1:100000,0,$C$4),index(Output_HALO!1:100000,0,$C$6),AO11),"")</f>
        <v/>
      </c>
      <c r="AP10" s="350" t="str">
        <f t="array" ref="AP10">if(AND(AP11&lt;&gt;"",AP11&lt;&gt;AQ11), sumifs(index(Output_HALO!1:100000,0,$C$4),index(Output_HALO!1:100000,0,$C$6),AP11),"")</f>
        <v/>
      </c>
      <c r="AQ10" s="350">
        <f t="array" ref="AQ10">if(AND(AQ11&lt;&gt;"",AQ11&lt;&gt;AR11), sumifs(index(Output_HALO!1:100000,0,$C$4),index(Output_HALO!1:100000,0,$C$6),AQ11),"")</f>
        <v>2993</v>
      </c>
      <c r="AR10" s="350" t="str">
        <f t="array" ref="AR10">if(AND(AR11&lt;&gt;"",AR11&lt;&gt;AS11), sumifs(index(Output_HALO!1:100000,0,$C$4),index(Output_HALO!1:100000,0,$C$6),AR11),"")</f>
        <v/>
      </c>
      <c r="AS10" s="350" t="str">
        <f t="array" ref="AS10">if(AND(AS11&lt;&gt;"",AS11&lt;&gt;AT11), sumifs(index(Output_HALO!1:100000,0,$C$4),index(Output_HALO!1:100000,0,$C$6),AS11),"")</f>
        <v/>
      </c>
      <c r="AT10" s="350" t="str">
        <f t="array" ref="AT10">if(AND(AT11&lt;&gt;"",AT11&lt;&gt;AU11), sumifs(index(Output_HALO!1:100000,0,$C$4),index(Output_HALO!1:100000,0,$C$6),AT11),"")</f>
        <v/>
      </c>
      <c r="AU10" s="350" t="str">
        <f t="array" ref="AU10">if(AND(AU11&lt;&gt;"",AU11&lt;&gt;AV11), sumifs(index(Output_HALO!1:100000,0,$C$4),index(Output_HALO!1:100000,0,$C$6),AU11),"")</f>
        <v/>
      </c>
      <c r="AV10" s="350" t="str">
        <f t="array" ref="AV10">if(AND(AV11&lt;&gt;"",AV11&lt;&gt;AW11), sumifs(index(Output_HALO!1:100000,0,$C$4),index(Output_HALO!1:100000,0,$C$6),AV11),"")</f>
        <v/>
      </c>
      <c r="AW10" s="350">
        <f t="array" ref="AW10">if(AND(AW11&lt;&gt;"",AW11&lt;&gt;AX11), sumifs(index(Output_HALO!1:100000,0,$C$4),index(Output_HALO!1:100000,0,$C$6),AW11),"")</f>
        <v>6495</v>
      </c>
      <c r="AX10" s="350" t="str">
        <f t="array" ref="AX10">if(AND(AX11&lt;&gt;"",AX11&lt;&gt;AY11), sumifs(index(Output_HALO!1:100000,0,$C$4),index(Output_HALO!1:100000,0,$C$6),AX11),"")</f>
        <v/>
      </c>
      <c r="AY10" s="350" t="str">
        <f t="array" ref="AY10">if(AND(AY11&lt;&gt;"",AY11&lt;&gt;AZ11), sumifs(index(Output_HALO!1:100000,0,$C$4),index(Output_HALO!1:100000,0,$C$6),AY11),"")</f>
        <v/>
      </c>
      <c r="AZ10" s="350" t="str">
        <f t="array" ref="AZ10">if(AND(AZ11&lt;&gt;"",AZ11&lt;&gt;BA11), sumifs(index(Output_HALO!1:100000,0,$C$4),index(Output_HALO!1:100000,0,$C$6),AZ11),"")</f>
        <v/>
      </c>
      <c r="BA10" s="350" t="str">
        <f t="array" ref="BA10">if(AND(BA11&lt;&gt;"",BA11&lt;&gt;BB11), sumifs(index(Output_HALO!1:100000,0,$C$4),index(Output_HALO!1:100000,0,$C$6),BA11),"")</f>
        <v/>
      </c>
      <c r="BB10" s="350" t="str">
        <f t="array" ref="BB10">if(AND(BB11&lt;&gt;"",BB11&lt;&gt;BC11), sumifs(index(Output_HALO!1:100000,0,$C$4),index(Output_HALO!1:100000,0,$C$6),BB11),"")</f>
        <v/>
      </c>
      <c r="BC10" s="350" t="str">
        <f t="array" ref="BC10">if(AND(BC11&lt;&gt;"",BC11&lt;&gt;BD11), sumifs(index(Output_HALO!1:100000,0,$C$4),index(Output_HALO!1:100000,0,$C$6),BC11),"")</f>
        <v/>
      </c>
      <c r="BD10" s="350" t="str">
        <f t="array" ref="BD10">if(AND(BD11&lt;&gt;"",BD11&lt;&gt;BE11), sumifs(index(Output_HALO!1:100000,0,$C$4),index(Output_HALO!1:100000,0,$C$6),BD11),"")</f>
        <v/>
      </c>
      <c r="BE10" s="350">
        <f t="array" ref="BE10">if(AND(BE11&lt;&gt;"",BE11&lt;&gt;BF11), sumifs(index(Output_HALO!1:100000,0,$C$4),index(Output_HALO!1:100000,0,$C$6),BE11),"")</f>
        <v>6693</v>
      </c>
      <c r="BF10" s="350" t="str">
        <f t="array" ref="BF10">if(AND(BF11&lt;&gt;"",BF11&lt;&gt;BG11), sumifs(index(Output_HALO!1:100000,0,$C$4),index(Output_HALO!1:100000,0,$C$6),BF11),"")</f>
        <v/>
      </c>
      <c r="BG10" s="350" t="str">
        <f t="array" ref="BG10">if(AND(BG11&lt;&gt;"",BG11&lt;&gt;BH11), sumifs(index(Output_HALO!1:100000,0,$C$4),index(Output_HALO!1:100000,0,$C$6),BG11),"")</f>
        <v/>
      </c>
      <c r="BH10" s="350" t="str">
        <f t="array" ref="BH10">if(AND(BH11&lt;&gt;"",BH11&lt;&gt;BI11), sumifs(index(Output_HALO!1:100000,0,$C$4),index(Output_HALO!1:100000,0,$C$6),BH11),"")</f>
        <v/>
      </c>
      <c r="BI10" s="350">
        <f t="array" ref="BI10">if(AND(BI11&lt;&gt;"",BI11&lt;&gt;BJ11), sumifs(index(Output_HALO!1:100000,0,$C$4),index(Output_HALO!1:100000,0,$C$6),BI11),"")</f>
        <v>2962</v>
      </c>
      <c r="BJ10" s="350" t="str">
        <f t="array" ref="BJ10">if(AND(BJ11&lt;&gt;"",BJ11&lt;&gt;BK11), sumifs(index(Output_HALO!1:100000,0,$C$4),index(Output_HALO!1:100000,0,$C$6),BJ11),"")</f>
        <v/>
      </c>
      <c r="BK10" s="350" t="str">
        <f t="array" ref="BK10">if(AND(BK11&lt;&gt;"",BK11&lt;&gt;BL11), sumifs(index(Output_HALO!1:100000,0,$C$4),index(Output_HALO!1:100000,0,$C$6),BK11),"")</f>
        <v/>
      </c>
      <c r="BL10" s="350" t="str">
        <f t="array" ref="BL10">if(AND(BL11&lt;&gt;"",BL11&lt;&gt;BM11), sumifs(index(Output_HALO!1:100000,0,$C$4),index(Output_HALO!1:100000,0,$C$6),BL11),"")</f>
        <v/>
      </c>
      <c r="BM10" s="350">
        <f t="array" ref="BM10">if(AND(BM11&lt;&gt;"",BM11&lt;&gt;BN11), sumifs(index(Output_HALO!1:100000,0,$C$4),index(Output_HALO!1:100000,0,$C$6),BM11),"")</f>
        <v>185</v>
      </c>
      <c r="BN10" s="350" t="str">
        <f t="array" ref="BN10">if(AND(BN11&lt;&gt;"",BN11&lt;&gt;BO11), sumifs(index(Output_HALO!1:100000,0,$C$4),index(Output_HALO!1:100000,0,$C$6),BN11),"")</f>
        <v/>
      </c>
      <c r="BO10" s="350" t="str">
        <f t="array" ref="BO10">if(AND(BO11&lt;&gt;"",BO11&lt;&gt;BP11), sumifs(index(Output_HALO!1:100000,0,$C$4),index(Output_HALO!1:100000,0,$C$6),BO11),"")</f>
        <v/>
      </c>
      <c r="BP10" s="350" t="str">
        <f t="array" ref="BP10">if(AND(BP11&lt;&gt;"",BP11&lt;&gt;BQ11), sumifs(index(Output_HALO!1:100000,0,$C$4),index(Output_HALO!1:100000,0,$C$6),BP11),"")</f>
        <v/>
      </c>
      <c r="BQ10" s="350" t="str">
        <f t="array" ref="BQ10">if(AND(BQ11&lt;&gt;"",BQ11&lt;&gt;BR11), sumifs(index(Output_HALO!1:100000,0,$C$4),index(Output_HALO!1:100000,0,$C$6),BQ11),"")</f>
        <v/>
      </c>
    </row>
    <row r="11">
      <c r="A11" s="12"/>
      <c r="E11" s="348" t="s">
        <v>467</v>
      </c>
      <c r="F11" s="351" t="str">
        <f t="array" ref="F11">iferror(vlookup(F$12&amp;"-"&amp;$E13,{index(Output_HALO!$A:$ZZ,0,$C$8),index(Output_HALO!$A:$ZZ,0,$C6)},2,0),iferror(vlookup(F$12&amp;"-"&amp;$E16,{index(Output_HALO!$A:$ZZ,0,$C$8),index(Output_HALO!$A:$ZZ,0,$C6)},2,0),iferror(vlookup(F$12&amp;"-"&amp;$E19,{index(Output_HALO!$A:$ZZ,0,$C$8),index(Output_HALO!$A:$ZZ,0,$C6)},2,0),iferror(vlookup(F$12&amp;"-"&amp;$E22,{index(Output_HALO!$A:$ZZ,0,$C$8),index(Output_HALO!$A:$ZZ,0,$C6)},2,0),iferror(vlookup(F$12&amp;"-"&amp;$E25,{index(Output_HALO!$A:$ZZ,0,$C$8),index(Output_HALO!$A:$ZZ,0,$C6)},2,0),"")))))</f>
        <v/>
      </c>
      <c r="G11" s="351">
        <f t="array" ref="G11">iferror(vlookup(G$12&amp;"-"&amp;$E13,{index(Output_HALO!$A:$ZZ,0,$C$8),index(Output_HALO!$A:$ZZ,0,$C6)},2,0),iferror(vlookup(G$12&amp;"-"&amp;$E16,{index(Output_HALO!$A:$ZZ,0,$C$8),index(Output_HALO!$A:$ZZ,0,$C6)},2,0),iferror(vlookup(G$12&amp;"-"&amp;$E19,{index(Output_HALO!$A:$ZZ,0,$C$8),index(Output_HALO!$A:$ZZ,0,$C6)},2,0),iferror(vlookup(G$12&amp;"-"&amp;$E22,{index(Output_HALO!$A:$ZZ,0,$C$8),index(Output_HALO!$A:$ZZ,0,$C6)},2,0),iferror(vlookup(G$12&amp;"-"&amp;$E25,{index(Output_HALO!$A:$ZZ,0,$C$8),index(Output_HALO!$A:$ZZ,0,$C6)},2,0),"")))))</f>
        <v>1</v>
      </c>
      <c r="H11" s="351">
        <f t="array" ref="H11">iferror(vlookup(H$12&amp;"-"&amp;$E13,{index(Output_HALO!$A:$ZZ,0,$C$8),index(Output_HALO!$A:$ZZ,0,$C6)},2,0),iferror(vlookup(H$12&amp;"-"&amp;$E16,{index(Output_HALO!$A:$ZZ,0,$C$8),index(Output_HALO!$A:$ZZ,0,$C6)},2,0),iferror(vlookup(H$12&amp;"-"&amp;$E19,{index(Output_HALO!$A:$ZZ,0,$C$8),index(Output_HALO!$A:$ZZ,0,$C6)},2,0),iferror(vlookup(H$12&amp;"-"&amp;$E22,{index(Output_HALO!$A:$ZZ,0,$C$8),index(Output_HALO!$A:$ZZ,0,$C6)},2,0),iferror(vlookup(H$12&amp;"-"&amp;$E25,{index(Output_HALO!$A:$ZZ,0,$C$8),index(Output_HALO!$A:$ZZ,0,$C6)},2,0),"")))))</f>
        <v>1</v>
      </c>
      <c r="I11" s="351">
        <f t="array" ref="I11">iferror(vlookup(I$12&amp;"-"&amp;$E13,{index(Output_HALO!$A:$ZZ,0,$C$8),index(Output_HALO!$A:$ZZ,0,$C6)},2,0),iferror(vlookup(I$12&amp;"-"&amp;$E16,{index(Output_HALO!$A:$ZZ,0,$C$8),index(Output_HALO!$A:$ZZ,0,$C6)},2,0),iferror(vlookup(I$12&amp;"-"&amp;$E19,{index(Output_HALO!$A:$ZZ,0,$C$8),index(Output_HALO!$A:$ZZ,0,$C6)},2,0),iferror(vlookup(I$12&amp;"-"&amp;$E22,{index(Output_HALO!$A:$ZZ,0,$C$8),index(Output_HALO!$A:$ZZ,0,$C6)},2,0),iferror(vlookup(I$12&amp;"-"&amp;$E25,{index(Output_HALO!$A:$ZZ,0,$C$8),index(Output_HALO!$A:$ZZ,0,$C6)},2,0),"")))))</f>
        <v>1</v>
      </c>
      <c r="J11" s="351">
        <f t="array" ref="J11">iferror(vlookup(J$12&amp;"-"&amp;$E13,{index(Output_HALO!$A:$ZZ,0,$C$8),index(Output_HALO!$A:$ZZ,0,$C6)},2,0),iferror(vlookup(J$12&amp;"-"&amp;$E16,{index(Output_HALO!$A:$ZZ,0,$C$8),index(Output_HALO!$A:$ZZ,0,$C6)},2,0),iferror(vlookup(J$12&amp;"-"&amp;$E19,{index(Output_HALO!$A:$ZZ,0,$C$8),index(Output_HALO!$A:$ZZ,0,$C6)},2,0),iferror(vlookup(J$12&amp;"-"&amp;$E22,{index(Output_HALO!$A:$ZZ,0,$C$8),index(Output_HALO!$A:$ZZ,0,$C6)},2,0),iferror(vlookup(J$12&amp;"-"&amp;$E25,{index(Output_HALO!$A:$ZZ,0,$C$8),index(Output_HALO!$A:$ZZ,0,$C6)},2,0),"")))))</f>
        <v>1</v>
      </c>
      <c r="K11" s="351">
        <f t="array" ref="K11">iferror(vlookup(K$12&amp;"-"&amp;$E13,{index(Output_HALO!$A:$ZZ,0,$C$8),index(Output_HALO!$A:$ZZ,0,$C6)},2,0),iferror(vlookup(K$12&amp;"-"&amp;$E16,{index(Output_HALO!$A:$ZZ,0,$C$8),index(Output_HALO!$A:$ZZ,0,$C6)},2,0),iferror(vlookup(K$12&amp;"-"&amp;$E19,{index(Output_HALO!$A:$ZZ,0,$C$8),index(Output_HALO!$A:$ZZ,0,$C6)},2,0),iferror(vlookup(K$12&amp;"-"&amp;$E22,{index(Output_HALO!$A:$ZZ,0,$C$8),index(Output_HALO!$A:$ZZ,0,$C6)},2,0),iferror(vlookup(K$12&amp;"-"&amp;$E25,{index(Output_HALO!$A:$ZZ,0,$C$8),index(Output_HALO!$A:$ZZ,0,$C6)},2,0),"")))))</f>
        <v>2</v>
      </c>
      <c r="L11" s="351">
        <f t="array" ref="L11">iferror(vlookup(L$12&amp;"-"&amp;$E13,{index(Output_HALO!$A:$ZZ,0,$C$8),index(Output_HALO!$A:$ZZ,0,$C6)},2,0),iferror(vlookup(L$12&amp;"-"&amp;$E16,{index(Output_HALO!$A:$ZZ,0,$C$8),index(Output_HALO!$A:$ZZ,0,$C6)},2,0),iferror(vlookup(L$12&amp;"-"&amp;$E19,{index(Output_HALO!$A:$ZZ,0,$C$8),index(Output_HALO!$A:$ZZ,0,$C6)},2,0),iferror(vlookup(L$12&amp;"-"&amp;$E22,{index(Output_HALO!$A:$ZZ,0,$C$8),index(Output_HALO!$A:$ZZ,0,$C6)},2,0),iferror(vlookup(L$12&amp;"-"&amp;$E25,{index(Output_HALO!$A:$ZZ,0,$C$8),index(Output_HALO!$A:$ZZ,0,$C6)},2,0),"")))))</f>
        <v>2</v>
      </c>
      <c r="M11" s="351">
        <f t="array" ref="M11">iferror(vlookup(M$12&amp;"-"&amp;$E13,{index(Output_HALO!$A:$ZZ,0,$C$8),index(Output_HALO!$A:$ZZ,0,$C6)},2,0),iferror(vlookup(M$12&amp;"-"&amp;$E16,{index(Output_HALO!$A:$ZZ,0,$C$8),index(Output_HALO!$A:$ZZ,0,$C6)},2,0),iferror(vlookup(M$12&amp;"-"&amp;$E19,{index(Output_HALO!$A:$ZZ,0,$C$8),index(Output_HALO!$A:$ZZ,0,$C6)},2,0),iferror(vlookup(M$12&amp;"-"&amp;$E22,{index(Output_HALO!$A:$ZZ,0,$C$8),index(Output_HALO!$A:$ZZ,0,$C6)},2,0),iferror(vlookup(M$12&amp;"-"&amp;$E25,{index(Output_HALO!$A:$ZZ,0,$C$8),index(Output_HALO!$A:$ZZ,0,$C6)},2,0),"")))))</f>
        <v>2</v>
      </c>
      <c r="N11" s="351">
        <f t="array" ref="N11">iferror(vlookup(N$12&amp;"-"&amp;$E13,{index(Output_HALO!$A:$ZZ,0,$C$8),index(Output_HALO!$A:$ZZ,0,$C6)},2,0),iferror(vlookup(N$12&amp;"-"&amp;$E16,{index(Output_HALO!$A:$ZZ,0,$C$8),index(Output_HALO!$A:$ZZ,0,$C6)},2,0),iferror(vlookup(N$12&amp;"-"&amp;$E19,{index(Output_HALO!$A:$ZZ,0,$C$8),index(Output_HALO!$A:$ZZ,0,$C6)},2,0),iferror(vlookup(N$12&amp;"-"&amp;$E22,{index(Output_HALO!$A:$ZZ,0,$C$8),index(Output_HALO!$A:$ZZ,0,$C6)},2,0),iferror(vlookup(N$12&amp;"-"&amp;$E25,{index(Output_HALO!$A:$ZZ,0,$C$8),index(Output_HALO!$A:$ZZ,0,$C6)},2,0),"")))))</f>
        <v>2</v>
      </c>
      <c r="O11" s="351" t="str">
        <f t="array" ref="O11">iferror(vlookup(O$12&amp;"-"&amp;$E13,{index(Output_HALO!$A:$ZZ,0,$C$8),index(Output_HALO!$A:$ZZ,0,$C6)},2,0),iferror(vlookup(O$12&amp;"-"&amp;$E16,{index(Output_HALO!$A:$ZZ,0,$C$8),index(Output_HALO!$A:$ZZ,0,$C6)},2,0),iferror(vlookup(O$12&amp;"-"&amp;$E19,{index(Output_HALO!$A:$ZZ,0,$C$8),index(Output_HALO!$A:$ZZ,0,$C6)},2,0),iferror(vlookup(O$12&amp;"-"&amp;$E22,{index(Output_HALO!$A:$ZZ,0,$C$8),index(Output_HALO!$A:$ZZ,0,$C6)},2,0),iferror(vlookup(O$12&amp;"-"&amp;$E25,{index(Output_HALO!$A:$ZZ,0,$C$8),index(Output_HALO!$A:$ZZ,0,$C6)},2,0),"")))))</f>
        <v/>
      </c>
      <c r="P11" s="351" t="str">
        <f t="array" ref="P11">iferror(vlookup(P$12&amp;"-"&amp;$E13,{index(Output_HALO!$A:$ZZ,0,$C$8),index(Output_HALO!$A:$ZZ,0,$C6)},2,0),iferror(vlookup(P$12&amp;"-"&amp;$E16,{index(Output_HALO!$A:$ZZ,0,$C$8),index(Output_HALO!$A:$ZZ,0,$C6)},2,0),iferror(vlookup(P$12&amp;"-"&amp;$E19,{index(Output_HALO!$A:$ZZ,0,$C$8),index(Output_HALO!$A:$ZZ,0,$C6)},2,0),iferror(vlookup(P$12&amp;"-"&amp;$E22,{index(Output_HALO!$A:$ZZ,0,$C$8),index(Output_HALO!$A:$ZZ,0,$C6)},2,0),iferror(vlookup(P$12&amp;"-"&amp;$E25,{index(Output_HALO!$A:$ZZ,0,$C$8),index(Output_HALO!$A:$ZZ,0,$C6)},2,0),"")))))</f>
        <v/>
      </c>
      <c r="Q11" s="351">
        <f t="array" ref="Q11">iferror(vlookup(Q$12&amp;"-"&amp;$E13,{index(Output_HALO!$A:$ZZ,0,$C$8),index(Output_HALO!$A:$ZZ,0,$C6)},2,0),iferror(vlookup(Q$12&amp;"-"&amp;$E16,{index(Output_HALO!$A:$ZZ,0,$C$8),index(Output_HALO!$A:$ZZ,0,$C6)},2,0),iferror(vlookup(Q$12&amp;"-"&amp;$E19,{index(Output_HALO!$A:$ZZ,0,$C$8),index(Output_HALO!$A:$ZZ,0,$C6)},2,0),iferror(vlookup(Q$12&amp;"-"&amp;$E22,{index(Output_HALO!$A:$ZZ,0,$C$8),index(Output_HALO!$A:$ZZ,0,$C6)},2,0),iferror(vlookup(Q$12&amp;"-"&amp;$E25,{index(Output_HALO!$A:$ZZ,0,$C$8),index(Output_HALO!$A:$ZZ,0,$C6)},2,0),"")))))</f>
        <v>4</v>
      </c>
      <c r="R11" s="351">
        <f t="array" ref="R11">iferror(vlookup(R$12&amp;"-"&amp;$E13,{index(Output_HALO!$A:$ZZ,0,$C$8),index(Output_HALO!$A:$ZZ,0,$C6)},2,0),iferror(vlookup(R$12&amp;"-"&amp;$E16,{index(Output_HALO!$A:$ZZ,0,$C$8),index(Output_HALO!$A:$ZZ,0,$C6)},2,0),iferror(vlookup(R$12&amp;"-"&amp;$E19,{index(Output_HALO!$A:$ZZ,0,$C$8),index(Output_HALO!$A:$ZZ,0,$C6)},2,0),iferror(vlookup(R$12&amp;"-"&amp;$E22,{index(Output_HALO!$A:$ZZ,0,$C$8),index(Output_HALO!$A:$ZZ,0,$C6)},2,0),iferror(vlookup(R$12&amp;"-"&amp;$E25,{index(Output_HALO!$A:$ZZ,0,$C$8),index(Output_HALO!$A:$ZZ,0,$C6)},2,0),"")))))</f>
        <v>4</v>
      </c>
      <c r="S11" s="351">
        <f t="array" ref="S11">iferror(vlookup(S$12&amp;"-"&amp;$E13,{index(Output_HALO!$A:$ZZ,0,$C$8),index(Output_HALO!$A:$ZZ,0,$C6)},2,0),iferror(vlookup(S$12&amp;"-"&amp;$E16,{index(Output_HALO!$A:$ZZ,0,$C$8),index(Output_HALO!$A:$ZZ,0,$C6)},2,0),iferror(vlookup(S$12&amp;"-"&amp;$E19,{index(Output_HALO!$A:$ZZ,0,$C$8),index(Output_HALO!$A:$ZZ,0,$C6)},2,0),iferror(vlookup(S$12&amp;"-"&amp;$E22,{index(Output_HALO!$A:$ZZ,0,$C$8),index(Output_HALO!$A:$ZZ,0,$C6)},2,0),iferror(vlookup(S$12&amp;"-"&amp;$E25,{index(Output_HALO!$A:$ZZ,0,$C$8),index(Output_HALO!$A:$ZZ,0,$C6)},2,0),"")))))</f>
        <v>4</v>
      </c>
      <c r="T11" s="351" t="str">
        <f t="array" ref="T11">iferror(vlookup(T$12&amp;"-"&amp;$E13,{index(Output_HALO!$A:$ZZ,0,$C$8),index(Output_HALO!$A:$ZZ,0,$C6)},2,0),iferror(vlookup(T$12&amp;"-"&amp;$E16,{index(Output_HALO!$A:$ZZ,0,$C$8),index(Output_HALO!$A:$ZZ,0,$C6)},2,0),iferror(vlookup(T$12&amp;"-"&amp;$E19,{index(Output_HALO!$A:$ZZ,0,$C$8),index(Output_HALO!$A:$ZZ,0,$C6)},2,0),iferror(vlookup(T$12&amp;"-"&amp;$E22,{index(Output_HALO!$A:$ZZ,0,$C$8),index(Output_HALO!$A:$ZZ,0,$C6)},2,0),iferror(vlookup(T$12&amp;"-"&amp;$E25,{index(Output_HALO!$A:$ZZ,0,$C$8),index(Output_HALO!$A:$ZZ,0,$C6)},2,0),"")))))</f>
        <v/>
      </c>
      <c r="U11" s="351" t="str">
        <f t="array" ref="U11">iferror(vlookup(U$12&amp;"-"&amp;$E13,{index(Output_HALO!$A:$ZZ,0,$C$8),index(Output_HALO!$A:$ZZ,0,$C6)},2,0),iferror(vlookup(U$12&amp;"-"&amp;$E16,{index(Output_HALO!$A:$ZZ,0,$C$8),index(Output_HALO!$A:$ZZ,0,$C6)},2,0),iferror(vlookup(U$12&amp;"-"&amp;$E19,{index(Output_HALO!$A:$ZZ,0,$C$8),index(Output_HALO!$A:$ZZ,0,$C6)},2,0),iferror(vlookup(U$12&amp;"-"&amp;$E22,{index(Output_HALO!$A:$ZZ,0,$C$8),index(Output_HALO!$A:$ZZ,0,$C6)},2,0),iferror(vlookup(U$12&amp;"-"&amp;$E25,{index(Output_HALO!$A:$ZZ,0,$C$8),index(Output_HALO!$A:$ZZ,0,$C6)},2,0),"")))))</f>
        <v/>
      </c>
      <c r="V11" s="351" t="str">
        <f t="array" ref="V11">iferror(vlookup(V$12&amp;"-"&amp;$E13,{index(Output_HALO!$A:$ZZ,0,$C$8),index(Output_HALO!$A:$ZZ,0,$C6)},2,0),iferror(vlookup(V$12&amp;"-"&amp;$E16,{index(Output_HALO!$A:$ZZ,0,$C$8),index(Output_HALO!$A:$ZZ,0,$C6)},2,0),iferror(vlookup(V$12&amp;"-"&amp;$E19,{index(Output_HALO!$A:$ZZ,0,$C$8),index(Output_HALO!$A:$ZZ,0,$C6)},2,0),iferror(vlookup(V$12&amp;"-"&amp;$E22,{index(Output_HALO!$A:$ZZ,0,$C$8),index(Output_HALO!$A:$ZZ,0,$C6)},2,0),iferror(vlookup(V$12&amp;"-"&amp;$E25,{index(Output_HALO!$A:$ZZ,0,$C$8),index(Output_HALO!$A:$ZZ,0,$C6)},2,0),"")))))</f>
        <v/>
      </c>
      <c r="W11" s="351">
        <f t="array" ref="W11">iferror(vlookup(W$12&amp;"-"&amp;$E13,{index(Output_HALO!$A:$ZZ,0,$C$8),index(Output_HALO!$A:$ZZ,0,$C6)},2,0),iferror(vlookup(W$12&amp;"-"&amp;$E16,{index(Output_HALO!$A:$ZZ,0,$C$8),index(Output_HALO!$A:$ZZ,0,$C6)},2,0),iferror(vlookup(W$12&amp;"-"&amp;$E19,{index(Output_HALO!$A:$ZZ,0,$C$8),index(Output_HALO!$A:$ZZ,0,$C6)},2,0),iferror(vlookup(W$12&amp;"-"&amp;$E22,{index(Output_HALO!$A:$ZZ,0,$C$8),index(Output_HALO!$A:$ZZ,0,$C6)},2,0),iferror(vlookup(W$12&amp;"-"&amp;$E25,{index(Output_HALO!$A:$ZZ,0,$C$8),index(Output_HALO!$A:$ZZ,0,$C6)},2,0),"")))))</f>
        <v>6</v>
      </c>
      <c r="X11" s="351">
        <f t="array" ref="X11">iferror(vlookup(X$12&amp;"-"&amp;$E13,{index(Output_HALO!$A:$ZZ,0,$C$8),index(Output_HALO!$A:$ZZ,0,$C6)},2,0),iferror(vlookup(X$12&amp;"-"&amp;$E16,{index(Output_HALO!$A:$ZZ,0,$C$8),index(Output_HALO!$A:$ZZ,0,$C6)},2,0),iferror(vlookup(X$12&amp;"-"&amp;$E19,{index(Output_HALO!$A:$ZZ,0,$C$8),index(Output_HALO!$A:$ZZ,0,$C6)},2,0),iferror(vlookup(X$12&amp;"-"&amp;$E22,{index(Output_HALO!$A:$ZZ,0,$C$8),index(Output_HALO!$A:$ZZ,0,$C6)},2,0),iferror(vlookup(X$12&amp;"-"&amp;$E25,{index(Output_HALO!$A:$ZZ,0,$C$8),index(Output_HALO!$A:$ZZ,0,$C6)},2,0),"")))))</f>
        <v>6</v>
      </c>
      <c r="Y11" s="351">
        <f t="array" ref="Y11">iferror(vlookup(Y$12&amp;"-"&amp;$E13,{index(Output_HALO!$A:$ZZ,0,$C$8),index(Output_HALO!$A:$ZZ,0,$C6)},2,0),iferror(vlookup(Y$12&amp;"-"&amp;$E16,{index(Output_HALO!$A:$ZZ,0,$C$8),index(Output_HALO!$A:$ZZ,0,$C6)},2,0),iferror(vlookup(Y$12&amp;"-"&amp;$E19,{index(Output_HALO!$A:$ZZ,0,$C$8),index(Output_HALO!$A:$ZZ,0,$C6)},2,0),iferror(vlookup(Y$12&amp;"-"&amp;$E22,{index(Output_HALO!$A:$ZZ,0,$C$8),index(Output_HALO!$A:$ZZ,0,$C6)},2,0),iferror(vlookup(Y$12&amp;"-"&amp;$E25,{index(Output_HALO!$A:$ZZ,0,$C$8),index(Output_HALO!$A:$ZZ,0,$C6)},2,0),"")))))</f>
        <v>6</v>
      </c>
      <c r="Z11" s="351" t="str">
        <f t="array" ref="Z11">iferror(vlookup(Z$12&amp;"-"&amp;$E13,{index(Output_HALO!$A:$ZZ,0,$C$8),index(Output_HALO!$A:$ZZ,0,$C6)},2,0),iferror(vlookup(Z$12&amp;"-"&amp;$E16,{index(Output_HALO!$A:$ZZ,0,$C$8),index(Output_HALO!$A:$ZZ,0,$C6)},2,0),iferror(vlookup(Z$12&amp;"-"&amp;$E19,{index(Output_HALO!$A:$ZZ,0,$C$8),index(Output_HALO!$A:$ZZ,0,$C6)},2,0),iferror(vlookup(Z$12&amp;"-"&amp;$E22,{index(Output_HALO!$A:$ZZ,0,$C$8),index(Output_HALO!$A:$ZZ,0,$C6)},2,0),iferror(vlookup(Z$12&amp;"-"&amp;$E25,{index(Output_HALO!$A:$ZZ,0,$C$8),index(Output_HALO!$A:$ZZ,0,$C6)},2,0),"")))))</f>
        <v/>
      </c>
      <c r="AA11" s="351" t="str">
        <f t="array" ref="AA11">iferror(vlookup(AA$12&amp;"-"&amp;$E13,{index(Output_HALO!$A:$ZZ,0,$C$8),index(Output_HALO!$A:$ZZ,0,$C6)},2,0),iferror(vlookup(AA$12&amp;"-"&amp;$E16,{index(Output_HALO!$A:$ZZ,0,$C$8),index(Output_HALO!$A:$ZZ,0,$C6)},2,0),iferror(vlookup(AA$12&amp;"-"&amp;$E19,{index(Output_HALO!$A:$ZZ,0,$C$8),index(Output_HALO!$A:$ZZ,0,$C6)},2,0),iferror(vlookup(AA$12&amp;"-"&amp;$E22,{index(Output_HALO!$A:$ZZ,0,$C$8),index(Output_HALO!$A:$ZZ,0,$C6)},2,0),iferror(vlookup(AA$12&amp;"-"&amp;$E25,{index(Output_HALO!$A:$ZZ,0,$C$8),index(Output_HALO!$A:$ZZ,0,$C6)},2,0),"")))))</f>
        <v/>
      </c>
      <c r="AB11" s="351" t="str">
        <f t="array" ref="AB11">iferror(vlookup(AB$12&amp;"-"&amp;$E13,{index(Output_HALO!$A:$ZZ,0,$C$8),index(Output_HALO!$A:$ZZ,0,$C6)},2,0),iferror(vlookup(AB$12&amp;"-"&amp;$E16,{index(Output_HALO!$A:$ZZ,0,$C$8),index(Output_HALO!$A:$ZZ,0,$C6)},2,0),iferror(vlookup(AB$12&amp;"-"&amp;$E19,{index(Output_HALO!$A:$ZZ,0,$C$8),index(Output_HALO!$A:$ZZ,0,$C6)},2,0),iferror(vlookup(AB$12&amp;"-"&amp;$E22,{index(Output_HALO!$A:$ZZ,0,$C$8),index(Output_HALO!$A:$ZZ,0,$C6)},2,0),iferror(vlookup(AB$12&amp;"-"&amp;$E25,{index(Output_HALO!$A:$ZZ,0,$C$8),index(Output_HALO!$A:$ZZ,0,$C6)},2,0),"")))))</f>
        <v/>
      </c>
      <c r="AC11" s="351">
        <f t="array" ref="AC11">iferror(vlookup(AC$12&amp;"-"&amp;$E13,{index(Output_HALO!$A:$ZZ,0,$C$8),index(Output_HALO!$A:$ZZ,0,$C6)},2,0),iferror(vlookup(AC$12&amp;"-"&amp;$E16,{index(Output_HALO!$A:$ZZ,0,$C$8),index(Output_HALO!$A:$ZZ,0,$C6)},2,0),iferror(vlookup(AC$12&amp;"-"&amp;$E19,{index(Output_HALO!$A:$ZZ,0,$C$8),index(Output_HALO!$A:$ZZ,0,$C6)},2,0),iferror(vlookup(AC$12&amp;"-"&amp;$E22,{index(Output_HALO!$A:$ZZ,0,$C$8),index(Output_HALO!$A:$ZZ,0,$C6)},2,0),iferror(vlookup(AC$12&amp;"-"&amp;$E25,{index(Output_HALO!$A:$ZZ,0,$C$8),index(Output_HALO!$A:$ZZ,0,$C6)},2,0),"")))))</f>
        <v>8</v>
      </c>
      <c r="AD11" s="351">
        <f t="array" ref="AD11">iferror(vlookup(AD$12&amp;"-"&amp;$E13,{index(Output_HALO!$A:$ZZ,0,$C$8),index(Output_HALO!$A:$ZZ,0,$C6)},2,0),iferror(vlookup(AD$12&amp;"-"&amp;$E16,{index(Output_HALO!$A:$ZZ,0,$C$8),index(Output_HALO!$A:$ZZ,0,$C6)},2,0),iferror(vlookup(AD$12&amp;"-"&amp;$E19,{index(Output_HALO!$A:$ZZ,0,$C$8),index(Output_HALO!$A:$ZZ,0,$C6)},2,0),iferror(vlookup(AD$12&amp;"-"&amp;$E22,{index(Output_HALO!$A:$ZZ,0,$C$8),index(Output_HALO!$A:$ZZ,0,$C6)},2,0),iferror(vlookup(AD$12&amp;"-"&amp;$E25,{index(Output_HALO!$A:$ZZ,0,$C$8),index(Output_HALO!$A:$ZZ,0,$C6)},2,0),"")))))</f>
        <v>8</v>
      </c>
      <c r="AE11" s="351">
        <f t="array" ref="AE11">iferror(vlookup(AE$12&amp;"-"&amp;$E13,{index(Output_HALO!$A:$ZZ,0,$C$8),index(Output_HALO!$A:$ZZ,0,$C6)},2,0),iferror(vlookup(AE$12&amp;"-"&amp;$E16,{index(Output_HALO!$A:$ZZ,0,$C$8),index(Output_HALO!$A:$ZZ,0,$C6)},2,0),iferror(vlookup(AE$12&amp;"-"&amp;$E19,{index(Output_HALO!$A:$ZZ,0,$C$8),index(Output_HALO!$A:$ZZ,0,$C6)},2,0),iferror(vlookup(AE$12&amp;"-"&amp;$E22,{index(Output_HALO!$A:$ZZ,0,$C$8),index(Output_HALO!$A:$ZZ,0,$C6)},2,0),iferror(vlookup(AE$12&amp;"-"&amp;$E25,{index(Output_HALO!$A:$ZZ,0,$C$8),index(Output_HALO!$A:$ZZ,0,$C6)},2,0),"")))))</f>
        <v>8</v>
      </c>
      <c r="AF11" s="351">
        <f t="array" ref="AF11">iferror(vlookup(AF$12&amp;"-"&amp;$E13,{index(Output_HALO!$A:$ZZ,0,$C$8),index(Output_HALO!$A:$ZZ,0,$C6)},2,0),iferror(vlookup(AF$12&amp;"-"&amp;$E16,{index(Output_HALO!$A:$ZZ,0,$C$8),index(Output_HALO!$A:$ZZ,0,$C6)},2,0),iferror(vlookup(AF$12&amp;"-"&amp;$E19,{index(Output_HALO!$A:$ZZ,0,$C$8),index(Output_HALO!$A:$ZZ,0,$C6)},2,0),iferror(vlookup(AF$12&amp;"-"&amp;$E22,{index(Output_HALO!$A:$ZZ,0,$C$8),index(Output_HALO!$A:$ZZ,0,$C6)},2,0),iferror(vlookup(AF$12&amp;"-"&amp;$E25,{index(Output_HALO!$A:$ZZ,0,$C$8),index(Output_HALO!$A:$ZZ,0,$C6)},2,0),"")))))</f>
        <v>9</v>
      </c>
      <c r="AG11" s="351">
        <f t="array" ref="AG11">iferror(vlookup(AG$12&amp;"-"&amp;$E13,{index(Output_HALO!$A:$ZZ,0,$C$8),index(Output_HALO!$A:$ZZ,0,$C6)},2,0),iferror(vlookup(AG$12&amp;"-"&amp;$E16,{index(Output_HALO!$A:$ZZ,0,$C$8),index(Output_HALO!$A:$ZZ,0,$C6)},2,0),iferror(vlookup(AG$12&amp;"-"&amp;$E19,{index(Output_HALO!$A:$ZZ,0,$C$8),index(Output_HALO!$A:$ZZ,0,$C6)},2,0),iferror(vlookup(AG$12&amp;"-"&amp;$E22,{index(Output_HALO!$A:$ZZ,0,$C$8),index(Output_HALO!$A:$ZZ,0,$C6)},2,0),iferror(vlookup(AG$12&amp;"-"&amp;$E25,{index(Output_HALO!$A:$ZZ,0,$C$8),index(Output_HALO!$A:$ZZ,0,$C6)},2,0),"")))))</f>
        <v>9</v>
      </c>
      <c r="AH11" s="351">
        <f t="array" ref="AH11">iferror(vlookup(AH$12&amp;"-"&amp;$E13,{index(Output_HALO!$A:$ZZ,0,$C$8),index(Output_HALO!$A:$ZZ,0,$C6)},2,0),iferror(vlookup(AH$12&amp;"-"&amp;$E16,{index(Output_HALO!$A:$ZZ,0,$C$8),index(Output_HALO!$A:$ZZ,0,$C6)},2,0),iferror(vlookup(AH$12&amp;"-"&amp;$E19,{index(Output_HALO!$A:$ZZ,0,$C$8),index(Output_HALO!$A:$ZZ,0,$C6)},2,0),iferror(vlookup(AH$12&amp;"-"&amp;$E22,{index(Output_HALO!$A:$ZZ,0,$C$8),index(Output_HALO!$A:$ZZ,0,$C6)},2,0),iferror(vlookup(AH$12&amp;"-"&amp;$E25,{index(Output_HALO!$A:$ZZ,0,$C$8),index(Output_HALO!$A:$ZZ,0,$C6)},2,0),"")))))</f>
        <v>9</v>
      </c>
      <c r="AI11" s="351" t="str">
        <f t="array" ref="AI11">iferror(vlookup(AI$12&amp;"-"&amp;$E13,{index(Output_HALO!$A:$ZZ,0,$C$8),index(Output_HALO!$A:$ZZ,0,$C6)},2,0),iferror(vlookup(AI$12&amp;"-"&amp;$E16,{index(Output_HALO!$A:$ZZ,0,$C$8),index(Output_HALO!$A:$ZZ,0,$C6)},2,0),iferror(vlookup(AI$12&amp;"-"&amp;$E19,{index(Output_HALO!$A:$ZZ,0,$C$8),index(Output_HALO!$A:$ZZ,0,$C6)},2,0),iferror(vlookup(AI$12&amp;"-"&amp;$E22,{index(Output_HALO!$A:$ZZ,0,$C$8),index(Output_HALO!$A:$ZZ,0,$C6)},2,0),iferror(vlookup(AI$12&amp;"-"&amp;$E25,{index(Output_HALO!$A:$ZZ,0,$C$8),index(Output_HALO!$A:$ZZ,0,$C6)},2,0),"")))))</f>
        <v/>
      </c>
      <c r="AJ11" s="351" t="str">
        <f t="array" ref="AJ11">iferror(vlookup(AJ$12&amp;"-"&amp;$E13,{index(Output_HALO!$A:$ZZ,0,$C$8),index(Output_HALO!$A:$ZZ,0,$C6)},2,0),iferror(vlookup(AJ$12&amp;"-"&amp;$E16,{index(Output_HALO!$A:$ZZ,0,$C$8),index(Output_HALO!$A:$ZZ,0,$C6)},2,0),iferror(vlookup(AJ$12&amp;"-"&amp;$E19,{index(Output_HALO!$A:$ZZ,0,$C$8),index(Output_HALO!$A:$ZZ,0,$C6)},2,0),iferror(vlookup(AJ$12&amp;"-"&amp;$E22,{index(Output_HALO!$A:$ZZ,0,$C$8),index(Output_HALO!$A:$ZZ,0,$C6)},2,0),iferror(vlookup(AJ$12&amp;"-"&amp;$E25,{index(Output_HALO!$A:$ZZ,0,$C$8),index(Output_HALO!$A:$ZZ,0,$C6)},2,0),"")))))</f>
        <v/>
      </c>
      <c r="AK11" s="351" t="str">
        <f t="array" ref="AK11">iferror(vlookup(AK$12&amp;"-"&amp;$E13,{index(Output_HALO!$A:$ZZ,0,$C$8),index(Output_HALO!$A:$ZZ,0,$C6)},2,0),iferror(vlookup(AK$12&amp;"-"&amp;$E16,{index(Output_HALO!$A:$ZZ,0,$C$8),index(Output_HALO!$A:$ZZ,0,$C6)},2,0),iferror(vlookup(AK$12&amp;"-"&amp;$E19,{index(Output_HALO!$A:$ZZ,0,$C$8),index(Output_HALO!$A:$ZZ,0,$C6)},2,0),iferror(vlookup(AK$12&amp;"-"&amp;$E22,{index(Output_HALO!$A:$ZZ,0,$C$8),index(Output_HALO!$A:$ZZ,0,$C6)},2,0),iferror(vlookup(AK$12&amp;"-"&amp;$E25,{index(Output_HALO!$A:$ZZ,0,$C$8),index(Output_HALO!$A:$ZZ,0,$C6)},2,0),"")))))</f>
        <v/>
      </c>
      <c r="AL11" s="351" t="str">
        <f t="array" ref="AL11">iferror(vlookup(AL$12&amp;"-"&amp;$E13,{index(Output_HALO!$A:$ZZ,0,$C$8),index(Output_HALO!$A:$ZZ,0,$C6)},2,0),iferror(vlookup(AL$12&amp;"-"&amp;$E16,{index(Output_HALO!$A:$ZZ,0,$C$8),index(Output_HALO!$A:$ZZ,0,$C6)},2,0),iferror(vlookup(AL$12&amp;"-"&amp;$E19,{index(Output_HALO!$A:$ZZ,0,$C$8),index(Output_HALO!$A:$ZZ,0,$C6)},2,0),iferror(vlookup(AL$12&amp;"-"&amp;$E22,{index(Output_HALO!$A:$ZZ,0,$C$8),index(Output_HALO!$A:$ZZ,0,$C6)},2,0),iferror(vlookup(AL$12&amp;"-"&amp;$E25,{index(Output_HALO!$A:$ZZ,0,$C$8),index(Output_HALO!$A:$ZZ,0,$C6)},2,0),"")))))</f>
        <v/>
      </c>
      <c r="AM11" s="351">
        <f t="array" ref="AM11">iferror(vlookup(AM$12&amp;"-"&amp;$E13,{index(Output_HALO!$A:$ZZ,0,$C$8),index(Output_HALO!$A:$ZZ,0,$C6)},2,0),iferror(vlookup(AM$12&amp;"-"&amp;$E16,{index(Output_HALO!$A:$ZZ,0,$C$8),index(Output_HALO!$A:$ZZ,0,$C6)},2,0),iferror(vlookup(AM$12&amp;"-"&amp;$E19,{index(Output_HALO!$A:$ZZ,0,$C$8),index(Output_HALO!$A:$ZZ,0,$C6)},2,0),iferror(vlookup(AM$12&amp;"-"&amp;$E22,{index(Output_HALO!$A:$ZZ,0,$C$8),index(Output_HALO!$A:$ZZ,0,$C6)},2,0),iferror(vlookup(AM$12&amp;"-"&amp;$E25,{index(Output_HALO!$A:$ZZ,0,$C$8),index(Output_HALO!$A:$ZZ,0,$C6)},2,0),"")))))</f>
        <v>12</v>
      </c>
      <c r="AN11" s="351">
        <f t="array" ref="AN11">iferror(vlookup(AN$12&amp;"-"&amp;$E13,{index(Output_HALO!$A:$ZZ,0,$C$8),index(Output_HALO!$A:$ZZ,0,$C6)},2,0),iferror(vlookup(AN$12&amp;"-"&amp;$E16,{index(Output_HALO!$A:$ZZ,0,$C$8),index(Output_HALO!$A:$ZZ,0,$C6)},2,0),iferror(vlookup(AN$12&amp;"-"&amp;$E19,{index(Output_HALO!$A:$ZZ,0,$C$8),index(Output_HALO!$A:$ZZ,0,$C6)},2,0),iferror(vlookup(AN$12&amp;"-"&amp;$E22,{index(Output_HALO!$A:$ZZ,0,$C$8),index(Output_HALO!$A:$ZZ,0,$C6)},2,0),iferror(vlookup(AN$12&amp;"-"&amp;$E25,{index(Output_HALO!$A:$ZZ,0,$C$8),index(Output_HALO!$A:$ZZ,0,$C6)},2,0),"")))))</f>
        <v>12</v>
      </c>
      <c r="AO11" s="351">
        <f t="array" ref="AO11">iferror(vlookup(AO$12&amp;"-"&amp;$E13,{index(Output_HALO!$A:$ZZ,0,$C$8),index(Output_HALO!$A:$ZZ,0,$C6)},2,0),iferror(vlookup(AO$12&amp;"-"&amp;$E16,{index(Output_HALO!$A:$ZZ,0,$C$8),index(Output_HALO!$A:$ZZ,0,$C6)},2,0),iferror(vlookup(AO$12&amp;"-"&amp;$E19,{index(Output_HALO!$A:$ZZ,0,$C$8),index(Output_HALO!$A:$ZZ,0,$C6)},2,0),iferror(vlookup(AO$12&amp;"-"&amp;$E22,{index(Output_HALO!$A:$ZZ,0,$C$8),index(Output_HALO!$A:$ZZ,0,$C6)},2,0),iferror(vlookup(AO$12&amp;"-"&amp;$E25,{index(Output_HALO!$A:$ZZ,0,$C$8),index(Output_HALO!$A:$ZZ,0,$C6)},2,0),"")))))</f>
        <v>13</v>
      </c>
      <c r="AP11" s="351">
        <f t="array" ref="AP11">iferror(vlookup(AP$12&amp;"-"&amp;$E13,{index(Output_HALO!$A:$ZZ,0,$C$8),index(Output_HALO!$A:$ZZ,0,$C6)},2,0),iferror(vlookup(AP$12&amp;"-"&amp;$E16,{index(Output_HALO!$A:$ZZ,0,$C$8),index(Output_HALO!$A:$ZZ,0,$C6)},2,0),iferror(vlookup(AP$12&amp;"-"&amp;$E19,{index(Output_HALO!$A:$ZZ,0,$C$8),index(Output_HALO!$A:$ZZ,0,$C6)},2,0),iferror(vlookup(AP$12&amp;"-"&amp;$E22,{index(Output_HALO!$A:$ZZ,0,$C$8),index(Output_HALO!$A:$ZZ,0,$C6)},2,0),iferror(vlookup(AP$12&amp;"-"&amp;$E25,{index(Output_HALO!$A:$ZZ,0,$C$8),index(Output_HALO!$A:$ZZ,0,$C6)},2,0),"")))))</f>
        <v>13</v>
      </c>
      <c r="AQ11" s="351">
        <f t="array" ref="AQ11">iferror(vlookup(AQ$12&amp;"-"&amp;$E13,{index(Output_HALO!$A:$ZZ,0,$C$8),index(Output_HALO!$A:$ZZ,0,$C6)},2,0),iferror(vlookup(AQ$12&amp;"-"&amp;$E16,{index(Output_HALO!$A:$ZZ,0,$C$8),index(Output_HALO!$A:$ZZ,0,$C6)},2,0),iferror(vlookup(AQ$12&amp;"-"&amp;$E19,{index(Output_HALO!$A:$ZZ,0,$C$8),index(Output_HALO!$A:$ZZ,0,$C6)},2,0),iferror(vlookup(AQ$12&amp;"-"&amp;$E22,{index(Output_HALO!$A:$ZZ,0,$C$8),index(Output_HALO!$A:$ZZ,0,$C6)},2,0),iferror(vlookup(AQ$12&amp;"-"&amp;$E25,{index(Output_HALO!$A:$ZZ,0,$C$8),index(Output_HALO!$A:$ZZ,0,$C6)},2,0),"")))))</f>
        <v>13</v>
      </c>
      <c r="AR11" s="351" t="str">
        <f t="array" ref="AR11">iferror(vlookup(AR$12&amp;"-"&amp;$E13,{index(Output_HALO!$A:$ZZ,0,$C$8),index(Output_HALO!$A:$ZZ,0,$C6)},2,0),iferror(vlookup(AR$12&amp;"-"&amp;$E16,{index(Output_HALO!$A:$ZZ,0,$C$8),index(Output_HALO!$A:$ZZ,0,$C6)},2,0),iferror(vlookup(AR$12&amp;"-"&amp;$E19,{index(Output_HALO!$A:$ZZ,0,$C$8),index(Output_HALO!$A:$ZZ,0,$C6)},2,0),iferror(vlookup(AR$12&amp;"-"&amp;$E22,{index(Output_HALO!$A:$ZZ,0,$C$8),index(Output_HALO!$A:$ZZ,0,$C6)},2,0),iferror(vlookup(AR$12&amp;"-"&amp;$E25,{index(Output_HALO!$A:$ZZ,0,$C$8),index(Output_HALO!$A:$ZZ,0,$C6)},2,0),"")))))</f>
        <v/>
      </c>
      <c r="AS11" s="351" t="str">
        <f t="array" ref="AS11">iferror(vlookup(AS$12&amp;"-"&amp;$E13,{index(Output_HALO!$A:$ZZ,0,$C$8),index(Output_HALO!$A:$ZZ,0,$C6)},2,0),iferror(vlookup(AS$12&amp;"-"&amp;$E16,{index(Output_HALO!$A:$ZZ,0,$C$8),index(Output_HALO!$A:$ZZ,0,$C6)},2,0),iferror(vlookup(AS$12&amp;"-"&amp;$E19,{index(Output_HALO!$A:$ZZ,0,$C$8),index(Output_HALO!$A:$ZZ,0,$C6)},2,0),iferror(vlookup(AS$12&amp;"-"&amp;$E22,{index(Output_HALO!$A:$ZZ,0,$C$8),index(Output_HALO!$A:$ZZ,0,$C6)},2,0),iferror(vlookup(AS$12&amp;"-"&amp;$E25,{index(Output_HALO!$A:$ZZ,0,$C$8),index(Output_HALO!$A:$ZZ,0,$C6)},2,0),"")))))</f>
        <v/>
      </c>
      <c r="AT11" s="351">
        <f t="array" ref="AT11">iferror(vlookup(AT$12&amp;"-"&amp;$E13,{index(Output_HALO!$A:$ZZ,0,$C$8),index(Output_HALO!$A:$ZZ,0,$C6)},2,0),iferror(vlookup(AT$12&amp;"-"&amp;$E16,{index(Output_HALO!$A:$ZZ,0,$C$8),index(Output_HALO!$A:$ZZ,0,$C6)},2,0),iferror(vlookup(AT$12&amp;"-"&amp;$E19,{index(Output_HALO!$A:$ZZ,0,$C$8),index(Output_HALO!$A:$ZZ,0,$C6)},2,0),iferror(vlookup(AT$12&amp;"-"&amp;$E22,{index(Output_HALO!$A:$ZZ,0,$C$8),index(Output_HALO!$A:$ZZ,0,$C6)},2,0),iferror(vlookup(AT$12&amp;"-"&amp;$E25,{index(Output_HALO!$A:$ZZ,0,$C$8),index(Output_HALO!$A:$ZZ,0,$C6)},2,0),"")))))</f>
        <v>14</v>
      </c>
      <c r="AU11" s="351">
        <f t="array" ref="AU11">iferror(vlookup(AU$12&amp;"-"&amp;$E13,{index(Output_HALO!$A:$ZZ,0,$C$8),index(Output_HALO!$A:$ZZ,0,$C6)},2,0),iferror(vlookup(AU$12&amp;"-"&amp;$E16,{index(Output_HALO!$A:$ZZ,0,$C$8),index(Output_HALO!$A:$ZZ,0,$C6)},2,0),iferror(vlookup(AU$12&amp;"-"&amp;$E19,{index(Output_HALO!$A:$ZZ,0,$C$8),index(Output_HALO!$A:$ZZ,0,$C6)},2,0),iferror(vlookup(AU$12&amp;"-"&amp;$E22,{index(Output_HALO!$A:$ZZ,0,$C$8),index(Output_HALO!$A:$ZZ,0,$C6)},2,0),iferror(vlookup(AU$12&amp;"-"&amp;$E25,{index(Output_HALO!$A:$ZZ,0,$C$8),index(Output_HALO!$A:$ZZ,0,$C6)},2,0),"")))))</f>
        <v>14</v>
      </c>
      <c r="AV11" s="351">
        <f t="array" ref="AV11">iferror(vlookup(AV$12&amp;"-"&amp;$E13,{index(Output_HALO!$A:$ZZ,0,$C$8),index(Output_HALO!$A:$ZZ,0,$C6)},2,0),iferror(vlookup(AV$12&amp;"-"&amp;$E16,{index(Output_HALO!$A:$ZZ,0,$C$8),index(Output_HALO!$A:$ZZ,0,$C6)},2,0),iferror(vlookup(AV$12&amp;"-"&amp;$E19,{index(Output_HALO!$A:$ZZ,0,$C$8),index(Output_HALO!$A:$ZZ,0,$C6)},2,0),iferror(vlookup(AV$12&amp;"-"&amp;$E22,{index(Output_HALO!$A:$ZZ,0,$C$8),index(Output_HALO!$A:$ZZ,0,$C6)},2,0),iferror(vlookup(AV$12&amp;"-"&amp;$E25,{index(Output_HALO!$A:$ZZ,0,$C$8),index(Output_HALO!$A:$ZZ,0,$C6)},2,0),"")))))</f>
        <v>14</v>
      </c>
      <c r="AW11" s="351">
        <f t="array" ref="AW11">iferror(vlookup(AW$12&amp;"-"&amp;$E13,{index(Output_HALO!$A:$ZZ,0,$C$8),index(Output_HALO!$A:$ZZ,0,$C6)},2,0),iferror(vlookup(AW$12&amp;"-"&amp;$E16,{index(Output_HALO!$A:$ZZ,0,$C$8),index(Output_HALO!$A:$ZZ,0,$C6)},2,0),iferror(vlookup(AW$12&amp;"-"&amp;$E19,{index(Output_HALO!$A:$ZZ,0,$C$8),index(Output_HALO!$A:$ZZ,0,$C6)},2,0),iferror(vlookup(AW$12&amp;"-"&amp;$E22,{index(Output_HALO!$A:$ZZ,0,$C$8),index(Output_HALO!$A:$ZZ,0,$C6)},2,0),iferror(vlookup(AW$12&amp;"-"&amp;$E25,{index(Output_HALO!$A:$ZZ,0,$C$8),index(Output_HALO!$A:$ZZ,0,$C6)},2,0),"")))))</f>
        <v>14</v>
      </c>
      <c r="AX11" s="351" t="str">
        <f t="array" ref="AX11">iferror(vlookup(AX$12&amp;"-"&amp;$E13,{index(Output_HALO!$A:$ZZ,0,$C$8),index(Output_HALO!$A:$ZZ,0,$C6)},2,0),iferror(vlookup(AX$12&amp;"-"&amp;$E16,{index(Output_HALO!$A:$ZZ,0,$C$8),index(Output_HALO!$A:$ZZ,0,$C6)},2,0),iferror(vlookup(AX$12&amp;"-"&amp;$E19,{index(Output_HALO!$A:$ZZ,0,$C$8),index(Output_HALO!$A:$ZZ,0,$C6)},2,0),iferror(vlookup(AX$12&amp;"-"&amp;$E22,{index(Output_HALO!$A:$ZZ,0,$C$8),index(Output_HALO!$A:$ZZ,0,$C6)},2,0),iferror(vlookup(AX$12&amp;"-"&amp;$E25,{index(Output_HALO!$A:$ZZ,0,$C$8),index(Output_HALO!$A:$ZZ,0,$C6)},2,0),"")))))</f>
        <v/>
      </c>
      <c r="AY11" s="351" t="str">
        <f t="array" ref="AY11">iferror(vlookup(AY$12&amp;"-"&amp;$E13,{index(Output_HALO!$A:$ZZ,0,$C$8),index(Output_HALO!$A:$ZZ,0,$C6)},2,0),iferror(vlookup(AY$12&amp;"-"&amp;$E16,{index(Output_HALO!$A:$ZZ,0,$C$8),index(Output_HALO!$A:$ZZ,0,$C6)},2,0),iferror(vlookup(AY$12&amp;"-"&amp;$E19,{index(Output_HALO!$A:$ZZ,0,$C$8),index(Output_HALO!$A:$ZZ,0,$C6)},2,0),iferror(vlookup(AY$12&amp;"-"&amp;$E22,{index(Output_HALO!$A:$ZZ,0,$C$8),index(Output_HALO!$A:$ZZ,0,$C6)},2,0),iferror(vlookup(AY$12&amp;"-"&amp;$E25,{index(Output_HALO!$A:$ZZ,0,$C$8),index(Output_HALO!$A:$ZZ,0,$C6)},2,0),"")))))</f>
        <v/>
      </c>
      <c r="AZ11" s="351" t="str">
        <f t="array" ref="AZ11">iferror(vlookup(AZ$12&amp;"-"&amp;$E13,{index(Output_HALO!$A:$ZZ,0,$C$8),index(Output_HALO!$A:$ZZ,0,$C6)},2,0),iferror(vlookup(AZ$12&amp;"-"&amp;$E16,{index(Output_HALO!$A:$ZZ,0,$C$8),index(Output_HALO!$A:$ZZ,0,$C6)},2,0),iferror(vlookup(AZ$12&amp;"-"&amp;$E19,{index(Output_HALO!$A:$ZZ,0,$C$8),index(Output_HALO!$A:$ZZ,0,$C6)},2,0),iferror(vlookup(AZ$12&amp;"-"&amp;$E22,{index(Output_HALO!$A:$ZZ,0,$C$8),index(Output_HALO!$A:$ZZ,0,$C6)},2,0),iferror(vlookup(AZ$12&amp;"-"&amp;$E25,{index(Output_HALO!$A:$ZZ,0,$C$8),index(Output_HALO!$A:$ZZ,0,$C6)},2,0),"")))))</f>
        <v/>
      </c>
      <c r="BA11" s="351" t="str">
        <f t="array" ref="BA11">iferror(vlookup(BA$12&amp;"-"&amp;$E13,{index(Output_HALO!$A:$ZZ,0,$C$8),index(Output_HALO!$A:$ZZ,0,$C6)},2,0),iferror(vlookup(BA$12&amp;"-"&amp;$E16,{index(Output_HALO!$A:$ZZ,0,$C$8),index(Output_HALO!$A:$ZZ,0,$C6)},2,0),iferror(vlookup(BA$12&amp;"-"&amp;$E19,{index(Output_HALO!$A:$ZZ,0,$C$8),index(Output_HALO!$A:$ZZ,0,$C6)},2,0),iferror(vlookup(BA$12&amp;"-"&amp;$E22,{index(Output_HALO!$A:$ZZ,0,$C$8),index(Output_HALO!$A:$ZZ,0,$C6)},2,0),iferror(vlookup(BA$12&amp;"-"&amp;$E25,{index(Output_HALO!$A:$ZZ,0,$C$8),index(Output_HALO!$A:$ZZ,0,$C6)},2,0),"")))))</f>
        <v/>
      </c>
      <c r="BB11" s="351">
        <f t="array" ref="BB11">iferror(vlookup(BB$12&amp;"-"&amp;$E13,{index(Output_HALO!$A:$ZZ,0,$C$8),index(Output_HALO!$A:$ZZ,0,$C6)},2,0),iferror(vlookup(BB$12&amp;"-"&amp;$E16,{index(Output_HALO!$A:$ZZ,0,$C$8),index(Output_HALO!$A:$ZZ,0,$C6)},2,0),iferror(vlookup(BB$12&amp;"-"&amp;$E19,{index(Output_HALO!$A:$ZZ,0,$C$8),index(Output_HALO!$A:$ZZ,0,$C6)},2,0),iferror(vlookup(BB$12&amp;"-"&amp;$E22,{index(Output_HALO!$A:$ZZ,0,$C$8),index(Output_HALO!$A:$ZZ,0,$C6)},2,0),iferror(vlookup(BB$12&amp;"-"&amp;$E25,{index(Output_HALO!$A:$ZZ,0,$C$8),index(Output_HALO!$A:$ZZ,0,$C6)},2,0),"")))))</f>
        <v>16</v>
      </c>
      <c r="BC11" s="351">
        <f t="array" ref="BC11">iferror(vlookup(BC$12&amp;"-"&amp;$E13,{index(Output_HALO!$A:$ZZ,0,$C$8),index(Output_HALO!$A:$ZZ,0,$C6)},2,0),iferror(vlookup(BC$12&amp;"-"&amp;$E16,{index(Output_HALO!$A:$ZZ,0,$C$8),index(Output_HALO!$A:$ZZ,0,$C6)},2,0),iferror(vlookup(BC$12&amp;"-"&amp;$E19,{index(Output_HALO!$A:$ZZ,0,$C$8),index(Output_HALO!$A:$ZZ,0,$C6)},2,0),iferror(vlookup(BC$12&amp;"-"&amp;$E22,{index(Output_HALO!$A:$ZZ,0,$C$8),index(Output_HALO!$A:$ZZ,0,$C6)},2,0),iferror(vlookup(BC$12&amp;"-"&amp;$E25,{index(Output_HALO!$A:$ZZ,0,$C$8),index(Output_HALO!$A:$ZZ,0,$C6)},2,0),"")))))</f>
        <v>16</v>
      </c>
      <c r="BD11" s="351">
        <f t="array" ref="BD11">iferror(vlookup(BD$12&amp;"-"&amp;$E13,{index(Output_HALO!$A:$ZZ,0,$C$8),index(Output_HALO!$A:$ZZ,0,$C6)},2,0),iferror(vlookup(BD$12&amp;"-"&amp;$E16,{index(Output_HALO!$A:$ZZ,0,$C$8),index(Output_HALO!$A:$ZZ,0,$C6)},2,0),iferror(vlookup(BD$12&amp;"-"&amp;$E19,{index(Output_HALO!$A:$ZZ,0,$C$8),index(Output_HALO!$A:$ZZ,0,$C6)},2,0),iferror(vlookup(BD$12&amp;"-"&amp;$E22,{index(Output_HALO!$A:$ZZ,0,$C$8),index(Output_HALO!$A:$ZZ,0,$C6)},2,0),iferror(vlookup(BD$12&amp;"-"&amp;$E25,{index(Output_HALO!$A:$ZZ,0,$C$8),index(Output_HALO!$A:$ZZ,0,$C6)},2,0),"")))))</f>
        <v>16</v>
      </c>
      <c r="BE11" s="351">
        <f t="array" ref="BE11">iferror(vlookup(BE$12&amp;"-"&amp;$E13,{index(Output_HALO!$A:$ZZ,0,$C$8),index(Output_HALO!$A:$ZZ,0,$C6)},2,0),iferror(vlookup(BE$12&amp;"-"&amp;$E16,{index(Output_HALO!$A:$ZZ,0,$C$8),index(Output_HALO!$A:$ZZ,0,$C6)},2,0),iferror(vlookup(BE$12&amp;"-"&amp;$E19,{index(Output_HALO!$A:$ZZ,0,$C$8),index(Output_HALO!$A:$ZZ,0,$C6)},2,0),iferror(vlookup(BE$12&amp;"-"&amp;$E22,{index(Output_HALO!$A:$ZZ,0,$C$8),index(Output_HALO!$A:$ZZ,0,$C6)},2,0),iferror(vlookup(BE$12&amp;"-"&amp;$E25,{index(Output_HALO!$A:$ZZ,0,$C$8),index(Output_HALO!$A:$ZZ,0,$C6)},2,0),"")))))</f>
        <v>16</v>
      </c>
      <c r="BF11" s="351" t="str">
        <f t="array" ref="BF11">iferror(vlookup(BF$12&amp;"-"&amp;$E13,{index(Output_HALO!$A:$ZZ,0,$C$8),index(Output_HALO!$A:$ZZ,0,$C6)},2,0),iferror(vlookup(BF$12&amp;"-"&amp;$E16,{index(Output_HALO!$A:$ZZ,0,$C$8),index(Output_HALO!$A:$ZZ,0,$C6)},2,0),iferror(vlookup(BF$12&amp;"-"&amp;$E19,{index(Output_HALO!$A:$ZZ,0,$C$8),index(Output_HALO!$A:$ZZ,0,$C6)},2,0),iferror(vlookup(BF$12&amp;"-"&amp;$E22,{index(Output_HALO!$A:$ZZ,0,$C$8),index(Output_HALO!$A:$ZZ,0,$C6)},2,0),iferror(vlookup(BF$12&amp;"-"&amp;$E25,{index(Output_HALO!$A:$ZZ,0,$C$8),index(Output_HALO!$A:$ZZ,0,$C6)},2,0),"")))))</f>
        <v/>
      </c>
      <c r="BG11" s="351">
        <f t="array" ref="BG11">iferror(vlookup(BG$12&amp;"-"&amp;$E13,{index(Output_HALO!$A:$ZZ,0,$C$8),index(Output_HALO!$A:$ZZ,0,$C6)},2,0),iferror(vlookup(BG$12&amp;"-"&amp;$E16,{index(Output_HALO!$A:$ZZ,0,$C$8),index(Output_HALO!$A:$ZZ,0,$C6)},2,0),iferror(vlookup(BG$12&amp;"-"&amp;$E19,{index(Output_HALO!$A:$ZZ,0,$C$8),index(Output_HALO!$A:$ZZ,0,$C6)},2,0),iferror(vlookup(BG$12&amp;"-"&amp;$E22,{index(Output_HALO!$A:$ZZ,0,$C$8),index(Output_HALO!$A:$ZZ,0,$C6)},2,0),iferror(vlookup(BG$12&amp;"-"&amp;$E25,{index(Output_HALO!$A:$ZZ,0,$C$8),index(Output_HALO!$A:$ZZ,0,$C6)},2,0),"")))))</f>
        <v>17</v>
      </c>
      <c r="BH11" s="351">
        <f t="array" ref="BH11">iferror(vlookup(BH$12&amp;"-"&amp;$E13,{index(Output_HALO!$A:$ZZ,0,$C$8),index(Output_HALO!$A:$ZZ,0,$C6)},2,0),iferror(vlookup(BH$12&amp;"-"&amp;$E16,{index(Output_HALO!$A:$ZZ,0,$C$8),index(Output_HALO!$A:$ZZ,0,$C6)},2,0),iferror(vlookup(BH$12&amp;"-"&amp;$E19,{index(Output_HALO!$A:$ZZ,0,$C$8),index(Output_HALO!$A:$ZZ,0,$C6)},2,0),iferror(vlookup(BH$12&amp;"-"&amp;$E22,{index(Output_HALO!$A:$ZZ,0,$C$8),index(Output_HALO!$A:$ZZ,0,$C6)},2,0),iferror(vlookup(BH$12&amp;"-"&amp;$E25,{index(Output_HALO!$A:$ZZ,0,$C$8),index(Output_HALO!$A:$ZZ,0,$C6)},2,0),"")))))</f>
        <v>17</v>
      </c>
      <c r="BI11" s="351">
        <f t="array" ref="BI11">iferror(vlookup(BI$12&amp;"-"&amp;$E13,{index(Output_HALO!$A:$ZZ,0,$C$8),index(Output_HALO!$A:$ZZ,0,$C6)},2,0),iferror(vlookup(BI$12&amp;"-"&amp;$E16,{index(Output_HALO!$A:$ZZ,0,$C$8),index(Output_HALO!$A:$ZZ,0,$C6)},2,0),iferror(vlookup(BI$12&amp;"-"&amp;$E19,{index(Output_HALO!$A:$ZZ,0,$C$8),index(Output_HALO!$A:$ZZ,0,$C6)},2,0),iferror(vlookup(BI$12&amp;"-"&amp;$E22,{index(Output_HALO!$A:$ZZ,0,$C$8),index(Output_HALO!$A:$ZZ,0,$C6)},2,0),iferror(vlookup(BI$12&amp;"-"&amp;$E25,{index(Output_HALO!$A:$ZZ,0,$C$8),index(Output_HALO!$A:$ZZ,0,$C6)},2,0),"")))))</f>
        <v>17</v>
      </c>
      <c r="BJ11" s="351">
        <f t="array" ref="BJ11">iferror(vlookup(BJ$12&amp;"-"&amp;$E13,{index(Output_HALO!$A:$ZZ,0,$C$8),index(Output_HALO!$A:$ZZ,0,$C6)},2,0),iferror(vlookup(BJ$12&amp;"-"&amp;$E16,{index(Output_HALO!$A:$ZZ,0,$C$8),index(Output_HALO!$A:$ZZ,0,$C6)},2,0),iferror(vlookup(BJ$12&amp;"-"&amp;$E19,{index(Output_HALO!$A:$ZZ,0,$C$8),index(Output_HALO!$A:$ZZ,0,$C6)},2,0),iferror(vlookup(BJ$12&amp;"-"&amp;$E22,{index(Output_HALO!$A:$ZZ,0,$C$8),index(Output_HALO!$A:$ZZ,0,$C6)},2,0),iferror(vlookup(BJ$12&amp;"-"&amp;$E25,{index(Output_HALO!$A:$ZZ,0,$C$8),index(Output_HALO!$A:$ZZ,0,$C6)},2,0),"")))))</f>
        <v>18</v>
      </c>
      <c r="BK11" s="351">
        <f t="array" ref="BK11">iferror(vlookup(BK$12&amp;"-"&amp;$E13,{index(Output_HALO!$A:$ZZ,0,$C$8),index(Output_HALO!$A:$ZZ,0,$C6)},2,0),iferror(vlookup(BK$12&amp;"-"&amp;$E16,{index(Output_HALO!$A:$ZZ,0,$C$8),index(Output_HALO!$A:$ZZ,0,$C6)},2,0),iferror(vlookup(BK$12&amp;"-"&amp;$E19,{index(Output_HALO!$A:$ZZ,0,$C$8),index(Output_HALO!$A:$ZZ,0,$C6)},2,0),iferror(vlookup(BK$12&amp;"-"&amp;$E22,{index(Output_HALO!$A:$ZZ,0,$C$8),index(Output_HALO!$A:$ZZ,0,$C6)},2,0),iferror(vlookup(BK$12&amp;"-"&amp;$E25,{index(Output_HALO!$A:$ZZ,0,$C$8),index(Output_HALO!$A:$ZZ,0,$C6)},2,0),"")))))</f>
        <v>18</v>
      </c>
      <c r="BL11" s="351">
        <f t="array" ref="BL11">iferror(vlookup(BL$12&amp;"-"&amp;$E13,{index(Output_HALO!$A:$ZZ,0,$C$8),index(Output_HALO!$A:$ZZ,0,$C6)},2,0),iferror(vlookup(BL$12&amp;"-"&amp;$E16,{index(Output_HALO!$A:$ZZ,0,$C$8),index(Output_HALO!$A:$ZZ,0,$C6)},2,0),iferror(vlookup(BL$12&amp;"-"&amp;$E19,{index(Output_HALO!$A:$ZZ,0,$C$8),index(Output_HALO!$A:$ZZ,0,$C6)},2,0),iferror(vlookup(BL$12&amp;"-"&amp;$E22,{index(Output_HALO!$A:$ZZ,0,$C$8),index(Output_HALO!$A:$ZZ,0,$C6)},2,0),iferror(vlookup(BL$12&amp;"-"&amp;$E25,{index(Output_HALO!$A:$ZZ,0,$C$8),index(Output_HALO!$A:$ZZ,0,$C6)},2,0),"")))))</f>
        <v>18</v>
      </c>
      <c r="BM11" s="351">
        <f t="array" ref="BM11">iferror(vlookup(BM$12&amp;"-"&amp;$E13,{index(Output_HALO!$A:$ZZ,0,$C$8),index(Output_HALO!$A:$ZZ,0,$C6)},2,0),iferror(vlookup(BM$12&amp;"-"&amp;$E16,{index(Output_HALO!$A:$ZZ,0,$C$8),index(Output_HALO!$A:$ZZ,0,$C6)},2,0),iferror(vlookup(BM$12&amp;"-"&amp;$E19,{index(Output_HALO!$A:$ZZ,0,$C$8),index(Output_HALO!$A:$ZZ,0,$C6)},2,0),iferror(vlookup(BM$12&amp;"-"&amp;$E22,{index(Output_HALO!$A:$ZZ,0,$C$8),index(Output_HALO!$A:$ZZ,0,$C6)},2,0),iferror(vlookup(BM$12&amp;"-"&amp;$E25,{index(Output_HALO!$A:$ZZ,0,$C$8),index(Output_HALO!$A:$ZZ,0,$C6)},2,0),"")))))</f>
        <v>18</v>
      </c>
      <c r="BN11" s="351" t="str">
        <f t="array" ref="BN11">iferror(vlookup(BN$12&amp;"-"&amp;$E13,{index(Output_HALO!$A:$ZZ,0,$C$8),index(Output_HALO!$A:$ZZ,0,$C6)},2,0),iferror(vlookup(BN$12&amp;"-"&amp;$E16,{index(Output_HALO!$A:$ZZ,0,$C$8),index(Output_HALO!$A:$ZZ,0,$C6)},2,0),iferror(vlookup(BN$12&amp;"-"&amp;$E19,{index(Output_HALO!$A:$ZZ,0,$C$8),index(Output_HALO!$A:$ZZ,0,$C6)},2,0),iferror(vlookup(BN$12&amp;"-"&amp;$E22,{index(Output_HALO!$A:$ZZ,0,$C$8),index(Output_HALO!$A:$ZZ,0,$C6)},2,0),iferror(vlookup(BN$12&amp;"-"&amp;$E25,{index(Output_HALO!$A:$ZZ,0,$C$8),index(Output_HALO!$A:$ZZ,0,$C6)},2,0),"")))))</f>
        <v/>
      </c>
      <c r="BO11" s="351" t="str">
        <f t="array" ref="BO11">iferror(vlookup(BO$12&amp;"-"&amp;$E13,{index(Output_HALO!$A:$ZZ,0,$C$8),index(Output_HALO!$A:$ZZ,0,$C6)},2,0),iferror(vlookup(BO$12&amp;"-"&amp;$E16,{index(Output_HALO!$A:$ZZ,0,$C$8),index(Output_HALO!$A:$ZZ,0,$C6)},2,0),iferror(vlookup(BO$12&amp;"-"&amp;$E19,{index(Output_HALO!$A:$ZZ,0,$C$8),index(Output_HALO!$A:$ZZ,0,$C6)},2,0),iferror(vlookup(BO$12&amp;"-"&amp;$E22,{index(Output_HALO!$A:$ZZ,0,$C$8),index(Output_HALO!$A:$ZZ,0,$C6)},2,0),iferror(vlookup(BO$12&amp;"-"&amp;$E25,{index(Output_HALO!$A:$ZZ,0,$C$8),index(Output_HALO!$A:$ZZ,0,$C6)},2,0),"")))))</f>
        <v/>
      </c>
      <c r="BP11" s="351" t="str">
        <f t="array" ref="BP11">iferror(vlookup(BP$12&amp;"-"&amp;$E13,{index(Output_HALO!$A:$ZZ,0,$C$8),index(Output_HALO!$A:$ZZ,0,$C6)},2,0),iferror(vlookup(BP$12&amp;"-"&amp;$E16,{index(Output_HALO!$A:$ZZ,0,$C$8),index(Output_HALO!$A:$ZZ,0,$C6)},2,0),iferror(vlookup(BP$12&amp;"-"&amp;$E19,{index(Output_HALO!$A:$ZZ,0,$C$8),index(Output_HALO!$A:$ZZ,0,$C6)},2,0),iferror(vlookup(BP$12&amp;"-"&amp;$E22,{index(Output_HALO!$A:$ZZ,0,$C$8),index(Output_HALO!$A:$ZZ,0,$C6)},2,0),iferror(vlookup(BP$12&amp;"-"&amp;$E25,{index(Output_HALO!$A:$ZZ,0,$C$8),index(Output_HALO!$A:$ZZ,0,$C6)},2,0),"")))))</f>
        <v/>
      </c>
      <c r="BQ11" s="351" t="str">
        <f t="array" ref="BQ11">iferror(vlookup(BQ$12&amp;"-"&amp;$E13,{index(Output_HALO!$A:$ZZ,0,$C$8),index(Output_HALO!$A:$ZZ,0,$C6)},2,0),iferror(vlookup(BQ$12&amp;"-"&amp;$E16,{index(Output_HALO!$A:$ZZ,0,$C$8),index(Output_HALO!$A:$ZZ,0,$C6)},2,0),iferror(vlookup(BQ$12&amp;"-"&amp;$E19,{index(Output_HALO!$A:$ZZ,0,$C$8),index(Output_HALO!$A:$ZZ,0,$C6)},2,0),iferror(vlookup(BQ$12&amp;"-"&amp;$E22,{index(Output_HALO!$A:$ZZ,0,$C$8),index(Output_HALO!$A:$ZZ,0,$C6)},2,0),iferror(vlookup(BQ$12&amp;"-"&amp;$E25,{index(Output_HALO!$A:$ZZ,0,$C$8),index(Output_HALO!$A:$ZZ,0,$C6)},2,0),"")))))</f>
        <v/>
      </c>
    </row>
    <row r="12">
      <c r="A12" s="118"/>
      <c r="E12" s="348" t="s">
        <v>468</v>
      </c>
      <c r="F12" s="352">
        <v>1.0</v>
      </c>
      <c r="G12" s="352">
        <v>2.0</v>
      </c>
      <c r="H12" s="352">
        <v>3.0</v>
      </c>
      <c r="I12" s="352">
        <v>4.0</v>
      </c>
      <c r="J12" s="352">
        <v>5.0</v>
      </c>
      <c r="K12" s="352">
        <v>6.0</v>
      </c>
      <c r="L12" s="352">
        <v>7.0</v>
      </c>
      <c r="M12" s="352">
        <v>8.0</v>
      </c>
      <c r="N12" s="352">
        <v>9.0</v>
      </c>
      <c r="O12" s="352">
        <v>10.0</v>
      </c>
      <c r="P12" s="352">
        <v>11.0</v>
      </c>
      <c r="Q12" s="352">
        <v>12.0</v>
      </c>
      <c r="R12" s="352">
        <v>13.0</v>
      </c>
      <c r="S12" s="352">
        <v>14.0</v>
      </c>
      <c r="T12" s="352">
        <v>15.0</v>
      </c>
      <c r="U12" s="352">
        <v>16.0</v>
      </c>
      <c r="V12" s="352">
        <v>17.0</v>
      </c>
      <c r="W12" s="352">
        <v>18.0</v>
      </c>
      <c r="X12" s="352">
        <v>19.0</v>
      </c>
      <c r="Y12" s="352">
        <v>20.0</v>
      </c>
      <c r="Z12" s="352">
        <v>21.0</v>
      </c>
      <c r="AA12" s="352">
        <v>22.0</v>
      </c>
      <c r="AB12" s="352">
        <v>23.0</v>
      </c>
      <c r="AC12" s="352">
        <v>24.0</v>
      </c>
      <c r="AD12" s="352">
        <v>25.0</v>
      </c>
      <c r="AE12" s="352">
        <v>26.0</v>
      </c>
      <c r="AF12" s="352">
        <v>27.0</v>
      </c>
      <c r="AG12" s="352">
        <v>28.0</v>
      </c>
      <c r="AH12" s="352">
        <v>29.0</v>
      </c>
      <c r="AI12" s="352">
        <v>30.0</v>
      </c>
      <c r="AJ12" s="352">
        <v>31.0</v>
      </c>
      <c r="AK12" s="352">
        <v>32.0</v>
      </c>
      <c r="AL12" s="352">
        <v>33.0</v>
      </c>
      <c r="AM12" s="352">
        <v>34.0</v>
      </c>
      <c r="AN12" s="352">
        <v>35.0</v>
      </c>
      <c r="AO12" s="352">
        <v>36.0</v>
      </c>
      <c r="AP12" s="352">
        <v>37.0</v>
      </c>
      <c r="AQ12" s="352">
        <v>38.0</v>
      </c>
      <c r="AR12" s="352">
        <v>39.0</v>
      </c>
      <c r="AS12" s="352">
        <v>40.0</v>
      </c>
      <c r="AT12" s="352">
        <v>41.0</v>
      </c>
      <c r="AU12" s="352">
        <v>42.0</v>
      </c>
      <c r="AV12" s="352">
        <v>43.0</v>
      </c>
      <c r="AW12" s="352">
        <v>44.0</v>
      </c>
      <c r="AX12" s="352">
        <v>45.0</v>
      </c>
      <c r="AY12" s="352">
        <v>46.0</v>
      </c>
      <c r="AZ12" s="352">
        <v>47.0</v>
      </c>
      <c r="BA12" s="352">
        <v>48.0</v>
      </c>
      <c r="BB12" s="352">
        <v>49.0</v>
      </c>
      <c r="BC12" s="352">
        <v>50.0</v>
      </c>
      <c r="BD12" s="352">
        <v>51.0</v>
      </c>
      <c r="BE12" s="352">
        <v>52.0</v>
      </c>
      <c r="BF12" s="352">
        <v>53.0</v>
      </c>
      <c r="BG12" s="352">
        <v>54.0</v>
      </c>
      <c r="BH12" s="352">
        <v>55.0</v>
      </c>
      <c r="BI12" s="352">
        <v>56.0</v>
      </c>
      <c r="BJ12" s="352">
        <v>57.0</v>
      </c>
      <c r="BK12" s="352">
        <v>58.0</v>
      </c>
      <c r="BL12" s="352">
        <v>59.0</v>
      </c>
      <c r="BM12" s="352">
        <v>60.0</v>
      </c>
      <c r="BN12" s="352">
        <v>61.0</v>
      </c>
      <c r="BO12" s="352">
        <v>62.0</v>
      </c>
      <c r="BP12" s="352">
        <v>63.0</v>
      </c>
      <c r="BQ12" s="352">
        <v>64.0</v>
      </c>
    </row>
    <row r="13" hidden="1">
      <c r="E13" s="348">
        <v>5.0</v>
      </c>
      <c r="F13" s="353" t="str">
        <f t="array" ref="F13">iferror(vlookup(F$12&amp;"-"&amp;$E13,{index(Output_HALO!$A:$ZZ,0,$C$8),index(Output_HALO!$A:$ZZ,0,$C$3)},2,0),"")</f>
        <v/>
      </c>
      <c r="G13" s="353" t="str">
        <f t="array" ref="G13">iferror(vlookup(G$12&amp;"-"&amp;$E13,{index(Output_HALO!$A:$ZZ,0,$C$8),index(Output_HALO!$A:$ZZ,0,$C$3)},2,0),"")</f>
        <v/>
      </c>
      <c r="H13" s="353" t="str">
        <f t="array" ref="H13">iferror(vlookup(H$12&amp;"-"&amp;$E13,{index(Output_HALO!$A:$ZZ,0,$C$8),index(Output_HALO!$A:$ZZ,0,$C$3)},2,0),"")</f>
        <v/>
      </c>
      <c r="I13" s="353" t="str">
        <f t="array" ref="I13">iferror(vlookup(I$12&amp;"-"&amp;$E13,{index(Output_HALO!$A:$ZZ,0,$C$8),index(Output_HALO!$A:$ZZ,0,$C$3)},2,0),"")</f>
        <v/>
      </c>
      <c r="J13" s="353" t="str">
        <f t="array" ref="J13">iferror(vlookup(J$12&amp;"-"&amp;$E13,{index(Output_HALO!$A:$ZZ,0,$C$8),index(Output_HALO!$A:$ZZ,0,$C$3)},2,0),"")</f>
        <v/>
      </c>
      <c r="K13" s="353" t="str">
        <f t="array" ref="K13">iferror(vlookup(K$12&amp;"-"&amp;$E13,{index(Output_HALO!$A:$ZZ,0,$C$8),index(Output_HALO!$A:$ZZ,0,$C$3)},2,0),"")</f>
        <v/>
      </c>
      <c r="L13" s="353" t="str">
        <f t="array" ref="L13">iferror(vlookup(L$12&amp;"-"&amp;$E13,{index(Output_HALO!$A:$ZZ,0,$C$8),index(Output_HALO!$A:$ZZ,0,$C$3)},2,0),"")</f>
        <v/>
      </c>
      <c r="M13" s="353" t="str">
        <f t="array" ref="M13">iferror(vlookup(M$12&amp;"-"&amp;$E13,{index(Output_HALO!$A:$ZZ,0,$C$8),index(Output_HALO!$A:$ZZ,0,$C$3)},2,0),"")</f>
        <v/>
      </c>
      <c r="N13" s="353" t="str">
        <f t="array" ref="N13">iferror(vlookup(N$12&amp;"-"&amp;$E13,{index(Output_HALO!$A:$ZZ,0,$C$8),index(Output_HALO!$A:$ZZ,0,$C$3)},2,0),"")</f>
        <v/>
      </c>
      <c r="O13" s="353" t="str">
        <f t="array" ref="O13">iferror(vlookup(O$12&amp;"-"&amp;$E13,{index(Output_HALO!$A:$ZZ,0,$C$8),index(Output_HALO!$A:$ZZ,0,$C$3)},2,0),"")</f>
        <v/>
      </c>
      <c r="P13" s="353" t="str">
        <f t="array" ref="P13">iferror(vlookup(P$12&amp;"-"&amp;$E13,{index(Output_HALO!$A:$ZZ,0,$C$8),index(Output_HALO!$A:$ZZ,0,$C$3)},2,0),"")</f>
        <v/>
      </c>
      <c r="Q13" s="353" t="str">
        <f t="array" ref="Q13">iferror(vlookup(Q$12&amp;"-"&amp;$E13,{index(Output_HALO!$A:$ZZ,0,$C$8),index(Output_HALO!$A:$ZZ,0,$C$3)},2,0),"")</f>
        <v/>
      </c>
      <c r="R13" s="353" t="str">
        <f t="array" ref="R13">iferror(vlookup(R$12&amp;"-"&amp;$E13,{index(Output_HALO!$A:$ZZ,0,$C$8),index(Output_HALO!$A:$ZZ,0,$C$3)},2,0),"")</f>
        <v/>
      </c>
      <c r="S13" s="353" t="str">
        <f t="array" ref="S13">iferror(vlookup(S$12&amp;"-"&amp;$E13,{index(Output_HALO!$A:$ZZ,0,$C$8),index(Output_HALO!$A:$ZZ,0,$C$3)},2,0),"")</f>
        <v/>
      </c>
      <c r="T13" s="353" t="str">
        <f t="array" ref="T13">iferror(vlookup(T$12&amp;"-"&amp;$E13,{index(Output_HALO!$A:$ZZ,0,$C$8),index(Output_HALO!$A:$ZZ,0,$C$3)},2,0),"")</f>
        <v/>
      </c>
      <c r="U13" s="353" t="str">
        <f t="array" ref="U13">iferror(vlookup(U$12&amp;"-"&amp;$E13,{index(Output_HALO!$A:$ZZ,0,$C$8),index(Output_HALO!$A:$ZZ,0,$C$3)},2,0),"")</f>
        <v/>
      </c>
      <c r="V13" s="353" t="str">
        <f t="array" ref="V13">iferror(vlookup(V$12&amp;"-"&amp;$E13,{index(Output_HALO!$A:$ZZ,0,$C$8),index(Output_HALO!$A:$ZZ,0,$C$3)},2,0),"")</f>
        <v/>
      </c>
      <c r="W13" s="353" t="str">
        <f t="array" ref="W13">iferror(vlookup(W$12&amp;"-"&amp;$E13,{index(Output_HALO!$A:$ZZ,0,$C$8),index(Output_HALO!$A:$ZZ,0,$C$3)},2,0),"")</f>
        <v/>
      </c>
      <c r="X13" s="353" t="str">
        <f t="array" ref="X13">iferror(vlookup(X$12&amp;"-"&amp;$E13,{index(Output_HALO!$A:$ZZ,0,$C$8),index(Output_HALO!$A:$ZZ,0,$C$3)},2,0),"")</f>
        <v/>
      </c>
      <c r="Y13" s="353" t="str">
        <f t="array" ref="Y13">iferror(vlookup(Y$12&amp;"-"&amp;$E13,{index(Output_HALO!$A:$ZZ,0,$C$8),index(Output_HALO!$A:$ZZ,0,$C$3)},2,0),"")</f>
        <v/>
      </c>
      <c r="Z13" s="353" t="str">
        <f t="array" ref="Z13">iferror(vlookup(Z$12&amp;"-"&amp;$E13,{index(Output_HALO!$A:$ZZ,0,$C$8),index(Output_HALO!$A:$ZZ,0,$C$3)},2,0),"")</f>
        <v/>
      </c>
      <c r="AA13" s="353" t="str">
        <f t="array" ref="AA13">iferror(vlookup(AA$12&amp;"-"&amp;$E13,{index(Output_HALO!$A:$ZZ,0,$C$8),index(Output_HALO!$A:$ZZ,0,$C$3)},2,0),"")</f>
        <v/>
      </c>
      <c r="AB13" s="353" t="str">
        <f t="array" ref="AB13">iferror(vlookup(AB$12&amp;"-"&amp;$E13,{index(Output_HALO!$A:$ZZ,0,$C$8),index(Output_HALO!$A:$ZZ,0,$C$3)},2,0),"")</f>
        <v/>
      </c>
      <c r="AC13" s="353" t="str">
        <f t="array" ref="AC13">iferror(vlookup(AC$12&amp;"-"&amp;$E13,{index(Output_HALO!$A:$ZZ,0,$C$8),index(Output_HALO!$A:$ZZ,0,$C$3)},2,0),"")</f>
        <v/>
      </c>
      <c r="AD13" s="353" t="str">
        <f t="array" ref="AD13">iferror(vlookup(AD$12&amp;"-"&amp;$E13,{index(Output_HALO!$A:$ZZ,0,$C$8),index(Output_HALO!$A:$ZZ,0,$C$3)},2,0),"")</f>
        <v/>
      </c>
      <c r="AE13" s="353" t="str">
        <f t="array" ref="AE13">iferror(vlookup(AE$12&amp;"-"&amp;$E13,{index(Output_HALO!$A:$ZZ,0,$C$8),index(Output_HALO!$A:$ZZ,0,$C$3)},2,0),"")</f>
        <v/>
      </c>
      <c r="AF13" s="353" t="str">
        <f t="array" ref="AF13">iferror(vlookup(AF$12&amp;"-"&amp;$E13,{index(Output_HALO!$A:$ZZ,0,$C$8),index(Output_HALO!$A:$ZZ,0,$C$3)},2,0),"")</f>
        <v/>
      </c>
      <c r="AG13" s="353" t="str">
        <f t="array" ref="AG13">iferror(vlookup(AG$12&amp;"-"&amp;$E13,{index(Output_HALO!$A:$ZZ,0,$C$8),index(Output_HALO!$A:$ZZ,0,$C$3)},2,0),"")</f>
        <v/>
      </c>
      <c r="AH13" s="353" t="str">
        <f t="array" ref="AH13">iferror(vlookup(AH$12&amp;"-"&amp;$E13,{index(Output_HALO!$A:$ZZ,0,$C$8),index(Output_HALO!$A:$ZZ,0,$C$3)},2,0),"")</f>
        <v/>
      </c>
      <c r="AI13" s="353" t="str">
        <f t="array" ref="AI13">iferror(vlookup(AI$12&amp;"-"&amp;$E13,{index(Output_HALO!$A:$ZZ,0,$C$8),index(Output_HALO!$A:$ZZ,0,$C$3)},2,0),"")</f>
        <v/>
      </c>
      <c r="AJ13" s="353" t="str">
        <f t="array" ref="AJ13">iferror(vlookup(AJ$12&amp;"-"&amp;$E13,{index(Output_HALO!$A:$ZZ,0,$C$8),index(Output_HALO!$A:$ZZ,0,$C$3)},2,0),"")</f>
        <v/>
      </c>
      <c r="AK13" s="353" t="str">
        <f t="array" ref="AK13">iferror(vlookup(AK$12&amp;"-"&amp;$E13,{index(Output_HALO!$A:$ZZ,0,$C$8),index(Output_HALO!$A:$ZZ,0,$C$3)},2,0),"")</f>
        <v/>
      </c>
      <c r="AL13" s="353" t="str">
        <f t="array" ref="AL13">iferror(vlookup(AL$12&amp;"-"&amp;$E13,{index(Output_HALO!$A:$ZZ,0,$C$8),index(Output_HALO!$A:$ZZ,0,$C$3)},2,0),"")</f>
        <v/>
      </c>
      <c r="AM13" s="353" t="str">
        <f t="array" ref="AM13">iferror(vlookup(AM$12&amp;"-"&amp;$E13,{index(Output_HALO!$A:$ZZ,0,$C$8),index(Output_HALO!$A:$ZZ,0,$C$3)},2,0),"")</f>
        <v/>
      </c>
      <c r="AN13" s="353" t="str">
        <f t="array" ref="AN13">iferror(vlookup(AN$12&amp;"-"&amp;$E13,{index(Output_HALO!$A:$ZZ,0,$C$8),index(Output_HALO!$A:$ZZ,0,$C$3)},2,0),"")</f>
        <v/>
      </c>
      <c r="AO13" s="353" t="str">
        <f t="array" ref="AO13">iferror(vlookup(AO$12&amp;"-"&amp;$E13,{index(Output_HALO!$A:$ZZ,0,$C$8),index(Output_HALO!$A:$ZZ,0,$C$3)},2,0),"")</f>
        <v/>
      </c>
      <c r="AP13" s="353" t="str">
        <f t="array" ref="AP13">iferror(vlookup(AP$12&amp;"-"&amp;$E13,{index(Output_HALO!$A:$ZZ,0,$C$8),index(Output_HALO!$A:$ZZ,0,$C$3)},2,0),"")</f>
        <v/>
      </c>
      <c r="AQ13" s="353" t="str">
        <f t="array" ref="AQ13">iferror(vlookup(AQ$12&amp;"-"&amp;$E13,{index(Output_HALO!$A:$ZZ,0,$C$8),index(Output_HALO!$A:$ZZ,0,$C$3)},2,0),"")</f>
        <v/>
      </c>
      <c r="AR13" s="353" t="str">
        <f t="array" ref="AR13">iferror(vlookup(AR$12&amp;"-"&amp;$E13,{index(Output_HALO!$A:$ZZ,0,$C$8),index(Output_HALO!$A:$ZZ,0,$C$3)},2,0),"")</f>
        <v/>
      </c>
      <c r="AS13" s="353" t="str">
        <f t="array" ref="AS13">iferror(vlookup(AS$12&amp;"-"&amp;$E13,{index(Output_HALO!$A:$ZZ,0,$C$8),index(Output_HALO!$A:$ZZ,0,$C$3)},2,0),"")</f>
        <v/>
      </c>
      <c r="AT13" s="353" t="str">
        <f t="array" ref="AT13">iferror(vlookup(AT$12&amp;"-"&amp;$E13,{index(Output_HALO!$A:$ZZ,0,$C$8),index(Output_HALO!$A:$ZZ,0,$C$3)},2,0),"")</f>
        <v/>
      </c>
      <c r="AU13" s="353" t="str">
        <f t="array" ref="AU13">iferror(vlookup(AU$12&amp;"-"&amp;$E13,{index(Output_HALO!$A:$ZZ,0,$C$8),index(Output_HALO!$A:$ZZ,0,$C$3)},2,0),"")</f>
        <v/>
      </c>
      <c r="AV13" s="353" t="str">
        <f t="array" ref="AV13">iferror(vlookup(AV$12&amp;"-"&amp;$E13,{index(Output_HALO!$A:$ZZ,0,$C$8),index(Output_HALO!$A:$ZZ,0,$C$3)},2,0),"")</f>
        <v/>
      </c>
      <c r="AW13" s="353" t="str">
        <f t="array" ref="AW13">iferror(vlookup(AW$12&amp;"-"&amp;$E13,{index(Output_HALO!$A:$ZZ,0,$C$8),index(Output_HALO!$A:$ZZ,0,$C$3)},2,0),"")</f>
        <v/>
      </c>
      <c r="AX13" s="353" t="str">
        <f t="array" ref="AX13">iferror(vlookup(AX$12&amp;"-"&amp;$E13,{index(Output_HALO!$A:$ZZ,0,$C$8),index(Output_HALO!$A:$ZZ,0,$C$3)},2,0),"")</f>
        <v/>
      </c>
      <c r="AY13" s="353" t="str">
        <f t="array" ref="AY13">iferror(vlookup(AY$12&amp;"-"&amp;$E13,{index(Output_HALO!$A:$ZZ,0,$C$8),index(Output_HALO!$A:$ZZ,0,$C$3)},2,0),"")</f>
        <v/>
      </c>
      <c r="AZ13" s="353" t="str">
        <f t="array" ref="AZ13">iferror(vlookup(AZ$12&amp;"-"&amp;$E13,{index(Output_HALO!$A:$ZZ,0,$C$8),index(Output_HALO!$A:$ZZ,0,$C$3)},2,0),"")</f>
        <v/>
      </c>
      <c r="BA13" s="353" t="str">
        <f t="array" ref="BA13">iferror(vlookup(BA$12&amp;"-"&amp;$E13,{index(Output_HALO!$A:$ZZ,0,$C$8),index(Output_HALO!$A:$ZZ,0,$C$3)},2,0),"")</f>
        <v/>
      </c>
      <c r="BB13" s="353" t="str">
        <f t="array" ref="BB13">iferror(vlookup(BB$12&amp;"-"&amp;$E13,{index(Output_HALO!$A:$ZZ,0,$C$8),index(Output_HALO!$A:$ZZ,0,$C$3)},2,0),"")</f>
        <v/>
      </c>
      <c r="BC13" s="353" t="str">
        <f t="array" ref="BC13">iferror(vlookup(BC$12&amp;"-"&amp;$E13,{index(Output_HALO!$A:$ZZ,0,$C$8),index(Output_HALO!$A:$ZZ,0,$C$3)},2,0),"")</f>
        <v/>
      </c>
      <c r="BD13" s="353" t="str">
        <f t="array" ref="BD13">iferror(vlookup(BD$12&amp;"-"&amp;$E13,{index(Output_HALO!$A:$ZZ,0,$C$8),index(Output_HALO!$A:$ZZ,0,$C$3)},2,0),"")</f>
        <v/>
      </c>
      <c r="BE13" s="353" t="str">
        <f t="array" ref="BE13">iferror(vlookup(BE$12&amp;"-"&amp;$E13,{index(Output_HALO!$A:$ZZ,0,$C$8),index(Output_HALO!$A:$ZZ,0,$C$3)},2,0),"")</f>
        <v/>
      </c>
      <c r="BF13" s="353" t="str">
        <f t="array" ref="BF13">iferror(vlookup(BF$12&amp;"-"&amp;$E13,{index(Output_HALO!$A:$ZZ,0,$C$8),index(Output_HALO!$A:$ZZ,0,$C$3)},2,0),"")</f>
        <v/>
      </c>
      <c r="BG13" s="353" t="str">
        <f t="array" ref="BG13">iferror(vlookup(BG$12&amp;"-"&amp;$E13,{index(Output_HALO!$A:$ZZ,0,$C$8),index(Output_HALO!$A:$ZZ,0,$C$3)},2,0),"")</f>
        <v/>
      </c>
      <c r="BH13" s="353" t="str">
        <f t="array" ref="BH13">iferror(vlookup(BH$12&amp;"-"&amp;$E13,{index(Output_HALO!$A:$ZZ,0,$C$8),index(Output_HALO!$A:$ZZ,0,$C$3)},2,0),"")</f>
        <v/>
      </c>
      <c r="BI13" s="353" t="str">
        <f t="array" ref="BI13">iferror(vlookup(BI$12&amp;"-"&amp;$E13,{index(Output_HALO!$A:$ZZ,0,$C$8),index(Output_HALO!$A:$ZZ,0,$C$3)},2,0),"")</f>
        <v/>
      </c>
      <c r="BJ13" s="353" t="str">
        <f t="array" ref="BJ13">iferror(vlookup(BJ$12&amp;"-"&amp;$E13,{index(Output_HALO!$A:$ZZ,0,$C$8),index(Output_HALO!$A:$ZZ,0,$C$3)},2,0),"")</f>
        <v/>
      </c>
      <c r="BK13" s="353" t="str">
        <f t="array" ref="BK13">iferror(vlookup(BK$12&amp;"-"&amp;$E13,{index(Output_HALO!$A:$ZZ,0,$C$8),index(Output_HALO!$A:$ZZ,0,$C$3)},2,0),"")</f>
        <v/>
      </c>
      <c r="BL13" s="353" t="str">
        <f t="array" ref="BL13">iferror(vlookup(BL$12&amp;"-"&amp;$E13,{index(Output_HALO!$A:$ZZ,0,$C$8),index(Output_HALO!$A:$ZZ,0,$C$3)},2,0),"")</f>
        <v/>
      </c>
      <c r="BM13" s="353" t="str">
        <f t="array" ref="BM13">iferror(vlookup(BM$12&amp;"-"&amp;$E13,{index(Output_HALO!$A:$ZZ,0,$C$8),index(Output_HALO!$A:$ZZ,0,$C$3)},2,0),"")</f>
        <v/>
      </c>
      <c r="BN13" s="353" t="str">
        <f t="array" ref="BN13">iferror(vlookup(BN$12&amp;"-"&amp;$E13,{index(Output_HALO!$A:$ZZ,0,$C$8),index(Output_HALO!$A:$ZZ,0,$C$3)},2,0),"")</f>
        <v/>
      </c>
      <c r="BO13" s="353" t="str">
        <f t="array" ref="BO13">iferror(vlookup(BO$12&amp;"-"&amp;$E13,{index(Output_HALO!$A:$ZZ,0,$C$8),index(Output_HALO!$A:$ZZ,0,$C$3)},2,0),"")</f>
        <v/>
      </c>
      <c r="BP13" s="353" t="str">
        <f t="array" ref="BP13">iferror(vlookup(BP$12&amp;"-"&amp;$E13,{index(Output_HALO!$A:$ZZ,0,$C$8),index(Output_HALO!$A:$ZZ,0,$C$3)},2,0),"")</f>
        <v/>
      </c>
      <c r="BQ13" s="353" t="str">
        <f t="array" ref="BQ13">iferror(vlookup(BQ$12&amp;"-"&amp;$E13,{index(Output_HALO!$A:$ZZ,0,$C$8),index(Output_HALO!$A:$ZZ,0,$C$3)},2,0),"")</f>
        <v/>
      </c>
    </row>
    <row r="14" hidden="1">
      <c r="E14" s="348">
        <v>5.0</v>
      </c>
      <c r="F14" s="353">
        <f t="array" ref="F14">iferror(vlookup(F13,{index(Output_HALO!$A:$ZZ,0,$C$3),index(Output_HALO!$A:$ZZ,0,$C$4)},2,0),"")</f>
        <v>0</v>
      </c>
      <c r="G14" s="353">
        <f t="array" ref="G14">iferror(vlookup(G13,{index(Output_HALO!$A:$ZZ,0,$C$3),index(Output_HALO!$A:$ZZ,0,$C$4)},2,0),"")</f>
        <v>0</v>
      </c>
      <c r="H14" s="353">
        <f t="array" ref="H14">iferror(vlookup(H13,{index(Output_HALO!$A:$ZZ,0,$C$3),index(Output_HALO!$A:$ZZ,0,$C$4)},2,0),"")</f>
        <v>0</v>
      </c>
      <c r="I14" s="353">
        <f t="array" ref="I14">iferror(vlookup(I13,{index(Output_HALO!$A:$ZZ,0,$C$3),index(Output_HALO!$A:$ZZ,0,$C$4)},2,0),"")</f>
        <v>0</v>
      </c>
      <c r="J14" s="353">
        <f t="array" ref="J14">iferror(vlookup(J13,{index(Output_HALO!$A:$ZZ,0,$C$3),index(Output_HALO!$A:$ZZ,0,$C$4)},2,0),"")</f>
        <v>0</v>
      </c>
      <c r="K14" s="353">
        <f t="array" ref="K14">iferror(vlookup(K13,{index(Output_HALO!$A:$ZZ,0,$C$3),index(Output_HALO!$A:$ZZ,0,$C$4)},2,0),"")</f>
        <v>0</v>
      </c>
      <c r="L14" s="353">
        <f t="array" ref="L14">iferror(vlookup(L13,{index(Output_HALO!$A:$ZZ,0,$C$3),index(Output_HALO!$A:$ZZ,0,$C$4)},2,0),"")</f>
        <v>0</v>
      </c>
      <c r="M14" s="353">
        <f t="array" ref="M14">iferror(vlookup(M13,{index(Output_HALO!$A:$ZZ,0,$C$3),index(Output_HALO!$A:$ZZ,0,$C$4)},2,0),"")</f>
        <v>0</v>
      </c>
      <c r="N14" s="353">
        <f t="array" ref="N14">iferror(vlookup(N13,{index(Output_HALO!$A:$ZZ,0,$C$3),index(Output_HALO!$A:$ZZ,0,$C$4)},2,0),"")</f>
        <v>0</v>
      </c>
      <c r="O14" s="353">
        <f t="array" ref="O14">iferror(vlookup(O13,{index(Output_HALO!$A:$ZZ,0,$C$3),index(Output_HALO!$A:$ZZ,0,$C$4)},2,0),"")</f>
        <v>0</v>
      </c>
      <c r="P14" s="353">
        <f t="array" ref="P14">iferror(vlookup(P13,{index(Output_HALO!$A:$ZZ,0,$C$3),index(Output_HALO!$A:$ZZ,0,$C$4)},2,0),"")</f>
        <v>0</v>
      </c>
      <c r="Q14" s="353">
        <f t="array" ref="Q14">iferror(vlookup(Q13,{index(Output_HALO!$A:$ZZ,0,$C$3),index(Output_HALO!$A:$ZZ,0,$C$4)},2,0),"")</f>
        <v>0</v>
      </c>
      <c r="R14" s="353">
        <f t="array" ref="R14">iferror(vlookup(R13,{index(Output_HALO!$A:$ZZ,0,$C$3),index(Output_HALO!$A:$ZZ,0,$C$4)},2,0),"")</f>
        <v>0</v>
      </c>
      <c r="S14" s="353">
        <f t="array" ref="S14">iferror(vlookup(S13,{index(Output_HALO!$A:$ZZ,0,$C$3),index(Output_HALO!$A:$ZZ,0,$C$4)},2,0),"")</f>
        <v>0</v>
      </c>
      <c r="T14" s="353">
        <f t="array" ref="T14">iferror(vlookup(T13,{index(Output_HALO!$A:$ZZ,0,$C$3),index(Output_HALO!$A:$ZZ,0,$C$4)},2,0),"")</f>
        <v>0</v>
      </c>
      <c r="U14" s="353">
        <f t="array" ref="U14">iferror(vlookup(U13,{index(Output_HALO!$A:$ZZ,0,$C$3),index(Output_HALO!$A:$ZZ,0,$C$4)},2,0),"")</f>
        <v>0</v>
      </c>
      <c r="V14" s="353">
        <f t="array" ref="V14">iferror(vlookup(V13,{index(Output_HALO!$A:$ZZ,0,$C$3),index(Output_HALO!$A:$ZZ,0,$C$4)},2,0),"")</f>
        <v>0</v>
      </c>
      <c r="W14" s="353">
        <f t="array" ref="W14">iferror(vlookup(W13,{index(Output_HALO!$A:$ZZ,0,$C$3),index(Output_HALO!$A:$ZZ,0,$C$4)},2,0),"")</f>
        <v>0</v>
      </c>
      <c r="X14" s="353">
        <f t="array" ref="X14">iferror(vlookup(X13,{index(Output_HALO!$A:$ZZ,0,$C$3),index(Output_HALO!$A:$ZZ,0,$C$4)},2,0),"")</f>
        <v>0</v>
      </c>
      <c r="Y14" s="353">
        <f t="array" ref="Y14">iferror(vlookup(Y13,{index(Output_HALO!$A:$ZZ,0,$C$3),index(Output_HALO!$A:$ZZ,0,$C$4)},2,0),"")</f>
        <v>0</v>
      </c>
      <c r="Z14" s="353">
        <f t="array" ref="Z14">iferror(vlookup(Z13,{index(Output_HALO!$A:$ZZ,0,$C$3),index(Output_HALO!$A:$ZZ,0,$C$4)},2,0),"")</f>
        <v>0</v>
      </c>
      <c r="AA14" s="353">
        <f t="array" ref="AA14">iferror(vlookup(AA13,{index(Output_HALO!$A:$ZZ,0,$C$3),index(Output_HALO!$A:$ZZ,0,$C$4)},2,0),"")</f>
        <v>0</v>
      </c>
      <c r="AB14" s="353">
        <f t="array" ref="AB14">iferror(vlookup(AB13,{index(Output_HALO!$A:$ZZ,0,$C$3),index(Output_HALO!$A:$ZZ,0,$C$4)},2,0),"")</f>
        <v>0</v>
      </c>
      <c r="AC14" s="353">
        <f t="array" ref="AC14">iferror(vlookup(AC13,{index(Output_HALO!$A:$ZZ,0,$C$3),index(Output_HALO!$A:$ZZ,0,$C$4)},2,0),"")</f>
        <v>0</v>
      </c>
      <c r="AD14" s="353">
        <f t="array" ref="AD14">iferror(vlookup(AD13,{index(Output_HALO!$A:$ZZ,0,$C$3),index(Output_HALO!$A:$ZZ,0,$C$4)},2,0),"")</f>
        <v>0</v>
      </c>
      <c r="AE14" s="353">
        <f t="array" ref="AE14">iferror(vlookup(AE13,{index(Output_HALO!$A:$ZZ,0,$C$3),index(Output_HALO!$A:$ZZ,0,$C$4)},2,0),"")</f>
        <v>0</v>
      </c>
      <c r="AF14" s="353">
        <f t="array" ref="AF14">iferror(vlookup(AF13,{index(Output_HALO!$A:$ZZ,0,$C$3),index(Output_HALO!$A:$ZZ,0,$C$4)},2,0),"")</f>
        <v>0</v>
      </c>
      <c r="AG14" s="353">
        <f t="array" ref="AG14">iferror(vlookup(AG13,{index(Output_HALO!$A:$ZZ,0,$C$3),index(Output_HALO!$A:$ZZ,0,$C$4)},2,0),"")</f>
        <v>0</v>
      </c>
      <c r="AH14" s="353">
        <f t="array" ref="AH14">iferror(vlookup(AH13,{index(Output_HALO!$A:$ZZ,0,$C$3),index(Output_HALO!$A:$ZZ,0,$C$4)},2,0),"")</f>
        <v>0</v>
      </c>
      <c r="AI14" s="353">
        <f t="array" ref="AI14">iferror(vlookup(AI13,{index(Output_HALO!$A:$ZZ,0,$C$3),index(Output_HALO!$A:$ZZ,0,$C$4)},2,0),"")</f>
        <v>0</v>
      </c>
      <c r="AJ14" s="353">
        <f t="array" ref="AJ14">iferror(vlookup(AJ13,{index(Output_HALO!$A:$ZZ,0,$C$3),index(Output_HALO!$A:$ZZ,0,$C$4)},2,0),"")</f>
        <v>0</v>
      </c>
      <c r="AK14" s="353">
        <f t="array" ref="AK14">iferror(vlookup(AK13,{index(Output_HALO!$A:$ZZ,0,$C$3),index(Output_HALO!$A:$ZZ,0,$C$4)},2,0),"")</f>
        <v>0</v>
      </c>
      <c r="AL14" s="353">
        <f t="array" ref="AL14">iferror(vlookup(AL13,{index(Output_HALO!$A:$ZZ,0,$C$3),index(Output_HALO!$A:$ZZ,0,$C$4)},2,0),"")</f>
        <v>0</v>
      </c>
      <c r="AM14" s="353">
        <f t="array" ref="AM14">iferror(vlookup(AM13,{index(Output_HALO!$A:$ZZ,0,$C$3),index(Output_HALO!$A:$ZZ,0,$C$4)},2,0),"")</f>
        <v>0</v>
      </c>
      <c r="AN14" s="353">
        <f t="array" ref="AN14">iferror(vlookup(AN13,{index(Output_HALO!$A:$ZZ,0,$C$3),index(Output_HALO!$A:$ZZ,0,$C$4)},2,0),"")</f>
        <v>0</v>
      </c>
      <c r="AO14" s="353">
        <f t="array" ref="AO14">iferror(vlookup(AO13,{index(Output_HALO!$A:$ZZ,0,$C$3),index(Output_HALO!$A:$ZZ,0,$C$4)},2,0),"")</f>
        <v>0</v>
      </c>
      <c r="AP14" s="353">
        <f t="array" ref="AP14">iferror(vlookup(AP13,{index(Output_HALO!$A:$ZZ,0,$C$3),index(Output_HALO!$A:$ZZ,0,$C$4)},2,0),"")</f>
        <v>0</v>
      </c>
      <c r="AQ14" s="353">
        <f t="array" ref="AQ14">iferror(vlookup(AQ13,{index(Output_HALO!$A:$ZZ,0,$C$3),index(Output_HALO!$A:$ZZ,0,$C$4)},2,0),"")</f>
        <v>0</v>
      </c>
      <c r="AR14" s="353">
        <f t="array" ref="AR14">iferror(vlookup(AR13,{index(Output_HALO!$A:$ZZ,0,$C$3),index(Output_HALO!$A:$ZZ,0,$C$4)},2,0),"")</f>
        <v>0</v>
      </c>
      <c r="AS14" s="353">
        <f t="array" ref="AS14">iferror(vlookup(AS13,{index(Output_HALO!$A:$ZZ,0,$C$3),index(Output_HALO!$A:$ZZ,0,$C$4)},2,0),"")</f>
        <v>0</v>
      </c>
      <c r="AT14" s="353">
        <f t="array" ref="AT14">iferror(vlookup(AT13,{index(Output_HALO!$A:$ZZ,0,$C$3),index(Output_HALO!$A:$ZZ,0,$C$4)},2,0),"")</f>
        <v>0</v>
      </c>
      <c r="AU14" s="353">
        <f t="array" ref="AU14">iferror(vlookup(AU13,{index(Output_HALO!$A:$ZZ,0,$C$3),index(Output_HALO!$A:$ZZ,0,$C$4)},2,0),"")</f>
        <v>0</v>
      </c>
      <c r="AV14" s="353">
        <f t="array" ref="AV14">iferror(vlookup(AV13,{index(Output_HALO!$A:$ZZ,0,$C$3),index(Output_HALO!$A:$ZZ,0,$C$4)},2,0),"")</f>
        <v>0</v>
      </c>
      <c r="AW14" s="353">
        <f t="array" ref="AW14">iferror(vlookup(AW13,{index(Output_HALO!$A:$ZZ,0,$C$3),index(Output_HALO!$A:$ZZ,0,$C$4)},2,0),"")</f>
        <v>0</v>
      </c>
      <c r="AX14" s="353">
        <f t="array" ref="AX14">iferror(vlookup(AX13,{index(Output_HALO!$A:$ZZ,0,$C$3),index(Output_HALO!$A:$ZZ,0,$C$4)},2,0),"")</f>
        <v>0</v>
      </c>
      <c r="AY14" s="353">
        <f t="array" ref="AY14">iferror(vlookup(AY13,{index(Output_HALO!$A:$ZZ,0,$C$3),index(Output_HALO!$A:$ZZ,0,$C$4)},2,0),"")</f>
        <v>0</v>
      </c>
      <c r="AZ14" s="353">
        <f t="array" ref="AZ14">iferror(vlookup(AZ13,{index(Output_HALO!$A:$ZZ,0,$C$3),index(Output_HALO!$A:$ZZ,0,$C$4)},2,0),"")</f>
        <v>0</v>
      </c>
      <c r="BA14" s="353">
        <f t="array" ref="BA14">iferror(vlookup(BA13,{index(Output_HALO!$A:$ZZ,0,$C$3),index(Output_HALO!$A:$ZZ,0,$C$4)},2,0),"")</f>
        <v>0</v>
      </c>
      <c r="BB14" s="353">
        <f t="array" ref="BB14">iferror(vlookup(BB13,{index(Output_HALO!$A:$ZZ,0,$C$3),index(Output_HALO!$A:$ZZ,0,$C$4)},2,0),"")</f>
        <v>0</v>
      </c>
      <c r="BC14" s="353">
        <f t="array" ref="BC14">iferror(vlookup(BC13,{index(Output_HALO!$A:$ZZ,0,$C$3),index(Output_HALO!$A:$ZZ,0,$C$4)},2,0),"")</f>
        <v>0</v>
      </c>
      <c r="BD14" s="353">
        <f t="array" ref="BD14">iferror(vlookup(BD13,{index(Output_HALO!$A:$ZZ,0,$C$3),index(Output_HALO!$A:$ZZ,0,$C$4)},2,0),"")</f>
        <v>0</v>
      </c>
      <c r="BE14" s="353">
        <f t="array" ref="BE14">iferror(vlookup(BE13,{index(Output_HALO!$A:$ZZ,0,$C$3),index(Output_HALO!$A:$ZZ,0,$C$4)},2,0),"")</f>
        <v>0</v>
      </c>
      <c r="BF14" s="353">
        <f t="array" ref="BF14">iferror(vlookup(BF13,{index(Output_HALO!$A:$ZZ,0,$C$3),index(Output_HALO!$A:$ZZ,0,$C$4)},2,0),"")</f>
        <v>0</v>
      </c>
      <c r="BG14" s="353">
        <f t="array" ref="BG14">iferror(vlookup(BG13,{index(Output_HALO!$A:$ZZ,0,$C$3),index(Output_HALO!$A:$ZZ,0,$C$4)},2,0),"")</f>
        <v>0</v>
      </c>
      <c r="BH14" s="353">
        <f t="array" ref="BH14">iferror(vlookup(BH13,{index(Output_HALO!$A:$ZZ,0,$C$3),index(Output_HALO!$A:$ZZ,0,$C$4)},2,0),"")</f>
        <v>0</v>
      </c>
      <c r="BI14" s="353">
        <f t="array" ref="BI14">iferror(vlookup(BI13,{index(Output_HALO!$A:$ZZ,0,$C$3),index(Output_HALO!$A:$ZZ,0,$C$4)},2,0),"")</f>
        <v>0</v>
      </c>
      <c r="BJ14" s="353">
        <f t="array" ref="BJ14">iferror(vlookup(BJ13,{index(Output_HALO!$A:$ZZ,0,$C$3),index(Output_HALO!$A:$ZZ,0,$C$4)},2,0),"")</f>
        <v>0</v>
      </c>
      <c r="BK14" s="353">
        <f t="array" ref="BK14">iferror(vlookup(BK13,{index(Output_HALO!$A:$ZZ,0,$C$3),index(Output_HALO!$A:$ZZ,0,$C$4)},2,0),"")</f>
        <v>0</v>
      </c>
      <c r="BL14" s="353">
        <f t="array" ref="BL14">iferror(vlookup(BL13,{index(Output_HALO!$A:$ZZ,0,$C$3),index(Output_HALO!$A:$ZZ,0,$C$4)},2,0),"")</f>
        <v>0</v>
      </c>
      <c r="BM14" s="353">
        <f t="array" ref="BM14">iferror(vlookup(BM13,{index(Output_HALO!$A:$ZZ,0,$C$3),index(Output_HALO!$A:$ZZ,0,$C$4)},2,0),"")</f>
        <v>0</v>
      </c>
      <c r="BN14" s="353">
        <f t="array" ref="BN14">iferror(vlookup(BN13,{index(Output_HALO!$A:$ZZ,0,$C$3),index(Output_HALO!$A:$ZZ,0,$C$4)},2,0),"")</f>
        <v>0</v>
      </c>
      <c r="BO14" s="353">
        <f t="array" ref="BO14">iferror(vlookup(BO13,{index(Output_HALO!$A:$ZZ,0,$C$3),index(Output_HALO!$A:$ZZ,0,$C$4)},2,0),"")</f>
        <v>0</v>
      </c>
      <c r="BP14" s="353">
        <f t="array" ref="BP14">iferror(vlookup(BP13,{index(Output_HALO!$A:$ZZ,0,$C$3),index(Output_HALO!$A:$ZZ,0,$C$4)},2,0),"")</f>
        <v>0</v>
      </c>
      <c r="BQ14" s="353">
        <f t="array" ref="BQ14">iferror(vlookup(BQ13,{index(Output_HALO!$A:$ZZ,0,$C$3),index(Output_HALO!$A:$ZZ,0,$C$4)},2,0),"")</f>
        <v>0</v>
      </c>
    </row>
    <row r="15" hidden="1">
      <c r="E15" s="348">
        <v>5.0</v>
      </c>
      <c r="F15" s="353" t="str">
        <f t="array" ref="F15">iferror(vlookup(F$12&amp;"-"&amp;$E15,{index(Output_HALO!$A:$ZZ,0,$C$8),index(Output_HALO!$A:$ZZ,0,$C$5)},2,0),"")</f>
        <v/>
      </c>
      <c r="G15" s="353" t="str">
        <f t="array" ref="G15">iferror(vlookup(G$12&amp;"-"&amp;$E15,{index(Output_HALO!$A:$ZZ,0,$C$8),index(Output_HALO!$A:$ZZ,0,$C$5)},2,0),"")</f>
        <v/>
      </c>
      <c r="H15" s="353" t="str">
        <f t="array" ref="H15">iferror(vlookup(H$12&amp;"-"&amp;$E15,{index(Output_HALO!$A:$ZZ,0,$C$8),index(Output_HALO!$A:$ZZ,0,$C$5)},2,0),"")</f>
        <v/>
      </c>
      <c r="I15" s="353" t="str">
        <f t="array" ref="I15">iferror(vlookup(I$12&amp;"-"&amp;$E15,{index(Output_HALO!$A:$ZZ,0,$C$8),index(Output_HALO!$A:$ZZ,0,$C$5)},2,0),"")</f>
        <v/>
      </c>
      <c r="J15" s="353" t="str">
        <f t="array" ref="J15">iferror(vlookup(J$12&amp;"-"&amp;$E15,{index(Output_HALO!$A:$ZZ,0,$C$8),index(Output_HALO!$A:$ZZ,0,$C$5)},2,0),"")</f>
        <v/>
      </c>
      <c r="K15" s="353" t="str">
        <f t="array" ref="K15">iferror(vlookup(K$12&amp;"-"&amp;$E15,{index(Output_HALO!$A:$ZZ,0,$C$8),index(Output_HALO!$A:$ZZ,0,$C$5)},2,0),"")</f>
        <v/>
      </c>
      <c r="L15" s="353" t="str">
        <f t="array" ref="L15">iferror(vlookup(L$12&amp;"-"&amp;$E15,{index(Output_HALO!$A:$ZZ,0,$C$8),index(Output_HALO!$A:$ZZ,0,$C$5)},2,0),"")</f>
        <v/>
      </c>
      <c r="M15" s="353" t="str">
        <f t="array" ref="M15">iferror(vlookup(M$12&amp;"-"&amp;$E15,{index(Output_HALO!$A:$ZZ,0,$C$8),index(Output_HALO!$A:$ZZ,0,$C$5)},2,0),"")</f>
        <v/>
      </c>
      <c r="N15" s="353" t="str">
        <f t="array" ref="N15">iferror(vlookup(N$12&amp;"-"&amp;$E15,{index(Output_HALO!$A:$ZZ,0,$C$8),index(Output_HALO!$A:$ZZ,0,$C$5)},2,0),"")</f>
        <v/>
      </c>
      <c r="O15" s="353" t="str">
        <f t="array" ref="O15">iferror(vlookup(O$12&amp;"-"&amp;$E15,{index(Output_HALO!$A:$ZZ,0,$C$8),index(Output_HALO!$A:$ZZ,0,$C$5)},2,0),"")</f>
        <v/>
      </c>
      <c r="P15" s="353" t="str">
        <f t="array" ref="P15">iferror(vlookup(P$12&amp;"-"&amp;$E15,{index(Output_HALO!$A:$ZZ,0,$C$8),index(Output_HALO!$A:$ZZ,0,$C$5)},2,0),"")</f>
        <v/>
      </c>
      <c r="Q15" s="353" t="str">
        <f t="array" ref="Q15">iferror(vlookup(Q$12&amp;"-"&amp;$E15,{index(Output_HALO!$A:$ZZ,0,$C$8),index(Output_HALO!$A:$ZZ,0,$C$5)},2,0),"")</f>
        <v/>
      </c>
      <c r="R15" s="353" t="str">
        <f t="array" ref="R15">iferror(vlookup(R$12&amp;"-"&amp;$E15,{index(Output_HALO!$A:$ZZ,0,$C$8),index(Output_HALO!$A:$ZZ,0,$C$5)},2,0),"")</f>
        <v/>
      </c>
      <c r="S15" s="353" t="str">
        <f t="array" ref="S15">iferror(vlookup(S$12&amp;"-"&amp;$E15,{index(Output_HALO!$A:$ZZ,0,$C$8),index(Output_HALO!$A:$ZZ,0,$C$5)},2,0),"")</f>
        <v/>
      </c>
      <c r="T15" s="353" t="str">
        <f t="array" ref="T15">iferror(vlookup(T$12&amp;"-"&amp;$E15,{index(Output_HALO!$A:$ZZ,0,$C$8),index(Output_HALO!$A:$ZZ,0,$C$5)},2,0),"")</f>
        <v/>
      </c>
      <c r="U15" s="353" t="str">
        <f t="array" ref="U15">iferror(vlookup(U$12&amp;"-"&amp;$E15,{index(Output_HALO!$A:$ZZ,0,$C$8),index(Output_HALO!$A:$ZZ,0,$C$5)},2,0),"")</f>
        <v/>
      </c>
      <c r="V15" s="353" t="str">
        <f t="array" ref="V15">iferror(vlookup(V$12&amp;"-"&amp;$E15,{index(Output_HALO!$A:$ZZ,0,$C$8),index(Output_HALO!$A:$ZZ,0,$C$5)},2,0),"")</f>
        <v/>
      </c>
      <c r="W15" s="353" t="str">
        <f t="array" ref="W15">iferror(vlookup(W$12&amp;"-"&amp;$E15,{index(Output_HALO!$A:$ZZ,0,$C$8),index(Output_HALO!$A:$ZZ,0,$C$5)},2,0),"")</f>
        <v/>
      </c>
      <c r="X15" s="353" t="str">
        <f t="array" ref="X15">iferror(vlookup(X$12&amp;"-"&amp;$E15,{index(Output_HALO!$A:$ZZ,0,$C$8),index(Output_HALO!$A:$ZZ,0,$C$5)},2,0),"")</f>
        <v/>
      </c>
      <c r="Y15" s="353" t="str">
        <f t="array" ref="Y15">iferror(vlookup(Y$12&amp;"-"&amp;$E15,{index(Output_HALO!$A:$ZZ,0,$C$8),index(Output_HALO!$A:$ZZ,0,$C$5)},2,0),"")</f>
        <v/>
      </c>
      <c r="Z15" s="353" t="str">
        <f t="array" ref="Z15">iferror(vlookup(Z$12&amp;"-"&amp;$E15,{index(Output_HALO!$A:$ZZ,0,$C$8),index(Output_HALO!$A:$ZZ,0,$C$5)},2,0),"")</f>
        <v/>
      </c>
      <c r="AA15" s="353" t="str">
        <f t="array" ref="AA15">iferror(vlookup(AA$12&amp;"-"&amp;$E15,{index(Output_HALO!$A:$ZZ,0,$C$8),index(Output_HALO!$A:$ZZ,0,$C$5)},2,0),"")</f>
        <v/>
      </c>
      <c r="AB15" s="353" t="str">
        <f t="array" ref="AB15">iferror(vlookup(AB$12&amp;"-"&amp;$E15,{index(Output_HALO!$A:$ZZ,0,$C$8),index(Output_HALO!$A:$ZZ,0,$C$5)},2,0),"")</f>
        <v/>
      </c>
      <c r="AC15" s="353" t="str">
        <f t="array" ref="AC15">iferror(vlookup(AC$12&amp;"-"&amp;$E15,{index(Output_HALO!$A:$ZZ,0,$C$8),index(Output_HALO!$A:$ZZ,0,$C$5)},2,0),"")</f>
        <v/>
      </c>
      <c r="AD15" s="353" t="str">
        <f t="array" ref="AD15">iferror(vlookup(AD$12&amp;"-"&amp;$E15,{index(Output_HALO!$A:$ZZ,0,$C$8),index(Output_HALO!$A:$ZZ,0,$C$5)},2,0),"")</f>
        <v/>
      </c>
      <c r="AE15" s="353" t="str">
        <f t="array" ref="AE15">iferror(vlookup(AE$12&amp;"-"&amp;$E15,{index(Output_HALO!$A:$ZZ,0,$C$8),index(Output_HALO!$A:$ZZ,0,$C$5)},2,0),"")</f>
        <v/>
      </c>
      <c r="AF15" s="353" t="str">
        <f t="array" ref="AF15">iferror(vlookup(AF$12&amp;"-"&amp;$E15,{index(Output_HALO!$A:$ZZ,0,$C$8),index(Output_HALO!$A:$ZZ,0,$C$5)},2,0),"")</f>
        <v/>
      </c>
      <c r="AG15" s="353" t="str">
        <f t="array" ref="AG15">iferror(vlookup(AG$12&amp;"-"&amp;$E15,{index(Output_HALO!$A:$ZZ,0,$C$8),index(Output_HALO!$A:$ZZ,0,$C$5)},2,0),"")</f>
        <v/>
      </c>
      <c r="AH15" s="353" t="str">
        <f t="array" ref="AH15">iferror(vlookup(AH$12&amp;"-"&amp;$E15,{index(Output_HALO!$A:$ZZ,0,$C$8),index(Output_HALO!$A:$ZZ,0,$C$5)},2,0),"")</f>
        <v/>
      </c>
      <c r="AI15" s="353" t="str">
        <f t="array" ref="AI15">iferror(vlookup(AI$12&amp;"-"&amp;$E15,{index(Output_HALO!$A:$ZZ,0,$C$8),index(Output_HALO!$A:$ZZ,0,$C$5)},2,0),"")</f>
        <v/>
      </c>
      <c r="AJ15" s="353" t="str">
        <f t="array" ref="AJ15">iferror(vlookup(AJ$12&amp;"-"&amp;$E15,{index(Output_HALO!$A:$ZZ,0,$C$8),index(Output_HALO!$A:$ZZ,0,$C$5)},2,0),"")</f>
        <v/>
      </c>
      <c r="AK15" s="353" t="str">
        <f t="array" ref="AK15">iferror(vlookup(AK$12&amp;"-"&amp;$E15,{index(Output_HALO!$A:$ZZ,0,$C$8),index(Output_HALO!$A:$ZZ,0,$C$5)},2,0),"")</f>
        <v/>
      </c>
      <c r="AL15" s="353" t="str">
        <f t="array" ref="AL15">iferror(vlookup(AL$12&amp;"-"&amp;$E15,{index(Output_HALO!$A:$ZZ,0,$C$8),index(Output_HALO!$A:$ZZ,0,$C$5)},2,0),"")</f>
        <v/>
      </c>
      <c r="AM15" s="353" t="str">
        <f t="array" ref="AM15">iferror(vlookup(AM$12&amp;"-"&amp;$E15,{index(Output_HALO!$A:$ZZ,0,$C$8),index(Output_HALO!$A:$ZZ,0,$C$5)},2,0),"")</f>
        <v/>
      </c>
      <c r="AN15" s="353" t="str">
        <f t="array" ref="AN15">iferror(vlookup(AN$12&amp;"-"&amp;$E15,{index(Output_HALO!$A:$ZZ,0,$C$8),index(Output_HALO!$A:$ZZ,0,$C$5)},2,0),"")</f>
        <v/>
      </c>
      <c r="AO15" s="353" t="str">
        <f t="array" ref="AO15">iferror(vlookup(AO$12&amp;"-"&amp;$E15,{index(Output_HALO!$A:$ZZ,0,$C$8),index(Output_HALO!$A:$ZZ,0,$C$5)},2,0),"")</f>
        <v/>
      </c>
      <c r="AP15" s="353" t="str">
        <f t="array" ref="AP15">iferror(vlookup(AP$12&amp;"-"&amp;$E15,{index(Output_HALO!$A:$ZZ,0,$C$8),index(Output_HALO!$A:$ZZ,0,$C$5)},2,0),"")</f>
        <v/>
      </c>
      <c r="AQ15" s="353" t="str">
        <f t="array" ref="AQ15">iferror(vlookup(AQ$12&amp;"-"&amp;$E15,{index(Output_HALO!$A:$ZZ,0,$C$8),index(Output_HALO!$A:$ZZ,0,$C$5)},2,0),"")</f>
        <v/>
      </c>
      <c r="AR15" s="353" t="str">
        <f t="array" ref="AR15">iferror(vlookup(AR$12&amp;"-"&amp;$E15,{index(Output_HALO!$A:$ZZ,0,$C$8),index(Output_HALO!$A:$ZZ,0,$C$5)},2,0),"")</f>
        <v/>
      </c>
      <c r="AS15" s="353" t="str">
        <f t="array" ref="AS15">iferror(vlookup(AS$12&amp;"-"&amp;$E15,{index(Output_HALO!$A:$ZZ,0,$C$8),index(Output_HALO!$A:$ZZ,0,$C$5)},2,0),"")</f>
        <v/>
      </c>
      <c r="AT15" s="353" t="str">
        <f t="array" ref="AT15">iferror(vlookup(AT$12&amp;"-"&amp;$E15,{index(Output_HALO!$A:$ZZ,0,$C$8),index(Output_HALO!$A:$ZZ,0,$C$5)},2,0),"")</f>
        <v/>
      </c>
      <c r="AU15" s="353" t="str">
        <f t="array" ref="AU15">iferror(vlookup(AU$12&amp;"-"&amp;$E15,{index(Output_HALO!$A:$ZZ,0,$C$8),index(Output_HALO!$A:$ZZ,0,$C$5)},2,0),"")</f>
        <v/>
      </c>
      <c r="AV15" s="353" t="str">
        <f t="array" ref="AV15">iferror(vlookup(AV$12&amp;"-"&amp;$E15,{index(Output_HALO!$A:$ZZ,0,$C$8),index(Output_HALO!$A:$ZZ,0,$C$5)},2,0),"")</f>
        <v/>
      </c>
      <c r="AW15" s="353" t="str">
        <f t="array" ref="AW15">iferror(vlookup(AW$12&amp;"-"&amp;$E15,{index(Output_HALO!$A:$ZZ,0,$C$8),index(Output_HALO!$A:$ZZ,0,$C$5)},2,0),"")</f>
        <v/>
      </c>
      <c r="AX15" s="353" t="str">
        <f t="array" ref="AX15">iferror(vlookup(AX$12&amp;"-"&amp;$E15,{index(Output_HALO!$A:$ZZ,0,$C$8),index(Output_HALO!$A:$ZZ,0,$C$5)},2,0),"")</f>
        <v/>
      </c>
      <c r="AY15" s="353" t="str">
        <f t="array" ref="AY15">iferror(vlookup(AY$12&amp;"-"&amp;$E15,{index(Output_HALO!$A:$ZZ,0,$C$8),index(Output_HALO!$A:$ZZ,0,$C$5)},2,0),"")</f>
        <v/>
      </c>
      <c r="AZ15" s="353" t="str">
        <f t="array" ref="AZ15">iferror(vlookup(AZ$12&amp;"-"&amp;$E15,{index(Output_HALO!$A:$ZZ,0,$C$8),index(Output_HALO!$A:$ZZ,0,$C$5)},2,0),"")</f>
        <v/>
      </c>
      <c r="BA15" s="353" t="str">
        <f t="array" ref="BA15">iferror(vlookup(BA$12&amp;"-"&amp;$E15,{index(Output_HALO!$A:$ZZ,0,$C$8),index(Output_HALO!$A:$ZZ,0,$C$5)},2,0),"")</f>
        <v/>
      </c>
      <c r="BB15" s="353" t="str">
        <f t="array" ref="BB15">iferror(vlookup(BB$12&amp;"-"&amp;$E15,{index(Output_HALO!$A:$ZZ,0,$C$8),index(Output_HALO!$A:$ZZ,0,$C$5)},2,0),"")</f>
        <v/>
      </c>
      <c r="BC15" s="353" t="str">
        <f t="array" ref="BC15">iferror(vlookup(BC$12&amp;"-"&amp;$E15,{index(Output_HALO!$A:$ZZ,0,$C$8),index(Output_HALO!$A:$ZZ,0,$C$5)},2,0),"")</f>
        <v/>
      </c>
      <c r="BD15" s="353" t="str">
        <f t="array" ref="BD15">iferror(vlookup(BD$12&amp;"-"&amp;$E15,{index(Output_HALO!$A:$ZZ,0,$C$8),index(Output_HALO!$A:$ZZ,0,$C$5)},2,0),"")</f>
        <v/>
      </c>
      <c r="BE15" s="353" t="str">
        <f t="array" ref="BE15">iferror(vlookup(BE$12&amp;"-"&amp;$E15,{index(Output_HALO!$A:$ZZ,0,$C$8),index(Output_HALO!$A:$ZZ,0,$C$5)},2,0),"")</f>
        <v/>
      </c>
      <c r="BF15" s="353" t="str">
        <f t="array" ref="BF15">iferror(vlookup(BF$12&amp;"-"&amp;$E15,{index(Output_HALO!$A:$ZZ,0,$C$8),index(Output_HALO!$A:$ZZ,0,$C$5)},2,0),"")</f>
        <v/>
      </c>
      <c r="BG15" s="353" t="str">
        <f t="array" ref="BG15">iferror(vlookup(BG$12&amp;"-"&amp;$E15,{index(Output_HALO!$A:$ZZ,0,$C$8),index(Output_HALO!$A:$ZZ,0,$C$5)},2,0),"")</f>
        <v/>
      </c>
      <c r="BH15" s="353" t="str">
        <f t="array" ref="BH15">iferror(vlookup(BH$12&amp;"-"&amp;$E15,{index(Output_HALO!$A:$ZZ,0,$C$8),index(Output_HALO!$A:$ZZ,0,$C$5)},2,0),"")</f>
        <v/>
      </c>
      <c r="BI15" s="353" t="str">
        <f t="array" ref="BI15">iferror(vlookup(BI$12&amp;"-"&amp;$E15,{index(Output_HALO!$A:$ZZ,0,$C$8),index(Output_HALO!$A:$ZZ,0,$C$5)},2,0),"")</f>
        <v/>
      </c>
      <c r="BJ15" s="353" t="str">
        <f t="array" ref="BJ15">iferror(vlookup(BJ$12&amp;"-"&amp;$E15,{index(Output_HALO!$A:$ZZ,0,$C$8),index(Output_HALO!$A:$ZZ,0,$C$5)},2,0),"")</f>
        <v/>
      </c>
      <c r="BK15" s="353" t="str">
        <f t="array" ref="BK15">iferror(vlookup(BK$12&amp;"-"&amp;$E15,{index(Output_HALO!$A:$ZZ,0,$C$8),index(Output_HALO!$A:$ZZ,0,$C$5)},2,0),"")</f>
        <v/>
      </c>
      <c r="BL15" s="353" t="str">
        <f t="array" ref="BL15">iferror(vlookup(BL$12&amp;"-"&amp;$E15,{index(Output_HALO!$A:$ZZ,0,$C$8),index(Output_HALO!$A:$ZZ,0,$C$5)},2,0),"")</f>
        <v/>
      </c>
      <c r="BM15" s="353" t="str">
        <f t="array" ref="BM15">iferror(vlookup(BM$12&amp;"-"&amp;$E15,{index(Output_HALO!$A:$ZZ,0,$C$8),index(Output_HALO!$A:$ZZ,0,$C$5)},2,0),"")</f>
        <v/>
      </c>
      <c r="BN15" s="353" t="str">
        <f t="array" ref="BN15">iferror(vlookup(BN$12&amp;"-"&amp;$E15,{index(Output_HALO!$A:$ZZ,0,$C$8),index(Output_HALO!$A:$ZZ,0,$C$5)},2,0),"")</f>
        <v/>
      </c>
      <c r="BO15" s="353" t="str">
        <f t="array" ref="BO15">iferror(vlookup(BO$12&amp;"-"&amp;$E15,{index(Output_HALO!$A:$ZZ,0,$C$8),index(Output_HALO!$A:$ZZ,0,$C$5)},2,0),"")</f>
        <v/>
      </c>
      <c r="BP15" s="353" t="str">
        <f t="array" ref="BP15">iferror(vlookup(BP$12&amp;"-"&amp;$E15,{index(Output_HALO!$A:$ZZ,0,$C$8),index(Output_HALO!$A:$ZZ,0,$C$5)},2,0),"")</f>
        <v/>
      </c>
      <c r="BQ15" s="353" t="str">
        <f t="array" ref="BQ15">iferror(vlookup(BQ$12&amp;"-"&amp;$E15,{index(Output_HALO!$A:$ZZ,0,$C$8),index(Output_HALO!$A:$ZZ,0,$C$5)},2,0),"")</f>
        <v/>
      </c>
    </row>
    <row r="16" hidden="1">
      <c r="E16" s="354">
        <v>4.0</v>
      </c>
      <c r="F16" s="353" t="str">
        <f t="array" ref="F16">iferror(vlookup(F$12&amp;"-"&amp;$E16,{index(Output_HALO!$A:$ZZ,0,$C$8),index(Output_HALO!$A:$ZZ,0,$C$3)},2,0),"")</f>
        <v/>
      </c>
      <c r="G16" s="353" t="str">
        <f t="array" ref="G16">iferror(vlookup(G$12&amp;"-"&amp;$E16,{index(Output_HALO!$A:$ZZ,0,$C$8),index(Output_HALO!$A:$ZZ,0,$C$3)},2,0),"")</f>
        <v/>
      </c>
      <c r="H16" s="353" t="str">
        <f t="array" ref="H16">iferror(vlookup(H$12&amp;"-"&amp;$E16,{index(Output_HALO!$A:$ZZ,0,$C$8),index(Output_HALO!$A:$ZZ,0,$C$3)},2,0),"")</f>
        <v/>
      </c>
      <c r="I16" s="353" t="str">
        <f t="array" ref="I16">iferror(vlookup(I$12&amp;"-"&amp;$E16,{index(Output_HALO!$A:$ZZ,0,$C$8),index(Output_HALO!$A:$ZZ,0,$C$3)},2,0),"")</f>
        <v/>
      </c>
      <c r="J16" s="353" t="str">
        <f t="array" ref="J16">iferror(vlookup(J$12&amp;"-"&amp;$E16,{index(Output_HALO!$A:$ZZ,0,$C$8),index(Output_HALO!$A:$ZZ,0,$C$3)},2,0),"")</f>
        <v/>
      </c>
      <c r="K16" s="353" t="str">
        <f t="array" ref="K16">iferror(vlookup(K$12&amp;"-"&amp;$E16,{index(Output_HALO!$A:$ZZ,0,$C$8),index(Output_HALO!$A:$ZZ,0,$C$3)},2,0),"")</f>
        <v/>
      </c>
      <c r="L16" s="353" t="str">
        <f t="array" ref="L16">iferror(vlookup(L$12&amp;"-"&amp;$E16,{index(Output_HALO!$A:$ZZ,0,$C$8),index(Output_HALO!$A:$ZZ,0,$C$3)},2,0),"")</f>
        <v/>
      </c>
      <c r="M16" s="353" t="str">
        <f t="array" ref="M16">iferror(vlookup(M$12&amp;"-"&amp;$E16,{index(Output_HALO!$A:$ZZ,0,$C$8),index(Output_HALO!$A:$ZZ,0,$C$3)},2,0),"")</f>
        <v/>
      </c>
      <c r="N16" s="353" t="str">
        <f t="array" ref="N16">iferror(vlookup(N$12&amp;"-"&amp;$E16,{index(Output_HALO!$A:$ZZ,0,$C$8),index(Output_HALO!$A:$ZZ,0,$C$3)},2,0),"")</f>
        <v/>
      </c>
      <c r="O16" s="353" t="str">
        <f t="array" ref="O16">iferror(vlookup(O$12&amp;"-"&amp;$E16,{index(Output_HALO!$A:$ZZ,0,$C$8),index(Output_HALO!$A:$ZZ,0,$C$3)},2,0),"")</f>
        <v/>
      </c>
      <c r="P16" s="353" t="str">
        <f t="array" ref="P16">iferror(vlookup(P$12&amp;"-"&amp;$E16,{index(Output_HALO!$A:$ZZ,0,$C$8),index(Output_HALO!$A:$ZZ,0,$C$3)},2,0),"")</f>
        <v/>
      </c>
      <c r="Q16" s="353" t="str">
        <f t="array" ref="Q16">iferror(vlookup(Q$12&amp;"-"&amp;$E16,{index(Output_HALO!$A:$ZZ,0,$C$8),index(Output_HALO!$A:$ZZ,0,$C$3)},2,0),"")</f>
        <v/>
      </c>
      <c r="R16" s="353" t="str">
        <f t="array" ref="R16">iferror(vlookup(R$12&amp;"-"&amp;$E16,{index(Output_HALO!$A:$ZZ,0,$C$8),index(Output_HALO!$A:$ZZ,0,$C$3)},2,0),"")</f>
        <v/>
      </c>
      <c r="S16" s="353" t="str">
        <f t="array" ref="S16">iferror(vlookup(S$12&amp;"-"&amp;$E16,{index(Output_HALO!$A:$ZZ,0,$C$8),index(Output_HALO!$A:$ZZ,0,$C$3)},2,0),"")</f>
        <v/>
      </c>
      <c r="T16" s="353" t="str">
        <f t="array" ref="T16">iferror(vlookup(T$12&amp;"-"&amp;$E16,{index(Output_HALO!$A:$ZZ,0,$C$8),index(Output_HALO!$A:$ZZ,0,$C$3)},2,0),"")</f>
        <v/>
      </c>
      <c r="U16" s="353" t="str">
        <f t="array" ref="U16">iferror(vlookup(U$12&amp;"-"&amp;$E16,{index(Output_HALO!$A:$ZZ,0,$C$8),index(Output_HALO!$A:$ZZ,0,$C$3)},2,0),"")</f>
        <v/>
      </c>
      <c r="V16" s="353" t="str">
        <f t="array" ref="V16">iferror(vlookup(V$12&amp;"-"&amp;$E16,{index(Output_HALO!$A:$ZZ,0,$C$8),index(Output_HALO!$A:$ZZ,0,$C$3)},2,0),"")</f>
        <v/>
      </c>
      <c r="W16" s="353" t="str">
        <f t="array" ref="W16">iferror(vlookup(W$12&amp;"-"&amp;$E16,{index(Output_HALO!$A:$ZZ,0,$C$8),index(Output_HALO!$A:$ZZ,0,$C$3)},2,0),"")</f>
        <v/>
      </c>
      <c r="X16" s="353" t="str">
        <f t="array" ref="X16">iferror(vlookup(X$12&amp;"-"&amp;$E16,{index(Output_HALO!$A:$ZZ,0,$C$8),index(Output_HALO!$A:$ZZ,0,$C$3)},2,0),"")</f>
        <v/>
      </c>
      <c r="Y16" s="353" t="str">
        <f t="array" ref="Y16">iferror(vlookup(Y$12&amp;"-"&amp;$E16,{index(Output_HALO!$A:$ZZ,0,$C$8),index(Output_HALO!$A:$ZZ,0,$C$3)},2,0),"")</f>
        <v/>
      </c>
      <c r="Z16" s="353" t="str">
        <f t="array" ref="Z16">iferror(vlookup(Z$12&amp;"-"&amp;$E16,{index(Output_HALO!$A:$ZZ,0,$C$8),index(Output_HALO!$A:$ZZ,0,$C$3)},2,0),"")</f>
        <v/>
      </c>
      <c r="AA16" s="353" t="str">
        <f t="array" ref="AA16">iferror(vlookup(AA$12&amp;"-"&amp;$E16,{index(Output_HALO!$A:$ZZ,0,$C$8),index(Output_HALO!$A:$ZZ,0,$C$3)},2,0),"")</f>
        <v/>
      </c>
      <c r="AB16" s="353" t="str">
        <f t="array" ref="AB16">iferror(vlookup(AB$12&amp;"-"&amp;$E16,{index(Output_HALO!$A:$ZZ,0,$C$8),index(Output_HALO!$A:$ZZ,0,$C$3)},2,0),"")</f>
        <v/>
      </c>
      <c r="AC16" s="353" t="str">
        <f t="array" ref="AC16">iferror(vlookup(AC$12&amp;"-"&amp;$E16,{index(Output_HALO!$A:$ZZ,0,$C$8),index(Output_HALO!$A:$ZZ,0,$C$3)},2,0),"")</f>
        <v/>
      </c>
      <c r="AD16" s="353" t="str">
        <f t="array" ref="AD16">iferror(vlookup(AD$12&amp;"-"&amp;$E16,{index(Output_HALO!$A:$ZZ,0,$C$8),index(Output_HALO!$A:$ZZ,0,$C$3)},2,0),"")</f>
        <v/>
      </c>
      <c r="AE16" s="353" t="str">
        <f t="array" ref="AE16">iferror(vlookup(AE$12&amp;"-"&amp;$E16,{index(Output_HALO!$A:$ZZ,0,$C$8),index(Output_HALO!$A:$ZZ,0,$C$3)},2,0),"")</f>
        <v/>
      </c>
      <c r="AF16" s="353" t="str">
        <f t="array" ref="AF16">iferror(vlookup(AF$12&amp;"-"&amp;$E16,{index(Output_HALO!$A:$ZZ,0,$C$8),index(Output_HALO!$A:$ZZ,0,$C$3)},2,0),"")</f>
        <v/>
      </c>
      <c r="AG16" s="353" t="str">
        <f t="array" ref="AG16">iferror(vlookup(AG$12&amp;"-"&amp;$E16,{index(Output_HALO!$A:$ZZ,0,$C$8),index(Output_HALO!$A:$ZZ,0,$C$3)},2,0),"")</f>
        <v/>
      </c>
      <c r="AH16" s="353" t="str">
        <f t="array" ref="AH16">iferror(vlookup(AH$12&amp;"-"&amp;$E16,{index(Output_HALO!$A:$ZZ,0,$C$8),index(Output_HALO!$A:$ZZ,0,$C$3)},2,0),"")</f>
        <v/>
      </c>
      <c r="AI16" s="353" t="str">
        <f t="array" ref="AI16">iferror(vlookup(AI$12&amp;"-"&amp;$E16,{index(Output_HALO!$A:$ZZ,0,$C$8),index(Output_HALO!$A:$ZZ,0,$C$3)},2,0),"")</f>
        <v/>
      </c>
      <c r="AJ16" s="353" t="str">
        <f t="array" ref="AJ16">iferror(vlookup(AJ$12&amp;"-"&amp;$E16,{index(Output_HALO!$A:$ZZ,0,$C$8),index(Output_HALO!$A:$ZZ,0,$C$3)},2,0),"")</f>
        <v/>
      </c>
      <c r="AK16" s="353" t="str">
        <f t="array" ref="AK16">iferror(vlookup(AK$12&amp;"-"&amp;$E16,{index(Output_HALO!$A:$ZZ,0,$C$8),index(Output_HALO!$A:$ZZ,0,$C$3)},2,0),"")</f>
        <v/>
      </c>
      <c r="AL16" s="353" t="str">
        <f t="array" ref="AL16">iferror(vlookup(AL$12&amp;"-"&amp;$E16,{index(Output_HALO!$A:$ZZ,0,$C$8),index(Output_HALO!$A:$ZZ,0,$C$3)},2,0),"")</f>
        <v/>
      </c>
      <c r="AM16" s="353" t="str">
        <f t="array" ref="AM16">iferror(vlookup(AM$12&amp;"-"&amp;$E16,{index(Output_HALO!$A:$ZZ,0,$C$8),index(Output_HALO!$A:$ZZ,0,$C$3)},2,0),"")</f>
        <v/>
      </c>
      <c r="AN16" s="353" t="str">
        <f t="array" ref="AN16">iferror(vlookup(AN$12&amp;"-"&amp;$E16,{index(Output_HALO!$A:$ZZ,0,$C$8),index(Output_HALO!$A:$ZZ,0,$C$3)},2,0),"")</f>
        <v/>
      </c>
      <c r="AO16" s="353" t="str">
        <f t="array" ref="AO16">iferror(vlookup(AO$12&amp;"-"&amp;$E16,{index(Output_HALO!$A:$ZZ,0,$C$8),index(Output_HALO!$A:$ZZ,0,$C$3)},2,0),"")</f>
        <v/>
      </c>
      <c r="AP16" s="353" t="str">
        <f t="array" ref="AP16">iferror(vlookup(AP$12&amp;"-"&amp;$E16,{index(Output_HALO!$A:$ZZ,0,$C$8),index(Output_HALO!$A:$ZZ,0,$C$3)},2,0),"")</f>
        <v/>
      </c>
      <c r="AQ16" s="353" t="str">
        <f t="array" ref="AQ16">iferror(vlookup(AQ$12&amp;"-"&amp;$E16,{index(Output_HALO!$A:$ZZ,0,$C$8),index(Output_HALO!$A:$ZZ,0,$C$3)},2,0),"")</f>
        <v/>
      </c>
      <c r="AR16" s="353" t="str">
        <f t="array" ref="AR16">iferror(vlookup(AR$12&amp;"-"&amp;$E16,{index(Output_HALO!$A:$ZZ,0,$C$8),index(Output_HALO!$A:$ZZ,0,$C$3)},2,0),"")</f>
        <v/>
      </c>
      <c r="AS16" s="353" t="str">
        <f t="array" ref="AS16">iferror(vlookup(AS$12&amp;"-"&amp;$E16,{index(Output_HALO!$A:$ZZ,0,$C$8),index(Output_HALO!$A:$ZZ,0,$C$3)},2,0),"")</f>
        <v/>
      </c>
      <c r="AT16" s="353" t="str">
        <f t="array" ref="AT16">iferror(vlookup(AT$12&amp;"-"&amp;$E16,{index(Output_HALO!$A:$ZZ,0,$C$8),index(Output_HALO!$A:$ZZ,0,$C$3)},2,0),"")</f>
        <v/>
      </c>
      <c r="AU16" s="353" t="str">
        <f t="array" ref="AU16">iferror(vlookup(AU$12&amp;"-"&amp;$E16,{index(Output_HALO!$A:$ZZ,0,$C$8),index(Output_HALO!$A:$ZZ,0,$C$3)},2,0),"")</f>
        <v/>
      </c>
      <c r="AV16" s="353" t="str">
        <f t="array" ref="AV16">iferror(vlookup(AV$12&amp;"-"&amp;$E16,{index(Output_HALO!$A:$ZZ,0,$C$8),index(Output_HALO!$A:$ZZ,0,$C$3)},2,0),"")</f>
        <v/>
      </c>
      <c r="AW16" s="353" t="str">
        <f t="array" ref="AW16">iferror(vlookup(AW$12&amp;"-"&amp;$E16,{index(Output_HALO!$A:$ZZ,0,$C$8),index(Output_HALO!$A:$ZZ,0,$C$3)},2,0),"")</f>
        <v/>
      </c>
      <c r="AX16" s="353" t="str">
        <f t="array" ref="AX16">iferror(vlookup(AX$12&amp;"-"&amp;$E16,{index(Output_HALO!$A:$ZZ,0,$C$8),index(Output_HALO!$A:$ZZ,0,$C$3)},2,0),"")</f>
        <v/>
      </c>
      <c r="AY16" s="353" t="str">
        <f t="array" ref="AY16">iferror(vlookup(AY$12&amp;"-"&amp;$E16,{index(Output_HALO!$A:$ZZ,0,$C$8),index(Output_HALO!$A:$ZZ,0,$C$3)},2,0),"")</f>
        <v/>
      </c>
      <c r="AZ16" s="353" t="str">
        <f t="array" ref="AZ16">iferror(vlookup(AZ$12&amp;"-"&amp;$E16,{index(Output_HALO!$A:$ZZ,0,$C$8),index(Output_HALO!$A:$ZZ,0,$C$3)},2,0),"")</f>
        <v/>
      </c>
      <c r="BA16" s="353" t="str">
        <f t="array" ref="BA16">iferror(vlookup(BA$12&amp;"-"&amp;$E16,{index(Output_HALO!$A:$ZZ,0,$C$8),index(Output_HALO!$A:$ZZ,0,$C$3)},2,0),"")</f>
        <v/>
      </c>
      <c r="BB16" s="353" t="str">
        <f t="array" ref="BB16">iferror(vlookup(BB$12&amp;"-"&amp;$E16,{index(Output_HALO!$A:$ZZ,0,$C$8),index(Output_HALO!$A:$ZZ,0,$C$3)},2,0),"")</f>
        <v/>
      </c>
      <c r="BC16" s="353" t="str">
        <f t="array" ref="BC16">iferror(vlookup(BC$12&amp;"-"&amp;$E16,{index(Output_HALO!$A:$ZZ,0,$C$8),index(Output_HALO!$A:$ZZ,0,$C$3)},2,0),"")</f>
        <v/>
      </c>
      <c r="BD16" s="353" t="str">
        <f t="array" ref="BD16">iferror(vlookup(BD$12&amp;"-"&amp;$E16,{index(Output_HALO!$A:$ZZ,0,$C$8),index(Output_HALO!$A:$ZZ,0,$C$3)},2,0),"")</f>
        <v/>
      </c>
      <c r="BE16" s="353" t="str">
        <f t="array" ref="BE16">iferror(vlookup(BE$12&amp;"-"&amp;$E16,{index(Output_HALO!$A:$ZZ,0,$C$8),index(Output_HALO!$A:$ZZ,0,$C$3)},2,0),"")</f>
        <v/>
      </c>
      <c r="BF16" s="353" t="str">
        <f t="array" ref="BF16">iferror(vlookup(BF$12&amp;"-"&amp;$E16,{index(Output_HALO!$A:$ZZ,0,$C$8),index(Output_HALO!$A:$ZZ,0,$C$3)},2,0),"")</f>
        <v/>
      </c>
      <c r="BG16" s="353" t="str">
        <f t="array" ref="BG16">iferror(vlookup(BG$12&amp;"-"&amp;$E16,{index(Output_HALO!$A:$ZZ,0,$C$8),index(Output_HALO!$A:$ZZ,0,$C$3)},2,0),"")</f>
        <v/>
      </c>
      <c r="BH16" s="353" t="str">
        <f t="array" ref="BH16">iferror(vlookup(BH$12&amp;"-"&amp;$E16,{index(Output_HALO!$A:$ZZ,0,$C$8),index(Output_HALO!$A:$ZZ,0,$C$3)},2,0),"")</f>
        <v/>
      </c>
      <c r="BI16" s="353" t="str">
        <f t="array" ref="BI16">iferror(vlookup(BI$12&amp;"-"&amp;$E16,{index(Output_HALO!$A:$ZZ,0,$C$8),index(Output_HALO!$A:$ZZ,0,$C$3)},2,0),"")</f>
        <v/>
      </c>
      <c r="BJ16" s="353" t="str">
        <f t="array" ref="BJ16">iferror(vlookup(BJ$12&amp;"-"&amp;$E16,{index(Output_HALO!$A:$ZZ,0,$C$8),index(Output_HALO!$A:$ZZ,0,$C$3)},2,0),"")</f>
        <v/>
      </c>
      <c r="BK16" s="353" t="str">
        <f t="array" ref="BK16">iferror(vlookup(BK$12&amp;"-"&amp;$E16,{index(Output_HALO!$A:$ZZ,0,$C$8),index(Output_HALO!$A:$ZZ,0,$C$3)},2,0),"")</f>
        <v/>
      </c>
      <c r="BL16" s="353" t="str">
        <f t="array" ref="BL16">iferror(vlookup(BL$12&amp;"-"&amp;$E16,{index(Output_HALO!$A:$ZZ,0,$C$8),index(Output_HALO!$A:$ZZ,0,$C$3)},2,0),"")</f>
        <v/>
      </c>
      <c r="BM16" s="353" t="str">
        <f t="array" ref="BM16">iferror(vlookup(BM$12&amp;"-"&amp;$E16,{index(Output_HALO!$A:$ZZ,0,$C$8),index(Output_HALO!$A:$ZZ,0,$C$3)},2,0),"")</f>
        <v/>
      </c>
      <c r="BN16" s="353" t="str">
        <f t="array" ref="BN16">iferror(vlookup(BN$12&amp;"-"&amp;$E16,{index(Output_HALO!$A:$ZZ,0,$C$8),index(Output_HALO!$A:$ZZ,0,$C$3)},2,0),"")</f>
        <v/>
      </c>
      <c r="BO16" s="353" t="str">
        <f t="array" ref="BO16">iferror(vlookup(BO$12&amp;"-"&amp;$E16,{index(Output_HALO!$A:$ZZ,0,$C$8),index(Output_HALO!$A:$ZZ,0,$C$3)},2,0),"")</f>
        <v/>
      </c>
      <c r="BP16" s="353" t="str">
        <f t="array" ref="BP16">iferror(vlookup(BP$12&amp;"-"&amp;$E16,{index(Output_HALO!$A:$ZZ,0,$C$8),index(Output_HALO!$A:$ZZ,0,$C$3)},2,0),"")</f>
        <v/>
      </c>
      <c r="BQ16" s="353" t="str">
        <f t="array" ref="BQ16">iferror(vlookup(BQ$12&amp;"-"&amp;$E16,{index(Output_HALO!$A:$ZZ,0,$C$8),index(Output_HALO!$A:$ZZ,0,$C$3)},2,0),"")</f>
        <v/>
      </c>
    </row>
    <row r="17" hidden="1">
      <c r="E17" s="354">
        <v>4.0</v>
      </c>
      <c r="F17" s="353">
        <f t="array" ref="F17">iferror(vlookup(F16,{index(Output_HALO!$A:$ZZ,0,$C$3),index(Output_HALO!$A:$ZZ,0,$C$4)},2,0),"")</f>
        <v>0</v>
      </c>
      <c r="G17" s="353">
        <f t="array" ref="G17">iferror(vlookup(G16,{index(Output_HALO!$A:$ZZ,0,$C$3),index(Output_HALO!$A:$ZZ,0,$C$4)},2,0),"")</f>
        <v>0</v>
      </c>
      <c r="H17" s="353">
        <f t="array" ref="H17">iferror(vlookup(H16,{index(Output_HALO!$A:$ZZ,0,$C$3),index(Output_HALO!$A:$ZZ,0,$C$4)},2,0),"")</f>
        <v>0</v>
      </c>
      <c r="I17" s="353">
        <f t="array" ref="I17">iferror(vlookup(I16,{index(Output_HALO!$A:$ZZ,0,$C$3),index(Output_HALO!$A:$ZZ,0,$C$4)},2,0),"")</f>
        <v>0</v>
      </c>
      <c r="J17" s="353">
        <f t="array" ref="J17">iferror(vlookup(J16,{index(Output_HALO!$A:$ZZ,0,$C$3),index(Output_HALO!$A:$ZZ,0,$C$4)},2,0),"")</f>
        <v>0</v>
      </c>
      <c r="K17" s="353">
        <f t="array" ref="K17">iferror(vlookup(K16,{index(Output_HALO!$A:$ZZ,0,$C$3),index(Output_HALO!$A:$ZZ,0,$C$4)},2,0),"")</f>
        <v>0</v>
      </c>
      <c r="L17" s="353">
        <f t="array" ref="L17">iferror(vlookup(L16,{index(Output_HALO!$A:$ZZ,0,$C$3),index(Output_HALO!$A:$ZZ,0,$C$4)},2,0),"")</f>
        <v>0</v>
      </c>
      <c r="M17" s="353">
        <f t="array" ref="M17">iferror(vlookup(M16,{index(Output_HALO!$A:$ZZ,0,$C$3),index(Output_HALO!$A:$ZZ,0,$C$4)},2,0),"")</f>
        <v>0</v>
      </c>
      <c r="N17" s="353">
        <f t="array" ref="N17">iferror(vlookup(N16,{index(Output_HALO!$A:$ZZ,0,$C$3),index(Output_HALO!$A:$ZZ,0,$C$4)},2,0),"")</f>
        <v>0</v>
      </c>
      <c r="O17" s="353">
        <f t="array" ref="O17">iferror(vlookup(O16,{index(Output_HALO!$A:$ZZ,0,$C$3),index(Output_HALO!$A:$ZZ,0,$C$4)},2,0),"")</f>
        <v>0</v>
      </c>
      <c r="P17" s="353">
        <f t="array" ref="P17">iferror(vlookup(P16,{index(Output_HALO!$A:$ZZ,0,$C$3),index(Output_HALO!$A:$ZZ,0,$C$4)},2,0),"")</f>
        <v>0</v>
      </c>
      <c r="Q17" s="353">
        <f t="array" ref="Q17">iferror(vlookup(Q16,{index(Output_HALO!$A:$ZZ,0,$C$3),index(Output_HALO!$A:$ZZ,0,$C$4)},2,0),"")</f>
        <v>0</v>
      </c>
      <c r="R17" s="353">
        <f t="array" ref="R17">iferror(vlookup(R16,{index(Output_HALO!$A:$ZZ,0,$C$3),index(Output_HALO!$A:$ZZ,0,$C$4)},2,0),"")</f>
        <v>0</v>
      </c>
      <c r="S17" s="353">
        <f t="array" ref="S17">iferror(vlookup(S16,{index(Output_HALO!$A:$ZZ,0,$C$3),index(Output_HALO!$A:$ZZ,0,$C$4)},2,0),"")</f>
        <v>0</v>
      </c>
      <c r="T17" s="353">
        <f t="array" ref="T17">iferror(vlookup(T16,{index(Output_HALO!$A:$ZZ,0,$C$3),index(Output_HALO!$A:$ZZ,0,$C$4)},2,0),"")</f>
        <v>0</v>
      </c>
      <c r="U17" s="353">
        <f t="array" ref="U17">iferror(vlookup(U16,{index(Output_HALO!$A:$ZZ,0,$C$3),index(Output_HALO!$A:$ZZ,0,$C$4)},2,0),"")</f>
        <v>0</v>
      </c>
      <c r="V17" s="353">
        <f t="array" ref="V17">iferror(vlookup(V16,{index(Output_HALO!$A:$ZZ,0,$C$3),index(Output_HALO!$A:$ZZ,0,$C$4)},2,0),"")</f>
        <v>0</v>
      </c>
      <c r="W17" s="353">
        <f t="array" ref="W17">iferror(vlookup(W16,{index(Output_HALO!$A:$ZZ,0,$C$3),index(Output_HALO!$A:$ZZ,0,$C$4)},2,0),"")</f>
        <v>0</v>
      </c>
      <c r="X17" s="353">
        <f t="array" ref="X17">iferror(vlookup(X16,{index(Output_HALO!$A:$ZZ,0,$C$3),index(Output_HALO!$A:$ZZ,0,$C$4)},2,0),"")</f>
        <v>0</v>
      </c>
      <c r="Y17" s="353">
        <f t="array" ref="Y17">iferror(vlookup(Y16,{index(Output_HALO!$A:$ZZ,0,$C$3),index(Output_HALO!$A:$ZZ,0,$C$4)},2,0),"")</f>
        <v>0</v>
      </c>
      <c r="Z17" s="353">
        <f t="array" ref="Z17">iferror(vlookup(Z16,{index(Output_HALO!$A:$ZZ,0,$C$3),index(Output_HALO!$A:$ZZ,0,$C$4)},2,0),"")</f>
        <v>0</v>
      </c>
      <c r="AA17" s="353">
        <f t="array" ref="AA17">iferror(vlookup(AA16,{index(Output_HALO!$A:$ZZ,0,$C$3),index(Output_HALO!$A:$ZZ,0,$C$4)},2,0),"")</f>
        <v>0</v>
      </c>
      <c r="AB17" s="353">
        <f t="array" ref="AB17">iferror(vlookup(AB16,{index(Output_HALO!$A:$ZZ,0,$C$3),index(Output_HALO!$A:$ZZ,0,$C$4)},2,0),"")</f>
        <v>0</v>
      </c>
      <c r="AC17" s="353">
        <f t="array" ref="AC17">iferror(vlookup(AC16,{index(Output_HALO!$A:$ZZ,0,$C$3),index(Output_HALO!$A:$ZZ,0,$C$4)},2,0),"")</f>
        <v>0</v>
      </c>
      <c r="AD17" s="353">
        <f t="array" ref="AD17">iferror(vlookup(AD16,{index(Output_HALO!$A:$ZZ,0,$C$3),index(Output_HALO!$A:$ZZ,0,$C$4)},2,0),"")</f>
        <v>0</v>
      </c>
      <c r="AE17" s="353">
        <f t="array" ref="AE17">iferror(vlookup(AE16,{index(Output_HALO!$A:$ZZ,0,$C$3),index(Output_HALO!$A:$ZZ,0,$C$4)},2,0),"")</f>
        <v>0</v>
      </c>
      <c r="AF17" s="353">
        <f t="array" ref="AF17">iferror(vlookup(AF16,{index(Output_HALO!$A:$ZZ,0,$C$3),index(Output_HALO!$A:$ZZ,0,$C$4)},2,0),"")</f>
        <v>0</v>
      </c>
      <c r="AG17" s="353">
        <f t="array" ref="AG17">iferror(vlookup(AG16,{index(Output_HALO!$A:$ZZ,0,$C$3),index(Output_HALO!$A:$ZZ,0,$C$4)},2,0),"")</f>
        <v>0</v>
      </c>
      <c r="AH17" s="353">
        <f t="array" ref="AH17">iferror(vlookup(AH16,{index(Output_HALO!$A:$ZZ,0,$C$3),index(Output_HALO!$A:$ZZ,0,$C$4)},2,0),"")</f>
        <v>0</v>
      </c>
      <c r="AI17" s="353">
        <f t="array" ref="AI17">iferror(vlookup(AI16,{index(Output_HALO!$A:$ZZ,0,$C$3),index(Output_HALO!$A:$ZZ,0,$C$4)},2,0),"")</f>
        <v>0</v>
      </c>
      <c r="AJ17" s="353">
        <f t="array" ref="AJ17">iferror(vlookup(AJ16,{index(Output_HALO!$A:$ZZ,0,$C$3),index(Output_HALO!$A:$ZZ,0,$C$4)},2,0),"")</f>
        <v>0</v>
      </c>
      <c r="AK17" s="353">
        <f t="array" ref="AK17">iferror(vlookup(AK16,{index(Output_HALO!$A:$ZZ,0,$C$3),index(Output_HALO!$A:$ZZ,0,$C$4)},2,0),"")</f>
        <v>0</v>
      </c>
      <c r="AL17" s="353">
        <f t="array" ref="AL17">iferror(vlookup(AL16,{index(Output_HALO!$A:$ZZ,0,$C$3),index(Output_HALO!$A:$ZZ,0,$C$4)},2,0),"")</f>
        <v>0</v>
      </c>
      <c r="AM17" s="353">
        <f t="array" ref="AM17">iferror(vlookup(AM16,{index(Output_HALO!$A:$ZZ,0,$C$3),index(Output_HALO!$A:$ZZ,0,$C$4)},2,0),"")</f>
        <v>0</v>
      </c>
      <c r="AN17" s="353">
        <f t="array" ref="AN17">iferror(vlookup(AN16,{index(Output_HALO!$A:$ZZ,0,$C$3),index(Output_HALO!$A:$ZZ,0,$C$4)},2,0),"")</f>
        <v>0</v>
      </c>
      <c r="AO17" s="353">
        <f t="array" ref="AO17">iferror(vlookup(AO16,{index(Output_HALO!$A:$ZZ,0,$C$3),index(Output_HALO!$A:$ZZ,0,$C$4)},2,0),"")</f>
        <v>0</v>
      </c>
      <c r="AP17" s="353">
        <f t="array" ref="AP17">iferror(vlookup(AP16,{index(Output_HALO!$A:$ZZ,0,$C$3),index(Output_HALO!$A:$ZZ,0,$C$4)},2,0),"")</f>
        <v>0</v>
      </c>
      <c r="AQ17" s="353">
        <f t="array" ref="AQ17">iferror(vlookup(AQ16,{index(Output_HALO!$A:$ZZ,0,$C$3),index(Output_HALO!$A:$ZZ,0,$C$4)},2,0),"")</f>
        <v>0</v>
      </c>
      <c r="AR17" s="353">
        <f t="array" ref="AR17">iferror(vlookup(AR16,{index(Output_HALO!$A:$ZZ,0,$C$3),index(Output_HALO!$A:$ZZ,0,$C$4)},2,0),"")</f>
        <v>0</v>
      </c>
      <c r="AS17" s="353">
        <f t="array" ref="AS17">iferror(vlookup(AS16,{index(Output_HALO!$A:$ZZ,0,$C$3),index(Output_HALO!$A:$ZZ,0,$C$4)},2,0),"")</f>
        <v>0</v>
      </c>
      <c r="AT17" s="353">
        <f t="array" ref="AT17">iferror(vlookup(AT16,{index(Output_HALO!$A:$ZZ,0,$C$3),index(Output_HALO!$A:$ZZ,0,$C$4)},2,0),"")</f>
        <v>0</v>
      </c>
      <c r="AU17" s="353">
        <f t="array" ref="AU17">iferror(vlookup(AU16,{index(Output_HALO!$A:$ZZ,0,$C$3),index(Output_HALO!$A:$ZZ,0,$C$4)},2,0),"")</f>
        <v>0</v>
      </c>
      <c r="AV17" s="353">
        <f t="array" ref="AV17">iferror(vlookup(AV16,{index(Output_HALO!$A:$ZZ,0,$C$3),index(Output_HALO!$A:$ZZ,0,$C$4)},2,0),"")</f>
        <v>0</v>
      </c>
      <c r="AW17" s="353">
        <f t="array" ref="AW17">iferror(vlookup(AW16,{index(Output_HALO!$A:$ZZ,0,$C$3),index(Output_HALO!$A:$ZZ,0,$C$4)},2,0),"")</f>
        <v>0</v>
      </c>
      <c r="AX17" s="353">
        <f t="array" ref="AX17">iferror(vlookup(AX16,{index(Output_HALO!$A:$ZZ,0,$C$3),index(Output_HALO!$A:$ZZ,0,$C$4)},2,0),"")</f>
        <v>0</v>
      </c>
      <c r="AY17" s="353">
        <f t="array" ref="AY17">iferror(vlookup(AY16,{index(Output_HALO!$A:$ZZ,0,$C$3),index(Output_HALO!$A:$ZZ,0,$C$4)},2,0),"")</f>
        <v>0</v>
      </c>
      <c r="AZ17" s="353">
        <f t="array" ref="AZ17">iferror(vlookup(AZ16,{index(Output_HALO!$A:$ZZ,0,$C$3),index(Output_HALO!$A:$ZZ,0,$C$4)},2,0),"")</f>
        <v>0</v>
      </c>
      <c r="BA17" s="353">
        <f t="array" ref="BA17">iferror(vlookup(BA16,{index(Output_HALO!$A:$ZZ,0,$C$3),index(Output_HALO!$A:$ZZ,0,$C$4)},2,0),"")</f>
        <v>0</v>
      </c>
      <c r="BB17" s="353">
        <f t="array" ref="BB17">iferror(vlookup(BB16,{index(Output_HALO!$A:$ZZ,0,$C$3),index(Output_HALO!$A:$ZZ,0,$C$4)},2,0),"")</f>
        <v>0</v>
      </c>
      <c r="BC17" s="353">
        <f t="array" ref="BC17">iferror(vlookup(BC16,{index(Output_HALO!$A:$ZZ,0,$C$3),index(Output_HALO!$A:$ZZ,0,$C$4)},2,0),"")</f>
        <v>0</v>
      </c>
      <c r="BD17" s="353">
        <f t="array" ref="BD17">iferror(vlookup(BD16,{index(Output_HALO!$A:$ZZ,0,$C$3),index(Output_HALO!$A:$ZZ,0,$C$4)},2,0),"")</f>
        <v>0</v>
      </c>
      <c r="BE17" s="353">
        <f t="array" ref="BE17">iferror(vlookup(BE16,{index(Output_HALO!$A:$ZZ,0,$C$3),index(Output_HALO!$A:$ZZ,0,$C$4)},2,0),"")</f>
        <v>0</v>
      </c>
      <c r="BF17" s="353">
        <f t="array" ref="BF17">iferror(vlookup(BF16,{index(Output_HALO!$A:$ZZ,0,$C$3),index(Output_HALO!$A:$ZZ,0,$C$4)},2,0),"")</f>
        <v>0</v>
      </c>
      <c r="BG17" s="353">
        <f t="array" ref="BG17">iferror(vlookup(BG16,{index(Output_HALO!$A:$ZZ,0,$C$3),index(Output_HALO!$A:$ZZ,0,$C$4)},2,0),"")</f>
        <v>0</v>
      </c>
      <c r="BH17" s="353">
        <f t="array" ref="BH17">iferror(vlookup(BH16,{index(Output_HALO!$A:$ZZ,0,$C$3),index(Output_HALO!$A:$ZZ,0,$C$4)},2,0),"")</f>
        <v>0</v>
      </c>
      <c r="BI17" s="353">
        <f t="array" ref="BI17">iferror(vlookup(BI16,{index(Output_HALO!$A:$ZZ,0,$C$3),index(Output_HALO!$A:$ZZ,0,$C$4)},2,0),"")</f>
        <v>0</v>
      </c>
      <c r="BJ17" s="353">
        <f t="array" ref="BJ17">iferror(vlookup(BJ16,{index(Output_HALO!$A:$ZZ,0,$C$3),index(Output_HALO!$A:$ZZ,0,$C$4)},2,0),"")</f>
        <v>0</v>
      </c>
      <c r="BK17" s="353">
        <f t="array" ref="BK17">iferror(vlookup(BK16,{index(Output_HALO!$A:$ZZ,0,$C$3),index(Output_HALO!$A:$ZZ,0,$C$4)},2,0),"")</f>
        <v>0</v>
      </c>
      <c r="BL17" s="353">
        <f t="array" ref="BL17">iferror(vlookup(BL16,{index(Output_HALO!$A:$ZZ,0,$C$3),index(Output_HALO!$A:$ZZ,0,$C$4)},2,0),"")</f>
        <v>0</v>
      </c>
      <c r="BM17" s="353">
        <f t="array" ref="BM17">iferror(vlookup(BM16,{index(Output_HALO!$A:$ZZ,0,$C$3),index(Output_HALO!$A:$ZZ,0,$C$4)},2,0),"")</f>
        <v>0</v>
      </c>
      <c r="BN17" s="353">
        <f t="array" ref="BN17">iferror(vlookup(BN16,{index(Output_HALO!$A:$ZZ,0,$C$3),index(Output_HALO!$A:$ZZ,0,$C$4)},2,0),"")</f>
        <v>0</v>
      </c>
      <c r="BO17" s="353">
        <f t="array" ref="BO17">iferror(vlookup(BO16,{index(Output_HALO!$A:$ZZ,0,$C$3),index(Output_HALO!$A:$ZZ,0,$C$4)},2,0),"")</f>
        <v>0</v>
      </c>
      <c r="BP17" s="353">
        <f t="array" ref="BP17">iferror(vlookup(BP16,{index(Output_HALO!$A:$ZZ,0,$C$3),index(Output_HALO!$A:$ZZ,0,$C$4)},2,0),"")</f>
        <v>0</v>
      </c>
      <c r="BQ17" s="353">
        <f t="array" ref="BQ17">iferror(vlookup(BQ16,{index(Output_HALO!$A:$ZZ,0,$C$3),index(Output_HALO!$A:$ZZ,0,$C$4)},2,0),"")</f>
        <v>0</v>
      </c>
    </row>
    <row r="18" hidden="1">
      <c r="E18" s="354">
        <v>4.0</v>
      </c>
      <c r="F18" s="353" t="str">
        <f t="array" ref="F18">iferror(vlookup(F$12&amp;"-"&amp;$E18,{index(Output_HALO!$A:$ZZ,0,$C$8),index(Output_HALO!$A:$ZZ,0,$C$5)},2,0),"")</f>
        <v/>
      </c>
      <c r="G18" s="353" t="str">
        <f t="array" ref="G18">iferror(vlookup(G$12&amp;"-"&amp;$E18,{index(Output_HALO!$A:$ZZ,0,$C$8),index(Output_HALO!$A:$ZZ,0,$C$5)},2,0),"")</f>
        <v/>
      </c>
      <c r="H18" s="353" t="str">
        <f t="array" ref="H18">iferror(vlookup(H$12&amp;"-"&amp;$E18,{index(Output_HALO!$A:$ZZ,0,$C$8),index(Output_HALO!$A:$ZZ,0,$C$5)},2,0),"")</f>
        <v/>
      </c>
      <c r="I18" s="353" t="str">
        <f t="array" ref="I18">iferror(vlookup(I$12&amp;"-"&amp;$E18,{index(Output_HALO!$A:$ZZ,0,$C$8),index(Output_HALO!$A:$ZZ,0,$C$5)},2,0),"")</f>
        <v/>
      </c>
      <c r="J18" s="353" t="str">
        <f t="array" ref="J18">iferror(vlookup(J$12&amp;"-"&amp;$E18,{index(Output_HALO!$A:$ZZ,0,$C$8),index(Output_HALO!$A:$ZZ,0,$C$5)},2,0),"")</f>
        <v/>
      </c>
      <c r="K18" s="353" t="str">
        <f t="array" ref="K18">iferror(vlookup(K$12&amp;"-"&amp;$E18,{index(Output_HALO!$A:$ZZ,0,$C$8),index(Output_HALO!$A:$ZZ,0,$C$5)},2,0),"")</f>
        <v/>
      </c>
      <c r="L18" s="353" t="str">
        <f t="array" ref="L18">iferror(vlookup(L$12&amp;"-"&amp;$E18,{index(Output_HALO!$A:$ZZ,0,$C$8),index(Output_HALO!$A:$ZZ,0,$C$5)},2,0),"")</f>
        <v/>
      </c>
      <c r="M18" s="353" t="str">
        <f t="array" ref="M18">iferror(vlookup(M$12&amp;"-"&amp;$E18,{index(Output_HALO!$A:$ZZ,0,$C$8),index(Output_HALO!$A:$ZZ,0,$C$5)},2,0),"")</f>
        <v/>
      </c>
      <c r="N18" s="353" t="str">
        <f t="array" ref="N18">iferror(vlookup(N$12&amp;"-"&amp;$E18,{index(Output_HALO!$A:$ZZ,0,$C$8),index(Output_HALO!$A:$ZZ,0,$C$5)},2,0),"")</f>
        <v/>
      </c>
      <c r="O18" s="353" t="str">
        <f t="array" ref="O18">iferror(vlookup(O$12&amp;"-"&amp;$E18,{index(Output_HALO!$A:$ZZ,0,$C$8),index(Output_HALO!$A:$ZZ,0,$C$5)},2,0),"")</f>
        <v/>
      </c>
      <c r="P18" s="353" t="str">
        <f t="array" ref="P18">iferror(vlookup(P$12&amp;"-"&amp;$E18,{index(Output_HALO!$A:$ZZ,0,$C$8),index(Output_HALO!$A:$ZZ,0,$C$5)},2,0),"")</f>
        <v/>
      </c>
      <c r="Q18" s="353" t="str">
        <f t="array" ref="Q18">iferror(vlookup(Q$12&amp;"-"&amp;$E18,{index(Output_HALO!$A:$ZZ,0,$C$8),index(Output_HALO!$A:$ZZ,0,$C$5)},2,0),"")</f>
        <v/>
      </c>
      <c r="R18" s="353" t="str">
        <f t="array" ref="R18">iferror(vlookup(R$12&amp;"-"&amp;$E18,{index(Output_HALO!$A:$ZZ,0,$C$8),index(Output_HALO!$A:$ZZ,0,$C$5)},2,0),"")</f>
        <v/>
      </c>
      <c r="S18" s="353" t="str">
        <f t="array" ref="S18">iferror(vlookup(S$12&amp;"-"&amp;$E18,{index(Output_HALO!$A:$ZZ,0,$C$8),index(Output_HALO!$A:$ZZ,0,$C$5)},2,0),"")</f>
        <v/>
      </c>
      <c r="T18" s="353" t="str">
        <f t="array" ref="T18">iferror(vlookup(T$12&amp;"-"&amp;$E18,{index(Output_HALO!$A:$ZZ,0,$C$8),index(Output_HALO!$A:$ZZ,0,$C$5)},2,0),"")</f>
        <v/>
      </c>
      <c r="U18" s="353" t="str">
        <f t="array" ref="U18">iferror(vlookup(U$12&amp;"-"&amp;$E18,{index(Output_HALO!$A:$ZZ,0,$C$8),index(Output_HALO!$A:$ZZ,0,$C$5)},2,0),"")</f>
        <v/>
      </c>
      <c r="V18" s="353" t="str">
        <f t="array" ref="V18">iferror(vlookup(V$12&amp;"-"&amp;$E18,{index(Output_HALO!$A:$ZZ,0,$C$8),index(Output_HALO!$A:$ZZ,0,$C$5)},2,0),"")</f>
        <v/>
      </c>
      <c r="W18" s="353" t="str">
        <f t="array" ref="W18">iferror(vlookup(W$12&amp;"-"&amp;$E18,{index(Output_HALO!$A:$ZZ,0,$C$8),index(Output_HALO!$A:$ZZ,0,$C$5)},2,0),"")</f>
        <v/>
      </c>
      <c r="X18" s="353" t="str">
        <f t="array" ref="X18">iferror(vlookup(X$12&amp;"-"&amp;$E18,{index(Output_HALO!$A:$ZZ,0,$C$8),index(Output_HALO!$A:$ZZ,0,$C$5)},2,0),"")</f>
        <v/>
      </c>
      <c r="Y18" s="353" t="str">
        <f t="array" ref="Y18">iferror(vlookup(Y$12&amp;"-"&amp;$E18,{index(Output_HALO!$A:$ZZ,0,$C$8),index(Output_HALO!$A:$ZZ,0,$C$5)},2,0),"")</f>
        <v/>
      </c>
      <c r="Z18" s="353" t="str">
        <f t="array" ref="Z18">iferror(vlookup(Z$12&amp;"-"&amp;$E18,{index(Output_HALO!$A:$ZZ,0,$C$8),index(Output_HALO!$A:$ZZ,0,$C$5)},2,0),"")</f>
        <v/>
      </c>
      <c r="AA18" s="353" t="str">
        <f t="array" ref="AA18">iferror(vlookup(AA$12&amp;"-"&amp;$E18,{index(Output_HALO!$A:$ZZ,0,$C$8),index(Output_HALO!$A:$ZZ,0,$C$5)},2,0),"")</f>
        <v/>
      </c>
      <c r="AB18" s="353" t="str">
        <f t="array" ref="AB18">iferror(vlookup(AB$12&amp;"-"&amp;$E18,{index(Output_HALO!$A:$ZZ,0,$C$8),index(Output_HALO!$A:$ZZ,0,$C$5)},2,0),"")</f>
        <v/>
      </c>
      <c r="AC18" s="353" t="str">
        <f t="array" ref="AC18">iferror(vlookup(AC$12&amp;"-"&amp;$E18,{index(Output_HALO!$A:$ZZ,0,$C$8),index(Output_HALO!$A:$ZZ,0,$C$5)},2,0),"")</f>
        <v/>
      </c>
      <c r="AD18" s="353" t="str">
        <f t="array" ref="AD18">iferror(vlookup(AD$12&amp;"-"&amp;$E18,{index(Output_HALO!$A:$ZZ,0,$C$8),index(Output_HALO!$A:$ZZ,0,$C$5)},2,0),"")</f>
        <v/>
      </c>
      <c r="AE18" s="353" t="str">
        <f t="array" ref="AE18">iferror(vlookup(AE$12&amp;"-"&amp;$E18,{index(Output_HALO!$A:$ZZ,0,$C$8),index(Output_HALO!$A:$ZZ,0,$C$5)},2,0),"")</f>
        <v/>
      </c>
      <c r="AF18" s="353" t="str">
        <f t="array" ref="AF18">iferror(vlookup(AF$12&amp;"-"&amp;$E18,{index(Output_HALO!$A:$ZZ,0,$C$8),index(Output_HALO!$A:$ZZ,0,$C$5)},2,0),"")</f>
        <v/>
      </c>
      <c r="AG18" s="353" t="str">
        <f t="array" ref="AG18">iferror(vlookup(AG$12&amp;"-"&amp;$E18,{index(Output_HALO!$A:$ZZ,0,$C$8),index(Output_HALO!$A:$ZZ,0,$C$5)},2,0),"")</f>
        <v/>
      </c>
      <c r="AH18" s="353" t="str">
        <f t="array" ref="AH18">iferror(vlookup(AH$12&amp;"-"&amp;$E18,{index(Output_HALO!$A:$ZZ,0,$C$8),index(Output_HALO!$A:$ZZ,0,$C$5)},2,0),"")</f>
        <v/>
      </c>
      <c r="AI18" s="353" t="str">
        <f t="array" ref="AI18">iferror(vlookup(AI$12&amp;"-"&amp;$E18,{index(Output_HALO!$A:$ZZ,0,$C$8),index(Output_HALO!$A:$ZZ,0,$C$5)},2,0),"")</f>
        <v/>
      </c>
      <c r="AJ18" s="353" t="str">
        <f t="array" ref="AJ18">iferror(vlookup(AJ$12&amp;"-"&amp;$E18,{index(Output_HALO!$A:$ZZ,0,$C$8),index(Output_HALO!$A:$ZZ,0,$C$5)},2,0),"")</f>
        <v/>
      </c>
      <c r="AK18" s="353" t="str">
        <f t="array" ref="AK18">iferror(vlookup(AK$12&amp;"-"&amp;$E18,{index(Output_HALO!$A:$ZZ,0,$C$8),index(Output_HALO!$A:$ZZ,0,$C$5)},2,0),"")</f>
        <v/>
      </c>
      <c r="AL18" s="353" t="str">
        <f t="array" ref="AL18">iferror(vlookup(AL$12&amp;"-"&amp;$E18,{index(Output_HALO!$A:$ZZ,0,$C$8),index(Output_HALO!$A:$ZZ,0,$C$5)},2,0),"")</f>
        <v/>
      </c>
      <c r="AM18" s="353" t="str">
        <f t="array" ref="AM18">iferror(vlookup(AM$12&amp;"-"&amp;$E18,{index(Output_HALO!$A:$ZZ,0,$C$8),index(Output_HALO!$A:$ZZ,0,$C$5)},2,0),"")</f>
        <v/>
      </c>
      <c r="AN18" s="353" t="str">
        <f t="array" ref="AN18">iferror(vlookup(AN$12&amp;"-"&amp;$E18,{index(Output_HALO!$A:$ZZ,0,$C$8),index(Output_HALO!$A:$ZZ,0,$C$5)},2,0),"")</f>
        <v/>
      </c>
      <c r="AO18" s="353" t="str">
        <f t="array" ref="AO18">iferror(vlookup(AO$12&amp;"-"&amp;$E18,{index(Output_HALO!$A:$ZZ,0,$C$8),index(Output_HALO!$A:$ZZ,0,$C$5)},2,0),"")</f>
        <v/>
      </c>
      <c r="AP18" s="353" t="str">
        <f t="array" ref="AP18">iferror(vlookup(AP$12&amp;"-"&amp;$E18,{index(Output_HALO!$A:$ZZ,0,$C$8),index(Output_HALO!$A:$ZZ,0,$C$5)},2,0),"")</f>
        <v/>
      </c>
      <c r="AQ18" s="353" t="str">
        <f t="array" ref="AQ18">iferror(vlookup(AQ$12&amp;"-"&amp;$E18,{index(Output_HALO!$A:$ZZ,0,$C$8),index(Output_HALO!$A:$ZZ,0,$C$5)},2,0),"")</f>
        <v/>
      </c>
      <c r="AR18" s="353" t="str">
        <f t="array" ref="AR18">iferror(vlookup(AR$12&amp;"-"&amp;$E18,{index(Output_HALO!$A:$ZZ,0,$C$8),index(Output_HALO!$A:$ZZ,0,$C$5)},2,0),"")</f>
        <v/>
      </c>
      <c r="AS18" s="353" t="str">
        <f t="array" ref="AS18">iferror(vlookup(AS$12&amp;"-"&amp;$E18,{index(Output_HALO!$A:$ZZ,0,$C$8),index(Output_HALO!$A:$ZZ,0,$C$5)},2,0),"")</f>
        <v/>
      </c>
      <c r="AT18" s="353" t="str">
        <f t="array" ref="AT18">iferror(vlookup(AT$12&amp;"-"&amp;$E18,{index(Output_HALO!$A:$ZZ,0,$C$8),index(Output_HALO!$A:$ZZ,0,$C$5)},2,0),"")</f>
        <v/>
      </c>
      <c r="AU18" s="353" t="str">
        <f t="array" ref="AU18">iferror(vlookup(AU$12&amp;"-"&amp;$E18,{index(Output_HALO!$A:$ZZ,0,$C$8),index(Output_HALO!$A:$ZZ,0,$C$5)},2,0),"")</f>
        <v/>
      </c>
      <c r="AV18" s="353" t="str">
        <f t="array" ref="AV18">iferror(vlookup(AV$12&amp;"-"&amp;$E18,{index(Output_HALO!$A:$ZZ,0,$C$8),index(Output_HALO!$A:$ZZ,0,$C$5)},2,0),"")</f>
        <v/>
      </c>
      <c r="AW18" s="353" t="str">
        <f t="array" ref="AW18">iferror(vlookup(AW$12&amp;"-"&amp;$E18,{index(Output_HALO!$A:$ZZ,0,$C$8),index(Output_HALO!$A:$ZZ,0,$C$5)},2,0),"")</f>
        <v/>
      </c>
      <c r="AX18" s="353" t="str">
        <f t="array" ref="AX18">iferror(vlookup(AX$12&amp;"-"&amp;$E18,{index(Output_HALO!$A:$ZZ,0,$C$8),index(Output_HALO!$A:$ZZ,0,$C$5)},2,0),"")</f>
        <v/>
      </c>
      <c r="AY18" s="353" t="str">
        <f t="array" ref="AY18">iferror(vlookup(AY$12&amp;"-"&amp;$E18,{index(Output_HALO!$A:$ZZ,0,$C$8),index(Output_HALO!$A:$ZZ,0,$C$5)},2,0),"")</f>
        <v/>
      </c>
      <c r="AZ18" s="353" t="str">
        <f t="array" ref="AZ18">iferror(vlookup(AZ$12&amp;"-"&amp;$E18,{index(Output_HALO!$A:$ZZ,0,$C$8),index(Output_HALO!$A:$ZZ,0,$C$5)},2,0),"")</f>
        <v/>
      </c>
      <c r="BA18" s="353" t="str">
        <f t="array" ref="BA18">iferror(vlookup(BA$12&amp;"-"&amp;$E18,{index(Output_HALO!$A:$ZZ,0,$C$8),index(Output_HALO!$A:$ZZ,0,$C$5)},2,0),"")</f>
        <v/>
      </c>
      <c r="BB18" s="353" t="str">
        <f t="array" ref="BB18">iferror(vlookup(BB$12&amp;"-"&amp;$E18,{index(Output_HALO!$A:$ZZ,0,$C$8),index(Output_HALO!$A:$ZZ,0,$C$5)},2,0),"")</f>
        <v/>
      </c>
      <c r="BC18" s="353" t="str">
        <f t="array" ref="BC18">iferror(vlookup(BC$12&amp;"-"&amp;$E18,{index(Output_HALO!$A:$ZZ,0,$C$8),index(Output_HALO!$A:$ZZ,0,$C$5)},2,0),"")</f>
        <v/>
      </c>
      <c r="BD18" s="353" t="str">
        <f t="array" ref="BD18">iferror(vlookup(BD$12&amp;"-"&amp;$E18,{index(Output_HALO!$A:$ZZ,0,$C$8),index(Output_HALO!$A:$ZZ,0,$C$5)},2,0),"")</f>
        <v/>
      </c>
      <c r="BE18" s="353" t="str">
        <f t="array" ref="BE18">iferror(vlookup(BE$12&amp;"-"&amp;$E18,{index(Output_HALO!$A:$ZZ,0,$C$8),index(Output_HALO!$A:$ZZ,0,$C$5)},2,0),"")</f>
        <v/>
      </c>
      <c r="BF18" s="353" t="str">
        <f t="array" ref="BF18">iferror(vlookup(BF$12&amp;"-"&amp;$E18,{index(Output_HALO!$A:$ZZ,0,$C$8),index(Output_HALO!$A:$ZZ,0,$C$5)},2,0),"")</f>
        <v/>
      </c>
      <c r="BG18" s="353" t="str">
        <f t="array" ref="BG18">iferror(vlookup(BG$12&amp;"-"&amp;$E18,{index(Output_HALO!$A:$ZZ,0,$C$8),index(Output_HALO!$A:$ZZ,0,$C$5)},2,0),"")</f>
        <v/>
      </c>
      <c r="BH18" s="353" t="str">
        <f t="array" ref="BH18">iferror(vlookup(BH$12&amp;"-"&amp;$E18,{index(Output_HALO!$A:$ZZ,0,$C$8),index(Output_HALO!$A:$ZZ,0,$C$5)},2,0),"")</f>
        <v/>
      </c>
      <c r="BI18" s="353" t="str">
        <f t="array" ref="BI18">iferror(vlookup(BI$12&amp;"-"&amp;$E18,{index(Output_HALO!$A:$ZZ,0,$C$8),index(Output_HALO!$A:$ZZ,0,$C$5)},2,0),"")</f>
        <v/>
      </c>
      <c r="BJ18" s="353" t="str">
        <f t="array" ref="BJ18">iferror(vlookup(BJ$12&amp;"-"&amp;$E18,{index(Output_HALO!$A:$ZZ,0,$C$8),index(Output_HALO!$A:$ZZ,0,$C$5)},2,0),"")</f>
        <v/>
      </c>
      <c r="BK18" s="353" t="str">
        <f t="array" ref="BK18">iferror(vlookup(BK$12&amp;"-"&amp;$E18,{index(Output_HALO!$A:$ZZ,0,$C$8),index(Output_HALO!$A:$ZZ,0,$C$5)},2,0),"")</f>
        <v/>
      </c>
      <c r="BL18" s="353" t="str">
        <f t="array" ref="BL18">iferror(vlookup(BL$12&amp;"-"&amp;$E18,{index(Output_HALO!$A:$ZZ,0,$C$8),index(Output_HALO!$A:$ZZ,0,$C$5)},2,0),"")</f>
        <v/>
      </c>
      <c r="BM18" s="353" t="str">
        <f t="array" ref="BM18">iferror(vlookup(BM$12&amp;"-"&amp;$E18,{index(Output_HALO!$A:$ZZ,0,$C$8),index(Output_HALO!$A:$ZZ,0,$C$5)},2,0),"")</f>
        <v/>
      </c>
      <c r="BN18" s="353" t="str">
        <f t="array" ref="BN18">iferror(vlookup(BN$12&amp;"-"&amp;$E18,{index(Output_HALO!$A:$ZZ,0,$C$8),index(Output_HALO!$A:$ZZ,0,$C$5)},2,0),"")</f>
        <v/>
      </c>
      <c r="BO18" s="353" t="str">
        <f t="array" ref="BO18">iferror(vlookup(BO$12&amp;"-"&amp;$E18,{index(Output_HALO!$A:$ZZ,0,$C$8),index(Output_HALO!$A:$ZZ,0,$C$5)},2,0),"")</f>
        <v/>
      </c>
      <c r="BP18" s="353" t="str">
        <f t="array" ref="BP18">iferror(vlookup(BP$12&amp;"-"&amp;$E18,{index(Output_HALO!$A:$ZZ,0,$C$8),index(Output_HALO!$A:$ZZ,0,$C$5)},2,0),"")</f>
        <v/>
      </c>
      <c r="BQ18" s="353" t="str">
        <f t="array" ref="BQ18">iferror(vlookup(BQ$12&amp;"-"&amp;$E18,{index(Output_HALO!$A:$ZZ,0,$C$8),index(Output_HALO!$A:$ZZ,0,$C$5)},2,0),"")</f>
        <v/>
      </c>
    </row>
    <row r="19">
      <c r="E19" s="354">
        <v>3.0</v>
      </c>
      <c r="F19" s="353" t="str">
        <f t="array" ref="F19">iferror(vlookup(F$12&amp;"-"&amp;$E19,{index(Output_HALO!$A:$ZZ,0,$C$8),index(Output_HALO!$A:$ZZ,0,$C$3)},2,0),"")</f>
        <v/>
      </c>
      <c r="G19" s="353" t="str">
        <f t="array" ref="G19">iferror(vlookup(G$12&amp;"-"&amp;$E19,{index(Output_HALO!$A:$ZZ,0,$C$8),index(Output_HALO!$A:$ZZ,0,$C$3)},2,0),"")</f>
        <v/>
      </c>
      <c r="H19" s="353" t="str">
        <f t="array" ref="H19">iferror(vlookup(H$12&amp;"-"&amp;$E19,{index(Output_HALO!$A:$ZZ,0,$C$8),index(Output_HALO!$A:$ZZ,0,$C$3)},2,0),"")</f>
        <v/>
      </c>
      <c r="I19" s="353" t="str">
        <f t="array" ref="I19">iferror(vlookup(I$12&amp;"-"&amp;$E19,{index(Output_HALO!$A:$ZZ,0,$C$8),index(Output_HALO!$A:$ZZ,0,$C$3)},2,0),"")</f>
        <v/>
      </c>
      <c r="J19" s="353" t="str">
        <f t="array" ref="J19">iferror(vlookup(J$12&amp;"-"&amp;$E19,{index(Output_HALO!$A:$ZZ,0,$C$8),index(Output_HALO!$A:$ZZ,0,$C$3)},2,0),"")</f>
        <v/>
      </c>
      <c r="K19" s="353" t="str">
        <f t="array" ref="K19">iferror(vlookup(K$12&amp;"-"&amp;$E19,{index(Output_HALO!$A:$ZZ,0,$C$8),index(Output_HALO!$A:$ZZ,0,$C$3)},2,0),"")</f>
        <v/>
      </c>
      <c r="L19" s="353" t="str">
        <f t="array" ref="L19">iferror(vlookup(L$12&amp;"-"&amp;$E19,{index(Output_HALO!$A:$ZZ,0,$C$8),index(Output_HALO!$A:$ZZ,0,$C$3)},2,0),"")</f>
        <v/>
      </c>
      <c r="M19" s="353" t="str">
        <f t="array" ref="M19">iferror(vlookup(M$12&amp;"-"&amp;$E19,{index(Output_HALO!$A:$ZZ,0,$C$8),index(Output_HALO!$A:$ZZ,0,$C$3)},2,0),"")</f>
        <v/>
      </c>
      <c r="N19" s="353" t="str">
        <f t="array" ref="N19">iferror(vlookup(N$12&amp;"-"&amp;$E19,{index(Output_HALO!$A:$ZZ,0,$C$8),index(Output_HALO!$A:$ZZ,0,$C$3)},2,0),"")</f>
        <v/>
      </c>
      <c r="O19" s="353" t="str">
        <f t="array" ref="O19">iferror(vlookup(O$12&amp;"-"&amp;$E19,{index(Output_HALO!$A:$ZZ,0,$C$8),index(Output_HALO!$A:$ZZ,0,$C$3)},2,0),"")</f>
        <v/>
      </c>
      <c r="P19" s="353" t="str">
        <f t="array" ref="P19">iferror(vlookup(P$12&amp;"-"&amp;$E19,{index(Output_HALO!$A:$ZZ,0,$C$8),index(Output_HALO!$A:$ZZ,0,$C$3)},2,0),"")</f>
        <v/>
      </c>
      <c r="Q19" s="353" t="str">
        <f t="array" ref="Q19">iferror(vlookup(Q$12&amp;"-"&amp;$E19,{index(Output_HALO!$A:$ZZ,0,$C$8),index(Output_HALO!$A:$ZZ,0,$C$3)},2,0),"")</f>
        <v/>
      </c>
      <c r="R19" s="353" t="str">
        <f t="array" ref="R19">iferror(vlookup(R$12&amp;"-"&amp;$E19,{index(Output_HALO!$A:$ZZ,0,$C$8),index(Output_HALO!$A:$ZZ,0,$C$3)},2,0),"")</f>
        <v/>
      </c>
      <c r="S19" s="353" t="str">
        <f t="array" ref="S19">iferror(vlookup(S$12&amp;"-"&amp;$E19,{index(Output_HALO!$A:$ZZ,0,$C$8),index(Output_HALO!$A:$ZZ,0,$C$3)},2,0),"")</f>
        <v/>
      </c>
      <c r="T19" s="353" t="str">
        <f t="array" ref="T19">iferror(vlookup(T$12&amp;"-"&amp;$E19,{index(Output_HALO!$A:$ZZ,0,$C$8),index(Output_HALO!$A:$ZZ,0,$C$3)},2,0),"")</f>
        <v/>
      </c>
      <c r="U19" s="353" t="str">
        <f t="array" ref="U19">iferror(vlookup(U$12&amp;"-"&amp;$E19,{index(Output_HALO!$A:$ZZ,0,$C$8),index(Output_HALO!$A:$ZZ,0,$C$3)},2,0),"")</f>
        <v/>
      </c>
      <c r="V19" s="353" t="str">
        <f t="array" ref="V19">iferror(vlookup(V$12&amp;"-"&amp;$E19,{index(Output_HALO!$A:$ZZ,0,$C$8),index(Output_HALO!$A:$ZZ,0,$C$3)},2,0),"")</f>
        <v/>
      </c>
      <c r="W19" s="353" t="str">
        <f t="array" ref="W19">iferror(vlookup(W$12&amp;"-"&amp;$E19,{index(Output_HALO!$A:$ZZ,0,$C$8),index(Output_HALO!$A:$ZZ,0,$C$3)},2,0),"")</f>
        <v/>
      </c>
      <c r="X19" s="353" t="str">
        <f t="array" ref="X19">iferror(vlookup(X$12&amp;"-"&amp;$E19,{index(Output_HALO!$A:$ZZ,0,$C$8),index(Output_HALO!$A:$ZZ,0,$C$3)},2,0),"")</f>
        <v/>
      </c>
      <c r="Y19" s="353" t="str">
        <f t="array" ref="Y19">iferror(vlookup(Y$12&amp;"-"&amp;$E19,{index(Output_HALO!$A:$ZZ,0,$C$8),index(Output_HALO!$A:$ZZ,0,$C$3)},2,0),"")</f>
        <v/>
      </c>
      <c r="Z19" s="353" t="str">
        <f t="array" ref="Z19">iferror(vlookup(Z$12&amp;"-"&amp;$E19,{index(Output_HALO!$A:$ZZ,0,$C$8),index(Output_HALO!$A:$ZZ,0,$C$3)},2,0),"")</f>
        <v/>
      </c>
      <c r="AA19" s="353" t="str">
        <f t="array" ref="AA19">iferror(vlookup(AA$12&amp;"-"&amp;$E19,{index(Output_HALO!$A:$ZZ,0,$C$8),index(Output_HALO!$A:$ZZ,0,$C$3)},2,0),"")</f>
        <v/>
      </c>
      <c r="AB19" s="353" t="str">
        <f t="array" ref="AB19">iferror(vlookup(AB$12&amp;"-"&amp;$E19,{index(Output_HALO!$A:$ZZ,0,$C$8),index(Output_HALO!$A:$ZZ,0,$C$3)},2,0),"")</f>
        <v/>
      </c>
      <c r="AC19" s="353" t="str">
        <f t="array" ref="AC19">iferror(vlookup(AC$12&amp;"-"&amp;$E19,{index(Output_HALO!$A:$ZZ,0,$C$8),index(Output_HALO!$A:$ZZ,0,$C$3)},2,0),"")</f>
        <v/>
      </c>
      <c r="AD19" s="353" t="str">
        <f t="array" ref="AD19">iferror(vlookup(AD$12&amp;"-"&amp;$E19,{index(Output_HALO!$A:$ZZ,0,$C$8),index(Output_HALO!$A:$ZZ,0,$C$3)},2,0),"")</f>
        <v/>
      </c>
      <c r="AE19" s="353" t="str">
        <f t="array" ref="AE19">iferror(vlookup(AE$12&amp;"-"&amp;$E19,{index(Output_HALO!$A:$ZZ,0,$C$8),index(Output_HALO!$A:$ZZ,0,$C$3)},2,0),"")</f>
        <v/>
      </c>
      <c r="AF19" s="353" t="str">
        <f t="array" ref="AF19">iferror(vlookup(AF$12&amp;"-"&amp;$E19,{index(Output_HALO!$A:$ZZ,0,$C$8),index(Output_HALO!$A:$ZZ,0,$C$3)},2,0),"")</f>
        <v/>
      </c>
      <c r="AG19" s="353" t="str">
        <f t="array" ref="AG19">iferror(vlookup(AG$12&amp;"-"&amp;$E19,{index(Output_HALO!$A:$ZZ,0,$C$8),index(Output_HALO!$A:$ZZ,0,$C$3)},2,0),"")</f>
        <v/>
      </c>
      <c r="AH19" s="353" t="str">
        <f t="array" ref="AH19">iferror(vlookup(AH$12&amp;"-"&amp;$E19,{index(Output_HALO!$A:$ZZ,0,$C$8),index(Output_HALO!$A:$ZZ,0,$C$3)},2,0),"")</f>
        <v/>
      </c>
      <c r="AI19" s="353" t="str">
        <f t="array" ref="AI19">iferror(vlookup(AI$12&amp;"-"&amp;$E19,{index(Output_HALO!$A:$ZZ,0,$C$8),index(Output_HALO!$A:$ZZ,0,$C$3)},2,0),"")</f>
        <v/>
      </c>
      <c r="AJ19" s="353" t="str">
        <f t="array" ref="AJ19">iferror(vlookup(AJ$12&amp;"-"&amp;$E19,{index(Output_HALO!$A:$ZZ,0,$C$8),index(Output_HALO!$A:$ZZ,0,$C$3)},2,0),"")</f>
        <v/>
      </c>
      <c r="AK19" s="353" t="str">
        <f t="array" ref="AK19">iferror(vlookup(AK$12&amp;"-"&amp;$E19,{index(Output_HALO!$A:$ZZ,0,$C$8),index(Output_HALO!$A:$ZZ,0,$C$3)},2,0),"")</f>
        <v/>
      </c>
      <c r="AL19" s="353" t="str">
        <f t="array" ref="AL19">iferror(vlookup(AL$12&amp;"-"&amp;$E19,{index(Output_HALO!$A:$ZZ,0,$C$8),index(Output_HALO!$A:$ZZ,0,$C$3)},2,0),"")</f>
        <v/>
      </c>
      <c r="AM19" s="353" t="str">
        <f t="array" ref="AM19">iferror(vlookup(AM$12&amp;"-"&amp;$E19,{index(Output_HALO!$A:$ZZ,0,$C$8),index(Output_HALO!$A:$ZZ,0,$C$3)},2,0),"")</f>
        <v/>
      </c>
      <c r="AN19" s="353" t="str">
        <f t="array" ref="AN19">iferror(vlookup(AN$12&amp;"-"&amp;$E19,{index(Output_HALO!$A:$ZZ,0,$C$8),index(Output_HALO!$A:$ZZ,0,$C$3)},2,0),"")</f>
        <v/>
      </c>
      <c r="AO19" s="353" t="str">
        <f t="array" ref="AO19">iferror(vlookup(AO$12&amp;"-"&amp;$E19,{index(Output_HALO!$A:$ZZ,0,$C$8),index(Output_HALO!$A:$ZZ,0,$C$3)},2,0),"")</f>
        <v/>
      </c>
      <c r="AP19" s="353" t="str">
        <f t="array" ref="AP19">iferror(vlookup(AP$12&amp;"-"&amp;$E19,{index(Output_HALO!$A:$ZZ,0,$C$8),index(Output_HALO!$A:$ZZ,0,$C$3)},2,0),"")</f>
        <v>565189 - Lachs Piccata</v>
      </c>
      <c r="AQ19" s="353" t="str">
        <f t="array" ref="AQ19">iferror(vlookup(AQ$12&amp;"-"&amp;$E19,{index(Output_HALO!$A:$ZZ,0,$C$8),index(Output_HALO!$A:$ZZ,0,$C$3)},2,0),"")</f>
        <v/>
      </c>
      <c r="AR19" s="353" t="str">
        <f t="array" ref="AR19">iferror(vlookup(AR$12&amp;"-"&amp;$E19,{index(Output_HALO!$A:$ZZ,0,$C$8),index(Output_HALO!$A:$ZZ,0,$C$3)},2,0),"")</f>
        <v/>
      </c>
      <c r="AS19" s="353" t="str">
        <f t="array" ref="AS19">iferror(vlookup(AS$12&amp;"-"&amp;$E19,{index(Output_HALO!$A:$ZZ,0,$C$8),index(Output_HALO!$A:$ZZ,0,$C$3)},2,0),"")</f>
        <v/>
      </c>
      <c r="AT19" s="353" t="str">
        <f t="array" ref="AT19">iferror(vlookup(AT$12&amp;"-"&amp;$E19,{index(Output_HALO!$A:$ZZ,0,$C$8),index(Output_HALO!$A:$ZZ,0,$C$3)},2,0),"")</f>
        <v/>
      </c>
      <c r="AU19" s="353" t="str">
        <f t="array" ref="AU19">iferror(vlookup(AU$12&amp;"-"&amp;$E19,{index(Output_HALO!$A:$ZZ,0,$C$8),index(Output_HALO!$A:$ZZ,0,$C$3)},2,0),"")</f>
        <v/>
      </c>
      <c r="AV19" s="353" t="str">
        <f t="array" ref="AV19">iferror(vlookup(AV$12&amp;"-"&amp;$E19,{index(Output_HALO!$A:$ZZ,0,$C$8),index(Output_HALO!$A:$ZZ,0,$C$3)},2,0),"")</f>
        <v/>
      </c>
      <c r="AW19" s="353" t="str">
        <f t="array" ref="AW19">iferror(vlookup(AW$12&amp;"-"&amp;$E19,{index(Output_HALO!$A:$ZZ,0,$C$8),index(Output_HALO!$A:$ZZ,0,$C$3)},2,0),"")</f>
        <v/>
      </c>
      <c r="AX19" s="353" t="str">
        <f t="array" ref="AX19">iferror(vlookup(AX$12&amp;"-"&amp;$E19,{index(Output_HALO!$A:$ZZ,0,$C$8),index(Output_HALO!$A:$ZZ,0,$C$3)},2,0),"")</f>
        <v/>
      </c>
      <c r="AY19" s="353" t="str">
        <f t="array" ref="AY19">iferror(vlookup(AY$12&amp;"-"&amp;$E19,{index(Output_HALO!$A:$ZZ,0,$C$8),index(Output_HALO!$A:$ZZ,0,$C$3)},2,0),"")</f>
        <v/>
      </c>
      <c r="AZ19" s="353" t="str">
        <f t="array" ref="AZ19">iferror(vlookup(AZ$12&amp;"-"&amp;$E19,{index(Output_HALO!$A:$ZZ,0,$C$8),index(Output_HALO!$A:$ZZ,0,$C$3)},2,0),"")</f>
        <v/>
      </c>
      <c r="BA19" s="353" t="str">
        <f t="array" ref="BA19">iferror(vlookup(BA$12&amp;"-"&amp;$E19,{index(Output_HALO!$A:$ZZ,0,$C$8),index(Output_HALO!$A:$ZZ,0,$C$3)},2,0),"")</f>
        <v/>
      </c>
      <c r="BB19" s="353" t="str">
        <f t="array" ref="BB19">iferror(vlookup(BB$12&amp;"-"&amp;$E19,{index(Output_HALO!$A:$ZZ,0,$C$8),index(Output_HALO!$A:$ZZ,0,$C$3)},2,0),"")</f>
        <v/>
      </c>
      <c r="BC19" s="353" t="str">
        <f t="array" ref="BC19">iferror(vlookup(BC$12&amp;"-"&amp;$E19,{index(Output_HALO!$A:$ZZ,0,$C$8),index(Output_HALO!$A:$ZZ,0,$C$3)},2,0),"")</f>
        <v/>
      </c>
      <c r="BD19" s="353" t="str">
        <f t="array" ref="BD19">iferror(vlookup(BD$12&amp;"-"&amp;$E19,{index(Output_HALO!$A:$ZZ,0,$C$8),index(Output_HALO!$A:$ZZ,0,$C$3)},2,0),"")</f>
        <v/>
      </c>
      <c r="BE19" s="353" t="str">
        <f t="array" ref="BE19">iferror(vlookup(BE$12&amp;"-"&amp;$E19,{index(Output_HALO!$A:$ZZ,0,$C$8),index(Output_HALO!$A:$ZZ,0,$C$3)},2,0),"")</f>
        <v/>
      </c>
      <c r="BF19" s="353" t="str">
        <f t="array" ref="BF19">iferror(vlookup(BF$12&amp;"-"&amp;$E19,{index(Output_HALO!$A:$ZZ,0,$C$8),index(Output_HALO!$A:$ZZ,0,$C$3)},2,0),"")</f>
        <v/>
      </c>
      <c r="BG19" s="353" t="str">
        <f t="array" ref="BG19">iferror(vlookup(BG$12&amp;"-"&amp;$E19,{index(Output_HALO!$A:$ZZ,0,$C$8),index(Output_HALO!$A:$ZZ,0,$C$3)},2,0),"")</f>
        <v/>
      </c>
      <c r="BH19" s="353" t="str">
        <f t="array" ref="BH19">iferror(vlookup(BH$12&amp;"-"&amp;$E19,{index(Output_HALO!$A:$ZZ,0,$C$8),index(Output_HALO!$A:$ZZ,0,$C$3)},2,0),"")</f>
        <v/>
      </c>
      <c r="BI19" s="353" t="str">
        <f t="array" ref="BI19">iferror(vlookup(BI$12&amp;"-"&amp;$E19,{index(Output_HALO!$A:$ZZ,0,$C$8),index(Output_HALO!$A:$ZZ,0,$C$3)},2,0),"")</f>
        <v/>
      </c>
      <c r="BJ19" s="353" t="str">
        <f t="array" ref="BJ19">iferror(vlookup(BJ$12&amp;"-"&amp;$E19,{index(Output_HALO!$A:$ZZ,0,$C$8),index(Output_HALO!$A:$ZZ,0,$C$3)},2,0),"")</f>
        <v/>
      </c>
      <c r="BK19" s="353" t="str">
        <f t="array" ref="BK19">iferror(vlookup(BK$12&amp;"-"&amp;$E19,{index(Output_HALO!$A:$ZZ,0,$C$8),index(Output_HALO!$A:$ZZ,0,$C$3)},2,0),"")</f>
        <v/>
      </c>
      <c r="BL19" s="353" t="str">
        <f t="array" ref="BL19">iferror(vlookup(BL$12&amp;"-"&amp;$E19,{index(Output_HALO!$A:$ZZ,0,$C$8),index(Output_HALO!$A:$ZZ,0,$C$3)},2,0),"")</f>
        <v/>
      </c>
      <c r="BM19" s="353" t="str">
        <f t="array" ref="BM19">iferror(vlookup(BM$12&amp;"-"&amp;$E19,{index(Output_HALO!$A:$ZZ,0,$C$8),index(Output_HALO!$A:$ZZ,0,$C$3)},2,0),"")</f>
        <v/>
      </c>
      <c r="BN19" s="353" t="str">
        <f t="array" ref="BN19">iferror(vlookup(BN$12&amp;"-"&amp;$E19,{index(Output_HALO!$A:$ZZ,0,$C$8),index(Output_HALO!$A:$ZZ,0,$C$3)},2,0),"")</f>
        <v/>
      </c>
      <c r="BO19" s="353" t="str">
        <f t="array" ref="BO19">iferror(vlookup(BO$12&amp;"-"&amp;$E19,{index(Output_HALO!$A:$ZZ,0,$C$8),index(Output_HALO!$A:$ZZ,0,$C$3)},2,0),"")</f>
        <v/>
      </c>
      <c r="BP19" s="353" t="str">
        <f t="array" ref="BP19">iferror(vlookup(BP$12&amp;"-"&amp;$E19,{index(Output_HALO!$A:$ZZ,0,$C$8),index(Output_HALO!$A:$ZZ,0,$C$3)},2,0),"")</f>
        <v/>
      </c>
      <c r="BQ19" s="353" t="str">
        <f t="array" ref="BQ19">iferror(vlookup(BQ$12&amp;"-"&amp;$E19,{index(Output_HALO!$A:$ZZ,0,$C$8),index(Output_HALO!$A:$ZZ,0,$C$3)},2,0),"")</f>
        <v/>
      </c>
    </row>
    <row r="20">
      <c r="E20" s="354">
        <v>3.0</v>
      </c>
      <c r="F20" s="353">
        <f t="array" ref="F20">iferror(vlookup(F19,{index(Output_HALO!$A:$ZZ,0,$C$3),index(Output_HALO!$A:$ZZ,0,$C$4)},2,0),"")</f>
        <v>0</v>
      </c>
      <c r="G20" s="353">
        <f t="array" ref="G20">iferror(vlookup(G19,{index(Output_HALO!$A:$ZZ,0,$C$3),index(Output_HALO!$A:$ZZ,0,$C$4)},2,0),"")</f>
        <v>0</v>
      </c>
      <c r="H20" s="353">
        <f t="array" ref="H20">iferror(vlookup(H19,{index(Output_HALO!$A:$ZZ,0,$C$3),index(Output_HALO!$A:$ZZ,0,$C$4)},2,0),"")</f>
        <v>0</v>
      </c>
      <c r="I20" s="353">
        <f t="array" ref="I20">iferror(vlookup(I19,{index(Output_HALO!$A:$ZZ,0,$C$3),index(Output_HALO!$A:$ZZ,0,$C$4)},2,0),"")</f>
        <v>0</v>
      </c>
      <c r="J20" s="353">
        <f t="array" ref="J20">iferror(vlookup(J19,{index(Output_HALO!$A:$ZZ,0,$C$3),index(Output_HALO!$A:$ZZ,0,$C$4)},2,0),"")</f>
        <v>0</v>
      </c>
      <c r="K20" s="353">
        <f t="array" ref="K20">iferror(vlookup(K19,{index(Output_HALO!$A:$ZZ,0,$C$3),index(Output_HALO!$A:$ZZ,0,$C$4)},2,0),"")</f>
        <v>0</v>
      </c>
      <c r="L20" s="353">
        <f t="array" ref="L20">iferror(vlookup(L19,{index(Output_HALO!$A:$ZZ,0,$C$3),index(Output_HALO!$A:$ZZ,0,$C$4)},2,0),"")</f>
        <v>0</v>
      </c>
      <c r="M20" s="353">
        <f t="array" ref="M20">iferror(vlookup(M19,{index(Output_HALO!$A:$ZZ,0,$C$3),index(Output_HALO!$A:$ZZ,0,$C$4)},2,0),"")</f>
        <v>0</v>
      </c>
      <c r="N20" s="353">
        <f t="array" ref="N20">iferror(vlookup(N19,{index(Output_HALO!$A:$ZZ,0,$C$3),index(Output_HALO!$A:$ZZ,0,$C$4)},2,0),"")</f>
        <v>0</v>
      </c>
      <c r="O20" s="353">
        <f t="array" ref="O20">iferror(vlookup(O19,{index(Output_HALO!$A:$ZZ,0,$C$3),index(Output_HALO!$A:$ZZ,0,$C$4)},2,0),"")</f>
        <v>0</v>
      </c>
      <c r="P20" s="353">
        <f t="array" ref="P20">iferror(vlookup(P19,{index(Output_HALO!$A:$ZZ,0,$C$3),index(Output_HALO!$A:$ZZ,0,$C$4)},2,0),"")</f>
        <v>0</v>
      </c>
      <c r="Q20" s="353">
        <f t="array" ref="Q20">iferror(vlookup(Q19,{index(Output_HALO!$A:$ZZ,0,$C$3),index(Output_HALO!$A:$ZZ,0,$C$4)},2,0),"")</f>
        <v>0</v>
      </c>
      <c r="R20" s="353">
        <f t="array" ref="R20">iferror(vlookup(R19,{index(Output_HALO!$A:$ZZ,0,$C$3),index(Output_HALO!$A:$ZZ,0,$C$4)},2,0),"")</f>
        <v>0</v>
      </c>
      <c r="S20" s="353">
        <f t="array" ref="S20">iferror(vlookup(S19,{index(Output_HALO!$A:$ZZ,0,$C$3),index(Output_HALO!$A:$ZZ,0,$C$4)},2,0),"")</f>
        <v>0</v>
      </c>
      <c r="T20" s="353">
        <f t="array" ref="T20">iferror(vlookup(T19,{index(Output_HALO!$A:$ZZ,0,$C$3),index(Output_HALO!$A:$ZZ,0,$C$4)},2,0),"")</f>
        <v>0</v>
      </c>
      <c r="U20" s="353">
        <f t="array" ref="U20">iferror(vlookup(U19,{index(Output_HALO!$A:$ZZ,0,$C$3),index(Output_HALO!$A:$ZZ,0,$C$4)},2,0),"")</f>
        <v>0</v>
      </c>
      <c r="V20" s="353">
        <f t="array" ref="V20">iferror(vlookup(V19,{index(Output_HALO!$A:$ZZ,0,$C$3),index(Output_HALO!$A:$ZZ,0,$C$4)},2,0),"")</f>
        <v>0</v>
      </c>
      <c r="W20" s="353">
        <f t="array" ref="W20">iferror(vlookup(W19,{index(Output_HALO!$A:$ZZ,0,$C$3),index(Output_HALO!$A:$ZZ,0,$C$4)},2,0),"")</f>
        <v>0</v>
      </c>
      <c r="X20" s="353">
        <f t="array" ref="X20">iferror(vlookup(X19,{index(Output_HALO!$A:$ZZ,0,$C$3),index(Output_HALO!$A:$ZZ,0,$C$4)},2,0),"")</f>
        <v>0</v>
      </c>
      <c r="Y20" s="353">
        <f t="array" ref="Y20">iferror(vlookup(Y19,{index(Output_HALO!$A:$ZZ,0,$C$3),index(Output_HALO!$A:$ZZ,0,$C$4)},2,0),"")</f>
        <v>0</v>
      </c>
      <c r="Z20" s="353">
        <f t="array" ref="Z20">iferror(vlookup(Z19,{index(Output_HALO!$A:$ZZ,0,$C$3),index(Output_HALO!$A:$ZZ,0,$C$4)},2,0),"")</f>
        <v>0</v>
      </c>
      <c r="AA20" s="353">
        <f t="array" ref="AA20">iferror(vlookup(AA19,{index(Output_HALO!$A:$ZZ,0,$C$3),index(Output_HALO!$A:$ZZ,0,$C$4)},2,0),"")</f>
        <v>0</v>
      </c>
      <c r="AB20" s="353">
        <f t="array" ref="AB20">iferror(vlookup(AB19,{index(Output_HALO!$A:$ZZ,0,$C$3),index(Output_HALO!$A:$ZZ,0,$C$4)},2,0),"")</f>
        <v>0</v>
      </c>
      <c r="AC20" s="353">
        <f t="array" ref="AC20">iferror(vlookup(AC19,{index(Output_HALO!$A:$ZZ,0,$C$3),index(Output_HALO!$A:$ZZ,0,$C$4)},2,0),"")</f>
        <v>0</v>
      </c>
      <c r="AD20" s="353">
        <f t="array" ref="AD20">iferror(vlookup(AD19,{index(Output_HALO!$A:$ZZ,0,$C$3),index(Output_HALO!$A:$ZZ,0,$C$4)},2,0),"")</f>
        <v>0</v>
      </c>
      <c r="AE20" s="353">
        <f t="array" ref="AE20">iferror(vlookup(AE19,{index(Output_HALO!$A:$ZZ,0,$C$3),index(Output_HALO!$A:$ZZ,0,$C$4)},2,0),"")</f>
        <v>0</v>
      </c>
      <c r="AF20" s="353">
        <f t="array" ref="AF20">iferror(vlookup(AF19,{index(Output_HALO!$A:$ZZ,0,$C$3),index(Output_HALO!$A:$ZZ,0,$C$4)},2,0),"")</f>
        <v>0</v>
      </c>
      <c r="AG20" s="353">
        <f t="array" ref="AG20">iferror(vlookup(AG19,{index(Output_HALO!$A:$ZZ,0,$C$3),index(Output_HALO!$A:$ZZ,0,$C$4)},2,0),"")</f>
        <v>0</v>
      </c>
      <c r="AH20" s="353">
        <f t="array" ref="AH20">iferror(vlookup(AH19,{index(Output_HALO!$A:$ZZ,0,$C$3),index(Output_HALO!$A:$ZZ,0,$C$4)},2,0),"")</f>
        <v>0</v>
      </c>
      <c r="AI20" s="353">
        <f t="array" ref="AI20">iferror(vlookup(AI19,{index(Output_HALO!$A:$ZZ,0,$C$3),index(Output_HALO!$A:$ZZ,0,$C$4)},2,0),"")</f>
        <v>0</v>
      </c>
      <c r="AJ20" s="353">
        <f t="array" ref="AJ20">iferror(vlookup(AJ19,{index(Output_HALO!$A:$ZZ,0,$C$3),index(Output_HALO!$A:$ZZ,0,$C$4)},2,0),"")</f>
        <v>0</v>
      </c>
      <c r="AK20" s="353">
        <f t="array" ref="AK20">iferror(vlookup(AK19,{index(Output_HALO!$A:$ZZ,0,$C$3),index(Output_HALO!$A:$ZZ,0,$C$4)},2,0),"")</f>
        <v>0</v>
      </c>
      <c r="AL20" s="353">
        <f t="array" ref="AL20">iferror(vlookup(AL19,{index(Output_HALO!$A:$ZZ,0,$C$3),index(Output_HALO!$A:$ZZ,0,$C$4)},2,0),"")</f>
        <v>0</v>
      </c>
      <c r="AM20" s="353">
        <f t="array" ref="AM20">iferror(vlookup(AM19,{index(Output_HALO!$A:$ZZ,0,$C$3),index(Output_HALO!$A:$ZZ,0,$C$4)},2,0),"")</f>
        <v>0</v>
      </c>
      <c r="AN20" s="353">
        <f t="array" ref="AN20">iferror(vlookup(AN19,{index(Output_HALO!$A:$ZZ,0,$C$3),index(Output_HALO!$A:$ZZ,0,$C$4)},2,0),"")</f>
        <v>0</v>
      </c>
      <c r="AO20" s="353">
        <f t="array" ref="AO20">iferror(vlookup(AO19,{index(Output_HALO!$A:$ZZ,0,$C$3),index(Output_HALO!$A:$ZZ,0,$C$4)},2,0),"")</f>
        <v>0</v>
      </c>
      <c r="AP20" s="353">
        <f t="array" ref="AP20">iferror(vlookup(AP19,{index(Output_HALO!$A:$ZZ,0,$C$3),index(Output_HALO!$A:$ZZ,0,$C$4)},2,0),"")</f>
        <v>0</v>
      </c>
      <c r="AQ20" s="353">
        <f t="array" ref="AQ20">iferror(vlookup(AQ19,{index(Output_HALO!$A:$ZZ,0,$C$3),index(Output_HALO!$A:$ZZ,0,$C$4)},2,0),"")</f>
        <v>0</v>
      </c>
      <c r="AR20" s="353">
        <f t="array" ref="AR20">iferror(vlookup(AR19,{index(Output_HALO!$A:$ZZ,0,$C$3),index(Output_HALO!$A:$ZZ,0,$C$4)},2,0),"")</f>
        <v>0</v>
      </c>
      <c r="AS20" s="353">
        <f t="array" ref="AS20">iferror(vlookup(AS19,{index(Output_HALO!$A:$ZZ,0,$C$3),index(Output_HALO!$A:$ZZ,0,$C$4)},2,0),"")</f>
        <v>0</v>
      </c>
      <c r="AT20" s="353">
        <f t="array" ref="AT20">iferror(vlookup(AT19,{index(Output_HALO!$A:$ZZ,0,$C$3),index(Output_HALO!$A:$ZZ,0,$C$4)},2,0),"")</f>
        <v>0</v>
      </c>
      <c r="AU20" s="353">
        <f t="array" ref="AU20">iferror(vlookup(AU19,{index(Output_HALO!$A:$ZZ,0,$C$3),index(Output_HALO!$A:$ZZ,0,$C$4)},2,0),"")</f>
        <v>0</v>
      </c>
      <c r="AV20" s="353">
        <f t="array" ref="AV20">iferror(vlookup(AV19,{index(Output_HALO!$A:$ZZ,0,$C$3),index(Output_HALO!$A:$ZZ,0,$C$4)},2,0),"")</f>
        <v>0</v>
      </c>
      <c r="AW20" s="353">
        <f t="array" ref="AW20">iferror(vlookup(AW19,{index(Output_HALO!$A:$ZZ,0,$C$3),index(Output_HALO!$A:$ZZ,0,$C$4)},2,0),"")</f>
        <v>0</v>
      </c>
      <c r="AX20" s="353">
        <f t="array" ref="AX20">iferror(vlookup(AX19,{index(Output_HALO!$A:$ZZ,0,$C$3),index(Output_HALO!$A:$ZZ,0,$C$4)},2,0),"")</f>
        <v>0</v>
      </c>
      <c r="AY20" s="353">
        <f t="array" ref="AY20">iferror(vlookup(AY19,{index(Output_HALO!$A:$ZZ,0,$C$3),index(Output_HALO!$A:$ZZ,0,$C$4)},2,0),"")</f>
        <v>0</v>
      </c>
      <c r="AZ20" s="353">
        <f t="array" ref="AZ20">iferror(vlookup(AZ19,{index(Output_HALO!$A:$ZZ,0,$C$3),index(Output_HALO!$A:$ZZ,0,$C$4)},2,0),"")</f>
        <v>0</v>
      </c>
      <c r="BA20" s="353">
        <f t="array" ref="BA20">iferror(vlookup(BA19,{index(Output_HALO!$A:$ZZ,0,$C$3),index(Output_HALO!$A:$ZZ,0,$C$4)},2,0),"")</f>
        <v>0</v>
      </c>
      <c r="BB20" s="353">
        <f t="array" ref="BB20">iferror(vlookup(BB19,{index(Output_HALO!$A:$ZZ,0,$C$3),index(Output_HALO!$A:$ZZ,0,$C$4)},2,0),"")</f>
        <v>0</v>
      </c>
      <c r="BC20" s="353">
        <f t="array" ref="BC20">iferror(vlookup(BC19,{index(Output_HALO!$A:$ZZ,0,$C$3),index(Output_HALO!$A:$ZZ,0,$C$4)},2,0),"")</f>
        <v>0</v>
      </c>
      <c r="BD20" s="353">
        <f t="array" ref="BD20">iferror(vlookup(BD19,{index(Output_HALO!$A:$ZZ,0,$C$3),index(Output_HALO!$A:$ZZ,0,$C$4)},2,0),"")</f>
        <v>0</v>
      </c>
      <c r="BE20" s="353">
        <f t="array" ref="BE20">iferror(vlookup(BE19,{index(Output_HALO!$A:$ZZ,0,$C$3),index(Output_HALO!$A:$ZZ,0,$C$4)},2,0),"")</f>
        <v>0</v>
      </c>
      <c r="BF20" s="353">
        <f t="array" ref="BF20">iferror(vlookup(BF19,{index(Output_HALO!$A:$ZZ,0,$C$3),index(Output_HALO!$A:$ZZ,0,$C$4)},2,0),"")</f>
        <v>0</v>
      </c>
      <c r="BG20" s="353">
        <f t="array" ref="BG20">iferror(vlookup(BG19,{index(Output_HALO!$A:$ZZ,0,$C$3),index(Output_HALO!$A:$ZZ,0,$C$4)},2,0),"")</f>
        <v>0</v>
      </c>
      <c r="BH20" s="353">
        <f t="array" ref="BH20">iferror(vlookup(BH19,{index(Output_HALO!$A:$ZZ,0,$C$3),index(Output_HALO!$A:$ZZ,0,$C$4)},2,0),"")</f>
        <v>0</v>
      </c>
      <c r="BI20" s="353">
        <f t="array" ref="BI20">iferror(vlookup(BI19,{index(Output_HALO!$A:$ZZ,0,$C$3),index(Output_HALO!$A:$ZZ,0,$C$4)},2,0),"")</f>
        <v>0</v>
      </c>
      <c r="BJ20" s="353">
        <f t="array" ref="BJ20">iferror(vlookup(BJ19,{index(Output_HALO!$A:$ZZ,0,$C$3),index(Output_HALO!$A:$ZZ,0,$C$4)},2,0),"")</f>
        <v>0</v>
      </c>
      <c r="BK20" s="353">
        <f t="array" ref="BK20">iferror(vlookup(BK19,{index(Output_HALO!$A:$ZZ,0,$C$3),index(Output_HALO!$A:$ZZ,0,$C$4)},2,0),"")</f>
        <v>0</v>
      </c>
      <c r="BL20" s="353">
        <f t="array" ref="BL20">iferror(vlookup(BL19,{index(Output_HALO!$A:$ZZ,0,$C$3),index(Output_HALO!$A:$ZZ,0,$C$4)},2,0),"")</f>
        <v>0</v>
      </c>
      <c r="BM20" s="353">
        <f t="array" ref="BM20">iferror(vlookup(BM19,{index(Output_HALO!$A:$ZZ,0,$C$3),index(Output_HALO!$A:$ZZ,0,$C$4)},2,0),"")</f>
        <v>0</v>
      </c>
      <c r="BN20" s="353">
        <f t="array" ref="BN20">iferror(vlookup(BN19,{index(Output_HALO!$A:$ZZ,0,$C$3),index(Output_HALO!$A:$ZZ,0,$C$4)},2,0),"")</f>
        <v>0</v>
      </c>
      <c r="BO20" s="353">
        <f t="array" ref="BO20">iferror(vlookup(BO19,{index(Output_HALO!$A:$ZZ,0,$C$3),index(Output_HALO!$A:$ZZ,0,$C$4)},2,0),"")</f>
        <v>0</v>
      </c>
      <c r="BP20" s="353">
        <f t="array" ref="BP20">iferror(vlookup(BP19,{index(Output_HALO!$A:$ZZ,0,$C$3),index(Output_HALO!$A:$ZZ,0,$C$4)},2,0),"")</f>
        <v>0</v>
      </c>
      <c r="BQ20" s="353">
        <f t="array" ref="BQ20">iferror(vlookup(BQ19,{index(Output_HALO!$A:$ZZ,0,$C$3),index(Output_HALO!$A:$ZZ,0,$C$4)},2,0),"")</f>
        <v>0</v>
      </c>
    </row>
    <row r="21">
      <c r="E21" s="354">
        <v>3.0</v>
      </c>
      <c r="F21" s="353" t="str">
        <f t="array" ref="F21">iferror(vlookup(F$12&amp;"-"&amp;$E21,{index(Output_HALO!$A:$ZZ,0,$C$8),index(Output_HALO!$A:$ZZ,0,$C$5)},2,0),"")</f>
        <v/>
      </c>
      <c r="G21" s="353" t="str">
        <f t="array" ref="G21">iferror(vlookup(G$12&amp;"-"&amp;$E21,{index(Output_HALO!$A:$ZZ,0,$C$8),index(Output_HALO!$A:$ZZ,0,$C$5)},2,0),"")</f>
        <v/>
      </c>
      <c r="H21" s="353" t="str">
        <f t="array" ref="H21">iferror(vlookup(H$12&amp;"-"&amp;$E21,{index(Output_HALO!$A:$ZZ,0,$C$8),index(Output_HALO!$A:$ZZ,0,$C$5)},2,0),"")</f>
        <v/>
      </c>
      <c r="I21" s="353" t="str">
        <f t="array" ref="I21">iferror(vlookup(I$12&amp;"-"&amp;$E21,{index(Output_HALO!$A:$ZZ,0,$C$8),index(Output_HALO!$A:$ZZ,0,$C$5)},2,0),"")</f>
        <v/>
      </c>
      <c r="J21" s="353" t="str">
        <f t="array" ref="J21">iferror(vlookup(J$12&amp;"-"&amp;$E21,{index(Output_HALO!$A:$ZZ,0,$C$8),index(Output_HALO!$A:$ZZ,0,$C$5)},2,0),"")</f>
        <v/>
      </c>
      <c r="K21" s="353" t="str">
        <f t="array" ref="K21">iferror(vlookup(K$12&amp;"-"&amp;$E21,{index(Output_HALO!$A:$ZZ,0,$C$8),index(Output_HALO!$A:$ZZ,0,$C$5)},2,0),"")</f>
        <v/>
      </c>
      <c r="L21" s="353" t="str">
        <f t="array" ref="L21">iferror(vlookup(L$12&amp;"-"&amp;$E21,{index(Output_HALO!$A:$ZZ,0,$C$8),index(Output_HALO!$A:$ZZ,0,$C$5)},2,0),"")</f>
        <v/>
      </c>
      <c r="M21" s="353" t="str">
        <f t="array" ref="M21">iferror(vlookup(M$12&amp;"-"&amp;$E21,{index(Output_HALO!$A:$ZZ,0,$C$8),index(Output_HALO!$A:$ZZ,0,$C$5)},2,0),"")</f>
        <v/>
      </c>
      <c r="N21" s="353" t="str">
        <f t="array" ref="N21">iferror(vlookup(N$12&amp;"-"&amp;$E21,{index(Output_HALO!$A:$ZZ,0,$C$8),index(Output_HALO!$A:$ZZ,0,$C$5)},2,0),"")</f>
        <v/>
      </c>
      <c r="O21" s="353" t="str">
        <f t="array" ref="O21">iferror(vlookup(O$12&amp;"-"&amp;$E21,{index(Output_HALO!$A:$ZZ,0,$C$8),index(Output_HALO!$A:$ZZ,0,$C$5)},2,0),"")</f>
        <v/>
      </c>
      <c r="P21" s="353" t="str">
        <f t="array" ref="P21">iferror(vlookup(P$12&amp;"-"&amp;$E21,{index(Output_HALO!$A:$ZZ,0,$C$8),index(Output_HALO!$A:$ZZ,0,$C$5)},2,0),"")</f>
        <v/>
      </c>
      <c r="Q21" s="353" t="str">
        <f t="array" ref="Q21">iferror(vlookup(Q$12&amp;"-"&amp;$E21,{index(Output_HALO!$A:$ZZ,0,$C$8),index(Output_HALO!$A:$ZZ,0,$C$5)},2,0),"")</f>
        <v/>
      </c>
      <c r="R21" s="353" t="str">
        <f t="array" ref="R21">iferror(vlookup(R$12&amp;"-"&amp;$E21,{index(Output_HALO!$A:$ZZ,0,$C$8),index(Output_HALO!$A:$ZZ,0,$C$5)},2,0),"")</f>
        <v/>
      </c>
      <c r="S21" s="353" t="str">
        <f t="array" ref="S21">iferror(vlookup(S$12&amp;"-"&amp;$E21,{index(Output_HALO!$A:$ZZ,0,$C$8),index(Output_HALO!$A:$ZZ,0,$C$5)},2,0),"")</f>
        <v/>
      </c>
      <c r="T21" s="353" t="str">
        <f t="array" ref="T21">iferror(vlookup(T$12&amp;"-"&amp;$E21,{index(Output_HALO!$A:$ZZ,0,$C$8),index(Output_HALO!$A:$ZZ,0,$C$5)},2,0),"")</f>
        <v/>
      </c>
      <c r="U21" s="353" t="str">
        <f t="array" ref="U21">iferror(vlookup(U$12&amp;"-"&amp;$E21,{index(Output_HALO!$A:$ZZ,0,$C$8),index(Output_HALO!$A:$ZZ,0,$C$5)},2,0),"")</f>
        <v/>
      </c>
      <c r="V21" s="353" t="str">
        <f t="array" ref="V21">iferror(vlookup(V$12&amp;"-"&amp;$E21,{index(Output_HALO!$A:$ZZ,0,$C$8),index(Output_HALO!$A:$ZZ,0,$C$5)},2,0),"")</f>
        <v/>
      </c>
      <c r="W21" s="353" t="str">
        <f t="array" ref="W21">iferror(vlookup(W$12&amp;"-"&amp;$E21,{index(Output_HALO!$A:$ZZ,0,$C$8),index(Output_HALO!$A:$ZZ,0,$C$5)},2,0),"")</f>
        <v/>
      </c>
      <c r="X21" s="353" t="str">
        <f t="array" ref="X21">iferror(vlookup(X$12&amp;"-"&amp;$E21,{index(Output_HALO!$A:$ZZ,0,$C$8),index(Output_HALO!$A:$ZZ,0,$C$5)},2,0),"")</f>
        <v/>
      </c>
      <c r="Y21" s="353" t="str">
        <f t="array" ref="Y21">iferror(vlookup(Y$12&amp;"-"&amp;$E21,{index(Output_HALO!$A:$ZZ,0,$C$8),index(Output_HALO!$A:$ZZ,0,$C$5)},2,0),"")</f>
        <v/>
      </c>
      <c r="Z21" s="353" t="str">
        <f t="array" ref="Z21">iferror(vlookup(Z$12&amp;"-"&amp;$E21,{index(Output_HALO!$A:$ZZ,0,$C$8),index(Output_HALO!$A:$ZZ,0,$C$5)},2,0),"")</f>
        <v/>
      </c>
      <c r="AA21" s="353" t="str">
        <f t="array" ref="AA21">iferror(vlookup(AA$12&amp;"-"&amp;$E21,{index(Output_HALO!$A:$ZZ,0,$C$8),index(Output_HALO!$A:$ZZ,0,$C$5)},2,0),"")</f>
        <v/>
      </c>
      <c r="AB21" s="353" t="str">
        <f t="array" ref="AB21">iferror(vlookup(AB$12&amp;"-"&amp;$E21,{index(Output_HALO!$A:$ZZ,0,$C$8),index(Output_HALO!$A:$ZZ,0,$C$5)},2,0),"")</f>
        <v/>
      </c>
      <c r="AC21" s="353" t="str">
        <f t="array" ref="AC21">iferror(vlookup(AC$12&amp;"-"&amp;$E21,{index(Output_HALO!$A:$ZZ,0,$C$8),index(Output_HALO!$A:$ZZ,0,$C$5)},2,0),"")</f>
        <v/>
      </c>
      <c r="AD21" s="353" t="str">
        <f t="array" ref="AD21">iferror(vlookup(AD$12&amp;"-"&amp;$E21,{index(Output_HALO!$A:$ZZ,0,$C$8),index(Output_HALO!$A:$ZZ,0,$C$5)},2,0),"")</f>
        <v/>
      </c>
      <c r="AE21" s="353" t="str">
        <f t="array" ref="AE21">iferror(vlookup(AE$12&amp;"-"&amp;$E21,{index(Output_HALO!$A:$ZZ,0,$C$8),index(Output_HALO!$A:$ZZ,0,$C$5)},2,0),"")</f>
        <v/>
      </c>
      <c r="AF21" s="353" t="str">
        <f t="array" ref="AF21">iferror(vlookup(AF$12&amp;"-"&amp;$E21,{index(Output_HALO!$A:$ZZ,0,$C$8),index(Output_HALO!$A:$ZZ,0,$C$5)},2,0),"")</f>
        <v/>
      </c>
      <c r="AG21" s="353" t="str">
        <f t="array" ref="AG21">iferror(vlookup(AG$12&amp;"-"&amp;$E21,{index(Output_HALO!$A:$ZZ,0,$C$8),index(Output_HALO!$A:$ZZ,0,$C$5)},2,0),"")</f>
        <v/>
      </c>
      <c r="AH21" s="353" t="str">
        <f t="array" ref="AH21">iferror(vlookup(AH$12&amp;"-"&amp;$E21,{index(Output_HALO!$A:$ZZ,0,$C$8),index(Output_HALO!$A:$ZZ,0,$C$5)},2,0),"")</f>
        <v/>
      </c>
      <c r="AI21" s="353" t="str">
        <f t="array" ref="AI21">iferror(vlookup(AI$12&amp;"-"&amp;$E21,{index(Output_HALO!$A:$ZZ,0,$C$8),index(Output_HALO!$A:$ZZ,0,$C$5)},2,0),"")</f>
        <v/>
      </c>
      <c r="AJ21" s="353" t="str">
        <f t="array" ref="AJ21">iferror(vlookup(AJ$12&amp;"-"&amp;$E21,{index(Output_HALO!$A:$ZZ,0,$C$8),index(Output_HALO!$A:$ZZ,0,$C$5)},2,0),"")</f>
        <v/>
      </c>
      <c r="AK21" s="353" t="str">
        <f t="array" ref="AK21">iferror(vlookup(AK$12&amp;"-"&amp;$E21,{index(Output_HALO!$A:$ZZ,0,$C$8),index(Output_HALO!$A:$ZZ,0,$C$5)},2,0),"")</f>
        <v/>
      </c>
      <c r="AL21" s="353" t="str">
        <f t="array" ref="AL21">iferror(vlookup(AL$12&amp;"-"&amp;$E21,{index(Output_HALO!$A:$ZZ,0,$C$8),index(Output_HALO!$A:$ZZ,0,$C$5)},2,0),"")</f>
        <v/>
      </c>
      <c r="AM21" s="353" t="str">
        <f t="array" ref="AM21">iferror(vlookup(AM$12&amp;"-"&amp;$E21,{index(Output_HALO!$A:$ZZ,0,$C$8),index(Output_HALO!$A:$ZZ,0,$C$5)},2,0),"")</f>
        <v/>
      </c>
      <c r="AN21" s="353" t="str">
        <f t="array" ref="AN21">iferror(vlookup(AN$12&amp;"-"&amp;$E21,{index(Output_HALO!$A:$ZZ,0,$C$8),index(Output_HALO!$A:$ZZ,0,$C$5)},2,0),"")</f>
        <v/>
      </c>
      <c r="AO21" s="353" t="str">
        <f t="array" ref="AO21">iferror(vlookup(AO$12&amp;"-"&amp;$E21,{index(Output_HALO!$A:$ZZ,0,$C$8),index(Output_HALO!$A:$ZZ,0,$C$5)},2,0),"")</f>
        <v/>
      </c>
      <c r="AP21" s="353" t="str">
        <f t="array" ref="AP21">iferror(vlookup(AP$12&amp;"-"&amp;$E21,{index(Output_HALO!$A:$ZZ,0,$C$8),index(Output_HALO!$A:$ZZ,0,$C$5)},2,0),"")</f>
        <v>F96</v>
      </c>
      <c r="AQ21" s="353" t="str">
        <f t="array" ref="AQ21">iferror(vlookup(AQ$12&amp;"-"&amp;$E21,{index(Output_HALO!$A:$ZZ,0,$C$8),index(Output_HALO!$A:$ZZ,0,$C$5)},2,0),"")</f>
        <v/>
      </c>
      <c r="AR21" s="353" t="str">
        <f t="array" ref="AR21">iferror(vlookup(AR$12&amp;"-"&amp;$E21,{index(Output_HALO!$A:$ZZ,0,$C$8),index(Output_HALO!$A:$ZZ,0,$C$5)},2,0),"")</f>
        <v/>
      </c>
      <c r="AS21" s="353" t="str">
        <f t="array" ref="AS21">iferror(vlookup(AS$12&amp;"-"&amp;$E21,{index(Output_HALO!$A:$ZZ,0,$C$8),index(Output_HALO!$A:$ZZ,0,$C$5)},2,0),"")</f>
        <v/>
      </c>
      <c r="AT21" s="353" t="str">
        <f t="array" ref="AT21">iferror(vlookup(AT$12&amp;"-"&amp;$E21,{index(Output_HALO!$A:$ZZ,0,$C$8),index(Output_HALO!$A:$ZZ,0,$C$5)},2,0),"")</f>
        <v/>
      </c>
      <c r="AU21" s="353" t="str">
        <f t="array" ref="AU21">iferror(vlookup(AU$12&amp;"-"&amp;$E21,{index(Output_HALO!$A:$ZZ,0,$C$8),index(Output_HALO!$A:$ZZ,0,$C$5)},2,0),"")</f>
        <v/>
      </c>
      <c r="AV21" s="353" t="str">
        <f t="array" ref="AV21">iferror(vlookup(AV$12&amp;"-"&amp;$E21,{index(Output_HALO!$A:$ZZ,0,$C$8),index(Output_HALO!$A:$ZZ,0,$C$5)},2,0),"")</f>
        <v/>
      </c>
      <c r="AW21" s="353" t="str">
        <f t="array" ref="AW21">iferror(vlookup(AW$12&amp;"-"&amp;$E21,{index(Output_HALO!$A:$ZZ,0,$C$8),index(Output_HALO!$A:$ZZ,0,$C$5)},2,0),"")</f>
        <v/>
      </c>
      <c r="AX21" s="353" t="str">
        <f t="array" ref="AX21">iferror(vlookup(AX$12&amp;"-"&amp;$E21,{index(Output_HALO!$A:$ZZ,0,$C$8),index(Output_HALO!$A:$ZZ,0,$C$5)},2,0),"")</f>
        <v/>
      </c>
      <c r="AY21" s="353" t="str">
        <f t="array" ref="AY21">iferror(vlookup(AY$12&amp;"-"&amp;$E21,{index(Output_HALO!$A:$ZZ,0,$C$8),index(Output_HALO!$A:$ZZ,0,$C$5)},2,0),"")</f>
        <v/>
      </c>
      <c r="AZ21" s="353" t="str">
        <f t="array" ref="AZ21">iferror(vlookup(AZ$12&amp;"-"&amp;$E21,{index(Output_HALO!$A:$ZZ,0,$C$8),index(Output_HALO!$A:$ZZ,0,$C$5)},2,0),"")</f>
        <v/>
      </c>
      <c r="BA21" s="353" t="str">
        <f t="array" ref="BA21">iferror(vlookup(BA$12&amp;"-"&amp;$E21,{index(Output_HALO!$A:$ZZ,0,$C$8),index(Output_HALO!$A:$ZZ,0,$C$5)},2,0),"")</f>
        <v/>
      </c>
      <c r="BB21" s="353" t="str">
        <f t="array" ref="BB21">iferror(vlookup(BB$12&amp;"-"&amp;$E21,{index(Output_HALO!$A:$ZZ,0,$C$8),index(Output_HALO!$A:$ZZ,0,$C$5)},2,0),"")</f>
        <v/>
      </c>
      <c r="BC21" s="353" t="str">
        <f t="array" ref="BC21">iferror(vlookup(BC$12&amp;"-"&amp;$E21,{index(Output_HALO!$A:$ZZ,0,$C$8),index(Output_HALO!$A:$ZZ,0,$C$5)},2,0),"")</f>
        <v/>
      </c>
      <c r="BD21" s="353" t="str">
        <f t="array" ref="BD21">iferror(vlookup(BD$12&amp;"-"&amp;$E21,{index(Output_HALO!$A:$ZZ,0,$C$8),index(Output_HALO!$A:$ZZ,0,$C$5)},2,0),"")</f>
        <v/>
      </c>
      <c r="BE21" s="353" t="str">
        <f t="array" ref="BE21">iferror(vlookup(BE$12&amp;"-"&amp;$E21,{index(Output_HALO!$A:$ZZ,0,$C$8),index(Output_HALO!$A:$ZZ,0,$C$5)},2,0),"")</f>
        <v/>
      </c>
      <c r="BF21" s="353" t="str">
        <f t="array" ref="BF21">iferror(vlookup(BF$12&amp;"-"&amp;$E21,{index(Output_HALO!$A:$ZZ,0,$C$8),index(Output_HALO!$A:$ZZ,0,$C$5)},2,0),"")</f>
        <v/>
      </c>
      <c r="BG21" s="353" t="str">
        <f t="array" ref="BG21">iferror(vlookup(BG$12&amp;"-"&amp;$E21,{index(Output_HALO!$A:$ZZ,0,$C$8),index(Output_HALO!$A:$ZZ,0,$C$5)},2,0),"")</f>
        <v/>
      </c>
      <c r="BH21" s="353" t="str">
        <f t="array" ref="BH21">iferror(vlookup(BH$12&amp;"-"&amp;$E21,{index(Output_HALO!$A:$ZZ,0,$C$8),index(Output_HALO!$A:$ZZ,0,$C$5)},2,0),"")</f>
        <v/>
      </c>
      <c r="BI21" s="353" t="str">
        <f t="array" ref="BI21">iferror(vlookup(BI$12&amp;"-"&amp;$E21,{index(Output_HALO!$A:$ZZ,0,$C$8),index(Output_HALO!$A:$ZZ,0,$C$5)},2,0),"")</f>
        <v/>
      </c>
      <c r="BJ21" s="353" t="str">
        <f t="array" ref="BJ21">iferror(vlookup(BJ$12&amp;"-"&amp;$E21,{index(Output_HALO!$A:$ZZ,0,$C$8),index(Output_HALO!$A:$ZZ,0,$C$5)},2,0),"")</f>
        <v/>
      </c>
      <c r="BK21" s="353" t="str">
        <f t="array" ref="BK21">iferror(vlookup(BK$12&amp;"-"&amp;$E21,{index(Output_HALO!$A:$ZZ,0,$C$8),index(Output_HALO!$A:$ZZ,0,$C$5)},2,0),"")</f>
        <v/>
      </c>
      <c r="BL21" s="353" t="str">
        <f t="array" ref="BL21">iferror(vlookup(BL$12&amp;"-"&amp;$E21,{index(Output_HALO!$A:$ZZ,0,$C$8),index(Output_HALO!$A:$ZZ,0,$C$5)},2,0),"")</f>
        <v/>
      </c>
      <c r="BM21" s="353" t="str">
        <f t="array" ref="BM21">iferror(vlookup(BM$12&amp;"-"&amp;$E21,{index(Output_HALO!$A:$ZZ,0,$C$8),index(Output_HALO!$A:$ZZ,0,$C$5)},2,0),"")</f>
        <v/>
      </c>
      <c r="BN21" s="353" t="str">
        <f t="array" ref="BN21">iferror(vlookup(BN$12&amp;"-"&amp;$E21,{index(Output_HALO!$A:$ZZ,0,$C$8),index(Output_HALO!$A:$ZZ,0,$C$5)},2,0),"")</f>
        <v/>
      </c>
      <c r="BO21" s="353" t="str">
        <f t="array" ref="BO21">iferror(vlookup(BO$12&amp;"-"&amp;$E21,{index(Output_HALO!$A:$ZZ,0,$C$8),index(Output_HALO!$A:$ZZ,0,$C$5)},2,0),"")</f>
        <v/>
      </c>
      <c r="BP21" s="353" t="str">
        <f t="array" ref="BP21">iferror(vlookup(BP$12&amp;"-"&amp;$E21,{index(Output_HALO!$A:$ZZ,0,$C$8),index(Output_HALO!$A:$ZZ,0,$C$5)},2,0),"")</f>
        <v/>
      </c>
      <c r="BQ21" s="353" t="str">
        <f t="array" ref="BQ21">iferror(vlookup(BQ$12&amp;"-"&amp;$E21,{index(Output_HALO!$A:$ZZ,0,$C$8),index(Output_HALO!$A:$ZZ,0,$C$5)},2,0),"")</f>
        <v/>
      </c>
    </row>
    <row r="22">
      <c r="E22" s="354">
        <v>2.0</v>
      </c>
      <c r="F22" s="353" t="str">
        <f t="array" ref="F22">iferror(vlookup(F$12&amp;"-"&amp;$E22,{index(Output_HALO!$A:$ZZ,0,$C$8),index(Output_HALO!$A:$ZZ,0,$C$3)},2,0),"")</f>
        <v/>
      </c>
      <c r="G22" s="353" t="str">
        <f t="array" ref="G22">iferror(vlookup(G$12&amp;"-"&amp;$E22,{index(Output_HALO!$A:$ZZ,0,$C$8),index(Output_HALO!$A:$ZZ,0,$C$3)},2,0),"")</f>
        <v/>
      </c>
      <c r="H22" s="353" t="str">
        <f t="array" ref="H22">iferror(vlookup(H$12&amp;"-"&amp;$E22,{index(Output_HALO!$A:$ZZ,0,$C$8),index(Output_HALO!$A:$ZZ,0,$C$3)},2,0),"")</f>
        <v/>
      </c>
      <c r="I22" s="353" t="str">
        <f t="array" ref="I22">iferror(vlookup(I$12&amp;"-"&amp;$E22,{index(Output_HALO!$A:$ZZ,0,$C$8),index(Output_HALO!$A:$ZZ,0,$C$3)},2,0),"")</f>
        <v/>
      </c>
      <c r="J22" s="353" t="str">
        <f t="array" ref="J22">iferror(vlookup(J$12&amp;"-"&amp;$E22,{index(Output_HALO!$A:$ZZ,0,$C$8),index(Output_HALO!$A:$ZZ,0,$C$3)},2,0),"")</f>
        <v/>
      </c>
      <c r="K22" s="353" t="str">
        <f t="array" ref="K22">iferror(vlookup(K$12&amp;"-"&amp;$E22,{index(Output_HALO!$A:$ZZ,0,$C$8),index(Output_HALO!$A:$ZZ,0,$C$3)},2,0),"")</f>
        <v>Factor Liner Small1</v>
      </c>
      <c r="L22" s="353" t="str">
        <f t="array" ref="L22">iferror(vlookup(L$12&amp;"-"&amp;$E22,{index(Output_HALO!$A:$ZZ,0,$C$8),index(Output_HALO!$A:$ZZ,0,$C$3)},2,0),"")</f>
        <v>Factor Liner Medium1</v>
      </c>
      <c r="M22" s="353" t="str">
        <f t="array" ref="M22">iferror(vlookup(M$12&amp;"-"&amp;$E22,{index(Output_HALO!$A:$ZZ,0,$C$8),index(Output_HALO!$A:$ZZ,0,$C$3)},2,0),"")</f>
        <v>Factor Liner Small2</v>
      </c>
      <c r="N22" s="353" t="str">
        <f t="array" ref="N22">iferror(vlookup(N$12&amp;"-"&amp;$E22,{index(Output_HALO!$A:$ZZ,0,$C$8),index(Output_HALO!$A:$ZZ,0,$C$3)},2,0),"")</f>
        <v>Factor Liner Medium2</v>
      </c>
      <c r="O22" s="353" t="str">
        <f t="array" ref="O22">iferror(vlookup(O$12&amp;"-"&amp;$E22,{index(Output_HALO!$A:$ZZ,0,$C$8),index(Output_HALO!$A:$ZZ,0,$C$3)},2,0),"")</f>
        <v/>
      </c>
      <c r="P22" s="353" t="str">
        <f t="array" ref="P22">iferror(vlookup(P$12&amp;"-"&amp;$E22,{index(Output_HALO!$A:$ZZ,0,$C$8),index(Output_HALO!$A:$ZZ,0,$C$3)},2,0),"")</f>
        <v/>
      </c>
      <c r="Q22" s="353" t="str">
        <f t="array" ref="Q22">iferror(vlookup(Q$12&amp;"-"&amp;$E22,{index(Output_HALO!$A:$ZZ,0,$C$8),index(Output_HALO!$A:$ZZ,0,$C$3)},2,0),"")</f>
        <v>565221 - Laksebowl med citrus-miso</v>
      </c>
      <c r="R22" s="353" t="str">
        <f t="array" ref="R22">iferror(vlookup(R$12&amp;"-"&amp;$E22,{index(Output_HALO!$A:$ZZ,0,$C$8),index(Output_HALO!$A:$ZZ,0,$C$3)},2,0),"")</f>
        <v>565178 - Vestfrikansk-inspireret peanut-kyllingecurry</v>
      </c>
      <c r="S22" s="353" t="str">
        <f t="array" ref="S22">iferror(vlookup(S$12&amp;"-"&amp;$E22,{index(Output_HALO!$A:$ZZ,0,$C$8),index(Output_HALO!$A:$ZZ,0,$C$3)},2,0),"")</f>
        <v>565091 - Krydret hakket oksekød med jalapenos</v>
      </c>
      <c r="T22" s="353" t="str">
        <f t="array" ref="T22">iferror(vlookup(T$12&amp;"-"&amp;$E22,{index(Output_HALO!$A:$ZZ,0,$C$8),index(Output_HALO!$A:$ZZ,0,$C$3)},2,0),"")</f>
        <v/>
      </c>
      <c r="U22" s="353" t="str">
        <f t="array" ref="U22">iferror(vlookup(U$12&amp;"-"&amp;$E22,{index(Output_HALO!$A:$ZZ,0,$C$8),index(Output_HALO!$A:$ZZ,0,$C$3)},2,0),"")</f>
        <v/>
      </c>
      <c r="V22" s="353" t="str">
        <f t="array" ref="V22">iferror(vlookup(V$12&amp;"-"&amp;$E22,{index(Output_HALO!$A:$ZZ,0,$C$8),index(Output_HALO!$A:$ZZ,0,$C$3)},2,0),"")</f>
        <v/>
      </c>
      <c r="W22" s="353" t="str">
        <f t="array" ref="W22">iferror(vlookup(W$12&amp;"-"&amp;$E22,{index(Output_HALO!$A:$ZZ,0,$C$8),index(Output_HALO!$A:$ZZ,0,$C$3)},2,0),"")</f>
        <v>565211 - Grillet kylling med ingefær og hvidløg</v>
      </c>
      <c r="X22" s="353" t="str">
        <f t="array" ref="X22">iferror(vlookup(X$12&amp;"-"&amp;$E22,{index(Output_HALO!$A:$ZZ,0,$C$8),index(Output_HALO!$A:$ZZ,0,$C$3)},2,0),"")</f>
        <v>565309 - Braiseret oksekød i urtesky</v>
      </c>
      <c r="Y22" s="353" t="str">
        <f t="array" ref="Y22">iferror(vlookup(Y$12&amp;"-"&amp;$E22,{index(Output_HALO!$A:$ZZ,0,$C$8),index(Output_HALO!$A:$ZZ,0,$C$3)},2,0),"")</f>
        <v>565095 - Svinemørbrad i ancho- og chilisauce</v>
      </c>
      <c r="Z22" s="353" t="str">
        <f t="array" ref="Z22">iferror(vlookup(Z$12&amp;"-"&amp;$E22,{index(Output_HALO!$A:$ZZ,0,$C$8),index(Output_HALO!$A:$ZZ,0,$C$3)},2,0),"")</f>
        <v/>
      </c>
      <c r="AA22" s="353" t="str">
        <f t="array" ref="AA22">iferror(vlookup(AA$12&amp;"-"&amp;$E22,{index(Output_HALO!$A:$ZZ,0,$C$8),index(Output_HALO!$A:$ZZ,0,$C$3)},2,0),"")</f>
        <v/>
      </c>
      <c r="AB22" s="353" t="str">
        <f t="array" ref="AB22">iferror(vlookup(AB$12&amp;"-"&amp;$E22,{index(Output_HALO!$A:$ZZ,0,$C$8),index(Output_HALO!$A:$ZZ,0,$C$3)},2,0),"")</f>
        <v/>
      </c>
      <c r="AC22" s="353" t="str">
        <f t="array" ref="AC22">iferror(vlookup(AC$12&amp;"-"&amp;$E22,{index(Output_HALO!$A:$ZZ,0,$C$8),index(Output_HALO!$A:$ZZ,0,$C$3)},2,0),"")</f>
        <v>565095 - Schweinefilet in würziger Ancho-Chili-Sauce</v>
      </c>
      <c r="AD22" s="353" t="str">
        <f t="array" ref="AD22">iferror(vlookup(AD$12&amp;"-"&amp;$E22,{index(Output_HALO!$A:$ZZ,0,$C$8),index(Output_HALO!$A:$ZZ,0,$C$3)},2,0),"")</f>
        <v>565252 - Rinderragù mit sonnengetrockneten Tomaten und Pasta</v>
      </c>
      <c r="AE22" s="353" t="str">
        <f t="array" ref="AE22">iferror(vlookup(AE$12&amp;"-"&amp;$E22,{index(Output_HALO!$A:$ZZ,0,$C$8),index(Output_HALO!$A:$ZZ,0,$C$3)},2,0),"")</f>
        <v>565091 - Scharfes Rinderhack mit Jalapeños</v>
      </c>
      <c r="AF22" s="353" t="str">
        <f t="array" ref="AF22">iferror(vlookup(AF$12&amp;"-"&amp;$E22,{index(Output_HALO!$A:$ZZ,0,$C$8),index(Output_HALO!$A:$ZZ,0,$C$3)},2,0),"")</f>
        <v>565043 - Würziges Hähnchen mit Jalapeño, Limette und Cheddar</v>
      </c>
      <c r="AG22" s="353" t="str">
        <f t="array" ref="AG22">iferror(vlookup(AG$12&amp;"-"&amp;$E22,{index(Output_HALO!$A:$ZZ,0,$C$8),index(Output_HALO!$A:$ZZ,0,$C$3)},2,0),"")</f>
        <v>565072 - Grillet kylling med ratatouille</v>
      </c>
      <c r="AH22" s="353" t="str">
        <f t="array" ref="AH22">iferror(vlookup(AH$12&amp;"-"&amp;$E22,{index(Output_HALO!$A:$ZZ,0,$C$8),index(Output_HALO!$A:$ZZ,0,$C$3)},2,0),"")</f>
        <v/>
      </c>
      <c r="AI22" s="353" t="str">
        <f t="array" ref="AI22">iferror(vlookup(AI$12&amp;"-"&amp;$E22,{index(Output_HALO!$A:$ZZ,0,$C$8),index(Output_HALO!$A:$ZZ,0,$C$3)},2,0),"")</f>
        <v/>
      </c>
      <c r="AJ22" s="353" t="str">
        <f t="array" ref="AJ22">iferror(vlookup(AJ$12&amp;"-"&amp;$E22,{index(Output_HALO!$A:$ZZ,0,$C$8),index(Output_HALO!$A:$ZZ,0,$C$3)},2,0),"")</f>
        <v/>
      </c>
      <c r="AK22" s="353" t="str">
        <f t="array" ref="AK22">iferror(vlookup(AK$12&amp;"-"&amp;$E22,{index(Output_HALO!$A:$ZZ,0,$C$8),index(Output_HALO!$A:$ZZ,0,$C$3)},2,0),"")</f>
        <v/>
      </c>
      <c r="AL22" s="353" t="str">
        <f t="array" ref="AL22">iferror(vlookup(AL$12&amp;"-"&amp;$E22,{index(Output_HALO!$A:$ZZ,0,$C$8),index(Output_HALO!$A:$ZZ,0,$C$3)},2,0),"")</f>
        <v/>
      </c>
      <c r="AM22" s="353" t="str">
        <f t="array" ref="AM22">iferror(vlookup(AM$12&amp;"-"&amp;$E22,{index(Output_HALO!$A:$ZZ,0,$C$8),index(Output_HALO!$A:$ZZ,0,$C$3)},2,0),"")</f>
        <v>205 - FACTOR_ Ginger Lemon Apple Wellness Shot</v>
      </c>
      <c r="AN22" s="353" t="str">
        <f t="array" ref="AN22">iferror(vlookup(AN$12&amp;"-"&amp;$E22,{index(Output_HALO!$A:$ZZ,0,$C$8),index(Output_HALO!$A:$ZZ,0,$C$3)},2,0),"")</f>
        <v>220 - Free4Life_ Ginger Lemon Apple Wellness Shot_Single</v>
      </c>
      <c r="AO22" s="353" t="str">
        <f t="array" ref="AO22">iferror(vlookup(AO$12&amp;"-"&amp;$E22,{index(Output_HALO!$A:$ZZ,0,$C$8),index(Output_HALO!$A:$ZZ,0,$C$3)},2,0),"")</f>
        <v>565164 - Hähnchen mit karamellisierten Zwiebeln &amp; Emmentaler-Fondue</v>
      </c>
      <c r="AP22" s="353" t="str">
        <f t="array" ref="AP22">iferror(vlookup(AP$12&amp;"-"&amp;$E22,{index(Output_HALO!$A:$ZZ,0,$C$8),index(Output_HALO!$A:$ZZ,0,$C$3)},2,0),"")</f>
        <v/>
      </c>
      <c r="AQ22" s="353" t="str">
        <f t="array" ref="AQ22">iferror(vlookup(AQ$12&amp;"-"&amp;$E22,{index(Output_HALO!$A:$ZZ,0,$C$8),index(Output_HALO!$A:$ZZ,0,$C$3)},2,0),"")</f>
        <v/>
      </c>
      <c r="AR22" s="353" t="str">
        <f t="array" ref="AR22">iferror(vlookup(AR$12&amp;"-"&amp;$E22,{index(Output_HALO!$A:$ZZ,0,$C$8),index(Output_HALO!$A:$ZZ,0,$C$3)},2,0),"")</f>
        <v/>
      </c>
      <c r="AS22" s="353" t="str">
        <f t="array" ref="AS22">iferror(vlookup(AS$12&amp;"-"&amp;$E22,{index(Output_HALO!$A:$ZZ,0,$C$8),index(Output_HALO!$A:$ZZ,0,$C$3)},2,0),"")</f>
        <v/>
      </c>
      <c r="AT22" s="353" t="str">
        <f t="array" ref="AT22">iferror(vlookup(AT$12&amp;"-"&amp;$E22,{index(Output_HALO!$A:$ZZ,0,$C$8),index(Output_HALO!$A:$ZZ,0,$C$3)},2,0),"")</f>
        <v>565119 - Gegrilltes Hähnchen mit Knoblauch-Kräutern</v>
      </c>
      <c r="AU22" s="353" t="str">
        <f t="array" ref="AU22">iferror(vlookup(AU$12&amp;"-"&amp;$E22,{index(Output_HALO!$A:$ZZ,0,$C$8),index(Output_HALO!$A:$ZZ,0,$C$3)},2,0),"")</f>
        <v>710 - FACTOR_ Turmeric Cayenne Pineapple Ginger Shot</v>
      </c>
      <c r="AV22" s="353" t="str">
        <f t="array" ref="AV22">iferror(vlookup(AV$12&amp;"-"&amp;$E22,{index(Output_HALO!$A:$ZZ,0,$C$8),index(Output_HALO!$A:$ZZ,0,$C$3)},2,0),"")</f>
        <v>209 - FACTOR_ Spirulina Ginger Lime Ginger Shot</v>
      </c>
      <c r="AW22" s="353" t="str">
        <f t="array" ref="AW22">iferror(vlookup(AW$12&amp;"-"&amp;$E22,{index(Output_HALO!$A:$ZZ,0,$C$8),index(Output_HALO!$A:$ZZ,0,$C$3)},2,0),"")</f>
        <v>221 - Free4Life_ Spirulina Ginger Lime Ginger Shot_Single</v>
      </c>
      <c r="AX22" s="353" t="str">
        <f t="array" ref="AX22">iferror(vlookup(AX$12&amp;"-"&amp;$E22,{index(Output_HALO!$A:$ZZ,0,$C$8),index(Output_HALO!$A:$ZZ,0,$C$3)},2,0),"")</f>
        <v/>
      </c>
      <c r="AY22" s="353" t="str">
        <f t="array" ref="AY22">iferror(vlookup(AY$12&amp;"-"&amp;$E22,{index(Output_HALO!$A:$ZZ,0,$C$8),index(Output_HALO!$A:$ZZ,0,$C$3)},2,0),"")</f>
        <v/>
      </c>
      <c r="AZ22" s="353" t="str">
        <f t="array" ref="AZ22">iferror(vlookup(AZ$12&amp;"-"&amp;$E22,{index(Output_HALO!$A:$ZZ,0,$C$8),index(Output_HALO!$A:$ZZ,0,$C$3)},2,0),"")</f>
        <v/>
      </c>
      <c r="BA22" s="353" t="str">
        <f t="array" ref="BA22">iferror(vlookup(BA$12&amp;"-"&amp;$E22,{index(Output_HALO!$A:$ZZ,0,$C$8),index(Output_HALO!$A:$ZZ,0,$C$3)},2,0),"")</f>
        <v/>
      </c>
      <c r="BB22" s="353" t="str">
        <f t="array" ref="BB22">iferror(vlookup(BB$12&amp;"-"&amp;$E22,{index(Output_HALO!$A:$ZZ,0,$C$8),index(Output_HALO!$A:$ZZ,0,$C$3)},2,0),"")</f>
        <v>210 - FACTOR_ Turmeric Cayenne Pineapple Ginger Shot</v>
      </c>
      <c r="BC22" s="353" t="str">
        <f t="array" ref="BC22">iferror(vlookup(BC$12&amp;"-"&amp;$E22,{index(Output_HALO!$A:$ZZ,0,$C$8),index(Output_HALO!$A:$ZZ,0,$C$3)},2,0),"")</f>
        <v>222 - Free4Life_ Turmeric Cayenne Pineapple Ginger Shot_Single</v>
      </c>
      <c r="BD22" s="353" t="str">
        <f t="array" ref="BD22">iferror(vlookup(BD$12&amp;"-"&amp;$E22,{index(Output_HALO!$A:$ZZ,0,$C$8),index(Output_HALO!$A:$ZZ,0,$C$3)},2,0),"")</f>
        <v>565141 - Zucchini-Paprika-Ratatouille</v>
      </c>
      <c r="BE22" s="353" t="str">
        <f t="array" ref="BE22">iferror(vlookup(BE$12&amp;"-"&amp;$E22,{index(Output_HALO!$A:$ZZ,0,$C$8),index(Output_HALO!$A:$ZZ,0,$C$3)},2,0),"")</f>
        <v/>
      </c>
      <c r="BF22" s="353" t="str">
        <f t="array" ref="BF22">iferror(vlookup(BF$12&amp;"-"&amp;$E22,{index(Output_HALO!$A:$ZZ,0,$C$8),index(Output_HALO!$A:$ZZ,0,$C$3)},2,0),"")</f>
        <v/>
      </c>
      <c r="BG22" s="353" t="str">
        <f t="array" ref="BG22">iferror(vlookup(BG$12&amp;"-"&amp;$E22,{index(Output_HALO!$A:$ZZ,0,$C$8),index(Output_HALO!$A:$ZZ,0,$C$3)},2,0),"")</f>
        <v/>
      </c>
      <c r="BH22" s="353" t="str">
        <f t="array" ref="BH22">iferror(vlookup(BH$12&amp;"-"&amp;$E22,{index(Output_HALO!$A:$ZZ,0,$C$8),index(Output_HALO!$A:$ZZ,0,$C$3)},2,0),"")</f>
        <v>565244 - Cremiges Tomaten-Risotto</v>
      </c>
      <c r="BI22" s="353" t="str">
        <f t="array" ref="BI22">iferror(vlookup(BI$12&amp;"-"&amp;$E22,{index(Output_HALO!$A:$ZZ,0,$C$8),index(Output_HALO!$A:$ZZ,0,$C$3)},2,0),"")</f>
        <v>FA-DE Fourth Box - Flyer</v>
      </c>
      <c r="BJ22" s="353" t="str">
        <f t="array" ref="BJ22">iferror(vlookup(BJ$12&amp;"-"&amp;$E22,{index(Output_HALO!$A:$ZZ,0,$C$8),index(Output_HALO!$A:$ZZ,0,$C$3)},2,0),"")</f>
        <v>FA-DE Third Box - Socks</v>
      </c>
      <c r="BK22" s="353" t="str">
        <f t="array" ref="BK22">iferror(vlookup(BK$12&amp;"-"&amp;$E22,{index(Output_HALO!$A:$ZZ,0,$C$8),index(Output_HALO!$A:$ZZ,0,$C$3)},2,0),"")</f>
        <v>FA-DE Second Box - Flyer</v>
      </c>
      <c r="BL22" s="353" t="str">
        <f t="array" ref="BL22">iferror(vlookup(BL$12&amp;"-"&amp;$E22,{index(Output_HALO!$A:$ZZ,0,$C$8),index(Output_HALO!$A:$ZZ,0,$C$3)},2,0),"")</f>
        <v>FA-DE Welcome Booklet</v>
      </c>
      <c r="BM22" s="353" t="str">
        <f t="array" ref="BM22">iferror(vlookup(BM$12&amp;"-"&amp;$E22,{index(Output_HALO!$A:$ZZ,0,$C$8),index(Output_HALO!$A:$ZZ,0,$C$3)},2,0),"")</f>
        <v>IcePack1</v>
      </c>
      <c r="BN22" s="353" t="str">
        <f t="array" ref="BN22">iferror(vlookup(BN$12&amp;"-"&amp;$E22,{index(Output_HALO!$A:$ZZ,0,$C$8),index(Output_HALO!$A:$ZZ,0,$C$3)},2,0),"")</f>
        <v/>
      </c>
      <c r="BO22" s="353" t="str">
        <f t="array" ref="BO22">iferror(vlookup(BO$12&amp;"-"&amp;$E22,{index(Output_HALO!$A:$ZZ,0,$C$8),index(Output_HALO!$A:$ZZ,0,$C$3)},2,0),"")</f>
        <v/>
      </c>
      <c r="BP22" s="353" t="str">
        <f t="array" ref="BP22">iferror(vlookup(BP$12&amp;"-"&amp;$E22,{index(Output_HALO!$A:$ZZ,0,$C$8),index(Output_HALO!$A:$ZZ,0,$C$3)},2,0),"")</f>
        <v/>
      </c>
      <c r="BQ22" s="353" t="str">
        <f t="array" ref="BQ22">iferror(vlookup(BQ$12&amp;"-"&amp;$E22,{index(Output_HALO!$A:$ZZ,0,$C$8),index(Output_HALO!$A:$ZZ,0,$C$3)},2,0),"")</f>
        <v/>
      </c>
    </row>
    <row r="23">
      <c r="E23" s="354">
        <v>2.0</v>
      </c>
      <c r="F23" s="353">
        <f t="array" ref="F23">iferror(vlookup(F22,{index(Output_HALO!$A:$ZZ,0,$C$3),index(Output_HALO!$A:$ZZ,0,$C$4)},2,0),"")</f>
        <v>0</v>
      </c>
      <c r="G23" s="353">
        <f t="array" ref="G23">iferror(vlookup(G22,{index(Output_HALO!$A:$ZZ,0,$C$3),index(Output_HALO!$A:$ZZ,0,$C$4)},2,0),"")</f>
        <v>0</v>
      </c>
      <c r="H23" s="353">
        <f t="array" ref="H23">iferror(vlookup(H22,{index(Output_HALO!$A:$ZZ,0,$C$3),index(Output_HALO!$A:$ZZ,0,$C$4)},2,0),"")</f>
        <v>0</v>
      </c>
      <c r="I23" s="353">
        <f t="array" ref="I23">iferror(vlookup(I22,{index(Output_HALO!$A:$ZZ,0,$C$3),index(Output_HALO!$A:$ZZ,0,$C$4)},2,0),"")</f>
        <v>0</v>
      </c>
      <c r="J23" s="353">
        <f t="array" ref="J23">iferror(vlookup(J22,{index(Output_HALO!$A:$ZZ,0,$C$3),index(Output_HALO!$A:$ZZ,0,$C$4)},2,0),"")</f>
        <v>0</v>
      </c>
      <c r="K23" s="353">
        <f t="array" ref="K23">iferror(vlookup(K22,{index(Output_HALO!$A:$ZZ,0,$C$3),index(Output_HALO!$A:$ZZ,0,$C$4)},2,0),"")</f>
        <v>0</v>
      </c>
      <c r="L23" s="353">
        <f t="array" ref="L23">iferror(vlookup(L22,{index(Output_HALO!$A:$ZZ,0,$C$3),index(Output_HALO!$A:$ZZ,0,$C$4)},2,0),"")</f>
        <v>0</v>
      </c>
      <c r="M23" s="353">
        <f t="array" ref="M23">iferror(vlookup(M22,{index(Output_HALO!$A:$ZZ,0,$C$3),index(Output_HALO!$A:$ZZ,0,$C$4)},2,0),"")</f>
        <v>0</v>
      </c>
      <c r="N23" s="353">
        <f t="array" ref="N23">iferror(vlookup(N22,{index(Output_HALO!$A:$ZZ,0,$C$3),index(Output_HALO!$A:$ZZ,0,$C$4)},2,0),"")</f>
        <v>0</v>
      </c>
      <c r="O23" s="353">
        <f t="array" ref="O23">iferror(vlookup(O22,{index(Output_HALO!$A:$ZZ,0,$C$3),index(Output_HALO!$A:$ZZ,0,$C$4)},2,0),"")</f>
        <v>0</v>
      </c>
      <c r="P23" s="353">
        <f t="array" ref="P23">iferror(vlookup(P22,{index(Output_HALO!$A:$ZZ,0,$C$3),index(Output_HALO!$A:$ZZ,0,$C$4)},2,0),"")</f>
        <v>0</v>
      </c>
      <c r="Q23" s="353">
        <f t="array" ref="Q23">iferror(vlookup(Q22,{index(Output_HALO!$A:$ZZ,0,$C$3),index(Output_HALO!$A:$ZZ,0,$C$4)},2,0),"")</f>
        <v>625</v>
      </c>
      <c r="R23" s="353">
        <f t="array" ref="R23">iferror(vlookup(R22,{index(Output_HALO!$A:$ZZ,0,$C$3),index(Output_HALO!$A:$ZZ,0,$C$4)},2,0),"")</f>
        <v>2382</v>
      </c>
      <c r="S23" s="353">
        <f t="array" ref="S23">iferror(vlookup(S22,{index(Output_HALO!$A:$ZZ,0,$C$3),index(Output_HALO!$A:$ZZ,0,$C$4)},2,0),"")</f>
        <v>685</v>
      </c>
      <c r="T23" s="353">
        <f t="array" ref="T23">iferror(vlookup(T22,{index(Output_HALO!$A:$ZZ,0,$C$3),index(Output_HALO!$A:$ZZ,0,$C$4)},2,0),"")</f>
        <v>0</v>
      </c>
      <c r="U23" s="353">
        <f t="array" ref="U23">iferror(vlookup(U22,{index(Output_HALO!$A:$ZZ,0,$C$3),index(Output_HALO!$A:$ZZ,0,$C$4)},2,0),"")</f>
        <v>0</v>
      </c>
      <c r="V23" s="353">
        <f t="array" ref="V23">iferror(vlookup(V22,{index(Output_HALO!$A:$ZZ,0,$C$3),index(Output_HALO!$A:$ZZ,0,$C$4)},2,0),"")</f>
        <v>0</v>
      </c>
      <c r="W23" s="353">
        <f t="array" ref="W23">iferror(vlookup(W22,{index(Output_HALO!$A:$ZZ,0,$C$3),index(Output_HALO!$A:$ZZ,0,$C$4)},2,0),"")</f>
        <v>718</v>
      </c>
      <c r="X23" s="353">
        <f t="array" ref="X23">iferror(vlookup(X22,{index(Output_HALO!$A:$ZZ,0,$C$3),index(Output_HALO!$A:$ZZ,0,$C$4)},2,0),"")</f>
        <v>2354</v>
      </c>
      <c r="Y23" s="353">
        <f t="array" ref="Y23">iferror(vlookup(Y22,{index(Output_HALO!$A:$ZZ,0,$C$3),index(Output_HALO!$A:$ZZ,0,$C$4)},2,0),"")</f>
        <v>667</v>
      </c>
      <c r="Z23" s="353">
        <f t="array" ref="Z23">iferror(vlookup(Z22,{index(Output_HALO!$A:$ZZ,0,$C$3),index(Output_HALO!$A:$ZZ,0,$C$4)},2,0),"")</f>
        <v>0</v>
      </c>
      <c r="AA23" s="353">
        <f t="array" ref="AA23">iferror(vlookup(AA22,{index(Output_HALO!$A:$ZZ,0,$C$3),index(Output_HALO!$A:$ZZ,0,$C$4)},2,0),"")</f>
        <v>0</v>
      </c>
      <c r="AB23" s="353">
        <f t="array" ref="AB23">iferror(vlookup(AB22,{index(Output_HALO!$A:$ZZ,0,$C$3),index(Output_HALO!$A:$ZZ,0,$C$4)},2,0),"")</f>
        <v>0</v>
      </c>
      <c r="AC23" s="353">
        <f t="array" ref="AC23">iferror(vlookup(AC22,{index(Output_HALO!$A:$ZZ,0,$C$3),index(Output_HALO!$A:$ZZ,0,$C$4)},2,0),"")</f>
        <v>504</v>
      </c>
      <c r="AD23" s="353">
        <f t="array" ref="AD23">iferror(vlookup(AD22,{index(Output_HALO!$A:$ZZ,0,$C$3),index(Output_HALO!$A:$ZZ,0,$C$4)},2,0),"")</f>
        <v>1733</v>
      </c>
      <c r="AE23" s="353">
        <f t="array" ref="AE23">iferror(vlookup(AE22,{index(Output_HALO!$A:$ZZ,0,$C$3),index(Output_HALO!$A:$ZZ,0,$C$4)},2,0),"")</f>
        <v>678</v>
      </c>
      <c r="AF23" s="353">
        <f t="array" ref="AF23">iferror(vlookup(AF22,{index(Output_HALO!$A:$ZZ,0,$C$3),index(Output_HALO!$A:$ZZ,0,$C$4)},2,0),"")</f>
        <v>1246</v>
      </c>
      <c r="AG23" s="353">
        <f t="array" ref="AG23">iferror(vlookup(AG22,{index(Output_HALO!$A:$ZZ,0,$C$3),index(Output_HALO!$A:$ZZ,0,$C$4)},2,0),"")</f>
        <v>3769</v>
      </c>
      <c r="AH23" s="353">
        <f t="array" ref="AH23">iferror(vlookup(AH22,{index(Output_HALO!$A:$ZZ,0,$C$3),index(Output_HALO!$A:$ZZ,0,$C$4)},2,0),"")</f>
        <v>0</v>
      </c>
      <c r="AI23" s="353">
        <f t="array" ref="AI23">iferror(vlookup(AI22,{index(Output_HALO!$A:$ZZ,0,$C$3),index(Output_HALO!$A:$ZZ,0,$C$4)},2,0),"")</f>
        <v>0</v>
      </c>
      <c r="AJ23" s="353">
        <f t="array" ref="AJ23">iferror(vlookup(AJ22,{index(Output_HALO!$A:$ZZ,0,$C$3),index(Output_HALO!$A:$ZZ,0,$C$4)},2,0),"")</f>
        <v>0</v>
      </c>
      <c r="AK23" s="353">
        <f t="array" ref="AK23">iferror(vlookup(AK22,{index(Output_HALO!$A:$ZZ,0,$C$3),index(Output_HALO!$A:$ZZ,0,$C$4)},2,0),"")</f>
        <v>0</v>
      </c>
      <c r="AL23" s="353">
        <f t="array" ref="AL23">iferror(vlookup(AL22,{index(Output_HALO!$A:$ZZ,0,$C$3),index(Output_HALO!$A:$ZZ,0,$C$4)},2,0),"")</f>
        <v>0</v>
      </c>
      <c r="AM23" s="353">
        <f t="array" ref="AM23">iferror(vlookup(AM22,{index(Output_HALO!$A:$ZZ,0,$C$3),index(Output_HALO!$A:$ZZ,0,$C$4)},2,0),"")</f>
        <v>48</v>
      </c>
      <c r="AN23" s="353">
        <f t="array" ref="AN23">iferror(vlookup(AN22,{index(Output_HALO!$A:$ZZ,0,$C$3),index(Output_HALO!$A:$ZZ,0,$C$4)},2,0),"")</f>
        <v>48</v>
      </c>
      <c r="AO23" s="353">
        <f t="array" ref="AO23">iferror(vlookup(AO22,{index(Output_HALO!$A:$ZZ,0,$C$3),index(Output_HALO!$A:$ZZ,0,$C$4)},2,0),"")</f>
        <v>0</v>
      </c>
      <c r="AP23" s="353">
        <f t="array" ref="AP23">iferror(vlookup(AP22,{index(Output_HALO!$A:$ZZ,0,$C$3),index(Output_HALO!$A:$ZZ,0,$C$4)},2,0),"")</f>
        <v>0</v>
      </c>
      <c r="AQ23" s="353">
        <f t="array" ref="AQ23">iferror(vlookup(AQ22,{index(Output_HALO!$A:$ZZ,0,$C$3),index(Output_HALO!$A:$ZZ,0,$C$4)},2,0),"")</f>
        <v>0</v>
      </c>
      <c r="AR23" s="353">
        <f t="array" ref="AR23">iferror(vlookup(AR22,{index(Output_HALO!$A:$ZZ,0,$C$3),index(Output_HALO!$A:$ZZ,0,$C$4)},2,0),"")</f>
        <v>0</v>
      </c>
      <c r="AS23" s="353">
        <f t="array" ref="AS23">iferror(vlookup(AS22,{index(Output_HALO!$A:$ZZ,0,$C$3),index(Output_HALO!$A:$ZZ,0,$C$4)},2,0),"")</f>
        <v>0</v>
      </c>
      <c r="AT23" s="353" t="str">
        <f t="array" ref="AT23">iferror(vlookup(AT22,{index(Output_HALO!$A:$ZZ,0,$C$3),index(Output_HALO!$A:$ZZ,0,$C$4)},2,0),"")</f>
        <v/>
      </c>
      <c r="AU23" s="353">
        <f t="array" ref="AU23">iferror(vlookup(AU22,{index(Output_HALO!$A:$ZZ,0,$C$3),index(Output_HALO!$A:$ZZ,0,$C$4)},2,0),"")</f>
        <v>89</v>
      </c>
      <c r="AV23" s="353">
        <f t="array" ref="AV23">iferror(vlookup(AV22,{index(Output_HALO!$A:$ZZ,0,$C$3),index(Output_HALO!$A:$ZZ,0,$C$4)},2,0),"")</f>
        <v>56</v>
      </c>
      <c r="AW23" s="353">
        <f t="array" ref="AW23">iferror(vlookup(AW22,{index(Output_HALO!$A:$ZZ,0,$C$3),index(Output_HALO!$A:$ZZ,0,$C$4)},2,0),"")</f>
        <v>56</v>
      </c>
      <c r="AX23" s="353">
        <f t="array" ref="AX23">iferror(vlookup(AX22,{index(Output_HALO!$A:$ZZ,0,$C$3),index(Output_HALO!$A:$ZZ,0,$C$4)},2,0),"")</f>
        <v>0</v>
      </c>
      <c r="AY23" s="353">
        <f t="array" ref="AY23">iferror(vlookup(AY22,{index(Output_HALO!$A:$ZZ,0,$C$3),index(Output_HALO!$A:$ZZ,0,$C$4)},2,0),"")</f>
        <v>0</v>
      </c>
      <c r="AZ23" s="353">
        <f t="array" ref="AZ23">iferror(vlookup(AZ22,{index(Output_HALO!$A:$ZZ,0,$C$3),index(Output_HALO!$A:$ZZ,0,$C$4)},2,0),"")</f>
        <v>0</v>
      </c>
      <c r="BA23" s="353">
        <f t="array" ref="BA23">iferror(vlookup(BA22,{index(Output_HALO!$A:$ZZ,0,$C$3),index(Output_HALO!$A:$ZZ,0,$C$4)},2,0),"")</f>
        <v>0</v>
      </c>
      <c r="BB23" s="353">
        <f t="array" ref="BB23">iferror(vlookup(BB22,{index(Output_HALO!$A:$ZZ,0,$C$3),index(Output_HALO!$A:$ZZ,0,$C$4)},2,0),"")</f>
        <v>36</v>
      </c>
      <c r="BC23" s="353">
        <f t="array" ref="BC23">iferror(vlookup(BC22,{index(Output_HALO!$A:$ZZ,0,$C$3),index(Output_HALO!$A:$ZZ,0,$C$4)},2,0),"")</f>
        <v>36</v>
      </c>
      <c r="BD23" s="353">
        <f t="array" ref="BD23">iferror(vlookup(BD22,{index(Output_HALO!$A:$ZZ,0,$C$3),index(Output_HALO!$A:$ZZ,0,$C$4)},2,0),"")</f>
        <v>293</v>
      </c>
      <c r="BE23" s="353">
        <f t="array" ref="BE23">iferror(vlookup(BE22,{index(Output_HALO!$A:$ZZ,0,$C$3),index(Output_HALO!$A:$ZZ,0,$C$4)},2,0),"")</f>
        <v>0</v>
      </c>
      <c r="BF23" s="353">
        <f t="array" ref="BF23">iferror(vlookup(BF22,{index(Output_HALO!$A:$ZZ,0,$C$3),index(Output_HALO!$A:$ZZ,0,$C$4)},2,0),"")</f>
        <v>0</v>
      </c>
      <c r="BG23" s="353">
        <f t="array" ref="BG23">iferror(vlookup(BG22,{index(Output_HALO!$A:$ZZ,0,$C$3),index(Output_HALO!$A:$ZZ,0,$C$4)},2,0),"")</f>
        <v>0</v>
      </c>
      <c r="BH23" s="353">
        <f t="array" ref="BH23">iferror(vlookup(BH22,{index(Output_HALO!$A:$ZZ,0,$C$3),index(Output_HALO!$A:$ZZ,0,$C$4)},2,0),"")</f>
        <v>326</v>
      </c>
      <c r="BI23" s="353">
        <f t="array" ref="BI23">iferror(vlookup(BI22,{index(Output_HALO!$A:$ZZ,0,$C$3),index(Output_HALO!$A:$ZZ,0,$C$4)},2,0),"")</f>
        <v>0</v>
      </c>
      <c r="BJ23" s="353">
        <f t="array" ref="BJ23">iferror(vlookup(BJ22,{index(Output_HALO!$A:$ZZ,0,$C$3),index(Output_HALO!$A:$ZZ,0,$C$4)},2,0),"")</f>
        <v>0</v>
      </c>
      <c r="BK23" s="353">
        <f t="array" ref="BK23">iferror(vlookup(BK22,{index(Output_HALO!$A:$ZZ,0,$C$3),index(Output_HALO!$A:$ZZ,0,$C$4)},2,0),"")</f>
        <v>0</v>
      </c>
      <c r="BL23" s="353">
        <f t="array" ref="BL23">iferror(vlookup(BL22,{index(Output_HALO!$A:$ZZ,0,$C$3),index(Output_HALO!$A:$ZZ,0,$C$4)},2,0),"")</f>
        <v>0</v>
      </c>
      <c r="BM23" s="353">
        <f t="array" ref="BM23">iferror(vlookup(BM22,{index(Output_HALO!$A:$ZZ,0,$C$3),index(Output_HALO!$A:$ZZ,0,$C$4)},2,0),"")</f>
        <v>130</v>
      </c>
      <c r="BN23" s="353">
        <f t="array" ref="BN23">iferror(vlookup(BN22,{index(Output_HALO!$A:$ZZ,0,$C$3),index(Output_HALO!$A:$ZZ,0,$C$4)},2,0),"")</f>
        <v>0</v>
      </c>
      <c r="BO23" s="353">
        <f t="array" ref="BO23">iferror(vlookup(BO22,{index(Output_HALO!$A:$ZZ,0,$C$3),index(Output_HALO!$A:$ZZ,0,$C$4)},2,0),"")</f>
        <v>0</v>
      </c>
      <c r="BP23" s="353">
        <f t="array" ref="BP23">iferror(vlookup(BP22,{index(Output_HALO!$A:$ZZ,0,$C$3),index(Output_HALO!$A:$ZZ,0,$C$4)},2,0),"")</f>
        <v>0</v>
      </c>
      <c r="BQ23" s="353">
        <f t="array" ref="BQ23">iferror(vlookup(BQ22,{index(Output_HALO!$A:$ZZ,0,$C$3),index(Output_HALO!$A:$ZZ,0,$C$4)},2,0),"")</f>
        <v>0</v>
      </c>
    </row>
    <row r="24">
      <c r="E24" s="354">
        <v>2.0</v>
      </c>
      <c r="F24" s="353" t="str">
        <f t="array" ref="F24">iferror(vlookup(F$12&amp;"-"&amp;$E24,{index(Output_HALO!$A:$ZZ,0,$C$8),index(Output_HALO!$A:$ZZ,0,$C$5)},2,0),"")</f>
        <v/>
      </c>
      <c r="G24" s="353" t="str">
        <f t="array" ref="G24">iferror(vlookup(G$12&amp;"-"&amp;$E24,{index(Output_HALO!$A:$ZZ,0,$C$8),index(Output_HALO!$A:$ZZ,0,$C$5)},2,0),"")</f>
        <v/>
      </c>
      <c r="H24" s="353" t="str">
        <f t="array" ref="H24">iferror(vlookup(H$12&amp;"-"&amp;$E24,{index(Output_HALO!$A:$ZZ,0,$C$8),index(Output_HALO!$A:$ZZ,0,$C$5)},2,0),"")</f>
        <v/>
      </c>
      <c r="I24" s="353" t="str">
        <f t="array" ref="I24">iferror(vlookup(I$12&amp;"-"&amp;$E24,{index(Output_HALO!$A:$ZZ,0,$C$8),index(Output_HALO!$A:$ZZ,0,$C$5)},2,0),"")</f>
        <v/>
      </c>
      <c r="J24" s="353" t="str">
        <f t="array" ref="J24">iferror(vlookup(J$12&amp;"-"&amp;$E24,{index(Output_HALO!$A:$ZZ,0,$C$8),index(Output_HALO!$A:$ZZ,0,$C$5)},2,0),"")</f>
        <v/>
      </c>
      <c r="K24" s="353" t="str">
        <f t="array" ref="K24">iferror(vlookup(K$12&amp;"-"&amp;$E24,{index(Output_HALO!$A:$ZZ,0,$C$8),index(Output_HALO!$A:$ZZ,0,$C$5)},2,0),"")</f>
        <v>F06</v>
      </c>
      <c r="L24" s="353" t="str">
        <f t="array" ref="L24">iferror(vlookup(L$12&amp;"-"&amp;$E24,{index(Output_HALO!$A:$ZZ,0,$C$8),index(Output_HALO!$A:$ZZ,0,$C$5)},2,0),"")</f>
        <v>F08</v>
      </c>
      <c r="M24" s="353" t="str">
        <f t="array" ref="M24">iferror(vlookup(M$12&amp;"-"&amp;$E24,{index(Output_HALO!$A:$ZZ,0,$C$8),index(Output_HALO!$A:$ZZ,0,$C$5)},2,0),"")</f>
        <v>F10</v>
      </c>
      <c r="N24" s="353" t="str">
        <f t="array" ref="N24">iferror(vlookup(N$12&amp;"-"&amp;$E24,{index(Output_HALO!$A:$ZZ,0,$C$8),index(Output_HALO!$A:$ZZ,0,$C$5)},2,0),"")</f>
        <v>F12</v>
      </c>
      <c r="O24" s="353" t="str">
        <f t="array" ref="O24">iferror(vlookup(O$12&amp;"-"&amp;$E24,{index(Output_HALO!$A:$ZZ,0,$C$8),index(Output_HALO!$A:$ZZ,0,$C$5)},2,0),"")</f>
        <v/>
      </c>
      <c r="P24" s="353" t="str">
        <f t="array" ref="P24">iferror(vlookup(P$12&amp;"-"&amp;$E24,{index(Output_HALO!$A:$ZZ,0,$C$8),index(Output_HALO!$A:$ZZ,0,$C$5)},2,0),"")</f>
        <v/>
      </c>
      <c r="Q24" s="353" t="str">
        <f t="array" ref="Q24">iferror(vlookup(Q$12&amp;"-"&amp;$E24,{index(Output_HALO!$A:$ZZ,0,$C$8),index(Output_HALO!$A:$ZZ,0,$C$5)},2,0),"")</f>
        <v>F20</v>
      </c>
      <c r="R24" s="353" t="str">
        <f t="array" ref="R24">iferror(vlookup(R$12&amp;"-"&amp;$E24,{index(Output_HALO!$A:$ZZ,0,$C$8),index(Output_HALO!$A:$ZZ,0,$C$5)},2,0),"")</f>
        <v>F23</v>
      </c>
      <c r="S24" s="353" t="str">
        <f t="array" ref="S24">iferror(vlookup(S$12&amp;"-"&amp;$E24,{index(Output_HALO!$A:$ZZ,0,$C$8),index(Output_HALO!$A:$ZZ,0,$C$5)},2,0),"")</f>
        <v>F26</v>
      </c>
      <c r="T24" s="353" t="str">
        <f t="array" ref="T24">iferror(vlookup(T$12&amp;"-"&amp;$E24,{index(Output_HALO!$A:$ZZ,0,$C$8),index(Output_HALO!$A:$ZZ,0,$C$5)},2,0),"")</f>
        <v/>
      </c>
      <c r="U24" s="353" t="str">
        <f t="array" ref="U24">iferror(vlookup(U$12&amp;"-"&amp;$E24,{index(Output_HALO!$A:$ZZ,0,$C$8),index(Output_HALO!$A:$ZZ,0,$C$5)},2,0),"")</f>
        <v/>
      </c>
      <c r="V24" s="353" t="str">
        <f t="array" ref="V24">iferror(vlookup(V$12&amp;"-"&amp;$E24,{index(Output_HALO!$A:$ZZ,0,$C$8),index(Output_HALO!$A:$ZZ,0,$C$5)},2,0),"")</f>
        <v/>
      </c>
      <c r="W24" s="353" t="str">
        <f t="array" ref="W24">iferror(vlookup(W$12&amp;"-"&amp;$E24,{index(Output_HALO!$A:$ZZ,0,$C$8),index(Output_HALO!$A:$ZZ,0,$C$5)},2,0),"")</f>
        <v>F38</v>
      </c>
      <c r="X24" s="353" t="str">
        <f t="array" ref="X24">iferror(vlookup(X$12&amp;"-"&amp;$E24,{index(Output_HALO!$A:$ZZ,0,$C$8),index(Output_HALO!$A:$ZZ,0,$C$5)},2,0),"")</f>
        <v>F41</v>
      </c>
      <c r="Y24" s="353" t="str">
        <f t="array" ref="Y24">iferror(vlookup(Y$12&amp;"-"&amp;$E24,{index(Output_HALO!$A:$ZZ,0,$C$8),index(Output_HALO!$A:$ZZ,0,$C$5)},2,0),"")</f>
        <v>F44</v>
      </c>
      <c r="Z24" s="353" t="str">
        <f t="array" ref="Z24">iferror(vlookup(Z$12&amp;"-"&amp;$E24,{index(Output_HALO!$A:$ZZ,0,$C$8),index(Output_HALO!$A:$ZZ,0,$C$5)},2,0),"")</f>
        <v/>
      </c>
      <c r="AA24" s="353" t="str">
        <f t="array" ref="AA24">iferror(vlookup(AA$12&amp;"-"&amp;$E24,{index(Output_HALO!$A:$ZZ,0,$C$8),index(Output_HALO!$A:$ZZ,0,$C$5)},2,0),"")</f>
        <v/>
      </c>
      <c r="AB24" s="353" t="str">
        <f t="array" ref="AB24">iferror(vlookup(AB$12&amp;"-"&amp;$E24,{index(Output_HALO!$A:$ZZ,0,$C$8),index(Output_HALO!$A:$ZZ,0,$C$5)},2,0),"")</f>
        <v/>
      </c>
      <c r="AC24" s="353" t="str">
        <f t="array" ref="AC24">iferror(vlookup(AC$12&amp;"-"&amp;$E24,{index(Output_HALO!$A:$ZZ,0,$C$8),index(Output_HALO!$A:$ZZ,0,$C$5)},2,0),"")</f>
        <v>F56</v>
      </c>
      <c r="AD24" s="353" t="str">
        <f t="array" ref="AD24">iferror(vlookup(AD$12&amp;"-"&amp;$E24,{index(Output_HALO!$A:$ZZ,0,$C$8),index(Output_HALO!$A:$ZZ,0,$C$5)},2,0),"")</f>
        <v>F59</v>
      </c>
      <c r="AE24" s="353" t="str">
        <f t="array" ref="AE24">iferror(vlookup(AE$12&amp;"-"&amp;$E24,{index(Output_HALO!$A:$ZZ,0,$C$8),index(Output_HALO!$A:$ZZ,0,$C$5)},2,0),"")</f>
        <v>F62</v>
      </c>
      <c r="AF24" s="353" t="str">
        <f t="array" ref="AF24">iferror(vlookup(AF$12&amp;"-"&amp;$E24,{index(Output_HALO!$A:$ZZ,0,$C$8),index(Output_HALO!$A:$ZZ,0,$C$5)},2,0),"")</f>
        <v>F65</v>
      </c>
      <c r="AG24" s="353" t="str">
        <f t="array" ref="AG24">iferror(vlookup(AG$12&amp;"-"&amp;$E24,{index(Output_HALO!$A:$ZZ,0,$C$8),index(Output_HALO!$A:$ZZ,0,$C$5)},2,0),"")</f>
        <v>F68</v>
      </c>
      <c r="AH24" s="353" t="str">
        <f t="array" ref="AH24">iferror(vlookup(AH$12&amp;"-"&amp;$E24,{index(Output_HALO!$A:$ZZ,0,$C$8),index(Output_HALO!$A:$ZZ,0,$C$5)},2,0),"")</f>
        <v/>
      </c>
      <c r="AI24" s="353" t="str">
        <f t="array" ref="AI24">iferror(vlookup(AI$12&amp;"-"&amp;$E24,{index(Output_HALO!$A:$ZZ,0,$C$8),index(Output_HALO!$A:$ZZ,0,$C$5)},2,0),"")</f>
        <v/>
      </c>
      <c r="AJ24" s="353" t="str">
        <f t="array" ref="AJ24">iferror(vlookup(AJ$12&amp;"-"&amp;$E24,{index(Output_HALO!$A:$ZZ,0,$C$8),index(Output_HALO!$A:$ZZ,0,$C$5)},2,0),"")</f>
        <v/>
      </c>
      <c r="AK24" s="353" t="str">
        <f t="array" ref="AK24">iferror(vlookup(AK$12&amp;"-"&amp;$E24,{index(Output_HALO!$A:$ZZ,0,$C$8),index(Output_HALO!$A:$ZZ,0,$C$5)},2,0),"")</f>
        <v/>
      </c>
      <c r="AL24" s="353" t="str">
        <f t="array" ref="AL24">iferror(vlookup(AL$12&amp;"-"&amp;$E24,{index(Output_HALO!$A:$ZZ,0,$C$8),index(Output_HALO!$A:$ZZ,0,$C$5)},2,0),"")</f>
        <v/>
      </c>
      <c r="AM24" s="353" t="str">
        <f t="array" ref="AM24">iferror(vlookup(AM$12&amp;"-"&amp;$E24,{index(Output_HALO!$A:$ZZ,0,$C$8),index(Output_HALO!$A:$ZZ,0,$C$5)},2,0),"")</f>
        <v>F86</v>
      </c>
      <c r="AN24" s="353" t="str">
        <f t="array" ref="AN24">iferror(vlookup(AN$12&amp;"-"&amp;$E24,{index(Output_HALO!$A:$ZZ,0,$C$8),index(Output_HALO!$A:$ZZ,0,$C$5)},2,0),"")</f>
        <v>F89</v>
      </c>
      <c r="AO24" s="353" t="str">
        <f t="array" ref="AO24">iferror(vlookup(AO$12&amp;"-"&amp;$E24,{index(Output_HALO!$A:$ZZ,0,$C$8),index(Output_HALO!$A:$ZZ,0,$C$5)},2,0),"")</f>
        <v>F92</v>
      </c>
      <c r="AP24" s="353" t="str">
        <f t="array" ref="AP24">iferror(vlookup(AP$12&amp;"-"&amp;$E24,{index(Output_HALO!$A:$ZZ,0,$C$8),index(Output_HALO!$A:$ZZ,0,$C$5)},2,0),"")</f>
        <v/>
      </c>
      <c r="AQ24" s="353" t="str">
        <f t="array" ref="AQ24">iferror(vlookup(AQ$12&amp;"-"&amp;$E24,{index(Output_HALO!$A:$ZZ,0,$C$8),index(Output_HALO!$A:$ZZ,0,$C$5)},2,0),"")</f>
        <v/>
      </c>
      <c r="AR24" s="353" t="str">
        <f t="array" ref="AR24">iferror(vlookup(AR$12&amp;"-"&amp;$E24,{index(Output_HALO!$A:$ZZ,0,$C$8),index(Output_HALO!$A:$ZZ,0,$C$5)},2,0),"")</f>
        <v/>
      </c>
      <c r="AS24" s="353" t="str">
        <f t="array" ref="AS24">iferror(vlookup(AS$12&amp;"-"&amp;$E24,{index(Output_HALO!$A:$ZZ,0,$C$8),index(Output_HALO!$A:$ZZ,0,$C$5)},2,0),"")</f>
        <v/>
      </c>
      <c r="AT24" s="353" t="str">
        <f t="array" ref="AT24">iferror(vlookup(AT$12&amp;"-"&amp;$E24,{index(Output_HALO!$A:$ZZ,0,$C$8),index(Output_HALO!$A:$ZZ,0,$C$5)},2,0),"")</f>
        <v>F106</v>
      </c>
      <c r="AU24" s="353" t="str">
        <f t="array" ref="AU24">iferror(vlookup(AU$12&amp;"-"&amp;$E24,{index(Output_HALO!$A:$ZZ,0,$C$8),index(Output_HALO!$A:$ZZ,0,$C$5)},2,0),"")</f>
        <v>F108</v>
      </c>
      <c r="AV24" s="353" t="str">
        <f t="array" ref="AV24">iferror(vlookup(AV$12&amp;"-"&amp;$E24,{index(Output_HALO!$A:$ZZ,0,$C$8),index(Output_HALO!$A:$ZZ,0,$C$5)},2,0),"")</f>
        <v>F110</v>
      </c>
      <c r="AW24" s="353" t="str">
        <f t="array" ref="AW24">iferror(vlookup(AW$12&amp;"-"&amp;$E24,{index(Output_HALO!$A:$ZZ,0,$C$8),index(Output_HALO!$A:$ZZ,0,$C$5)},2,0),"")</f>
        <v>F112</v>
      </c>
      <c r="AX24" s="353" t="str">
        <f t="array" ref="AX24">iferror(vlookup(AX$12&amp;"-"&amp;$E24,{index(Output_HALO!$A:$ZZ,0,$C$8),index(Output_HALO!$A:$ZZ,0,$C$5)},2,0),"")</f>
        <v/>
      </c>
      <c r="AY24" s="353" t="str">
        <f t="array" ref="AY24">iferror(vlookup(AY$12&amp;"-"&amp;$E24,{index(Output_HALO!$A:$ZZ,0,$C$8),index(Output_HALO!$A:$ZZ,0,$C$5)},2,0),"")</f>
        <v/>
      </c>
      <c r="AZ24" s="353" t="str">
        <f t="array" ref="AZ24">iferror(vlookup(AZ$12&amp;"-"&amp;$E24,{index(Output_HALO!$A:$ZZ,0,$C$8),index(Output_HALO!$A:$ZZ,0,$C$5)},2,0),"")</f>
        <v/>
      </c>
      <c r="BA24" s="353" t="str">
        <f t="array" ref="BA24">iferror(vlookup(BA$12&amp;"-"&amp;$E24,{index(Output_HALO!$A:$ZZ,0,$C$8),index(Output_HALO!$A:$ZZ,0,$C$5)},2,0),"")</f>
        <v/>
      </c>
      <c r="BB24" s="353" t="str">
        <f t="array" ref="BB24">iferror(vlookup(BB$12&amp;"-"&amp;$E24,{index(Output_HALO!$A:$ZZ,0,$C$8),index(Output_HALO!$A:$ZZ,0,$C$5)},2,0),"")</f>
        <v>F122</v>
      </c>
      <c r="BC24" s="353" t="str">
        <f t="array" ref="BC24">iferror(vlookup(BC$12&amp;"-"&amp;$E24,{index(Output_HALO!$A:$ZZ,0,$C$8),index(Output_HALO!$A:$ZZ,0,$C$5)},2,0),"")</f>
        <v>F124</v>
      </c>
      <c r="BD24" s="353" t="str">
        <f t="array" ref="BD24">iferror(vlookup(BD$12&amp;"-"&amp;$E24,{index(Output_HALO!$A:$ZZ,0,$C$8),index(Output_HALO!$A:$ZZ,0,$C$5)},2,0),"")</f>
        <v>F126</v>
      </c>
      <c r="BE24" s="353" t="str">
        <f t="array" ref="BE24">iferror(vlookup(BE$12&amp;"-"&amp;$E24,{index(Output_HALO!$A:$ZZ,0,$C$8),index(Output_HALO!$A:$ZZ,0,$C$5)},2,0),"")</f>
        <v/>
      </c>
      <c r="BF24" s="353" t="str">
        <f t="array" ref="BF24">iferror(vlookup(BF$12&amp;"-"&amp;$E24,{index(Output_HALO!$A:$ZZ,0,$C$8),index(Output_HALO!$A:$ZZ,0,$C$5)},2,0),"")</f>
        <v/>
      </c>
      <c r="BG24" s="353" t="str">
        <f t="array" ref="BG24">iferror(vlookup(BG$12&amp;"-"&amp;$E24,{index(Output_HALO!$A:$ZZ,0,$C$8),index(Output_HALO!$A:$ZZ,0,$C$5)},2,0),"")</f>
        <v/>
      </c>
      <c r="BH24" s="353" t="str">
        <f t="array" ref="BH24">iferror(vlookup(BH$12&amp;"-"&amp;$E24,{index(Output_HALO!$A:$ZZ,0,$C$8),index(Output_HALO!$A:$ZZ,0,$C$5)},2,0),"")</f>
        <v>F134</v>
      </c>
      <c r="BI24" s="353" t="str">
        <f t="array" ref="BI24">iferror(vlookup(BI$12&amp;"-"&amp;$E24,{index(Output_HALO!$A:$ZZ,0,$C$8),index(Output_HALO!$A:$ZZ,0,$C$5)},2,0),"")</f>
        <v>F136</v>
      </c>
      <c r="BJ24" s="353" t="str">
        <f t="array" ref="BJ24">iferror(vlookup(BJ$12&amp;"-"&amp;$E24,{index(Output_HALO!$A:$ZZ,0,$C$8),index(Output_HALO!$A:$ZZ,0,$C$5)},2,0),"")</f>
        <v>F138</v>
      </c>
      <c r="BK24" s="353" t="str">
        <f t="array" ref="BK24">iferror(vlookup(BK$12&amp;"-"&amp;$E24,{index(Output_HALO!$A:$ZZ,0,$C$8),index(Output_HALO!$A:$ZZ,0,$C$5)},2,0),"")</f>
        <v>F140</v>
      </c>
      <c r="BL24" s="353" t="str">
        <f t="array" ref="BL24">iferror(vlookup(BL$12&amp;"-"&amp;$E24,{index(Output_HALO!$A:$ZZ,0,$C$8),index(Output_HALO!$A:$ZZ,0,$C$5)},2,0),"")</f>
        <v>F142</v>
      </c>
      <c r="BM24" s="353" t="str">
        <f t="array" ref="BM24">iferror(vlookup(BM$12&amp;"-"&amp;$E24,{index(Output_HALO!$A:$ZZ,0,$C$8),index(Output_HALO!$A:$ZZ,0,$C$5)},2,0),"")</f>
        <v>F144</v>
      </c>
      <c r="BN24" s="353" t="str">
        <f t="array" ref="BN24">iferror(vlookup(BN$12&amp;"-"&amp;$E24,{index(Output_HALO!$A:$ZZ,0,$C$8),index(Output_HALO!$A:$ZZ,0,$C$5)},2,0),"")</f>
        <v/>
      </c>
      <c r="BO24" s="353" t="str">
        <f t="array" ref="BO24">iferror(vlookup(BO$12&amp;"-"&amp;$E24,{index(Output_HALO!$A:$ZZ,0,$C$8),index(Output_HALO!$A:$ZZ,0,$C$5)},2,0),"")</f>
        <v/>
      </c>
      <c r="BP24" s="353" t="str">
        <f t="array" ref="BP24">iferror(vlookup(BP$12&amp;"-"&amp;$E24,{index(Output_HALO!$A:$ZZ,0,$C$8),index(Output_HALO!$A:$ZZ,0,$C$5)},2,0),"")</f>
        <v/>
      </c>
      <c r="BQ24" s="353" t="str">
        <f t="array" ref="BQ24">iferror(vlookup(BQ$12&amp;"-"&amp;$E24,{index(Output_HALO!$A:$ZZ,0,$C$8),index(Output_HALO!$A:$ZZ,0,$C$5)},2,0),"")</f>
        <v/>
      </c>
    </row>
    <row r="25">
      <c r="E25" s="354">
        <v>1.0</v>
      </c>
      <c r="F25" s="353" t="str">
        <f t="array" ref="F25">iferror(vlookup(F$12&amp;"-"&amp;$E25,{index(Output_HALO!$A:$ZZ,0,$C$8),index(Output_HALO!$A:$ZZ,0,$C$3)},2,0),"")</f>
        <v/>
      </c>
      <c r="G25" s="353" t="str">
        <f t="array" ref="G25">iferror(vlookup(G$12&amp;"-"&amp;$E25,{index(Output_HALO!$A:$ZZ,0,$C$8),index(Output_HALO!$A:$ZZ,0,$C$3)},2,0),"")</f>
        <v>Factor Box Large</v>
      </c>
      <c r="H25" s="353" t="str">
        <f t="array" ref="H25">iferror(vlookup(H$12&amp;"-"&amp;$E25,{index(Output_HALO!$A:$ZZ,0,$C$8),index(Output_HALO!$A:$ZZ,0,$C$3)},2,0),"")</f>
        <v>Factor Box Medium</v>
      </c>
      <c r="I25" s="353" t="str">
        <f t="array" ref="I25">iferror(vlookup(I$12&amp;"-"&amp;$E25,{index(Output_HALO!$A:$ZZ,0,$C$8),index(Output_HALO!$A:$ZZ,0,$C$3)},2,0),"")</f>
        <v>S</v>
      </c>
      <c r="J25" s="353" t="str">
        <f t="array" ref="J25">iferror(vlookup(J$12&amp;"-"&amp;$E25,{index(Output_HALO!$A:$ZZ,0,$C$8),index(Output_HALO!$A:$ZZ,0,$C$3)},2,0),"")</f>
        <v>Factor Box Small</v>
      </c>
      <c r="K25" s="353" t="str">
        <f t="array" ref="K25">iferror(vlookup(K$12&amp;"-"&amp;$E25,{index(Output_HALO!$A:$ZZ,0,$C$8),index(Output_HALO!$A:$ZZ,0,$C$3)},2,0),"")</f>
        <v/>
      </c>
      <c r="L25" s="353" t="str">
        <f t="array" ref="L25">iferror(vlookup(L$12&amp;"-"&amp;$E25,{index(Output_HALO!$A:$ZZ,0,$C$8),index(Output_HALO!$A:$ZZ,0,$C$3)},2,0),"")</f>
        <v>Factor Liner Large1</v>
      </c>
      <c r="M25" s="353" t="str">
        <f t="array" ref="M25">iferror(vlookup(M$12&amp;"-"&amp;$E25,{index(Output_HALO!$A:$ZZ,0,$C$8),index(Output_HALO!$A:$ZZ,0,$C$3)},2,0),"")</f>
        <v/>
      </c>
      <c r="N25" s="353" t="str">
        <f t="array" ref="N25">iferror(vlookup(N$12&amp;"-"&amp;$E25,{index(Output_HALO!$A:$ZZ,0,$C$8),index(Output_HALO!$A:$ZZ,0,$C$3)},2,0),"")</f>
        <v>Factor Liner Large2</v>
      </c>
      <c r="O25" s="353" t="str">
        <f t="array" ref="O25">iferror(vlookup(O$12&amp;"-"&amp;$E25,{index(Output_HALO!$A:$ZZ,0,$C$8),index(Output_HALO!$A:$ZZ,0,$C$3)},2,0),"")</f>
        <v/>
      </c>
      <c r="P25" s="353" t="str">
        <f t="array" ref="P25">iferror(vlookup(P$12&amp;"-"&amp;$E25,{index(Output_HALO!$A:$ZZ,0,$C$8),index(Output_HALO!$A:$ZZ,0,$C$3)},2,0),"")</f>
        <v/>
      </c>
      <c r="Q25" s="353" t="str">
        <f t="array" ref="Q25">iferror(vlookup(Q$12&amp;"-"&amp;$E25,{index(Output_HALO!$A:$ZZ,0,$C$8),index(Output_HALO!$A:$ZZ,0,$C$3)},2,0),"")</f>
        <v/>
      </c>
      <c r="R25" s="353" t="str">
        <f t="array" ref="R25">iferror(vlookup(R$12&amp;"-"&amp;$E25,{index(Output_HALO!$A:$ZZ,0,$C$8),index(Output_HALO!$A:$ZZ,0,$C$3)},2,0),"")</f>
        <v/>
      </c>
      <c r="S25" s="353" t="str">
        <f t="array" ref="S25">iferror(vlookup(S$12&amp;"-"&amp;$E25,{index(Output_HALO!$A:$ZZ,0,$C$8),index(Output_HALO!$A:$ZZ,0,$C$3)},2,0),"")</f>
        <v>621 - </v>
      </c>
      <c r="T25" s="353" t="str">
        <f t="array" ref="T25">iferror(vlookup(T$12&amp;"-"&amp;$E25,{index(Output_HALO!$A:$ZZ,0,$C$8),index(Output_HALO!$A:$ZZ,0,$C$3)},2,0),"")</f>
        <v/>
      </c>
      <c r="U25" s="353" t="str">
        <f t="array" ref="U25">iferror(vlookup(U$12&amp;"-"&amp;$E25,{index(Output_HALO!$A:$ZZ,0,$C$8),index(Output_HALO!$A:$ZZ,0,$C$3)},2,0),"")</f>
        <v/>
      </c>
      <c r="V25" s="353" t="str">
        <f t="array" ref="V25">iferror(vlookup(V$12&amp;"-"&amp;$E25,{index(Output_HALO!$A:$ZZ,0,$C$8),index(Output_HALO!$A:$ZZ,0,$C$3)},2,0),"")</f>
        <v/>
      </c>
      <c r="W25" s="353" t="str">
        <f t="array" ref="W25">iferror(vlookup(W$12&amp;"-"&amp;$E25,{index(Output_HALO!$A:$ZZ,0,$C$8),index(Output_HALO!$A:$ZZ,0,$C$3)},2,0),"")</f>
        <v>565064 - Laks i senneps-dild sauce</v>
      </c>
      <c r="X25" s="353" t="str">
        <f t="array" ref="X25">iferror(vlookup(X$12&amp;"-"&amp;$E25,{index(Output_HALO!$A:$ZZ,0,$C$8),index(Output_HALO!$A:$ZZ,0,$C$3)},2,0),"")</f>
        <v>565164 - Kylling i Emmental-fondue med karamelliseret løg</v>
      </c>
      <c r="Y25" s="353" t="str">
        <f t="array" ref="Y25">iferror(vlookup(Y$12&amp;"-"&amp;$E25,{index(Output_HALO!$A:$ZZ,0,$C$8),index(Output_HALO!$A:$ZZ,0,$C$3)},2,0),"")</f>
        <v/>
      </c>
      <c r="Z25" s="353" t="str">
        <f t="array" ref="Z25">iferror(vlookup(Z$12&amp;"-"&amp;$E25,{index(Output_HALO!$A:$ZZ,0,$C$8),index(Output_HALO!$A:$ZZ,0,$C$3)},2,0),"")</f>
        <v/>
      </c>
      <c r="AA25" s="353" t="str">
        <f t="array" ref="AA25">iferror(vlookup(AA$12&amp;"-"&amp;$E25,{index(Output_HALO!$A:$ZZ,0,$C$8),index(Output_HALO!$A:$ZZ,0,$C$3)},2,0),"")</f>
        <v/>
      </c>
      <c r="AB25" s="353" t="str">
        <f t="array" ref="AB25">iferror(vlookup(AB$12&amp;"-"&amp;$E25,{index(Output_HALO!$A:$ZZ,0,$C$8),index(Output_HALO!$A:$ZZ,0,$C$3)},2,0),"")</f>
        <v/>
      </c>
      <c r="AC25" s="353" t="str">
        <f t="array" ref="AC25">iferror(vlookup(AC$12&amp;"-"&amp;$E25,{index(Output_HALO!$A:$ZZ,0,$C$8),index(Output_HALO!$A:$ZZ,0,$C$3)},2,0),"")</f>
        <v>565064 - Lachs in Senf-Dill-Sauce</v>
      </c>
      <c r="AD25" s="353" t="str">
        <f t="array" ref="AD25">iferror(vlookup(AD$12&amp;"-"&amp;$E25,{index(Output_HALO!$A:$ZZ,0,$C$8),index(Output_HALO!$A:$ZZ,0,$C$3)},2,0),"")</f>
        <v/>
      </c>
      <c r="AE25" s="353" t="str">
        <f t="array" ref="AE25">iferror(vlookup(AE$12&amp;"-"&amp;$E25,{index(Output_HALO!$A:$ZZ,0,$C$8),index(Output_HALO!$A:$ZZ,0,$C$3)},2,0),"")</f>
        <v/>
      </c>
      <c r="AF25" s="353" t="str">
        <f t="array" ref="AF25">iferror(vlookup(AF$12&amp;"-"&amp;$E25,{index(Output_HALO!$A:$ZZ,0,$C$8),index(Output_HALO!$A:$ZZ,0,$C$3)},2,0),"")</f>
        <v/>
      </c>
      <c r="AG25" s="353" t="str">
        <f t="array" ref="AG25">iferror(vlookup(AG$12&amp;"-"&amp;$E25,{index(Output_HALO!$A:$ZZ,0,$C$8),index(Output_HALO!$A:$ZZ,0,$C$3)},2,0),"")</f>
        <v/>
      </c>
      <c r="AH25" s="353" t="str">
        <f t="array" ref="AH25">iferror(vlookup(AH$12&amp;"-"&amp;$E25,{index(Output_HALO!$A:$ZZ,0,$C$8),index(Output_HALO!$A:$ZZ,0,$C$3)},2,0),"")</f>
        <v>620 - </v>
      </c>
      <c r="AI25" s="353" t="str">
        <f t="array" ref="AI25">iferror(vlookup(AI$12&amp;"-"&amp;$E25,{index(Output_HALO!$A:$ZZ,0,$C$8),index(Output_HALO!$A:$ZZ,0,$C$3)},2,0),"")</f>
        <v/>
      </c>
      <c r="AJ25" s="353" t="str">
        <f t="array" ref="AJ25">iferror(vlookup(AJ$12&amp;"-"&amp;$E25,{index(Output_HALO!$A:$ZZ,0,$C$8),index(Output_HALO!$A:$ZZ,0,$C$3)},2,0),"")</f>
        <v/>
      </c>
      <c r="AK25" s="353" t="str">
        <f t="array" ref="AK25">iferror(vlookup(AK$12&amp;"-"&amp;$E25,{index(Output_HALO!$A:$ZZ,0,$C$8),index(Output_HALO!$A:$ZZ,0,$C$3)},2,0),"")</f>
        <v/>
      </c>
      <c r="AL25" s="353" t="str">
        <f t="array" ref="AL25">iferror(vlookup(AL$12&amp;"-"&amp;$E25,{index(Output_HALO!$A:$ZZ,0,$C$8),index(Output_HALO!$A:$ZZ,0,$C$3)},2,0),"")</f>
        <v/>
      </c>
      <c r="AM25" s="353" t="str">
        <f t="array" ref="AM25">iferror(vlookup(AM$12&amp;"-"&amp;$E25,{index(Output_HALO!$A:$ZZ,0,$C$8),index(Output_HALO!$A:$ZZ,0,$C$3)},2,0),"")</f>
        <v>565211 - Gegrilltes Hähnchen in Ingwer-Knoblauch-Marinade</v>
      </c>
      <c r="AN25" s="353" t="str">
        <f t="array" ref="AN25">iferror(vlookup(AN$12&amp;"-"&amp;$E25,{index(Output_HALO!$A:$ZZ,0,$C$8),index(Output_HALO!$A:$ZZ,0,$C$3)},2,0),"")</f>
        <v>565309 - Geschmortes Rind in Kräuterjus</v>
      </c>
      <c r="AO25" s="353" t="str">
        <f t="array" ref="AO25">iferror(vlookup(AO$12&amp;"-"&amp;$E25,{index(Output_HALO!$A:$ZZ,0,$C$8),index(Output_HALO!$A:$ZZ,0,$C$3)},2,0),"")</f>
        <v/>
      </c>
      <c r="AP25" s="353" t="str">
        <f t="array" ref="AP25">iferror(vlookup(AP$12&amp;"-"&amp;$E25,{index(Output_HALO!$A:$ZZ,0,$C$8),index(Output_HALO!$A:$ZZ,0,$C$3)},2,0),"")</f>
        <v/>
      </c>
      <c r="AQ25" s="353" t="str">
        <f t="array" ref="AQ25">iferror(vlookup(AQ$12&amp;"-"&amp;$E25,{index(Output_HALO!$A:$ZZ,0,$C$8),index(Output_HALO!$A:$ZZ,0,$C$3)},2,0),"")</f>
        <v>565072 - Gegrilltes Hähnchen mit Ratatouille</v>
      </c>
      <c r="AR25" s="353" t="str">
        <f t="array" ref="AR25">iferror(vlookup(AR$12&amp;"-"&amp;$E25,{index(Output_HALO!$A:$ZZ,0,$C$8),index(Output_HALO!$A:$ZZ,0,$C$3)},2,0),"")</f>
        <v/>
      </c>
      <c r="AS25" s="353" t="str">
        <f t="array" ref="AS25">iferror(vlookup(AS$12&amp;"-"&amp;$E25,{index(Output_HALO!$A:$ZZ,0,$C$8),index(Output_HALO!$A:$ZZ,0,$C$3)},2,0),"")</f>
        <v/>
      </c>
      <c r="AT25" s="353" t="str">
        <f t="array" ref="AT25">iferror(vlookup(AT$12&amp;"-"&amp;$E25,{index(Output_HALO!$A:$ZZ,0,$C$8),index(Output_HALO!$A:$ZZ,0,$C$3)},2,0),"")</f>
        <v>IcePack2</v>
      </c>
      <c r="AU25" s="353" t="str">
        <f t="array" ref="AU25">iferror(vlookup(AU$12&amp;"-"&amp;$E25,{index(Output_HALO!$A:$ZZ,0,$C$8),index(Output_HALO!$A:$ZZ,0,$C$3)},2,0),"")</f>
        <v>565143 - Schweinefilet in cremiger Knoblauch-Senf-Sauce</v>
      </c>
      <c r="AV25" s="353" t="str">
        <f t="array" ref="AV25">iferror(vlookup(AV$12&amp;"-"&amp;$E25,{index(Output_HALO!$A:$ZZ,0,$C$8),index(Output_HALO!$A:$ZZ,0,$C$3)},2,0),"")</f>
        <v>565178 - Westafrikanisches Hähnchen-Erdnuss-Curry</v>
      </c>
      <c r="AW25" s="353" t="str">
        <f t="array" ref="AW25">iferror(vlookup(AW$12&amp;"-"&amp;$E25,{index(Output_HALO!$A:$ZZ,0,$C$8),index(Output_HALO!$A:$ZZ,0,$C$3)},2,0),"")</f>
        <v/>
      </c>
      <c r="AX25" s="353" t="str">
        <f t="array" ref="AX25">iferror(vlookup(AX$12&amp;"-"&amp;$E25,{index(Output_HALO!$A:$ZZ,0,$C$8),index(Output_HALO!$A:$ZZ,0,$C$3)},2,0),"")</f>
        <v/>
      </c>
      <c r="AY25" s="353" t="str">
        <f t="array" ref="AY25">iferror(vlookup(AY$12&amp;"-"&amp;$E25,{index(Output_HALO!$A:$ZZ,0,$C$8),index(Output_HALO!$A:$ZZ,0,$C$3)},2,0),"")</f>
        <v/>
      </c>
      <c r="AZ25" s="353" t="str">
        <f t="array" ref="AZ25">iferror(vlookup(AZ$12&amp;"-"&amp;$E25,{index(Output_HALO!$A:$ZZ,0,$C$8),index(Output_HALO!$A:$ZZ,0,$C$3)},2,0),"")</f>
        <v/>
      </c>
      <c r="BA25" s="353" t="str">
        <f t="array" ref="BA25">iferror(vlookup(BA$12&amp;"-"&amp;$E25,{index(Output_HALO!$A:$ZZ,0,$C$8),index(Output_HALO!$A:$ZZ,0,$C$3)},2,0),"")</f>
        <v/>
      </c>
      <c r="BB25" s="353" t="str">
        <f t="array" ref="BB25">iferror(vlookup(BB$12&amp;"-"&amp;$E25,{index(Output_HALO!$A:$ZZ,0,$C$8),index(Output_HALO!$A:$ZZ,0,$C$3)},2,0),"")</f>
        <v/>
      </c>
      <c r="BC25" s="353" t="str">
        <f t="array" ref="BC25">iferror(vlookup(BC$12&amp;"-"&amp;$E25,{index(Output_HALO!$A:$ZZ,0,$C$8),index(Output_HALO!$A:$ZZ,0,$C$3)},2,0),"")</f>
        <v>565130 - Pulled Pork mit roter Chilisauce</v>
      </c>
      <c r="BD25" s="353" t="str">
        <f t="array" ref="BD25">iferror(vlookup(BD$12&amp;"-"&amp;$E25,{index(Output_HALO!$A:$ZZ,0,$C$8),index(Output_HALO!$A:$ZZ,0,$C$3)},2,0),"")</f>
        <v>565196 - Ají Verde Lachs</v>
      </c>
      <c r="BE25" s="353" t="str">
        <f t="array" ref="BE25">iferror(vlookup(BE$12&amp;"-"&amp;$E25,{index(Output_HALO!$A:$ZZ,0,$C$8),index(Output_HALO!$A:$ZZ,0,$C$3)},2,0),"")</f>
        <v>IcePack3</v>
      </c>
      <c r="BF25" s="353" t="str">
        <f t="array" ref="BF25">iferror(vlookup(BF$12&amp;"-"&amp;$E25,{index(Output_HALO!$A:$ZZ,0,$C$8),index(Output_HALO!$A:$ZZ,0,$C$3)},2,0),"")</f>
        <v/>
      </c>
      <c r="BG25" s="353" t="str">
        <f t="array" ref="BG25">iferror(vlookup(BG$12&amp;"-"&amp;$E25,{index(Output_HALO!$A:$ZZ,0,$C$8),index(Output_HALO!$A:$ZZ,0,$C$3)},2,0),"")</f>
        <v>565221 - Lachs-Bowl mit Zitrus-Miso</v>
      </c>
      <c r="BH25" s="353" t="str">
        <f t="array" ref="BH25">iferror(vlookup(BH$12&amp;"-"&amp;$E25,{index(Output_HALO!$A:$ZZ,0,$C$8),index(Output_HALO!$A:$ZZ,0,$C$3)},2,0),"")</f>
        <v>565209 - Grünes Chili-Hähnchen mit Quinoa-Salsa</v>
      </c>
      <c r="BI25" s="353" t="str">
        <f t="array" ref="BI25">iferror(vlookup(BI$12&amp;"-"&amp;$E25,{index(Output_HALO!$A:$ZZ,0,$C$8),index(Output_HALO!$A:$ZZ,0,$C$3)},2,0),"")</f>
        <v>FA-DE Fourth Box - Hydroflask</v>
      </c>
      <c r="BJ25" s="353" t="str">
        <f t="array" ref="BJ25">iferror(vlookup(BJ$12&amp;"-"&amp;$E25,{index(Output_HALO!$A:$ZZ,0,$C$8),index(Output_HALO!$A:$ZZ,0,$C$3)},2,0),"")</f>
        <v>FA-DE Third Box - Flyer</v>
      </c>
      <c r="BK25" s="353" t="str">
        <f t="array" ref="BK25">iferror(vlookup(BK$12&amp;"-"&amp;$E25,{index(Output_HALO!$A:$ZZ,0,$C$8),index(Output_HALO!$A:$ZZ,0,$C$3)},2,0),"")</f>
        <v>FA-DE Second Box - Tote Bag</v>
      </c>
      <c r="BL25" s="353" t="str">
        <f t="array" ref="BL25">iferror(vlookup(BL$12&amp;"-"&amp;$E25,{index(Output_HALO!$A:$ZZ,0,$C$8),index(Output_HALO!$A:$ZZ,0,$C$3)},2,0),"")</f>
        <v>FA-DE First Box - Flyer about program</v>
      </c>
      <c r="BM25" s="353" t="str">
        <f t="array" ref="BM25">iferror(vlookup(BM$12&amp;"-"&amp;$E25,{index(Output_HALO!$A:$ZZ,0,$C$8),index(Output_HALO!$A:$ZZ,0,$C$3)},2,0),"")</f>
        <v>FA-DE Freebies</v>
      </c>
      <c r="BN25" s="353" t="str">
        <f t="array" ref="BN25">iferror(vlookup(BN$12&amp;"-"&amp;$E25,{index(Output_HALO!$A:$ZZ,0,$C$8),index(Output_HALO!$A:$ZZ,0,$C$3)},2,0),"")</f>
        <v/>
      </c>
      <c r="BO25" s="353" t="str">
        <f t="array" ref="BO25">iferror(vlookup(BO$12&amp;"-"&amp;$E25,{index(Output_HALO!$A:$ZZ,0,$C$8),index(Output_HALO!$A:$ZZ,0,$C$3)},2,0),"")</f>
        <v/>
      </c>
      <c r="BP25" s="353" t="str">
        <f t="array" ref="BP25">iferror(vlookup(BP$12&amp;"-"&amp;$E25,{index(Output_HALO!$A:$ZZ,0,$C$8),index(Output_HALO!$A:$ZZ,0,$C$3)},2,0),"")</f>
        <v/>
      </c>
      <c r="BQ25" s="353" t="str">
        <f t="array" ref="BQ25">iferror(vlookup(BQ$12&amp;"-"&amp;$E25,{index(Output_HALO!$A:$ZZ,0,$C$8),index(Output_HALO!$A:$ZZ,0,$C$3)},2,0),"")</f>
        <v/>
      </c>
    </row>
    <row r="26">
      <c r="E26" s="354">
        <v>1.0</v>
      </c>
      <c r="F26" s="353">
        <f t="array" ref="F26">iferror(vlookup(F25,{index(Output_HALO!$A:$ZZ,0,$C$3),index(Output_HALO!$A:$ZZ,0,$C$4)},2,0),"")</f>
        <v>0</v>
      </c>
      <c r="G26" s="353">
        <f t="array" ref="G26">iferror(vlookup(G25,{index(Output_HALO!$A:$ZZ,0,$C$3),index(Output_HALO!$A:$ZZ,0,$C$4)},2,0),"")</f>
        <v>0</v>
      </c>
      <c r="H26" s="353">
        <f t="array" ref="H26">iferror(vlookup(H25,{index(Output_HALO!$A:$ZZ,0,$C$3),index(Output_HALO!$A:$ZZ,0,$C$4)},2,0),"")</f>
        <v>0</v>
      </c>
      <c r="I26" s="353">
        <f t="array" ref="I26">iferror(vlookup(I25,{index(Output_HALO!$A:$ZZ,0,$C$3),index(Output_HALO!$A:$ZZ,0,$C$4)},2,0),"")</f>
        <v>0</v>
      </c>
      <c r="J26" s="353">
        <f t="array" ref="J26">iferror(vlookup(J25,{index(Output_HALO!$A:$ZZ,0,$C$3),index(Output_HALO!$A:$ZZ,0,$C$4)},2,0),"")</f>
        <v>0</v>
      </c>
      <c r="K26" s="353">
        <f t="array" ref="K26">iferror(vlookup(K25,{index(Output_HALO!$A:$ZZ,0,$C$3),index(Output_HALO!$A:$ZZ,0,$C$4)},2,0),"")</f>
        <v>0</v>
      </c>
      <c r="L26" s="353">
        <f t="array" ref="L26">iferror(vlookup(L25,{index(Output_HALO!$A:$ZZ,0,$C$3),index(Output_HALO!$A:$ZZ,0,$C$4)},2,0),"")</f>
        <v>0</v>
      </c>
      <c r="M26" s="353">
        <f t="array" ref="M26">iferror(vlookup(M25,{index(Output_HALO!$A:$ZZ,0,$C$3),index(Output_HALO!$A:$ZZ,0,$C$4)},2,0),"")</f>
        <v>0</v>
      </c>
      <c r="N26" s="353">
        <f t="array" ref="N26">iferror(vlookup(N25,{index(Output_HALO!$A:$ZZ,0,$C$3),index(Output_HALO!$A:$ZZ,0,$C$4)},2,0),"")</f>
        <v>0</v>
      </c>
      <c r="O26" s="353">
        <f t="array" ref="O26">iferror(vlookup(O25,{index(Output_HALO!$A:$ZZ,0,$C$3),index(Output_HALO!$A:$ZZ,0,$C$4)},2,0),"")</f>
        <v>0</v>
      </c>
      <c r="P26" s="353">
        <f t="array" ref="P26">iferror(vlookup(P25,{index(Output_HALO!$A:$ZZ,0,$C$3),index(Output_HALO!$A:$ZZ,0,$C$4)},2,0),"")</f>
        <v>0</v>
      </c>
      <c r="Q26" s="353">
        <f t="array" ref="Q26">iferror(vlookup(Q25,{index(Output_HALO!$A:$ZZ,0,$C$3),index(Output_HALO!$A:$ZZ,0,$C$4)},2,0),"")</f>
        <v>0</v>
      </c>
      <c r="R26" s="353">
        <f t="array" ref="R26">iferror(vlookup(R25,{index(Output_HALO!$A:$ZZ,0,$C$3),index(Output_HALO!$A:$ZZ,0,$C$4)},2,0),"")</f>
        <v>0</v>
      </c>
      <c r="S26" s="353">
        <f t="array" ref="S26">iferror(vlookup(S25,{index(Output_HALO!$A:$ZZ,0,$C$3),index(Output_HALO!$A:$ZZ,0,$C$4)},2,0),"")</f>
        <v>0</v>
      </c>
      <c r="T26" s="353">
        <f t="array" ref="T26">iferror(vlookup(T25,{index(Output_HALO!$A:$ZZ,0,$C$3),index(Output_HALO!$A:$ZZ,0,$C$4)},2,0),"")</f>
        <v>0</v>
      </c>
      <c r="U26" s="353">
        <f t="array" ref="U26">iferror(vlookup(U25,{index(Output_HALO!$A:$ZZ,0,$C$3),index(Output_HALO!$A:$ZZ,0,$C$4)},2,0),"")</f>
        <v>0</v>
      </c>
      <c r="V26" s="353">
        <f t="array" ref="V26">iferror(vlookup(V25,{index(Output_HALO!$A:$ZZ,0,$C$3),index(Output_HALO!$A:$ZZ,0,$C$4)},2,0),"")</f>
        <v>0</v>
      </c>
      <c r="W26" s="353">
        <f t="array" ref="W26">iferror(vlookup(W25,{index(Output_HALO!$A:$ZZ,0,$C$3),index(Output_HALO!$A:$ZZ,0,$C$4)},2,0),"")</f>
        <v>0</v>
      </c>
      <c r="X26" s="353">
        <f t="array" ref="X26">iferror(vlookup(X25,{index(Output_HALO!$A:$ZZ,0,$C$3),index(Output_HALO!$A:$ZZ,0,$C$4)},2,0),"")</f>
        <v>0</v>
      </c>
      <c r="Y26" s="353">
        <f t="array" ref="Y26">iferror(vlookup(Y25,{index(Output_HALO!$A:$ZZ,0,$C$3),index(Output_HALO!$A:$ZZ,0,$C$4)},2,0),"")</f>
        <v>0</v>
      </c>
      <c r="Z26" s="353">
        <f t="array" ref="Z26">iferror(vlookup(Z25,{index(Output_HALO!$A:$ZZ,0,$C$3),index(Output_HALO!$A:$ZZ,0,$C$4)},2,0),"")</f>
        <v>0</v>
      </c>
      <c r="AA26" s="353">
        <f t="array" ref="AA26">iferror(vlookup(AA25,{index(Output_HALO!$A:$ZZ,0,$C$3),index(Output_HALO!$A:$ZZ,0,$C$4)},2,0),"")</f>
        <v>0</v>
      </c>
      <c r="AB26" s="353">
        <f t="array" ref="AB26">iferror(vlookup(AB25,{index(Output_HALO!$A:$ZZ,0,$C$3),index(Output_HALO!$A:$ZZ,0,$C$4)},2,0),"")</f>
        <v>0</v>
      </c>
      <c r="AC26" s="353">
        <f t="array" ref="AC26">iferror(vlookup(AC25,{index(Output_HALO!$A:$ZZ,0,$C$3),index(Output_HALO!$A:$ZZ,0,$C$4)},2,0),"")</f>
        <v>0</v>
      </c>
      <c r="AD26" s="353">
        <f t="array" ref="AD26">iferror(vlookup(AD25,{index(Output_HALO!$A:$ZZ,0,$C$3),index(Output_HALO!$A:$ZZ,0,$C$4)},2,0),"")</f>
        <v>0</v>
      </c>
      <c r="AE26" s="353">
        <f t="array" ref="AE26">iferror(vlookup(AE25,{index(Output_HALO!$A:$ZZ,0,$C$3),index(Output_HALO!$A:$ZZ,0,$C$4)},2,0),"")</f>
        <v>0</v>
      </c>
      <c r="AF26" s="353">
        <f t="array" ref="AF26">iferror(vlookup(AF25,{index(Output_HALO!$A:$ZZ,0,$C$3),index(Output_HALO!$A:$ZZ,0,$C$4)},2,0),"")</f>
        <v>0</v>
      </c>
      <c r="AG26" s="353">
        <f t="array" ref="AG26">iferror(vlookup(AG25,{index(Output_HALO!$A:$ZZ,0,$C$3),index(Output_HALO!$A:$ZZ,0,$C$4)},2,0),"")</f>
        <v>0</v>
      </c>
      <c r="AH26" s="353">
        <f t="array" ref="AH26">iferror(vlookup(AH25,{index(Output_HALO!$A:$ZZ,0,$C$3),index(Output_HALO!$A:$ZZ,0,$C$4)},2,0),"")</f>
        <v>0</v>
      </c>
      <c r="AI26" s="353">
        <f t="array" ref="AI26">iferror(vlookup(AI25,{index(Output_HALO!$A:$ZZ,0,$C$3),index(Output_HALO!$A:$ZZ,0,$C$4)},2,0),"")</f>
        <v>0</v>
      </c>
      <c r="AJ26" s="353">
        <f t="array" ref="AJ26">iferror(vlookup(AJ25,{index(Output_HALO!$A:$ZZ,0,$C$3),index(Output_HALO!$A:$ZZ,0,$C$4)},2,0),"")</f>
        <v>0</v>
      </c>
      <c r="AK26" s="353">
        <f t="array" ref="AK26">iferror(vlookup(AK25,{index(Output_HALO!$A:$ZZ,0,$C$3),index(Output_HALO!$A:$ZZ,0,$C$4)},2,0),"")</f>
        <v>0</v>
      </c>
      <c r="AL26" s="353">
        <f t="array" ref="AL26">iferror(vlookup(AL25,{index(Output_HALO!$A:$ZZ,0,$C$3),index(Output_HALO!$A:$ZZ,0,$C$4)},2,0),"")</f>
        <v>0</v>
      </c>
      <c r="AM26" s="353">
        <f t="array" ref="AM26">iferror(vlookup(AM25,{index(Output_HALO!$A:$ZZ,0,$C$3),index(Output_HALO!$A:$ZZ,0,$C$4)},2,0),"")</f>
        <v>670</v>
      </c>
      <c r="AN26" s="353">
        <f t="array" ref="AN26">iferror(vlookup(AN25,{index(Output_HALO!$A:$ZZ,0,$C$3),index(Output_HALO!$A:$ZZ,0,$C$4)},2,0),"")</f>
        <v>2052</v>
      </c>
      <c r="AO26" s="353">
        <f t="array" ref="AO26">iferror(vlookup(AO25,{index(Output_HALO!$A:$ZZ,0,$C$3),index(Output_HALO!$A:$ZZ,0,$C$4)},2,0),"")</f>
        <v>0</v>
      </c>
      <c r="AP26" s="353">
        <f t="array" ref="AP26">iferror(vlookup(AP25,{index(Output_HALO!$A:$ZZ,0,$C$3),index(Output_HALO!$A:$ZZ,0,$C$4)},2,0),"")</f>
        <v>0</v>
      </c>
      <c r="AQ26" s="353">
        <f t="array" ref="AQ26">iferror(vlookup(AQ25,{index(Output_HALO!$A:$ZZ,0,$C$3),index(Output_HALO!$A:$ZZ,0,$C$4)},2,0),"")</f>
        <v>2993</v>
      </c>
      <c r="AR26" s="353">
        <f t="array" ref="AR26">iferror(vlookup(AR25,{index(Output_HALO!$A:$ZZ,0,$C$3),index(Output_HALO!$A:$ZZ,0,$C$4)},2,0),"")</f>
        <v>0</v>
      </c>
      <c r="AS26" s="353">
        <f t="array" ref="AS26">iferror(vlookup(AS25,{index(Output_HALO!$A:$ZZ,0,$C$3),index(Output_HALO!$A:$ZZ,0,$C$4)},2,0),"")</f>
        <v>0</v>
      </c>
      <c r="AT26" s="353">
        <f t="array" ref="AT26">iferror(vlookup(AT25,{index(Output_HALO!$A:$ZZ,0,$C$3),index(Output_HALO!$A:$ZZ,0,$C$4)},2,0),"")</f>
        <v>48</v>
      </c>
      <c r="AU26" s="353">
        <f t="array" ref="AU26">iferror(vlookup(AU25,{index(Output_HALO!$A:$ZZ,0,$C$3),index(Output_HALO!$A:$ZZ,0,$C$4)},2,0),"")</f>
        <v>598</v>
      </c>
      <c r="AV26" s="353">
        <f t="array" ref="AV26">iferror(vlookup(AV25,{index(Output_HALO!$A:$ZZ,0,$C$3),index(Output_HALO!$A:$ZZ,0,$C$4)},2,0),"")</f>
        <v>2180</v>
      </c>
      <c r="AW26" s="353">
        <f t="array" ref="AW26">iferror(vlookup(AW25,{index(Output_HALO!$A:$ZZ,0,$C$3),index(Output_HALO!$A:$ZZ,0,$C$4)},2,0),"")</f>
        <v>0</v>
      </c>
      <c r="AX26" s="353">
        <f t="array" ref="AX26">iferror(vlookup(AX25,{index(Output_HALO!$A:$ZZ,0,$C$3),index(Output_HALO!$A:$ZZ,0,$C$4)},2,0),"")</f>
        <v>0</v>
      </c>
      <c r="AY26" s="353">
        <f t="array" ref="AY26">iferror(vlookup(AY25,{index(Output_HALO!$A:$ZZ,0,$C$3),index(Output_HALO!$A:$ZZ,0,$C$4)},2,0),"")</f>
        <v>0</v>
      </c>
      <c r="AZ26" s="353">
        <f t="array" ref="AZ26">iferror(vlookup(AZ25,{index(Output_HALO!$A:$ZZ,0,$C$3),index(Output_HALO!$A:$ZZ,0,$C$4)},2,0),"")</f>
        <v>0</v>
      </c>
      <c r="BA26" s="353">
        <f t="array" ref="BA26">iferror(vlookup(BA25,{index(Output_HALO!$A:$ZZ,0,$C$3),index(Output_HALO!$A:$ZZ,0,$C$4)},2,0),"")</f>
        <v>0</v>
      </c>
      <c r="BB26" s="353">
        <f t="array" ref="BB26">iferror(vlookup(BB25,{index(Output_HALO!$A:$ZZ,0,$C$3),index(Output_HALO!$A:$ZZ,0,$C$4)},2,0),"")</f>
        <v>0</v>
      </c>
      <c r="BC26" s="353">
        <f t="array" ref="BC26">iferror(vlookup(BC25,{index(Output_HALO!$A:$ZZ,0,$C$3),index(Output_HALO!$A:$ZZ,0,$C$4)},2,0),"")</f>
        <v>1276</v>
      </c>
      <c r="BD26" s="353">
        <f t="array" ref="BD26">iferror(vlookup(BD25,{index(Output_HALO!$A:$ZZ,0,$C$3),index(Output_HALO!$A:$ZZ,0,$C$4)},2,0),"")</f>
        <v>1282</v>
      </c>
      <c r="BE26" s="353">
        <f t="array" ref="BE26">iferror(vlookup(BE25,{index(Output_HALO!$A:$ZZ,0,$C$3),index(Output_HALO!$A:$ZZ,0,$C$4)},2,0),"")</f>
        <v>55</v>
      </c>
      <c r="BF26" s="353">
        <f t="array" ref="BF26">iferror(vlookup(BF25,{index(Output_HALO!$A:$ZZ,0,$C$3),index(Output_HALO!$A:$ZZ,0,$C$4)},2,0),"")</f>
        <v>0</v>
      </c>
      <c r="BG26" s="353">
        <f t="array" ref="BG26">iferror(vlookup(BG25,{index(Output_HALO!$A:$ZZ,0,$C$3),index(Output_HALO!$A:$ZZ,0,$C$4)},2,0),"")</f>
        <v>773</v>
      </c>
      <c r="BH26" s="353">
        <f t="array" ref="BH26">iferror(vlookup(BH25,{index(Output_HALO!$A:$ZZ,0,$C$3),index(Output_HALO!$A:$ZZ,0,$C$4)},2,0),"")</f>
        <v>1863</v>
      </c>
      <c r="BI26" s="353">
        <f t="array" ref="BI26">iferror(vlookup(BI25,{index(Output_HALO!$A:$ZZ,0,$C$3),index(Output_HALO!$A:$ZZ,0,$C$4)},2,0),"")</f>
        <v>0</v>
      </c>
      <c r="BJ26" s="353">
        <f t="array" ref="BJ26">iferror(vlookup(BJ25,{index(Output_HALO!$A:$ZZ,0,$C$3),index(Output_HALO!$A:$ZZ,0,$C$4)},2,0),"")</f>
        <v>0</v>
      </c>
      <c r="BK26" s="353">
        <f t="array" ref="BK26">iferror(vlookup(BK25,{index(Output_HALO!$A:$ZZ,0,$C$3),index(Output_HALO!$A:$ZZ,0,$C$4)},2,0),"")</f>
        <v>0</v>
      </c>
      <c r="BL26" s="353">
        <f t="array" ref="BL26">iferror(vlookup(BL25,{index(Output_HALO!$A:$ZZ,0,$C$3),index(Output_HALO!$A:$ZZ,0,$C$4)},2,0),"")</f>
        <v>0</v>
      </c>
      <c r="BM26" s="353">
        <f t="array" ref="BM26">iferror(vlookup(BM25,{index(Output_HALO!$A:$ZZ,0,$C$3),index(Output_HALO!$A:$ZZ,0,$C$4)},2,0),"")</f>
        <v>0</v>
      </c>
      <c r="BN26" s="353">
        <f t="array" ref="BN26">iferror(vlookup(BN25,{index(Output_HALO!$A:$ZZ,0,$C$3),index(Output_HALO!$A:$ZZ,0,$C$4)},2,0),"")</f>
        <v>0</v>
      </c>
      <c r="BO26" s="353">
        <f t="array" ref="BO26">iferror(vlookup(BO25,{index(Output_HALO!$A:$ZZ,0,$C$3),index(Output_HALO!$A:$ZZ,0,$C$4)},2,0),"")</f>
        <v>0</v>
      </c>
      <c r="BP26" s="353">
        <f t="array" ref="BP26">iferror(vlookup(BP25,{index(Output_HALO!$A:$ZZ,0,$C$3),index(Output_HALO!$A:$ZZ,0,$C$4)},2,0),"")</f>
        <v>0</v>
      </c>
      <c r="BQ26" s="353">
        <f t="array" ref="BQ26">iferror(vlookup(BQ25,{index(Output_HALO!$A:$ZZ,0,$C$3),index(Output_HALO!$A:$ZZ,0,$C$4)},2,0),"")</f>
        <v>0</v>
      </c>
    </row>
    <row r="27">
      <c r="E27" s="354">
        <v>1.0</v>
      </c>
      <c r="F27" s="353" t="str">
        <f t="array" ref="F27">iferror(vlookup(F$12&amp;"-"&amp;$E27,{index(Output_HALO!$A:$ZZ,0,$C$8),index(Output_HALO!$A:$ZZ,0,$C$5)},2,0),"")</f>
        <v/>
      </c>
      <c r="G27" s="353" t="str">
        <f t="array" ref="G27">iferror(vlookup(G$12&amp;"-"&amp;$E27,{index(Output_HALO!$A:$ZZ,0,$C$8),index(Output_HALO!$A:$ZZ,0,$C$5)},2,0),"")</f>
        <v>F02</v>
      </c>
      <c r="H27" s="353" t="str">
        <f t="array" ref="H27">iferror(vlookup(H$12&amp;"-"&amp;$E27,{index(Output_HALO!$A:$ZZ,0,$C$8),index(Output_HALO!$A:$ZZ,0,$C$5)},2,0),"")</f>
        <v>F03</v>
      </c>
      <c r="I27" s="353" t="str">
        <f t="array" ref="I27">iferror(vlookup(I$12&amp;"-"&amp;$E27,{index(Output_HALO!$A:$ZZ,0,$C$8),index(Output_HALO!$A:$ZZ,0,$C$5)},2,0),"")</f>
        <v>F04</v>
      </c>
      <c r="J27" s="353" t="str">
        <f t="array" ref="J27">iferror(vlookup(J$12&amp;"-"&amp;$E27,{index(Output_HALO!$A:$ZZ,0,$C$8),index(Output_HALO!$A:$ZZ,0,$C$5)},2,0),"")</f>
        <v>F05</v>
      </c>
      <c r="K27" s="353" t="str">
        <f t="array" ref="K27">iferror(vlookup(K$12&amp;"-"&amp;$E27,{index(Output_HALO!$A:$ZZ,0,$C$8),index(Output_HALO!$A:$ZZ,0,$C$5)},2,0),"")</f>
        <v/>
      </c>
      <c r="L27" s="353" t="str">
        <f t="array" ref="L27">iferror(vlookup(L$12&amp;"-"&amp;$E27,{index(Output_HALO!$A:$ZZ,0,$C$8),index(Output_HALO!$A:$ZZ,0,$C$5)},2,0),"")</f>
        <v>F07</v>
      </c>
      <c r="M27" s="353" t="str">
        <f t="array" ref="M27">iferror(vlookup(M$12&amp;"-"&amp;$E27,{index(Output_HALO!$A:$ZZ,0,$C$8),index(Output_HALO!$A:$ZZ,0,$C$5)},2,0),"")</f>
        <v/>
      </c>
      <c r="N27" s="353" t="str">
        <f t="array" ref="N27">iferror(vlookup(N$12&amp;"-"&amp;$E27,{index(Output_HALO!$A:$ZZ,0,$C$8),index(Output_HALO!$A:$ZZ,0,$C$5)},2,0),"")</f>
        <v>F11</v>
      </c>
      <c r="O27" s="353" t="str">
        <f t="array" ref="O27">iferror(vlookup(O$12&amp;"-"&amp;$E27,{index(Output_HALO!$A:$ZZ,0,$C$8),index(Output_HALO!$A:$ZZ,0,$C$5)},2,0),"")</f>
        <v/>
      </c>
      <c r="P27" s="353" t="str">
        <f t="array" ref="P27">iferror(vlookup(P$12&amp;"-"&amp;$E27,{index(Output_HALO!$A:$ZZ,0,$C$8),index(Output_HALO!$A:$ZZ,0,$C$5)},2,0),"")</f>
        <v/>
      </c>
      <c r="Q27" s="353" t="str">
        <f t="array" ref="Q27">iferror(vlookup(Q$12&amp;"-"&amp;$E27,{index(Output_HALO!$A:$ZZ,0,$C$8),index(Output_HALO!$A:$ZZ,0,$C$5)},2,0),"")</f>
        <v/>
      </c>
      <c r="R27" s="353" t="str">
        <f t="array" ref="R27">iferror(vlookup(R$12&amp;"-"&amp;$E27,{index(Output_HALO!$A:$ZZ,0,$C$8),index(Output_HALO!$A:$ZZ,0,$C$5)},2,0),"")</f>
        <v/>
      </c>
      <c r="S27" s="353" t="str">
        <f t="array" ref="S27">iferror(vlookup(S$12&amp;"-"&amp;$E27,{index(Output_HALO!$A:$ZZ,0,$C$8),index(Output_HALO!$A:$ZZ,0,$C$5)},2,0),"")</f>
        <v>F25</v>
      </c>
      <c r="T27" s="353" t="str">
        <f t="array" ref="T27">iferror(vlookup(T$12&amp;"-"&amp;$E27,{index(Output_HALO!$A:$ZZ,0,$C$8),index(Output_HALO!$A:$ZZ,0,$C$5)},2,0),"")</f>
        <v/>
      </c>
      <c r="U27" s="353" t="str">
        <f t="array" ref="U27">iferror(vlookup(U$12&amp;"-"&amp;$E27,{index(Output_HALO!$A:$ZZ,0,$C$8),index(Output_HALO!$A:$ZZ,0,$C$5)},2,0),"")</f>
        <v/>
      </c>
      <c r="V27" s="353" t="str">
        <f t="array" ref="V27">iferror(vlookup(V$12&amp;"-"&amp;$E27,{index(Output_HALO!$A:$ZZ,0,$C$8),index(Output_HALO!$A:$ZZ,0,$C$5)},2,0),"")</f>
        <v/>
      </c>
      <c r="W27" s="353" t="str">
        <f t="array" ref="W27">iferror(vlookup(W$12&amp;"-"&amp;$E27,{index(Output_HALO!$A:$ZZ,0,$C$8),index(Output_HALO!$A:$ZZ,0,$C$5)},2,0),"")</f>
        <v>F37</v>
      </c>
      <c r="X27" s="353" t="str">
        <f t="array" ref="X27">iferror(vlookup(X$12&amp;"-"&amp;$E27,{index(Output_HALO!$A:$ZZ,0,$C$8),index(Output_HALO!$A:$ZZ,0,$C$5)},2,0),"")</f>
        <v>F40</v>
      </c>
      <c r="Y27" s="353" t="str">
        <f t="array" ref="Y27">iferror(vlookup(Y$12&amp;"-"&amp;$E27,{index(Output_HALO!$A:$ZZ,0,$C$8),index(Output_HALO!$A:$ZZ,0,$C$5)},2,0),"")</f>
        <v/>
      </c>
      <c r="Z27" s="353" t="str">
        <f t="array" ref="Z27">iferror(vlookup(Z$12&amp;"-"&amp;$E27,{index(Output_HALO!$A:$ZZ,0,$C$8),index(Output_HALO!$A:$ZZ,0,$C$5)},2,0),"")</f>
        <v/>
      </c>
      <c r="AA27" s="353" t="str">
        <f t="array" ref="AA27">iferror(vlookup(AA$12&amp;"-"&amp;$E27,{index(Output_HALO!$A:$ZZ,0,$C$8),index(Output_HALO!$A:$ZZ,0,$C$5)},2,0),"")</f>
        <v/>
      </c>
      <c r="AB27" s="353" t="str">
        <f t="array" ref="AB27">iferror(vlookup(AB$12&amp;"-"&amp;$E27,{index(Output_HALO!$A:$ZZ,0,$C$8),index(Output_HALO!$A:$ZZ,0,$C$5)},2,0),"")</f>
        <v/>
      </c>
      <c r="AC27" s="353" t="str">
        <f t="array" ref="AC27">iferror(vlookup(AC$12&amp;"-"&amp;$E27,{index(Output_HALO!$A:$ZZ,0,$C$8),index(Output_HALO!$A:$ZZ,0,$C$5)},2,0),"")</f>
        <v>F55</v>
      </c>
      <c r="AD27" s="353" t="str">
        <f t="array" ref="AD27">iferror(vlookup(AD$12&amp;"-"&amp;$E27,{index(Output_HALO!$A:$ZZ,0,$C$8),index(Output_HALO!$A:$ZZ,0,$C$5)},2,0),"")</f>
        <v>F58</v>
      </c>
      <c r="AE27" s="353" t="str">
        <f t="array" ref="AE27">iferror(vlookup(AE$12&amp;"-"&amp;$E27,{index(Output_HALO!$A:$ZZ,0,$C$8),index(Output_HALO!$A:$ZZ,0,$C$5)},2,0),"")</f>
        <v/>
      </c>
      <c r="AF27" s="353" t="str">
        <f t="array" ref="AF27">iferror(vlookup(AF$12&amp;"-"&amp;$E27,{index(Output_HALO!$A:$ZZ,0,$C$8),index(Output_HALO!$A:$ZZ,0,$C$5)},2,0),"")</f>
        <v/>
      </c>
      <c r="AG27" s="353" t="str">
        <f t="array" ref="AG27">iferror(vlookup(AG$12&amp;"-"&amp;$E27,{index(Output_HALO!$A:$ZZ,0,$C$8),index(Output_HALO!$A:$ZZ,0,$C$5)},2,0),"")</f>
        <v/>
      </c>
      <c r="AH27" s="353" t="str">
        <f t="array" ref="AH27">iferror(vlookup(AH$12&amp;"-"&amp;$E27,{index(Output_HALO!$A:$ZZ,0,$C$8),index(Output_HALO!$A:$ZZ,0,$C$5)},2,0),"")</f>
        <v>F70</v>
      </c>
      <c r="AI27" s="353" t="str">
        <f t="array" ref="AI27">iferror(vlookup(AI$12&amp;"-"&amp;$E27,{index(Output_HALO!$A:$ZZ,0,$C$8),index(Output_HALO!$A:$ZZ,0,$C$5)},2,0),"")</f>
        <v/>
      </c>
      <c r="AJ27" s="353" t="str">
        <f t="array" ref="AJ27">iferror(vlookup(AJ$12&amp;"-"&amp;$E27,{index(Output_HALO!$A:$ZZ,0,$C$8),index(Output_HALO!$A:$ZZ,0,$C$5)},2,0),"")</f>
        <v/>
      </c>
      <c r="AK27" s="353" t="str">
        <f t="array" ref="AK27">iferror(vlookup(AK$12&amp;"-"&amp;$E27,{index(Output_HALO!$A:$ZZ,0,$C$8),index(Output_HALO!$A:$ZZ,0,$C$5)},2,0),"")</f>
        <v/>
      </c>
      <c r="AL27" s="353" t="str">
        <f t="array" ref="AL27">iferror(vlookup(AL$12&amp;"-"&amp;$E27,{index(Output_HALO!$A:$ZZ,0,$C$8),index(Output_HALO!$A:$ZZ,0,$C$5)},2,0),"")</f>
        <v/>
      </c>
      <c r="AM27" s="353" t="str">
        <f t="array" ref="AM27">iferror(vlookup(AM$12&amp;"-"&amp;$E27,{index(Output_HALO!$A:$ZZ,0,$C$8),index(Output_HALO!$A:$ZZ,0,$C$5)},2,0),"")</f>
        <v>F85</v>
      </c>
      <c r="AN27" s="353" t="str">
        <f t="array" ref="AN27">iferror(vlookup(AN$12&amp;"-"&amp;$E27,{index(Output_HALO!$A:$ZZ,0,$C$8),index(Output_HALO!$A:$ZZ,0,$C$5)},2,0),"")</f>
        <v>F88</v>
      </c>
      <c r="AO27" s="353" t="str">
        <f t="array" ref="AO27">iferror(vlookup(AO$12&amp;"-"&amp;$E27,{index(Output_HALO!$A:$ZZ,0,$C$8),index(Output_HALO!$A:$ZZ,0,$C$5)},2,0),"")</f>
        <v/>
      </c>
      <c r="AP27" s="353" t="str">
        <f t="array" ref="AP27">iferror(vlookup(AP$12&amp;"-"&amp;$E27,{index(Output_HALO!$A:$ZZ,0,$C$8),index(Output_HALO!$A:$ZZ,0,$C$5)},2,0),"")</f>
        <v/>
      </c>
      <c r="AQ27" s="353" t="str">
        <f t="array" ref="AQ27">iferror(vlookup(AQ$12&amp;"-"&amp;$E27,{index(Output_HALO!$A:$ZZ,0,$C$8),index(Output_HALO!$A:$ZZ,0,$C$5)},2,0),"")</f>
        <v>F97</v>
      </c>
      <c r="AR27" s="353" t="str">
        <f t="array" ref="AR27">iferror(vlookup(AR$12&amp;"-"&amp;$E27,{index(Output_HALO!$A:$ZZ,0,$C$8),index(Output_HALO!$A:$ZZ,0,$C$5)},2,0),"")</f>
        <v/>
      </c>
      <c r="AS27" s="353" t="str">
        <f t="array" ref="AS27">iferror(vlookup(AS$12&amp;"-"&amp;$E27,{index(Output_HALO!$A:$ZZ,0,$C$8),index(Output_HALO!$A:$ZZ,0,$C$5)},2,0),"")</f>
        <v/>
      </c>
      <c r="AT27" s="353" t="str">
        <f t="array" ref="AT27">iferror(vlookup(AT$12&amp;"-"&amp;$E27,{index(Output_HALO!$A:$ZZ,0,$C$8),index(Output_HALO!$A:$ZZ,0,$C$5)},2,0),"")</f>
        <v>F105</v>
      </c>
      <c r="AU27" s="353" t="str">
        <f t="array" ref="AU27">iferror(vlookup(AU$12&amp;"-"&amp;$E27,{index(Output_HALO!$A:$ZZ,0,$C$8),index(Output_HALO!$A:$ZZ,0,$C$5)},2,0),"")</f>
        <v>F107</v>
      </c>
      <c r="AV27" s="353" t="str">
        <f t="array" ref="AV27">iferror(vlookup(AV$12&amp;"-"&amp;$E27,{index(Output_HALO!$A:$ZZ,0,$C$8),index(Output_HALO!$A:$ZZ,0,$C$5)},2,0),"")</f>
        <v>F109</v>
      </c>
      <c r="AW27" s="353" t="str">
        <f t="array" ref="AW27">iferror(vlookup(AW$12&amp;"-"&amp;$E27,{index(Output_HALO!$A:$ZZ,0,$C$8),index(Output_HALO!$A:$ZZ,0,$C$5)},2,0),"")</f>
        <v/>
      </c>
      <c r="AX27" s="353" t="str">
        <f t="array" ref="AX27">iferror(vlookup(AX$12&amp;"-"&amp;$E27,{index(Output_HALO!$A:$ZZ,0,$C$8),index(Output_HALO!$A:$ZZ,0,$C$5)},2,0),"")</f>
        <v/>
      </c>
      <c r="AY27" s="353" t="str">
        <f t="array" ref="AY27">iferror(vlookup(AY$12&amp;"-"&amp;$E27,{index(Output_HALO!$A:$ZZ,0,$C$8),index(Output_HALO!$A:$ZZ,0,$C$5)},2,0),"")</f>
        <v/>
      </c>
      <c r="AZ27" s="353" t="str">
        <f t="array" ref="AZ27">iferror(vlookup(AZ$12&amp;"-"&amp;$E27,{index(Output_HALO!$A:$ZZ,0,$C$8),index(Output_HALO!$A:$ZZ,0,$C$5)},2,0),"")</f>
        <v/>
      </c>
      <c r="BA27" s="353" t="str">
        <f t="array" ref="BA27">iferror(vlookup(BA$12&amp;"-"&amp;$E27,{index(Output_HALO!$A:$ZZ,0,$C$8),index(Output_HALO!$A:$ZZ,0,$C$5)},2,0),"")</f>
        <v/>
      </c>
      <c r="BB27" s="353" t="str">
        <f t="array" ref="BB27">iferror(vlookup(BB$12&amp;"-"&amp;$E27,{index(Output_HALO!$A:$ZZ,0,$C$8),index(Output_HALO!$A:$ZZ,0,$C$5)},2,0),"")</f>
        <v/>
      </c>
      <c r="BC27" s="353" t="str">
        <f t="array" ref="BC27">iferror(vlookup(BC$12&amp;"-"&amp;$E27,{index(Output_HALO!$A:$ZZ,0,$C$8),index(Output_HALO!$A:$ZZ,0,$C$5)},2,0),"")</f>
        <v>F123</v>
      </c>
      <c r="BD27" s="353" t="str">
        <f t="array" ref="BD27">iferror(vlookup(BD$12&amp;"-"&amp;$E27,{index(Output_HALO!$A:$ZZ,0,$C$8),index(Output_HALO!$A:$ZZ,0,$C$5)},2,0),"")</f>
        <v>F125</v>
      </c>
      <c r="BE27" s="353" t="str">
        <f t="array" ref="BE27">iferror(vlookup(BE$12&amp;"-"&amp;$E27,{index(Output_HALO!$A:$ZZ,0,$C$8),index(Output_HALO!$A:$ZZ,0,$C$5)},2,0),"")</f>
        <v>F127</v>
      </c>
      <c r="BF27" s="353" t="str">
        <f t="array" ref="BF27">iferror(vlookup(BF$12&amp;"-"&amp;$E27,{index(Output_HALO!$A:$ZZ,0,$C$8),index(Output_HALO!$A:$ZZ,0,$C$5)},2,0),"")</f>
        <v/>
      </c>
      <c r="BG27" s="353" t="str">
        <f t="array" ref="BG27">iferror(vlookup(BG$12&amp;"-"&amp;$E27,{index(Output_HALO!$A:$ZZ,0,$C$8),index(Output_HALO!$A:$ZZ,0,$C$5)},2,0),"")</f>
        <v>F131</v>
      </c>
      <c r="BH27" s="353" t="str">
        <f t="array" ref="BH27">iferror(vlookup(BH$12&amp;"-"&amp;$E27,{index(Output_HALO!$A:$ZZ,0,$C$8),index(Output_HALO!$A:$ZZ,0,$C$5)},2,0),"")</f>
        <v>F133</v>
      </c>
      <c r="BI27" s="353" t="str">
        <f t="array" ref="BI27">iferror(vlookup(BI$12&amp;"-"&amp;$E27,{index(Output_HALO!$A:$ZZ,0,$C$8),index(Output_HALO!$A:$ZZ,0,$C$5)},2,0),"")</f>
        <v>F135</v>
      </c>
      <c r="BJ27" s="353" t="str">
        <f t="array" ref="BJ27">iferror(vlookup(BJ$12&amp;"-"&amp;$E27,{index(Output_HALO!$A:$ZZ,0,$C$8),index(Output_HALO!$A:$ZZ,0,$C$5)},2,0),"")</f>
        <v>F137</v>
      </c>
      <c r="BK27" s="353" t="str">
        <f t="array" ref="BK27">iferror(vlookup(BK$12&amp;"-"&amp;$E27,{index(Output_HALO!$A:$ZZ,0,$C$8),index(Output_HALO!$A:$ZZ,0,$C$5)},2,0),"")</f>
        <v>F139</v>
      </c>
      <c r="BL27" s="353" t="str">
        <f t="array" ref="BL27">iferror(vlookup(BL$12&amp;"-"&amp;$E27,{index(Output_HALO!$A:$ZZ,0,$C$8),index(Output_HALO!$A:$ZZ,0,$C$5)},2,0),"")</f>
        <v>F141</v>
      </c>
      <c r="BM27" s="353" t="str">
        <f t="array" ref="BM27">iferror(vlookup(BM$12&amp;"-"&amp;$E27,{index(Output_HALO!$A:$ZZ,0,$C$8),index(Output_HALO!$A:$ZZ,0,$C$5)},2,0),"")</f>
        <v>F143</v>
      </c>
      <c r="BN27" s="353" t="str">
        <f t="array" ref="BN27">iferror(vlookup(BN$12&amp;"-"&amp;$E27,{index(Output_HALO!$A:$ZZ,0,$C$8),index(Output_HALO!$A:$ZZ,0,$C$5)},2,0),"")</f>
        <v/>
      </c>
      <c r="BO27" s="353" t="str">
        <f t="array" ref="BO27">iferror(vlookup(BO$12&amp;"-"&amp;$E27,{index(Output_HALO!$A:$ZZ,0,$C$8),index(Output_HALO!$A:$ZZ,0,$C$5)},2,0),"")</f>
        <v/>
      </c>
      <c r="BP27" s="353" t="str">
        <f t="array" ref="BP27">iferror(vlookup(BP$12&amp;"-"&amp;$E27,{index(Output_HALO!$A:$ZZ,0,$C$8),index(Output_HALO!$A:$ZZ,0,$C$5)},2,0),"")</f>
        <v/>
      </c>
      <c r="BQ27" s="353" t="str">
        <f t="array" ref="BQ27">iferror(vlookup(BQ$12&amp;"-"&amp;$E27,{index(Output_HALO!$A:$ZZ,0,$C$8),index(Output_HALO!$A:$ZZ,0,$C$5)},2,0),"")</f>
        <v/>
      </c>
    </row>
    <row r="28">
      <c r="E28" s="354"/>
      <c r="F28" s="355"/>
      <c r="G28" s="355"/>
      <c r="H28" s="355"/>
      <c r="I28" s="355"/>
      <c r="J28" s="355"/>
      <c r="K28" s="355"/>
      <c r="L28" s="355"/>
      <c r="M28" s="355"/>
      <c r="N28" s="355"/>
      <c r="O28" s="355"/>
      <c r="P28" s="355"/>
      <c r="Q28" s="355"/>
      <c r="R28" s="355"/>
      <c r="S28" s="355"/>
      <c r="T28" s="355"/>
      <c r="U28" s="355"/>
      <c r="V28" s="355"/>
      <c r="W28" s="355"/>
      <c r="X28" s="355"/>
      <c r="Y28" s="355"/>
      <c r="Z28" s="355"/>
      <c r="AA28" s="355"/>
      <c r="AB28" s="355"/>
      <c r="AC28" s="355"/>
      <c r="AD28" s="355"/>
      <c r="AE28" s="355"/>
      <c r="AF28" s="355"/>
      <c r="AG28" s="355"/>
      <c r="AH28" s="355"/>
      <c r="AI28" s="355"/>
      <c r="AJ28" s="355"/>
      <c r="AK28" s="355"/>
      <c r="AL28" s="355"/>
      <c r="AM28" s="355"/>
      <c r="AN28" s="355"/>
      <c r="AO28" s="355"/>
      <c r="AP28" s="355"/>
      <c r="AQ28" s="355"/>
      <c r="AR28" s="355"/>
      <c r="AS28" s="355"/>
      <c r="AT28" s="355"/>
      <c r="AU28" s="355"/>
      <c r="AV28" s="355"/>
      <c r="AW28" s="355"/>
      <c r="AX28" s="355"/>
      <c r="AY28" s="355"/>
      <c r="AZ28" s="355"/>
      <c r="BA28" s="355"/>
      <c r="BB28" s="355"/>
      <c r="BC28" s="355"/>
      <c r="BD28" s="355"/>
      <c r="BE28" s="355"/>
      <c r="BF28" s="355"/>
      <c r="BG28" s="355"/>
      <c r="BH28" s="355"/>
      <c r="BI28" s="355"/>
      <c r="BJ28" s="355"/>
      <c r="BK28" s="355"/>
      <c r="BL28" s="355"/>
      <c r="BM28" s="355"/>
      <c r="BN28" s="355"/>
      <c r="BO28" s="355"/>
      <c r="BP28" s="355"/>
      <c r="BQ28" s="355"/>
    </row>
    <row r="29">
      <c r="E29" s="354"/>
      <c r="F29" s="355"/>
      <c r="G29" s="355"/>
      <c r="H29" s="355"/>
      <c r="I29" s="355"/>
      <c r="J29" s="355"/>
      <c r="K29" s="355"/>
      <c r="L29" s="355"/>
      <c r="M29" s="355"/>
      <c r="N29" s="355"/>
      <c r="O29" s="355"/>
      <c r="P29" s="355"/>
      <c r="Q29" s="355"/>
      <c r="R29" s="355"/>
      <c r="S29" s="355"/>
      <c r="T29" s="355"/>
      <c r="U29" s="355"/>
      <c r="V29" s="355"/>
      <c r="W29" s="355"/>
      <c r="X29" s="355"/>
      <c r="Y29" s="355"/>
      <c r="Z29" s="355"/>
      <c r="AA29" s="355"/>
      <c r="AB29" s="355"/>
      <c r="AC29" s="355"/>
      <c r="AD29" s="355"/>
      <c r="AE29" s="355"/>
      <c r="AF29" s="355"/>
      <c r="AG29" s="355"/>
      <c r="AH29" s="355"/>
      <c r="AI29" s="355"/>
      <c r="AJ29" s="355"/>
      <c r="AK29" s="355"/>
      <c r="AL29" s="355"/>
      <c r="AM29" s="355"/>
      <c r="AN29" s="355"/>
      <c r="AO29" s="355"/>
      <c r="AP29" s="355"/>
      <c r="AQ29" s="355"/>
      <c r="AR29" s="355"/>
      <c r="AS29" s="355"/>
      <c r="AT29" s="355"/>
      <c r="AU29" s="355"/>
      <c r="AV29" s="355"/>
      <c r="AW29" s="355"/>
      <c r="AX29" s="355"/>
      <c r="AY29" s="355"/>
      <c r="AZ29" s="355"/>
      <c r="BA29" s="355"/>
      <c r="BB29" s="355"/>
      <c r="BC29" s="355"/>
      <c r="BD29" s="355"/>
      <c r="BE29" s="355"/>
      <c r="BF29" s="355"/>
      <c r="BG29" s="355"/>
      <c r="BH29" s="355"/>
      <c r="BI29" s="355"/>
      <c r="BJ29" s="355"/>
      <c r="BK29" s="355"/>
      <c r="BL29" s="355"/>
      <c r="BM29" s="355"/>
      <c r="BN29" s="355"/>
      <c r="BO29" s="355"/>
      <c r="BP29" s="355"/>
      <c r="BQ29" s="355"/>
    </row>
    <row r="30" hidden="1">
      <c r="E30" s="348">
        <v>-1.0</v>
      </c>
      <c r="F30" s="355"/>
      <c r="G30" s="355"/>
      <c r="H30" s="355"/>
      <c r="I30" s="355"/>
      <c r="J30" s="355"/>
      <c r="K30" s="355"/>
      <c r="L30" s="355"/>
      <c r="M30" s="355"/>
      <c r="N30" s="355"/>
      <c r="O30" s="355"/>
      <c r="P30" s="355"/>
      <c r="Q30" s="355"/>
      <c r="R30" s="355"/>
      <c r="S30" s="355"/>
      <c r="T30" s="355"/>
      <c r="U30" s="355"/>
      <c r="V30" s="355"/>
      <c r="W30" s="355"/>
      <c r="X30" s="356" t="e">
        <v>#N/A</v>
      </c>
      <c r="Y30" s="356" t="e">
        <v>#N/A</v>
      </c>
      <c r="Z30" s="355"/>
      <c r="AA30" s="355"/>
      <c r="AB30" s="355"/>
      <c r="AC30" s="355"/>
      <c r="AD30" s="355"/>
      <c r="AE30" s="355"/>
      <c r="AF30" s="355"/>
      <c r="AG30" s="356" t="e">
        <v>#N/A</v>
      </c>
      <c r="AH30" s="356" t="e">
        <v>#N/A</v>
      </c>
      <c r="AI30" s="355"/>
      <c r="AJ30" s="356" t="e">
        <v>#N/A</v>
      </c>
      <c r="AK30" s="356" t="e">
        <v>#N/A</v>
      </c>
      <c r="AL30" s="355"/>
      <c r="AM30" s="355"/>
      <c r="AN30" s="355"/>
      <c r="AO30" s="355"/>
      <c r="AP30" s="355"/>
      <c r="AQ30" s="355"/>
      <c r="AR30" s="355"/>
      <c r="AS30" s="355"/>
      <c r="AT30" s="355"/>
      <c r="AU30" s="355"/>
      <c r="AV30" s="355"/>
      <c r="AW30" s="355"/>
      <c r="AX30" s="355"/>
      <c r="AY30" s="355"/>
      <c r="AZ30" s="355"/>
      <c r="BA30" s="355"/>
      <c r="BB30" s="355"/>
      <c r="BC30" s="355"/>
      <c r="BD30" s="355"/>
      <c r="BE30" s="355"/>
      <c r="BF30" s="355"/>
      <c r="BG30" s="355"/>
      <c r="BH30" s="355"/>
      <c r="BI30" s="355"/>
      <c r="BJ30" s="355"/>
      <c r="BK30" s="355"/>
      <c r="BL30" s="355"/>
      <c r="BM30" s="355"/>
      <c r="BN30" s="355"/>
      <c r="BO30" s="355"/>
      <c r="BP30" s="355"/>
      <c r="BQ30" s="355"/>
    </row>
    <row r="31" hidden="1">
      <c r="E31" s="348">
        <v>-2.0</v>
      </c>
      <c r="F31" s="355"/>
      <c r="G31" s="355"/>
      <c r="H31" s="355"/>
      <c r="I31" s="355"/>
      <c r="J31" s="355"/>
      <c r="K31" s="355"/>
      <c r="L31" s="355"/>
      <c r="M31" s="355"/>
      <c r="N31" s="355"/>
      <c r="O31" s="355"/>
      <c r="P31" s="355"/>
      <c r="Q31" s="355"/>
      <c r="R31" s="355"/>
      <c r="S31" s="355"/>
      <c r="T31" s="355"/>
      <c r="U31" s="355"/>
      <c r="V31" s="355"/>
      <c r="W31" s="355"/>
      <c r="X31" s="355"/>
      <c r="Y31" s="355"/>
      <c r="Z31" s="355"/>
      <c r="AA31" s="355"/>
      <c r="AB31" s="355"/>
      <c r="AC31" s="355"/>
      <c r="AD31" s="355"/>
      <c r="AE31" s="355"/>
      <c r="AF31" s="355"/>
      <c r="AG31" s="355"/>
      <c r="AH31" s="355"/>
      <c r="AI31" s="355"/>
      <c r="AJ31" s="355"/>
      <c r="AK31" s="355"/>
      <c r="AL31" s="355"/>
      <c r="AM31" s="355"/>
      <c r="AN31" s="355"/>
      <c r="AO31" s="355"/>
      <c r="AP31" s="355"/>
      <c r="AQ31" s="355"/>
      <c r="AR31" s="355"/>
      <c r="AS31" s="355"/>
      <c r="AT31" s="355"/>
      <c r="AU31" s="355"/>
      <c r="AV31" s="355"/>
      <c r="AW31" s="355"/>
      <c r="AX31" s="355"/>
      <c r="AY31" s="355"/>
      <c r="AZ31" s="355"/>
      <c r="BA31" s="355"/>
      <c r="BB31" s="355"/>
      <c r="BC31" s="355"/>
      <c r="BD31" s="355"/>
      <c r="BE31" s="355"/>
      <c r="BF31" s="355"/>
      <c r="BG31" s="355"/>
      <c r="BH31" s="355"/>
      <c r="BI31" s="355"/>
      <c r="BJ31" s="355"/>
      <c r="BK31" s="355"/>
      <c r="BL31" s="355"/>
      <c r="BM31" s="355"/>
      <c r="BN31" s="355"/>
      <c r="BO31" s="355"/>
      <c r="BP31" s="355"/>
      <c r="BQ31" s="355"/>
    </row>
    <row r="32" hidden="1">
      <c r="E32" s="348">
        <v>-3.0</v>
      </c>
      <c r="F32" s="355"/>
      <c r="G32" s="355"/>
      <c r="H32" s="355"/>
      <c r="I32" s="355"/>
      <c r="J32" s="355"/>
      <c r="K32" s="355"/>
      <c r="L32" s="355"/>
      <c r="M32" s="355"/>
      <c r="N32" s="355"/>
      <c r="O32" s="355"/>
      <c r="P32" s="355"/>
      <c r="Q32" s="355"/>
      <c r="R32" s="355"/>
      <c r="S32" s="355"/>
      <c r="T32" s="355"/>
      <c r="U32" s="355"/>
      <c r="V32" s="355"/>
      <c r="W32" s="355"/>
      <c r="X32" s="355"/>
      <c r="Y32" s="355"/>
      <c r="Z32" s="355"/>
      <c r="AA32" s="355"/>
      <c r="AB32" s="355"/>
      <c r="AC32" s="355"/>
      <c r="AD32" s="355"/>
      <c r="AE32" s="355"/>
      <c r="AF32" s="355"/>
      <c r="AG32" s="355"/>
      <c r="AH32" s="355"/>
      <c r="AI32" s="355"/>
      <c r="AJ32" s="355"/>
      <c r="AK32" s="355"/>
      <c r="AL32" s="355"/>
      <c r="AM32" s="355"/>
      <c r="AN32" s="355"/>
      <c r="AO32" s="355"/>
      <c r="AP32" s="355"/>
      <c r="AQ32" s="355"/>
      <c r="AR32" s="355"/>
      <c r="AS32" s="355"/>
      <c r="AT32" s="355"/>
      <c r="AU32" s="355"/>
      <c r="AV32" s="355"/>
      <c r="AW32" s="355"/>
      <c r="AX32" s="355"/>
      <c r="AY32" s="355"/>
      <c r="AZ32" s="355"/>
      <c r="BA32" s="355"/>
      <c r="BB32" s="355"/>
      <c r="BC32" s="355"/>
      <c r="BD32" s="355"/>
      <c r="BE32" s="355"/>
      <c r="BF32" s="355"/>
      <c r="BG32" s="355"/>
      <c r="BH32" s="355"/>
      <c r="BI32" s="355"/>
      <c r="BJ32" s="355"/>
      <c r="BK32" s="355"/>
      <c r="BL32" s="355"/>
      <c r="BM32" s="355"/>
      <c r="BN32" s="355"/>
      <c r="BO32" s="355"/>
      <c r="BP32" s="355"/>
      <c r="BQ32" s="355"/>
    </row>
    <row r="33" hidden="1">
      <c r="E33" s="348">
        <v>-4.0</v>
      </c>
      <c r="F33" s="355"/>
      <c r="G33" s="355"/>
      <c r="H33" s="355"/>
      <c r="I33" s="355"/>
      <c r="J33" s="355"/>
      <c r="K33" s="355"/>
      <c r="L33" s="355"/>
      <c r="M33" s="355"/>
      <c r="N33" s="355"/>
      <c r="O33" s="355"/>
      <c r="P33" s="355"/>
      <c r="Q33" s="355"/>
      <c r="R33" s="355"/>
      <c r="S33" s="355"/>
      <c r="T33" s="355"/>
      <c r="U33" s="355"/>
      <c r="V33" s="355"/>
      <c r="W33" s="355"/>
      <c r="X33" s="355"/>
      <c r="Y33" s="355"/>
      <c r="Z33" s="355"/>
      <c r="AA33" s="355"/>
      <c r="AB33" s="355"/>
      <c r="AC33" s="355"/>
      <c r="AD33" s="355"/>
      <c r="AE33" s="355"/>
      <c r="AF33" s="355"/>
      <c r="AG33" s="355"/>
      <c r="AH33" s="355"/>
      <c r="AI33" s="355"/>
      <c r="AJ33" s="355"/>
      <c r="AK33" s="355"/>
      <c r="AL33" s="355"/>
      <c r="AM33" s="355"/>
      <c r="AN33" s="355"/>
      <c r="AO33" s="355"/>
      <c r="AP33" s="355"/>
      <c r="AQ33" s="355"/>
      <c r="AR33" s="355"/>
      <c r="AS33" s="355"/>
      <c r="AT33" s="355"/>
      <c r="AU33" s="355"/>
      <c r="AV33" s="355"/>
      <c r="AW33" s="355"/>
      <c r="AX33" s="355"/>
      <c r="AY33" s="355"/>
      <c r="AZ33" s="355"/>
      <c r="BA33" s="355"/>
      <c r="BB33" s="355"/>
      <c r="BC33" s="355"/>
      <c r="BD33" s="355"/>
      <c r="BE33" s="355"/>
      <c r="BF33" s="355"/>
      <c r="BG33" s="355"/>
      <c r="BH33" s="355"/>
      <c r="BI33" s="355"/>
      <c r="BJ33" s="355"/>
      <c r="BK33" s="355"/>
      <c r="BL33" s="355"/>
      <c r="BM33" s="355"/>
      <c r="BN33" s="355"/>
      <c r="BO33" s="355"/>
      <c r="BP33" s="355"/>
      <c r="BQ33" s="355"/>
    </row>
    <row r="34" hidden="1">
      <c r="E34" s="348">
        <v>-5.0</v>
      </c>
      <c r="F34" s="355"/>
      <c r="G34" s="355"/>
      <c r="H34" s="355"/>
      <c r="I34" s="355"/>
      <c r="J34" s="355"/>
      <c r="K34" s="355"/>
      <c r="L34" s="355"/>
      <c r="M34" s="355"/>
      <c r="N34" s="355"/>
      <c r="O34" s="355"/>
      <c r="P34" s="355"/>
      <c r="Q34" s="355"/>
      <c r="R34" s="355"/>
      <c r="S34" s="355"/>
      <c r="T34" s="355"/>
      <c r="U34" s="355"/>
      <c r="V34" s="355"/>
      <c r="W34" s="355"/>
      <c r="X34" s="355"/>
      <c r="Y34" s="355"/>
      <c r="Z34" s="355"/>
      <c r="AA34" s="355"/>
      <c r="AB34" s="355"/>
      <c r="AC34" s="355"/>
      <c r="AD34" s="355"/>
      <c r="AE34" s="355"/>
      <c r="AF34" s="355"/>
      <c r="AG34" s="355"/>
      <c r="AH34" s="355"/>
      <c r="AI34" s="355"/>
      <c r="AJ34" s="355"/>
      <c r="AK34" s="355"/>
      <c r="AL34" s="355"/>
      <c r="AM34" s="355"/>
      <c r="AN34" s="355"/>
      <c r="AO34" s="355"/>
      <c r="AP34" s="355"/>
      <c r="AQ34" s="355"/>
      <c r="AR34" s="355"/>
      <c r="AS34" s="355"/>
      <c r="AT34" s="355"/>
      <c r="AU34" s="355"/>
      <c r="AV34" s="355"/>
      <c r="AW34" s="355"/>
      <c r="AX34" s="355"/>
      <c r="AY34" s="355"/>
      <c r="AZ34" s="355"/>
      <c r="BA34" s="355"/>
      <c r="BB34" s="355"/>
      <c r="BC34" s="355"/>
      <c r="BD34" s="355"/>
      <c r="BE34" s="355"/>
      <c r="BF34" s="355"/>
      <c r="BG34" s="355"/>
      <c r="BH34" s="355"/>
      <c r="BI34" s="355"/>
      <c r="BJ34" s="355"/>
      <c r="BK34" s="355"/>
      <c r="BL34" s="355"/>
      <c r="BM34" s="355"/>
      <c r="BN34" s="355"/>
      <c r="BO34" s="355"/>
      <c r="BP34" s="355"/>
      <c r="BQ34" s="355"/>
    </row>
    <row r="35">
      <c r="E35" s="354"/>
      <c r="F35" s="355"/>
      <c r="G35" s="355"/>
      <c r="H35" s="355"/>
      <c r="I35" s="355"/>
      <c r="J35" s="355"/>
      <c r="K35" s="355"/>
      <c r="L35" s="355"/>
      <c r="M35" s="355"/>
      <c r="N35" s="355"/>
      <c r="O35" s="355"/>
      <c r="P35" s="355"/>
      <c r="Q35" s="355"/>
      <c r="R35" s="355"/>
      <c r="S35" s="355"/>
      <c r="T35" s="355"/>
      <c r="U35" s="355"/>
      <c r="V35" s="355"/>
      <c r="W35" s="355"/>
      <c r="X35" s="355"/>
      <c r="Y35" s="355"/>
      <c r="Z35" s="355"/>
      <c r="AA35" s="355"/>
      <c r="AB35" s="355"/>
      <c r="AC35" s="355"/>
      <c r="AD35" s="355"/>
      <c r="AE35" s="355"/>
      <c r="AF35" s="355"/>
      <c r="AG35" s="355"/>
      <c r="AH35" s="355"/>
      <c r="AI35" s="355"/>
      <c r="AJ35" s="355"/>
      <c r="AK35" s="355"/>
      <c r="AL35" s="355"/>
      <c r="AM35" s="355"/>
      <c r="AN35" s="355"/>
      <c r="AO35" s="355"/>
      <c r="AP35" s="355"/>
      <c r="AQ35" s="355"/>
      <c r="AR35" s="355"/>
      <c r="AS35" s="355"/>
      <c r="AT35" s="355"/>
      <c r="AU35" s="355"/>
      <c r="AV35" s="355"/>
      <c r="AW35" s="355"/>
      <c r="AX35" s="355"/>
      <c r="AY35" s="355"/>
      <c r="AZ35" s="355"/>
      <c r="BA35" s="355"/>
      <c r="BB35" s="355"/>
      <c r="BC35" s="355"/>
      <c r="BD35" s="355"/>
      <c r="BE35" s="355"/>
      <c r="BF35" s="355"/>
      <c r="BG35" s="355"/>
      <c r="BH35" s="355"/>
      <c r="BI35" s="355"/>
      <c r="BJ35" s="355"/>
      <c r="BK35" s="355"/>
      <c r="BL35" s="355"/>
      <c r="BM35" s="355"/>
      <c r="BN35" s="355"/>
      <c r="BO35" s="355"/>
      <c r="BP35" s="355"/>
      <c r="BQ35" s="355"/>
    </row>
    <row r="36">
      <c r="E36" s="354"/>
      <c r="F36" s="355"/>
      <c r="G36" s="355"/>
      <c r="H36" s="355"/>
      <c r="I36" s="355"/>
      <c r="J36" s="355"/>
      <c r="K36" s="355"/>
      <c r="L36" s="355"/>
      <c r="M36" s="355"/>
      <c r="N36" s="355"/>
      <c r="O36" s="355"/>
      <c r="P36" s="355"/>
      <c r="Q36" s="355"/>
      <c r="R36" s="355"/>
      <c r="S36" s="355"/>
      <c r="T36" s="355"/>
      <c r="U36" s="355"/>
      <c r="V36" s="355"/>
      <c r="W36" s="355"/>
      <c r="X36" s="355"/>
      <c r="Y36" s="355"/>
      <c r="Z36" s="355"/>
      <c r="AA36" s="355"/>
      <c r="AB36" s="355"/>
      <c r="AC36" s="355"/>
      <c r="AD36" s="355"/>
      <c r="AE36" s="355"/>
      <c r="AF36" s="355"/>
      <c r="AG36" s="355"/>
      <c r="AH36" s="355"/>
      <c r="AI36" s="355"/>
      <c r="AJ36" s="355"/>
      <c r="AK36" s="355"/>
      <c r="AL36" s="355"/>
      <c r="AM36" s="355"/>
      <c r="AN36" s="355"/>
      <c r="AO36" s="355"/>
      <c r="AP36" s="355"/>
      <c r="AQ36" s="355"/>
      <c r="AR36" s="355"/>
      <c r="AS36" s="355"/>
      <c r="AT36" s="355"/>
      <c r="AU36" s="355"/>
      <c r="AV36" s="355"/>
      <c r="AW36" s="355"/>
      <c r="AX36" s="355"/>
      <c r="AY36" s="355"/>
      <c r="AZ36" s="355"/>
      <c r="BA36" s="355"/>
      <c r="BB36" s="355"/>
      <c r="BC36" s="355"/>
      <c r="BD36" s="355"/>
      <c r="BE36" s="355"/>
      <c r="BF36" s="355"/>
      <c r="BG36" s="355"/>
      <c r="BH36" s="355"/>
      <c r="BI36" s="355"/>
      <c r="BJ36" s="355"/>
      <c r="BK36" s="355"/>
      <c r="BL36" s="355"/>
      <c r="BM36" s="355"/>
      <c r="BN36" s="355"/>
      <c r="BO36" s="355"/>
      <c r="BP36" s="355"/>
      <c r="BQ36" s="355"/>
    </row>
    <row r="37">
      <c r="E37" s="354"/>
      <c r="F37" s="355"/>
      <c r="G37" s="355"/>
      <c r="H37" s="355"/>
      <c r="I37" s="355"/>
      <c r="J37" s="355"/>
      <c r="K37" s="355"/>
      <c r="L37" s="355"/>
      <c r="M37" s="355"/>
      <c r="N37" s="355"/>
      <c r="O37" s="355"/>
      <c r="P37" s="355"/>
      <c r="Q37" s="355"/>
      <c r="R37" s="355"/>
      <c r="S37" s="355"/>
      <c r="T37" s="355"/>
      <c r="U37" s="355"/>
      <c r="V37" s="355"/>
      <c r="W37" s="355"/>
      <c r="X37" s="355"/>
      <c r="Y37" s="355"/>
      <c r="Z37" s="355"/>
      <c r="AA37" s="355"/>
      <c r="AB37" s="355"/>
      <c r="AC37" s="355"/>
      <c r="AD37" s="355"/>
      <c r="AE37" s="355"/>
      <c r="AF37" s="355"/>
      <c r="AG37" s="355"/>
      <c r="AH37" s="355"/>
      <c r="AI37" s="355"/>
      <c r="AJ37" s="355"/>
      <c r="AK37" s="355"/>
      <c r="AL37" s="355"/>
      <c r="AM37" s="355"/>
      <c r="AN37" s="355"/>
      <c r="AO37" s="355"/>
      <c r="AP37" s="355"/>
      <c r="AQ37" s="355"/>
      <c r="AR37" s="355"/>
      <c r="AS37" s="355"/>
      <c r="AT37" s="355"/>
      <c r="AU37" s="355"/>
      <c r="AV37" s="355"/>
      <c r="AW37" s="355"/>
      <c r="AX37" s="355"/>
      <c r="AY37" s="355"/>
      <c r="AZ37" s="355"/>
      <c r="BA37" s="355"/>
      <c r="BB37" s="355"/>
      <c r="BC37" s="355"/>
      <c r="BD37" s="355"/>
      <c r="BE37" s="355"/>
      <c r="BF37" s="355"/>
      <c r="BG37" s="355"/>
      <c r="BH37" s="355"/>
      <c r="BI37" s="355"/>
      <c r="BJ37" s="355"/>
      <c r="BK37" s="355"/>
      <c r="BL37" s="355"/>
      <c r="BM37" s="355"/>
      <c r="BN37" s="355"/>
      <c r="BO37" s="355"/>
      <c r="BP37" s="355"/>
      <c r="BQ37" s="355"/>
    </row>
    <row r="38">
      <c r="E38" s="354"/>
      <c r="F38" s="355"/>
      <c r="G38" s="355"/>
      <c r="H38" s="355"/>
      <c r="I38" s="355"/>
      <c r="J38" s="355"/>
      <c r="K38" s="355"/>
      <c r="L38" s="355"/>
      <c r="M38" s="355"/>
      <c r="N38" s="355"/>
      <c r="O38" s="355"/>
      <c r="P38" s="355"/>
      <c r="Q38" s="355"/>
      <c r="R38" s="355"/>
      <c r="S38" s="355"/>
      <c r="T38" s="355"/>
      <c r="U38" s="355"/>
      <c r="V38" s="355"/>
      <c r="W38" s="355"/>
      <c r="X38" s="355"/>
      <c r="Y38" s="355"/>
      <c r="Z38" s="355"/>
      <c r="AA38" s="355"/>
      <c r="AB38" s="355"/>
      <c r="AC38" s="355"/>
      <c r="AD38" s="355"/>
      <c r="AE38" s="355"/>
      <c r="AF38" s="355"/>
      <c r="AG38" s="355"/>
      <c r="AH38" s="355"/>
      <c r="AI38" s="355"/>
      <c r="AJ38" s="355"/>
      <c r="AK38" s="355"/>
      <c r="AL38" s="355"/>
      <c r="AM38" s="355"/>
      <c r="AN38" s="355"/>
      <c r="AO38" s="355"/>
      <c r="AP38" s="355"/>
      <c r="AQ38" s="355"/>
      <c r="AR38" s="355"/>
      <c r="AS38" s="355"/>
      <c r="AT38" s="355"/>
      <c r="AU38" s="355"/>
      <c r="AV38" s="355"/>
      <c r="AW38" s="355"/>
      <c r="AX38" s="355"/>
      <c r="AY38" s="355"/>
      <c r="AZ38" s="355"/>
      <c r="BA38" s="355"/>
      <c r="BB38" s="355"/>
      <c r="BC38" s="355"/>
      <c r="BD38" s="355"/>
      <c r="BE38" s="355"/>
      <c r="BF38" s="355"/>
      <c r="BG38" s="355"/>
      <c r="BH38" s="355"/>
      <c r="BI38" s="355"/>
      <c r="BJ38" s="355"/>
      <c r="BK38" s="355"/>
      <c r="BL38" s="355"/>
      <c r="BM38" s="355"/>
      <c r="BN38" s="355"/>
      <c r="BO38" s="355"/>
      <c r="BP38" s="355"/>
      <c r="BQ38" s="355"/>
    </row>
    <row r="39">
      <c r="E39" s="354"/>
      <c r="F39" s="355"/>
      <c r="G39" s="355"/>
      <c r="H39" s="355"/>
      <c r="I39" s="355"/>
      <c r="J39" s="355"/>
      <c r="K39" s="355"/>
      <c r="L39" s="355"/>
      <c r="M39" s="355"/>
      <c r="N39" s="355"/>
      <c r="O39" s="355"/>
      <c r="P39" s="355"/>
      <c r="Q39" s="355"/>
      <c r="R39" s="355"/>
      <c r="S39" s="355"/>
      <c r="T39" s="355"/>
      <c r="U39" s="355"/>
      <c r="V39" s="355"/>
      <c r="W39" s="355"/>
      <c r="X39" s="355"/>
      <c r="Y39" s="355"/>
      <c r="Z39" s="355"/>
      <c r="AA39" s="355"/>
      <c r="AB39" s="355"/>
      <c r="AC39" s="355"/>
      <c r="AD39" s="355"/>
      <c r="AE39" s="355"/>
      <c r="AF39" s="355"/>
      <c r="AG39" s="355"/>
      <c r="AH39" s="355"/>
      <c r="AI39" s="355"/>
      <c r="AJ39" s="355"/>
      <c r="AK39" s="355"/>
      <c r="AL39" s="355"/>
      <c r="AM39" s="355"/>
      <c r="AN39" s="355"/>
      <c r="AO39" s="355"/>
      <c r="AP39" s="355"/>
      <c r="AQ39" s="355"/>
      <c r="AR39" s="355"/>
      <c r="AS39" s="355"/>
      <c r="AT39" s="355"/>
      <c r="AU39" s="355"/>
      <c r="AV39" s="355"/>
      <c r="AW39" s="355"/>
      <c r="AX39" s="355"/>
      <c r="AY39" s="355"/>
      <c r="AZ39" s="355"/>
      <c r="BA39" s="355"/>
      <c r="BB39" s="355"/>
      <c r="BC39" s="355"/>
      <c r="BD39" s="355"/>
      <c r="BE39" s="355"/>
      <c r="BF39" s="355"/>
      <c r="BG39" s="355"/>
      <c r="BH39" s="355"/>
      <c r="BI39" s="355"/>
      <c r="BJ39" s="355"/>
      <c r="BK39" s="355"/>
      <c r="BL39" s="355"/>
      <c r="BM39" s="355"/>
      <c r="BN39" s="355"/>
      <c r="BO39" s="355"/>
      <c r="BP39" s="355"/>
      <c r="BQ39" s="355"/>
    </row>
    <row r="40">
      <c r="E40" s="354"/>
      <c r="F40" s="355"/>
      <c r="G40" s="355"/>
      <c r="H40" s="355"/>
      <c r="I40" s="355"/>
      <c r="J40" s="355"/>
      <c r="K40" s="355"/>
      <c r="L40" s="355"/>
      <c r="M40" s="355"/>
      <c r="N40" s="355"/>
      <c r="O40" s="355"/>
      <c r="P40" s="355"/>
      <c r="Q40" s="355"/>
      <c r="R40" s="355"/>
      <c r="S40" s="355"/>
      <c r="T40" s="355"/>
      <c r="U40" s="355"/>
      <c r="V40" s="355"/>
      <c r="W40" s="355"/>
      <c r="X40" s="355"/>
      <c r="Y40" s="355"/>
      <c r="Z40" s="355"/>
      <c r="AA40" s="355"/>
      <c r="AB40" s="355"/>
      <c r="AC40" s="355"/>
      <c r="AD40" s="355"/>
      <c r="AE40" s="355"/>
      <c r="AF40" s="355"/>
      <c r="AG40" s="355"/>
      <c r="AH40" s="355"/>
      <c r="AI40" s="355"/>
      <c r="AJ40" s="355"/>
      <c r="AK40" s="355"/>
      <c r="AL40" s="355"/>
      <c r="AM40" s="355"/>
      <c r="AN40" s="355"/>
      <c r="AO40" s="355"/>
      <c r="AP40" s="355"/>
      <c r="AQ40" s="355"/>
      <c r="AR40" s="355"/>
      <c r="AS40" s="355"/>
      <c r="AT40" s="355"/>
      <c r="AU40" s="355"/>
      <c r="AV40" s="355"/>
      <c r="AW40" s="355"/>
      <c r="AX40" s="355"/>
      <c r="AY40" s="355"/>
      <c r="AZ40" s="355"/>
      <c r="BA40" s="355"/>
      <c r="BB40" s="355"/>
      <c r="BC40" s="355"/>
      <c r="BD40" s="355"/>
      <c r="BE40" s="355"/>
      <c r="BF40" s="355"/>
      <c r="BG40" s="355"/>
      <c r="BH40" s="355"/>
      <c r="BI40" s="355"/>
      <c r="BJ40" s="355"/>
      <c r="BK40" s="355"/>
      <c r="BL40" s="355"/>
      <c r="BM40" s="355"/>
      <c r="BN40" s="355"/>
      <c r="BO40" s="355"/>
      <c r="BP40" s="355"/>
      <c r="BQ40" s="355"/>
    </row>
    <row r="41">
      <c r="E41" s="354"/>
      <c r="F41" s="355"/>
      <c r="G41" s="355"/>
      <c r="H41" s="355"/>
      <c r="I41" s="355"/>
      <c r="J41" s="355"/>
      <c r="K41" s="355"/>
      <c r="L41" s="355"/>
      <c r="M41" s="355"/>
      <c r="N41" s="355"/>
      <c r="O41" s="355"/>
      <c r="P41" s="355"/>
      <c r="Q41" s="355"/>
      <c r="R41" s="355"/>
      <c r="S41" s="355"/>
      <c r="T41" s="355"/>
      <c r="U41" s="355"/>
      <c r="V41" s="355"/>
      <c r="W41" s="355"/>
      <c r="X41" s="355"/>
      <c r="Y41" s="355"/>
      <c r="Z41" s="355"/>
      <c r="AA41" s="355"/>
      <c r="AB41" s="355"/>
      <c r="AC41" s="355"/>
      <c r="AD41" s="355"/>
      <c r="AE41" s="355"/>
      <c r="AF41" s="355"/>
      <c r="AG41" s="355"/>
      <c r="AH41" s="355"/>
      <c r="AI41" s="355"/>
      <c r="AJ41" s="355"/>
      <c r="AK41" s="355"/>
      <c r="AL41" s="355"/>
      <c r="AM41" s="355"/>
      <c r="AN41" s="355"/>
      <c r="AO41" s="355"/>
      <c r="AP41" s="355"/>
      <c r="AQ41" s="355"/>
      <c r="AR41" s="355"/>
      <c r="AS41" s="355"/>
      <c r="AT41" s="355"/>
      <c r="AU41" s="355"/>
      <c r="AV41" s="355"/>
      <c r="AW41" s="355"/>
      <c r="AX41" s="355"/>
      <c r="AY41" s="355"/>
      <c r="AZ41" s="355"/>
      <c r="BA41" s="355"/>
      <c r="BB41" s="355"/>
      <c r="BC41" s="355"/>
      <c r="BD41" s="355"/>
      <c r="BE41" s="355"/>
      <c r="BF41" s="355"/>
      <c r="BG41" s="355"/>
      <c r="BH41" s="355"/>
      <c r="BI41" s="355"/>
      <c r="BJ41" s="355"/>
      <c r="BK41" s="355"/>
      <c r="BL41" s="355"/>
      <c r="BM41" s="355"/>
      <c r="BN41" s="355"/>
      <c r="BO41" s="355"/>
      <c r="BP41" s="355"/>
      <c r="BQ41" s="355"/>
    </row>
    <row r="42">
      <c r="E42" s="354"/>
      <c r="F42" s="355"/>
      <c r="G42" s="355"/>
      <c r="H42" s="355"/>
      <c r="I42" s="355"/>
      <c r="J42" s="355"/>
      <c r="K42" s="355"/>
      <c r="L42" s="355"/>
      <c r="M42" s="355"/>
      <c r="N42" s="355"/>
      <c r="O42" s="355"/>
      <c r="P42" s="355"/>
      <c r="Q42" s="355"/>
      <c r="R42" s="355"/>
      <c r="S42" s="355"/>
      <c r="T42" s="355"/>
      <c r="U42" s="355"/>
      <c r="V42" s="355"/>
      <c r="W42" s="355"/>
      <c r="X42" s="355"/>
      <c r="Y42" s="355"/>
      <c r="Z42" s="355"/>
      <c r="AA42" s="355"/>
      <c r="AB42" s="355"/>
      <c r="AC42" s="355"/>
      <c r="AD42" s="355"/>
      <c r="AE42" s="355"/>
      <c r="AF42" s="355"/>
      <c r="AG42" s="355"/>
      <c r="AH42" s="355"/>
      <c r="AI42" s="355"/>
      <c r="AJ42" s="355"/>
      <c r="AK42" s="355"/>
      <c r="AL42" s="355"/>
      <c r="AM42" s="355"/>
      <c r="AN42" s="355"/>
      <c r="AO42" s="355"/>
      <c r="AP42" s="355"/>
      <c r="AQ42" s="355"/>
      <c r="AR42" s="355"/>
      <c r="AS42" s="355"/>
      <c r="AT42" s="355"/>
      <c r="AU42" s="355"/>
      <c r="AV42" s="355"/>
      <c r="AW42" s="355"/>
      <c r="AX42" s="355"/>
      <c r="AY42" s="355"/>
      <c r="AZ42" s="355"/>
      <c r="BA42" s="355"/>
      <c r="BB42" s="355"/>
      <c r="BC42" s="355"/>
      <c r="BD42" s="355"/>
      <c r="BE42" s="355"/>
      <c r="BF42" s="355"/>
      <c r="BG42" s="355"/>
      <c r="BH42" s="355"/>
      <c r="BI42" s="355"/>
      <c r="BJ42" s="355"/>
      <c r="BK42" s="355"/>
      <c r="BL42" s="355"/>
      <c r="BM42" s="355"/>
      <c r="BN42" s="355"/>
      <c r="BO42" s="355"/>
      <c r="BP42" s="355"/>
      <c r="BQ42" s="355"/>
    </row>
    <row r="43">
      <c r="E43" s="354"/>
      <c r="F43" s="355"/>
      <c r="G43" s="355"/>
      <c r="H43" s="355"/>
      <c r="I43" s="355"/>
      <c r="J43" s="355"/>
      <c r="K43" s="355"/>
      <c r="L43" s="355"/>
      <c r="M43" s="355"/>
      <c r="N43" s="355"/>
      <c r="O43" s="355"/>
      <c r="P43" s="355"/>
      <c r="Q43" s="355"/>
      <c r="R43" s="355"/>
      <c r="S43" s="355"/>
      <c r="T43" s="355"/>
      <c r="U43" s="355"/>
      <c r="V43" s="355"/>
      <c r="W43" s="355"/>
      <c r="X43" s="355"/>
      <c r="Y43" s="355"/>
      <c r="Z43" s="355"/>
      <c r="AA43" s="355"/>
      <c r="AB43" s="355"/>
      <c r="AC43" s="355"/>
      <c r="AD43" s="355"/>
      <c r="AE43" s="355"/>
      <c r="AF43" s="355"/>
      <c r="AG43" s="355"/>
      <c r="AH43" s="355"/>
      <c r="AI43" s="355"/>
      <c r="AJ43" s="355"/>
      <c r="AK43" s="355"/>
      <c r="AL43" s="355"/>
      <c r="AM43" s="355"/>
      <c r="AN43" s="355"/>
      <c r="AO43" s="355"/>
      <c r="AP43" s="355"/>
      <c r="AQ43" s="355"/>
      <c r="AR43" s="355"/>
      <c r="AS43" s="355"/>
      <c r="AT43" s="355"/>
      <c r="AU43" s="355"/>
      <c r="AV43" s="355"/>
      <c r="AW43" s="355"/>
      <c r="AX43" s="355"/>
      <c r="AY43" s="355"/>
      <c r="AZ43" s="355"/>
      <c r="BA43" s="355"/>
      <c r="BB43" s="355"/>
      <c r="BC43" s="355"/>
      <c r="BD43" s="355"/>
      <c r="BE43" s="355"/>
      <c r="BF43" s="355"/>
      <c r="BG43" s="355"/>
      <c r="BH43" s="355"/>
      <c r="BI43" s="355"/>
      <c r="BJ43" s="355"/>
      <c r="BK43" s="355"/>
      <c r="BL43" s="355"/>
      <c r="BM43" s="355"/>
      <c r="BN43" s="355"/>
      <c r="BO43" s="355"/>
      <c r="BP43" s="355"/>
      <c r="BQ43" s="355"/>
    </row>
    <row r="44">
      <c r="E44" s="354"/>
      <c r="F44" s="355"/>
      <c r="G44" s="355"/>
      <c r="H44" s="355"/>
      <c r="I44" s="355"/>
      <c r="J44" s="355"/>
      <c r="K44" s="355"/>
      <c r="L44" s="355"/>
      <c r="M44" s="355"/>
      <c r="N44" s="355"/>
      <c r="O44" s="355"/>
      <c r="P44" s="355"/>
      <c r="Q44" s="355"/>
      <c r="R44" s="355"/>
      <c r="S44" s="355"/>
      <c r="T44" s="355"/>
      <c r="U44" s="355"/>
      <c r="V44" s="355"/>
      <c r="W44" s="355"/>
      <c r="X44" s="355"/>
      <c r="Y44" s="355"/>
      <c r="Z44" s="355"/>
      <c r="AA44" s="355"/>
      <c r="AB44" s="355"/>
      <c r="AC44" s="355"/>
      <c r="AD44" s="355"/>
      <c r="AE44" s="355"/>
      <c r="AF44" s="355"/>
      <c r="AG44" s="355"/>
      <c r="AH44" s="355"/>
      <c r="AI44" s="355"/>
      <c r="AJ44" s="355"/>
      <c r="AK44" s="355"/>
      <c r="AL44" s="355"/>
      <c r="AM44" s="355"/>
      <c r="AN44" s="355"/>
      <c r="AO44" s="355"/>
      <c r="AP44" s="355"/>
      <c r="AQ44" s="355"/>
      <c r="AR44" s="355"/>
      <c r="AS44" s="355"/>
      <c r="AT44" s="355"/>
      <c r="AU44" s="355"/>
      <c r="AV44" s="355"/>
      <c r="AW44" s="355"/>
      <c r="AX44" s="355"/>
      <c r="AY44" s="355"/>
      <c r="AZ44" s="355"/>
      <c r="BA44" s="355"/>
      <c r="BB44" s="355"/>
      <c r="BC44" s="355"/>
      <c r="BD44" s="355"/>
      <c r="BE44" s="355"/>
      <c r="BF44" s="355"/>
      <c r="BG44" s="355"/>
      <c r="BH44" s="355"/>
      <c r="BI44" s="355"/>
      <c r="BJ44" s="355"/>
      <c r="BK44" s="355"/>
      <c r="BL44" s="355"/>
      <c r="BM44" s="355"/>
      <c r="BN44" s="355"/>
      <c r="BO44" s="355"/>
      <c r="BP44" s="355"/>
      <c r="BQ44" s="355"/>
    </row>
    <row r="45">
      <c r="E45" s="354"/>
      <c r="F45" s="355"/>
      <c r="G45" s="355"/>
      <c r="H45" s="355"/>
      <c r="I45" s="355"/>
      <c r="J45" s="355"/>
      <c r="K45" s="355"/>
      <c r="L45" s="355"/>
      <c r="M45" s="355"/>
      <c r="N45" s="355"/>
      <c r="O45" s="355"/>
      <c r="P45" s="355"/>
      <c r="Q45" s="355"/>
      <c r="R45" s="355"/>
      <c r="S45" s="355"/>
      <c r="T45" s="355"/>
      <c r="U45" s="355"/>
      <c r="V45" s="355"/>
      <c r="W45" s="355"/>
      <c r="X45" s="355"/>
      <c r="Y45" s="355"/>
      <c r="Z45" s="355"/>
      <c r="AA45" s="355"/>
      <c r="AB45" s="355"/>
      <c r="AC45" s="355"/>
      <c r="AD45" s="355"/>
      <c r="AE45" s="355"/>
      <c r="AF45" s="355"/>
      <c r="AG45" s="355"/>
      <c r="AH45" s="355"/>
      <c r="AI45" s="355"/>
      <c r="AJ45" s="355"/>
      <c r="AK45" s="355"/>
      <c r="AL45" s="355"/>
      <c r="AM45" s="355"/>
      <c r="AN45" s="355"/>
      <c r="AO45" s="355"/>
      <c r="AP45" s="355"/>
      <c r="AQ45" s="355"/>
      <c r="AR45" s="355"/>
      <c r="AS45" s="355"/>
      <c r="AT45" s="355"/>
      <c r="AU45" s="355"/>
      <c r="AV45" s="355"/>
      <c r="AW45" s="355"/>
      <c r="AX45" s="355"/>
      <c r="AY45" s="355"/>
      <c r="AZ45" s="355"/>
      <c r="BA45" s="355"/>
      <c r="BB45" s="355"/>
      <c r="BC45" s="355"/>
      <c r="BD45" s="355"/>
      <c r="BE45" s="355"/>
      <c r="BF45" s="355"/>
      <c r="BG45" s="355"/>
      <c r="BH45" s="355"/>
      <c r="BI45" s="355"/>
      <c r="BJ45" s="355"/>
      <c r="BK45" s="355"/>
      <c r="BL45" s="355"/>
      <c r="BM45" s="355"/>
      <c r="BN45" s="355"/>
      <c r="BO45" s="355"/>
      <c r="BP45" s="355"/>
      <c r="BQ45" s="355"/>
    </row>
    <row r="46">
      <c r="E46" s="354"/>
      <c r="F46" s="355"/>
      <c r="G46" s="355"/>
      <c r="H46" s="355"/>
      <c r="I46" s="355"/>
      <c r="J46" s="355"/>
      <c r="K46" s="355"/>
      <c r="L46" s="355"/>
      <c r="M46" s="355"/>
      <c r="N46" s="355"/>
      <c r="O46" s="355"/>
      <c r="P46" s="355"/>
      <c r="Q46" s="355"/>
      <c r="R46" s="355"/>
      <c r="S46" s="355"/>
      <c r="T46" s="355"/>
      <c r="U46" s="355"/>
      <c r="V46" s="355"/>
      <c r="W46" s="355"/>
      <c r="X46" s="355"/>
      <c r="Y46" s="355"/>
      <c r="Z46" s="355"/>
      <c r="AA46" s="355"/>
      <c r="AB46" s="355"/>
      <c r="AC46" s="355"/>
      <c r="AD46" s="355"/>
      <c r="AE46" s="355"/>
      <c r="AF46" s="355"/>
      <c r="AG46" s="355"/>
      <c r="AH46" s="355"/>
      <c r="AI46" s="355"/>
      <c r="AJ46" s="355"/>
      <c r="AK46" s="355"/>
      <c r="AL46" s="355"/>
      <c r="AM46" s="355"/>
      <c r="AN46" s="355"/>
      <c r="AO46" s="355"/>
      <c r="AP46" s="355"/>
      <c r="AQ46" s="355"/>
      <c r="AR46" s="355"/>
      <c r="AS46" s="355"/>
      <c r="AT46" s="355"/>
      <c r="AU46" s="355"/>
      <c r="AV46" s="355"/>
      <c r="AW46" s="355"/>
      <c r="AX46" s="355"/>
      <c r="AY46" s="355"/>
      <c r="AZ46" s="355"/>
      <c r="BA46" s="355"/>
      <c r="BB46" s="355"/>
      <c r="BC46" s="355"/>
      <c r="BD46" s="355"/>
      <c r="BE46" s="355"/>
      <c r="BF46" s="355"/>
      <c r="BG46" s="355"/>
      <c r="BH46" s="355"/>
      <c r="BI46" s="355"/>
      <c r="BJ46" s="355"/>
      <c r="BK46" s="355"/>
      <c r="BL46" s="355"/>
      <c r="BM46" s="355"/>
      <c r="BN46" s="355"/>
      <c r="BO46" s="355"/>
      <c r="BP46" s="355"/>
      <c r="BQ46" s="355"/>
    </row>
    <row r="47">
      <c r="E47" s="354"/>
      <c r="F47" s="355"/>
      <c r="G47" s="355"/>
      <c r="H47" s="355"/>
      <c r="I47" s="355"/>
      <c r="J47" s="355"/>
      <c r="K47" s="355"/>
      <c r="L47" s="355"/>
      <c r="M47" s="355"/>
      <c r="N47" s="355"/>
      <c r="O47" s="355"/>
      <c r="P47" s="355"/>
      <c r="Q47" s="355"/>
      <c r="R47" s="355"/>
      <c r="S47" s="355"/>
      <c r="T47" s="355"/>
      <c r="U47" s="355"/>
      <c r="V47" s="355"/>
      <c r="W47" s="355"/>
      <c r="X47" s="355"/>
      <c r="Y47" s="355"/>
      <c r="Z47" s="355"/>
      <c r="AA47" s="355"/>
      <c r="AB47" s="355"/>
      <c r="AC47" s="355"/>
      <c r="AD47" s="355"/>
      <c r="AE47" s="355"/>
      <c r="AF47" s="355"/>
      <c r="AG47" s="355"/>
      <c r="AH47" s="355"/>
      <c r="AI47" s="355"/>
      <c r="AJ47" s="355"/>
      <c r="AK47" s="355"/>
      <c r="AL47" s="355"/>
      <c r="AM47" s="355"/>
      <c r="AN47" s="355"/>
      <c r="AO47" s="355"/>
      <c r="AP47" s="355"/>
      <c r="AQ47" s="355"/>
      <c r="AR47" s="355"/>
      <c r="AS47" s="355"/>
      <c r="AT47" s="355"/>
      <c r="AU47" s="355"/>
      <c r="AV47" s="355"/>
      <c r="AW47" s="355"/>
      <c r="AX47" s="355"/>
      <c r="AY47" s="355"/>
      <c r="AZ47" s="355"/>
      <c r="BA47" s="355"/>
      <c r="BB47" s="355"/>
      <c r="BC47" s="355"/>
      <c r="BD47" s="355"/>
      <c r="BE47" s="355"/>
      <c r="BF47" s="355"/>
      <c r="BG47" s="355"/>
      <c r="BH47" s="355"/>
      <c r="BI47" s="355"/>
      <c r="BJ47" s="355"/>
      <c r="BK47" s="355"/>
      <c r="BL47" s="355"/>
      <c r="BM47" s="355"/>
      <c r="BN47" s="355"/>
      <c r="BO47" s="355"/>
      <c r="BP47" s="355"/>
      <c r="BQ47" s="355"/>
    </row>
    <row r="48">
      <c r="E48" s="354"/>
      <c r="F48" s="355"/>
      <c r="G48" s="355"/>
      <c r="H48" s="355"/>
      <c r="I48" s="355"/>
      <c r="J48" s="355"/>
      <c r="K48" s="355"/>
      <c r="L48" s="355"/>
      <c r="M48" s="355"/>
      <c r="N48" s="355"/>
      <c r="O48" s="355"/>
      <c r="P48" s="355"/>
      <c r="Q48" s="355"/>
      <c r="R48" s="355"/>
      <c r="S48" s="355"/>
      <c r="T48" s="355"/>
      <c r="U48" s="355"/>
      <c r="V48" s="355"/>
      <c r="W48" s="355"/>
      <c r="X48" s="355"/>
      <c r="Y48" s="355"/>
      <c r="Z48" s="355"/>
      <c r="AA48" s="355"/>
      <c r="AB48" s="355"/>
      <c r="AC48" s="355"/>
      <c r="AD48" s="355"/>
      <c r="AE48" s="355"/>
      <c r="AF48" s="355"/>
      <c r="AG48" s="355"/>
      <c r="AH48" s="355"/>
      <c r="AI48" s="355"/>
      <c r="AJ48" s="355"/>
      <c r="AK48" s="355"/>
      <c r="AL48" s="355"/>
      <c r="AM48" s="355"/>
      <c r="AN48" s="355"/>
      <c r="AO48" s="355"/>
      <c r="AP48" s="355"/>
      <c r="AQ48" s="355"/>
      <c r="AR48" s="355"/>
      <c r="AS48" s="355"/>
      <c r="AT48" s="355"/>
      <c r="AU48" s="355"/>
      <c r="AV48" s="355"/>
      <c r="AW48" s="355"/>
      <c r="AX48" s="355"/>
      <c r="AY48" s="355"/>
      <c r="AZ48" s="355"/>
      <c r="BA48" s="355"/>
      <c r="BB48" s="355"/>
      <c r="BC48" s="355"/>
      <c r="BD48" s="355"/>
      <c r="BE48" s="355"/>
      <c r="BF48" s="355"/>
      <c r="BG48" s="355"/>
      <c r="BH48" s="355"/>
      <c r="BI48" s="355"/>
      <c r="BJ48" s="355"/>
      <c r="BK48" s="355"/>
      <c r="BL48" s="355"/>
      <c r="BM48" s="355"/>
      <c r="BN48" s="355"/>
      <c r="BO48" s="355"/>
      <c r="BP48" s="355"/>
      <c r="BQ48" s="355"/>
    </row>
    <row r="49">
      <c r="E49" s="354"/>
      <c r="F49" s="355"/>
      <c r="G49" s="355"/>
      <c r="H49" s="355"/>
      <c r="I49" s="355"/>
      <c r="J49" s="355"/>
      <c r="K49" s="355"/>
      <c r="L49" s="355"/>
      <c r="M49" s="355"/>
      <c r="N49" s="355"/>
      <c r="O49" s="355"/>
      <c r="P49" s="355"/>
      <c r="Q49" s="355"/>
      <c r="R49" s="355"/>
      <c r="S49" s="355"/>
      <c r="T49" s="355"/>
      <c r="U49" s="355"/>
      <c r="V49" s="355"/>
      <c r="W49" s="355"/>
      <c r="X49" s="355"/>
      <c r="Y49" s="355"/>
      <c r="Z49" s="355"/>
      <c r="AA49" s="355"/>
      <c r="AB49" s="355"/>
      <c r="AC49" s="355"/>
      <c r="AD49" s="355"/>
      <c r="AE49" s="355"/>
      <c r="AF49" s="355"/>
      <c r="AG49" s="355"/>
      <c r="AH49" s="355"/>
      <c r="AI49" s="355"/>
      <c r="AJ49" s="355"/>
      <c r="AK49" s="355"/>
      <c r="AL49" s="355"/>
      <c r="AM49" s="355"/>
      <c r="AN49" s="355"/>
      <c r="AO49" s="355"/>
      <c r="AP49" s="355"/>
      <c r="AQ49" s="355"/>
      <c r="AR49" s="355"/>
      <c r="AS49" s="355"/>
      <c r="AT49" s="355"/>
      <c r="AU49" s="355"/>
      <c r="AV49" s="355"/>
      <c r="AW49" s="355"/>
      <c r="AX49" s="355"/>
      <c r="AY49" s="355"/>
      <c r="AZ49" s="355"/>
      <c r="BA49" s="355"/>
      <c r="BB49" s="355"/>
      <c r="BC49" s="355"/>
      <c r="BD49" s="355"/>
      <c r="BE49" s="355"/>
      <c r="BF49" s="355"/>
      <c r="BG49" s="355"/>
      <c r="BH49" s="355"/>
      <c r="BI49" s="355"/>
      <c r="BJ49" s="355"/>
      <c r="BK49" s="355"/>
      <c r="BL49" s="355"/>
      <c r="BM49" s="355"/>
      <c r="BN49" s="355"/>
      <c r="BO49" s="355"/>
      <c r="BP49" s="355"/>
      <c r="BQ49" s="355"/>
    </row>
    <row r="50">
      <c r="E50" s="354"/>
      <c r="F50" s="355"/>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row>
    <row r="51">
      <c r="E51" s="354"/>
      <c r="F51" s="355"/>
      <c r="G51" s="355"/>
      <c r="H51" s="355"/>
      <c r="I51" s="355"/>
      <c r="J51" s="355"/>
      <c r="K51" s="355"/>
      <c r="L51" s="355"/>
      <c r="M51" s="355"/>
      <c r="N51" s="355"/>
      <c r="O51" s="355"/>
      <c r="P51" s="355"/>
      <c r="Q51" s="355"/>
      <c r="R51" s="355"/>
      <c r="S51" s="355"/>
      <c r="T51" s="355"/>
      <c r="U51" s="355"/>
      <c r="V51" s="355"/>
      <c r="W51" s="355"/>
      <c r="X51" s="355"/>
      <c r="Y51" s="355"/>
      <c r="Z51" s="355"/>
      <c r="AA51" s="355"/>
      <c r="AB51" s="355"/>
      <c r="AC51" s="355"/>
      <c r="AD51" s="355"/>
      <c r="AE51" s="355"/>
      <c r="AF51" s="355"/>
      <c r="AG51" s="355"/>
      <c r="AH51" s="355"/>
      <c r="AI51" s="355"/>
      <c r="AJ51" s="355"/>
      <c r="AK51" s="355"/>
      <c r="AL51" s="355"/>
      <c r="AM51" s="355"/>
      <c r="AN51" s="355"/>
      <c r="AO51" s="355"/>
      <c r="AP51" s="355"/>
      <c r="AQ51" s="355"/>
      <c r="AR51" s="355"/>
      <c r="AS51" s="355"/>
      <c r="AT51" s="355"/>
      <c r="AU51" s="355"/>
      <c r="AV51" s="355"/>
      <c r="AW51" s="355"/>
      <c r="AX51" s="355"/>
      <c r="AY51" s="355"/>
      <c r="AZ51" s="355"/>
      <c r="BA51" s="355"/>
      <c r="BB51" s="355"/>
      <c r="BC51" s="355"/>
      <c r="BD51" s="355"/>
      <c r="BE51" s="355"/>
      <c r="BF51" s="355"/>
      <c r="BG51" s="355"/>
      <c r="BH51" s="355"/>
      <c r="BI51" s="355"/>
      <c r="BJ51" s="355"/>
      <c r="BK51" s="355"/>
      <c r="BL51" s="355"/>
      <c r="BM51" s="355"/>
      <c r="BN51" s="355"/>
      <c r="BO51" s="355"/>
      <c r="BP51" s="355"/>
      <c r="BQ51" s="355"/>
    </row>
    <row r="52">
      <c r="E52" s="354"/>
      <c r="F52" s="355"/>
      <c r="G52" s="355"/>
      <c r="H52" s="355"/>
      <c r="I52" s="355"/>
      <c r="J52" s="355"/>
      <c r="K52" s="355"/>
      <c r="L52" s="355"/>
      <c r="M52" s="355"/>
      <c r="N52" s="355"/>
      <c r="O52" s="355"/>
      <c r="P52" s="355"/>
      <c r="Q52" s="355"/>
      <c r="R52" s="355"/>
      <c r="S52" s="355"/>
      <c r="T52" s="355"/>
      <c r="U52" s="355"/>
      <c r="V52" s="355"/>
      <c r="W52" s="355"/>
      <c r="X52" s="355"/>
      <c r="Y52" s="355"/>
      <c r="Z52" s="355"/>
      <c r="AA52" s="355"/>
      <c r="AB52" s="355"/>
      <c r="AC52" s="355"/>
      <c r="AD52" s="355"/>
      <c r="AE52" s="355"/>
      <c r="AF52" s="355"/>
      <c r="AG52" s="355"/>
      <c r="AH52" s="355"/>
      <c r="AI52" s="355"/>
      <c r="AJ52" s="355"/>
      <c r="AK52" s="355"/>
      <c r="AL52" s="355"/>
      <c r="AM52" s="355"/>
      <c r="AN52" s="355"/>
      <c r="AO52" s="355"/>
      <c r="AP52" s="355"/>
      <c r="AQ52" s="355"/>
      <c r="AR52" s="355"/>
      <c r="AS52" s="355"/>
      <c r="AT52" s="355"/>
      <c r="AU52" s="355"/>
      <c r="AV52" s="355"/>
      <c r="AW52" s="355"/>
      <c r="AX52" s="355"/>
      <c r="AY52" s="355"/>
      <c r="AZ52" s="355"/>
      <c r="BA52" s="355"/>
      <c r="BB52" s="355"/>
      <c r="BC52" s="355"/>
      <c r="BD52" s="355"/>
      <c r="BE52" s="355"/>
      <c r="BF52" s="355"/>
      <c r="BG52" s="355"/>
      <c r="BH52" s="355"/>
      <c r="BI52" s="355"/>
      <c r="BJ52" s="355"/>
      <c r="BK52" s="355"/>
      <c r="BL52" s="355"/>
      <c r="BM52" s="355"/>
      <c r="BN52" s="355"/>
      <c r="BO52" s="355"/>
      <c r="BP52" s="355"/>
      <c r="BQ52" s="355"/>
    </row>
    <row r="53">
      <c r="E53" s="354"/>
      <c r="F53" s="355"/>
      <c r="G53" s="355"/>
      <c r="H53" s="355"/>
      <c r="I53" s="355"/>
      <c r="J53" s="355"/>
      <c r="K53" s="355"/>
      <c r="L53" s="355"/>
      <c r="M53" s="355"/>
      <c r="N53" s="355"/>
      <c r="O53" s="355"/>
      <c r="P53" s="355"/>
      <c r="Q53" s="355"/>
      <c r="R53" s="355"/>
      <c r="S53" s="355"/>
      <c r="T53" s="355"/>
      <c r="U53" s="355"/>
      <c r="V53" s="355"/>
      <c r="W53" s="355"/>
      <c r="X53" s="355"/>
      <c r="Y53" s="355"/>
      <c r="Z53" s="355"/>
      <c r="AA53" s="355"/>
      <c r="AB53" s="355"/>
      <c r="AC53" s="355"/>
      <c r="AD53" s="355"/>
      <c r="AE53" s="355"/>
      <c r="AF53" s="355"/>
      <c r="AG53" s="355"/>
      <c r="AH53" s="355"/>
      <c r="AI53" s="355"/>
      <c r="AJ53" s="355"/>
      <c r="AK53" s="355"/>
      <c r="AL53" s="355"/>
      <c r="AM53" s="355"/>
      <c r="AN53" s="355"/>
      <c r="AO53" s="355"/>
      <c r="AP53" s="355"/>
      <c r="AQ53" s="355"/>
      <c r="AR53" s="355"/>
      <c r="AS53" s="355"/>
      <c r="AT53" s="355"/>
      <c r="AU53" s="355"/>
      <c r="AV53" s="355"/>
      <c r="AW53" s="355"/>
      <c r="AX53" s="355"/>
      <c r="AY53" s="355"/>
      <c r="AZ53" s="355"/>
      <c r="BA53" s="355"/>
      <c r="BB53" s="355"/>
      <c r="BC53" s="355"/>
      <c r="BD53" s="355"/>
      <c r="BE53" s="355"/>
      <c r="BF53" s="355"/>
      <c r="BG53" s="355"/>
      <c r="BH53" s="355"/>
      <c r="BI53" s="355"/>
      <c r="BJ53" s="355"/>
      <c r="BK53" s="355"/>
      <c r="BL53" s="355"/>
      <c r="BM53" s="355"/>
      <c r="BN53" s="355"/>
      <c r="BO53" s="355"/>
      <c r="BP53" s="355"/>
      <c r="BQ53" s="355"/>
    </row>
    <row r="54">
      <c r="E54" s="354"/>
      <c r="F54" s="355"/>
      <c r="G54" s="355"/>
      <c r="H54" s="355"/>
      <c r="I54" s="355"/>
      <c r="J54" s="355"/>
      <c r="K54" s="355"/>
      <c r="L54" s="355"/>
      <c r="M54" s="355"/>
      <c r="N54" s="355"/>
      <c r="O54" s="355"/>
      <c r="P54" s="355"/>
      <c r="Q54" s="355"/>
      <c r="R54" s="355"/>
      <c r="S54" s="355"/>
      <c r="T54" s="355"/>
      <c r="U54" s="355"/>
      <c r="V54" s="355"/>
      <c r="W54" s="355"/>
      <c r="X54" s="355"/>
      <c r="Y54" s="355"/>
      <c r="Z54" s="355"/>
      <c r="AA54" s="355"/>
      <c r="AB54" s="355"/>
      <c r="AC54" s="355"/>
      <c r="AD54" s="355"/>
      <c r="AE54" s="355"/>
      <c r="AF54" s="355"/>
      <c r="AG54" s="355"/>
      <c r="AH54" s="355"/>
      <c r="AI54" s="355"/>
      <c r="AJ54" s="355"/>
      <c r="AK54" s="355"/>
      <c r="AL54" s="355"/>
      <c r="AM54" s="355"/>
      <c r="AN54" s="355"/>
      <c r="AO54" s="355"/>
      <c r="AP54" s="355"/>
      <c r="AQ54" s="355"/>
      <c r="AR54" s="355"/>
      <c r="AS54" s="355"/>
      <c r="AT54" s="355"/>
      <c r="AU54" s="355"/>
      <c r="AV54" s="355"/>
      <c r="AW54" s="355"/>
      <c r="AX54" s="355"/>
      <c r="AY54" s="355"/>
      <c r="AZ54" s="355"/>
      <c r="BA54" s="355"/>
      <c r="BB54" s="355"/>
      <c r="BC54" s="355"/>
      <c r="BD54" s="355"/>
      <c r="BE54" s="355"/>
      <c r="BF54" s="355"/>
      <c r="BG54" s="355"/>
      <c r="BH54" s="355"/>
      <c r="BI54" s="355"/>
      <c r="BJ54" s="355"/>
      <c r="BK54" s="355"/>
      <c r="BL54" s="355"/>
      <c r="BM54" s="355"/>
      <c r="BN54" s="355"/>
      <c r="BO54" s="355"/>
      <c r="BP54" s="355"/>
      <c r="BQ54" s="355"/>
    </row>
    <row r="55">
      <c r="E55" s="354"/>
      <c r="F55" s="355"/>
      <c r="G55" s="355"/>
      <c r="H55" s="355"/>
      <c r="I55" s="355"/>
      <c r="J55" s="355"/>
      <c r="K55" s="355"/>
      <c r="L55" s="355"/>
      <c r="M55" s="355"/>
      <c r="N55" s="355"/>
      <c r="O55" s="355"/>
      <c r="P55" s="355"/>
      <c r="Q55" s="355"/>
      <c r="R55" s="355"/>
      <c r="S55" s="355"/>
      <c r="T55" s="355"/>
      <c r="U55" s="355"/>
      <c r="V55" s="355"/>
      <c r="W55" s="355"/>
      <c r="X55" s="355"/>
      <c r="Y55" s="355"/>
      <c r="Z55" s="355"/>
      <c r="AA55" s="355"/>
      <c r="AB55" s="355"/>
      <c r="AC55" s="355"/>
      <c r="AD55" s="355"/>
      <c r="AE55" s="355"/>
      <c r="AF55" s="355"/>
      <c r="AG55" s="355"/>
      <c r="AH55" s="355"/>
      <c r="AI55" s="355"/>
      <c r="AJ55" s="355"/>
      <c r="AK55" s="355"/>
      <c r="AL55" s="355"/>
      <c r="AM55" s="355"/>
      <c r="AN55" s="355"/>
      <c r="AO55" s="355"/>
      <c r="AP55" s="355"/>
      <c r="AQ55" s="355"/>
      <c r="AR55" s="355"/>
      <c r="AS55" s="355"/>
      <c r="AT55" s="355"/>
      <c r="AU55" s="355"/>
      <c r="AV55" s="355"/>
      <c r="AW55" s="355"/>
      <c r="AX55" s="355"/>
      <c r="AY55" s="355"/>
      <c r="AZ55" s="355"/>
      <c r="BA55" s="355"/>
      <c r="BB55" s="355"/>
      <c r="BC55" s="355"/>
      <c r="BD55" s="355"/>
      <c r="BE55" s="355"/>
      <c r="BF55" s="355"/>
      <c r="BG55" s="355"/>
      <c r="BH55" s="355"/>
      <c r="BI55" s="355"/>
      <c r="BJ55" s="355"/>
      <c r="BK55" s="355"/>
      <c r="BL55" s="355"/>
      <c r="BM55" s="355"/>
      <c r="BN55" s="355"/>
      <c r="BO55" s="355"/>
      <c r="BP55" s="355"/>
      <c r="BQ55" s="355"/>
    </row>
    <row r="56">
      <c r="E56" s="354"/>
      <c r="F56" s="355"/>
      <c r="G56" s="355"/>
      <c r="H56" s="355"/>
      <c r="I56" s="355"/>
      <c r="J56" s="355"/>
      <c r="K56" s="355"/>
      <c r="L56" s="355"/>
      <c r="M56" s="355"/>
      <c r="N56" s="355"/>
      <c r="O56" s="355"/>
      <c r="P56" s="355"/>
      <c r="Q56" s="355"/>
      <c r="R56" s="355"/>
      <c r="S56" s="355"/>
      <c r="T56" s="355"/>
      <c r="U56" s="355"/>
      <c r="V56" s="355"/>
      <c r="W56" s="355"/>
      <c r="X56" s="355"/>
      <c r="Y56" s="355"/>
      <c r="Z56" s="355"/>
      <c r="AA56" s="355"/>
      <c r="AB56" s="355"/>
      <c r="AC56" s="355"/>
      <c r="AD56" s="355"/>
      <c r="AE56" s="355"/>
      <c r="AF56" s="355"/>
      <c r="AG56" s="355"/>
      <c r="AH56" s="355"/>
      <c r="AI56" s="355"/>
      <c r="AJ56" s="355"/>
      <c r="AK56" s="355"/>
      <c r="AL56" s="355"/>
      <c r="AM56" s="355"/>
      <c r="AN56" s="355"/>
      <c r="AO56" s="355"/>
      <c r="AP56" s="355"/>
      <c r="AQ56" s="355"/>
      <c r="AR56" s="355"/>
      <c r="AS56" s="355"/>
      <c r="AT56" s="355"/>
      <c r="AU56" s="355"/>
      <c r="AV56" s="355"/>
      <c r="AW56" s="355"/>
      <c r="AX56" s="355"/>
      <c r="AY56" s="355"/>
      <c r="AZ56" s="355"/>
      <c r="BA56" s="355"/>
      <c r="BB56" s="355"/>
      <c r="BC56" s="355"/>
      <c r="BD56" s="355"/>
      <c r="BE56" s="355"/>
      <c r="BF56" s="355"/>
      <c r="BG56" s="355"/>
      <c r="BH56" s="355"/>
      <c r="BI56" s="355"/>
      <c r="BJ56" s="355"/>
      <c r="BK56" s="355"/>
      <c r="BL56" s="355"/>
      <c r="BM56" s="355"/>
      <c r="BN56" s="355"/>
      <c r="BO56" s="355"/>
      <c r="BP56" s="355"/>
      <c r="BQ56" s="355"/>
    </row>
    <row r="57">
      <c r="E57" s="354"/>
      <c r="F57" s="355"/>
      <c r="G57" s="355"/>
      <c r="H57" s="355"/>
      <c r="I57" s="355"/>
      <c r="J57" s="355"/>
      <c r="K57" s="355"/>
      <c r="L57" s="355"/>
      <c r="M57" s="355"/>
      <c r="N57" s="355"/>
      <c r="O57" s="355"/>
      <c r="P57" s="355"/>
      <c r="Q57" s="355"/>
      <c r="R57" s="355"/>
      <c r="S57" s="355"/>
      <c r="T57" s="355"/>
      <c r="U57" s="355"/>
      <c r="V57" s="355"/>
      <c r="W57" s="355"/>
      <c r="X57" s="355"/>
      <c r="Y57" s="355"/>
      <c r="Z57" s="355"/>
      <c r="AA57" s="355"/>
      <c r="AB57" s="355"/>
      <c r="AC57" s="355"/>
      <c r="AD57" s="355"/>
      <c r="AE57" s="355"/>
      <c r="AF57" s="355"/>
      <c r="AG57" s="355"/>
      <c r="AH57" s="355"/>
      <c r="AI57" s="355"/>
      <c r="AJ57" s="355"/>
      <c r="AK57" s="355"/>
      <c r="AL57" s="355"/>
      <c r="AM57" s="355"/>
      <c r="AN57" s="355"/>
      <c r="AO57" s="355"/>
      <c r="AP57" s="355"/>
      <c r="AQ57" s="355"/>
      <c r="AR57" s="355"/>
      <c r="AS57" s="355"/>
      <c r="AT57" s="355"/>
      <c r="AU57" s="355"/>
      <c r="AV57" s="355"/>
      <c r="AW57" s="355"/>
      <c r="AX57" s="355"/>
      <c r="AY57" s="355"/>
      <c r="AZ57" s="355"/>
      <c r="BA57" s="355"/>
      <c r="BB57" s="355"/>
      <c r="BC57" s="355"/>
      <c r="BD57" s="355"/>
      <c r="BE57" s="355"/>
      <c r="BF57" s="355"/>
      <c r="BG57" s="355"/>
      <c r="BH57" s="355"/>
      <c r="BI57" s="355"/>
      <c r="BJ57" s="355"/>
      <c r="BK57" s="355"/>
      <c r="BL57" s="355"/>
      <c r="BM57" s="355"/>
      <c r="BN57" s="355"/>
      <c r="BO57" s="355"/>
      <c r="BP57" s="355"/>
      <c r="BQ57" s="355"/>
    </row>
    <row r="58">
      <c r="E58" s="354"/>
      <c r="F58" s="355"/>
      <c r="G58" s="355"/>
      <c r="H58" s="355"/>
      <c r="I58" s="355"/>
      <c r="J58" s="355"/>
      <c r="K58" s="355"/>
      <c r="L58" s="355"/>
      <c r="M58" s="355"/>
      <c r="N58" s="355"/>
      <c r="O58" s="355"/>
      <c r="P58" s="355"/>
      <c r="Q58" s="355"/>
      <c r="R58" s="355"/>
      <c r="S58" s="355"/>
      <c r="T58" s="355"/>
      <c r="U58" s="355"/>
      <c r="V58" s="355"/>
      <c r="W58" s="355"/>
      <c r="X58" s="355"/>
      <c r="Y58" s="355"/>
      <c r="Z58" s="355"/>
      <c r="AA58" s="355"/>
      <c r="AB58" s="355"/>
      <c r="AC58" s="355"/>
      <c r="AD58" s="355"/>
      <c r="AE58" s="355"/>
      <c r="AF58" s="355"/>
      <c r="AG58" s="355"/>
      <c r="AH58" s="355"/>
      <c r="AI58" s="355"/>
      <c r="AJ58" s="355"/>
      <c r="AK58" s="355"/>
      <c r="AL58" s="355"/>
      <c r="AM58" s="355"/>
      <c r="AN58" s="355"/>
      <c r="AO58" s="355"/>
      <c r="AP58" s="355"/>
      <c r="AQ58" s="355"/>
      <c r="AR58" s="355"/>
      <c r="AS58" s="355"/>
      <c r="AT58" s="355"/>
      <c r="AU58" s="355"/>
      <c r="AV58" s="355"/>
      <c r="AW58" s="355"/>
      <c r="AX58" s="355"/>
      <c r="AY58" s="355"/>
      <c r="AZ58" s="355"/>
      <c r="BA58" s="355"/>
      <c r="BB58" s="355"/>
      <c r="BC58" s="355"/>
      <c r="BD58" s="355"/>
      <c r="BE58" s="355"/>
      <c r="BF58" s="355"/>
      <c r="BG58" s="355"/>
      <c r="BH58" s="355"/>
      <c r="BI58" s="355"/>
      <c r="BJ58" s="355"/>
      <c r="BK58" s="355"/>
      <c r="BL58" s="355"/>
      <c r="BM58" s="355"/>
      <c r="BN58" s="355"/>
      <c r="BO58" s="355"/>
      <c r="BP58" s="355"/>
      <c r="BQ58" s="355"/>
    </row>
    <row r="59">
      <c r="E59" s="354"/>
      <c r="F59" s="355"/>
      <c r="G59" s="355"/>
      <c r="H59" s="355"/>
      <c r="I59" s="355"/>
      <c r="J59" s="355"/>
      <c r="K59" s="355"/>
      <c r="L59" s="355"/>
      <c r="M59" s="355"/>
      <c r="N59" s="355"/>
      <c r="O59" s="355"/>
      <c r="P59" s="355"/>
      <c r="Q59" s="355"/>
      <c r="R59" s="355"/>
      <c r="S59" s="355"/>
      <c r="T59" s="355"/>
      <c r="U59" s="355"/>
      <c r="V59" s="355"/>
      <c r="W59" s="355"/>
      <c r="X59" s="355"/>
      <c r="Y59" s="355"/>
      <c r="Z59" s="355"/>
      <c r="AA59" s="355"/>
      <c r="AB59" s="355"/>
      <c r="AC59" s="355"/>
      <c r="AD59" s="355"/>
      <c r="AE59" s="355"/>
      <c r="AF59" s="355"/>
      <c r="AG59" s="355"/>
      <c r="AH59" s="355"/>
      <c r="AI59" s="355"/>
      <c r="AJ59" s="355"/>
      <c r="AK59" s="355"/>
      <c r="AL59" s="355"/>
      <c r="AM59" s="355"/>
      <c r="AN59" s="355"/>
      <c r="AO59" s="355"/>
      <c r="AP59" s="355"/>
      <c r="AQ59" s="355"/>
      <c r="AR59" s="355"/>
      <c r="AS59" s="355"/>
      <c r="AT59" s="355"/>
      <c r="AU59" s="355"/>
      <c r="AV59" s="355"/>
      <c r="AW59" s="355"/>
      <c r="AX59" s="355"/>
      <c r="AY59" s="355"/>
      <c r="AZ59" s="355"/>
      <c r="BA59" s="355"/>
      <c r="BB59" s="355"/>
      <c r="BC59" s="355"/>
      <c r="BD59" s="355"/>
      <c r="BE59" s="355"/>
      <c r="BF59" s="355"/>
      <c r="BG59" s="355"/>
      <c r="BH59" s="355"/>
      <c r="BI59" s="355"/>
      <c r="BJ59" s="355"/>
      <c r="BK59" s="355"/>
      <c r="BL59" s="355"/>
      <c r="BM59" s="355"/>
      <c r="BN59" s="355"/>
      <c r="BO59" s="355"/>
      <c r="BP59" s="355"/>
      <c r="BQ59" s="355"/>
    </row>
    <row r="60">
      <c r="E60" s="354"/>
      <c r="F60" s="355"/>
      <c r="G60" s="355"/>
      <c r="H60" s="355"/>
      <c r="I60" s="355"/>
      <c r="J60" s="355"/>
      <c r="K60" s="355"/>
      <c r="L60" s="355"/>
      <c r="M60" s="355"/>
      <c r="N60" s="355"/>
      <c r="O60" s="355"/>
      <c r="P60" s="355"/>
      <c r="Q60" s="355"/>
      <c r="R60" s="355"/>
      <c r="S60" s="355"/>
      <c r="T60" s="355"/>
      <c r="U60" s="355"/>
      <c r="V60" s="355"/>
      <c r="W60" s="355"/>
      <c r="X60" s="355"/>
      <c r="Y60" s="355"/>
      <c r="Z60" s="355"/>
      <c r="AA60" s="355"/>
      <c r="AB60" s="355"/>
      <c r="AC60" s="355"/>
      <c r="AD60" s="355"/>
      <c r="AE60" s="355"/>
      <c r="AF60" s="355"/>
      <c r="AG60" s="355"/>
      <c r="AH60" s="355"/>
      <c r="AI60" s="355"/>
      <c r="AJ60" s="355"/>
      <c r="AK60" s="355"/>
      <c r="AL60" s="355"/>
      <c r="AM60" s="355"/>
      <c r="AN60" s="355"/>
      <c r="AO60" s="355"/>
      <c r="AP60" s="355"/>
      <c r="AQ60" s="355"/>
      <c r="AR60" s="355"/>
      <c r="AS60" s="355"/>
      <c r="AT60" s="355"/>
      <c r="AU60" s="355"/>
      <c r="AV60" s="355"/>
      <c r="AW60" s="355"/>
      <c r="AX60" s="355"/>
      <c r="AY60" s="355"/>
      <c r="AZ60" s="355"/>
      <c r="BA60" s="355"/>
      <c r="BB60" s="355"/>
      <c r="BC60" s="355"/>
      <c r="BD60" s="355"/>
      <c r="BE60" s="355"/>
      <c r="BF60" s="355"/>
      <c r="BG60" s="355"/>
      <c r="BH60" s="355"/>
      <c r="BI60" s="355"/>
      <c r="BJ60" s="355"/>
      <c r="BK60" s="355"/>
      <c r="BL60" s="355"/>
      <c r="BM60" s="355"/>
      <c r="BN60" s="355"/>
      <c r="BO60" s="355"/>
      <c r="BP60" s="355"/>
      <c r="BQ60" s="355"/>
    </row>
    <row r="61">
      <c r="E61" s="354"/>
      <c r="F61" s="355"/>
      <c r="G61" s="355"/>
      <c r="H61" s="355"/>
      <c r="I61" s="355"/>
      <c r="J61" s="355"/>
      <c r="K61" s="355"/>
      <c r="L61" s="355"/>
      <c r="M61" s="355"/>
      <c r="N61" s="355"/>
      <c r="O61" s="355"/>
      <c r="P61" s="355"/>
      <c r="Q61" s="355"/>
      <c r="R61" s="355"/>
      <c r="S61" s="355"/>
      <c r="T61" s="355"/>
      <c r="U61" s="355"/>
      <c r="V61" s="355"/>
      <c r="W61" s="355"/>
      <c r="X61" s="355"/>
      <c r="Y61" s="355"/>
      <c r="Z61" s="355"/>
      <c r="AA61" s="355"/>
      <c r="AB61" s="355"/>
      <c r="AC61" s="355"/>
      <c r="AD61" s="355"/>
      <c r="AE61" s="355"/>
      <c r="AF61" s="355"/>
      <c r="AG61" s="355"/>
      <c r="AH61" s="355"/>
      <c r="AI61" s="355"/>
      <c r="AJ61" s="355"/>
      <c r="AK61" s="355"/>
      <c r="AL61" s="355"/>
      <c r="AM61" s="355"/>
      <c r="AN61" s="355"/>
      <c r="AO61" s="355"/>
      <c r="AP61" s="355"/>
      <c r="AQ61" s="355"/>
      <c r="AR61" s="355"/>
      <c r="AS61" s="355"/>
      <c r="AT61" s="355"/>
      <c r="AU61" s="355"/>
      <c r="AV61" s="355"/>
      <c r="AW61" s="355"/>
      <c r="AX61" s="355"/>
      <c r="AY61" s="355"/>
      <c r="AZ61" s="355"/>
      <c r="BA61" s="355"/>
      <c r="BB61" s="355"/>
      <c r="BC61" s="355"/>
      <c r="BD61" s="355"/>
      <c r="BE61" s="355"/>
      <c r="BF61" s="355"/>
      <c r="BG61" s="355"/>
      <c r="BH61" s="355"/>
      <c r="BI61" s="355"/>
      <c r="BJ61" s="355"/>
      <c r="BK61" s="355"/>
      <c r="BL61" s="355"/>
      <c r="BM61" s="355"/>
      <c r="BN61" s="355"/>
      <c r="BO61" s="355"/>
      <c r="BP61" s="355"/>
      <c r="BQ61" s="355"/>
    </row>
    <row r="62">
      <c r="E62" s="354"/>
      <c r="F62" s="355"/>
      <c r="G62" s="355"/>
      <c r="H62" s="355"/>
      <c r="I62" s="355"/>
      <c r="J62" s="355"/>
      <c r="K62" s="355"/>
      <c r="L62" s="355"/>
      <c r="M62" s="355"/>
      <c r="N62" s="355"/>
      <c r="O62" s="355"/>
      <c r="P62" s="355"/>
      <c r="Q62" s="355"/>
      <c r="R62" s="355"/>
      <c r="S62" s="355"/>
      <c r="T62" s="355"/>
      <c r="U62" s="355"/>
      <c r="V62" s="355"/>
      <c r="W62" s="355"/>
      <c r="X62" s="355"/>
      <c r="Y62" s="355"/>
      <c r="Z62" s="355"/>
      <c r="AA62" s="355"/>
      <c r="AB62" s="355"/>
      <c r="AC62" s="355"/>
      <c r="AD62" s="355"/>
      <c r="AE62" s="355"/>
      <c r="AF62" s="355"/>
      <c r="AG62" s="355"/>
      <c r="AH62" s="355"/>
      <c r="AI62" s="355"/>
      <c r="AJ62" s="355"/>
      <c r="AK62" s="355"/>
      <c r="AL62" s="355"/>
      <c r="AM62" s="355"/>
      <c r="AN62" s="355"/>
      <c r="AO62" s="355"/>
      <c r="AP62" s="355"/>
      <c r="AQ62" s="355"/>
      <c r="AR62" s="355"/>
      <c r="AS62" s="355"/>
      <c r="AT62" s="355"/>
      <c r="AU62" s="355"/>
      <c r="AV62" s="355"/>
      <c r="AW62" s="355"/>
      <c r="AX62" s="355"/>
      <c r="AY62" s="355"/>
      <c r="AZ62" s="355"/>
      <c r="BA62" s="355"/>
      <c r="BB62" s="355"/>
      <c r="BC62" s="355"/>
      <c r="BD62" s="355"/>
      <c r="BE62" s="355"/>
      <c r="BF62" s="355"/>
      <c r="BG62" s="355"/>
      <c r="BH62" s="355"/>
      <c r="BI62" s="355"/>
      <c r="BJ62" s="355"/>
      <c r="BK62" s="355"/>
      <c r="BL62" s="355"/>
      <c r="BM62" s="355"/>
      <c r="BN62" s="355"/>
      <c r="BO62" s="355"/>
      <c r="BP62" s="355"/>
      <c r="BQ62" s="355"/>
    </row>
    <row r="63">
      <c r="E63" s="354"/>
      <c r="F63" s="355"/>
      <c r="G63" s="355"/>
      <c r="H63" s="355"/>
      <c r="I63" s="355"/>
      <c r="J63" s="355"/>
      <c r="K63" s="355"/>
      <c r="L63" s="355"/>
      <c r="M63" s="355"/>
      <c r="N63" s="355"/>
      <c r="O63" s="355"/>
      <c r="P63" s="355"/>
      <c r="Q63" s="355"/>
      <c r="R63" s="355"/>
      <c r="S63" s="355"/>
      <c r="T63" s="355"/>
      <c r="U63" s="355"/>
      <c r="V63" s="355"/>
      <c r="W63" s="355"/>
      <c r="X63" s="355"/>
      <c r="Y63" s="355"/>
      <c r="Z63" s="355"/>
      <c r="AA63" s="355"/>
      <c r="AB63" s="355"/>
      <c r="AC63" s="355"/>
      <c r="AD63" s="355"/>
      <c r="AE63" s="355"/>
      <c r="AF63" s="355"/>
      <c r="AG63" s="355"/>
      <c r="AH63" s="355"/>
      <c r="AI63" s="355"/>
      <c r="AJ63" s="355"/>
      <c r="AK63" s="355"/>
      <c r="AL63" s="355"/>
      <c r="AM63" s="355"/>
      <c r="AN63" s="355"/>
      <c r="AO63" s="355"/>
      <c r="AP63" s="355"/>
      <c r="AQ63" s="355"/>
      <c r="AR63" s="355"/>
      <c r="AS63" s="355"/>
      <c r="AT63" s="355"/>
      <c r="AU63" s="355"/>
      <c r="AV63" s="355"/>
      <c r="AW63" s="355"/>
      <c r="AX63" s="355"/>
      <c r="AY63" s="355"/>
      <c r="AZ63" s="355"/>
      <c r="BA63" s="355"/>
      <c r="BB63" s="355"/>
      <c r="BC63" s="355"/>
      <c r="BD63" s="355"/>
      <c r="BE63" s="355"/>
      <c r="BF63" s="355"/>
      <c r="BG63" s="355"/>
      <c r="BH63" s="355"/>
      <c r="BI63" s="355"/>
      <c r="BJ63" s="355"/>
      <c r="BK63" s="355"/>
      <c r="BL63" s="355"/>
      <c r="BM63" s="355"/>
      <c r="BN63" s="355"/>
      <c r="BO63" s="355"/>
      <c r="BP63" s="355"/>
      <c r="BQ63" s="355"/>
    </row>
    <row r="64">
      <c r="E64" s="354"/>
      <c r="F64" s="355"/>
      <c r="G64" s="355"/>
      <c r="H64" s="355"/>
      <c r="I64" s="355"/>
      <c r="J64" s="355"/>
      <c r="K64" s="355"/>
      <c r="L64" s="355"/>
      <c r="M64" s="355"/>
      <c r="N64" s="355"/>
      <c r="O64" s="355"/>
      <c r="P64" s="355"/>
      <c r="Q64" s="355"/>
      <c r="R64" s="355"/>
      <c r="S64" s="355"/>
      <c r="T64" s="355"/>
      <c r="U64" s="355"/>
      <c r="V64" s="355"/>
      <c r="W64" s="355"/>
      <c r="X64" s="355"/>
      <c r="Y64" s="355"/>
      <c r="Z64" s="355"/>
      <c r="AA64" s="355"/>
      <c r="AB64" s="355"/>
      <c r="AC64" s="355"/>
      <c r="AD64" s="355"/>
      <c r="AE64" s="355"/>
      <c r="AF64" s="355"/>
      <c r="AG64" s="355"/>
      <c r="AH64" s="355"/>
      <c r="AI64" s="355"/>
      <c r="AJ64" s="355"/>
      <c r="AK64" s="355"/>
      <c r="AL64" s="355"/>
      <c r="AM64" s="355"/>
      <c r="AN64" s="355"/>
      <c r="AO64" s="355"/>
      <c r="AP64" s="355"/>
      <c r="AQ64" s="355"/>
      <c r="AR64" s="355"/>
      <c r="AS64" s="355"/>
      <c r="AT64" s="355"/>
      <c r="AU64" s="355"/>
      <c r="AV64" s="355"/>
      <c r="AW64" s="355"/>
      <c r="AX64" s="355"/>
      <c r="AY64" s="355"/>
      <c r="AZ64" s="355"/>
      <c r="BA64" s="355"/>
      <c r="BB64" s="355"/>
      <c r="BC64" s="355"/>
      <c r="BD64" s="355"/>
      <c r="BE64" s="355"/>
      <c r="BF64" s="355"/>
      <c r="BG64" s="355"/>
      <c r="BH64" s="355"/>
      <c r="BI64" s="355"/>
      <c r="BJ64" s="355"/>
      <c r="BK64" s="355"/>
      <c r="BL64" s="355"/>
      <c r="BM64" s="355"/>
      <c r="BN64" s="355"/>
      <c r="BO64" s="355"/>
      <c r="BP64" s="355"/>
      <c r="BQ64" s="355"/>
    </row>
    <row r="65">
      <c r="E65" s="354"/>
      <c r="F65" s="355"/>
      <c r="G65" s="355"/>
      <c r="H65" s="355"/>
      <c r="I65" s="355"/>
      <c r="J65" s="355"/>
      <c r="K65" s="355"/>
      <c r="L65" s="355"/>
      <c r="M65" s="355"/>
      <c r="N65" s="355"/>
      <c r="O65" s="355"/>
      <c r="P65" s="355"/>
      <c r="Q65" s="355"/>
      <c r="R65" s="355"/>
      <c r="S65" s="355"/>
      <c r="T65" s="355"/>
      <c r="U65" s="355"/>
      <c r="V65" s="355"/>
      <c r="W65" s="355"/>
      <c r="X65" s="355"/>
      <c r="Y65" s="355"/>
      <c r="Z65" s="355"/>
      <c r="AA65" s="355"/>
      <c r="AB65" s="355"/>
      <c r="AC65" s="355"/>
      <c r="AD65" s="355"/>
      <c r="AE65" s="355"/>
      <c r="AF65" s="355"/>
      <c r="AG65" s="355"/>
      <c r="AH65" s="355"/>
      <c r="AI65" s="355"/>
      <c r="AJ65" s="355"/>
      <c r="AK65" s="355"/>
      <c r="AL65" s="355"/>
      <c r="AM65" s="355"/>
      <c r="AN65" s="355"/>
      <c r="AO65" s="355"/>
      <c r="AP65" s="355"/>
      <c r="AQ65" s="355"/>
      <c r="AR65" s="355"/>
      <c r="AS65" s="355"/>
      <c r="AT65" s="355"/>
      <c r="AU65" s="355"/>
      <c r="AV65" s="355"/>
      <c r="AW65" s="355"/>
      <c r="AX65" s="355"/>
      <c r="AY65" s="355"/>
      <c r="AZ65" s="355"/>
      <c r="BA65" s="355"/>
      <c r="BB65" s="355"/>
      <c r="BC65" s="355"/>
      <c r="BD65" s="355"/>
      <c r="BE65" s="355"/>
      <c r="BF65" s="355"/>
      <c r="BG65" s="355"/>
      <c r="BH65" s="355"/>
      <c r="BI65" s="355"/>
      <c r="BJ65" s="355"/>
      <c r="BK65" s="355"/>
      <c r="BL65" s="355"/>
      <c r="BM65" s="355"/>
      <c r="BN65" s="355"/>
      <c r="BO65" s="355"/>
      <c r="BP65" s="355"/>
      <c r="BQ65" s="355"/>
    </row>
    <row r="66">
      <c r="E66" s="354"/>
      <c r="F66" s="355"/>
      <c r="G66" s="355"/>
      <c r="H66" s="355"/>
      <c r="I66" s="355"/>
      <c r="J66" s="355"/>
      <c r="K66" s="355"/>
      <c r="L66" s="355"/>
      <c r="M66" s="355"/>
      <c r="N66" s="355"/>
      <c r="O66" s="355"/>
      <c r="P66" s="355"/>
      <c r="Q66" s="355"/>
      <c r="R66" s="355"/>
      <c r="S66" s="355"/>
      <c r="T66" s="355"/>
      <c r="U66" s="355"/>
      <c r="V66" s="355"/>
      <c r="W66" s="355"/>
      <c r="X66" s="355"/>
      <c r="Y66" s="355"/>
      <c r="Z66" s="355"/>
      <c r="AA66" s="355"/>
      <c r="AB66" s="355"/>
      <c r="AC66" s="355"/>
      <c r="AD66" s="355"/>
      <c r="AE66" s="355"/>
      <c r="AF66" s="355"/>
      <c r="AG66" s="355"/>
      <c r="AH66" s="355"/>
      <c r="AI66" s="355"/>
      <c r="AJ66" s="355"/>
      <c r="AK66" s="355"/>
      <c r="AL66" s="355"/>
      <c r="AM66" s="355"/>
      <c r="AN66" s="355"/>
      <c r="AO66" s="355"/>
      <c r="AP66" s="355"/>
      <c r="AQ66" s="355"/>
      <c r="AR66" s="355"/>
      <c r="AS66" s="355"/>
      <c r="AT66" s="355"/>
      <c r="AU66" s="355"/>
      <c r="AV66" s="355"/>
      <c r="AW66" s="355"/>
      <c r="AX66" s="355"/>
      <c r="AY66" s="355"/>
      <c r="AZ66" s="355"/>
      <c r="BA66" s="355"/>
      <c r="BB66" s="355"/>
      <c r="BC66" s="355"/>
      <c r="BD66" s="355"/>
      <c r="BE66" s="355"/>
      <c r="BF66" s="355"/>
      <c r="BG66" s="355"/>
      <c r="BH66" s="355"/>
      <c r="BI66" s="355"/>
      <c r="BJ66" s="355"/>
      <c r="BK66" s="355"/>
      <c r="BL66" s="355"/>
      <c r="BM66" s="355"/>
      <c r="BN66" s="355"/>
      <c r="BO66" s="355"/>
      <c r="BP66" s="355"/>
      <c r="BQ66" s="355"/>
    </row>
    <row r="67">
      <c r="E67" s="354"/>
      <c r="F67" s="355"/>
      <c r="G67" s="355"/>
      <c r="H67" s="355"/>
      <c r="I67" s="355"/>
      <c r="J67" s="355"/>
      <c r="K67" s="355"/>
      <c r="L67" s="355"/>
      <c r="M67" s="355"/>
      <c r="N67" s="355"/>
      <c r="O67" s="355"/>
      <c r="P67" s="355"/>
      <c r="Q67" s="355"/>
      <c r="R67" s="355"/>
      <c r="S67" s="355"/>
      <c r="T67" s="355"/>
      <c r="U67" s="355"/>
      <c r="V67" s="355"/>
      <c r="W67" s="355"/>
      <c r="X67" s="355"/>
      <c r="Y67" s="355"/>
      <c r="Z67" s="355"/>
      <c r="AA67" s="355"/>
      <c r="AB67" s="355"/>
      <c r="AC67" s="355"/>
      <c r="AD67" s="355"/>
      <c r="AE67" s="355"/>
      <c r="AF67" s="355"/>
      <c r="AG67" s="355"/>
      <c r="AH67" s="355"/>
      <c r="AI67" s="355"/>
      <c r="AJ67" s="355"/>
      <c r="AK67" s="355"/>
      <c r="AL67" s="355"/>
      <c r="AM67" s="355"/>
      <c r="AN67" s="355"/>
      <c r="AO67" s="355"/>
      <c r="AP67" s="355"/>
      <c r="AQ67" s="355"/>
      <c r="AR67" s="355"/>
      <c r="AS67" s="355"/>
      <c r="AT67" s="355"/>
      <c r="AU67" s="355"/>
      <c r="AV67" s="355"/>
      <c r="AW67" s="355"/>
      <c r="AX67" s="355"/>
      <c r="AY67" s="355"/>
      <c r="AZ67" s="355"/>
      <c r="BA67" s="355"/>
      <c r="BB67" s="355"/>
      <c r="BC67" s="355"/>
      <c r="BD67" s="355"/>
      <c r="BE67" s="355"/>
      <c r="BF67" s="355"/>
      <c r="BG67" s="355"/>
      <c r="BH67" s="355"/>
      <c r="BI67" s="355"/>
      <c r="BJ67" s="355"/>
      <c r="BK67" s="355"/>
      <c r="BL67" s="355"/>
      <c r="BM67" s="355"/>
      <c r="BN67" s="355"/>
      <c r="BO67" s="355"/>
      <c r="BP67" s="355"/>
      <c r="BQ67" s="355"/>
    </row>
    <row r="68">
      <c r="E68" s="354"/>
      <c r="F68" s="355"/>
      <c r="G68" s="355"/>
      <c r="H68" s="355"/>
      <c r="I68" s="355"/>
      <c r="J68" s="355"/>
      <c r="K68" s="355"/>
      <c r="L68" s="355"/>
      <c r="M68" s="355"/>
      <c r="N68" s="355"/>
      <c r="O68" s="355"/>
      <c r="P68" s="355"/>
      <c r="Q68" s="355"/>
      <c r="R68" s="355"/>
      <c r="S68" s="355"/>
      <c r="T68" s="355"/>
      <c r="U68" s="355"/>
      <c r="V68" s="355"/>
      <c r="W68" s="355"/>
      <c r="X68" s="355"/>
      <c r="Y68" s="355"/>
      <c r="Z68" s="355"/>
      <c r="AA68" s="355"/>
      <c r="AB68" s="355"/>
      <c r="AC68" s="355"/>
      <c r="AD68" s="355"/>
      <c r="AE68" s="355"/>
      <c r="AF68" s="355"/>
      <c r="AG68" s="355"/>
      <c r="AH68" s="355"/>
      <c r="AI68" s="355"/>
      <c r="AJ68" s="355"/>
      <c r="AK68" s="355"/>
      <c r="AL68" s="355"/>
      <c r="AM68" s="355"/>
      <c r="AN68" s="355"/>
      <c r="AO68" s="355"/>
      <c r="AP68" s="355"/>
      <c r="AQ68" s="355"/>
      <c r="AR68" s="355"/>
      <c r="AS68" s="355"/>
      <c r="AT68" s="355"/>
      <c r="AU68" s="355"/>
      <c r="AV68" s="355"/>
      <c r="AW68" s="355"/>
      <c r="AX68" s="355"/>
      <c r="AY68" s="355"/>
      <c r="AZ68" s="355"/>
      <c r="BA68" s="355"/>
      <c r="BB68" s="355"/>
      <c r="BC68" s="355"/>
      <c r="BD68" s="355"/>
      <c r="BE68" s="355"/>
      <c r="BF68" s="355"/>
      <c r="BG68" s="355"/>
      <c r="BH68" s="355"/>
      <c r="BI68" s="355"/>
      <c r="BJ68" s="355"/>
      <c r="BK68" s="355"/>
      <c r="BL68" s="355"/>
      <c r="BM68" s="355"/>
      <c r="BN68" s="355"/>
      <c r="BO68" s="355"/>
      <c r="BP68" s="355"/>
      <c r="BQ68" s="355"/>
    </row>
    <row r="69">
      <c r="E69" s="354"/>
      <c r="F69" s="355"/>
      <c r="G69" s="355"/>
      <c r="H69" s="355"/>
      <c r="I69" s="355"/>
      <c r="J69" s="355"/>
      <c r="K69" s="355"/>
      <c r="L69" s="355"/>
      <c r="M69" s="355"/>
      <c r="N69" s="355"/>
      <c r="O69" s="355"/>
      <c r="P69" s="355"/>
      <c r="Q69" s="355"/>
      <c r="R69" s="355"/>
      <c r="S69" s="355"/>
      <c r="T69" s="355"/>
      <c r="U69" s="355"/>
      <c r="V69" s="355"/>
      <c r="W69" s="355"/>
      <c r="X69" s="355"/>
      <c r="Y69" s="355"/>
      <c r="Z69" s="355"/>
      <c r="AA69" s="355"/>
      <c r="AB69" s="355"/>
      <c r="AC69" s="355"/>
      <c r="AD69" s="355"/>
      <c r="AE69" s="355"/>
      <c r="AF69" s="355"/>
      <c r="AG69" s="355"/>
      <c r="AH69" s="355"/>
      <c r="AI69" s="355"/>
      <c r="AJ69" s="355"/>
      <c r="AK69" s="355"/>
      <c r="AL69" s="355"/>
      <c r="AM69" s="355"/>
      <c r="AN69" s="355"/>
      <c r="AO69" s="355"/>
      <c r="AP69" s="355"/>
      <c r="AQ69" s="355"/>
      <c r="AR69" s="355"/>
      <c r="AS69" s="355"/>
      <c r="AT69" s="355"/>
      <c r="AU69" s="355"/>
      <c r="AV69" s="355"/>
      <c r="AW69" s="355"/>
      <c r="AX69" s="355"/>
      <c r="AY69" s="355"/>
      <c r="AZ69" s="355"/>
      <c r="BA69" s="355"/>
      <c r="BB69" s="355"/>
      <c r="BC69" s="355"/>
      <c r="BD69" s="355"/>
      <c r="BE69" s="355"/>
      <c r="BF69" s="355"/>
      <c r="BG69" s="355"/>
      <c r="BH69" s="355"/>
      <c r="BI69" s="355"/>
      <c r="BJ69" s="355"/>
      <c r="BK69" s="355"/>
      <c r="BL69" s="355"/>
      <c r="BM69" s="355"/>
      <c r="BN69" s="355"/>
      <c r="BO69" s="355"/>
      <c r="BP69" s="355"/>
      <c r="BQ69" s="355"/>
    </row>
    <row r="70">
      <c r="E70" s="354"/>
      <c r="F70" s="355"/>
      <c r="G70" s="355"/>
      <c r="H70" s="355"/>
      <c r="I70" s="355"/>
      <c r="J70" s="355"/>
      <c r="K70" s="355"/>
      <c r="L70" s="355"/>
      <c r="M70" s="355"/>
      <c r="N70" s="355"/>
      <c r="O70" s="355"/>
      <c r="P70" s="355"/>
      <c r="Q70" s="355"/>
      <c r="R70" s="355"/>
      <c r="S70" s="355"/>
      <c r="T70" s="355"/>
      <c r="U70" s="355"/>
      <c r="V70" s="355"/>
      <c r="W70" s="355"/>
      <c r="X70" s="355"/>
      <c r="Y70" s="355"/>
      <c r="Z70" s="355"/>
      <c r="AA70" s="355"/>
      <c r="AB70" s="355"/>
      <c r="AC70" s="355"/>
      <c r="AD70" s="355"/>
      <c r="AE70" s="355"/>
      <c r="AF70" s="355"/>
      <c r="AG70" s="355"/>
      <c r="AH70" s="355"/>
      <c r="AI70" s="355"/>
      <c r="AJ70" s="355"/>
      <c r="AK70" s="355"/>
      <c r="AL70" s="355"/>
      <c r="AM70" s="355"/>
      <c r="AN70" s="355"/>
      <c r="AO70" s="355"/>
      <c r="AP70" s="355"/>
      <c r="AQ70" s="355"/>
      <c r="AR70" s="355"/>
      <c r="AS70" s="355"/>
      <c r="AT70" s="355"/>
      <c r="AU70" s="355"/>
      <c r="AV70" s="355"/>
      <c r="AW70" s="355"/>
      <c r="AX70" s="355"/>
      <c r="AY70" s="355"/>
      <c r="AZ70" s="355"/>
      <c r="BA70" s="355"/>
      <c r="BB70" s="355"/>
      <c r="BC70" s="355"/>
      <c r="BD70" s="355"/>
      <c r="BE70" s="355"/>
      <c r="BF70" s="355"/>
      <c r="BG70" s="355"/>
      <c r="BH70" s="355"/>
      <c r="BI70" s="355"/>
      <c r="BJ70" s="355"/>
      <c r="BK70" s="355"/>
      <c r="BL70" s="355"/>
      <c r="BM70" s="355"/>
      <c r="BN70" s="355"/>
      <c r="BO70" s="355"/>
      <c r="BP70" s="355"/>
      <c r="BQ70" s="355"/>
    </row>
    <row r="71">
      <c r="E71" s="354"/>
      <c r="F71" s="355"/>
      <c r="G71" s="355"/>
      <c r="H71" s="355"/>
      <c r="I71" s="355"/>
      <c r="J71" s="355"/>
      <c r="K71" s="355"/>
      <c r="L71" s="355"/>
      <c r="M71" s="355"/>
      <c r="N71" s="355"/>
      <c r="O71" s="355"/>
      <c r="P71" s="355"/>
      <c r="Q71" s="355"/>
      <c r="R71" s="355"/>
      <c r="S71" s="355"/>
      <c r="T71" s="355"/>
      <c r="U71" s="355"/>
      <c r="V71" s="355"/>
      <c r="W71" s="355"/>
      <c r="X71" s="355"/>
      <c r="Y71" s="355"/>
      <c r="Z71" s="355"/>
      <c r="AA71" s="355"/>
      <c r="AB71" s="355"/>
      <c r="AC71" s="355"/>
      <c r="AD71" s="355"/>
      <c r="AE71" s="355"/>
      <c r="AF71" s="355"/>
      <c r="AG71" s="355"/>
      <c r="AH71" s="355"/>
      <c r="AI71" s="355"/>
      <c r="AJ71" s="355"/>
      <c r="AK71" s="355"/>
      <c r="AL71" s="355"/>
      <c r="AM71" s="355"/>
      <c r="AN71" s="355"/>
      <c r="AO71" s="355"/>
      <c r="AP71" s="355"/>
      <c r="AQ71" s="355"/>
      <c r="AR71" s="355"/>
      <c r="AS71" s="355"/>
      <c r="AT71" s="355"/>
      <c r="AU71" s="355"/>
      <c r="AV71" s="355"/>
      <c r="AW71" s="355"/>
      <c r="AX71" s="355"/>
      <c r="AY71" s="355"/>
      <c r="AZ71" s="355"/>
      <c r="BA71" s="355"/>
      <c r="BB71" s="355"/>
      <c r="BC71" s="355"/>
      <c r="BD71" s="355"/>
      <c r="BE71" s="355"/>
      <c r="BF71" s="355"/>
      <c r="BG71" s="355"/>
      <c r="BH71" s="355"/>
      <c r="BI71" s="355"/>
      <c r="BJ71" s="355"/>
      <c r="BK71" s="355"/>
      <c r="BL71" s="355"/>
      <c r="BM71" s="355"/>
      <c r="BN71" s="355"/>
      <c r="BO71" s="355"/>
      <c r="BP71" s="355"/>
      <c r="BQ71" s="355"/>
    </row>
    <row r="72">
      <c r="E72" s="354"/>
      <c r="F72" s="355"/>
      <c r="G72" s="355"/>
      <c r="H72" s="355"/>
      <c r="I72" s="355"/>
      <c r="J72" s="355"/>
      <c r="K72" s="355"/>
      <c r="L72" s="355"/>
      <c r="M72" s="355"/>
      <c r="N72" s="355"/>
      <c r="O72" s="355"/>
      <c r="P72" s="355"/>
      <c r="Q72" s="355"/>
      <c r="R72" s="355"/>
      <c r="S72" s="355"/>
      <c r="T72" s="355"/>
      <c r="U72" s="355"/>
      <c r="V72" s="355"/>
      <c r="W72" s="355"/>
      <c r="X72" s="355"/>
      <c r="Y72" s="355"/>
      <c r="Z72" s="355"/>
      <c r="AA72" s="355"/>
      <c r="AB72" s="355"/>
      <c r="AC72" s="355"/>
      <c r="AD72" s="355"/>
      <c r="AE72" s="355"/>
      <c r="AF72" s="355"/>
      <c r="AG72" s="355"/>
      <c r="AH72" s="355"/>
      <c r="AI72" s="355"/>
      <c r="AJ72" s="355"/>
      <c r="AK72" s="355"/>
      <c r="AL72" s="355"/>
      <c r="AM72" s="355"/>
      <c r="AN72" s="355"/>
      <c r="AO72" s="355"/>
      <c r="AP72" s="355"/>
      <c r="AQ72" s="355"/>
      <c r="AR72" s="355"/>
      <c r="AS72" s="355"/>
      <c r="AT72" s="355"/>
      <c r="AU72" s="355"/>
      <c r="AV72" s="355"/>
      <c r="AW72" s="355"/>
      <c r="AX72" s="355"/>
      <c r="AY72" s="355"/>
      <c r="AZ72" s="355"/>
      <c r="BA72" s="355"/>
      <c r="BB72" s="355"/>
      <c r="BC72" s="355"/>
      <c r="BD72" s="355"/>
      <c r="BE72" s="355"/>
      <c r="BF72" s="355"/>
      <c r="BG72" s="355"/>
      <c r="BH72" s="355"/>
      <c r="BI72" s="355"/>
      <c r="BJ72" s="355"/>
      <c r="BK72" s="355"/>
      <c r="BL72" s="355"/>
      <c r="BM72" s="355"/>
      <c r="BN72" s="355"/>
      <c r="BO72" s="355"/>
      <c r="BP72" s="355"/>
      <c r="BQ72" s="355"/>
    </row>
    <row r="73">
      <c r="E73" s="354"/>
      <c r="F73" s="355"/>
      <c r="G73" s="355"/>
      <c r="H73" s="355"/>
      <c r="I73" s="355"/>
      <c r="J73" s="355"/>
      <c r="K73" s="355"/>
      <c r="L73" s="355"/>
      <c r="M73" s="355"/>
      <c r="N73" s="355"/>
      <c r="O73" s="355"/>
      <c r="P73" s="355"/>
      <c r="Q73" s="355"/>
      <c r="R73" s="355"/>
      <c r="S73" s="355"/>
      <c r="T73" s="355"/>
      <c r="U73" s="355"/>
      <c r="V73" s="355"/>
      <c r="W73" s="355"/>
      <c r="X73" s="355"/>
      <c r="Y73" s="355"/>
      <c r="Z73" s="355"/>
      <c r="AA73" s="355"/>
      <c r="AB73" s="355"/>
      <c r="AC73" s="355"/>
      <c r="AD73" s="355"/>
      <c r="AE73" s="355"/>
      <c r="AF73" s="355"/>
      <c r="AG73" s="355"/>
      <c r="AH73" s="355"/>
      <c r="AI73" s="355"/>
      <c r="AJ73" s="355"/>
      <c r="AK73" s="355"/>
      <c r="AL73" s="355"/>
      <c r="AM73" s="355"/>
      <c r="AN73" s="355"/>
      <c r="AO73" s="355"/>
      <c r="AP73" s="355"/>
      <c r="AQ73" s="355"/>
      <c r="AR73" s="355"/>
      <c r="AS73" s="355"/>
      <c r="AT73" s="355"/>
      <c r="AU73" s="355"/>
      <c r="AV73" s="355"/>
      <c r="AW73" s="355"/>
      <c r="AX73" s="355"/>
      <c r="AY73" s="355"/>
      <c r="AZ73" s="355"/>
      <c r="BA73" s="355"/>
      <c r="BB73" s="355"/>
      <c r="BC73" s="355"/>
      <c r="BD73" s="355"/>
      <c r="BE73" s="355"/>
      <c r="BF73" s="355"/>
      <c r="BG73" s="355"/>
      <c r="BH73" s="355"/>
      <c r="BI73" s="355"/>
      <c r="BJ73" s="355"/>
      <c r="BK73" s="355"/>
      <c r="BL73" s="355"/>
      <c r="BM73" s="355"/>
      <c r="BN73" s="355"/>
      <c r="BO73" s="355"/>
      <c r="BP73" s="355"/>
      <c r="BQ73" s="355"/>
    </row>
    <row r="74">
      <c r="E74" s="354"/>
      <c r="F74" s="355"/>
      <c r="G74" s="355"/>
      <c r="H74" s="355"/>
      <c r="I74" s="355"/>
      <c r="J74" s="355"/>
      <c r="K74" s="355"/>
      <c r="L74" s="355"/>
      <c r="M74" s="355"/>
      <c r="N74" s="355"/>
      <c r="O74" s="355"/>
      <c r="P74" s="355"/>
      <c r="Q74" s="355"/>
      <c r="R74" s="355"/>
      <c r="S74" s="355"/>
      <c r="T74" s="355"/>
      <c r="U74" s="355"/>
      <c r="V74" s="355"/>
      <c r="W74" s="355"/>
      <c r="X74" s="355"/>
      <c r="Y74" s="355"/>
      <c r="Z74" s="355"/>
      <c r="AA74" s="355"/>
      <c r="AB74" s="355"/>
      <c r="AC74" s="355"/>
      <c r="AD74" s="355"/>
      <c r="AE74" s="355"/>
      <c r="AF74" s="355"/>
      <c r="AG74" s="355"/>
      <c r="AH74" s="355"/>
      <c r="AI74" s="355"/>
      <c r="AJ74" s="355"/>
      <c r="AK74" s="355"/>
      <c r="AL74" s="355"/>
      <c r="AM74" s="355"/>
      <c r="AN74" s="355"/>
      <c r="AO74" s="355"/>
      <c r="AP74" s="355"/>
      <c r="AQ74" s="355"/>
      <c r="AR74" s="355"/>
      <c r="AS74" s="355"/>
      <c r="AT74" s="355"/>
      <c r="AU74" s="355"/>
      <c r="AV74" s="355"/>
      <c r="AW74" s="355"/>
      <c r="AX74" s="355"/>
      <c r="AY74" s="355"/>
      <c r="AZ74" s="355"/>
      <c r="BA74" s="355"/>
      <c r="BB74" s="355"/>
      <c r="BC74" s="355"/>
      <c r="BD74" s="355"/>
      <c r="BE74" s="355"/>
      <c r="BF74" s="355"/>
      <c r="BG74" s="355"/>
      <c r="BH74" s="355"/>
      <c r="BI74" s="355"/>
      <c r="BJ74" s="355"/>
      <c r="BK74" s="355"/>
      <c r="BL74" s="355"/>
      <c r="BM74" s="355"/>
      <c r="BN74" s="355"/>
      <c r="BO74" s="355"/>
      <c r="BP74" s="355"/>
      <c r="BQ74" s="355"/>
    </row>
    <row r="75">
      <c r="E75" s="354"/>
      <c r="F75" s="355"/>
      <c r="G75" s="355"/>
      <c r="H75" s="355"/>
      <c r="I75" s="355"/>
      <c r="J75" s="355"/>
      <c r="K75" s="355"/>
      <c r="L75" s="355"/>
      <c r="M75" s="355"/>
      <c r="N75" s="355"/>
      <c r="O75" s="355"/>
      <c r="P75" s="355"/>
      <c r="Q75" s="355"/>
      <c r="R75" s="355"/>
      <c r="S75" s="355"/>
      <c r="T75" s="355"/>
      <c r="U75" s="355"/>
      <c r="V75" s="355"/>
      <c r="W75" s="355"/>
      <c r="X75" s="355"/>
      <c r="Y75" s="355"/>
      <c r="Z75" s="355"/>
      <c r="AA75" s="355"/>
      <c r="AB75" s="355"/>
      <c r="AC75" s="355"/>
      <c r="AD75" s="355"/>
      <c r="AE75" s="355"/>
      <c r="AF75" s="355"/>
      <c r="AG75" s="355"/>
      <c r="AH75" s="355"/>
      <c r="AI75" s="355"/>
      <c r="AJ75" s="355"/>
      <c r="AK75" s="355"/>
      <c r="AL75" s="355"/>
      <c r="AM75" s="355"/>
      <c r="AN75" s="355"/>
      <c r="AO75" s="355"/>
      <c r="AP75" s="355"/>
      <c r="AQ75" s="355"/>
      <c r="AR75" s="355"/>
      <c r="AS75" s="355"/>
      <c r="AT75" s="355"/>
      <c r="AU75" s="355"/>
      <c r="AV75" s="355"/>
      <c r="AW75" s="355"/>
      <c r="AX75" s="355"/>
      <c r="AY75" s="355"/>
      <c r="AZ75" s="355"/>
      <c r="BA75" s="355"/>
      <c r="BB75" s="355"/>
      <c r="BC75" s="355"/>
      <c r="BD75" s="355"/>
      <c r="BE75" s="355"/>
      <c r="BF75" s="355"/>
      <c r="BG75" s="355"/>
      <c r="BH75" s="355"/>
      <c r="BI75" s="355"/>
      <c r="BJ75" s="355"/>
      <c r="BK75" s="355"/>
      <c r="BL75" s="355"/>
      <c r="BM75" s="355"/>
      <c r="BN75" s="355"/>
      <c r="BO75" s="355"/>
      <c r="BP75" s="355"/>
      <c r="BQ75" s="355"/>
    </row>
    <row r="76">
      <c r="E76" s="354"/>
      <c r="F76" s="355"/>
      <c r="G76" s="355"/>
      <c r="H76" s="355"/>
      <c r="I76" s="355"/>
      <c r="J76" s="355"/>
      <c r="K76" s="355"/>
      <c r="L76" s="355"/>
      <c r="M76" s="355"/>
      <c r="N76" s="355"/>
      <c r="O76" s="355"/>
      <c r="P76" s="355"/>
      <c r="Q76" s="355"/>
      <c r="R76" s="355"/>
      <c r="S76" s="355"/>
      <c r="T76" s="355"/>
      <c r="U76" s="355"/>
      <c r="V76" s="355"/>
      <c r="W76" s="355"/>
      <c r="X76" s="355"/>
      <c r="Y76" s="355"/>
      <c r="Z76" s="355"/>
      <c r="AA76" s="355"/>
      <c r="AB76" s="355"/>
      <c r="AC76" s="355"/>
      <c r="AD76" s="355"/>
      <c r="AE76" s="355"/>
      <c r="AF76" s="355"/>
      <c r="AG76" s="355"/>
      <c r="AH76" s="355"/>
      <c r="AI76" s="355"/>
      <c r="AJ76" s="355"/>
      <c r="AK76" s="355"/>
      <c r="AL76" s="355"/>
      <c r="AM76" s="355"/>
      <c r="AN76" s="355"/>
      <c r="AO76" s="355"/>
      <c r="AP76" s="355"/>
      <c r="AQ76" s="355"/>
      <c r="AR76" s="355"/>
      <c r="AS76" s="355"/>
      <c r="AT76" s="355"/>
      <c r="AU76" s="355"/>
      <c r="AV76" s="355"/>
      <c r="AW76" s="355"/>
      <c r="AX76" s="355"/>
      <c r="AY76" s="355"/>
      <c r="AZ76" s="355"/>
      <c r="BA76" s="355"/>
      <c r="BB76" s="355"/>
      <c r="BC76" s="355"/>
      <c r="BD76" s="355"/>
      <c r="BE76" s="355"/>
      <c r="BF76" s="355"/>
      <c r="BG76" s="355"/>
      <c r="BH76" s="355"/>
      <c r="BI76" s="355"/>
      <c r="BJ76" s="355"/>
      <c r="BK76" s="355"/>
      <c r="BL76" s="355"/>
      <c r="BM76" s="355"/>
      <c r="BN76" s="355"/>
      <c r="BO76" s="355"/>
      <c r="BP76" s="355"/>
      <c r="BQ76" s="355"/>
    </row>
    <row r="77">
      <c r="E77" s="354"/>
      <c r="F77" s="355"/>
      <c r="G77" s="355"/>
      <c r="H77" s="355"/>
      <c r="I77" s="355"/>
      <c r="J77" s="355"/>
      <c r="K77" s="355"/>
      <c r="L77" s="355"/>
      <c r="M77" s="355"/>
      <c r="N77" s="355"/>
      <c r="O77" s="355"/>
      <c r="P77" s="355"/>
      <c r="Q77" s="355"/>
      <c r="R77" s="355"/>
      <c r="S77" s="355"/>
      <c r="T77" s="355"/>
      <c r="U77" s="355"/>
      <c r="V77" s="355"/>
      <c r="W77" s="355"/>
      <c r="X77" s="355"/>
      <c r="Y77" s="355"/>
      <c r="Z77" s="355"/>
      <c r="AA77" s="355"/>
      <c r="AB77" s="355"/>
      <c r="AC77" s="355"/>
      <c r="AD77" s="355"/>
      <c r="AE77" s="355"/>
      <c r="AF77" s="355"/>
      <c r="AG77" s="355"/>
      <c r="AH77" s="355"/>
      <c r="AI77" s="355"/>
      <c r="AJ77" s="355"/>
      <c r="AK77" s="355"/>
      <c r="AL77" s="355"/>
      <c r="AM77" s="355"/>
      <c r="AN77" s="355"/>
      <c r="AO77" s="355"/>
      <c r="AP77" s="355"/>
      <c r="AQ77" s="355"/>
      <c r="AR77" s="355"/>
      <c r="AS77" s="355"/>
      <c r="AT77" s="355"/>
      <c r="AU77" s="355"/>
      <c r="AV77" s="355"/>
      <c r="AW77" s="355"/>
      <c r="AX77" s="355"/>
      <c r="AY77" s="355"/>
      <c r="AZ77" s="355"/>
      <c r="BA77" s="355"/>
      <c r="BB77" s="355"/>
      <c r="BC77" s="355"/>
      <c r="BD77" s="355"/>
      <c r="BE77" s="355"/>
      <c r="BF77" s="355"/>
      <c r="BG77" s="355"/>
      <c r="BH77" s="355"/>
      <c r="BI77" s="355"/>
      <c r="BJ77" s="355"/>
      <c r="BK77" s="355"/>
      <c r="BL77" s="355"/>
      <c r="BM77" s="355"/>
      <c r="BN77" s="355"/>
      <c r="BO77" s="355"/>
      <c r="BP77" s="355"/>
      <c r="BQ77" s="355"/>
    </row>
    <row r="78">
      <c r="E78" s="354"/>
      <c r="F78" s="355"/>
      <c r="G78" s="355"/>
      <c r="H78" s="355"/>
      <c r="I78" s="355"/>
      <c r="J78" s="355"/>
      <c r="K78" s="355"/>
      <c r="L78" s="355"/>
      <c r="M78" s="355"/>
      <c r="N78" s="355"/>
      <c r="O78" s="355"/>
      <c r="P78" s="355"/>
      <c r="Q78" s="355"/>
      <c r="R78" s="355"/>
      <c r="S78" s="355"/>
      <c r="T78" s="355"/>
      <c r="U78" s="355"/>
      <c r="V78" s="355"/>
      <c r="W78" s="355"/>
      <c r="X78" s="355"/>
      <c r="Y78" s="355"/>
      <c r="Z78" s="355"/>
      <c r="AA78" s="355"/>
      <c r="AB78" s="355"/>
      <c r="AC78" s="355"/>
      <c r="AD78" s="355"/>
      <c r="AE78" s="355"/>
      <c r="AF78" s="355"/>
      <c r="AG78" s="355"/>
      <c r="AH78" s="355"/>
      <c r="AI78" s="355"/>
      <c r="AJ78" s="355"/>
      <c r="AK78" s="355"/>
      <c r="AL78" s="355"/>
      <c r="AM78" s="355"/>
      <c r="AN78" s="355"/>
      <c r="AO78" s="355"/>
      <c r="AP78" s="355"/>
      <c r="AQ78" s="355"/>
      <c r="AR78" s="355"/>
      <c r="AS78" s="355"/>
      <c r="AT78" s="355"/>
      <c r="AU78" s="355"/>
      <c r="AV78" s="355"/>
      <c r="AW78" s="355"/>
      <c r="AX78" s="355"/>
      <c r="AY78" s="355"/>
      <c r="AZ78" s="355"/>
      <c r="BA78" s="355"/>
      <c r="BB78" s="355"/>
      <c r="BC78" s="355"/>
      <c r="BD78" s="355"/>
      <c r="BE78" s="355"/>
      <c r="BF78" s="355"/>
      <c r="BG78" s="355"/>
      <c r="BH78" s="355"/>
      <c r="BI78" s="355"/>
      <c r="BJ78" s="355"/>
      <c r="BK78" s="355"/>
      <c r="BL78" s="355"/>
      <c r="BM78" s="355"/>
      <c r="BN78" s="355"/>
      <c r="BO78" s="355"/>
      <c r="BP78" s="355"/>
      <c r="BQ78" s="355"/>
    </row>
    <row r="79">
      <c r="E79" s="354"/>
      <c r="F79" s="355"/>
      <c r="G79" s="355"/>
      <c r="H79" s="355"/>
      <c r="I79" s="355"/>
      <c r="J79" s="355"/>
      <c r="K79" s="355"/>
      <c r="L79" s="355"/>
      <c r="M79" s="355"/>
      <c r="N79" s="355"/>
      <c r="O79" s="355"/>
      <c r="P79" s="355"/>
      <c r="Q79" s="355"/>
      <c r="R79" s="355"/>
      <c r="S79" s="355"/>
      <c r="T79" s="355"/>
      <c r="U79" s="355"/>
      <c r="V79" s="355"/>
      <c r="W79" s="355"/>
      <c r="X79" s="355"/>
      <c r="Y79" s="355"/>
      <c r="Z79" s="355"/>
      <c r="AA79" s="355"/>
      <c r="AB79" s="355"/>
      <c r="AC79" s="355"/>
      <c r="AD79" s="355"/>
      <c r="AE79" s="355"/>
      <c r="AF79" s="355"/>
      <c r="AG79" s="355"/>
      <c r="AH79" s="355"/>
      <c r="AI79" s="355"/>
      <c r="AJ79" s="355"/>
      <c r="AK79" s="355"/>
      <c r="AL79" s="355"/>
      <c r="AM79" s="355"/>
      <c r="AN79" s="355"/>
      <c r="AO79" s="355"/>
      <c r="AP79" s="355"/>
      <c r="AQ79" s="355"/>
      <c r="AR79" s="355"/>
      <c r="AS79" s="355"/>
      <c r="AT79" s="355"/>
      <c r="AU79" s="355"/>
      <c r="AV79" s="355"/>
      <c r="AW79" s="355"/>
      <c r="AX79" s="355"/>
      <c r="AY79" s="355"/>
      <c r="AZ79" s="355"/>
      <c r="BA79" s="355"/>
      <c r="BB79" s="355"/>
      <c r="BC79" s="355"/>
      <c r="BD79" s="355"/>
      <c r="BE79" s="355"/>
      <c r="BF79" s="355"/>
      <c r="BG79" s="355"/>
      <c r="BH79" s="355"/>
      <c r="BI79" s="355"/>
      <c r="BJ79" s="355"/>
      <c r="BK79" s="355"/>
      <c r="BL79" s="355"/>
      <c r="BM79" s="355"/>
      <c r="BN79" s="355"/>
      <c r="BO79" s="355"/>
      <c r="BP79" s="355"/>
      <c r="BQ79" s="355"/>
    </row>
    <row r="80">
      <c r="E80" s="354"/>
      <c r="F80" s="355"/>
      <c r="G80" s="355"/>
      <c r="H80" s="355"/>
      <c r="I80" s="355"/>
      <c r="J80" s="355"/>
      <c r="K80" s="355"/>
      <c r="L80" s="355"/>
      <c r="M80" s="355"/>
      <c r="N80" s="355"/>
      <c r="O80" s="355"/>
      <c r="P80" s="355"/>
      <c r="Q80" s="355"/>
      <c r="R80" s="355"/>
      <c r="S80" s="355"/>
      <c r="T80" s="355"/>
      <c r="U80" s="355"/>
      <c r="V80" s="355"/>
      <c r="W80" s="355"/>
      <c r="X80" s="355"/>
      <c r="Y80" s="355"/>
      <c r="Z80" s="355"/>
      <c r="AA80" s="355"/>
      <c r="AB80" s="355"/>
      <c r="AC80" s="355"/>
      <c r="AD80" s="355"/>
      <c r="AE80" s="355"/>
      <c r="AF80" s="355"/>
      <c r="AG80" s="355"/>
      <c r="AH80" s="355"/>
      <c r="AI80" s="355"/>
      <c r="AJ80" s="355"/>
      <c r="AK80" s="355"/>
      <c r="AL80" s="355"/>
      <c r="AM80" s="355"/>
      <c r="AN80" s="355"/>
      <c r="AO80" s="355"/>
      <c r="AP80" s="355"/>
      <c r="AQ80" s="355"/>
      <c r="AR80" s="355"/>
      <c r="AS80" s="355"/>
      <c r="AT80" s="355"/>
      <c r="AU80" s="355"/>
      <c r="AV80" s="355"/>
      <c r="AW80" s="355"/>
      <c r="AX80" s="355"/>
      <c r="AY80" s="355"/>
      <c r="AZ80" s="355"/>
      <c r="BA80" s="355"/>
      <c r="BB80" s="355"/>
      <c r="BC80" s="355"/>
      <c r="BD80" s="355"/>
      <c r="BE80" s="355"/>
      <c r="BF80" s="355"/>
      <c r="BG80" s="355"/>
      <c r="BH80" s="355"/>
      <c r="BI80" s="355"/>
      <c r="BJ80" s="355"/>
      <c r="BK80" s="355"/>
      <c r="BL80" s="355"/>
      <c r="BM80" s="355"/>
      <c r="BN80" s="355"/>
      <c r="BO80" s="355"/>
      <c r="BP80" s="355"/>
      <c r="BQ80" s="355"/>
    </row>
    <row r="81">
      <c r="E81" s="354"/>
      <c r="F81" s="355"/>
      <c r="G81" s="355"/>
      <c r="H81" s="355"/>
      <c r="I81" s="355"/>
      <c r="J81" s="355"/>
      <c r="K81" s="355"/>
      <c r="L81" s="355"/>
      <c r="M81" s="355"/>
      <c r="N81" s="355"/>
      <c r="O81" s="355"/>
      <c r="P81" s="355"/>
      <c r="Q81" s="355"/>
      <c r="R81" s="355"/>
      <c r="S81" s="355"/>
      <c r="T81" s="355"/>
      <c r="U81" s="355"/>
      <c r="V81" s="355"/>
      <c r="W81" s="355"/>
      <c r="X81" s="355"/>
      <c r="Y81" s="355"/>
      <c r="Z81" s="355"/>
      <c r="AA81" s="355"/>
      <c r="AB81" s="355"/>
      <c r="AC81" s="355"/>
      <c r="AD81" s="355"/>
      <c r="AE81" s="355"/>
      <c r="AF81" s="355"/>
      <c r="AG81" s="355"/>
      <c r="AH81" s="355"/>
      <c r="AI81" s="355"/>
      <c r="AJ81" s="355"/>
      <c r="AK81" s="355"/>
      <c r="AL81" s="355"/>
      <c r="AM81" s="355"/>
      <c r="AN81" s="355"/>
      <c r="AO81" s="355"/>
      <c r="AP81" s="355"/>
      <c r="AQ81" s="355"/>
      <c r="AR81" s="355"/>
      <c r="AS81" s="355"/>
      <c r="AT81" s="355"/>
      <c r="AU81" s="355"/>
      <c r="AV81" s="355"/>
      <c r="AW81" s="355"/>
      <c r="AX81" s="355"/>
      <c r="AY81" s="355"/>
      <c r="AZ81" s="355"/>
      <c r="BA81" s="355"/>
      <c r="BB81" s="355"/>
      <c r="BC81" s="355"/>
      <c r="BD81" s="355"/>
      <c r="BE81" s="355"/>
      <c r="BF81" s="355"/>
      <c r="BG81" s="355"/>
      <c r="BH81" s="355"/>
      <c r="BI81" s="355"/>
      <c r="BJ81" s="355"/>
      <c r="BK81" s="355"/>
      <c r="BL81" s="355"/>
      <c r="BM81" s="355"/>
      <c r="BN81" s="355"/>
      <c r="BO81" s="355"/>
      <c r="BP81" s="355"/>
      <c r="BQ81" s="355"/>
    </row>
    <row r="82">
      <c r="E82" s="354"/>
      <c r="F82" s="355"/>
      <c r="G82" s="355"/>
      <c r="H82" s="355"/>
      <c r="I82" s="355"/>
      <c r="J82" s="355"/>
      <c r="K82" s="355"/>
      <c r="L82" s="355"/>
      <c r="M82" s="355"/>
      <c r="N82" s="355"/>
      <c r="O82" s="355"/>
      <c r="P82" s="355"/>
      <c r="Q82" s="355"/>
      <c r="R82" s="355"/>
      <c r="S82" s="355"/>
      <c r="T82" s="355"/>
      <c r="U82" s="355"/>
      <c r="V82" s="355"/>
      <c r="W82" s="355"/>
      <c r="X82" s="355"/>
      <c r="Y82" s="355"/>
      <c r="Z82" s="355"/>
      <c r="AA82" s="355"/>
      <c r="AB82" s="355"/>
      <c r="AC82" s="355"/>
      <c r="AD82" s="355"/>
      <c r="AE82" s="355"/>
      <c r="AF82" s="355"/>
      <c r="AG82" s="355"/>
      <c r="AH82" s="355"/>
      <c r="AI82" s="355"/>
      <c r="AJ82" s="355"/>
      <c r="AK82" s="355"/>
      <c r="AL82" s="355"/>
      <c r="AM82" s="355"/>
      <c r="AN82" s="355"/>
      <c r="AO82" s="355"/>
      <c r="AP82" s="355"/>
      <c r="AQ82" s="355"/>
      <c r="AR82" s="355"/>
      <c r="AS82" s="355"/>
      <c r="AT82" s="355"/>
      <c r="AU82" s="355"/>
      <c r="AV82" s="355"/>
      <c r="AW82" s="355"/>
      <c r="AX82" s="355"/>
      <c r="AY82" s="355"/>
      <c r="AZ82" s="355"/>
      <c r="BA82" s="355"/>
      <c r="BB82" s="355"/>
      <c r="BC82" s="355"/>
      <c r="BD82" s="355"/>
      <c r="BE82" s="355"/>
      <c r="BF82" s="355"/>
      <c r="BG82" s="355"/>
      <c r="BH82" s="355"/>
      <c r="BI82" s="355"/>
      <c r="BJ82" s="355"/>
      <c r="BK82" s="355"/>
      <c r="BL82" s="355"/>
      <c r="BM82" s="355"/>
      <c r="BN82" s="355"/>
      <c r="BO82" s="355"/>
      <c r="BP82" s="355"/>
      <c r="BQ82" s="355"/>
    </row>
    <row r="83">
      <c r="E83" s="354"/>
      <c r="F83" s="355"/>
      <c r="G83" s="355"/>
      <c r="H83" s="355"/>
      <c r="I83" s="355"/>
      <c r="J83" s="355"/>
      <c r="K83" s="355"/>
      <c r="L83" s="355"/>
      <c r="M83" s="355"/>
      <c r="N83" s="355"/>
      <c r="O83" s="355"/>
      <c r="P83" s="355"/>
      <c r="Q83" s="355"/>
      <c r="R83" s="355"/>
      <c r="S83" s="355"/>
      <c r="T83" s="355"/>
      <c r="U83" s="355"/>
      <c r="V83" s="355"/>
      <c r="W83" s="355"/>
      <c r="X83" s="355"/>
      <c r="Y83" s="355"/>
      <c r="Z83" s="355"/>
      <c r="AA83" s="355"/>
      <c r="AB83" s="355"/>
      <c r="AC83" s="355"/>
      <c r="AD83" s="355"/>
      <c r="AE83" s="355"/>
      <c r="AF83" s="355"/>
      <c r="AG83" s="355"/>
      <c r="AH83" s="355"/>
      <c r="AI83" s="355"/>
      <c r="AJ83" s="355"/>
      <c r="AK83" s="355"/>
      <c r="AL83" s="355"/>
      <c r="AM83" s="355"/>
      <c r="AN83" s="355"/>
      <c r="AO83" s="355"/>
      <c r="AP83" s="355"/>
      <c r="AQ83" s="355"/>
      <c r="AR83" s="355"/>
      <c r="AS83" s="355"/>
      <c r="AT83" s="355"/>
      <c r="AU83" s="355"/>
      <c r="AV83" s="355"/>
      <c r="AW83" s="355"/>
      <c r="AX83" s="355"/>
      <c r="AY83" s="355"/>
      <c r="AZ83" s="355"/>
      <c r="BA83" s="355"/>
      <c r="BB83" s="355"/>
      <c r="BC83" s="355"/>
      <c r="BD83" s="355"/>
      <c r="BE83" s="355"/>
      <c r="BF83" s="355"/>
      <c r="BG83" s="355"/>
      <c r="BH83" s="355"/>
      <c r="BI83" s="355"/>
      <c r="BJ83" s="355"/>
      <c r="BK83" s="355"/>
      <c r="BL83" s="355"/>
      <c r="BM83" s="355"/>
      <c r="BN83" s="355"/>
      <c r="BO83" s="355"/>
      <c r="BP83" s="355"/>
      <c r="BQ83" s="355"/>
    </row>
    <row r="84">
      <c r="E84" s="354"/>
      <c r="F84" s="355"/>
      <c r="G84" s="355"/>
      <c r="H84" s="355"/>
      <c r="I84" s="355"/>
      <c r="J84" s="355"/>
      <c r="K84" s="355"/>
      <c r="L84" s="355"/>
      <c r="M84" s="355"/>
      <c r="N84" s="355"/>
      <c r="O84" s="355"/>
      <c r="P84" s="355"/>
      <c r="Q84" s="355"/>
      <c r="R84" s="355"/>
      <c r="S84" s="355"/>
      <c r="T84" s="355"/>
      <c r="U84" s="355"/>
      <c r="V84" s="355"/>
      <c r="W84" s="355"/>
      <c r="X84" s="355"/>
      <c r="Y84" s="355"/>
      <c r="Z84" s="355"/>
      <c r="AA84" s="355"/>
      <c r="AB84" s="355"/>
      <c r="AC84" s="355"/>
      <c r="AD84" s="355"/>
      <c r="AE84" s="355"/>
      <c r="AF84" s="355"/>
      <c r="AG84" s="355"/>
      <c r="AH84" s="355"/>
      <c r="AI84" s="355"/>
      <c r="AJ84" s="355"/>
      <c r="AK84" s="355"/>
      <c r="AL84" s="355"/>
      <c r="AM84" s="355"/>
      <c r="AN84" s="355"/>
      <c r="AO84" s="355"/>
      <c r="AP84" s="355"/>
      <c r="AQ84" s="355"/>
      <c r="AR84" s="355"/>
      <c r="AS84" s="355"/>
      <c r="AT84" s="355"/>
      <c r="AU84" s="355"/>
      <c r="AV84" s="355"/>
      <c r="AW84" s="355"/>
      <c r="AX84" s="355"/>
      <c r="AY84" s="355"/>
      <c r="AZ84" s="355"/>
      <c r="BA84" s="355"/>
      <c r="BB84" s="355"/>
      <c r="BC84" s="355"/>
      <c r="BD84" s="355"/>
      <c r="BE84" s="355"/>
      <c r="BF84" s="355"/>
      <c r="BG84" s="355"/>
      <c r="BH84" s="355"/>
      <c r="BI84" s="355"/>
      <c r="BJ84" s="355"/>
      <c r="BK84" s="355"/>
      <c r="BL84" s="355"/>
      <c r="BM84" s="355"/>
      <c r="BN84" s="355"/>
      <c r="BO84" s="355"/>
      <c r="BP84" s="355"/>
      <c r="BQ84" s="355"/>
    </row>
    <row r="85">
      <c r="E85" s="354"/>
      <c r="F85" s="355"/>
      <c r="G85" s="355"/>
      <c r="H85" s="355"/>
      <c r="I85" s="355"/>
      <c r="J85" s="355"/>
      <c r="K85" s="355"/>
      <c r="L85" s="355"/>
      <c r="M85" s="355"/>
      <c r="N85" s="355"/>
      <c r="O85" s="355"/>
      <c r="P85" s="355"/>
      <c r="Q85" s="355"/>
      <c r="R85" s="355"/>
      <c r="S85" s="355"/>
      <c r="T85" s="355"/>
      <c r="U85" s="355"/>
      <c r="V85" s="355"/>
      <c r="W85" s="355"/>
      <c r="X85" s="355"/>
      <c r="Y85" s="355"/>
      <c r="Z85" s="355"/>
      <c r="AA85" s="355"/>
      <c r="AB85" s="355"/>
      <c r="AC85" s="355"/>
      <c r="AD85" s="355"/>
      <c r="AE85" s="355"/>
      <c r="AF85" s="355"/>
      <c r="AG85" s="355"/>
      <c r="AH85" s="355"/>
      <c r="AI85" s="355"/>
      <c r="AJ85" s="355"/>
      <c r="AK85" s="355"/>
      <c r="AL85" s="355"/>
      <c r="AM85" s="355"/>
      <c r="AN85" s="355"/>
      <c r="AO85" s="355"/>
      <c r="AP85" s="355"/>
      <c r="AQ85" s="355"/>
      <c r="AR85" s="355"/>
      <c r="AS85" s="355"/>
      <c r="AT85" s="355"/>
      <c r="AU85" s="355"/>
      <c r="AV85" s="355"/>
      <c r="AW85" s="355"/>
      <c r="AX85" s="355"/>
      <c r="AY85" s="355"/>
      <c r="AZ85" s="355"/>
      <c r="BA85" s="355"/>
      <c r="BB85" s="355"/>
      <c r="BC85" s="355"/>
      <c r="BD85" s="355"/>
      <c r="BE85" s="355"/>
      <c r="BF85" s="355"/>
      <c r="BG85" s="355"/>
      <c r="BH85" s="355"/>
      <c r="BI85" s="355"/>
      <c r="BJ85" s="355"/>
      <c r="BK85" s="355"/>
      <c r="BL85" s="355"/>
      <c r="BM85" s="355"/>
      <c r="BN85" s="355"/>
      <c r="BO85" s="355"/>
      <c r="BP85" s="355"/>
      <c r="BQ85" s="355"/>
    </row>
    <row r="86">
      <c r="E86" s="354"/>
      <c r="F86" s="355"/>
      <c r="G86" s="355"/>
      <c r="H86" s="355"/>
      <c r="I86" s="355"/>
      <c r="J86" s="355"/>
      <c r="K86" s="355"/>
      <c r="L86" s="355"/>
      <c r="M86" s="355"/>
      <c r="N86" s="355"/>
      <c r="O86" s="355"/>
      <c r="P86" s="355"/>
      <c r="Q86" s="355"/>
      <c r="R86" s="355"/>
      <c r="S86" s="355"/>
      <c r="T86" s="355"/>
      <c r="U86" s="355"/>
      <c r="V86" s="355"/>
      <c r="W86" s="355"/>
      <c r="X86" s="355"/>
      <c r="Y86" s="355"/>
      <c r="Z86" s="355"/>
      <c r="AA86" s="355"/>
      <c r="AB86" s="355"/>
      <c r="AC86" s="355"/>
      <c r="AD86" s="355"/>
      <c r="AE86" s="355"/>
      <c r="AF86" s="355"/>
      <c r="AG86" s="355"/>
      <c r="AH86" s="355"/>
      <c r="AI86" s="355"/>
      <c r="AJ86" s="355"/>
      <c r="AK86" s="355"/>
      <c r="AL86" s="355"/>
      <c r="AM86" s="355"/>
      <c r="AN86" s="355"/>
      <c r="AO86" s="355"/>
      <c r="AP86" s="355"/>
      <c r="AQ86" s="355"/>
      <c r="AR86" s="355"/>
      <c r="AS86" s="355"/>
      <c r="AT86" s="355"/>
      <c r="AU86" s="355"/>
      <c r="AV86" s="355"/>
      <c r="AW86" s="355"/>
      <c r="AX86" s="355"/>
      <c r="AY86" s="355"/>
      <c r="AZ86" s="355"/>
      <c r="BA86" s="355"/>
      <c r="BB86" s="355"/>
      <c r="BC86" s="355"/>
      <c r="BD86" s="355"/>
      <c r="BE86" s="355"/>
      <c r="BF86" s="355"/>
      <c r="BG86" s="355"/>
      <c r="BH86" s="355"/>
      <c r="BI86" s="355"/>
      <c r="BJ86" s="355"/>
      <c r="BK86" s="355"/>
      <c r="BL86" s="355"/>
      <c r="BM86" s="355"/>
      <c r="BN86" s="355"/>
      <c r="BO86" s="355"/>
      <c r="BP86" s="355"/>
      <c r="BQ86" s="355"/>
    </row>
    <row r="87">
      <c r="E87" s="354"/>
      <c r="F87" s="355"/>
      <c r="G87" s="355"/>
      <c r="H87" s="355"/>
      <c r="I87" s="355"/>
      <c r="J87" s="355"/>
      <c r="K87" s="355"/>
      <c r="L87" s="355"/>
      <c r="M87" s="355"/>
      <c r="N87" s="355"/>
      <c r="O87" s="355"/>
      <c r="P87" s="355"/>
      <c r="Q87" s="355"/>
      <c r="R87" s="355"/>
      <c r="S87" s="355"/>
      <c r="T87" s="355"/>
      <c r="U87" s="355"/>
      <c r="V87" s="355"/>
      <c r="W87" s="355"/>
      <c r="X87" s="355"/>
      <c r="Y87" s="355"/>
      <c r="Z87" s="355"/>
      <c r="AA87" s="355"/>
      <c r="AB87" s="355"/>
      <c r="AC87" s="355"/>
      <c r="AD87" s="355"/>
      <c r="AE87" s="355"/>
      <c r="AF87" s="355"/>
      <c r="AG87" s="355"/>
      <c r="AH87" s="355"/>
      <c r="AI87" s="355"/>
      <c r="AJ87" s="355"/>
      <c r="AK87" s="355"/>
      <c r="AL87" s="355"/>
      <c r="AM87" s="355"/>
      <c r="AN87" s="355"/>
      <c r="AO87" s="355"/>
      <c r="AP87" s="355"/>
      <c r="AQ87" s="355"/>
      <c r="AR87" s="355"/>
      <c r="AS87" s="355"/>
      <c r="AT87" s="355"/>
      <c r="AU87" s="355"/>
      <c r="AV87" s="355"/>
      <c r="AW87" s="355"/>
      <c r="AX87" s="355"/>
      <c r="AY87" s="355"/>
      <c r="AZ87" s="355"/>
      <c r="BA87" s="355"/>
      <c r="BB87" s="355"/>
      <c r="BC87" s="355"/>
      <c r="BD87" s="355"/>
      <c r="BE87" s="355"/>
      <c r="BF87" s="355"/>
      <c r="BG87" s="355"/>
      <c r="BH87" s="355"/>
      <c r="BI87" s="355"/>
      <c r="BJ87" s="355"/>
      <c r="BK87" s="355"/>
      <c r="BL87" s="355"/>
      <c r="BM87" s="355"/>
      <c r="BN87" s="355"/>
      <c r="BO87" s="355"/>
      <c r="BP87" s="355"/>
      <c r="BQ87" s="355"/>
    </row>
    <row r="88">
      <c r="E88" s="354"/>
      <c r="F88" s="355"/>
      <c r="G88" s="355"/>
      <c r="H88" s="355"/>
      <c r="I88" s="355"/>
      <c r="J88" s="355"/>
      <c r="K88" s="355"/>
      <c r="L88" s="355"/>
      <c r="M88" s="355"/>
      <c r="N88" s="355"/>
      <c r="O88" s="355"/>
      <c r="P88" s="355"/>
      <c r="Q88" s="355"/>
      <c r="R88" s="355"/>
      <c r="S88" s="355"/>
      <c r="T88" s="355"/>
      <c r="U88" s="355"/>
      <c r="V88" s="355"/>
      <c r="W88" s="355"/>
      <c r="X88" s="355"/>
      <c r="Y88" s="355"/>
      <c r="Z88" s="355"/>
      <c r="AA88" s="355"/>
      <c r="AB88" s="355"/>
      <c r="AC88" s="355"/>
      <c r="AD88" s="355"/>
      <c r="AE88" s="355"/>
      <c r="AF88" s="355"/>
      <c r="AG88" s="355"/>
      <c r="AH88" s="355"/>
      <c r="AI88" s="355"/>
      <c r="AJ88" s="355"/>
      <c r="AK88" s="355"/>
      <c r="AL88" s="355"/>
      <c r="AM88" s="355"/>
      <c r="AN88" s="355"/>
      <c r="AO88" s="355"/>
      <c r="AP88" s="355"/>
      <c r="AQ88" s="355"/>
      <c r="AR88" s="355"/>
      <c r="AS88" s="355"/>
      <c r="AT88" s="355"/>
      <c r="AU88" s="355"/>
      <c r="AV88" s="355"/>
      <c r="AW88" s="355"/>
      <c r="AX88" s="355"/>
      <c r="AY88" s="355"/>
      <c r="AZ88" s="355"/>
      <c r="BA88" s="355"/>
      <c r="BB88" s="355"/>
      <c r="BC88" s="355"/>
      <c r="BD88" s="355"/>
      <c r="BE88" s="355"/>
      <c r="BF88" s="355"/>
      <c r="BG88" s="355"/>
      <c r="BH88" s="355"/>
      <c r="BI88" s="355"/>
      <c r="BJ88" s="355"/>
      <c r="BK88" s="355"/>
      <c r="BL88" s="355"/>
      <c r="BM88" s="355"/>
      <c r="BN88" s="355"/>
      <c r="BO88" s="355"/>
      <c r="BP88" s="355"/>
      <c r="BQ88" s="355"/>
    </row>
    <row r="89">
      <c r="E89" s="354"/>
      <c r="F89" s="355"/>
      <c r="G89" s="355"/>
      <c r="H89" s="355"/>
      <c r="I89" s="355"/>
      <c r="J89" s="355"/>
      <c r="K89" s="355"/>
      <c r="L89" s="355"/>
      <c r="M89" s="355"/>
      <c r="N89" s="355"/>
      <c r="O89" s="355"/>
      <c r="P89" s="355"/>
      <c r="Q89" s="355"/>
      <c r="R89" s="355"/>
      <c r="S89" s="355"/>
      <c r="T89" s="355"/>
      <c r="U89" s="355"/>
      <c r="V89" s="355"/>
      <c r="W89" s="355"/>
      <c r="X89" s="355"/>
      <c r="Y89" s="355"/>
      <c r="Z89" s="355"/>
      <c r="AA89" s="355"/>
      <c r="AB89" s="355"/>
      <c r="AC89" s="355"/>
      <c r="AD89" s="355"/>
      <c r="AE89" s="355"/>
      <c r="AF89" s="355"/>
      <c r="AG89" s="355"/>
      <c r="AH89" s="355"/>
      <c r="AI89" s="355"/>
      <c r="AJ89" s="355"/>
      <c r="AK89" s="355"/>
      <c r="AL89" s="355"/>
      <c r="AM89" s="355"/>
      <c r="AN89" s="355"/>
      <c r="AO89" s="355"/>
      <c r="AP89" s="355"/>
      <c r="AQ89" s="355"/>
      <c r="AR89" s="355"/>
      <c r="AS89" s="355"/>
      <c r="AT89" s="355"/>
      <c r="AU89" s="355"/>
      <c r="AV89" s="355"/>
      <c r="AW89" s="355"/>
      <c r="AX89" s="355"/>
      <c r="AY89" s="355"/>
      <c r="AZ89" s="355"/>
      <c r="BA89" s="355"/>
      <c r="BB89" s="355"/>
      <c r="BC89" s="355"/>
      <c r="BD89" s="355"/>
      <c r="BE89" s="355"/>
      <c r="BF89" s="355"/>
      <c r="BG89" s="355"/>
      <c r="BH89" s="355"/>
      <c r="BI89" s="355"/>
      <c r="BJ89" s="355"/>
      <c r="BK89" s="355"/>
      <c r="BL89" s="355"/>
      <c r="BM89" s="355"/>
      <c r="BN89" s="355"/>
      <c r="BO89" s="355"/>
      <c r="BP89" s="355"/>
      <c r="BQ89" s="355"/>
    </row>
    <row r="90">
      <c r="E90" s="354"/>
      <c r="F90" s="355"/>
      <c r="G90" s="355"/>
      <c r="H90" s="355"/>
      <c r="I90" s="355"/>
      <c r="J90" s="355"/>
      <c r="K90" s="355"/>
      <c r="L90" s="355"/>
      <c r="M90" s="355"/>
      <c r="N90" s="355"/>
      <c r="O90" s="355"/>
      <c r="P90" s="355"/>
      <c r="Q90" s="355"/>
      <c r="R90" s="355"/>
      <c r="S90" s="355"/>
      <c r="T90" s="355"/>
      <c r="U90" s="355"/>
      <c r="V90" s="355"/>
      <c r="W90" s="355"/>
      <c r="X90" s="355"/>
      <c r="Y90" s="355"/>
      <c r="Z90" s="355"/>
      <c r="AA90" s="355"/>
      <c r="AB90" s="355"/>
      <c r="AC90" s="355"/>
      <c r="AD90" s="355"/>
      <c r="AE90" s="355"/>
      <c r="AF90" s="355"/>
      <c r="AG90" s="355"/>
      <c r="AH90" s="355"/>
      <c r="AI90" s="355"/>
      <c r="AJ90" s="355"/>
      <c r="AK90" s="355"/>
      <c r="AL90" s="355"/>
      <c r="AM90" s="355"/>
      <c r="AN90" s="355"/>
      <c r="AO90" s="355"/>
      <c r="AP90" s="355"/>
      <c r="AQ90" s="355"/>
      <c r="AR90" s="355"/>
      <c r="AS90" s="355"/>
      <c r="AT90" s="355"/>
      <c r="AU90" s="355"/>
      <c r="AV90" s="355"/>
      <c r="AW90" s="355"/>
      <c r="AX90" s="355"/>
      <c r="AY90" s="355"/>
      <c r="AZ90" s="355"/>
      <c r="BA90" s="355"/>
      <c r="BB90" s="355"/>
      <c r="BC90" s="355"/>
      <c r="BD90" s="355"/>
      <c r="BE90" s="355"/>
      <c r="BF90" s="355"/>
      <c r="BG90" s="355"/>
      <c r="BH90" s="355"/>
      <c r="BI90" s="355"/>
      <c r="BJ90" s="355"/>
      <c r="BK90" s="355"/>
      <c r="BL90" s="355"/>
      <c r="BM90" s="355"/>
      <c r="BN90" s="355"/>
      <c r="BO90" s="355"/>
      <c r="BP90" s="355"/>
      <c r="BQ90" s="355"/>
    </row>
    <row r="91">
      <c r="E91" s="354"/>
      <c r="F91" s="355"/>
      <c r="G91" s="355"/>
      <c r="H91" s="355"/>
      <c r="I91" s="355"/>
      <c r="J91" s="355"/>
      <c r="K91" s="355"/>
      <c r="L91" s="355"/>
      <c r="M91" s="355"/>
      <c r="N91" s="355"/>
      <c r="O91" s="355"/>
      <c r="P91" s="355"/>
      <c r="Q91" s="355"/>
      <c r="R91" s="355"/>
      <c r="S91" s="355"/>
      <c r="T91" s="355"/>
      <c r="U91" s="355"/>
      <c r="V91" s="355"/>
      <c r="W91" s="355"/>
      <c r="X91" s="355"/>
      <c r="Y91" s="355"/>
      <c r="Z91" s="355"/>
      <c r="AA91" s="355"/>
      <c r="AB91" s="355"/>
      <c r="AC91" s="355"/>
      <c r="AD91" s="355"/>
      <c r="AE91" s="355"/>
      <c r="AF91" s="355"/>
      <c r="AG91" s="355"/>
      <c r="AH91" s="355"/>
      <c r="AI91" s="355"/>
      <c r="AJ91" s="355"/>
      <c r="AK91" s="355"/>
      <c r="AL91" s="355"/>
      <c r="AM91" s="355"/>
      <c r="AN91" s="355"/>
      <c r="AO91" s="355"/>
      <c r="AP91" s="355"/>
      <c r="AQ91" s="355"/>
      <c r="AR91" s="355"/>
      <c r="AS91" s="355"/>
      <c r="AT91" s="355"/>
      <c r="AU91" s="355"/>
      <c r="AV91" s="355"/>
      <c r="AW91" s="355"/>
      <c r="AX91" s="355"/>
      <c r="AY91" s="355"/>
      <c r="AZ91" s="355"/>
      <c r="BA91" s="355"/>
      <c r="BB91" s="355"/>
      <c r="BC91" s="355"/>
      <c r="BD91" s="355"/>
      <c r="BE91" s="355"/>
      <c r="BF91" s="355"/>
      <c r="BG91" s="355"/>
      <c r="BH91" s="355"/>
      <c r="BI91" s="355"/>
      <c r="BJ91" s="355"/>
      <c r="BK91" s="355"/>
      <c r="BL91" s="355"/>
      <c r="BM91" s="355"/>
      <c r="BN91" s="355"/>
      <c r="BO91" s="355"/>
      <c r="BP91" s="355"/>
      <c r="BQ91" s="355"/>
    </row>
    <row r="92">
      <c r="E92" s="354"/>
      <c r="F92" s="355"/>
      <c r="G92" s="355"/>
      <c r="H92" s="355"/>
      <c r="I92" s="355"/>
      <c r="J92" s="355"/>
      <c r="K92" s="355"/>
      <c r="L92" s="355"/>
      <c r="M92" s="355"/>
      <c r="N92" s="355"/>
      <c r="O92" s="355"/>
      <c r="P92" s="355"/>
      <c r="Q92" s="355"/>
      <c r="R92" s="355"/>
      <c r="S92" s="355"/>
      <c r="T92" s="355"/>
      <c r="U92" s="355"/>
      <c r="V92" s="355"/>
      <c r="W92" s="355"/>
      <c r="X92" s="355"/>
      <c r="Y92" s="355"/>
      <c r="Z92" s="355"/>
      <c r="AA92" s="355"/>
      <c r="AB92" s="355"/>
      <c r="AC92" s="355"/>
      <c r="AD92" s="355"/>
      <c r="AE92" s="355"/>
      <c r="AF92" s="355"/>
      <c r="AG92" s="355"/>
      <c r="AH92" s="355"/>
      <c r="AI92" s="355"/>
      <c r="AJ92" s="355"/>
      <c r="AK92" s="355"/>
      <c r="AL92" s="355"/>
      <c r="AM92" s="355"/>
      <c r="AN92" s="355"/>
      <c r="AO92" s="355"/>
      <c r="AP92" s="355"/>
      <c r="AQ92" s="355"/>
      <c r="AR92" s="355"/>
      <c r="AS92" s="355"/>
      <c r="AT92" s="355"/>
      <c r="AU92" s="355"/>
      <c r="AV92" s="355"/>
      <c r="AW92" s="355"/>
      <c r="AX92" s="355"/>
      <c r="AY92" s="355"/>
      <c r="AZ92" s="355"/>
      <c r="BA92" s="355"/>
      <c r="BB92" s="355"/>
      <c r="BC92" s="355"/>
      <c r="BD92" s="355"/>
      <c r="BE92" s="355"/>
      <c r="BF92" s="355"/>
      <c r="BG92" s="355"/>
      <c r="BH92" s="355"/>
      <c r="BI92" s="355"/>
      <c r="BJ92" s="355"/>
      <c r="BK92" s="355"/>
      <c r="BL92" s="355"/>
      <c r="BM92" s="355"/>
      <c r="BN92" s="355"/>
      <c r="BO92" s="355"/>
      <c r="BP92" s="355"/>
      <c r="BQ92" s="355"/>
    </row>
    <row r="93">
      <c r="E93" s="354"/>
      <c r="F93" s="355"/>
      <c r="G93" s="355"/>
      <c r="H93" s="355"/>
      <c r="I93" s="355"/>
      <c r="J93" s="355"/>
      <c r="K93" s="355"/>
      <c r="L93" s="355"/>
      <c r="M93" s="355"/>
      <c r="N93" s="355"/>
      <c r="O93" s="355"/>
      <c r="P93" s="355"/>
      <c r="Q93" s="355"/>
      <c r="R93" s="355"/>
      <c r="S93" s="355"/>
      <c r="T93" s="355"/>
      <c r="U93" s="355"/>
      <c r="V93" s="355"/>
      <c r="W93" s="355"/>
      <c r="X93" s="355"/>
      <c r="Y93" s="355"/>
      <c r="Z93" s="355"/>
      <c r="AA93" s="355"/>
      <c r="AB93" s="355"/>
      <c r="AC93" s="355"/>
      <c r="AD93" s="355"/>
      <c r="AE93" s="355"/>
      <c r="AF93" s="355"/>
      <c r="AG93" s="355"/>
      <c r="AH93" s="355"/>
      <c r="AI93" s="355"/>
      <c r="AJ93" s="355"/>
      <c r="AK93" s="355"/>
      <c r="AL93" s="355"/>
      <c r="AM93" s="355"/>
      <c r="AN93" s="355"/>
      <c r="AO93" s="355"/>
      <c r="AP93" s="355"/>
      <c r="AQ93" s="355"/>
      <c r="AR93" s="355"/>
      <c r="AS93" s="355"/>
      <c r="AT93" s="355"/>
      <c r="AU93" s="355"/>
      <c r="AV93" s="355"/>
      <c r="AW93" s="355"/>
      <c r="AX93" s="355"/>
      <c r="AY93" s="355"/>
      <c r="AZ93" s="355"/>
      <c r="BA93" s="355"/>
      <c r="BB93" s="355"/>
      <c r="BC93" s="355"/>
      <c r="BD93" s="355"/>
      <c r="BE93" s="355"/>
      <c r="BF93" s="355"/>
      <c r="BG93" s="355"/>
      <c r="BH93" s="355"/>
      <c r="BI93" s="355"/>
      <c r="BJ93" s="355"/>
      <c r="BK93" s="355"/>
      <c r="BL93" s="355"/>
      <c r="BM93" s="355"/>
      <c r="BN93" s="355"/>
      <c r="BO93" s="355"/>
      <c r="BP93" s="355"/>
      <c r="BQ93" s="355"/>
    </row>
    <row r="94">
      <c r="E94" s="354"/>
      <c r="F94" s="355"/>
      <c r="G94" s="355"/>
      <c r="H94" s="355"/>
      <c r="I94" s="355"/>
      <c r="J94" s="355"/>
      <c r="K94" s="355"/>
      <c r="L94" s="355"/>
      <c r="M94" s="355"/>
      <c r="N94" s="355"/>
      <c r="O94" s="355"/>
      <c r="P94" s="355"/>
      <c r="Q94" s="355"/>
      <c r="R94" s="355"/>
      <c r="S94" s="355"/>
      <c r="T94" s="355"/>
      <c r="U94" s="355"/>
      <c r="V94" s="355"/>
      <c r="W94" s="355"/>
      <c r="X94" s="355"/>
      <c r="Y94" s="355"/>
      <c r="Z94" s="355"/>
      <c r="AA94" s="355"/>
      <c r="AB94" s="355"/>
      <c r="AC94" s="355"/>
      <c r="AD94" s="355"/>
      <c r="AE94" s="355"/>
      <c r="AF94" s="355"/>
      <c r="AG94" s="355"/>
      <c r="AH94" s="355"/>
      <c r="AI94" s="355"/>
      <c r="AJ94" s="355"/>
      <c r="AK94" s="355"/>
      <c r="AL94" s="355"/>
      <c r="AM94" s="355"/>
      <c r="AN94" s="355"/>
      <c r="AO94" s="355"/>
      <c r="AP94" s="355"/>
      <c r="AQ94" s="355"/>
      <c r="AR94" s="355"/>
      <c r="AS94" s="355"/>
      <c r="AT94" s="355"/>
      <c r="AU94" s="355"/>
      <c r="AV94" s="355"/>
      <c r="AW94" s="355"/>
      <c r="AX94" s="355"/>
      <c r="AY94" s="355"/>
      <c r="AZ94" s="355"/>
      <c r="BA94" s="355"/>
      <c r="BB94" s="355"/>
      <c r="BC94" s="355"/>
      <c r="BD94" s="355"/>
      <c r="BE94" s="355"/>
      <c r="BF94" s="355"/>
      <c r="BG94" s="355"/>
      <c r="BH94" s="355"/>
      <c r="BI94" s="355"/>
      <c r="BJ94" s="355"/>
      <c r="BK94" s="355"/>
      <c r="BL94" s="355"/>
      <c r="BM94" s="355"/>
      <c r="BN94" s="355"/>
      <c r="BO94" s="355"/>
      <c r="BP94" s="355"/>
      <c r="BQ94" s="355"/>
    </row>
    <row r="95">
      <c r="E95" s="354"/>
      <c r="F95" s="355"/>
      <c r="G95" s="355"/>
      <c r="H95" s="355"/>
      <c r="I95" s="355"/>
      <c r="J95" s="355"/>
      <c r="K95" s="355"/>
      <c r="L95" s="355"/>
      <c r="M95" s="355"/>
      <c r="N95" s="355"/>
      <c r="O95" s="355"/>
      <c r="P95" s="355"/>
      <c r="Q95" s="355"/>
      <c r="R95" s="355"/>
      <c r="S95" s="355"/>
      <c r="T95" s="355"/>
      <c r="U95" s="355"/>
      <c r="V95" s="355"/>
      <c r="W95" s="355"/>
      <c r="X95" s="355"/>
      <c r="Y95" s="355"/>
      <c r="Z95" s="355"/>
      <c r="AA95" s="355"/>
      <c r="AB95" s="355"/>
      <c r="AC95" s="355"/>
      <c r="AD95" s="355"/>
      <c r="AE95" s="355"/>
      <c r="AF95" s="355"/>
      <c r="AG95" s="355"/>
      <c r="AH95" s="355"/>
      <c r="AI95" s="355"/>
      <c r="AJ95" s="355"/>
      <c r="AK95" s="355"/>
      <c r="AL95" s="355"/>
      <c r="AM95" s="355"/>
      <c r="AN95" s="355"/>
      <c r="AO95" s="355"/>
      <c r="AP95" s="355"/>
      <c r="AQ95" s="355"/>
      <c r="AR95" s="355"/>
      <c r="AS95" s="355"/>
      <c r="AT95" s="355"/>
      <c r="AU95" s="355"/>
      <c r="AV95" s="355"/>
      <c r="AW95" s="355"/>
      <c r="AX95" s="355"/>
      <c r="AY95" s="355"/>
      <c r="AZ95" s="355"/>
      <c r="BA95" s="355"/>
      <c r="BB95" s="355"/>
      <c r="BC95" s="355"/>
      <c r="BD95" s="355"/>
      <c r="BE95" s="355"/>
      <c r="BF95" s="355"/>
      <c r="BG95" s="355"/>
      <c r="BH95" s="355"/>
      <c r="BI95" s="355"/>
      <c r="BJ95" s="355"/>
      <c r="BK95" s="355"/>
      <c r="BL95" s="355"/>
      <c r="BM95" s="355"/>
      <c r="BN95" s="355"/>
      <c r="BO95" s="355"/>
      <c r="BP95" s="355"/>
      <c r="BQ95" s="355"/>
    </row>
    <row r="96">
      <c r="E96" s="354"/>
      <c r="F96" s="355"/>
      <c r="G96" s="355"/>
      <c r="H96" s="355"/>
      <c r="I96" s="355"/>
      <c r="J96" s="355"/>
      <c r="K96" s="355"/>
      <c r="L96" s="355"/>
      <c r="M96" s="355"/>
      <c r="N96" s="355"/>
      <c r="O96" s="355"/>
      <c r="P96" s="355"/>
      <c r="Q96" s="355"/>
      <c r="R96" s="355"/>
      <c r="S96" s="355"/>
      <c r="T96" s="355"/>
      <c r="U96" s="355"/>
      <c r="V96" s="355"/>
      <c r="W96" s="355"/>
      <c r="X96" s="355"/>
      <c r="Y96" s="355"/>
      <c r="Z96" s="355"/>
      <c r="AA96" s="355"/>
      <c r="AB96" s="355"/>
      <c r="AC96" s="355"/>
      <c r="AD96" s="355"/>
      <c r="AE96" s="355"/>
      <c r="AF96" s="355"/>
      <c r="AG96" s="355"/>
      <c r="AH96" s="355"/>
      <c r="AI96" s="355"/>
      <c r="AJ96" s="355"/>
      <c r="AK96" s="355"/>
      <c r="AL96" s="355"/>
      <c r="AM96" s="355"/>
      <c r="AN96" s="355"/>
      <c r="AO96" s="355"/>
      <c r="AP96" s="355"/>
      <c r="AQ96" s="355"/>
      <c r="AR96" s="355"/>
      <c r="AS96" s="355"/>
      <c r="AT96" s="355"/>
      <c r="AU96" s="355"/>
      <c r="AV96" s="355"/>
      <c r="AW96" s="355"/>
      <c r="AX96" s="355"/>
      <c r="AY96" s="355"/>
      <c r="AZ96" s="355"/>
      <c r="BA96" s="355"/>
      <c r="BB96" s="355"/>
      <c r="BC96" s="355"/>
      <c r="BD96" s="355"/>
      <c r="BE96" s="355"/>
      <c r="BF96" s="355"/>
      <c r="BG96" s="355"/>
      <c r="BH96" s="355"/>
      <c r="BI96" s="355"/>
      <c r="BJ96" s="355"/>
      <c r="BK96" s="355"/>
      <c r="BL96" s="355"/>
      <c r="BM96" s="355"/>
      <c r="BN96" s="355"/>
      <c r="BO96" s="355"/>
      <c r="BP96" s="355"/>
      <c r="BQ96" s="355"/>
    </row>
    <row r="97">
      <c r="E97" s="354"/>
      <c r="F97" s="355"/>
      <c r="G97" s="355"/>
      <c r="H97" s="355"/>
      <c r="I97" s="355"/>
      <c r="J97" s="355"/>
      <c r="K97" s="355"/>
      <c r="L97" s="355"/>
      <c r="M97" s="355"/>
      <c r="N97" s="355"/>
      <c r="O97" s="355"/>
      <c r="P97" s="355"/>
      <c r="Q97" s="355"/>
      <c r="R97" s="355"/>
      <c r="S97" s="355"/>
      <c r="T97" s="355"/>
      <c r="U97" s="355"/>
      <c r="V97" s="355"/>
      <c r="W97" s="355"/>
      <c r="X97" s="355"/>
      <c r="Y97" s="355"/>
      <c r="Z97" s="355"/>
      <c r="AA97" s="355"/>
      <c r="AB97" s="355"/>
      <c r="AC97" s="355"/>
      <c r="AD97" s="355"/>
      <c r="AE97" s="355"/>
      <c r="AF97" s="355"/>
      <c r="AG97" s="355"/>
      <c r="AH97" s="355"/>
      <c r="AI97" s="355"/>
      <c r="AJ97" s="355"/>
      <c r="AK97" s="355"/>
      <c r="AL97" s="355"/>
      <c r="AM97" s="355"/>
      <c r="AN97" s="355"/>
      <c r="AO97" s="355"/>
      <c r="AP97" s="355"/>
      <c r="AQ97" s="355"/>
      <c r="AR97" s="355"/>
      <c r="AS97" s="355"/>
      <c r="AT97" s="355"/>
      <c r="AU97" s="355"/>
      <c r="AV97" s="355"/>
      <c r="AW97" s="355"/>
      <c r="AX97" s="355"/>
      <c r="AY97" s="355"/>
      <c r="AZ97" s="355"/>
      <c r="BA97" s="355"/>
      <c r="BB97" s="355"/>
      <c r="BC97" s="355"/>
      <c r="BD97" s="355"/>
      <c r="BE97" s="355"/>
      <c r="BF97" s="355"/>
      <c r="BG97" s="355"/>
      <c r="BH97" s="355"/>
      <c r="BI97" s="355"/>
      <c r="BJ97" s="355"/>
      <c r="BK97" s="355"/>
      <c r="BL97" s="355"/>
      <c r="BM97" s="355"/>
      <c r="BN97" s="355"/>
      <c r="BO97" s="355"/>
      <c r="BP97" s="355"/>
      <c r="BQ97" s="355"/>
    </row>
    <row r="98">
      <c r="E98" s="354"/>
      <c r="F98" s="355"/>
      <c r="G98" s="355"/>
      <c r="H98" s="355"/>
      <c r="I98" s="355"/>
      <c r="J98" s="355"/>
      <c r="K98" s="355"/>
      <c r="L98" s="355"/>
      <c r="M98" s="355"/>
      <c r="N98" s="355"/>
      <c r="O98" s="355"/>
      <c r="P98" s="355"/>
      <c r="Q98" s="355"/>
      <c r="R98" s="355"/>
      <c r="S98" s="355"/>
      <c r="T98" s="355"/>
      <c r="U98" s="355"/>
      <c r="V98" s="355"/>
      <c r="W98" s="355"/>
      <c r="X98" s="355"/>
      <c r="Y98" s="355"/>
      <c r="Z98" s="355"/>
      <c r="AA98" s="355"/>
      <c r="AB98" s="355"/>
      <c r="AC98" s="355"/>
      <c r="AD98" s="355"/>
      <c r="AE98" s="355"/>
      <c r="AF98" s="355"/>
      <c r="AG98" s="355"/>
      <c r="AH98" s="355"/>
      <c r="AI98" s="355"/>
      <c r="AJ98" s="355"/>
      <c r="AK98" s="355"/>
      <c r="AL98" s="355"/>
      <c r="AM98" s="355"/>
      <c r="AN98" s="355"/>
      <c r="AO98" s="355"/>
      <c r="AP98" s="355"/>
      <c r="AQ98" s="355"/>
      <c r="AR98" s="355"/>
      <c r="AS98" s="355"/>
      <c r="AT98" s="355"/>
      <c r="AU98" s="355"/>
      <c r="AV98" s="355"/>
      <c r="AW98" s="355"/>
      <c r="AX98" s="355"/>
      <c r="AY98" s="355"/>
      <c r="AZ98" s="355"/>
      <c r="BA98" s="355"/>
      <c r="BB98" s="355"/>
      <c r="BC98" s="355"/>
      <c r="BD98" s="355"/>
      <c r="BE98" s="355"/>
      <c r="BF98" s="355"/>
      <c r="BG98" s="355"/>
      <c r="BH98" s="355"/>
      <c r="BI98" s="355"/>
      <c r="BJ98" s="355"/>
      <c r="BK98" s="355"/>
      <c r="BL98" s="355"/>
      <c r="BM98" s="355"/>
      <c r="BN98" s="355"/>
      <c r="BO98" s="355"/>
      <c r="BP98" s="355"/>
      <c r="BQ98" s="355"/>
    </row>
    <row r="99">
      <c r="E99" s="354"/>
      <c r="F99" s="355"/>
      <c r="G99" s="355"/>
      <c r="H99" s="355"/>
      <c r="I99" s="355"/>
      <c r="J99" s="355"/>
      <c r="K99" s="355"/>
      <c r="L99" s="355"/>
      <c r="M99" s="355"/>
      <c r="N99" s="355"/>
      <c r="O99" s="355"/>
      <c r="P99" s="355"/>
      <c r="Q99" s="355"/>
      <c r="R99" s="355"/>
      <c r="S99" s="355"/>
      <c r="T99" s="355"/>
      <c r="U99" s="355"/>
      <c r="V99" s="355"/>
      <c r="W99" s="355"/>
      <c r="X99" s="355"/>
      <c r="Y99" s="355"/>
      <c r="Z99" s="355"/>
      <c r="AA99" s="355"/>
      <c r="AB99" s="355"/>
      <c r="AC99" s="355"/>
      <c r="AD99" s="355"/>
      <c r="AE99" s="355"/>
      <c r="AF99" s="355"/>
      <c r="AG99" s="355"/>
      <c r="AH99" s="355"/>
      <c r="AI99" s="355"/>
      <c r="AJ99" s="355"/>
      <c r="AK99" s="355"/>
      <c r="AL99" s="355"/>
      <c r="AM99" s="355"/>
      <c r="AN99" s="355"/>
      <c r="AO99" s="355"/>
      <c r="AP99" s="355"/>
      <c r="AQ99" s="355"/>
      <c r="AR99" s="355"/>
      <c r="AS99" s="355"/>
      <c r="AT99" s="355"/>
      <c r="AU99" s="355"/>
      <c r="AV99" s="355"/>
      <c r="AW99" s="355"/>
      <c r="AX99" s="355"/>
      <c r="AY99" s="355"/>
      <c r="AZ99" s="355"/>
      <c r="BA99" s="355"/>
      <c r="BB99" s="355"/>
      <c r="BC99" s="355"/>
      <c r="BD99" s="355"/>
      <c r="BE99" s="355"/>
      <c r="BF99" s="355"/>
      <c r="BG99" s="355"/>
      <c r="BH99" s="355"/>
      <c r="BI99" s="355"/>
      <c r="BJ99" s="355"/>
      <c r="BK99" s="355"/>
      <c r="BL99" s="355"/>
      <c r="BM99" s="355"/>
      <c r="BN99" s="355"/>
      <c r="BO99" s="355"/>
      <c r="BP99" s="355"/>
      <c r="BQ99" s="355"/>
    </row>
    <row r="100">
      <c r="E100" s="354"/>
      <c r="F100" s="355"/>
      <c r="G100" s="355"/>
      <c r="H100" s="355"/>
      <c r="I100" s="355"/>
      <c r="J100" s="355"/>
      <c r="K100" s="355"/>
      <c r="L100" s="355"/>
      <c r="M100" s="355"/>
      <c r="N100" s="355"/>
      <c r="O100" s="355"/>
      <c r="P100" s="355"/>
      <c r="Q100" s="355"/>
      <c r="R100" s="355"/>
      <c r="S100" s="355"/>
      <c r="T100" s="355"/>
      <c r="U100" s="355"/>
      <c r="V100" s="355"/>
      <c r="W100" s="355"/>
      <c r="X100" s="355"/>
      <c r="Y100" s="355"/>
      <c r="Z100" s="355"/>
      <c r="AA100" s="355"/>
      <c r="AB100" s="355"/>
      <c r="AC100" s="355"/>
      <c r="AD100" s="355"/>
      <c r="AE100" s="355"/>
      <c r="AF100" s="355"/>
      <c r="AG100" s="355"/>
      <c r="AH100" s="355"/>
      <c r="AI100" s="355"/>
      <c r="AJ100" s="355"/>
      <c r="AK100" s="355"/>
      <c r="AL100" s="355"/>
      <c r="AM100" s="355"/>
      <c r="AN100" s="355"/>
      <c r="AO100" s="355"/>
      <c r="AP100" s="355"/>
      <c r="AQ100" s="355"/>
      <c r="AR100" s="355"/>
      <c r="AS100" s="355"/>
      <c r="AT100" s="355"/>
      <c r="AU100" s="355"/>
      <c r="AV100" s="355"/>
      <c r="AW100" s="355"/>
      <c r="AX100" s="355"/>
      <c r="AY100" s="355"/>
      <c r="AZ100" s="355"/>
      <c r="BA100" s="355"/>
      <c r="BB100" s="355"/>
      <c r="BC100" s="355"/>
      <c r="BD100" s="355"/>
      <c r="BE100" s="355"/>
      <c r="BF100" s="355"/>
      <c r="BG100" s="355"/>
      <c r="BH100" s="355"/>
      <c r="BI100" s="355"/>
      <c r="BJ100" s="355"/>
      <c r="BK100" s="355"/>
      <c r="BL100" s="355"/>
      <c r="BM100" s="355"/>
      <c r="BN100" s="355"/>
      <c r="BO100" s="355"/>
      <c r="BP100" s="355"/>
      <c r="BQ100" s="355"/>
    </row>
    <row r="101">
      <c r="E101" s="354"/>
      <c r="F101" s="355"/>
      <c r="G101" s="355"/>
      <c r="H101" s="355"/>
      <c r="I101" s="355"/>
      <c r="J101" s="355"/>
      <c r="K101" s="355"/>
      <c r="L101" s="355"/>
      <c r="M101" s="355"/>
      <c r="N101" s="355"/>
      <c r="O101" s="355"/>
      <c r="P101" s="355"/>
      <c r="Q101" s="355"/>
      <c r="R101" s="355"/>
      <c r="S101" s="355"/>
      <c r="T101" s="355"/>
      <c r="U101" s="355"/>
      <c r="V101" s="355"/>
      <c r="W101" s="355"/>
      <c r="X101" s="355"/>
      <c r="Y101" s="355"/>
      <c r="Z101" s="355"/>
      <c r="AA101" s="355"/>
      <c r="AB101" s="355"/>
      <c r="AC101" s="355"/>
      <c r="AD101" s="355"/>
      <c r="AE101" s="355"/>
      <c r="AF101" s="355"/>
      <c r="AG101" s="355"/>
      <c r="AH101" s="355"/>
      <c r="AI101" s="355"/>
      <c r="AJ101" s="355"/>
      <c r="AK101" s="355"/>
      <c r="AL101" s="355"/>
      <c r="AM101" s="355"/>
      <c r="AN101" s="355"/>
      <c r="AO101" s="355"/>
      <c r="AP101" s="355"/>
      <c r="AQ101" s="355"/>
      <c r="AR101" s="355"/>
      <c r="AS101" s="355"/>
      <c r="AT101" s="355"/>
      <c r="AU101" s="355"/>
      <c r="AV101" s="355"/>
      <c r="AW101" s="355"/>
      <c r="AX101" s="355"/>
      <c r="AY101" s="355"/>
      <c r="AZ101" s="355"/>
      <c r="BA101" s="355"/>
      <c r="BB101" s="355"/>
      <c r="BC101" s="355"/>
      <c r="BD101" s="355"/>
      <c r="BE101" s="355"/>
      <c r="BF101" s="355"/>
      <c r="BG101" s="355"/>
      <c r="BH101" s="355"/>
      <c r="BI101" s="355"/>
      <c r="BJ101" s="355"/>
      <c r="BK101" s="355"/>
      <c r="BL101" s="355"/>
      <c r="BM101" s="355"/>
      <c r="BN101" s="355"/>
      <c r="BO101" s="355"/>
      <c r="BP101" s="355"/>
      <c r="BQ101" s="355"/>
    </row>
    <row r="102">
      <c r="E102" s="354"/>
      <c r="F102" s="355"/>
      <c r="G102" s="355"/>
      <c r="H102" s="355"/>
      <c r="I102" s="355"/>
      <c r="J102" s="355"/>
      <c r="K102" s="355"/>
      <c r="L102" s="355"/>
      <c r="M102" s="355"/>
      <c r="N102" s="355"/>
      <c r="O102" s="355"/>
      <c r="P102" s="355"/>
      <c r="Q102" s="355"/>
      <c r="R102" s="355"/>
      <c r="S102" s="355"/>
      <c r="T102" s="355"/>
      <c r="U102" s="355"/>
      <c r="V102" s="355"/>
      <c r="W102" s="355"/>
      <c r="X102" s="355"/>
      <c r="Y102" s="355"/>
      <c r="Z102" s="355"/>
      <c r="AA102" s="355"/>
      <c r="AB102" s="355"/>
      <c r="AC102" s="355"/>
      <c r="AD102" s="355"/>
      <c r="AE102" s="355"/>
      <c r="AF102" s="355"/>
      <c r="AG102" s="355"/>
      <c r="AH102" s="355"/>
      <c r="AI102" s="355"/>
      <c r="AJ102" s="355"/>
      <c r="AK102" s="355"/>
      <c r="AL102" s="355"/>
      <c r="AM102" s="355"/>
      <c r="AN102" s="355"/>
      <c r="AO102" s="355"/>
      <c r="AP102" s="355"/>
      <c r="AQ102" s="355"/>
      <c r="AR102" s="355"/>
      <c r="AS102" s="355"/>
      <c r="AT102" s="355"/>
      <c r="AU102" s="355"/>
      <c r="AV102" s="355"/>
      <c r="AW102" s="355"/>
      <c r="AX102" s="355"/>
      <c r="AY102" s="355"/>
      <c r="AZ102" s="355"/>
      <c r="BA102" s="355"/>
      <c r="BB102" s="355"/>
      <c r="BC102" s="355"/>
      <c r="BD102" s="355"/>
      <c r="BE102" s="355"/>
      <c r="BF102" s="355"/>
      <c r="BG102" s="355"/>
      <c r="BH102" s="355"/>
      <c r="BI102" s="355"/>
      <c r="BJ102" s="355"/>
      <c r="BK102" s="355"/>
      <c r="BL102" s="355"/>
      <c r="BM102" s="355"/>
      <c r="BN102" s="355"/>
      <c r="BO102" s="355"/>
      <c r="BP102" s="355"/>
      <c r="BQ102" s="355"/>
    </row>
    <row r="103">
      <c r="E103" s="354"/>
      <c r="F103" s="355"/>
      <c r="G103" s="355"/>
      <c r="H103" s="355"/>
      <c r="I103" s="355"/>
      <c r="J103" s="355"/>
      <c r="K103" s="355"/>
      <c r="L103" s="355"/>
      <c r="M103" s="355"/>
      <c r="N103" s="355"/>
      <c r="O103" s="355"/>
      <c r="P103" s="355"/>
      <c r="Q103" s="355"/>
      <c r="R103" s="355"/>
      <c r="S103" s="355"/>
      <c r="T103" s="355"/>
      <c r="U103" s="355"/>
      <c r="V103" s="355"/>
      <c r="W103" s="355"/>
      <c r="X103" s="355"/>
      <c r="Y103" s="355"/>
      <c r="Z103" s="355"/>
      <c r="AA103" s="355"/>
      <c r="AB103" s="355"/>
      <c r="AC103" s="355"/>
      <c r="AD103" s="355"/>
      <c r="AE103" s="355"/>
      <c r="AF103" s="355"/>
      <c r="AG103" s="355"/>
      <c r="AH103" s="355"/>
      <c r="AI103" s="355"/>
      <c r="AJ103" s="355"/>
      <c r="AK103" s="355"/>
      <c r="AL103" s="355"/>
      <c r="AM103" s="355"/>
      <c r="AN103" s="355"/>
      <c r="AO103" s="355"/>
      <c r="AP103" s="355"/>
      <c r="AQ103" s="355"/>
      <c r="AR103" s="355"/>
      <c r="AS103" s="355"/>
      <c r="AT103" s="355"/>
      <c r="AU103" s="355"/>
      <c r="AV103" s="355"/>
      <c r="AW103" s="355"/>
      <c r="AX103" s="355"/>
      <c r="AY103" s="355"/>
      <c r="AZ103" s="355"/>
      <c r="BA103" s="355"/>
      <c r="BB103" s="355"/>
      <c r="BC103" s="355"/>
      <c r="BD103" s="355"/>
      <c r="BE103" s="355"/>
      <c r="BF103" s="355"/>
      <c r="BG103" s="355"/>
      <c r="BH103" s="355"/>
      <c r="BI103" s="355"/>
      <c r="BJ103" s="355"/>
      <c r="BK103" s="355"/>
      <c r="BL103" s="355"/>
      <c r="BM103" s="355"/>
      <c r="BN103" s="355"/>
      <c r="BO103" s="355"/>
      <c r="BP103" s="355"/>
      <c r="BQ103" s="355"/>
    </row>
    <row r="104">
      <c r="E104" s="354"/>
      <c r="F104" s="355"/>
      <c r="G104" s="355"/>
      <c r="H104" s="355"/>
      <c r="I104" s="355"/>
      <c r="J104" s="355"/>
      <c r="K104" s="355"/>
      <c r="L104" s="355"/>
      <c r="M104" s="355"/>
      <c r="N104" s="355"/>
      <c r="O104" s="355"/>
      <c r="P104" s="355"/>
      <c r="Q104" s="355"/>
      <c r="R104" s="355"/>
      <c r="S104" s="355"/>
      <c r="T104" s="355"/>
      <c r="U104" s="355"/>
      <c r="V104" s="355"/>
      <c r="W104" s="355"/>
      <c r="X104" s="355"/>
      <c r="Y104" s="355"/>
      <c r="Z104" s="355"/>
      <c r="AA104" s="355"/>
      <c r="AB104" s="355"/>
      <c r="AC104" s="355"/>
      <c r="AD104" s="355"/>
      <c r="AE104" s="355"/>
      <c r="AF104" s="355"/>
      <c r="AG104" s="355"/>
      <c r="AH104" s="355"/>
      <c r="AI104" s="355"/>
      <c r="AJ104" s="355"/>
      <c r="AK104" s="355"/>
      <c r="AL104" s="355"/>
      <c r="AM104" s="355"/>
      <c r="AN104" s="355"/>
      <c r="AO104" s="355"/>
      <c r="AP104" s="355"/>
      <c r="AQ104" s="355"/>
      <c r="AR104" s="355"/>
      <c r="AS104" s="355"/>
      <c r="AT104" s="355"/>
      <c r="AU104" s="355"/>
      <c r="AV104" s="355"/>
      <c r="AW104" s="355"/>
      <c r="AX104" s="355"/>
      <c r="AY104" s="355"/>
      <c r="AZ104" s="355"/>
      <c r="BA104" s="355"/>
      <c r="BB104" s="355"/>
      <c r="BC104" s="355"/>
      <c r="BD104" s="355"/>
      <c r="BE104" s="355"/>
      <c r="BF104" s="355"/>
      <c r="BG104" s="355"/>
      <c r="BH104" s="355"/>
      <c r="BI104" s="355"/>
      <c r="BJ104" s="355"/>
      <c r="BK104" s="355"/>
      <c r="BL104" s="355"/>
      <c r="BM104" s="355"/>
      <c r="BN104" s="355"/>
      <c r="BO104" s="355"/>
      <c r="BP104" s="355"/>
      <c r="BQ104" s="355"/>
    </row>
    <row r="105">
      <c r="E105" s="354"/>
      <c r="F105" s="355"/>
      <c r="G105" s="355"/>
      <c r="H105" s="355"/>
      <c r="I105" s="355"/>
      <c r="J105" s="355"/>
      <c r="K105" s="355"/>
      <c r="L105" s="355"/>
      <c r="M105" s="355"/>
      <c r="N105" s="355"/>
      <c r="O105" s="355"/>
      <c r="P105" s="355"/>
      <c r="Q105" s="355"/>
      <c r="R105" s="355"/>
      <c r="S105" s="355"/>
      <c r="T105" s="355"/>
      <c r="U105" s="355"/>
      <c r="V105" s="355"/>
      <c r="W105" s="355"/>
      <c r="X105" s="355"/>
      <c r="Y105" s="355"/>
      <c r="Z105" s="355"/>
      <c r="AA105" s="355"/>
      <c r="AB105" s="355"/>
      <c r="AC105" s="355"/>
      <c r="AD105" s="355"/>
      <c r="AE105" s="355"/>
      <c r="AF105" s="355"/>
      <c r="AG105" s="355"/>
      <c r="AH105" s="355"/>
      <c r="AI105" s="355"/>
      <c r="AJ105" s="355"/>
      <c r="AK105" s="355"/>
      <c r="AL105" s="355"/>
      <c r="AM105" s="355"/>
      <c r="AN105" s="355"/>
      <c r="AO105" s="355"/>
      <c r="AP105" s="355"/>
      <c r="AQ105" s="355"/>
      <c r="AR105" s="355"/>
      <c r="AS105" s="355"/>
      <c r="AT105" s="355"/>
      <c r="AU105" s="355"/>
      <c r="AV105" s="355"/>
      <c r="AW105" s="355"/>
      <c r="AX105" s="355"/>
      <c r="AY105" s="355"/>
      <c r="AZ105" s="355"/>
      <c r="BA105" s="355"/>
      <c r="BB105" s="355"/>
      <c r="BC105" s="355"/>
      <c r="BD105" s="355"/>
      <c r="BE105" s="355"/>
      <c r="BF105" s="355"/>
      <c r="BG105" s="355"/>
      <c r="BH105" s="355"/>
      <c r="BI105" s="355"/>
      <c r="BJ105" s="355"/>
      <c r="BK105" s="355"/>
      <c r="BL105" s="355"/>
      <c r="BM105" s="355"/>
      <c r="BN105" s="355"/>
      <c r="BO105" s="355"/>
      <c r="BP105" s="355"/>
      <c r="BQ105" s="355"/>
    </row>
    <row r="106">
      <c r="E106" s="354"/>
      <c r="F106" s="355"/>
      <c r="G106" s="355"/>
      <c r="H106" s="355"/>
      <c r="I106" s="355"/>
      <c r="J106" s="355"/>
      <c r="K106" s="355"/>
      <c r="L106" s="355"/>
      <c r="M106" s="355"/>
      <c r="N106" s="355"/>
      <c r="O106" s="355"/>
      <c r="P106" s="355"/>
      <c r="Q106" s="355"/>
      <c r="R106" s="355"/>
      <c r="S106" s="355"/>
      <c r="T106" s="355"/>
      <c r="U106" s="355"/>
      <c r="V106" s="355"/>
      <c r="W106" s="355"/>
      <c r="X106" s="355"/>
      <c r="Y106" s="355"/>
      <c r="Z106" s="355"/>
      <c r="AA106" s="355"/>
      <c r="AB106" s="355"/>
      <c r="AC106" s="355"/>
      <c r="AD106" s="355"/>
      <c r="AE106" s="355"/>
      <c r="AF106" s="355"/>
      <c r="AG106" s="355"/>
      <c r="AH106" s="355"/>
      <c r="AI106" s="355"/>
      <c r="AJ106" s="355"/>
      <c r="AK106" s="355"/>
      <c r="AL106" s="355"/>
      <c r="AM106" s="355"/>
      <c r="AN106" s="355"/>
      <c r="AO106" s="355"/>
      <c r="AP106" s="355"/>
      <c r="AQ106" s="355"/>
      <c r="AR106" s="355"/>
      <c r="AS106" s="355"/>
      <c r="AT106" s="355"/>
      <c r="AU106" s="355"/>
      <c r="AV106" s="355"/>
      <c r="AW106" s="355"/>
      <c r="AX106" s="355"/>
      <c r="AY106" s="355"/>
      <c r="AZ106" s="355"/>
      <c r="BA106" s="355"/>
      <c r="BB106" s="355"/>
      <c r="BC106" s="355"/>
      <c r="BD106" s="355"/>
      <c r="BE106" s="355"/>
      <c r="BF106" s="355"/>
      <c r="BG106" s="355"/>
      <c r="BH106" s="355"/>
      <c r="BI106" s="355"/>
      <c r="BJ106" s="355"/>
      <c r="BK106" s="355"/>
      <c r="BL106" s="355"/>
      <c r="BM106" s="355"/>
      <c r="BN106" s="355"/>
      <c r="BO106" s="355"/>
      <c r="BP106" s="355"/>
      <c r="BQ106" s="355"/>
    </row>
    <row r="107">
      <c r="E107" s="354"/>
      <c r="F107" s="355"/>
      <c r="G107" s="355"/>
      <c r="H107" s="355"/>
      <c r="I107" s="355"/>
      <c r="J107" s="355"/>
      <c r="K107" s="355"/>
      <c r="L107" s="355"/>
      <c r="M107" s="355"/>
      <c r="N107" s="355"/>
      <c r="O107" s="355"/>
      <c r="P107" s="355"/>
      <c r="Q107" s="355"/>
      <c r="R107" s="355"/>
      <c r="S107" s="355"/>
      <c r="T107" s="355"/>
      <c r="U107" s="355"/>
      <c r="V107" s="355"/>
      <c r="W107" s="355"/>
      <c r="X107" s="355"/>
      <c r="Y107" s="355"/>
      <c r="Z107" s="355"/>
      <c r="AA107" s="355"/>
      <c r="AB107" s="355"/>
      <c r="AC107" s="355"/>
      <c r="AD107" s="355"/>
      <c r="AE107" s="355"/>
      <c r="AF107" s="355"/>
      <c r="AG107" s="355"/>
      <c r="AH107" s="355"/>
      <c r="AI107" s="355"/>
      <c r="AJ107" s="355"/>
      <c r="AK107" s="355"/>
      <c r="AL107" s="355"/>
      <c r="AM107" s="355"/>
      <c r="AN107" s="355"/>
      <c r="AO107" s="355"/>
      <c r="AP107" s="355"/>
      <c r="AQ107" s="355"/>
      <c r="AR107" s="355"/>
      <c r="AS107" s="355"/>
      <c r="AT107" s="355"/>
      <c r="AU107" s="355"/>
      <c r="AV107" s="355"/>
      <c r="AW107" s="355"/>
      <c r="AX107" s="355"/>
      <c r="AY107" s="355"/>
      <c r="AZ107" s="355"/>
      <c r="BA107" s="355"/>
      <c r="BB107" s="355"/>
      <c r="BC107" s="355"/>
      <c r="BD107" s="355"/>
      <c r="BE107" s="355"/>
      <c r="BF107" s="355"/>
      <c r="BG107" s="355"/>
      <c r="BH107" s="355"/>
      <c r="BI107" s="355"/>
      <c r="BJ107" s="355"/>
      <c r="BK107" s="355"/>
      <c r="BL107" s="355"/>
      <c r="BM107" s="355"/>
      <c r="BN107" s="355"/>
      <c r="BO107" s="355"/>
      <c r="BP107" s="355"/>
      <c r="BQ107" s="355"/>
    </row>
    <row r="108">
      <c r="E108" s="354"/>
      <c r="F108" s="355"/>
      <c r="G108" s="355"/>
      <c r="H108" s="355"/>
      <c r="I108" s="355"/>
      <c r="J108" s="355"/>
      <c r="K108" s="355"/>
      <c r="L108" s="355"/>
      <c r="M108" s="355"/>
      <c r="N108" s="355"/>
      <c r="O108" s="355"/>
      <c r="P108" s="355"/>
      <c r="Q108" s="355"/>
      <c r="R108" s="355"/>
      <c r="S108" s="355"/>
      <c r="T108" s="355"/>
      <c r="U108" s="355"/>
      <c r="V108" s="355"/>
      <c r="W108" s="355"/>
      <c r="X108" s="355"/>
      <c r="Y108" s="355"/>
      <c r="Z108" s="355"/>
      <c r="AA108" s="355"/>
      <c r="AB108" s="355"/>
      <c r="AC108" s="355"/>
      <c r="AD108" s="355"/>
      <c r="AE108" s="355"/>
      <c r="AF108" s="355"/>
      <c r="AG108" s="355"/>
      <c r="AH108" s="355"/>
      <c r="AI108" s="355"/>
      <c r="AJ108" s="355"/>
      <c r="AK108" s="355"/>
      <c r="AL108" s="355"/>
      <c r="AM108" s="355"/>
      <c r="AN108" s="355"/>
      <c r="AO108" s="355"/>
      <c r="AP108" s="355"/>
      <c r="AQ108" s="355"/>
      <c r="AR108" s="355"/>
      <c r="AS108" s="355"/>
      <c r="AT108" s="355"/>
      <c r="AU108" s="355"/>
      <c r="AV108" s="355"/>
      <c r="AW108" s="355"/>
      <c r="AX108" s="355"/>
      <c r="AY108" s="355"/>
      <c r="AZ108" s="355"/>
      <c r="BA108" s="355"/>
      <c r="BB108" s="355"/>
      <c r="BC108" s="355"/>
      <c r="BD108" s="355"/>
      <c r="BE108" s="355"/>
      <c r="BF108" s="355"/>
      <c r="BG108" s="355"/>
      <c r="BH108" s="355"/>
      <c r="BI108" s="355"/>
      <c r="BJ108" s="355"/>
      <c r="BK108" s="355"/>
      <c r="BL108" s="355"/>
      <c r="BM108" s="355"/>
      <c r="BN108" s="355"/>
      <c r="BO108" s="355"/>
      <c r="BP108" s="355"/>
      <c r="BQ108" s="355"/>
    </row>
    <row r="109">
      <c r="E109" s="354"/>
      <c r="F109" s="355"/>
      <c r="G109" s="355"/>
      <c r="H109" s="355"/>
      <c r="I109" s="355"/>
      <c r="J109" s="355"/>
      <c r="K109" s="355"/>
      <c r="L109" s="355"/>
      <c r="M109" s="355"/>
      <c r="N109" s="355"/>
      <c r="O109" s="355"/>
      <c r="P109" s="355"/>
      <c r="Q109" s="355"/>
      <c r="R109" s="355"/>
      <c r="S109" s="355"/>
      <c r="T109" s="355"/>
      <c r="U109" s="355"/>
      <c r="V109" s="355"/>
      <c r="W109" s="355"/>
      <c r="X109" s="355"/>
      <c r="Y109" s="355"/>
      <c r="Z109" s="355"/>
      <c r="AA109" s="355"/>
      <c r="AB109" s="355"/>
      <c r="AC109" s="355"/>
      <c r="AD109" s="355"/>
      <c r="AE109" s="355"/>
      <c r="AF109" s="355"/>
      <c r="AG109" s="355"/>
      <c r="AH109" s="355"/>
      <c r="AI109" s="355"/>
      <c r="AJ109" s="355"/>
      <c r="AK109" s="355"/>
      <c r="AL109" s="355"/>
      <c r="AM109" s="355"/>
      <c r="AN109" s="355"/>
      <c r="AO109" s="355"/>
      <c r="AP109" s="355"/>
      <c r="AQ109" s="355"/>
      <c r="AR109" s="355"/>
      <c r="AS109" s="355"/>
      <c r="AT109" s="355"/>
      <c r="AU109" s="355"/>
      <c r="AV109" s="355"/>
      <c r="AW109" s="355"/>
      <c r="AX109" s="355"/>
      <c r="AY109" s="355"/>
      <c r="AZ109" s="355"/>
      <c r="BA109" s="355"/>
      <c r="BB109" s="355"/>
      <c r="BC109" s="355"/>
      <c r="BD109" s="355"/>
      <c r="BE109" s="355"/>
      <c r="BF109" s="355"/>
      <c r="BG109" s="355"/>
      <c r="BH109" s="355"/>
      <c r="BI109" s="355"/>
      <c r="BJ109" s="355"/>
      <c r="BK109" s="355"/>
      <c r="BL109" s="355"/>
      <c r="BM109" s="355"/>
      <c r="BN109" s="355"/>
      <c r="BO109" s="355"/>
      <c r="BP109" s="355"/>
      <c r="BQ109" s="355"/>
    </row>
    <row r="110">
      <c r="E110" s="354"/>
      <c r="F110" s="355"/>
      <c r="G110" s="355"/>
      <c r="H110" s="355"/>
      <c r="I110" s="355"/>
      <c r="J110" s="355"/>
      <c r="K110" s="355"/>
      <c r="L110" s="355"/>
      <c r="M110" s="355"/>
      <c r="N110" s="355"/>
      <c r="O110" s="355"/>
      <c r="P110" s="355"/>
      <c r="Q110" s="355"/>
      <c r="R110" s="355"/>
      <c r="S110" s="355"/>
      <c r="T110" s="355"/>
      <c r="U110" s="355"/>
      <c r="V110" s="355"/>
      <c r="W110" s="355"/>
      <c r="X110" s="355"/>
      <c r="Y110" s="355"/>
      <c r="Z110" s="355"/>
      <c r="AA110" s="355"/>
      <c r="AB110" s="355"/>
      <c r="AC110" s="355"/>
      <c r="AD110" s="355"/>
      <c r="AE110" s="355"/>
      <c r="AF110" s="355"/>
      <c r="AG110" s="355"/>
      <c r="AH110" s="355"/>
      <c r="AI110" s="355"/>
      <c r="AJ110" s="355"/>
      <c r="AK110" s="355"/>
      <c r="AL110" s="355"/>
      <c r="AM110" s="355"/>
      <c r="AN110" s="355"/>
      <c r="AO110" s="355"/>
      <c r="AP110" s="355"/>
      <c r="AQ110" s="355"/>
      <c r="AR110" s="355"/>
      <c r="AS110" s="355"/>
      <c r="AT110" s="355"/>
      <c r="AU110" s="355"/>
      <c r="AV110" s="355"/>
      <c r="AW110" s="355"/>
      <c r="AX110" s="355"/>
      <c r="AY110" s="355"/>
      <c r="AZ110" s="355"/>
      <c r="BA110" s="355"/>
      <c r="BB110" s="355"/>
      <c r="BC110" s="355"/>
      <c r="BD110" s="355"/>
      <c r="BE110" s="355"/>
      <c r="BF110" s="355"/>
      <c r="BG110" s="355"/>
      <c r="BH110" s="355"/>
      <c r="BI110" s="355"/>
      <c r="BJ110" s="355"/>
      <c r="BK110" s="355"/>
      <c r="BL110" s="355"/>
      <c r="BM110" s="355"/>
      <c r="BN110" s="355"/>
      <c r="BO110" s="355"/>
      <c r="BP110" s="355"/>
      <c r="BQ110" s="355"/>
    </row>
    <row r="111">
      <c r="E111" s="354"/>
      <c r="F111" s="355"/>
      <c r="G111" s="355"/>
      <c r="H111" s="355"/>
      <c r="I111" s="355"/>
      <c r="J111" s="355"/>
      <c r="K111" s="355"/>
      <c r="L111" s="355"/>
      <c r="M111" s="355"/>
      <c r="N111" s="355"/>
      <c r="O111" s="355"/>
      <c r="P111" s="355"/>
      <c r="Q111" s="355"/>
      <c r="R111" s="355"/>
      <c r="S111" s="355"/>
      <c r="T111" s="355"/>
      <c r="U111" s="355"/>
      <c r="V111" s="355"/>
      <c r="W111" s="355"/>
      <c r="X111" s="355"/>
      <c r="Y111" s="355"/>
      <c r="Z111" s="355"/>
      <c r="AA111" s="355"/>
      <c r="AB111" s="355"/>
      <c r="AC111" s="355"/>
      <c r="AD111" s="355"/>
      <c r="AE111" s="355"/>
      <c r="AF111" s="355"/>
      <c r="AG111" s="355"/>
      <c r="AH111" s="355"/>
      <c r="AI111" s="355"/>
      <c r="AJ111" s="355"/>
      <c r="AK111" s="355"/>
      <c r="AL111" s="355"/>
      <c r="AM111" s="355"/>
      <c r="AN111" s="355"/>
      <c r="AO111" s="355"/>
      <c r="AP111" s="355"/>
      <c r="AQ111" s="355"/>
      <c r="AR111" s="355"/>
      <c r="AS111" s="355"/>
      <c r="AT111" s="355"/>
      <c r="AU111" s="355"/>
      <c r="AV111" s="355"/>
      <c r="AW111" s="355"/>
      <c r="AX111" s="355"/>
      <c r="AY111" s="355"/>
      <c r="AZ111" s="355"/>
      <c r="BA111" s="355"/>
      <c r="BB111" s="355"/>
      <c r="BC111" s="355"/>
      <c r="BD111" s="355"/>
      <c r="BE111" s="355"/>
      <c r="BF111" s="355"/>
      <c r="BG111" s="355"/>
      <c r="BH111" s="355"/>
      <c r="BI111" s="355"/>
      <c r="BJ111" s="355"/>
      <c r="BK111" s="355"/>
      <c r="BL111" s="355"/>
      <c r="BM111" s="355"/>
      <c r="BN111" s="355"/>
      <c r="BO111" s="355"/>
      <c r="BP111" s="355"/>
      <c r="BQ111" s="355"/>
    </row>
    <row r="112">
      <c r="E112" s="354"/>
      <c r="F112" s="355"/>
      <c r="G112" s="355"/>
      <c r="H112" s="355"/>
      <c r="I112" s="355"/>
      <c r="J112" s="355"/>
      <c r="K112" s="355"/>
      <c r="L112" s="355"/>
      <c r="M112" s="355"/>
      <c r="N112" s="355"/>
      <c r="O112" s="355"/>
      <c r="P112" s="355"/>
      <c r="Q112" s="355"/>
      <c r="R112" s="355"/>
      <c r="S112" s="355"/>
      <c r="T112" s="355"/>
      <c r="U112" s="355"/>
      <c r="V112" s="355"/>
      <c r="W112" s="355"/>
      <c r="X112" s="355"/>
      <c r="Y112" s="355"/>
      <c r="Z112" s="355"/>
      <c r="AA112" s="355"/>
      <c r="AB112" s="355"/>
      <c r="AC112" s="355"/>
      <c r="AD112" s="355"/>
      <c r="AE112" s="355"/>
      <c r="AF112" s="355"/>
      <c r="AG112" s="355"/>
      <c r="AH112" s="355"/>
      <c r="AI112" s="355"/>
      <c r="AJ112" s="355"/>
      <c r="AK112" s="355"/>
      <c r="AL112" s="355"/>
      <c r="AM112" s="355"/>
      <c r="AN112" s="355"/>
      <c r="AO112" s="355"/>
      <c r="AP112" s="355"/>
      <c r="AQ112" s="355"/>
      <c r="AR112" s="355"/>
      <c r="AS112" s="355"/>
      <c r="AT112" s="355"/>
      <c r="AU112" s="355"/>
      <c r="AV112" s="355"/>
      <c r="AW112" s="355"/>
      <c r="AX112" s="355"/>
      <c r="AY112" s="355"/>
      <c r="AZ112" s="355"/>
      <c r="BA112" s="355"/>
      <c r="BB112" s="355"/>
      <c r="BC112" s="355"/>
      <c r="BD112" s="355"/>
      <c r="BE112" s="355"/>
      <c r="BF112" s="355"/>
      <c r="BG112" s="355"/>
      <c r="BH112" s="355"/>
      <c r="BI112" s="355"/>
      <c r="BJ112" s="355"/>
      <c r="BK112" s="355"/>
      <c r="BL112" s="355"/>
      <c r="BM112" s="355"/>
      <c r="BN112" s="355"/>
      <c r="BO112" s="355"/>
      <c r="BP112" s="355"/>
      <c r="BQ112" s="355"/>
    </row>
    <row r="113">
      <c r="E113" s="354"/>
      <c r="F113" s="355"/>
      <c r="G113" s="355"/>
      <c r="H113" s="355"/>
      <c r="I113" s="355"/>
      <c r="J113" s="355"/>
      <c r="K113" s="355"/>
      <c r="L113" s="355"/>
      <c r="M113" s="355"/>
      <c r="N113" s="355"/>
      <c r="O113" s="355"/>
      <c r="P113" s="355"/>
      <c r="Q113" s="355"/>
      <c r="R113" s="355"/>
      <c r="S113" s="355"/>
      <c r="T113" s="355"/>
      <c r="U113" s="355"/>
      <c r="V113" s="355"/>
      <c r="W113" s="355"/>
      <c r="X113" s="355"/>
      <c r="Y113" s="355"/>
      <c r="Z113" s="355"/>
      <c r="AA113" s="355"/>
      <c r="AB113" s="355"/>
      <c r="AC113" s="355"/>
      <c r="AD113" s="355"/>
      <c r="AE113" s="355"/>
      <c r="AF113" s="355"/>
      <c r="AG113" s="355"/>
      <c r="AH113" s="355"/>
      <c r="AI113" s="355"/>
      <c r="AJ113" s="355"/>
      <c r="AK113" s="355"/>
      <c r="AL113" s="355"/>
      <c r="AM113" s="355"/>
      <c r="AN113" s="355"/>
      <c r="AO113" s="355"/>
      <c r="AP113" s="355"/>
      <c r="AQ113" s="355"/>
      <c r="AR113" s="355"/>
      <c r="AS113" s="355"/>
      <c r="AT113" s="355"/>
      <c r="AU113" s="355"/>
      <c r="AV113" s="355"/>
      <c r="AW113" s="355"/>
      <c r="AX113" s="355"/>
      <c r="AY113" s="355"/>
      <c r="AZ113" s="355"/>
      <c r="BA113" s="355"/>
      <c r="BB113" s="355"/>
      <c r="BC113" s="355"/>
      <c r="BD113" s="355"/>
      <c r="BE113" s="355"/>
      <c r="BF113" s="355"/>
      <c r="BG113" s="355"/>
      <c r="BH113" s="355"/>
      <c r="BI113" s="355"/>
      <c r="BJ113" s="355"/>
      <c r="BK113" s="355"/>
      <c r="BL113" s="355"/>
      <c r="BM113" s="355"/>
      <c r="BN113" s="355"/>
      <c r="BO113" s="355"/>
      <c r="BP113" s="355"/>
      <c r="BQ113" s="355"/>
    </row>
    <row r="114">
      <c r="E114" s="354"/>
      <c r="F114" s="355"/>
      <c r="G114" s="355"/>
      <c r="H114" s="355"/>
      <c r="I114" s="355"/>
      <c r="J114" s="355"/>
      <c r="K114" s="355"/>
      <c r="L114" s="355"/>
      <c r="M114" s="355"/>
      <c r="N114" s="355"/>
      <c r="O114" s="355"/>
      <c r="P114" s="355"/>
      <c r="Q114" s="355"/>
      <c r="R114" s="355"/>
      <c r="S114" s="355"/>
      <c r="T114" s="355"/>
      <c r="U114" s="355"/>
      <c r="V114" s="355"/>
      <c r="W114" s="355"/>
      <c r="X114" s="355"/>
      <c r="Y114" s="355"/>
      <c r="Z114" s="355"/>
      <c r="AA114" s="355"/>
      <c r="AB114" s="355"/>
      <c r="AC114" s="355"/>
      <c r="AD114" s="355"/>
      <c r="AE114" s="355"/>
      <c r="AF114" s="355"/>
      <c r="AG114" s="355"/>
      <c r="AH114" s="355"/>
      <c r="AI114" s="355"/>
      <c r="AJ114" s="355"/>
      <c r="AK114" s="355"/>
      <c r="AL114" s="355"/>
      <c r="AM114" s="355"/>
      <c r="AN114" s="355"/>
      <c r="AO114" s="355"/>
      <c r="AP114" s="355"/>
      <c r="AQ114" s="355"/>
      <c r="AR114" s="355"/>
      <c r="AS114" s="355"/>
      <c r="AT114" s="355"/>
      <c r="AU114" s="355"/>
      <c r="AV114" s="355"/>
      <c r="AW114" s="355"/>
      <c r="AX114" s="355"/>
      <c r="AY114" s="355"/>
      <c r="AZ114" s="355"/>
      <c r="BA114" s="355"/>
      <c r="BB114" s="355"/>
      <c r="BC114" s="355"/>
      <c r="BD114" s="355"/>
      <c r="BE114" s="355"/>
      <c r="BF114" s="355"/>
      <c r="BG114" s="355"/>
      <c r="BH114" s="355"/>
      <c r="BI114" s="355"/>
      <c r="BJ114" s="355"/>
      <c r="BK114" s="355"/>
      <c r="BL114" s="355"/>
      <c r="BM114" s="355"/>
      <c r="BN114" s="355"/>
      <c r="BO114" s="355"/>
      <c r="BP114" s="355"/>
      <c r="BQ114" s="355"/>
    </row>
    <row r="115">
      <c r="E115" s="354"/>
      <c r="F115" s="355"/>
      <c r="G115" s="355"/>
      <c r="H115" s="355"/>
      <c r="I115" s="355"/>
      <c r="J115" s="355"/>
      <c r="K115" s="355"/>
      <c r="L115" s="355"/>
      <c r="M115" s="355"/>
      <c r="N115" s="355"/>
      <c r="O115" s="355"/>
      <c r="P115" s="355"/>
      <c r="Q115" s="355"/>
      <c r="R115" s="355"/>
      <c r="S115" s="355"/>
      <c r="T115" s="355"/>
      <c r="U115" s="355"/>
      <c r="V115" s="355"/>
      <c r="W115" s="355"/>
      <c r="X115" s="355"/>
      <c r="Y115" s="355"/>
      <c r="Z115" s="355"/>
      <c r="AA115" s="355"/>
      <c r="AB115" s="355"/>
      <c r="AC115" s="355"/>
      <c r="AD115" s="355"/>
      <c r="AE115" s="355"/>
      <c r="AF115" s="355"/>
      <c r="AG115" s="355"/>
      <c r="AH115" s="355"/>
      <c r="AI115" s="355"/>
      <c r="AJ115" s="355"/>
      <c r="AK115" s="355"/>
      <c r="AL115" s="355"/>
      <c r="AM115" s="355"/>
      <c r="AN115" s="355"/>
      <c r="AO115" s="355"/>
      <c r="AP115" s="355"/>
      <c r="AQ115" s="355"/>
      <c r="AR115" s="355"/>
      <c r="AS115" s="355"/>
      <c r="AT115" s="355"/>
      <c r="AU115" s="355"/>
      <c r="AV115" s="355"/>
      <c r="AW115" s="355"/>
      <c r="AX115" s="355"/>
      <c r="AY115" s="355"/>
      <c r="AZ115" s="355"/>
      <c r="BA115" s="355"/>
      <c r="BB115" s="355"/>
      <c r="BC115" s="355"/>
      <c r="BD115" s="355"/>
      <c r="BE115" s="355"/>
      <c r="BF115" s="355"/>
      <c r="BG115" s="355"/>
      <c r="BH115" s="355"/>
      <c r="BI115" s="355"/>
      <c r="BJ115" s="355"/>
      <c r="BK115" s="355"/>
      <c r="BL115" s="355"/>
      <c r="BM115" s="355"/>
      <c r="BN115" s="355"/>
      <c r="BO115" s="355"/>
      <c r="BP115" s="355"/>
      <c r="BQ115" s="355"/>
    </row>
    <row r="116">
      <c r="E116" s="354"/>
      <c r="F116" s="355"/>
      <c r="G116" s="355"/>
      <c r="H116" s="355"/>
      <c r="I116" s="355"/>
      <c r="J116" s="355"/>
      <c r="K116" s="355"/>
      <c r="L116" s="355"/>
      <c r="M116" s="355"/>
      <c r="N116" s="355"/>
      <c r="O116" s="355"/>
      <c r="P116" s="355"/>
      <c r="Q116" s="355"/>
      <c r="R116" s="355"/>
      <c r="S116" s="355"/>
      <c r="T116" s="355"/>
      <c r="U116" s="355"/>
      <c r="V116" s="355"/>
      <c r="W116" s="355"/>
      <c r="X116" s="355"/>
      <c r="Y116" s="355"/>
      <c r="Z116" s="355"/>
      <c r="AA116" s="355"/>
      <c r="AB116" s="355"/>
      <c r="AC116" s="355"/>
      <c r="AD116" s="355"/>
      <c r="AE116" s="355"/>
      <c r="AF116" s="355"/>
      <c r="AG116" s="355"/>
      <c r="AH116" s="355"/>
      <c r="AI116" s="355"/>
      <c r="AJ116" s="355"/>
      <c r="AK116" s="355"/>
      <c r="AL116" s="355"/>
      <c r="AM116" s="355"/>
      <c r="AN116" s="355"/>
      <c r="AO116" s="355"/>
      <c r="AP116" s="355"/>
      <c r="AQ116" s="355"/>
      <c r="AR116" s="355"/>
      <c r="AS116" s="355"/>
      <c r="AT116" s="355"/>
      <c r="AU116" s="355"/>
      <c r="AV116" s="355"/>
      <c r="AW116" s="355"/>
      <c r="AX116" s="355"/>
      <c r="AY116" s="355"/>
      <c r="AZ116" s="355"/>
      <c r="BA116" s="355"/>
      <c r="BB116" s="355"/>
      <c r="BC116" s="355"/>
      <c r="BD116" s="355"/>
      <c r="BE116" s="355"/>
      <c r="BF116" s="355"/>
      <c r="BG116" s="355"/>
      <c r="BH116" s="355"/>
      <c r="BI116" s="355"/>
      <c r="BJ116" s="355"/>
      <c r="BK116" s="355"/>
      <c r="BL116" s="355"/>
      <c r="BM116" s="355"/>
      <c r="BN116" s="355"/>
      <c r="BO116" s="355"/>
      <c r="BP116" s="355"/>
      <c r="BQ116" s="355"/>
    </row>
    <row r="117">
      <c r="E117" s="354"/>
      <c r="F117" s="355"/>
      <c r="G117" s="355"/>
      <c r="H117" s="355"/>
      <c r="I117" s="355"/>
      <c r="J117" s="355"/>
      <c r="K117" s="355"/>
      <c r="L117" s="355"/>
      <c r="M117" s="355"/>
      <c r="N117" s="355"/>
      <c r="O117" s="355"/>
      <c r="P117" s="355"/>
      <c r="Q117" s="355"/>
      <c r="R117" s="355"/>
      <c r="S117" s="355"/>
      <c r="T117" s="355"/>
      <c r="U117" s="355"/>
      <c r="V117" s="355"/>
      <c r="W117" s="355"/>
      <c r="X117" s="355"/>
      <c r="Y117" s="355"/>
      <c r="Z117" s="355"/>
      <c r="AA117" s="355"/>
      <c r="AB117" s="355"/>
      <c r="AC117" s="355"/>
      <c r="AD117" s="355"/>
      <c r="AE117" s="355"/>
      <c r="AF117" s="355"/>
      <c r="AG117" s="355"/>
      <c r="AH117" s="355"/>
      <c r="AI117" s="355"/>
      <c r="AJ117" s="355"/>
      <c r="AK117" s="355"/>
      <c r="AL117" s="355"/>
      <c r="AM117" s="355"/>
      <c r="AN117" s="355"/>
      <c r="AO117" s="355"/>
      <c r="AP117" s="355"/>
      <c r="AQ117" s="355"/>
      <c r="AR117" s="355"/>
      <c r="AS117" s="355"/>
      <c r="AT117" s="355"/>
      <c r="AU117" s="355"/>
      <c r="AV117" s="355"/>
      <c r="AW117" s="355"/>
      <c r="AX117" s="355"/>
      <c r="AY117" s="355"/>
      <c r="AZ117" s="355"/>
      <c r="BA117" s="355"/>
      <c r="BB117" s="355"/>
      <c r="BC117" s="355"/>
      <c r="BD117" s="355"/>
      <c r="BE117" s="355"/>
      <c r="BF117" s="355"/>
      <c r="BG117" s="355"/>
      <c r="BH117" s="355"/>
      <c r="BI117" s="355"/>
      <c r="BJ117" s="355"/>
      <c r="BK117" s="355"/>
      <c r="BL117" s="355"/>
      <c r="BM117" s="355"/>
      <c r="BN117" s="355"/>
      <c r="BO117" s="355"/>
      <c r="BP117" s="355"/>
      <c r="BQ117" s="355"/>
    </row>
    <row r="118">
      <c r="E118" s="354"/>
      <c r="F118" s="355"/>
      <c r="G118" s="355"/>
      <c r="H118" s="355"/>
      <c r="I118" s="355"/>
      <c r="J118" s="355"/>
      <c r="K118" s="355"/>
      <c r="L118" s="355"/>
      <c r="M118" s="355"/>
      <c r="N118" s="355"/>
      <c r="O118" s="355"/>
      <c r="P118" s="355"/>
      <c r="Q118" s="355"/>
      <c r="R118" s="355"/>
      <c r="S118" s="355"/>
      <c r="T118" s="355"/>
      <c r="U118" s="355"/>
      <c r="V118" s="355"/>
      <c r="W118" s="355"/>
      <c r="X118" s="355"/>
      <c r="Y118" s="355"/>
      <c r="Z118" s="355"/>
      <c r="AA118" s="355"/>
      <c r="AB118" s="355"/>
      <c r="AC118" s="355"/>
      <c r="AD118" s="355"/>
      <c r="AE118" s="355"/>
      <c r="AF118" s="355"/>
      <c r="AG118" s="355"/>
      <c r="AH118" s="355"/>
      <c r="AI118" s="355"/>
      <c r="AJ118" s="355"/>
      <c r="AK118" s="355"/>
      <c r="AL118" s="355"/>
      <c r="AM118" s="355"/>
      <c r="AN118" s="355"/>
      <c r="AO118" s="355"/>
      <c r="AP118" s="355"/>
      <c r="AQ118" s="355"/>
      <c r="AR118" s="355"/>
      <c r="AS118" s="355"/>
      <c r="AT118" s="355"/>
      <c r="AU118" s="355"/>
      <c r="AV118" s="355"/>
      <c r="AW118" s="355"/>
      <c r="AX118" s="355"/>
      <c r="AY118" s="355"/>
      <c r="AZ118" s="355"/>
      <c r="BA118" s="355"/>
      <c r="BB118" s="355"/>
      <c r="BC118" s="355"/>
      <c r="BD118" s="355"/>
      <c r="BE118" s="355"/>
      <c r="BF118" s="355"/>
      <c r="BG118" s="355"/>
      <c r="BH118" s="355"/>
      <c r="BI118" s="355"/>
      <c r="BJ118" s="355"/>
      <c r="BK118" s="355"/>
      <c r="BL118" s="355"/>
      <c r="BM118" s="355"/>
      <c r="BN118" s="355"/>
      <c r="BO118" s="355"/>
      <c r="BP118" s="355"/>
      <c r="BQ118" s="355"/>
    </row>
    <row r="119">
      <c r="E119" s="354"/>
      <c r="F119" s="355"/>
      <c r="G119" s="355"/>
      <c r="H119" s="355"/>
      <c r="I119" s="355"/>
      <c r="J119" s="355"/>
      <c r="K119" s="355"/>
      <c r="L119" s="355"/>
      <c r="M119" s="355"/>
      <c r="N119" s="355"/>
      <c r="O119" s="355"/>
      <c r="P119" s="355"/>
      <c r="Q119" s="355"/>
      <c r="R119" s="355"/>
      <c r="S119" s="355"/>
      <c r="T119" s="355"/>
      <c r="U119" s="355"/>
      <c r="V119" s="355"/>
      <c r="W119" s="355"/>
      <c r="X119" s="355"/>
      <c r="Y119" s="355"/>
      <c r="Z119" s="355"/>
      <c r="AA119" s="355"/>
      <c r="AB119" s="355"/>
      <c r="AC119" s="355"/>
      <c r="AD119" s="355"/>
      <c r="AE119" s="355"/>
      <c r="AF119" s="355"/>
      <c r="AG119" s="355"/>
      <c r="AH119" s="355"/>
      <c r="AI119" s="355"/>
      <c r="AJ119" s="355"/>
      <c r="AK119" s="355"/>
      <c r="AL119" s="355"/>
      <c r="AM119" s="355"/>
      <c r="AN119" s="355"/>
      <c r="AO119" s="355"/>
      <c r="AP119" s="355"/>
      <c r="AQ119" s="355"/>
      <c r="AR119" s="355"/>
      <c r="AS119" s="355"/>
      <c r="AT119" s="355"/>
      <c r="AU119" s="355"/>
      <c r="AV119" s="355"/>
      <c r="AW119" s="355"/>
      <c r="AX119" s="355"/>
      <c r="AY119" s="355"/>
      <c r="AZ119" s="355"/>
      <c r="BA119" s="355"/>
      <c r="BB119" s="355"/>
      <c r="BC119" s="355"/>
      <c r="BD119" s="355"/>
      <c r="BE119" s="355"/>
      <c r="BF119" s="355"/>
      <c r="BG119" s="355"/>
      <c r="BH119" s="355"/>
      <c r="BI119" s="355"/>
      <c r="BJ119" s="355"/>
      <c r="BK119" s="355"/>
      <c r="BL119" s="355"/>
      <c r="BM119" s="355"/>
      <c r="BN119" s="355"/>
      <c r="BO119" s="355"/>
      <c r="BP119" s="355"/>
      <c r="BQ119" s="355"/>
    </row>
    <row r="120">
      <c r="E120" s="354"/>
      <c r="F120" s="355"/>
      <c r="G120" s="355"/>
      <c r="H120" s="355"/>
      <c r="I120" s="355"/>
      <c r="J120" s="355"/>
      <c r="K120" s="355"/>
      <c r="L120" s="355"/>
      <c r="M120" s="355"/>
      <c r="N120" s="355"/>
      <c r="O120" s="355"/>
      <c r="P120" s="355"/>
      <c r="Q120" s="355"/>
      <c r="R120" s="355"/>
      <c r="S120" s="355"/>
      <c r="T120" s="355"/>
      <c r="U120" s="355"/>
      <c r="V120" s="355"/>
      <c r="W120" s="355"/>
      <c r="X120" s="355"/>
      <c r="Y120" s="355"/>
      <c r="Z120" s="355"/>
      <c r="AA120" s="355"/>
      <c r="AB120" s="355"/>
      <c r="AC120" s="355"/>
      <c r="AD120" s="355"/>
      <c r="AE120" s="355"/>
      <c r="AF120" s="355"/>
      <c r="AG120" s="355"/>
      <c r="AH120" s="355"/>
      <c r="AI120" s="355"/>
      <c r="AJ120" s="355"/>
      <c r="AK120" s="355"/>
      <c r="AL120" s="355"/>
      <c r="AM120" s="355"/>
      <c r="AN120" s="355"/>
      <c r="AO120" s="355"/>
      <c r="AP120" s="355"/>
      <c r="AQ120" s="355"/>
      <c r="AR120" s="355"/>
      <c r="AS120" s="355"/>
      <c r="AT120" s="355"/>
      <c r="AU120" s="355"/>
      <c r="AV120" s="355"/>
      <c r="AW120" s="355"/>
      <c r="AX120" s="355"/>
      <c r="AY120" s="355"/>
      <c r="AZ120" s="355"/>
      <c r="BA120" s="355"/>
      <c r="BB120" s="355"/>
      <c r="BC120" s="355"/>
      <c r="BD120" s="355"/>
      <c r="BE120" s="355"/>
      <c r="BF120" s="355"/>
      <c r="BG120" s="355"/>
      <c r="BH120" s="355"/>
      <c r="BI120" s="355"/>
      <c r="BJ120" s="355"/>
      <c r="BK120" s="355"/>
      <c r="BL120" s="355"/>
      <c r="BM120" s="355"/>
      <c r="BN120" s="355"/>
      <c r="BO120" s="355"/>
      <c r="BP120" s="355"/>
      <c r="BQ120" s="355"/>
    </row>
    <row r="121">
      <c r="E121" s="354"/>
      <c r="F121" s="355"/>
      <c r="G121" s="355"/>
      <c r="H121" s="355"/>
      <c r="I121" s="355"/>
      <c r="J121" s="355"/>
      <c r="K121" s="355"/>
      <c r="L121" s="355"/>
      <c r="M121" s="355"/>
      <c r="N121" s="355"/>
      <c r="O121" s="355"/>
      <c r="P121" s="355"/>
      <c r="Q121" s="355"/>
      <c r="R121" s="355"/>
      <c r="S121" s="355"/>
      <c r="T121" s="355"/>
      <c r="U121" s="355"/>
      <c r="V121" s="355"/>
      <c r="W121" s="355"/>
      <c r="X121" s="355"/>
      <c r="Y121" s="355"/>
      <c r="Z121" s="355"/>
      <c r="AA121" s="355"/>
      <c r="AB121" s="355"/>
      <c r="AC121" s="355"/>
      <c r="AD121" s="355"/>
      <c r="AE121" s="355"/>
      <c r="AF121" s="355"/>
      <c r="AG121" s="355"/>
      <c r="AH121" s="355"/>
      <c r="AI121" s="355"/>
      <c r="AJ121" s="355"/>
      <c r="AK121" s="355"/>
      <c r="AL121" s="355"/>
      <c r="AM121" s="355"/>
      <c r="AN121" s="355"/>
      <c r="AO121" s="355"/>
      <c r="AP121" s="355"/>
      <c r="AQ121" s="355"/>
      <c r="AR121" s="355"/>
      <c r="AS121" s="355"/>
      <c r="AT121" s="355"/>
      <c r="AU121" s="355"/>
      <c r="AV121" s="355"/>
      <c r="AW121" s="355"/>
      <c r="AX121" s="355"/>
      <c r="AY121" s="355"/>
      <c r="AZ121" s="355"/>
      <c r="BA121" s="355"/>
      <c r="BB121" s="355"/>
      <c r="BC121" s="355"/>
      <c r="BD121" s="355"/>
      <c r="BE121" s="355"/>
      <c r="BF121" s="355"/>
      <c r="BG121" s="355"/>
      <c r="BH121" s="355"/>
      <c r="BI121" s="355"/>
      <c r="BJ121" s="355"/>
      <c r="BK121" s="355"/>
      <c r="BL121" s="355"/>
      <c r="BM121" s="355"/>
      <c r="BN121" s="355"/>
      <c r="BO121" s="355"/>
      <c r="BP121" s="355"/>
      <c r="BQ121" s="355"/>
    </row>
    <row r="122">
      <c r="E122" s="354"/>
      <c r="F122" s="355"/>
      <c r="G122" s="355"/>
      <c r="H122" s="355"/>
      <c r="I122" s="355"/>
      <c r="J122" s="355"/>
      <c r="K122" s="355"/>
      <c r="L122" s="355"/>
      <c r="M122" s="355"/>
      <c r="N122" s="355"/>
      <c r="O122" s="355"/>
      <c r="P122" s="355"/>
      <c r="Q122" s="355"/>
      <c r="R122" s="355"/>
      <c r="S122" s="355"/>
      <c r="T122" s="355"/>
      <c r="U122" s="355"/>
      <c r="V122" s="355"/>
      <c r="W122" s="355"/>
      <c r="X122" s="355"/>
      <c r="Y122" s="355"/>
      <c r="Z122" s="355"/>
      <c r="AA122" s="355"/>
      <c r="AB122" s="355"/>
      <c r="AC122" s="355"/>
      <c r="AD122" s="355"/>
      <c r="AE122" s="355"/>
      <c r="AF122" s="355"/>
      <c r="AG122" s="355"/>
      <c r="AH122" s="355"/>
      <c r="AI122" s="355"/>
      <c r="AJ122" s="355"/>
      <c r="AK122" s="355"/>
      <c r="AL122" s="355"/>
      <c r="AM122" s="355"/>
      <c r="AN122" s="355"/>
      <c r="AO122" s="355"/>
      <c r="AP122" s="355"/>
      <c r="AQ122" s="355"/>
      <c r="AR122" s="355"/>
      <c r="AS122" s="355"/>
      <c r="AT122" s="355"/>
      <c r="AU122" s="355"/>
      <c r="AV122" s="355"/>
      <c r="AW122" s="355"/>
      <c r="AX122" s="355"/>
      <c r="AY122" s="355"/>
      <c r="AZ122" s="355"/>
      <c r="BA122" s="355"/>
      <c r="BB122" s="355"/>
      <c r="BC122" s="355"/>
      <c r="BD122" s="355"/>
      <c r="BE122" s="355"/>
      <c r="BF122" s="355"/>
      <c r="BG122" s="355"/>
      <c r="BH122" s="355"/>
      <c r="BI122" s="355"/>
      <c r="BJ122" s="355"/>
      <c r="BK122" s="355"/>
      <c r="BL122" s="355"/>
      <c r="BM122" s="355"/>
      <c r="BN122" s="355"/>
      <c r="BO122" s="355"/>
      <c r="BP122" s="355"/>
      <c r="BQ122" s="355"/>
    </row>
    <row r="123">
      <c r="E123" s="354"/>
      <c r="F123" s="355"/>
      <c r="G123" s="355"/>
      <c r="H123" s="355"/>
      <c r="I123" s="355"/>
      <c r="J123" s="355"/>
      <c r="K123" s="355"/>
      <c r="L123" s="355"/>
      <c r="M123" s="355"/>
      <c r="N123" s="355"/>
      <c r="O123" s="355"/>
      <c r="P123" s="355"/>
      <c r="Q123" s="355"/>
      <c r="R123" s="355"/>
      <c r="S123" s="355"/>
      <c r="T123" s="355"/>
      <c r="U123" s="355"/>
      <c r="V123" s="355"/>
      <c r="W123" s="355"/>
      <c r="X123" s="355"/>
      <c r="Y123" s="355"/>
      <c r="Z123" s="355"/>
      <c r="AA123" s="355"/>
      <c r="AB123" s="355"/>
      <c r="AC123" s="355"/>
      <c r="AD123" s="355"/>
      <c r="AE123" s="355"/>
      <c r="AF123" s="355"/>
      <c r="AG123" s="355"/>
      <c r="AH123" s="355"/>
      <c r="AI123" s="355"/>
      <c r="AJ123" s="355"/>
      <c r="AK123" s="355"/>
      <c r="AL123" s="355"/>
      <c r="AM123" s="355"/>
      <c r="AN123" s="355"/>
      <c r="AO123" s="355"/>
      <c r="AP123" s="355"/>
      <c r="AQ123" s="355"/>
      <c r="AR123" s="355"/>
      <c r="AS123" s="355"/>
      <c r="AT123" s="355"/>
      <c r="AU123" s="355"/>
      <c r="AV123" s="355"/>
      <c r="AW123" s="355"/>
      <c r="AX123" s="355"/>
      <c r="AY123" s="355"/>
      <c r="AZ123" s="355"/>
      <c r="BA123" s="355"/>
      <c r="BB123" s="355"/>
      <c r="BC123" s="355"/>
      <c r="BD123" s="355"/>
      <c r="BE123" s="355"/>
      <c r="BF123" s="355"/>
      <c r="BG123" s="355"/>
      <c r="BH123" s="355"/>
      <c r="BI123" s="355"/>
      <c r="BJ123" s="355"/>
      <c r="BK123" s="355"/>
      <c r="BL123" s="355"/>
      <c r="BM123" s="355"/>
      <c r="BN123" s="355"/>
      <c r="BO123" s="355"/>
      <c r="BP123" s="355"/>
      <c r="BQ123" s="355"/>
    </row>
  </sheetData>
  <conditionalFormatting sqref="F13:BQ123">
    <cfRule type="containsBlanks" dxfId="15" priority="1">
      <formula>LEN(TRIM(F13))=0</formula>
    </cfRule>
  </conditionalFormatting>
  <conditionalFormatting sqref="F14:BQ15 F17:BQ18 F20:BQ21 F23:BQ24 F26:BQ123">
    <cfRule type="colorScale" priority="2">
      <colorScale>
        <cfvo type="min"/>
        <cfvo type="percentile" val="50"/>
        <cfvo type="max"/>
        <color rgb="FF57BB8A"/>
        <color rgb="FFFFD666"/>
        <color rgb="FFE67C73"/>
      </colorScale>
    </cfRule>
  </conditionalFormatting>
  <conditionalFormatting sqref="F11:BQ11">
    <cfRule type="colorScale" priority="3">
      <colorScale>
        <cfvo type="min"/>
        <cfvo type="max"/>
        <color rgb="FFFFFF00"/>
        <color rgb="FF4285F4"/>
      </colorScale>
    </cfRule>
  </conditionalFormatting>
  <conditionalFormatting sqref="F10:BQ10">
    <cfRule type="colorScale" priority="4">
      <colorScale>
        <cfvo type="min"/>
        <cfvo type="percentile" val="50"/>
        <cfvo type="max"/>
        <color rgb="FF57BB8A"/>
        <color rgb="FFFFD666"/>
        <color rgb="FFE67C73"/>
      </colorScale>
    </cfRule>
  </conditionalFormatting>
  <conditionalFormatting sqref="H15:BQ15 F18:BQ18 H21:BQ21 F24:BQ24 F27:BQ123">
    <cfRule type="notContainsBlanks" dxfId="16" priority="5">
      <formula>LEN(TRIM(H15))&gt;0</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showGridLines="0" workbookViewId="0">
      <pane xSplit="5.0" ySplit="12.0" topLeftCell="F13" activePane="bottomRight" state="frozen"/>
      <selection activeCell="F1" sqref="F1" pane="topRight"/>
      <selection activeCell="A13" sqref="A13" pane="bottomLeft"/>
      <selection activeCell="F13" sqref="F13" pane="bottomRight"/>
    </sheetView>
  </sheetViews>
  <sheetFormatPr customHeight="1" defaultColWidth="12.63" defaultRowHeight="15.75"/>
  <cols>
    <col customWidth="1" hidden="1" min="1" max="1" width="15.38"/>
    <col hidden="1" min="2" max="2" width="12.63"/>
    <col customWidth="1" hidden="1" min="3" max="3" width="14.25"/>
    <col hidden="1" min="4" max="4" width="12.63"/>
    <col customWidth="1" min="5" max="5" width="20.88"/>
    <col customWidth="1" min="6" max="6" width="6.5"/>
    <col customWidth="1" min="9" max="9" width="7.5"/>
    <col customWidth="1" min="13" max="13" width="13.75"/>
    <col customWidth="1" min="17" max="17" width="14.88"/>
    <col customWidth="1" min="18" max="18" width="15.38"/>
    <col hidden="1" min="68" max="69" width="12.63"/>
  </cols>
  <sheetData>
    <row r="1" hidden="1">
      <c r="A1" s="118" t="s">
        <v>455</v>
      </c>
    </row>
    <row r="2" hidden="1">
      <c r="A2" s="118" t="s">
        <v>456</v>
      </c>
      <c r="B2" s="118" t="s">
        <v>457</v>
      </c>
      <c r="C2" s="118" t="s">
        <v>327</v>
      </c>
    </row>
    <row r="3" hidden="1">
      <c r="A3" s="12" t="s">
        <v>458</v>
      </c>
      <c r="B3" s="257" t="s">
        <v>1</v>
      </c>
      <c r="C3" s="186">
        <f>match(B3,'Output_HALO - Nordics'!$1:$1,0)</f>
        <v>2</v>
      </c>
      <c r="H3" s="347"/>
      <c r="I3" s="347"/>
      <c r="J3" s="347"/>
      <c r="K3" s="347"/>
      <c r="L3" s="347"/>
      <c r="M3" s="347"/>
    </row>
    <row r="4" hidden="1">
      <c r="A4" s="12" t="s">
        <v>459</v>
      </c>
      <c r="B4" s="257" t="s">
        <v>2</v>
      </c>
      <c r="C4" s="186">
        <f>match(B4,'Output_HALO - Nordics'!$1:$1,0)</f>
        <v>11</v>
      </c>
      <c r="G4" s="347"/>
      <c r="H4" s="347"/>
      <c r="I4" s="347"/>
      <c r="J4" s="347"/>
      <c r="K4" s="347"/>
      <c r="L4" s="347"/>
      <c r="M4" s="347"/>
    </row>
    <row r="5" hidden="1">
      <c r="A5" s="12" t="s">
        <v>460</v>
      </c>
      <c r="B5" s="257" t="s">
        <v>323</v>
      </c>
      <c r="C5" s="186">
        <f>match(B5,'Output_HALO - Nordics'!$1:$1,0)</f>
        <v>4</v>
      </c>
      <c r="E5" s="347" t="s">
        <v>461</v>
      </c>
      <c r="G5" s="347"/>
      <c r="H5" s="347"/>
      <c r="I5" s="347"/>
      <c r="J5" s="347"/>
      <c r="K5" s="347"/>
      <c r="L5" s="347"/>
      <c r="M5" s="347"/>
    </row>
    <row r="6" hidden="1">
      <c r="A6" s="12" t="s">
        <v>462</v>
      </c>
      <c r="B6" s="257" t="s">
        <v>324</v>
      </c>
      <c r="C6" s="186">
        <f>match(B6,'Output_HALO - Nordics'!$1:$1,0)</f>
        <v>5</v>
      </c>
    </row>
    <row r="7" hidden="1">
      <c r="A7" s="12" t="s">
        <v>463</v>
      </c>
      <c r="B7" s="257" t="s">
        <v>328</v>
      </c>
      <c r="C7" s="186">
        <f>match(B7,'Output_HALO - Nordics'!$1:$1,0)</f>
        <v>9</v>
      </c>
    </row>
    <row r="8" hidden="1">
      <c r="A8" s="12" t="s">
        <v>464</v>
      </c>
      <c r="B8" s="257" t="s">
        <v>465</v>
      </c>
      <c r="C8" s="186">
        <f>match(B8,'Output_HALO - Nordics'!$1:$1,0)</f>
        <v>19</v>
      </c>
    </row>
    <row r="9">
      <c r="E9" s="348" t="s">
        <v>466</v>
      </c>
      <c r="F9" s="349" t="str">
        <f t="array" ref="F9">iferror(vlookup(F$12&amp;"-"&amp;$E13,{index('Output_HALO - Nordics'!$A:$ZZ,0,$C$8),index('Output_HALO - Nordics'!$A:$ZZ,0,$C7)},2,0),iferror(vlookup(F$12&amp;"-"&amp;$E16,{index('Output_HALO - Nordics'!$A:$ZZ,0,$C$8),index('Output_HALO - Nordics'!$A:$ZZ,0,$C7)},2,0),iferror(vlookup(F$12&amp;"-"&amp;$E19,{index('Output_HALO - Nordics'!$A:$ZZ,0,$C$8),index('Output_HALO - Nordics'!$A:$ZZ,0,$C7)},2,0),iferror(vlookup(F$12&amp;"-"&amp;$E22,{index('Output_HALO - Nordics'!$A:$ZZ,0,$C$8),index('Output_HALO - Nordics'!$A:$ZZ,0,$C7)},2,0),iferror(vlookup(F$12&amp;"-"&amp;$E25,{index('Output_HALO - Nordics'!$A:$ZZ,0,$C$8),index('Output_HALO - Nordics'!$A:$ZZ,0,$C7)},2,0),"")))))</f>
        <v/>
      </c>
      <c r="G9" s="349" t="str">
        <f t="array" ref="G9">iferror(vlookup(G$12&amp;"-"&amp;$E13,{index('Output_HALO - Nordics'!$A:$ZZ,0,$C$8),index('Output_HALO - Nordics'!$A:$ZZ,0,$C7)},2,0),iferror(vlookup(G$12&amp;"-"&amp;$E16,{index('Output_HALO - Nordics'!$A:$ZZ,0,$C$8),index('Output_HALO - Nordics'!$A:$ZZ,0,$C7)},2,0),iferror(vlookup(G$12&amp;"-"&amp;$E19,{index('Output_HALO - Nordics'!$A:$ZZ,0,$C$8),index('Output_HALO - Nordics'!$A:$ZZ,0,$C7)},2,0),iferror(vlookup(G$12&amp;"-"&amp;$E22,{index('Output_HALO - Nordics'!$A:$ZZ,0,$C$8),index('Output_HALO - Nordics'!$A:$ZZ,0,$C7)},2,0),iferror(vlookup(G$12&amp;"-"&amp;$E25,{index('Output_HALO - Nordics'!$A:$ZZ,0,$C$8),index('Output_HALO - Nordics'!$A:$ZZ,0,$C7)},2,0),"")))))</f>
        <v>Packaging</v>
      </c>
      <c r="H9" s="349" t="str">
        <f t="array" ref="H9">iferror(vlookup(H$12&amp;"-"&amp;$E13,{index('Output_HALO - Nordics'!$A:$ZZ,0,$C$8),index('Output_HALO - Nordics'!$A:$ZZ,0,$C7)},2,0),iferror(vlookup(H$12&amp;"-"&amp;$E16,{index('Output_HALO - Nordics'!$A:$ZZ,0,$C$8),index('Output_HALO - Nordics'!$A:$ZZ,0,$C7)},2,0),iferror(vlookup(H$12&amp;"-"&amp;$E19,{index('Output_HALO - Nordics'!$A:$ZZ,0,$C$8),index('Output_HALO - Nordics'!$A:$ZZ,0,$C7)},2,0),iferror(vlookup(H$12&amp;"-"&amp;$E22,{index('Output_HALO - Nordics'!$A:$ZZ,0,$C$8),index('Output_HALO - Nordics'!$A:$ZZ,0,$C7)},2,0),iferror(vlookup(H$12&amp;"-"&amp;$E25,{index('Output_HALO - Nordics'!$A:$ZZ,0,$C$8),index('Output_HALO - Nordics'!$A:$ZZ,0,$C7)},2,0),"")))))</f>
        <v>Packaging</v>
      </c>
      <c r="I9" s="349" t="str">
        <f t="array" ref="I9">iferror(vlookup(I$12&amp;"-"&amp;$E13,{index('Output_HALO - Nordics'!$A:$ZZ,0,$C$8),index('Output_HALO - Nordics'!$A:$ZZ,0,$C7)},2,0),iferror(vlookup(I$12&amp;"-"&amp;$E16,{index('Output_HALO - Nordics'!$A:$ZZ,0,$C$8),index('Output_HALO - Nordics'!$A:$ZZ,0,$C7)},2,0),iferror(vlookup(I$12&amp;"-"&amp;$E19,{index('Output_HALO - Nordics'!$A:$ZZ,0,$C$8),index('Output_HALO - Nordics'!$A:$ZZ,0,$C7)},2,0),iferror(vlookup(I$12&amp;"-"&amp;$E22,{index('Output_HALO - Nordics'!$A:$ZZ,0,$C$8),index('Output_HALO - Nordics'!$A:$ZZ,0,$C7)},2,0),iferror(vlookup(I$12&amp;"-"&amp;$E25,{index('Output_HALO - Nordics'!$A:$ZZ,0,$C$8),index('Output_HALO - Nordics'!$A:$ZZ,0,$C7)},2,0),"")))))</f>
        <v>Packaging</v>
      </c>
      <c r="J9" s="349" t="str">
        <f t="array" ref="J9">iferror(vlookup(J$12&amp;"-"&amp;$E13,{index('Output_HALO - Nordics'!$A:$ZZ,0,$C$8),index('Output_HALO - Nordics'!$A:$ZZ,0,$C7)},2,0),iferror(vlookup(J$12&amp;"-"&amp;$E16,{index('Output_HALO - Nordics'!$A:$ZZ,0,$C$8),index('Output_HALO - Nordics'!$A:$ZZ,0,$C7)},2,0),iferror(vlookup(J$12&amp;"-"&amp;$E19,{index('Output_HALO - Nordics'!$A:$ZZ,0,$C$8),index('Output_HALO - Nordics'!$A:$ZZ,0,$C7)},2,0),iferror(vlookup(J$12&amp;"-"&amp;$E22,{index('Output_HALO - Nordics'!$A:$ZZ,0,$C$8),index('Output_HALO - Nordics'!$A:$ZZ,0,$C7)},2,0),iferror(vlookup(J$12&amp;"-"&amp;$E25,{index('Output_HALO - Nordics'!$A:$ZZ,0,$C$8),index('Output_HALO - Nordics'!$A:$ZZ,0,$C7)},2,0),"")))))</f>
        <v>Packaging</v>
      </c>
      <c r="K9" s="349" t="str">
        <f t="array" ref="K9">iferror(vlookup(K$12&amp;"-"&amp;$E13,{index('Output_HALO - Nordics'!$A:$ZZ,0,$C$8),index('Output_HALO - Nordics'!$A:$ZZ,0,$C7)},2,0),iferror(vlookup(K$12&amp;"-"&amp;$E16,{index('Output_HALO - Nordics'!$A:$ZZ,0,$C$8),index('Output_HALO - Nordics'!$A:$ZZ,0,$C7)},2,0),iferror(vlookup(K$12&amp;"-"&amp;$E19,{index('Output_HALO - Nordics'!$A:$ZZ,0,$C$8),index('Output_HALO - Nordics'!$A:$ZZ,0,$C7)},2,0),iferror(vlookup(K$12&amp;"-"&amp;$E22,{index('Output_HALO - Nordics'!$A:$ZZ,0,$C$8),index('Output_HALO - Nordics'!$A:$ZZ,0,$C7)},2,0),iferror(vlookup(K$12&amp;"-"&amp;$E25,{index('Output_HALO - Nordics'!$A:$ZZ,0,$C$8),index('Output_HALO - Nordics'!$A:$ZZ,0,$C7)},2,0),"")))))</f>
        <v/>
      </c>
      <c r="L9" s="349" t="str">
        <f t="array" ref="L9">iferror(vlookup(L$12&amp;"-"&amp;$E13,{index('Output_HALO - Nordics'!$A:$ZZ,0,$C$8),index('Output_HALO - Nordics'!$A:$ZZ,0,$C7)},2,0),iferror(vlookup(L$12&amp;"-"&amp;$E16,{index('Output_HALO - Nordics'!$A:$ZZ,0,$C$8),index('Output_HALO - Nordics'!$A:$ZZ,0,$C7)},2,0),iferror(vlookup(L$12&amp;"-"&amp;$E19,{index('Output_HALO - Nordics'!$A:$ZZ,0,$C$8),index('Output_HALO - Nordics'!$A:$ZZ,0,$C7)},2,0),iferror(vlookup(L$12&amp;"-"&amp;$E22,{index('Output_HALO - Nordics'!$A:$ZZ,0,$C$8),index('Output_HALO - Nordics'!$A:$ZZ,0,$C7)},2,0),iferror(vlookup(L$12&amp;"-"&amp;$E25,{index('Output_HALO - Nordics'!$A:$ZZ,0,$C$8),index('Output_HALO - Nordics'!$A:$ZZ,0,$C7)},2,0),"")))))</f>
        <v/>
      </c>
      <c r="M9" s="349" t="str">
        <f t="array" ref="M9">iferror(vlookup(M$12&amp;"-"&amp;$E13,{index('Output_HALO - Nordics'!$A:$ZZ,0,$C$8),index('Output_HALO - Nordics'!$A:$ZZ,0,$C7)},2,0),iferror(vlookup(M$12&amp;"-"&amp;$E16,{index('Output_HALO - Nordics'!$A:$ZZ,0,$C$8),index('Output_HALO - Nordics'!$A:$ZZ,0,$C7)},2,0),iferror(vlookup(M$12&amp;"-"&amp;$E19,{index('Output_HALO - Nordics'!$A:$ZZ,0,$C$8),index('Output_HALO - Nordics'!$A:$ZZ,0,$C7)},2,0),iferror(vlookup(M$12&amp;"-"&amp;$E22,{index('Output_HALO - Nordics'!$A:$ZZ,0,$C$8),index('Output_HALO - Nordics'!$A:$ZZ,0,$C7)},2,0),iferror(vlookup(M$12&amp;"-"&amp;$E25,{index('Output_HALO - Nordics'!$A:$ZZ,0,$C$8),index('Output_HALO - Nordics'!$A:$ZZ,0,$C7)},2,0),"")))))</f>
        <v/>
      </c>
      <c r="N9" s="349" t="str">
        <f t="array" ref="N9">iferror(vlookup(N$12&amp;"-"&amp;$E13,{index('Output_HALO - Nordics'!$A:$ZZ,0,$C$8),index('Output_HALO - Nordics'!$A:$ZZ,0,$C7)},2,0),iferror(vlookup(N$12&amp;"-"&amp;$E16,{index('Output_HALO - Nordics'!$A:$ZZ,0,$C$8),index('Output_HALO - Nordics'!$A:$ZZ,0,$C7)},2,0),iferror(vlookup(N$12&amp;"-"&amp;$E19,{index('Output_HALO - Nordics'!$A:$ZZ,0,$C$8),index('Output_HALO - Nordics'!$A:$ZZ,0,$C7)},2,0),iferror(vlookup(N$12&amp;"-"&amp;$E22,{index('Output_HALO - Nordics'!$A:$ZZ,0,$C$8),index('Output_HALO - Nordics'!$A:$ZZ,0,$C7)},2,0),iferror(vlookup(N$12&amp;"-"&amp;$E25,{index('Output_HALO - Nordics'!$A:$ZZ,0,$C$8),index('Output_HALO - Nordics'!$A:$ZZ,0,$C7)},2,0),"")))))</f>
        <v/>
      </c>
      <c r="O9" s="349" t="str">
        <f t="array" ref="O9">iferror(vlookup(O$12&amp;"-"&amp;$E13,{index('Output_HALO - Nordics'!$A:$ZZ,0,$C$8),index('Output_HALO - Nordics'!$A:$ZZ,0,$C7)},2,0),iferror(vlookup(O$12&amp;"-"&amp;$E16,{index('Output_HALO - Nordics'!$A:$ZZ,0,$C$8),index('Output_HALO - Nordics'!$A:$ZZ,0,$C7)},2,0),iferror(vlookup(O$12&amp;"-"&amp;$E19,{index('Output_HALO - Nordics'!$A:$ZZ,0,$C$8),index('Output_HALO - Nordics'!$A:$ZZ,0,$C7)},2,0),iferror(vlookup(O$12&amp;"-"&amp;$E22,{index('Output_HALO - Nordics'!$A:$ZZ,0,$C$8),index('Output_HALO - Nordics'!$A:$ZZ,0,$C7)},2,0),iferror(vlookup(O$12&amp;"-"&amp;$E25,{index('Output_HALO - Nordics'!$A:$ZZ,0,$C$8),index('Output_HALO - Nordics'!$A:$ZZ,0,$C7)},2,0),"")))))</f>
        <v/>
      </c>
      <c r="P9" s="349" t="str">
        <f t="array" ref="P9">iferror(vlookup(P$12&amp;"-"&amp;$E13,{index('Output_HALO - Nordics'!$A:$ZZ,0,$C$8),index('Output_HALO - Nordics'!$A:$ZZ,0,$C7)},2,0),iferror(vlookup(P$12&amp;"-"&amp;$E16,{index('Output_HALO - Nordics'!$A:$ZZ,0,$C$8),index('Output_HALO - Nordics'!$A:$ZZ,0,$C7)},2,0),iferror(vlookup(P$12&amp;"-"&amp;$E19,{index('Output_HALO - Nordics'!$A:$ZZ,0,$C$8),index('Output_HALO - Nordics'!$A:$ZZ,0,$C7)},2,0),iferror(vlookup(P$12&amp;"-"&amp;$E22,{index('Output_HALO - Nordics'!$A:$ZZ,0,$C$8),index('Output_HALO - Nordics'!$A:$ZZ,0,$C7)},2,0),iferror(vlookup(P$12&amp;"-"&amp;$E25,{index('Output_HALO - Nordics'!$A:$ZZ,0,$C$8),index('Output_HALO - Nordics'!$A:$ZZ,0,$C7)},2,0),"")))))</f>
        <v/>
      </c>
      <c r="Q9" s="349" t="str">
        <f t="array" ref="Q9">iferror(vlookup(Q$12&amp;"-"&amp;$E13,{index('Output_HALO - Nordics'!$A:$ZZ,0,$C$8),index('Output_HALO - Nordics'!$A:$ZZ,0,$C7)},2,0),iferror(vlookup(Q$12&amp;"-"&amp;$E16,{index('Output_HALO - Nordics'!$A:$ZZ,0,$C$8),index('Output_HALO - Nordics'!$A:$ZZ,0,$C7)},2,0),iferror(vlookup(Q$12&amp;"-"&amp;$E19,{index('Output_HALO - Nordics'!$A:$ZZ,0,$C$8),index('Output_HALO - Nordics'!$A:$ZZ,0,$C7)},2,0),iferror(vlookup(Q$12&amp;"-"&amp;$E22,{index('Output_HALO - Nordics'!$A:$ZZ,0,$C$8),index('Output_HALO - Nordics'!$A:$ZZ,0,$C7)},2,0),iferror(vlookup(Q$12&amp;"-"&amp;$E25,{index('Output_HALO - Nordics'!$A:$ZZ,0,$C$8),index('Output_HALO - Nordics'!$A:$ZZ,0,$C7)},2,0),"")))))</f>
        <v>Chilled</v>
      </c>
      <c r="R9" s="349" t="str">
        <f t="array" ref="R9">iferror(vlookup(R$12&amp;"-"&amp;$E13,{index('Output_HALO - Nordics'!$A:$ZZ,0,$C$8),index('Output_HALO - Nordics'!$A:$ZZ,0,$C7)},2,0),iferror(vlookup(R$12&amp;"-"&amp;$E16,{index('Output_HALO - Nordics'!$A:$ZZ,0,$C$8),index('Output_HALO - Nordics'!$A:$ZZ,0,$C7)},2,0),iferror(vlookup(R$12&amp;"-"&amp;$E19,{index('Output_HALO - Nordics'!$A:$ZZ,0,$C$8),index('Output_HALO - Nordics'!$A:$ZZ,0,$C7)},2,0),iferror(vlookup(R$12&amp;"-"&amp;$E22,{index('Output_HALO - Nordics'!$A:$ZZ,0,$C$8),index('Output_HALO - Nordics'!$A:$ZZ,0,$C7)},2,0),iferror(vlookup(R$12&amp;"-"&amp;$E25,{index('Output_HALO - Nordics'!$A:$ZZ,0,$C$8),index('Output_HALO - Nordics'!$A:$ZZ,0,$C7)},2,0),"")))))</f>
        <v>Chilled</v>
      </c>
      <c r="S9" s="349" t="str">
        <f t="array" ref="S9">iferror(vlookup(S$12&amp;"-"&amp;$E13,{index('Output_HALO - Nordics'!$A:$ZZ,0,$C$8),index('Output_HALO - Nordics'!$A:$ZZ,0,$C7)},2,0),iferror(vlookup(S$12&amp;"-"&amp;$E16,{index('Output_HALO - Nordics'!$A:$ZZ,0,$C$8),index('Output_HALO - Nordics'!$A:$ZZ,0,$C7)},2,0),iferror(vlookup(S$12&amp;"-"&amp;$E19,{index('Output_HALO - Nordics'!$A:$ZZ,0,$C$8),index('Output_HALO - Nordics'!$A:$ZZ,0,$C7)},2,0),iferror(vlookup(S$12&amp;"-"&amp;$E22,{index('Output_HALO - Nordics'!$A:$ZZ,0,$C$8),index('Output_HALO - Nordics'!$A:$ZZ,0,$C7)},2,0),iferror(vlookup(S$12&amp;"-"&amp;$E25,{index('Output_HALO - Nordics'!$A:$ZZ,0,$C$8),index('Output_HALO - Nordics'!$A:$ZZ,0,$C7)},2,0),"")))))</f>
        <v>Chilled</v>
      </c>
      <c r="T9" s="349" t="str">
        <f t="array" ref="T9">iferror(vlookup(T$12&amp;"-"&amp;$E13,{index('Output_HALO - Nordics'!$A:$ZZ,0,$C$8),index('Output_HALO - Nordics'!$A:$ZZ,0,$C7)},2,0),iferror(vlookup(T$12&amp;"-"&amp;$E16,{index('Output_HALO - Nordics'!$A:$ZZ,0,$C$8),index('Output_HALO - Nordics'!$A:$ZZ,0,$C7)},2,0),iferror(vlookup(T$12&amp;"-"&amp;$E19,{index('Output_HALO - Nordics'!$A:$ZZ,0,$C$8),index('Output_HALO - Nordics'!$A:$ZZ,0,$C7)},2,0),iferror(vlookup(T$12&amp;"-"&amp;$E22,{index('Output_HALO - Nordics'!$A:$ZZ,0,$C$8),index('Output_HALO - Nordics'!$A:$ZZ,0,$C7)},2,0),iferror(vlookup(T$12&amp;"-"&amp;$E25,{index('Output_HALO - Nordics'!$A:$ZZ,0,$C$8),index('Output_HALO - Nordics'!$A:$ZZ,0,$C7)},2,0),"")))))</f>
        <v/>
      </c>
      <c r="U9" s="349" t="str">
        <f t="array" ref="U9">iferror(vlookup(U$12&amp;"-"&amp;$E13,{index('Output_HALO - Nordics'!$A:$ZZ,0,$C$8),index('Output_HALO - Nordics'!$A:$ZZ,0,$C7)},2,0),iferror(vlookup(U$12&amp;"-"&amp;$E16,{index('Output_HALO - Nordics'!$A:$ZZ,0,$C$8),index('Output_HALO - Nordics'!$A:$ZZ,0,$C7)},2,0),iferror(vlookup(U$12&amp;"-"&amp;$E19,{index('Output_HALO - Nordics'!$A:$ZZ,0,$C$8),index('Output_HALO - Nordics'!$A:$ZZ,0,$C7)},2,0),iferror(vlookup(U$12&amp;"-"&amp;$E22,{index('Output_HALO - Nordics'!$A:$ZZ,0,$C$8),index('Output_HALO - Nordics'!$A:$ZZ,0,$C7)},2,0),iferror(vlookup(U$12&amp;"-"&amp;$E25,{index('Output_HALO - Nordics'!$A:$ZZ,0,$C$8),index('Output_HALO - Nordics'!$A:$ZZ,0,$C7)},2,0),"")))))</f>
        <v/>
      </c>
      <c r="V9" s="349" t="str">
        <f t="array" ref="V9">iferror(vlookup(V$12&amp;"-"&amp;$E13,{index('Output_HALO - Nordics'!$A:$ZZ,0,$C$8),index('Output_HALO - Nordics'!$A:$ZZ,0,$C7)},2,0),iferror(vlookup(V$12&amp;"-"&amp;$E16,{index('Output_HALO - Nordics'!$A:$ZZ,0,$C$8),index('Output_HALO - Nordics'!$A:$ZZ,0,$C7)},2,0),iferror(vlookup(V$12&amp;"-"&amp;$E19,{index('Output_HALO - Nordics'!$A:$ZZ,0,$C$8),index('Output_HALO - Nordics'!$A:$ZZ,0,$C7)},2,0),iferror(vlookup(V$12&amp;"-"&amp;$E22,{index('Output_HALO - Nordics'!$A:$ZZ,0,$C$8),index('Output_HALO - Nordics'!$A:$ZZ,0,$C7)},2,0),iferror(vlookup(V$12&amp;"-"&amp;$E25,{index('Output_HALO - Nordics'!$A:$ZZ,0,$C$8),index('Output_HALO - Nordics'!$A:$ZZ,0,$C7)},2,0),"")))))</f>
        <v/>
      </c>
      <c r="W9" s="349" t="str">
        <f t="array" ref="W9">iferror(vlookup(W$12&amp;"-"&amp;$E13,{index('Output_HALO - Nordics'!$A:$ZZ,0,$C$8),index('Output_HALO - Nordics'!$A:$ZZ,0,$C7)},2,0),iferror(vlookup(W$12&amp;"-"&amp;$E16,{index('Output_HALO - Nordics'!$A:$ZZ,0,$C$8),index('Output_HALO - Nordics'!$A:$ZZ,0,$C7)},2,0),iferror(vlookup(W$12&amp;"-"&amp;$E19,{index('Output_HALO - Nordics'!$A:$ZZ,0,$C$8),index('Output_HALO - Nordics'!$A:$ZZ,0,$C7)},2,0),iferror(vlookup(W$12&amp;"-"&amp;$E22,{index('Output_HALO - Nordics'!$A:$ZZ,0,$C$8),index('Output_HALO - Nordics'!$A:$ZZ,0,$C7)},2,0),iferror(vlookup(W$12&amp;"-"&amp;$E25,{index('Output_HALO - Nordics'!$A:$ZZ,0,$C$8),index('Output_HALO - Nordics'!$A:$ZZ,0,$C7)},2,0),"")))))</f>
        <v>Chilled</v>
      </c>
      <c r="X9" s="349" t="str">
        <f t="array" ref="X9">iferror(vlookup(X$12&amp;"-"&amp;$E13,{index('Output_HALO - Nordics'!$A:$ZZ,0,$C$8),index('Output_HALO - Nordics'!$A:$ZZ,0,$C7)},2,0),iferror(vlookup(X$12&amp;"-"&amp;$E16,{index('Output_HALO - Nordics'!$A:$ZZ,0,$C$8),index('Output_HALO - Nordics'!$A:$ZZ,0,$C7)},2,0),iferror(vlookup(X$12&amp;"-"&amp;$E19,{index('Output_HALO - Nordics'!$A:$ZZ,0,$C$8),index('Output_HALO - Nordics'!$A:$ZZ,0,$C7)},2,0),iferror(vlookup(X$12&amp;"-"&amp;$E22,{index('Output_HALO - Nordics'!$A:$ZZ,0,$C$8),index('Output_HALO - Nordics'!$A:$ZZ,0,$C7)},2,0),iferror(vlookup(X$12&amp;"-"&amp;$E25,{index('Output_HALO - Nordics'!$A:$ZZ,0,$C$8),index('Output_HALO - Nordics'!$A:$ZZ,0,$C7)},2,0),"")))))</f>
        <v>Chilled</v>
      </c>
      <c r="Y9" s="349" t="str">
        <f t="array" ref="Y9">iferror(vlookup(Y$12&amp;"-"&amp;$E13,{index('Output_HALO - Nordics'!$A:$ZZ,0,$C$8),index('Output_HALO - Nordics'!$A:$ZZ,0,$C7)},2,0),iferror(vlookup(Y$12&amp;"-"&amp;$E16,{index('Output_HALO - Nordics'!$A:$ZZ,0,$C$8),index('Output_HALO - Nordics'!$A:$ZZ,0,$C7)},2,0),iferror(vlookup(Y$12&amp;"-"&amp;$E19,{index('Output_HALO - Nordics'!$A:$ZZ,0,$C$8),index('Output_HALO - Nordics'!$A:$ZZ,0,$C7)},2,0),iferror(vlookup(Y$12&amp;"-"&amp;$E22,{index('Output_HALO - Nordics'!$A:$ZZ,0,$C$8),index('Output_HALO - Nordics'!$A:$ZZ,0,$C7)},2,0),iferror(vlookup(Y$12&amp;"-"&amp;$E25,{index('Output_HALO - Nordics'!$A:$ZZ,0,$C$8),index('Output_HALO - Nordics'!$A:$ZZ,0,$C7)},2,0),"")))))</f>
        <v>Chilled</v>
      </c>
      <c r="Z9" s="349" t="str">
        <f t="array" ref="Z9">iferror(vlookup(Z$12&amp;"-"&amp;$E13,{index('Output_HALO - Nordics'!$A:$ZZ,0,$C$8),index('Output_HALO - Nordics'!$A:$ZZ,0,$C7)},2,0),iferror(vlookup(Z$12&amp;"-"&amp;$E16,{index('Output_HALO - Nordics'!$A:$ZZ,0,$C$8),index('Output_HALO - Nordics'!$A:$ZZ,0,$C7)},2,0),iferror(vlookup(Z$12&amp;"-"&amp;$E19,{index('Output_HALO - Nordics'!$A:$ZZ,0,$C$8),index('Output_HALO - Nordics'!$A:$ZZ,0,$C7)},2,0),iferror(vlookup(Z$12&amp;"-"&amp;$E22,{index('Output_HALO - Nordics'!$A:$ZZ,0,$C$8),index('Output_HALO - Nordics'!$A:$ZZ,0,$C7)},2,0),iferror(vlookup(Z$12&amp;"-"&amp;$E25,{index('Output_HALO - Nordics'!$A:$ZZ,0,$C$8),index('Output_HALO - Nordics'!$A:$ZZ,0,$C7)},2,0),"")))))</f>
        <v/>
      </c>
      <c r="AA9" s="349" t="str">
        <f t="array" ref="AA9">iferror(vlookup(AA$12&amp;"-"&amp;$E13,{index('Output_HALO - Nordics'!$A:$ZZ,0,$C$8),index('Output_HALO - Nordics'!$A:$ZZ,0,$C7)},2,0),iferror(vlookup(AA$12&amp;"-"&amp;$E16,{index('Output_HALO - Nordics'!$A:$ZZ,0,$C$8),index('Output_HALO - Nordics'!$A:$ZZ,0,$C7)},2,0),iferror(vlookup(AA$12&amp;"-"&amp;$E19,{index('Output_HALO - Nordics'!$A:$ZZ,0,$C$8),index('Output_HALO - Nordics'!$A:$ZZ,0,$C7)},2,0),iferror(vlookup(AA$12&amp;"-"&amp;$E22,{index('Output_HALO - Nordics'!$A:$ZZ,0,$C$8),index('Output_HALO - Nordics'!$A:$ZZ,0,$C7)},2,0),iferror(vlookup(AA$12&amp;"-"&amp;$E25,{index('Output_HALO - Nordics'!$A:$ZZ,0,$C$8),index('Output_HALO - Nordics'!$A:$ZZ,0,$C7)},2,0),"")))))</f>
        <v/>
      </c>
      <c r="AB9" s="349" t="str">
        <f t="array" ref="AB9">iferror(vlookup(AB$12&amp;"-"&amp;$E13,{index('Output_HALO - Nordics'!$A:$ZZ,0,$C$8),index('Output_HALO - Nordics'!$A:$ZZ,0,$C7)},2,0),iferror(vlookup(AB$12&amp;"-"&amp;$E16,{index('Output_HALO - Nordics'!$A:$ZZ,0,$C$8),index('Output_HALO - Nordics'!$A:$ZZ,0,$C7)},2,0),iferror(vlookup(AB$12&amp;"-"&amp;$E19,{index('Output_HALO - Nordics'!$A:$ZZ,0,$C$8),index('Output_HALO - Nordics'!$A:$ZZ,0,$C7)},2,0),iferror(vlookup(AB$12&amp;"-"&amp;$E22,{index('Output_HALO - Nordics'!$A:$ZZ,0,$C$8),index('Output_HALO - Nordics'!$A:$ZZ,0,$C7)},2,0),iferror(vlookup(AB$12&amp;"-"&amp;$E25,{index('Output_HALO - Nordics'!$A:$ZZ,0,$C$8),index('Output_HALO - Nordics'!$A:$ZZ,0,$C7)},2,0),"")))))</f>
        <v/>
      </c>
      <c r="AC9" s="349" t="str">
        <f t="array" ref="AC9">iferror(vlookup(AC$12&amp;"-"&amp;$E13,{index('Output_HALO - Nordics'!$A:$ZZ,0,$C$8),index('Output_HALO - Nordics'!$A:$ZZ,0,$C7)},2,0),iferror(vlookup(AC$12&amp;"-"&amp;$E16,{index('Output_HALO - Nordics'!$A:$ZZ,0,$C$8),index('Output_HALO - Nordics'!$A:$ZZ,0,$C7)},2,0),iferror(vlookup(AC$12&amp;"-"&amp;$E19,{index('Output_HALO - Nordics'!$A:$ZZ,0,$C$8),index('Output_HALO - Nordics'!$A:$ZZ,0,$C7)},2,0),iferror(vlookup(AC$12&amp;"-"&amp;$E22,{index('Output_HALO - Nordics'!$A:$ZZ,0,$C$8),index('Output_HALO - Nordics'!$A:$ZZ,0,$C7)},2,0),iferror(vlookup(AC$12&amp;"-"&amp;$E25,{index('Output_HALO - Nordics'!$A:$ZZ,0,$C$8),index('Output_HALO - Nordics'!$A:$ZZ,0,$C7)},2,0),"")))))</f>
        <v/>
      </c>
      <c r="AD9" s="349" t="str">
        <f t="array" ref="AD9">iferror(vlookup(AD$12&amp;"-"&amp;$E13,{index('Output_HALO - Nordics'!$A:$ZZ,0,$C$8),index('Output_HALO - Nordics'!$A:$ZZ,0,$C7)},2,0),iferror(vlookup(AD$12&amp;"-"&amp;$E16,{index('Output_HALO - Nordics'!$A:$ZZ,0,$C$8),index('Output_HALO - Nordics'!$A:$ZZ,0,$C7)},2,0),iferror(vlookup(AD$12&amp;"-"&amp;$E19,{index('Output_HALO - Nordics'!$A:$ZZ,0,$C$8),index('Output_HALO - Nordics'!$A:$ZZ,0,$C7)},2,0),iferror(vlookup(AD$12&amp;"-"&amp;$E22,{index('Output_HALO - Nordics'!$A:$ZZ,0,$C$8),index('Output_HALO - Nordics'!$A:$ZZ,0,$C7)},2,0),iferror(vlookup(AD$12&amp;"-"&amp;$E25,{index('Output_HALO - Nordics'!$A:$ZZ,0,$C$8),index('Output_HALO - Nordics'!$A:$ZZ,0,$C7)},2,0),"")))))</f>
        <v/>
      </c>
      <c r="AE9" s="349" t="str">
        <f t="array" ref="AE9">iferror(vlookup(AE$12&amp;"-"&amp;$E13,{index('Output_HALO - Nordics'!$A:$ZZ,0,$C$8),index('Output_HALO - Nordics'!$A:$ZZ,0,$C7)},2,0),iferror(vlookup(AE$12&amp;"-"&amp;$E16,{index('Output_HALO - Nordics'!$A:$ZZ,0,$C$8),index('Output_HALO - Nordics'!$A:$ZZ,0,$C7)},2,0),iferror(vlookup(AE$12&amp;"-"&amp;$E19,{index('Output_HALO - Nordics'!$A:$ZZ,0,$C$8),index('Output_HALO - Nordics'!$A:$ZZ,0,$C7)},2,0),iferror(vlookup(AE$12&amp;"-"&amp;$E22,{index('Output_HALO - Nordics'!$A:$ZZ,0,$C$8),index('Output_HALO - Nordics'!$A:$ZZ,0,$C7)},2,0),iferror(vlookup(AE$12&amp;"-"&amp;$E25,{index('Output_HALO - Nordics'!$A:$ZZ,0,$C$8),index('Output_HALO - Nordics'!$A:$ZZ,0,$C7)},2,0),"")))))</f>
        <v/>
      </c>
      <c r="AF9" s="349" t="str">
        <f t="array" ref="AF9">iferror(vlookup(AF$12&amp;"-"&amp;$E13,{index('Output_HALO - Nordics'!$A:$ZZ,0,$C$8),index('Output_HALO - Nordics'!$A:$ZZ,0,$C7)},2,0),iferror(vlookup(AF$12&amp;"-"&amp;$E16,{index('Output_HALO - Nordics'!$A:$ZZ,0,$C$8),index('Output_HALO - Nordics'!$A:$ZZ,0,$C7)},2,0),iferror(vlookup(AF$12&amp;"-"&amp;$E19,{index('Output_HALO - Nordics'!$A:$ZZ,0,$C$8),index('Output_HALO - Nordics'!$A:$ZZ,0,$C7)},2,0),iferror(vlookup(AF$12&amp;"-"&amp;$E22,{index('Output_HALO - Nordics'!$A:$ZZ,0,$C$8),index('Output_HALO - Nordics'!$A:$ZZ,0,$C7)},2,0),iferror(vlookup(AF$12&amp;"-"&amp;$E25,{index('Output_HALO - Nordics'!$A:$ZZ,0,$C$8),index('Output_HALO - Nordics'!$A:$ZZ,0,$C7)},2,0),"")))))</f>
        <v/>
      </c>
      <c r="AG9" s="349" t="str">
        <f t="array" ref="AG9">iferror(vlookup(AG$12&amp;"-"&amp;$E13,{index('Output_HALO - Nordics'!$A:$ZZ,0,$C$8),index('Output_HALO - Nordics'!$A:$ZZ,0,$C7)},2,0),iferror(vlookup(AG$12&amp;"-"&amp;$E16,{index('Output_HALO - Nordics'!$A:$ZZ,0,$C$8),index('Output_HALO - Nordics'!$A:$ZZ,0,$C7)},2,0),iferror(vlookup(AG$12&amp;"-"&amp;$E19,{index('Output_HALO - Nordics'!$A:$ZZ,0,$C$8),index('Output_HALO - Nordics'!$A:$ZZ,0,$C7)},2,0),iferror(vlookup(AG$12&amp;"-"&amp;$E22,{index('Output_HALO - Nordics'!$A:$ZZ,0,$C$8),index('Output_HALO - Nordics'!$A:$ZZ,0,$C7)},2,0),iferror(vlookup(AG$12&amp;"-"&amp;$E25,{index('Output_HALO - Nordics'!$A:$ZZ,0,$C$8),index('Output_HALO - Nordics'!$A:$ZZ,0,$C7)},2,0),"")))))</f>
        <v>Chilled</v>
      </c>
      <c r="AH9" s="349" t="str">
        <f t="array" ref="AH9">iferror(vlookup(AH$12&amp;"-"&amp;$E13,{index('Output_HALO - Nordics'!$A:$ZZ,0,$C$8),index('Output_HALO - Nordics'!$A:$ZZ,0,$C7)},2,0),iferror(vlookup(AH$12&amp;"-"&amp;$E16,{index('Output_HALO - Nordics'!$A:$ZZ,0,$C$8),index('Output_HALO - Nordics'!$A:$ZZ,0,$C7)},2,0),iferror(vlookup(AH$12&amp;"-"&amp;$E19,{index('Output_HALO - Nordics'!$A:$ZZ,0,$C$8),index('Output_HALO - Nordics'!$A:$ZZ,0,$C7)},2,0),iferror(vlookup(AH$12&amp;"-"&amp;$E22,{index('Output_HALO - Nordics'!$A:$ZZ,0,$C$8),index('Output_HALO - Nordics'!$A:$ZZ,0,$C7)},2,0),iferror(vlookup(AH$12&amp;"-"&amp;$E25,{index('Output_HALO - Nordics'!$A:$ZZ,0,$C$8),index('Output_HALO - Nordics'!$A:$ZZ,0,$C7)},2,0),"")))))</f>
        <v>Chilled</v>
      </c>
      <c r="AI9" s="349" t="str">
        <f t="array" ref="AI9">iferror(vlookup(AI$12&amp;"-"&amp;$E13,{index('Output_HALO - Nordics'!$A:$ZZ,0,$C$8),index('Output_HALO - Nordics'!$A:$ZZ,0,$C7)},2,0),iferror(vlookup(AI$12&amp;"-"&amp;$E16,{index('Output_HALO - Nordics'!$A:$ZZ,0,$C$8),index('Output_HALO - Nordics'!$A:$ZZ,0,$C7)},2,0),iferror(vlookup(AI$12&amp;"-"&amp;$E19,{index('Output_HALO - Nordics'!$A:$ZZ,0,$C$8),index('Output_HALO - Nordics'!$A:$ZZ,0,$C7)},2,0),iferror(vlookup(AI$12&amp;"-"&amp;$E22,{index('Output_HALO - Nordics'!$A:$ZZ,0,$C$8),index('Output_HALO - Nordics'!$A:$ZZ,0,$C7)},2,0),iferror(vlookup(AI$12&amp;"-"&amp;$E25,{index('Output_HALO - Nordics'!$A:$ZZ,0,$C$8),index('Output_HALO - Nordics'!$A:$ZZ,0,$C7)},2,0),"")))))</f>
        <v/>
      </c>
      <c r="AJ9" s="349" t="str">
        <f t="array" ref="AJ9">iferror(vlookup(AJ$12&amp;"-"&amp;$E13,{index('Output_HALO - Nordics'!$A:$ZZ,0,$C$8),index('Output_HALO - Nordics'!$A:$ZZ,0,$C7)},2,0),iferror(vlookup(AJ$12&amp;"-"&amp;$E16,{index('Output_HALO - Nordics'!$A:$ZZ,0,$C$8),index('Output_HALO - Nordics'!$A:$ZZ,0,$C7)},2,0),iferror(vlookup(AJ$12&amp;"-"&amp;$E19,{index('Output_HALO - Nordics'!$A:$ZZ,0,$C$8),index('Output_HALO - Nordics'!$A:$ZZ,0,$C7)},2,0),iferror(vlookup(AJ$12&amp;"-"&amp;$E22,{index('Output_HALO - Nordics'!$A:$ZZ,0,$C$8),index('Output_HALO - Nordics'!$A:$ZZ,0,$C7)},2,0),iferror(vlookup(AJ$12&amp;"-"&amp;$E25,{index('Output_HALO - Nordics'!$A:$ZZ,0,$C$8),index('Output_HALO - Nordics'!$A:$ZZ,0,$C7)},2,0),"")))))</f>
        <v/>
      </c>
      <c r="AK9" s="349" t="str">
        <f t="array" ref="AK9">iferror(vlookup(AK$12&amp;"-"&amp;$E13,{index('Output_HALO - Nordics'!$A:$ZZ,0,$C$8),index('Output_HALO - Nordics'!$A:$ZZ,0,$C7)},2,0),iferror(vlookup(AK$12&amp;"-"&amp;$E16,{index('Output_HALO - Nordics'!$A:$ZZ,0,$C$8),index('Output_HALO - Nordics'!$A:$ZZ,0,$C7)},2,0),iferror(vlookup(AK$12&amp;"-"&amp;$E19,{index('Output_HALO - Nordics'!$A:$ZZ,0,$C$8),index('Output_HALO - Nordics'!$A:$ZZ,0,$C7)},2,0),iferror(vlookup(AK$12&amp;"-"&amp;$E22,{index('Output_HALO - Nordics'!$A:$ZZ,0,$C$8),index('Output_HALO - Nordics'!$A:$ZZ,0,$C7)},2,0),iferror(vlookup(AK$12&amp;"-"&amp;$E25,{index('Output_HALO - Nordics'!$A:$ZZ,0,$C$8),index('Output_HALO - Nordics'!$A:$ZZ,0,$C7)},2,0),"")))))</f>
        <v/>
      </c>
      <c r="AL9" s="349" t="str">
        <f t="array" ref="AL9">iferror(vlookup(AL$12&amp;"-"&amp;$E13,{index('Output_HALO - Nordics'!$A:$ZZ,0,$C$8),index('Output_HALO - Nordics'!$A:$ZZ,0,$C7)},2,0),iferror(vlookup(AL$12&amp;"-"&amp;$E16,{index('Output_HALO - Nordics'!$A:$ZZ,0,$C$8),index('Output_HALO - Nordics'!$A:$ZZ,0,$C7)},2,0),iferror(vlookup(AL$12&amp;"-"&amp;$E19,{index('Output_HALO - Nordics'!$A:$ZZ,0,$C$8),index('Output_HALO - Nordics'!$A:$ZZ,0,$C7)},2,0),iferror(vlookup(AL$12&amp;"-"&amp;$E22,{index('Output_HALO - Nordics'!$A:$ZZ,0,$C$8),index('Output_HALO - Nordics'!$A:$ZZ,0,$C7)},2,0),iferror(vlookup(AL$12&amp;"-"&amp;$E25,{index('Output_HALO - Nordics'!$A:$ZZ,0,$C$8),index('Output_HALO - Nordics'!$A:$ZZ,0,$C7)},2,0),"")))))</f>
        <v/>
      </c>
      <c r="AM9" s="349" t="str">
        <f t="array" ref="AM9">iferror(vlookup(AM$12&amp;"-"&amp;$E13,{index('Output_HALO - Nordics'!$A:$ZZ,0,$C$8),index('Output_HALO - Nordics'!$A:$ZZ,0,$C7)},2,0),iferror(vlookup(AM$12&amp;"-"&amp;$E16,{index('Output_HALO - Nordics'!$A:$ZZ,0,$C$8),index('Output_HALO - Nordics'!$A:$ZZ,0,$C7)},2,0),iferror(vlookup(AM$12&amp;"-"&amp;$E19,{index('Output_HALO - Nordics'!$A:$ZZ,0,$C$8),index('Output_HALO - Nordics'!$A:$ZZ,0,$C7)},2,0),iferror(vlookup(AM$12&amp;"-"&amp;$E22,{index('Output_HALO - Nordics'!$A:$ZZ,0,$C$8),index('Output_HALO - Nordics'!$A:$ZZ,0,$C7)},2,0),iferror(vlookup(AM$12&amp;"-"&amp;$E25,{index('Output_HALO - Nordics'!$A:$ZZ,0,$C$8),index('Output_HALO - Nordics'!$A:$ZZ,0,$C7)},2,0),"")))))</f>
        <v>Chilled</v>
      </c>
      <c r="AN9" s="349" t="str">
        <f t="array" ref="AN9">iferror(vlookup(AN$12&amp;"-"&amp;$E13,{index('Output_HALO - Nordics'!$A:$ZZ,0,$C$8),index('Output_HALO - Nordics'!$A:$ZZ,0,$C7)},2,0),iferror(vlookup(AN$12&amp;"-"&amp;$E16,{index('Output_HALO - Nordics'!$A:$ZZ,0,$C$8),index('Output_HALO - Nordics'!$A:$ZZ,0,$C7)},2,0),iferror(vlookup(AN$12&amp;"-"&amp;$E19,{index('Output_HALO - Nordics'!$A:$ZZ,0,$C$8),index('Output_HALO - Nordics'!$A:$ZZ,0,$C7)},2,0),iferror(vlookup(AN$12&amp;"-"&amp;$E22,{index('Output_HALO - Nordics'!$A:$ZZ,0,$C$8),index('Output_HALO - Nordics'!$A:$ZZ,0,$C7)},2,0),iferror(vlookup(AN$12&amp;"-"&amp;$E25,{index('Output_HALO - Nordics'!$A:$ZZ,0,$C$8),index('Output_HALO - Nordics'!$A:$ZZ,0,$C7)},2,0),"")))))</f>
        <v>Chilled</v>
      </c>
      <c r="AO9" s="349" t="str">
        <f t="array" ref="AO9">iferror(vlookup(AO$12&amp;"-"&amp;$E13,{index('Output_HALO - Nordics'!$A:$ZZ,0,$C$8),index('Output_HALO - Nordics'!$A:$ZZ,0,$C7)},2,0),iferror(vlookup(AO$12&amp;"-"&amp;$E16,{index('Output_HALO - Nordics'!$A:$ZZ,0,$C$8),index('Output_HALO - Nordics'!$A:$ZZ,0,$C7)},2,0),iferror(vlookup(AO$12&amp;"-"&amp;$E19,{index('Output_HALO - Nordics'!$A:$ZZ,0,$C$8),index('Output_HALO - Nordics'!$A:$ZZ,0,$C7)},2,0),iferror(vlookup(AO$12&amp;"-"&amp;$E22,{index('Output_HALO - Nordics'!$A:$ZZ,0,$C$8),index('Output_HALO - Nordics'!$A:$ZZ,0,$C7)},2,0),iferror(vlookup(AO$12&amp;"-"&amp;$E25,{index('Output_HALO - Nordics'!$A:$ZZ,0,$C$8),index('Output_HALO - Nordics'!$A:$ZZ,0,$C7)},2,0),"")))))</f>
        <v/>
      </c>
      <c r="AP9" s="349" t="str">
        <f t="array" ref="AP9">iferror(vlookup(AP$12&amp;"-"&amp;$E13,{index('Output_HALO - Nordics'!$A:$ZZ,0,$C$8),index('Output_HALO - Nordics'!$A:$ZZ,0,$C7)},2,0),iferror(vlookup(AP$12&amp;"-"&amp;$E16,{index('Output_HALO - Nordics'!$A:$ZZ,0,$C$8),index('Output_HALO - Nordics'!$A:$ZZ,0,$C7)},2,0),iferror(vlookup(AP$12&amp;"-"&amp;$E19,{index('Output_HALO - Nordics'!$A:$ZZ,0,$C$8),index('Output_HALO - Nordics'!$A:$ZZ,0,$C7)},2,0),iferror(vlookup(AP$12&amp;"-"&amp;$E22,{index('Output_HALO - Nordics'!$A:$ZZ,0,$C$8),index('Output_HALO - Nordics'!$A:$ZZ,0,$C7)},2,0),iferror(vlookup(AP$12&amp;"-"&amp;$E25,{index('Output_HALO - Nordics'!$A:$ZZ,0,$C$8),index('Output_HALO - Nordics'!$A:$ZZ,0,$C7)},2,0),"")))))</f>
        <v/>
      </c>
      <c r="AQ9" s="349" t="str">
        <f t="array" ref="AQ9">iferror(vlookup(AQ$12&amp;"-"&amp;$E13,{index('Output_HALO - Nordics'!$A:$ZZ,0,$C$8),index('Output_HALO - Nordics'!$A:$ZZ,0,$C7)},2,0),iferror(vlookup(AQ$12&amp;"-"&amp;$E16,{index('Output_HALO - Nordics'!$A:$ZZ,0,$C$8),index('Output_HALO - Nordics'!$A:$ZZ,0,$C7)},2,0),iferror(vlookup(AQ$12&amp;"-"&amp;$E19,{index('Output_HALO - Nordics'!$A:$ZZ,0,$C$8),index('Output_HALO - Nordics'!$A:$ZZ,0,$C7)},2,0),iferror(vlookup(AQ$12&amp;"-"&amp;$E22,{index('Output_HALO - Nordics'!$A:$ZZ,0,$C$8),index('Output_HALO - Nordics'!$A:$ZZ,0,$C7)},2,0),iferror(vlookup(AQ$12&amp;"-"&amp;$E25,{index('Output_HALO - Nordics'!$A:$ZZ,0,$C$8),index('Output_HALO - Nordics'!$A:$ZZ,0,$C7)},2,0),"")))))</f>
        <v/>
      </c>
      <c r="AR9" s="349" t="str">
        <f t="array" ref="AR9">iferror(vlookup(AR$12&amp;"-"&amp;$E13,{index('Output_HALO - Nordics'!$A:$ZZ,0,$C$8),index('Output_HALO - Nordics'!$A:$ZZ,0,$C7)},2,0),iferror(vlookup(AR$12&amp;"-"&amp;$E16,{index('Output_HALO - Nordics'!$A:$ZZ,0,$C$8),index('Output_HALO - Nordics'!$A:$ZZ,0,$C7)},2,0),iferror(vlookup(AR$12&amp;"-"&amp;$E19,{index('Output_HALO - Nordics'!$A:$ZZ,0,$C$8),index('Output_HALO - Nordics'!$A:$ZZ,0,$C7)},2,0),iferror(vlookup(AR$12&amp;"-"&amp;$E22,{index('Output_HALO - Nordics'!$A:$ZZ,0,$C$8),index('Output_HALO - Nordics'!$A:$ZZ,0,$C7)},2,0),iferror(vlookup(AR$12&amp;"-"&amp;$E25,{index('Output_HALO - Nordics'!$A:$ZZ,0,$C$8),index('Output_HALO - Nordics'!$A:$ZZ,0,$C7)},2,0),"")))))</f>
        <v/>
      </c>
      <c r="AS9" s="349" t="str">
        <f t="array" ref="AS9">iferror(vlookup(AS$12&amp;"-"&amp;$E13,{index('Output_HALO - Nordics'!$A:$ZZ,0,$C$8),index('Output_HALO - Nordics'!$A:$ZZ,0,$C7)},2,0),iferror(vlookup(AS$12&amp;"-"&amp;$E16,{index('Output_HALO - Nordics'!$A:$ZZ,0,$C$8),index('Output_HALO - Nordics'!$A:$ZZ,0,$C7)},2,0),iferror(vlookup(AS$12&amp;"-"&amp;$E19,{index('Output_HALO - Nordics'!$A:$ZZ,0,$C$8),index('Output_HALO - Nordics'!$A:$ZZ,0,$C7)},2,0),iferror(vlookup(AS$12&amp;"-"&amp;$E22,{index('Output_HALO - Nordics'!$A:$ZZ,0,$C$8),index('Output_HALO - Nordics'!$A:$ZZ,0,$C7)},2,0),iferror(vlookup(AS$12&amp;"-"&amp;$E25,{index('Output_HALO - Nordics'!$A:$ZZ,0,$C$8),index('Output_HALO - Nordics'!$A:$ZZ,0,$C7)},2,0),"")))))</f>
        <v/>
      </c>
      <c r="AT9" s="349" t="str">
        <f t="array" ref="AT9">iferror(vlookup(AT$12&amp;"-"&amp;$E13,{index('Output_HALO - Nordics'!$A:$ZZ,0,$C$8),index('Output_HALO - Nordics'!$A:$ZZ,0,$C7)},2,0),iferror(vlookup(AT$12&amp;"-"&amp;$E16,{index('Output_HALO - Nordics'!$A:$ZZ,0,$C$8),index('Output_HALO - Nordics'!$A:$ZZ,0,$C7)},2,0),iferror(vlookup(AT$12&amp;"-"&amp;$E19,{index('Output_HALO - Nordics'!$A:$ZZ,0,$C$8),index('Output_HALO - Nordics'!$A:$ZZ,0,$C7)},2,0),iferror(vlookup(AT$12&amp;"-"&amp;$E22,{index('Output_HALO - Nordics'!$A:$ZZ,0,$C$8),index('Output_HALO - Nordics'!$A:$ZZ,0,$C7)},2,0),iferror(vlookup(AT$12&amp;"-"&amp;$E25,{index('Output_HALO - Nordics'!$A:$ZZ,0,$C$8),index('Output_HALO - Nordics'!$A:$ZZ,0,$C7)},2,0),"")))))</f>
        <v>Chilled</v>
      </c>
      <c r="AU9" s="349" t="str">
        <f t="array" ref="AU9">iferror(vlookup(AU$12&amp;"-"&amp;$E13,{index('Output_HALO - Nordics'!$A:$ZZ,0,$C$8),index('Output_HALO - Nordics'!$A:$ZZ,0,$C7)},2,0),iferror(vlookup(AU$12&amp;"-"&amp;$E16,{index('Output_HALO - Nordics'!$A:$ZZ,0,$C$8),index('Output_HALO - Nordics'!$A:$ZZ,0,$C7)},2,0),iferror(vlookup(AU$12&amp;"-"&amp;$E19,{index('Output_HALO - Nordics'!$A:$ZZ,0,$C$8),index('Output_HALO - Nordics'!$A:$ZZ,0,$C7)},2,0),iferror(vlookup(AU$12&amp;"-"&amp;$E22,{index('Output_HALO - Nordics'!$A:$ZZ,0,$C$8),index('Output_HALO - Nordics'!$A:$ZZ,0,$C7)},2,0),iferror(vlookup(AU$12&amp;"-"&amp;$E25,{index('Output_HALO - Nordics'!$A:$ZZ,0,$C$8),index('Output_HALO - Nordics'!$A:$ZZ,0,$C7)},2,0),"")))))</f>
        <v>Chilled</v>
      </c>
      <c r="AV9" s="349" t="str">
        <f t="array" ref="AV9">iferror(vlookup(AV$12&amp;"-"&amp;$E13,{index('Output_HALO - Nordics'!$A:$ZZ,0,$C$8),index('Output_HALO - Nordics'!$A:$ZZ,0,$C7)},2,0),iferror(vlookup(AV$12&amp;"-"&amp;$E16,{index('Output_HALO - Nordics'!$A:$ZZ,0,$C$8),index('Output_HALO - Nordics'!$A:$ZZ,0,$C7)},2,0),iferror(vlookup(AV$12&amp;"-"&amp;$E19,{index('Output_HALO - Nordics'!$A:$ZZ,0,$C$8),index('Output_HALO - Nordics'!$A:$ZZ,0,$C7)},2,0),iferror(vlookup(AV$12&amp;"-"&amp;$E22,{index('Output_HALO - Nordics'!$A:$ZZ,0,$C$8),index('Output_HALO - Nordics'!$A:$ZZ,0,$C7)},2,0),iferror(vlookup(AV$12&amp;"-"&amp;$E25,{index('Output_HALO - Nordics'!$A:$ZZ,0,$C$8),index('Output_HALO - Nordics'!$A:$ZZ,0,$C7)},2,0),"")))))</f>
        <v>Chilled</v>
      </c>
      <c r="AW9" s="349" t="str">
        <f t="array" ref="AW9">iferror(vlookup(AW$12&amp;"-"&amp;$E13,{index('Output_HALO - Nordics'!$A:$ZZ,0,$C$8),index('Output_HALO - Nordics'!$A:$ZZ,0,$C7)},2,0),iferror(vlookup(AW$12&amp;"-"&amp;$E16,{index('Output_HALO - Nordics'!$A:$ZZ,0,$C$8),index('Output_HALO - Nordics'!$A:$ZZ,0,$C7)},2,0),iferror(vlookup(AW$12&amp;"-"&amp;$E19,{index('Output_HALO - Nordics'!$A:$ZZ,0,$C$8),index('Output_HALO - Nordics'!$A:$ZZ,0,$C7)},2,0),iferror(vlookup(AW$12&amp;"-"&amp;$E22,{index('Output_HALO - Nordics'!$A:$ZZ,0,$C$8),index('Output_HALO - Nordics'!$A:$ZZ,0,$C7)},2,0),iferror(vlookup(AW$12&amp;"-"&amp;$E25,{index('Output_HALO - Nordics'!$A:$ZZ,0,$C$8),index('Output_HALO - Nordics'!$A:$ZZ,0,$C7)},2,0),"")))))</f>
        <v/>
      </c>
      <c r="AX9" s="349" t="str">
        <f t="array" ref="AX9">iferror(vlookup(AX$12&amp;"-"&amp;$E13,{index('Output_HALO - Nordics'!$A:$ZZ,0,$C$8),index('Output_HALO - Nordics'!$A:$ZZ,0,$C7)},2,0),iferror(vlookup(AX$12&amp;"-"&amp;$E16,{index('Output_HALO - Nordics'!$A:$ZZ,0,$C$8),index('Output_HALO - Nordics'!$A:$ZZ,0,$C7)},2,0),iferror(vlookup(AX$12&amp;"-"&amp;$E19,{index('Output_HALO - Nordics'!$A:$ZZ,0,$C$8),index('Output_HALO - Nordics'!$A:$ZZ,0,$C7)},2,0),iferror(vlookup(AX$12&amp;"-"&amp;$E22,{index('Output_HALO - Nordics'!$A:$ZZ,0,$C$8),index('Output_HALO - Nordics'!$A:$ZZ,0,$C7)},2,0),iferror(vlookup(AX$12&amp;"-"&amp;$E25,{index('Output_HALO - Nordics'!$A:$ZZ,0,$C$8),index('Output_HALO - Nordics'!$A:$ZZ,0,$C7)},2,0),"")))))</f>
        <v/>
      </c>
      <c r="AY9" s="349" t="str">
        <f t="array" ref="AY9">iferror(vlookup(AY$12&amp;"-"&amp;$E13,{index('Output_HALO - Nordics'!$A:$ZZ,0,$C$8),index('Output_HALO - Nordics'!$A:$ZZ,0,$C7)},2,0),iferror(vlookup(AY$12&amp;"-"&amp;$E16,{index('Output_HALO - Nordics'!$A:$ZZ,0,$C$8),index('Output_HALO - Nordics'!$A:$ZZ,0,$C7)},2,0),iferror(vlookup(AY$12&amp;"-"&amp;$E19,{index('Output_HALO - Nordics'!$A:$ZZ,0,$C$8),index('Output_HALO - Nordics'!$A:$ZZ,0,$C7)},2,0),iferror(vlookup(AY$12&amp;"-"&amp;$E22,{index('Output_HALO - Nordics'!$A:$ZZ,0,$C$8),index('Output_HALO - Nordics'!$A:$ZZ,0,$C7)},2,0),iferror(vlookup(AY$12&amp;"-"&amp;$E25,{index('Output_HALO - Nordics'!$A:$ZZ,0,$C$8),index('Output_HALO - Nordics'!$A:$ZZ,0,$C7)},2,0),"")))))</f>
        <v/>
      </c>
      <c r="AZ9" s="349" t="str">
        <f t="array" ref="AZ9">iferror(vlookup(AZ$12&amp;"-"&amp;$E13,{index('Output_HALO - Nordics'!$A:$ZZ,0,$C$8),index('Output_HALO - Nordics'!$A:$ZZ,0,$C7)},2,0),iferror(vlookup(AZ$12&amp;"-"&amp;$E16,{index('Output_HALO - Nordics'!$A:$ZZ,0,$C$8),index('Output_HALO - Nordics'!$A:$ZZ,0,$C7)},2,0),iferror(vlookup(AZ$12&amp;"-"&amp;$E19,{index('Output_HALO - Nordics'!$A:$ZZ,0,$C$8),index('Output_HALO - Nordics'!$A:$ZZ,0,$C7)},2,0),iferror(vlookup(AZ$12&amp;"-"&amp;$E22,{index('Output_HALO - Nordics'!$A:$ZZ,0,$C$8),index('Output_HALO - Nordics'!$A:$ZZ,0,$C7)},2,0),iferror(vlookup(AZ$12&amp;"-"&amp;$E25,{index('Output_HALO - Nordics'!$A:$ZZ,0,$C$8),index('Output_HALO - Nordics'!$A:$ZZ,0,$C7)},2,0),"")))))</f>
        <v/>
      </c>
      <c r="BA9" s="349" t="str">
        <f t="array" ref="BA9">iferror(vlookup(BA$12&amp;"-"&amp;$E13,{index('Output_HALO - Nordics'!$A:$ZZ,0,$C$8),index('Output_HALO - Nordics'!$A:$ZZ,0,$C7)},2,0),iferror(vlookup(BA$12&amp;"-"&amp;$E16,{index('Output_HALO - Nordics'!$A:$ZZ,0,$C$8),index('Output_HALO - Nordics'!$A:$ZZ,0,$C7)},2,0),iferror(vlookup(BA$12&amp;"-"&amp;$E19,{index('Output_HALO - Nordics'!$A:$ZZ,0,$C$8),index('Output_HALO - Nordics'!$A:$ZZ,0,$C7)},2,0),iferror(vlookup(BA$12&amp;"-"&amp;$E22,{index('Output_HALO - Nordics'!$A:$ZZ,0,$C$8),index('Output_HALO - Nordics'!$A:$ZZ,0,$C7)},2,0),iferror(vlookup(BA$12&amp;"-"&amp;$E25,{index('Output_HALO - Nordics'!$A:$ZZ,0,$C$8),index('Output_HALO - Nordics'!$A:$ZZ,0,$C7)},2,0),"")))))</f>
        <v/>
      </c>
      <c r="BB9" s="349" t="str">
        <f t="array" ref="BB9">iferror(vlookup(BB$12&amp;"-"&amp;$E13,{index('Output_HALO - Nordics'!$A:$ZZ,0,$C$8),index('Output_HALO - Nordics'!$A:$ZZ,0,$C7)},2,0),iferror(vlookup(BB$12&amp;"-"&amp;$E16,{index('Output_HALO - Nordics'!$A:$ZZ,0,$C$8),index('Output_HALO - Nordics'!$A:$ZZ,0,$C7)},2,0),iferror(vlookup(BB$12&amp;"-"&amp;$E19,{index('Output_HALO - Nordics'!$A:$ZZ,0,$C$8),index('Output_HALO - Nordics'!$A:$ZZ,0,$C7)},2,0),iferror(vlookup(BB$12&amp;"-"&amp;$E22,{index('Output_HALO - Nordics'!$A:$ZZ,0,$C$8),index('Output_HALO - Nordics'!$A:$ZZ,0,$C7)},2,0),iferror(vlookup(BB$12&amp;"-"&amp;$E25,{index('Output_HALO - Nordics'!$A:$ZZ,0,$C$8),index('Output_HALO - Nordics'!$A:$ZZ,0,$C7)},2,0),"")))))</f>
        <v>Chilled</v>
      </c>
      <c r="BC9" s="358" t="str">
        <f t="array" ref="BC9">iferror(vlookup(BC$12&amp;"-"&amp;$E13,{index('Output_HALO - Nordics'!$A:$ZZ,0,$C$8),index('Output_HALO - Nordics'!$A:$ZZ,0,$C7)},2,0),iferror(vlookup(BC$12&amp;"-"&amp;$E16,{index('Output_HALO - Nordics'!$A:$ZZ,0,$C$8),index('Output_HALO - Nordics'!$A:$ZZ,0,$C7)},2,0),iferror(vlookup(BC$12&amp;"-"&amp;$E19,{index('Output_HALO - Nordics'!$A:$ZZ,0,$C$8),index('Output_HALO - Nordics'!$A:$ZZ,0,$C7)},2,0),iferror(vlookup(BC$12&amp;"-"&amp;$E22,{index('Output_HALO - Nordics'!$A:$ZZ,0,$C$8),index('Output_HALO - Nordics'!$A:$ZZ,0,$C7)},2,0),iferror(vlookup(BC$12&amp;"-"&amp;$E25,{index('Output_HALO - Nordics'!$A:$ZZ,0,$C$8),index('Output_HALO - Nordics'!$A:$ZZ,0,$C7)},2,0),"")))))</f>
        <v>Chilled</v>
      </c>
      <c r="BD9" s="349" t="str">
        <f t="array" ref="BD9">iferror(vlookup(BD$12&amp;"-"&amp;$E13,{index('Output_HALO - Nordics'!$A:$ZZ,0,$C$8),index('Output_HALO - Nordics'!$A:$ZZ,0,$C7)},2,0),iferror(vlookup(BD$12&amp;"-"&amp;$E16,{index('Output_HALO - Nordics'!$A:$ZZ,0,$C$8),index('Output_HALO - Nordics'!$A:$ZZ,0,$C7)},2,0),iferror(vlookup(BD$12&amp;"-"&amp;$E19,{index('Output_HALO - Nordics'!$A:$ZZ,0,$C$8),index('Output_HALO - Nordics'!$A:$ZZ,0,$C7)},2,0),iferror(vlookup(BD$12&amp;"-"&amp;$E22,{index('Output_HALO - Nordics'!$A:$ZZ,0,$C$8),index('Output_HALO - Nordics'!$A:$ZZ,0,$C7)},2,0),iferror(vlookup(BD$12&amp;"-"&amp;$E25,{index('Output_HALO - Nordics'!$A:$ZZ,0,$C$8),index('Output_HALO - Nordics'!$A:$ZZ,0,$C7)},2,0),"")))))</f>
        <v>Chilled</v>
      </c>
      <c r="BE9" s="349" t="str">
        <f t="array" ref="BE9">iferror(vlookup(BE$12&amp;"-"&amp;$E13,{index('Output_HALO - Nordics'!$A:$ZZ,0,$C$8),index('Output_HALO - Nordics'!$A:$ZZ,0,$C7)},2,0),iferror(vlookup(BE$12&amp;"-"&amp;$E16,{index('Output_HALO - Nordics'!$A:$ZZ,0,$C$8),index('Output_HALO - Nordics'!$A:$ZZ,0,$C7)},2,0),iferror(vlookup(BE$12&amp;"-"&amp;$E19,{index('Output_HALO - Nordics'!$A:$ZZ,0,$C$8),index('Output_HALO - Nordics'!$A:$ZZ,0,$C7)},2,0),iferror(vlookup(BE$12&amp;"-"&amp;$E22,{index('Output_HALO - Nordics'!$A:$ZZ,0,$C$8),index('Output_HALO - Nordics'!$A:$ZZ,0,$C7)},2,0),iferror(vlookup(BE$12&amp;"-"&amp;$E25,{index('Output_HALO - Nordics'!$A:$ZZ,0,$C$8),index('Output_HALO - Nordics'!$A:$ZZ,0,$C7)},2,0),"")))))</f>
        <v>Chilled</v>
      </c>
      <c r="BF9" s="349" t="str">
        <f t="array" ref="BF9">iferror(vlookup(BF$12&amp;"-"&amp;$E13,{index('Output_HALO - Nordics'!$A:$ZZ,0,$C$8),index('Output_HALO - Nordics'!$A:$ZZ,0,$C7)},2,0),iferror(vlookup(BF$12&amp;"-"&amp;$E16,{index('Output_HALO - Nordics'!$A:$ZZ,0,$C$8),index('Output_HALO - Nordics'!$A:$ZZ,0,$C7)},2,0),iferror(vlookup(BF$12&amp;"-"&amp;$E19,{index('Output_HALO - Nordics'!$A:$ZZ,0,$C$8),index('Output_HALO - Nordics'!$A:$ZZ,0,$C7)},2,0),iferror(vlookup(BF$12&amp;"-"&amp;$E22,{index('Output_HALO - Nordics'!$A:$ZZ,0,$C$8),index('Output_HALO - Nordics'!$A:$ZZ,0,$C7)},2,0),iferror(vlookup(BF$12&amp;"-"&amp;$E25,{index('Output_HALO - Nordics'!$A:$ZZ,0,$C$8),index('Output_HALO - Nordics'!$A:$ZZ,0,$C7)},2,0),"")))))</f>
        <v/>
      </c>
      <c r="BG9" s="349" t="str">
        <f t="array" ref="BG9">iferror(vlookup(BG$12&amp;"-"&amp;$E13,{index('Output_HALO - Nordics'!$A:$ZZ,0,$C$8),index('Output_HALO - Nordics'!$A:$ZZ,0,$C7)},2,0),iferror(vlookup(BG$12&amp;"-"&amp;$E16,{index('Output_HALO - Nordics'!$A:$ZZ,0,$C$8),index('Output_HALO - Nordics'!$A:$ZZ,0,$C7)},2,0),iferror(vlookup(BG$12&amp;"-"&amp;$E19,{index('Output_HALO - Nordics'!$A:$ZZ,0,$C$8),index('Output_HALO - Nordics'!$A:$ZZ,0,$C7)},2,0),iferror(vlookup(BG$12&amp;"-"&amp;$E22,{index('Output_HALO - Nordics'!$A:$ZZ,0,$C$8),index('Output_HALO - Nordics'!$A:$ZZ,0,$C7)},2,0),iferror(vlookup(BG$12&amp;"-"&amp;$E25,{index('Output_HALO - Nordics'!$A:$ZZ,0,$C$8),index('Output_HALO - Nordics'!$A:$ZZ,0,$C7)},2,0),"")))))</f>
        <v/>
      </c>
      <c r="BH9" s="349" t="str">
        <f t="array" ref="BH9">iferror(vlookup(BH$12&amp;"-"&amp;$E13,{index('Output_HALO - Nordics'!$A:$ZZ,0,$C$8),index('Output_HALO - Nordics'!$A:$ZZ,0,$C7)},2,0),iferror(vlookup(BH$12&amp;"-"&amp;$E16,{index('Output_HALO - Nordics'!$A:$ZZ,0,$C$8),index('Output_HALO - Nordics'!$A:$ZZ,0,$C7)},2,0),iferror(vlookup(BH$12&amp;"-"&amp;$E19,{index('Output_HALO - Nordics'!$A:$ZZ,0,$C$8),index('Output_HALO - Nordics'!$A:$ZZ,0,$C7)},2,0),iferror(vlookup(BH$12&amp;"-"&amp;$E22,{index('Output_HALO - Nordics'!$A:$ZZ,0,$C$8),index('Output_HALO - Nordics'!$A:$ZZ,0,$C7)},2,0),iferror(vlookup(BH$12&amp;"-"&amp;$E25,{index('Output_HALO - Nordics'!$A:$ZZ,0,$C$8),index('Output_HALO - Nordics'!$A:$ZZ,0,$C7)},2,0),"")))))</f>
        <v/>
      </c>
      <c r="BI9" s="349" t="str">
        <f t="array" ref="BI9">iferror(vlookup(BI$12&amp;"-"&amp;$E13,{index('Output_HALO - Nordics'!$A:$ZZ,0,$C$8),index('Output_HALO - Nordics'!$A:$ZZ,0,$C7)},2,0),iferror(vlookup(BI$12&amp;"-"&amp;$E16,{index('Output_HALO - Nordics'!$A:$ZZ,0,$C$8),index('Output_HALO - Nordics'!$A:$ZZ,0,$C7)},2,0),iferror(vlookup(BI$12&amp;"-"&amp;$E19,{index('Output_HALO - Nordics'!$A:$ZZ,0,$C$8),index('Output_HALO - Nordics'!$A:$ZZ,0,$C7)},2,0),iferror(vlookup(BI$12&amp;"-"&amp;$E22,{index('Output_HALO - Nordics'!$A:$ZZ,0,$C$8),index('Output_HALO - Nordics'!$A:$ZZ,0,$C7)},2,0),iferror(vlookup(BI$12&amp;"-"&amp;$E25,{index('Output_HALO - Nordics'!$A:$ZZ,0,$C$8),index('Output_HALO - Nordics'!$A:$ZZ,0,$C7)},2,0),"")))))</f>
        <v/>
      </c>
      <c r="BJ9" s="349" t="str">
        <f t="array" ref="BJ9">iferror(vlookup(BJ$12&amp;"-"&amp;$E13,{index('Output_HALO - Nordics'!$A:$ZZ,0,$C$8),index('Output_HALO - Nordics'!$A:$ZZ,0,$C7)},2,0),iferror(vlookup(BJ$12&amp;"-"&amp;$E16,{index('Output_HALO - Nordics'!$A:$ZZ,0,$C$8),index('Output_HALO - Nordics'!$A:$ZZ,0,$C7)},2,0),iferror(vlookup(BJ$12&amp;"-"&amp;$E19,{index('Output_HALO - Nordics'!$A:$ZZ,0,$C$8),index('Output_HALO - Nordics'!$A:$ZZ,0,$C7)},2,0),iferror(vlookup(BJ$12&amp;"-"&amp;$E22,{index('Output_HALO - Nordics'!$A:$ZZ,0,$C$8),index('Output_HALO - Nordics'!$A:$ZZ,0,$C7)},2,0),iferror(vlookup(BJ$12&amp;"-"&amp;$E25,{index('Output_HALO - Nordics'!$A:$ZZ,0,$C$8),index('Output_HALO - Nordics'!$A:$ZZ,0,$C7)},2,0),"")))))</f>
        <v>Chilled</v>
      </c>
      <c r="BK9" s="349" t="str">
        <f t="array" ref="BK9">iferror(vlookup(BK$12&amp;"-"&amp;$E13,{index('Output_HALO - Nordics'!$A:$ZZ,0,$C$8),index('Output_HALO - Nordics'!$A:$ZZ,0,$C7)},2,0),iferror(vlookup(BK$12&amp;"-"&amp;$E16,{index('Output_HALO - Nordics'!$A:$ZZ,0,$C$8),index('Output_HALO - Nordics'!$A:$ZZ,0,$C7)},2,0),iferror(vlookup(BK$12&amp;"-"&amp;$E19,{index('Output_HALO - Nordics'!$A:$ZZ,0,$C$8),index('Output_HALO - Nordics'!$A:$ZZ,0,$C7)},2,0),iferror(vlookup(BK$12&amp;"-"&amp;$E22,{index('Output_HALO - Nordics'!$A:$ZZ,0,$C$8),index('Output_HALO - Nordics'!$A:$ZZ,0,$C7)},2,0),iferror(vlookup(BK$12&amp;"-"&amp;$E25,{index('Output_HALO - Nordics'!$A:$ZZ,0,$C$8),index('Output_HALO - Nordics'!$A:$ZZ,0,$C7)},2,0),"")))))</f>
        <v/>
      </c>
      <c r="BL9" s="349" t="str">
        <f t="array" ref="BL9">iferror(vlookup(BL$12&amp;"-"&amp;$E13,{index('Output_HALO - Nordics'!$A:$ZZ,0,$C$8),index('Output_HALO - Nordics'!$A:$ZZ,0,$C7)},2,0),iferror(vlookup(BL$12&amp;"-"&amp;$E16,{index('Output_HALO - Nordics'!$A:$ZZ,0,$C$8),index('Output_HALO - Nordics'!$A:$ZZ,0,$C7)},2,0),iferror(vlookup(BL$12&amp;"-"&amp;$E19,{index('Output_HALO - Nordics'!$A:$ZZ,0,$C$8),index('Output_HALO - Nordics'!$A:$ZZ,0,$C7)},2,0),iferror(vlookup(BL$12&amp;"-"&amp;$E22,{index('Output_HALO - Nordics'!$A:$ZZ,0,$C$8),index('Output_HALO - Nordics'!$A:$ZZ,0,$C7)},2,0),iferror(vlookup(BL$12&amp;"-"&amp;$E25,{index('Output_HALO - Nordics'!$A:$ZZ,0,$C$8),index('Output_HALO - Nordics'!$A:$ZZ,0,$C7)},2,0),"")))))</f>
        <v/>
      </c>
      <c r="BM9" s="349" t="str">
        <f t="array" ref="BM9">iferror(vlookup(BM$12&amp;"-"&amp;$E13,{index('Output_HALO - Nordics'!$A:$ZZ,0,$C$8),index('Output_HALO - Nordics'!$A:$ZZ,0,$C7)},2,0),iferror(vlookup(BM$12&amp;"-"&amp;$E16,{index('Output_HALO - Nordics'!$A:$ZZ,0,$C$8),index('Output_HALO - Nordics'!$A:$ZZ,0,$C7)},2,0),iferror(vlookup(BM$12&amp;"-"&amp;$E19,{index('Output_HALO - Nordics'!$A:$ZZ,0,$C$8),index('Output_HALO - Nordics'!$A:$ZZ,0,$C7)},2,0),iferror(vlookup(BM$12&amp;"-"&amp;$E22,{index('Output_HALO - Nordics'!$A:$ZZ,0,$C$8),index('Output_HALO - Nordics'!$A:$ZZ,0,$C7)},2,0),iferror(vlookup(BM$12&amp;"-"&amp;$E25,{index('Output_HALO - Nordics'!$A:$ZZ,0,$C$8),index('Output_HALO - Nordics'!$A:$ZZ,0,$C7)},2,0),"")))))</f>
        <v/>
      </c>
      <c r="BN9" s="349" t="str">
        <f t="array" ref="BN9">iferror(vlookup(BN$12&amp;"-"&amp;$E13,{index('Output_HALO - Nordics'!$A:$ZZ,0,$C$8),index('Output_HALO - Nordics'!$A:$ZZ,0,$C7)},2,0),iferror(vlookup(BN$12&amp;"-"&amp;$E16,{index('Output_HALO - Nordics'!$A:$ZZ,0,$C$8),index('Output_HALO - Nordics'!$A:$ZZ,0,$C7)},2,0),iferror(vlookup(BN$12&amp;"-"&amp;$E19,{index('Output_HALO - Nordics'!$A:$ZZ,0,$C$8),index('Output_HALO - Nordics'!$A:$ZZ,0,$C7)},2,0),iferror(vlookup(BN$12&amp;"-"&amp;$E22,{index('Output_HALO - Nordics'!$A:$ZZ,0,$C$8),index('Output_HALO - Nordics'!$A:$ZZ,0,$C7)},2,0),iferror(vlookup(BN$12&amp;"-"&amp;$E25,{index('Output_HALO - Nordics'!$A:$ZZ,0,$C$8),index('Output_HALO - Nordics'!$A:$ZZ,0,$C7)},2,0),"")))))</f>
        <v/>
      </c>
      <c r="BO9" s="349" t="str">
        <f t="array" ref="BO9">iferror(vlookup(BO$12&amp;"-"&amp;$E13,{index('Output_HALO - Nordics'!$A:$ZZ,0,$C$8),index('Output_HALO - Nordics'!$A:$ZZ,0,$C7)},2,0),iferror(vlookup(BO$12&amp;"-"&amp;$E16,{index('Output_HALO - Nordics'!$A:$ZZ,0,$C$8),index('Output_HALO - Nordics'!$A:$ZZ,0,$C7)},2,0),iferror(vlookup(BO$12&amp;"-"&amp;$E19,{index('Output_HALO - Nordics'!$A:$ZZ,0,$C$8),index('Output_HALO - Nordics'!$A:$ZZ,0,$C7)},2,0),iferror(vlookup(BO$12&amp;"-"&amp;$E22,{index('Output_HALO - Nordics'!$A:$ZZ,0,$C$8),index('Output_HALO - Nordics'!$A:$ZZ,0,$C7)},2,0),iferror(vlookup(BO$12&amp;"-"&amp;$E25,{index('Output_HALO - Nordics'!$A:$ZZ,0,$C$8),index('Output_HALO - Nordics'!$A:$ZZ,0,$C7)},2,0),"")))))</f>
        <v/>
      </c>
      <c r="BP9" s="349" t="str">
        <f t="array" ref="BP9">iferror(vlookup(BP$12&amp;"-"&amp;$E13,{index('Output_HALO - Nordics'!$A:$ZZ,0,$C$8),index('Output_HALO - Nordics'!$A:$ZZ,0,$C7)},2,0),iferror(vlookup(BP$12&amp;"-"&amp;$E16,{index('Output_HALO - Nordics'!$A:$ZZ,0,$C$8),index('Output_HALO - Nordics'!$A:$ZZ,0,$C7)},2,0),iferror(vlookup(BP$12&amp;"-"&amp;$E19,{index('Output_HALO - Nordics'!$A:$ZZ,0,$C$8),index('Output_HALO - Nordics'!$A:$ZZ,0,$C7)},2,0),iferror(vlookup(BP$12&amp;"-"&amp;$E22,{index('Output_HALO - Nordics'!$A:$ZZ,0,$C$8),index('Output_HALO - Nordics'!$A:$ZZ,0,$C7)},2,0),iferror(vlookup(BP$12&amp;"-"&amp;$E25,{index('Output_HALO - Nordics'!$A:$ZZ,0,$C$8),index('Output_HALO - Nordics'!$A:$ZZ,0,$C7)},2,0),"")))))</f>
        <v/>
      </c>
      <c r="BQ9" s="349" t="str">
        <f t="array" ref="BQ9">iferror(vlookup(BQ$12&amp;"-"&amp;$E13,{index('Output_HALO - Nordics'!$A:$ZZ,0,$C$8),index('Output_HALO - Nordics'!$A:$ZZ,0,$C7)},2,0),iferror(vlookup(BQ$12&amp;"-"&amp;$E16,{index('Output_HALO - Nordics'!$A:$ZZ,0,$C$8),index('Output_HALO - Nordics'!$A:$ZZ,0,$C7)},2,0),iferror(vlookup(BQ$12&amp;"-"&amp;$E19,{index('Output_HALO - Nordics'!$A:$ZZ,0,$C$8),index('Output_HALO - Nordics'!$A:$ZZ,0,$C7)},2,0),iferror(vlookup(BQ$12&amp;"-"&amp;$E22,{index('Output_HALO - Nordics'!$A:$ZZ,0,$C$8),index('Output_HALO - Nordics'!$A:$ZZ,0,$C7)},2,0),iferror(vlookup(BQ$12&amp;"-"&amp;$E25,{index('Output_HALO - Nordics'!$A:$ZZ,0,$C$8),index('Output_HALO - Nordics'!$A:$ZZ,0,$C7)},2,0),"")))))</f>
        <v/>
      </c>
    </row>
    <row r="10">
      <c r="A10" s="118"/>
      <c r="E10" s="348" t="str">
        <f>"PICKS (" &amp; round(average(F10:BQ10)/max(F10:BQ10),2)*100 &amp; "%)"</f>
        <v>PICKS (73%)</v>
      </c>
      <c r="F10" s="350" t="str">
        <f t="array" ref="F10">if(AND(F11&lt;&gt;"",F11&lt;&gt;G11), sumifs(index('Output_HALO - Nordics'!1:100000,0,$C$4),index('Output_HALO - Nordics'!1:100000,0,$C$6),F11),"")</f>
        <v/>
      </c>
      <c r="G10" s="350" t="str">
        <f t="array" ref="G10">if(AND(G11&lt;&gt;"",G11&lt;&gt;H11), sumifs(index('Output_HALO - Nordics'!1:100000,0,$C$4),index('Output_HALO - Nordics'!1:100000,0,$C$6),G11),"")</f>
        <v/>
      </c>
      <c r="H10" s="350" t="str">
        <f t="array" ref="H10">if(AND(H11&lt;&gt;"",H11&lt;&gt;I11), sumifs(index('Output_HALO - Nordics'!1:100000,0,$C$4),index('Output_HALO - Nordics'!1:100000,0,$C$6),H11),"")</f>
        <v/>
      </c>
      <c r="I10" s="350" t="str">
        <f t="array" ref="I10">if(AND(I11&lt;&gt;"",I11&lt;&gt;J11), sumifs(index('Output_HALO - Nordics'!1:100000,0,$C$4),index('Output_HALO - Nordics'!1:100000,0,$C$6),I11),"")</f>
        <v/>
      </c>
      <c r="J10" s="350">
        <f t="array" ref="J10">if(AND(J11&lt;&gt;"",J11&lt;&gt;K11), sumifs(index('Output_HALO - Nordics'!1:100000,0,$C$4),index('Output_HALO - Nordics'!1:100000,0,$C$6),J11),"")</f>
        <v>0</v>
      </c>
      <c r="K10" s="350" t="str">
        <f t="array" ref="K10">if(AND(K11&lt;&gt;"",K11&lt;&gt;L11), sumifs(index('Output_HALO - Nordics'!1:100000,0,$C$4),index('Output_HALO - Nordics'!1:100000,0,$C$6),K11),"")</f>
        <v/>
      </c>
      <c r="L10" s="350" t="str">
        <f t="array" ref="L10">if(AND(L11&lt;&gt;"",L11&lt;&gt;M11), sumifs(index('Output_HALO - Nordics'!1:100000,0,$C$4),index('Output_HALO - Nordics'!1:100000,0,$C$6),L11),"")</f>
        <v/>
      </c>
      <c r="M10" s="350" t="str">
        <f t="array" ref="M10">if(AND(M11&lt;&gt;"",M11&lt;&gt;N11), sumifs(index('Output_HALO - Nordics'!1:100000,0,$C$4),index('Output_HALO - Nordics'!1:100000,0,$C$6),M11),"")</f>
        <v/>
      </c>
      <c r="N10" s="350" t="str">
        <f t="array" ref="N10">if(AND(N11&lt;&gt;"",N11&lt;&gt;O11), sumifs(index('Output_HALO - Nordics'!1:100000,0,$C$4),index('Output_HALO - Nordics'!1:100000,0,$C$6),N11),"")</f>
        <v/>
      </c>
      <c r="O10" s="350" t="str">
        <f t="array" ref="O10">if(AND(O11&lt;&gt;"",O11&lt;&gt;P11), sumifs(index('Output_HALO - Nordics'!1:100000,0,$C$4),index('Output_HALO - Nordics'!1:100000,0,$C$6),O11),"")</f>
        <v/>
      </c>
      <c r="P10" s="350" t="str">
        <f t="array" ref="P10">if(AND(P11&lt;&gt;"",P11&lt;&gt;Q11), sumifs(index('Output_HALO - Nordics'!1:100000,0,$C$4),index('Output_HALO - Nordics'!1:100000,0,$C$6),P11),"")</f>
        <v/>
      </c>
      <c r="Q10" s="350" t="str">
        <f t="array" ref="Q10">if(AND(Q11&lt;&gt;"",Q11&lt;&gt;R11), sumifs(index('Output_HALO - Nordics'!1:100000,0,$C$4),index('Output_HALO - Nordics'!1:100000,0,$C$6),Q11),"")</f>
        <v/>
      </c>
      <c r="R10" s="350" t="str">
        <f t="array" ref="R10">if(AND(R11&lt;&gt;"",R11&lt;&gt;S11), sumifs(index('Output_HALO - Nordics'!1:100000,0,$C$4),index('Output_HALO - Nordics'!1:100000,0,$C$6),R11),"")</f>
        <v/>
      </c>
      <c r="S10" s="350">
        <f t="array" ref="S10">if(AND(S11&lt;&gt;"",S11&lt;&gt;T11), sumifs(index('Output_HALO - Nordics'!1:100000,0,$C$4),index('Output_HALO - Nordics'!1:100000,0,$C$6),S11),"")</f>
        <v>3692</v>
      </c>
      <c r="T10" s="350" t="str">
        <f t="array" ref="T10">if(AND(T11&lt;&gt;"",T11&lt;&gt;U11), sumifs(index('Output_HALO - Nordics'!1:100000,0,$C$4),index('Output_HALO - Nordics'!1:100000,0,$C$6),T11),"")</f>
        <v/>
      </c>
      <c r="U10" s="350" t="str">
        <f t="array" ref="U10">if(AND(U11&lt;&gt;"",U11&lt;&gt;V11), sumifs(index('Output_HALO - Nordics'!1:100000,0,$C$4),index('Output_HALO - Nordics'!1:100000,0,$C$6),U11),"")</f>
        <v/>
      </c>
      <c r="V10" s="350" t="str">
        <f t="array" ref="V10">if(AND(V11&lt;&gt;"",V11&lt;&gt;W11), sumifs(index('Output_HALO - Nordics'!1:100000,0,$C$4),index('Output_HALO - Nordics'!1:100000,0,$C$6),V11),"")</f>
        <v/>
      </c>
      <c r="W10" s="350" t="str">
        <f t="array" ref="W10">if(AND(W11&lt;&gt;"",W11&lt;&gt;X11), sumifs(index('Output_HALO - Nordics'!1:100000,0,$C$4),index('Output_HALO - Nordics'!1:100000,0,$C$6),W11),"")</f>
        <v/>
      </c>
      <c r="X10" s="350" t="str">
        <f t="array" ref="X10">if(AND(X11&lt;&gt;"",X11&lt;&gt;Y11), sumifs(index('Output_HALO - Nordics'!1:100000,0,$C$4),index('Output_HALO - Nordics'!1:100000,0,$C$6),X11),"")</f>
        <v/>
      </c>
      <c r="Y10" s="350">
        <f t="array" ref="Y10">if(AND(Y11&lt;&gt;"",Y11&lt;&gt;Z11), sumifs(index('Output_HALO - Nordics'!1:100000,0,$C$4),index('Output_HALO - Nordics'!1:100000,0,$C$6),Y11),"")</f>
        <v>3739</v>
      </c>
      <c r="Z10" s="350" t="str">
        <f t="array" ref="Z10">if(AND(Z11&lt;&gt;"",Z11&lt;&gt;AA11), sumifs(index('Output_HALO - Nordics'!1:100000,0,$C$4),index('Output_HALO - Nordics'!1:100000,0,$C$6),Z11),"")</f>
        <v/>
      </c>
      <c r="AA10" s="350" t="str">
        <f t="array" ref="AA10">if(AND(AA11&lt;&gt;"",AA11&lt;&gt;AB11), sumifs(index('Output_HALO - Nordics'!1:100000,0,$C$4),index('Output_HALO - Nordics'!1:100000,0,$C$6),AA11),"")</f>
        <v/>
      </c>
      <c r="AB10" s="350" t="str">
        <f t="array" ref="AB10">if(AND(AB11&lt;&gt;"",AB11&lt;&gt;AC11), sumifs(index('Output_HALO - Nordics'!1:100000,0,$C$4),index('Output_HALO - Nordics'!1:100000,0,$C$6),AB11),"")</f>
        <v/>
      </c>
      <c r="AC10" s="350" t="str">
        <f t="array" ref="AC10">if(AND(AC11&lt;&gt;"",AC11&lt;&gt;AD11), sumifs(index('Output_HALO - Nordics'!1:100000,0,$C$4),index('Output_HALO - Nordics'!1:100000,0,$C$6),AC11),"")</f>
        <v/>
      </c>
      <c r="AD10" s="350" t="str">
        <f t="array" ref="AD10">if(AND(AD11&lt;&gt;"",AD11&lt;&gt;AE11), sumifs(index('Output_HALO - Nordics'!1:100000,0,$C$4),index('Output_HALO - Nordics'!1:100000,0,$C$6),AD11),"")</f>
        <v/>
      </c>
      <c r="AE10" s="350" t="str">
        <f t="array" ref="AE10">if(AND(AE11&lt;&gt;"",AE11&lt;&gt;AF11), sumifs(index('Output_HALO - Nordics'!1:100000,0,$C$4),index('Output_HALO - Nordics'!1:100000,0,$C$6),AE11),"")</f>
        <v/>
      </c>
      <c r="AF10" s="350" t="str">
        <f t="array" ref="AF10">if(AND(AF11&lt;&gt;"",AF11&lt;&gt;AG11), sumifs(index('Output_HALO - Nordics'!1:100000,0,$C$4),index('Output_HALO - Nordics'!1:100000,0,$C$6),AF11),"")</f>
        <v/>
      </c>
      <c r="AG10" s="350" t="str">
        <f t="array" ref="AG10">if(AND(AG11&lt;&gt;"",AG11&lt;&gt;AH11), sumifs(index('Output_HALO - Nordics'!1:100000,0,$C$4),index('Output_HALO - Nordics'!1:100000,0,$C$6),AG11),"")</f>
        <v/>
      </c>
      <c r="AH10" s="350">
        <f t="array" ref="AH10">if(AND(AH11&lt;&gt;"",AH11&lt;&gt;AI11), sumifs(index('Output_HALO - Nordics'!1:100000,0,$C$4),index('Output_HALO - Nordics'!1:100000,0,$C$6),AH11),"")</f>
        <v>3769</v>
      </c>
      <c r="AI10" s="350" t="str">
        <f t="array" ref="AI10">if(AND(AI11&lt;&gt;"",AI11&lt;&gt;AJ11), sumifs(index('Output_HALO - Nordics'!1:100000,0,$C$4),index('Output_HALO - Nordics'!1:100000,0,$C$6),AI11),"")</f>
        <v/>
      </c>
      <c r="AJ10" s="350" t="str">
        <f t="array" ref="AJ10">if(AND(AJ11&lt;&gt;"",AJ11&lt;&gt;AK11), sumifs(index('Output_HALO - Nordics'!1:100000,0,$C$4),index('Output_HALO - Nordics'!1:100000,0,$C$6),AJ11),"")</f>
        <v/>
      </c>
      <c r="AK10" s="350" t="str">
        <f t="array" ref="AK10">if(AND(AK11&lt;&gt;"",AK11&lt;&gt;AL11), sumifs(index('Output_HALO - Nordics'!1:100000,0,$C$4),index('Output_HALO - Nordics'!1:100000,0,$C$6),AK11),"")</f>
        <v/>
      </c>
      <c r="AL10" s="350" t="str">
        <f t="array" ref="AL10">if(AND(AL11&lt;&gt;"",AL11&lt;&gt;AM11), sumifs(index('Output_HALO - Nordics'!1:100000,0,$C$4),index('Output_HALO - Nordics'!1:100000,0,$C$6),AL11),"")</f>
        <v/>
      </c>
      <c r="AM10" s="350" t="str">
        <f t="array" ref="AM10">if(AND(AM11&lt;&gt;"",AM11&lt;&gt;AN11), sumifs(index('Output_HALO - Nordics'!1:100000,0,$C$4),index('Output_HALO - Nordics'!1:100000,0,$C$6),AM11),"")</f>
        <v/>
      </c>
      <c r="AN10" s="350">
        <f t="array" ref="AN10">if(AND(AN11&lt;&gt;"",AN11&lt;&gt;AO11), sumifs(index('Output_HALO - Nordics'!1:100000,0,$C$4),index('Output_HALO - Nordics'!1:100000,0,$C$6),AN11),"")</f>
        <v>3415</v>
      </c>
      <c r="AO10" s="350" t="str">
        <f t="array" ref="AO10">if(AND(AO11&lt;&gt;"",AO11&lt;&gt;AP11), sumifs(index('Output_HALO - Nordics'!1:100000,0,$C$4),index('Output_HALO - Nordics'!1:100000,0,$C$6),AO11),"")</f>
        <v/>
      </c>
      <c r="AP10" s="350" t="str">
        <f t="array" ref="AP10">if(AND(AP11&lt;&gt;"",AP11&lt;&gt;AQ11), sumifs(index('Output_HALO - Nordics'!1:100000,0,$C$4),index('Output_HALO - Nordics'!1:100000,0,$C$6),AP11),"")</f>
        <v/>
      </c>
      <c r="AQ10" s="350" t="str">
        <f t="array" ref="AQ10">if(AND(AQ11&lt;&gt;"",AQ11&lt;&gt;AR11), sumifs(index('Output_HALO - Nordics'!1:100000,0,$C$4),index('Output_HALO - Nordics'!1:100000,0,$C$6),AQ11),"")</f>
        <v/>
      </c>
      <c r="AR10" s="350" t="str">
        <f t="array" ref="AR10">if(AND(AR11&lt;&gt;"",AR11&lt;&gt;AS11), sumifs(index('Output_HALO - Nordics'!1:100000,0,$C$4),index('Output_HALO - Nordics'!1:100000,0,$C$6),AR11),"")</f>
        <v/>
      </c>
      <c r="AS10" s="350" t="str">
        <f t="array" ref="AS10">if(AND(AS11&lt;&gt;"",AS11&lt;&gt;AT11), sumifs(index('Output_HALO - Nordics'!1:100000,0,$C$4),index('Output_HALO - Nordics'!1:100000,0,$C$6),AS11),"")</f>
        <v/>
      </c>
      <c r="AT10" s="350" t="str">
        <f t="array" ref="AT10">if(AND(AT11&lt;&gt;"",AT11&lt;&gt;AU11), sumifs(index('Output_HALO - Nordics'!1:100000,0,$C$4),index('Output_HALO - Nordics'!1:100000,0,$C$6),AT11),"")</f>
        <v/>
      </c>
      <c r="AU10" s="350" t="str">
        <f t="array" ref="AU10">if(AND(AU11&lt;&gt;"",AU11&lt;&gt;AV11), sumifs(index('Output_HALO - Nordics'!1:100000,0,$C$4),index('Output_HALO - Nordics'!1:100000,0,$C$6),AU11),"")</f>
        <v/>
      </c>
      <c r="AV10" s="350">
        <f t="array" ref="AV10">if(AND(AV11&lt;&gt;"",AV11&lt;&gt;AW11), sumifs(index('Output_HALO - Nordics'!1:100000,0,$C$4),index('Output_HALO - Nordics'!1:100000,0,$C$6),AV11),"")</f>
        <v>3557</v>
      </c>
      <c r="AW10" s="350" t="str">
        <f t="array" ref="AW10">if(AND(AW11&lt;&gt;"",AW11&lt;&gt;AX11), sumifs(index('Output_HALO - Nordics'!1:100000,0,$C$4),index('Output_HALO - Nordics'!1:100000,0,$C$6),AW11),"")</f>
        <v/>
      </c>
      <c r="AX10" s="350" t="str">
        <f t="array" ref="AX10">if(AND(AX11&lt;&gt;"",AX11&lt;&gt;AY11), sumifs(index('Output_HALO - Nordics'!1:100000,0,$C$4),index('Output_HALO - Nordics'!1:100000,0,$C$6),AX11),"")</f>
        <v/>
      </c>
      <c r="AY10" s="350" t="str">
        <f t="array" ref="AY10">if(AND(AY11&lt;&gt;"",AY11&lt;&gt;AZ11), sumifs(index('Output_HALO - Nordics'!1:100000,0,$C$4),index('Output_HALO - Nordics'!1:100000,0,$C$6),AY11),"")</f>
        <v/>
      </c>
      <c r="AZ10" s="350" t="str">
        <f t="array" ref="AZ10">if(AND(AZ11&lt;&gt;"",AZ11&lt;&gt;BA11), sumifs(index('Output_HALO - Nordics'!1:100000,0,$C$4),index('Output_HALO - Nordics'!1:100000,0,$C$6),AZ11),"")</f>
        <v/>
      </c>
      <c r="BA10" s="350" t="str">
        <f t="array" ref="BA10">if(AND(BA11&lt;&gt;"",BA11&lt;&gt;BB11), sumifs(index('Output_HALO - Nordics'!1:100000,0,$C$4),index('Output_HALO - Nordics'!1:100000,0,$C$6),BA11),"")</f>
        <v/>
      </c>
      <c r="BB10" s="350" t="str">
        <f t="array" ref="BB10">if(AND(BB11&lt;&gt;"",BB11&lt;&gt;BC11), sumifs(index('Output_HALO - Nordics'!1:100000,0,$C$4),index('Output_HALO - Nordics'!1:100000,0,$C$6),BB11),"")</f>
        <v/>
      </c>
      <c r="BC10" s="350" t="str">
        <f t="array" ref="BC10">if(AND(BC11&lt;&gt;"",BC11&lt;&gt;BD11), sumifs(index('Output_HALO - Nordics'!1:100000,0,$C$4),index('Output_HALO - Nordics'!1:100000,0,$C$6),BC11),"")</f>
        <v/>
      </c>
      <c r="BD10" s="350" t="str">
        <f t="array" ref="BD10">if(AND(BD11&lt;&gt;"",BD11&lt;&gt;BE11), sumifs(index('Output_HALO - Nordics'!1:100000,0,$C$4),index('Output_HALO - Nordics'!1:100000,0,$C$6),BD11),"")</f>
        <v/>
      </c>
      <c r="BE10" s="350">
        <f t="array" ref="BE10">if(AND(BE11&lt;&gt;"",BE11&lt;&gt;BF11), sumifs(index('Output_HALO - Nordics'!1:100000,0,$C$4),index('Output_HALO - Nordics'!1:100000,0,$C$6),BE11),"")</f>
        <v>3715</v>
      </c>
      <c r="BF10" s="350" t="str">
        <f t="array" ref="BF10">if(AND(BF11&lt;&gt;"",BF11&lt;&gt;BG11), sumifs(index('Output_HALO - Nordics'!1:100000,0,$C$4),index('Output_HALO - Nordics'!1:100000,0,$C$6),BF11),"")</f>
        <v/>
      </c>
      <c r="BG10" s="350" t="str">
        <f t="array" ref="BG10">if(AND(BG11&lt;&gt;"",BG11&lt;&gt;BH11), sumifs(index('Output_HALO - Nordics'!1:100000,0,$C$4),index('Output_HALO - Nordics'!1:100000,0,$C$6),BG11),"")</f>
        <v/>
      </c>
      <c r="BH10" s="350" t="str">
        <f t="array" ref="BH10">if(AND(BH11&lt;&gt;"",BH11&lt;&gt;BI11), sumifs(index('Output_HALO - Nordics'!1:100000,0,$C$4),index('Output_HALO - Nordics'!1:100000,0,$C$6),BH11),"")</f>
        <v/>
      </c>
      <c r="BI10" s="350" t="str">
        <f t="array" ref="BI10">if(AND(BI11&lt;&gt;"",BI11&lt;&gt;BJ11), sumifs(index('Output_HALO - Nordics'!1:100000,0,$C$4),index('Output_HALO - Nordics'!1:100000,0,$C$6),BI11),"")</f>
        <v/>
      </c>
      <c r="BJ10" s="350">
        <f t="array" ref="BJ10">if(AND(BJ11&lt;&gt;"",BJ11&lt;&gt;BK11), sumifs(index('Output_HALO - Nordics'!1:100000,0,$C$4),index('Output_HALO - Nordics'!1:100000,0,$C$6),BJ11),"")</f>
        <v>130</v>
      </c>
      <c r="BK10" s="350" t="str">
        <f t="array" ref="BK10">if(AND(BK11&lt;&gt;"",BK11&lt;&gt;BL11), sumifs(index('Output_HALO - Nordics'!1:100000,0,$C$4),index('Output_HALO - Nordics'!1:100000,0,$C$6),BK11),"")</f>
        <v/>
      </c>
      <c r="BL10" s="350" t="str">
        <f t="array" ref="BL10">if(AND(BL11&lt;&gt;"",BL11&lt;&gt;BM11), sumifs(index('Output_HALO - Nordics'!1:100000,0,$C$4),index('Output_HALO - Nordics'!1:100000,0,$C$6),BL11),"")</f>
        <v/>
      </c>
      <c r="BM10" s="350" t="str">
        <f t="array" ref="BM10">if(AND(BM11&lt;&gt;"",BM11&lt;&gt;BN11), sumifs(index('Output_HALO - Nordics'!1:100000,0,$C$4),index('Output_HALO - Nordics'!1:100000,0,$C$6),BM11),"")</f>
        <v/>
      </c>
      <c r="BN10" s="350" t="str">
        <f t="array" ref="BN10">if(AND(BN11&lt;&gt;"",BN11&lt;&gt;BO11), sumifs(index('Output_HALO - Nordics'!1:100000,0,$C$4),index('Output_HALO - Nordics'!1:100000,0,$C$6),BN11),"")</f>
        <v/>
      </c>
      <c r="BO10" s="350" t="str">
        <f t="array" ref="BO10">if(AND(BO11&lt;&gt;"",BO11&lt;&gt;BP11), sumifs(index('Output_HALO - Nordics'!1:100000,0,$C$4),index('Output_HALO - Nordics'!1:100000,0,$C$6),BO11),"")</f>
        <v/>
      </c>
      <c r="BP10" s="350" t="str">
        <f t="array" ref="BP10">if(AND(BP11&lt;&gt;"",BP11&lt;&gt;BQ11), sumifs(index('Output_HALO - Nordics'!1:100000,0,$C$4),index('Output_HALO - Nordics'!1:100000,0,$C$6),BP11),"")</f>
        <v/>
      </c>
      <c r="BQ10" s="350" t="str">
        <f t="array" ref="BQ10">if(AND(BQ11&lt;&gt;"",BQ11&lt;&gt;BR11), sumifs(index('Output_HALO - Nordics'!1:100000,0,$C$4),index('Output_HALO - Nordics'!1:100000,0,$C$6),BQ11),"")</f>
        <v/>
      </c>
    </row>
    <row r="11">
      <c r="A11" s="12"/>
      <c r="E11" s="348" t="s">
        <v>467</v>
      </c>
      <c r="F11" s="351" t="str">
        <f t="array" ref="F11">iferror(vlookup(F$12&amp;"-"&amp;$E13,{index('Output_HALO - Nordics'!$A:$ZZ,0,$C$8),index('Output_HALO - Nordics'!$A:$ZZ,0,$C6)},2,0),iferror(vlookup(F$12&amp;"-"&amp;$E16,{index('Output_HALO - Nordics'!$A:$ZZ,0,$C$8),index('Output_HALO - Nordics'!$A:$ZZ,0,$C6)},2,0),iferror(vlookup(F$12&amp;"-"&amp;$E19,{index('Output_HALO - Nordics'!$A:$ZZ,0,$C$8),index('Output_HALO - Nordics'!$A:$ZZ,0,$C6)},2,0),iferror(vlookup(F$12&amp;"-"&amp;$E22,{index('Output_HALO - Nordics'!$A:$ZZ,0,$C$8),index('Output_HALO - Nordics'!$A:$ZZ,0,$C6)},2,0),iferror(vlookup(F$12&amp;"-"&amp;$E25,{index('Output_HALO - Nordics'!$A:$ZZ,0,$C$8),index('Output_HALO - Nordics'!$A:$ZZ,0,$C6)},2,0),"")))))</f>
        <v/>
      </c>
      <c r="G11" s="351">
        <f t="array" ref="G11">iferror(vlookup(G$12&amp;"-"&amp;$E13,{index('Output_HALO - Nordics'!$A:$ZZ,0,$C$8),index('Output_HALO - Nordics'!$A:$ZZ,0,$C6)},2,0),iferror(vlookup(G$12&amp;"-"&amp;$E16,{index('Output_HALO - Nordics'!$A:$ZZ,0,$C$8),index('Output_HALO - Nordics'!$A:$ZZ,0,$C6)},2,0),iferror(vlookup(G$12&amp;"-"&amp;$E19,{index('Output_HALO - Nordics'!$A:$ZZ,0,$C$8),index('Output_HALO - Nordics'!$A:$ZZ,0,$C6)},2,0),iferror(vlookup(G$12&amp;"-"&amp;$E22,{index('Output_HALO - Nordics'!$A:$ZZ,0,$C$8),index('Output_HALO - Nordics'!$A:$ZZ,0,$C6)},2,0),iferror(vlookup(G$12&amp;"-"&amp;$E25,{index('Output_HALO - Nordics'!$A:$ZZ,0,$C$8),index('Output_HALO - Nordics'!$A:$ZZ,0,$C6)},2,0),"")))))</f>
        <v>1</v>
      </c>
      <c r="H11" s="351">
        <f t="array" ref="H11">iferror(vlookup(H$12&amp;"-"&amp;$E13,{index('Output_HALO - Nordics'!$A:$ZZ,0,$C$8),index('Output_HALO - Nordics'!$A:$ZZ,0,$C6)},2,0),iferror(vlookup(H$12&amp;"-"&amp;$E16,{index('Output_HALO - Nordics'!$A:$ZZ,0,$C$8),index('Output_HALO - Nordics'!$A:$ZZ,0,$C6)},2,0),iferror(vlookup(H$12&amp;"-"&amp;$E19,{index('Output_HALO - Nordics'!$A:$ZZ,0,$C$8),index('Output_HALO - Nordics'!$A:$ZZ,0,$C6)},2,0),iferror(vlookup(H$12&amp;"-"&amp;$E22,{index('Output_HALO - Nordics'!$A:$ZZ,0,$C$8),index('Output_HALO - Nordics'!$A:$ZZ,0,$C6)},2,0),iferror(vlookup(H$12&amp;"-"&amp;$E25,{index('Output_HALO - Nordics'!$A:$ZZ,0,$C$8),index('Output_HALO - Nordics'!$A:$ZZ,0,$C6)},2,0),"")))))</f>
        <v>1</v>
      </c>
      <c r="I11" s="351">
        <f t="array" ref="I11">iferror(vlookup(I$12&amp;"-"&amp;$E13,{index('Output_HALO - Nordics'!$A:$ZZ,0,$C$8),index('Output_HALO - Nordics'!$A:$ZZ,0,$C6)},2,0),iferror(vlookup(I$12&amp;"-"&amp;$E16,{index('Output_HALO - Nordics'!$A:$ZZ,0,$C$8),index('Output_HALO - Nordics'!$A:$ZZ,0,$C6)},2,0),iferror(vlookup(I$12&amp;"-"&amp;$E19,{index('Output_HALO - Nordics'!$A:$ZZ,0,$C$8),index('Output_HALO - Nordics'!$A:$ZZ,0,$C6)},2,0),iferror(vlookup(I$12&amp;"-"&amp;$E22,{index('Output_HALO - Nordics'!$A:$ZZ,0,$C$8),index('Output_HALO - Nordics'!$A:$ZZ,0,$C6)},2,0),iferror(vlookup(I$12&amp;"-"&amp;$E25,{index('Output_HALO - Nordics'!$A:$ZZ,0,$C$8),index('Output_HALO - Nordics'!$A:$ZZ,0,$C6)},2,0),"")))))</f>
        <v>1</v>
      </c>
      <c r="J11" s="351">
        <f t="array" ref="J11">iferror(vlookup(J$12&amp;"-"&amp;$E13,{index('Output_HALO - Nordics'!$A:$ZZ,0,$C$8),index('Output_HALO - Nordics'!$A:$ZZ,0,$C6)},2,0),iferror(vlookup(J$12&amp;"-"&amp;$E16,{index('Output_HALO - Nordics'!$A:$ZZ,0,$C$8),index('Output_HALO - Nordics'!$A:$ZZ,0,$C6)},2,0),iferror(vlookup(J$12&amp;"-"&amp;$E19,{index('Output_HALO - Nordics'!$A:$ZZ,0,$C$8),index('Output_HALO - Nordics'!$A:$ZZ,0,$C6)},2,0),iferror(vlookup(J$12&amp;"-"&amp;$E22,{index('Output_HALO - Nordics'!$A:$ZZ,0,$C$8),index('Output_HALO - Nordics'!$A:$ZZ,0,$C6)},2,0),iferror(vlookup(J$12&amp;"-"&amp;$E25,{index('Output_HALO - Nordics'!$A:$ZZ,0,$C$8),index('Output_HALO - Nordics'!$A:$ZZ,0,$C6)},2,0),"")))))</f>
        <v>1</v>
      </c>
      <c r="K11" s="351" t="str">
        <f t="array" ref="K11">iferror(vlookup(K$12&amp;"-"&amp;$E13,{index('Output_HALO - Nordics'!$A:$ZZ,0,$C$8),index('Output_HALO - Nordics'!$A:$ZZ,0,$C6)},2,0),iferror(vlookup(K$12&amp;"-"&amp;$E16,{index('Output_HALO - Nordics'!$A:$ZZ,0,$C$8),index('Output_HALO - Nordics'!$A:$ZZ,0,$C6)},2,0),iferror(vlookup(K$12&amp;"-"&amp;$E19,{index('Output_HALO - Nordics'!$A:$ZZ,0,$C$8),index('Output_HALO - Nordics'!$A:$ZZ,0,$C6)},2,0),iferror(vlookup(K$12&amp;"-"&amp;$E22,{index('Output_HALO - Nordics'!$A:$ZZ,0,$C$8),index('Output_HALO - Nordics'!$A:$ZZ,0,$C6)},2,0),iferror(vlookup(K$12&amp;"-"&amp;$E25,{index('Output_HALO - Nordics'!$A:$ZZ,0,$C$8),index('Output_HALO - Nordics'!$A:$ZZ,0,$C6)},2,0),"")))))</f>
        <v/>
      </c>
      <c r="L11" s="351" t="str">
        <f t="array" ref="L11">iferror(vlookup(L$12&amp;"-"&amp;$E13,{index('Output_HALO - Nordics'!$A:$ZZ,0,$C$8),index('Output_HALO - Nordics'!$A:$ZZ,0,$C6)},2,0),iferror(vlookup(L$12&amp;"-"&amp;$E16,{index('Output_HALO - Nordics'!$A:$ZZ,0,$C$8),index('Output_HALO - Nordics'!$A:$ZZ,0,$C6)},2,0),iferror(vlookup(L$12&amp;"-"&amp;$E19,{index('Output_HALO - Nordics'!$A:$ZZ,0,$C$8),index('Output_HALO - Nordics'!$A:$ZZ,0,$C6)},2,0),iferror(vlookup(L$12&amp;"-"&amp;$E22,{index('Output_HALO - Nordics'!$A:$ZZ,0,$C$8),index('Output_HALO - Nordics'!$A:$ZZ,0,$C6)},2,0),iferror(vlookup(L$12&amp;"-"&amp;$E25,{index('Output_HALO - Nordics'!$A:$ZZ,0,$C$8),index('Output_HALO - Nordics'!$A:$ZZ,0,$C6)},2,0),"")))))</f>
        <v/>
      </c>
      <c r="M11" s="351" t="str">
        <f t="array" ref="M11">iferror(vlookup(M$12&amp;"-"&amp;$E13,{index('Output_HALO - Nordics'!$A:$ZZ,0,$C$8),index('Output_HALO - Nordics'!$A:$ZZ,0,$C6)},2,0),iferror(vlookup(M$12&amp;"-"&amp;$E16,{index('Output_HALO - Nordics'!$A:$ZZ,0,$C$8),index('Output_HALO - Nordics'!$A:$ZZ,0,$C6)},2,0),iferror(vlookup(M$12&amp;"-"&amp;$E19,{index('Output_HALO - Nordics'!$A:$ZZ,0,$C$8),index('Output_HALO - Nordics'!$A:$ZZ,0,$C6)},2,0),iferror(vlookup(M$12&amp;"-"&amp;$E22,{index('Output_HALO - Nordics'!$A:$ZZ,0,$C$8),index('Output_HALO - Nordics'!$A:$ZZ,0,$C6)},2,0),iferror(vlookup(M$12&amp;"-"&amp;$E25,{index('Output_HALO - Nordics'!$A:$ZZ,0,$C$8),index('Output_HALO - Nordics'!$A:$ZZ,0,$C6)},2,0),"")))))</f>
        <v/>
      </c>
      <c r="N11" s="351" t="str">
        <f t="array" ref="N11">iferror(vlookup(N$12&amp;"-"&amp;$E13,{index('Output_HALO - Nordics'!$A:$ZZ,0,$C$8),index('Output_HALO - Nordics'!$A:$ZZ,0,$C6)},2,0),iferror(vlookup(N$12&amp;"-"&amp;$E16,{index('Output_HALO - Nordics'!$A:$ZZ,0,$C$8),index('Output_HALO - Nordics'!$A:$ZZ,0,$C6)},2,0),iferror(vlookup(N$12&amp;"-"&amp;$E19,{index('Output_HALO - Nordics'!$A:$ZZ,0,$C$8),index('Output_HALO - Nordics'!$A:$ZZ,0,$C6)},2,0),iferror(vlookup(N$12&amp;"-"&amp;$E22,{index('Output_HALO - Nordics'!$A:$ZZ,0,$C$8),index('Output_HALO - Nordics'!$A:$ZZ,0,$C6)},2,0),iferror(vlookup(N$12&amp;"-"&amp;$E25,{index('Output_HALO - Nordics'!$A:$ZZ,0,$C$8),index('Output_HALO - Nordics'!$A:$ZZ,0,$C6)},2,0),"")))))</f>
        <v/>
      </c>
      <c r="O11" s="351" t="str">
        <f t="array" ref="O11">iferror(vlookup(O$12&amp;"-"&amp;$E13,{index('Output_HALO - Nordics'!$A:$ZZ,0,$C$8),index('Output_HALO - Nordics'!$A:$ZZ,0,$C6)},2,0),iferror(vlookup(O$12&amp;"-"&amp;$E16,{index('Output_HALO - Nordics'!$A:$ZZ,0,$C$8),index('Output_HALO - Nordics'!$A:$ZZ,0,$C6)},2,0),iferror(vlookup(O$12&amp;"-"&amp;$E19,{index('Output_HALO - Nordics'!$A:$ZZ,0,$C$8),index('Output_HALO - Nordics'!$A:$ZZ,0,$C6)},2,0),iferror(vlookup(O$12&amp;"-"&amp;$E22,{index('Output_HALO - Nordics'!$A:$ZZ,0,$C$8),index('Output_HALO - Nordics'!$A:$ZZ,0,$C6)},2,0),iferror(vlookup(O$12&amp;"-"&amp;$E25,{index('Output_HALO - Nordics'!$A:$ZZ,0,$C$8),index('Output_HALO - Nordics'!$A:$ZZ,0,$C6)},2,0),"")))))</f>
        <v/>
      </c>
      <c r="P11" s="351" t="str">
        <f t="array" ref="P11">iferror(vlookup(P$12&amp;"-"&amp;$E13,{index('Output_HALO - Nordics'!$A:$ZZ,0,$C$8),index('Output_HALO - Nordics'!$A:$ZZ,0,$C6)},2,0),iferror(vlookup(P$12&amp;"-"&amp;$E16,{index('Output_HALO - Nordics'!$A:$ZZ,0,$C$8),index('Output_HALO - Nordics'!$A:$ZZ,0,$C6)},2,0),iferror(vlookup(P$12&amp;"-"&amp;$E19,{index('Output_HALO - Nordics'!$A:$ZZ,0,$C$8),index('Output_HALO - Nordics'!$A:$ZZ,0,$C6)},2,0),iferror(vlookup(P$12&amp;"-"&amp;$E22,{index('Output_HALO - Nordics'!$A:$ZZ,0,$C$8),index('Output_HALO - Nordics'!$A:$ZZ,0,$C6)},2,0),iferror(vlookup(P$12&amp;"-"&amp;$E25,{index('Output_HALO - Nordics'!$A:$ZZ,0,$C$8),index('Output_HALO - Nordics'!$A:$ZZ,0,$C6)},2,0),"")))))</f>
        <v/>
      </c>
      <c r="Q11" s="351">
        <f t="array" ref="Q11">iferror(vlookup(Q$12&amp;"-"&amp;$E13,{index('Output_HALO - Nordics'!$A:$ZZ,0,$C$8),index('Output_HALO - Nordics'!$A:$ZZ,0,$C6)},2,0),iferror(vlookup(Q$12&amp;"-"&amp;$E16,{index('Output_HALO - Nordics'!$A:$ZZ,0,$C$8),index('Output_HALO - Nordics'!$A:$ZZ,0,$C6)},2,0),iferror(vlookup(Q$12&amp;"-"&amp;$E19,{index('Output_HALO - Nordics'!$A:$ZZ,0,$C$8),index('Output_HALO - Nordics'!$A:$ZZ,0,$C6)},2,0),iferror(vlookup(Q$12&amp;"-"&amp;$E22,{index('Output_HALO - Nordics'!$A:$ZZ,0,$C$8),index('Output_HALO - Nordics'!$A:$ZZ,0,$C6)},2,0),iferror(vlookup(Q$12&amp;"-"&amp;$E25,{index('Output_HALO - Nordics'!$A:$ZZ,0,$C$8),index('Output_HALO - Nordics'!$A:$ZZ,0,$C6)},2,0),"")))))</f>
        <v>4</v>
      </c>
      <c r="R11" s="351">
        <f t="array" ref="R11">iferror(vlookup(R$12&amp;"-"&amp;$E13,{index('Output_HALO - Nordics'!$A:$ZZ,0,$C$8),index('Output_HALO - Nordics'!$A:$ZZ,0,$C6)},2,0),iferror(vlookup(R$12&amp;"-"&amp;$E16,{index('Output_HALO - Nordics'!$A:$ZZ,0,$C$8),index('Output_HALO - Nordics'!$A:$ZZ,0,$C6)},2,0),iferror(vlookup(R$12&amp;"-"&amp;$E19,{index('Output_HALO - Nordics'!$A:$ZZ,0,$C$8),index('Output_HALO - Nordics'!$A:$ZZ,0,$C6)},2,0),iferror(vlookup(R$12&amp;"-"&amp;$E22,{index('Output_HALO - Nordics'!$A:$ZZ,0,$C$8),index('Output_HALO - Nordics'!$A:$ZZ,0,$C6)},2,0),iferror(vlookup(R$12&amp;"-"&amp;$E25,{index('Output_HALO - Nordics'!$A:$ZZ,0,$C$8),index('Output_HALO - Nordics'!$A:$ZZ,0,$C6)},2,0),"")))))</f>
        <v>4</v>
      </c>
      <c r="S11" s="351">
        <f t="array" ref="S11">iferror(vlookup(S$12&amp;"-"&amp;$E13,{index('Output_HALO - Nordics'!$A:$ZZ,0,$C$8),index('Output_HALO - Nordics'!$A:$ZZ,0,$C6)},2,0),iferror(vlookup(S$12&amp;"-"&amp;$E16,{index('Output_HALO - Nordics'!$A:$ZZ,0,$C$8),index('Output_HALO - Nordics'!$A:$ZZ,0,$C6)},2,0),iferror(vlookup(S$12&amp;"-"&amp;$E19,{index('Output_HALO - Nordics'!$A:$ZZ,0,$C$8),index('Output_HALO - Nordics'!$A:$ZZ,0,$C6)},2,0),iferror(vlookup(S$12&amp;"-"&amp;$E22,{index('Output_HALO - Nordics'!$A:$ZZ,0,$C$8),index('Output_HALO - Nordics'!$A:$ZZ,0,$C6)},2,0),iferror(vlookup(S$12&amp;"-"&amp;$E25,{index('Output_HALO - Nordics'!$A:$ZZ,0,$C$8),index('Output_HALO - Nordics'!$A:$ZZ,0,$C6)},2,0),"")))))</f>
        <v>4</v>
      </c>
      <c r="T11" s="351" t="str">
        <f t="array" ref="T11">iferror(vlookup(T$12&amp;"-"&amp;$E13,{index('Output_HALO - Nordics'!$A:$ZZ,0,$C$8),index('Output_HALO - Nordics'!$A:$ZZ,0,$C6)},2,0),iferror(vlookup(T$12&amp;"-"&amp;$E16,{index('Output_HALO - Nordics'!$A:$ZZ,0,$C$8),index('Output_HALO - Nordics'!$A:$ZZ,0,$C6)},2,0),iferror(vlookup(T$12&amp;"-"&amp;$E19,{index('Output_HALO - Nordics'!$A:$ZZ,0,$C$8),index('Output_HALO - Nordics'!$A:$ZZ,0,$C6)},2,0),iferror(vlookup(T$12&amp;"-"&amp;$E22,{index('Output_HALO - Nordics'!$A:$ZZ,0,$C$8),index('Output_HALO - Nordics'!$A:$ZZ,0,$C6)},2,0),iferror(vlookup(T$12&amp;"-"&amp;$E25,{index('Output_HALO - Nordics'!$A:$ZZ,0,$C$8),index('Output_HALO - Nordics'!$A:$ZZ,0,$C6)},2,0),"")))))</f>
        <v/>
      </c>
      <c r="U11" s="351" t="str">
        <f t="array" ref="U11">iferror(vlookup(U$12&amp;"-"&amp;$E13,{index('Output_HALO - Nordics'!$A:$ZZ,0,$C$8),index('Output_HALO - Nordics'!$A:$ZZ,0,$C6)},2,0),iferror(vlookup(U$12&amp;"-"&amp;$E16,{index('Output_HALO - Nordics'!$A:$ZZ,0,$C$8),index('Output_HALO - Nordics'!$A:$ZZ,0,$C6)},2,0),iferror(vlookup(U$12&amp;"-"&amp;$E19,{index('Output_HALO - Nordics'!$A:$ZZ,0,$C$8),index('Output_HALO - Nordics'!$A:$ZZ,0,$C6)},2,0),iferror(vlookup(U$12&amp;"-"&amp;$E22,{index('Output_HALO - Nordics'!$A:$ZZ,0,$C$8),index('Output_HALO - Nordics'!$A:$ZZ,0,$C6)},2,0),iferror(vlookup(U$12&amp;"-"&amp;$E25,{index('Output_HALO - Nordics'!$A:$ZZ,0,$C$8),index('Output_HALO - Nordics'!$A:$ZZ,0,$C6)},2,0),"")))))</f>
        <v/>
      </c>
      <c r="V11" s="351" t="str">
        <f t="array" ref="V11">iferror(vlookup(V$12&amp;"-"&amp;$E13,{index('Output_HALO - Nordics'!$A:$ZZ,0,$C$8),index('Output_HALO - Nordics'!$A:$ZZ,0,$C6)},2,0),iferror(vlookup(V$12&amp;"-"&amp;$E16,{index('Output_HALO - Nordics'!$A:$ZZ,0,$C$8),index('Output_HALO - Nordics'!$A:$ZZ,0,$C6)},2,0),iferror(vlookup(V$12&amp;"-"&amp;$E19,{index('Output_HALO - Nordics'!$A:$ZZ,0,$C$8),index('Output_HALO - Nordics'!$A:$ZZ,0,$C6)},2,0),iferror(vlookup(V$12&amp;"-"&amp;$E22,{index('Output_HALO - Nordics'!$A:$ZZ,0,$C$8),index('Output_HALO - Nordics'!$A:$ZZ,0,$C6)},2,0),iferror(vlookup(V$12&amp;"-"&amp;$E25,{index('Output_HALO - Nordics'!$A:$ZZ,0,$C$8),index('Output_HALO - Nordics'!$A:$ZZ,0,$C6)},2,0),"")))))</f>
        <v/>
      </c>
      <c r="W11" s="351">
        <f t="array" ref="W11">iferror(vlookup(W$12&amp;"-"&amp;$E13,{index('Output_HALO - Nordics'!$A:$ZZ,0,$C$8),index('Output_HALO - Nordics'!$A:$ZZ,0,$C6)},2,0),iferror(vlookup(W$12&amp;"-"&amp;$E16,{index('Output_HALO - Nordics'!$A:$ZZ,0,$C$8),index('Output_HALO - Nordics'!$A:$ZZ,0,$C6)},2,0),iferror(vlookup(W$12&amp;"-"&amp;$E19,{index('Output_HALO - Nordics'!$A:$ZZ,0,$C$8),index('Output_HALO - Nordics'!$A:$ZZ,0,$C6)},2,0),iferror(vlookup(W$12&amp;"-"&amp;$E22,{index('Output_HALO - Nordics'!$A:$ZZ,0,$C$8),index('Output_HALO - Nordics'!$A:$ZZ,0,$C6)},2,0),iferror(vlookup(W$12&amp;"-"&amp;$E25,{index('Output_HALO - Nordics'!$A:$ZZ,0,$C$8),index('Output_HALO - Nordics'!$A:$ZZ,0,$C6)},2,0),"")))))</f>
        <v>6</v>
      </c>
      <c r="X11" s="351">
        <f t="array" ref="X11">iferror(vlookup(X$12&amp;"-"&amp;$E13,{index('Output_HALO - Nordics'!$A:$ZZ,0,$C$8),index('Output_HALO - Nordics'!$A:$ZZ,0,$C6)},2,0),iferror(vlookup(X$12&amp;"-"&amp;$E16,{index('Output_HALO - Nordics'!$A:$ZZ,0,$C$8),index('Output_HALO - Nordics'!$A:$ZZ,0,$C6)},2,0),iferror(vlookup(X$12&amp;"-"&amp;$E19,{index('Output_HALO - Nordics'!$A:$ZZ,0,$C$8),index('Output_HALO - Nordics'!$A:$ZZ,0,$C6)},2,0),iferror(vlookup(X$12&amp;"-"&amp;$E22,{index('Output_HALO - Nordics'!$A:$ZZ,0,$C$8),index('Output_HALO - Nordics'!$A:$ZZ,0,$C6)},2,0),iferror(vlookup(X$12&amp;"-"&amp;$E25,{index('Output_HALO - Nordics'!$A:$ZZ,0,$C$8),index('Output_HALO - Nordics'!$A:$ZZ,0,$C6)},2,0),"")))))</f>
        <v>6</v>
      </c>
      <c r="Y11" s="351">
        <f t="array" ref="Y11">iferror(vlookup(Y$12&amp;"-"&amp;$E13,{index('Output_HALO - Nordics'!$A:$ZZ,0,$C$8),index('Output_HALO - Nordics'!$A:$ZZ,0,$C6)},2,0),iferror(vlookup(Y$12&amp;"-"&amp;$E16,{index('Output_HALO - Nordics'!$A:$ZZ,0,$C$8),index('Output_HALO - Nordics'!$A:$ZZ,0,$C6)},2,0),iferror(vlookup(Y$12&amp;"-"&amp;$E19,{index('Output_HALO - Nordics'!$A:$ZZ,0,$C$8),index('Output_HALO - Nordics'!$A:$ZZ,0,$C6)},2,0),iferror(vlookup(Y$12&amp;"-"&amp;$E22,{index('Output_HALO - Nordics'!$A:$ZZ,0,$C$8),index('Output_HALO - Nordics'!$A:$ZZ,0,$C6)},2,0),iferror(vlookup(Y$12&amp;"-"&amp;$E25,{index('Output_HALO - Nordics'!$A:$ZZ,0,$C$8),index('Output_HALO - Nordics'!$A:$ZZ,0,$C6)},2,0),"")))))</f>
        <v>6</v>
      </c>
      <c r="Z11" s="351" t="str">
        <f t="array" ref="Z11">iferror(vlookup(Z$12&amp;"-"&amp;$E13,{index('Output_HALO - Nordics'!$A:$ZZ,0,$C$8),index('Output_HALO - Nordics'!$A:$ZZ,0,$C6)},2,0),iferror(vlookup(Z$12&amp;"-"&amp;$E16,{index('Output_HALO - Nordics'!$A:$ZZ,0,$C$8),index('Output_HALO - Nordics'!$A:$ZZ,0,$C6)},2,0),iferror(vlookup(Z$12&amp;"-"&amp;$E19,{index('Output_HALO - Nordics'!$A:$ZZ,0,$C$8),index('Output_HALO - Nordics'!$A:$ZZ,0,$C6)},2,0),iferror(vlookup(Z$12&amp;"-"&amp;$E22,{index('Output_HALO - Nordics'!$A:$ZZ,0,$C$8),index('Output_HALO - Nordics'!$A:$ZZ,0,$C6)},2,0),iferror(vlookup(Z$12&amp;"-"&amp;$E25,{index('Output_HALO - Nordics'!$A:$ZZ,0,$C$8),index('Output_HALO - Nordics'!$A:$ZZ,0,$C6)},2,0),"")))))</f>
        <v/>
      </c>
      <c r="AA11" s="351" t="str">
        <f t="array" ref="AA11">iferror(vlookup(AA$12&amp;"-"&amp;$E13,{index('Output_HALO - Nordics'!$A:$ZZ,0,$C$8),index('Output_HALO - Nordics'!$A:$ZZ,0,$C6)},2,0),iferror(vlookup(AA$12&amp;"-"&amp;$E16,{index('Output_HALO - Nordics'!$A:$ZZ,0,$C$8),index('Output_HALO - Nordics'!$A:$ZZ,0,$C6)},2,0),iferror(vlookup(AA$12&amp;"-"&amp;$E19,{index('Output_HALO - Nordics'!$A:$ZZ,0,$C$8),index('Output_HALO - Nordics'!$A:$ZZ,0,$C6)},2,0),iferror(vlookup(AA$12&amp;"-"&amp;$E22,{index('Output_HALO - Nordics'!$A:$ZZ,0,$C$8),index('Output_HALO - Nordics'!$A:$ZZ,0,$C6)},2,0),iferror(vlookup(AA$12&amp;"-"&amp;$E25,{index('Output_HALO - Nordics'!$A:$ZZ,0,$C$8),index('Output_HALO - Nordics'!$A:$ZZ,0,$C6)},2,0),"")))))</f>
        <v/>
      </c>
      <c r="AB11" s="351" t="str">
        <f t="array" ref="AB11">iferror(vlookup(AB$12&amp;"-"&amp;$E13,{index('Output_HALO - Nordics'!$A:$ZZ,0,$C$8),index('Output_HALO - Nordics'!$A:$ZZ,0,$C6)},2,0),iferror(vlookup(AB$12&amp;"-"&amp;$E16,{index('Output_HALO - Nordics'!$A:$ZZ,0,$C$8),index('Output_HALO - Nordics'!$A:$ZZ,0,$C6)},2,0),iferror(vlookup(AB$12&amp;"-"&amp;$E19,{index('Output_HALO - Nordics'!$A:$ZZ,0,$C$8),index('Output_HALO - Nordics'!$A:$ZZ,0,$C6)},2,0),iferror(vlookup(AB$12&amp;"-"&amp;$E22,{index('Output_HALO - Nordics'!$A:$ZZ,0,$C$8),index('Output_HALO - Nordics'!$A:$ZZ,0,$C6)},2,0),iferror(vlookup(AB$12&amp;"-"&amp;$E25,{index('Output_HALO - Nordics'!$A:$ZZ,0,$C$8),index('Output_HALO - Nordics'!$A:$ZZ,0,$C6)},2,0),"")))))</f>
        <v/>
      </c>
      <c r="AC11" s="351" t="str">
        <f t="array" ref="AC11">iferror(vlookup(AC$12&amp;"-"&amp;$E13,{index('Output_HALO - Nordics'!$A:$ZZ,0,$C$8),index('Output_HALO - Nordics'!$A:$ZZ,0,$C6)},2,0),iferror(vlookup(AC$12&amp;"-"&amp;$E16,{index('Output_HALO - Nordics'!$A:$ZZ,0,$C$8),index('Output_HALO - Nordics'!$A:$ZZ,0,$C6)},2,0),iferror(vlookup(AC$12&amp;"-"&amp;$E19,{index('Output_HALO - Nordics'!$A:$ZZ,0,$C$8),index('Output_HALO - Nordics'!$A:$ZZ,0,$C6)},2,0),iferror(vlookup(AC$12&amp;"-"&amp;$E22,{index('Output_HALO - Nordics'!$A:$ZZ,0,$C$8),index('Output_HALO - Nordics'!$A:$ZZ,0,$C6)},2,0),iferror(vlookup(AC$12&amp;"-"&amp;$E25,{index('Output_HALO - Nordics'!$A:$ZZ,0,$C$8),index('Output_HALO - Nordics'!$A:$ZZ,0,$C6)},2,0),"")))))</f>
        <v/>
      </c>
      <c r="AD11" s="351" t="str">
        <f t="array" ref="AD11">iferror(vlookup(AD$12&amp;"-"&amp;$E13,{index('Output_HALO - Nordics'!$A:$ZZ,0,$C$8),index('Output_HALO - Nordics'!$A:$ZZ,0,$C6)},2,0),iferror(vlookup(AD$12&amp;"-"&amp;$E16,{index('Output_HALO - Nordics'!$A:$ZZ,0,$C$8),index('Output_HALO - Nordics'!$A:$ZZ,0,$C6)},2,0),iferror(vlookup(AD$12&amp;"-"&amp;$E19,{index('Output_HALO - Nordics'!$A:$ZZ,0,$C$8),index('Output_HALO - Nordics'!$A:$ZZ,0,$C6)},2,0),iferror(vlookup(AD$12&amp;"-"&amp;$E22,{index('Output_HALO - Nordics'!$A:$ZZ,0,$C$8),index('Output_HALO - Nordics'!$A:$ZZ,0,$C6)},2,0),iferror(vlookup(AD$12&amp;"-"&amp;$E25,{index('Output_HALO - Nordics'!$A:$ZZ,0,$C$8),index('Output_HALO - Nordics'!$A:$ZZ,0,$C6)},2,0),"")))))</f>
        <v/>
      </c>
      <c r="AE11" s="351" t="str">
        <f t="array" ref="AE11">iferror(vlookup(AE$12&amp;"-"&amp;$E13,{index('Output_HALO - Nordics'!$A:$ZZ,0,$C$8),index('Output_HALO - Nordics'!$A:$ZZ,0,$C6)},2,0),iferror(vlookup(AE$12&amp;"-"&amp;$E16,{index('Output_HALO - Nordics'!$A:$ZZ,0,$C$8),index('Output_HALO - Nordics'!$A:$ZZ,0,$C6)},2,0),iferror(vlookup(AE$12&amp;"-"&amp;$E19,{index('Output_HALO - Nordics'!$A:$ZZ,0,$C$8),index('Output_HALO - Nordics'!$A:$ZZ,0,$C6)},2,0),iferror(vlookup(AE$12&amp;"-"&amp;$E22,{index('Output_HALO - Nordics'!$A:$ZZ,0,$C$8),index('Output_HALO - Nordics'!$A:$ZZ,0,$C6)},2,0),iferror(vlookup(AE$12&amp;"-"&amp;$E25,{index('Output_HALO - Nordics'!$A:$ZZ,0,$C$8),index('Output_HALO - Nordics'!$A:$ZZ,0,$C6)},2,0),"")))))</f>
        <v/>
      </c>
      <c r="AF11" s="351" t="str">
        <f t="array" ref="AF11">iferror(vlookup(AF$12&amp;"-"&amp;$E13,{index('Output_HALO - Nordics'!$A:$ZZ,0,$C$8),index('Output_HALO - Nordics'!$A:$ZZ,0,$C6)},2,0),iferror(vlookup(AF$12&amp;"-"&amp;$E16,{index('Output_HALO - Nordics'!$A:$ZZ,0,$C$8),index('Output_HALO - Nordics'!$A:$ZZ,0,$C6)},2,0),iferror(vlookup(AF$12&amp;"-"&amp;$E19,{index('Output_HALO - Nordics'!$A:$ZZ,0,$C$8),index('Output_HALO - Nordics'!$A:$ZZ,0,$C6)},2,0),iferror(vlookup(AF$12&amp;"-"&amp;$E22,{index('Output_HALO - Nordics'!$A:$ZZ,0,$C$8),index('Output_HALO - Nordics'!$A:$ZZ,0,$C6)},2,0),iferror(vlookup(AF$12&amp;"-"&amp;$E25,{index('Output_HALO - Nordics'!$A:$ZZ,0,$C$8),index('Output_HALO - Nordics'!$A:$ZZ,0,$C6)},2,0),"")))))</f>
        <v/>
      </c>
      <c r="AG11" s="351">
        <f t="array" ref="AG11">iferror(vlookup(AG$12&amp;"-"&amp;$E13,{index('Output_HALO - Nordics'!$A:$ZZ,0,$C$8),index('Output_HALO - Nordics'!$A:$ZZ,0,$C6)},2,0),iferror(vlookup(AG$12&amp;"-"&amp;$E16,{index('Output_HALO - Nordics'!$A:$ZZ,0,$C$8),index('Output_HALO - Nordics'!$A:$ZZ,0,$C6)},2,0),iferror(vlookup(AG$12&amp;"-"&amp;$E19,{index('Output_HALO - Nordics'!$A:$ZZ,0,$C$8),index('Output_HALO - Nordics'!$A:$ZZ,0,$C6)},2,0),iferror(vlookup(AG$12&amp;"-"&amp;$E22,{index('Output_HALO - Nordics'!$A:$ZZ,0,$C$8),index('Output_HALO - Nordics'!$A:$ZZ,0,$C6)},2,0),iferror(vlookup(AG$12&amp;"-"&amp;$E25,{index('Output_HALO - Nordics'!$A:$ZZ,0,$C$8),index('Output_HALO - Nordics'!$A:$ZZ,0,$C6)},2,0),"")))))</f>
        <v>9</v>
      </c>
      <c r="AH11" s="351">
        <f t="array" ref="AH11">iferror(vlookup(AH$12&amp;"-"&amp;$E13,{index('Output_HALO - Nordics'!$A:$ZZ,0,$C$8),index('Output_HALO - Nordics'!$A:$ZZ,0,$C6)},2,0),iferror(vlookup(AH$12&amp;"-"&amp;$E16,{index('Output_HALO - Nordics'!$A:$ZZ,0,$C$8),index('Output_HALO - Nordics'!$A:$ZZ,0,$C6)},2,0),iferror(vlookup(AH$12&amp;"-"&amp;$E19,{index('Output_HALO - Nordics'!$A:$ZZ,0,$C$8),index('Output_HALO - Nordics'!$A:$ZZ,0,$C6)},2,0),iferror(vlookup(AH$12&amp;"-"&amp;$E22,{index('Output_HALO - Nordics'!$A:$ZZ,0,$C$8),index('Output_HALO - Nordics'!$A:$ZZ,0,$C6)},2,0),iferror(vlookup(AH$12&amp;"-"&amp;$E25,{index('Output_HALO - Nordics'!$A:$ZZ,0,$C$8),index('Output_HALO - Nordics'!$A:$ZZ,0,$C6)},2,0),"")))))</f>
        <v>9</v>
      </c>
      <c r="AI11" s="351" t="str">
        <f t="array" ref="AI11">iferror(vlookup(AI$12&amp;"-"&amp;$E13,{index('Output_HALO - Nordics'!$A:$ZZ,0,$C$8),index('Output_HALO - Nordics'!$A:$ZZ,0,$C6)},2,0),iferror(vlookup(AI$12&amp;"-"&amp;$E16,{index('Output_HALO - Nordics'!$A:$ZZ,0,$C$8),index('Output_HALO - Nordics'!$A:$ZZ,0,$C6)},2,0),iferror(vlookup(AI$12&amp;"-"&amp;$E19,{index('Output_HALO - Nordics'!$A:$ZZ,0,$C$8),index('Output_HALO - Nordics'!$A:$ZZ,0,$C6)},2,0),iferror(vlookup(AI$12&amp;"-"&amp;$E22,{index('Output_HALO - Nordics'!$A:$ZZ,0,$C$8),index('Output_HALO - Nordics'!$A:$ZZ,0,$C6)},2,0),iferror(vlookup(AI$12&amp;"-"&amp;$E25,{index('Output_HALO - Nordics'!$A:$ZZ,0,$C$8),index('Output_HALO - Nordics'!$A:$ZZ,0,$C6)},2,0),"")))))</f>
        <v/>
      </c>
      <c r="AJ11" s="351" t="str">
        <f t="array" ref="AJ11">iferror(vlookup(AJ$12&amp;"-"&amp;$E13,{index('Output_HALO - Nordics'!$A:$ZZ,0,$C$8),index('Output_HALO - Nordics'!$A:$ZZ,0,$C6)},2,0),iferror(vlookup(AJ$12&amp;"-"&amp;$E16,{index('Output_HALO - Nordics'!$A:$ZZ,0,$C$8),index('Output_HALO - Nordics'!$A:$ZZ,0,$C6)},2,0),iferror(vlookup(AJ$12&amp;"-"&amp;$E19,{index('Output_HALO - Nordics'!$A:$ZZ,0,$C$8),index('Output_HALO - Nordics'!$A:$ZZ,0,$C6)},2,0),iferror(vlookup(AJ$12&amp;"-"&amp;$E22,{index('Output_HALO - Nordics'!$A:$ZZ,0,$C$8),index('Output_HALO - Nordics'!$A:$ZZ,0,$C6)},2,0),iferror(vlookup(AJ$12&amp;"-"&amp;$E25,{index('Output_HALO - Nordics'!$A:$ZZ,0,$C$8),index('Output_HALO - Nordics'!$A:$ZZ,0,$C6)},2,0),"")))))</f>
        <v/>
      </c>
      <c r="AK11" s="351" t="str">
        <f t="array" ref="AK11">iferror(vlookup(AK$12&amp;"-"&amp;$E13,{index('Output_HALO - Nordics'!$A:$ZZ,0,$C$8),index('Output_HALO - Nordics'!$A:$ZZ,0,$C6)},2,0),iferror(vlookup(AK$12&amp;"-"&amp;$E16,{index('Output_HALO - Nordics'!$A:$ZZ,0,$C$8),index('Output_HALO - Nordics'!$A:$ZZ,0,$C6)},2,0),iferror(vlookup(AK$12&amp;"-"&amp;$E19,{index('Output_HALO - Nordics'!$A:$ZZ,0,$C$8),index('Output_HALO - Nordics'!$A:$ZZ,0,$C6)},2,0),iferror(vlookup(AK$12&amp;"-"&amp;$E22,{index('Output_HALO - Nordics'!$A:$ZZ,0,$C$8),index('Output_HALO - Nordics'!$A:$ZZ,0,$C6)},2,0),iferror(vlookup(AK$12&amp;"-"&amp;$E25,{index('Output_HALO - Nordics'!$A:$ZZ,0,$C$8),index('Output_HALO - Nordics'!$A:$ZZ,0,$C6)},2,0),"")))))</f>
        <v/>
      </c>
      <c r="AL11" s="351" t="str">
        <f t="array" ref="AL11">iferror(vlookup(AL$12&amp;"-"&amp;$E13,{index('Output_HALO - Nordics'!$A:$ZZ,0,$C$8),index('Output_HALO - Nordics'!$A:$ZZ,0,$C6)},2,0),iferror(vlookup(AL$12&amp;"-"&amp;$E16,{index('Output_HALO - Nordics'!$A:$ZZ,0,$C$8),index('Output_HALO - Nordics'!$A:$ZZ,0,$C6)},2,0),iferror(vlookup(AL$12&amp;"-"&amp;$E19,{index('Output_HALO - Nordics'!$A:$ZZ,0,$C$8),index('Output_HALO - Nordics'!$A:$ZZ,0,$C6)},2,0),iferror(vlookup(AL$12&amp;"-"&amp;$E22,{index('Output_HALO - Nordics'!$A:$ZZ,0,$C$8),index('Output_HALO - Nordics'!$A:$ZZ,0,$C6)},2,0),iferror(vlookup(AL$12&amp;"-"&amp;$E25,{index('Output_HALO - Nordics'!$A:$ZZ,0,$C$8),index('Output_HALO - Nordics'!$A:$ZZ,0,$C6)},2,0),"")))))</f>
        <v/>
      </c>
      <c r="AM11" s="351">
        <f t="array" ref="AM11">iferror(vlookup(AM$12&amp;"-"&amp;$E13,{index('Output_HALO - Nordics'!$A:$ZZ,0,$C$8),index('Output_HALO - Nordics'!$A:$ZZ,0,$C6)},2,0),iferror(vlookup(AM$12&amp;"-"&amp;$E16,{index('Output_HALO - Nordics'!$A:$ZZ,0,$C$8),index('Output_HALO - Nordics'!$A:$ZZ,0,$C6)},2,0),iferror(vlookup(AM$12&amp;"-"&amp;$E19,{index('Output_HALO - Nordics'!$A:$ZZ,0,$C$8),index('Output_HALO - Nordics'!$A:$ZZ,0,$C6)},2,0),iferror(vlookup(AM$12&amp;"-"&amp;$E22,{index('Output_HALO - Nordics'!$A:$ZZ,0,$C$8),index('Output_HALO - Nordics'!$A:$ZZ,0,$C6)},2,0),iferror(vlookup(AM$12&amp;"-"&amp;$E25,{index('Output_HALO - Nordics'!$A:$ZZ,0,$C$8),index('Output_HALO - Nordics'!$A:$ZZ,0,$C6)},2,0),"")))))</f>
        <v>12</v>
      </c>
      <c r="AN11" s="351">
        <f t="array" ref="AN11">iferror(vlookup(AN$12&amp;"-"&amp;$E13,{index('Output_HALO - Nordics'!$A:$ZZ,0,$C$8),index('Output_HALO - Nordics'!$A:$ZZ,0,$C6)},2,0),iferror(vlookup(AN$12&amp;"-"&amp;$E16,{index('Output_HALO - Nordics'!$A:$ZZ,0,$C$8),index('Output_HALO - Nordics'!$A:$ZZ,0,$C6)},2,0),iferror(vlookup(AN$12&amp;"-"&amp;$E19,{index('Output_HALO - Nordics'!$A:$ZZ,0,$C$8),index('Output_HALO - Nordics'!$A:$ZZ,0,$C6)},2,0),iferror(vlookup(AN$12&amp;"-"&amp;$E22,{index('Output_HALO - Nordics'!$A:$ZZ,0,$C$8),index('Output_HALO - Nordics'!$A:$ZZ,0,$C6)},2,0),iferror(vlookup(AN$12&amp;"-"&amp;$E25,{index('Output_HALO - Nordics'!$A:$ZZ,0,$C$8),index('Output_HALO - Nordics'!$A:$ZZ,0,$C6)},2,0),"")))))</f>
        <v>12</v>
      </c>
      <c r="AO11" s="351" t="str">
        <f t="array" ref="AO11">iferror(vlookup(AO$12&amp;"-"&amp;$E13,{index('Output_HALO - Nordics'!$A:$ZZ,0,$C$8),index('Output_HALO - Nordics'!$A:$ZZ,0,$C6)},2,0),iferror(vlookup(AO$12&amp;"-"&amp;$E16,{index('Output_HALO - Nordics'!$A:$ZZ,0,$C$8),index('Output_HALO - Nordics'!$A:$ZZ,0,$C6)},2,0),iferror(vlookup(AO$12&amp;"-"&amp;$E19,{index('Output_HALO - Nordics'!$A:$ZZ,0,$C$8),index('Output_HALO - Nordics'!$A:$ZZ,0,$C6)},2,0),iferror(vlookup(AO$12&amp;"-"&amp;$E22,{index('Output_HALO - Nordics'!$A:$ZZ,0,$C$8),index('Output_HALO - Nordics'!$A:$ZZ,0,$C6)},2,0),iferror(vlookup(AO$12&amp;"-"&amp;$E25,{index('Output_HALO - Nordics'!$A:$ZZ,0,$C$8),index('Output_HALO - Nordics'!$A:$ZZ,0,$C6)},2,0),"")))))</f>
        <v/>
      </c>
      <c r="AP11" s="351" t="str">
        <f t="array" ref="AP11">iferror(vlookup(AP$12&amp;"-"&amp;$E13,{index('Output_HALO - Nordics'!$A:$ZZ,0,$C$8),index('Output_HALO - Nordics'!$A:$ZZ,0,$C6)},2,0),iferror(vlookup(AP$12&amp;"-"&amp;$E16,{index('Output_HALO - Nordics'!$A:$ZZ,0,$C$8),index('Output_HALO - Nordics'!$A:$ZZ,0,$C6)},2,0),iferror(vlookup(AP$12&amp;"-"&amp;$E19,{index('Output_HALO - Nordics'!$A:$ZZ,0,$C$8),index('Output_HALO - Nordics'!$A:$ZZ,0,$C6)},2,0),iferror(vlookup(AP$12&amp;"-"&amp;$E22,{index('Output_HALO - Nordics'!$A:$ZZ,0,$C$8),index('Output_HALO - Nordics'!$A:$ZZ,0,$C6)},2,0),iferror(vlookup(AP$12&amp;"-"&amp;$E25,{index('Output_HALO - Nordics'!$A:$ZZ,0,$C$8),index('Output_HALO - Nordics'!$A:$ZZ,0,$C6)},2,0),"")))))</f>
        <v/>
      </c>
      <c r="AQ11" s="351" t="str">
        <f t="array" ref="AQ11">iferror(vlookup(AQ$12&amp;"-"&amp;$E13,{index('Output_HALO - Nordics'!$A:$ZZ,0,$C$8),index('Output_HALO - Nordics'!$A:$ZZ,0,$C6)},2,0),iferror(vlookup(AQ$12&amp;"-"&amp;$E16,{index('Output_HALO - Nordics'!$A:$ZZ,0,$C$8),index('Output_HALO - Nordics'!$A:$ZZ,0,$C6)},2,0),iferror(vlookup(AQ$12&amp;"-"&amp;$E19,{index('Output_HALO - Nordics'!$A:$ZZ,0,$C$8),index('Output_HALO - Nordics'!$A:$ZZ,0,$C6)},2,0),iferror(vlookup(AQ$12&amp;"-"&amp;$E22,{index('Output_HALO - Nordics'!$A:$ZZ,0,$C$8),index('Output_HALO - Nordics'!$A:$ZZ,0,$C6)},2,0),iferror(vlookup(AQ$12&amp;"-"&amp;$E25,{index('Output_HALO - Nordics'!$A:$ZZ,0,$C$8),index('Output_HALO - Nordics'!$A:$ZZ,0,$C6)},2,0),"")))))</f>
        <v/>
      </c>
      <c r="AR11" s="351" t="str">
        <f t="array" ref="AR11">iferror(vlookup(AR$12&amp;"-"&amp;$E13,{index('Output_HALO - Nordics'!$A:$ZZ,0,$C$8),index('Output_HALO - Nordics'!$A:$ZZ,0,$C6)},2,0),iferror(vlookup(AR$12&amp;"-"&amp;$E16,{index('Output_HALO - Nordics'!$A:$ZZ,0,$C$8),index('Output_HALO - Nordics'!$A:$ZZ,0,$C6)},2,0),iferror(vlookup(AR$12&amp;"-"&amp;$E19,{index('Output_HALO - Nordics'!$A:$ZZ,0,$C$8),index('Output_HALO - Nordics'!$A:$ZZ,0,$C6)},2,0),iferror(vlookup(AR$12&amp;"-"&amp;$E22,{index('Output_HALO - Nordics'!$A:$ZZ,0,$C$8),index('Output_HALO - Nordics'!$A:$ZZ,0,$C6)},2,0),iferror(vlookup(AR$12&amp;"-"&amp;$E25,{index('Output_HALO - Nordics'!$A:$ZZ,0,$C$8),index('Output_HALO - Nordics'!$A:$ZZ,0,$C6)},2,0),"")))))</f>
        <v/>
      </c>
      <c r="AS11" s="351" t="str">
        <f t="array" ref="AS11">iferror(vlookup(AS$12&amp;"-"&amp;$E13,{index('Output_HALO - Nordics'!$A:$ZZ,0,$C$8),index('Output_HALO - Nordics'!$A:$ZZ,0,$C6)},2,0),iferror(vlookup(AS$12&amp;"-"&amp;$E16,{index('Output_HALO - Nordics'!$A:$ZZ,0,$C$8),index('Output_HALO - Nordics'!$A:$ZZ,0,$C6)},2,0),iferror(vlookup(AS$12&amp;"-"&amp;$E19,{index('Output_HALO - Nordics'!$A:$ZZ,0,$C$8),index('Output_HALO - Nordics'!$A:$ZZ,0,$C6)},2,0),iferror(vlookup(AS$12&amp;"-"&amp;$E22,{index('Output_HALO - Nordics'!$A:$ZZ,0,$C$8),index('Output_HALO - Nordics'!$A:$ZZ,0,$C6)},2,0),iferror(vlookup(AS$12&amp;"-"&amp;$E25,{index('Output_HALO - Nordics'!$A:$ZZ,0,$C$8),index('Output_HALO - Nordics'!$A:$ZZ,0,$C6)},2,0),"")))))</f>
        <v/>
      </c>
      <c r="AT11" s="351">
        <f t="array" ref="AT11">iferror(vlookup(AT$12&amp;"-"&amp;$E13,{index('Output_HALO - Nordics'!$A:$ZZ,0,$C$8),index('Output_HALO - Nordics'!$A:$ZZ,0,$C6)},2,0),iferror(vlookup(AT$12&amp;"-"&amp;$E16,{index('Output_HALO - Nordics'!$A:$ZZ,0,$C$8),index('Output_HALO - Nordics'!$A:$ZZ,0,$C6)},2,0),iferror(vlookup(AT$12&amp;"-"&amp;$E19,{index('Output_HALO - Nordics'!$A:$ZZ,0,$C$8),index('Output_HALO - Nordics'!$A:$ZZ,0,$C6)},2,0),iferror(vlookup(AT$12&amp;"-"&amp;$E22,{index('Output_HALO - Nordics'!$A:$ZZ,0,$C$8),index('Output_HALO - Nordics'!$A:$ZZ,0,$C6)},2,0),iferror(vlookup(AT$12&amp;"-"&amp;$E25,{index('Output_HALO - Nordics'!$A:$ZZ,0,$C$8),index('Output_HALO - Nordics'!$A:$ZZ,0,$C6)},2,0),"")))))</f>
        <v>14</v>
      </c>
      <c r="AU11" s="351">
        <f t="array" ref="AU11">iferror(vlookup(AU$12&amp;"-"&amp;$E13,{index('Output_HALO - Nordics'!$A:$ZZ,0,$C$8),index('Output_HALO - Nordics'!$A:$ZZ,0,$C6)},2,0),iferror(vlookup(AU$12&amp;"-"&amp;$E16,{index('Output_HALO - Nordics'!$A:$ZZ,0,$C$8),index('Output_HALO - Nordics'!$A:$ZZ,0,$C6)},2,0),iferror(vlookup(AU$12&amp;"-"&amp;$E19,{index('Output_HALO - Nordics'!$A:$ZZ,0,$C$8),index('Output_HALO - Nordics'!$A:$ZZ,0,$C6)},2,0),iferror(vlookup(AU$12&amp;"-"&amp;$E22,{index('Output_HALO - Nordics'!$A:$ZZ,0,$C$8),index('Output_HALO - Nordics'!$A:$ZZ,0,$C6)},2,0),iferror(vlookup(AU$12&amp;"-"&amp;$E25,{index('Output_HALO - Nordics'!$A:$ZZ,0,$C$8),index('Output_HALO - Nordics'!$A:$ZZ,0,$C6)},2,0),"")))))</f>
        <v>14</v>
      </c>
      <c r="AV11" s="351">
        <f t="array" ref="AV11">iferror(vlookup(AV$12&amp;"-"&amp;$E13,{index('Output_HALO - Nordics'!$A:$ZZ,0,$C$8),index('Output_HALO - Nordics'!$A:$ZZ,0,$C6)},2,0),iferror(vlookup(AV$12&amp;"-"&amp;$E16,{index('Output_HALO - Nordics'!$A:$ZZ,0,$C$8),index('Output_HALO - Nordics'!$A:$ZZ,0,$C6)},2,0),iferror(vlookup(AV$12&amp;"-"&amp;$E19,{index('Output_HALO - Nordics'!$A:$ZZ,0,$C$8),index('Output_HALO - Nordics'!$A:$ZZ,0,$C6)},2,0),iferror(vlookup(AV$12&amp;"-"&amp;$E22,{index('Output_HALO - Nordics'!$A:$ZZ,0,$C$8),index('Output_HALO - Nordics'!$A:$ZZ,0,$C6)},2,0),iferror(vlookup(AV$12&amp;"-"&amp;$E25,{index('Output_HALO - Nordics'!$A:$ZZ,0,$C$8),index('Output_HALO - Nordics'!$A:$ZZ,0,$C6)},2,0),"")))))</f>
        <v>14</v>
      </c>
      <c r="AW11" s="351" t="str">
        <f t="array" ref="AW11">iferror(vlookup(AW$12&amp;"-"&amp;$E13,{index('Output_HALO - Nordics'!$A:$ZZ,0,$C$8),index('Output_HALO - Nordics'!$A:$ZZ,0,$C6)},2,0),iferror(vlookup(AW$12&amp;"-"&amp;$E16,{index('Output_HALO - Nordics'!$A:$ZZ,0,$C$8),index('Output_HALO - Nordics'!$A:$ZZ,0,$C6)},2,0),iferror(vlookup(AW$12&amp;"-"&amp;$E19,{index('Output_HALO - Nordics'!$A:$ZZ,0,$C$8),index('Output_HALO - Nordics'!$A:$ZZ,0,$C6)},2,0),iferror(vlookup(AW$12&amp;"-"&amp;$E22,{index('Output_HALO - Nordics'!$A:$ZZ,0,$C$8),index('Output_HALO - Nordics'!$A:$ZZ,0,$C6)},2,0),iferror(vlookup(AW$12&amp;"-"&amp;$E25,{index('Output_HALO - Nordics'!$A:$ZZ,0,$C$8),index('Output_HALO - Nordics'!$A:$ZZ,0,$C6)},2,0),"")))))</f>
        <v/>
      </c>
      <c r="AX11" s="351" t="str">
        <f t="array" ref="AX11">iferror(vlookup(AX$12&amp;"-"&amp;$E13,{index('Output_HALO - Nordics'!$A:$ZZ,0,$C$8),index('Output_HALO - Nordics'!$A:$ZZ,0,$C6)},2,0),iferror(vlookup(AX$12&amp;"-"&amp;$E16,{index('Output_HALO - Nordics'!$A:$ZZ,0,$C$8),index('Output_HALO - Nordics'!$A:$ZZ,0,$C6)},2,0),iferror(vlookup(AX$12&amp;"-"&amp;$E19,{index('Output_HALO - Nordics'!$A:$ZZ,0,$C$8),index('Output_HALO - Nordics'!$A:$ZZ,0,$C6)},2,0),iferror(vlookup(AX$12&amp;"-"&amp;$E22,{index('Output_HALO - Nordics'!$A:$ZZ,0,$C$8),index('Output_HALO - Nordics'!$A:$ZZ,0,$C6)},2,0),iferror(vlookup(AX$12&amp;"-"&amp;$E25,{index('Output_HALO - Nordics'!$A:$ZZ,0,$C$8),index('Output_HALO - Nordics'!$A:$ZZ,0,$C6)},2,0),"")))))</f>
        <v/>
      </c>
      <c r="AY11" s="351" t="str">
        <f t="array" ref="AY11">iferror(vlookup(AY$12&amp;"-"&amp;$E13,{index('Output_HALO - Nordics'!$A:$ZZ,0,$C$8),index('Output_HALO - Nordics'!$A:$ZZ,0,$C6)},2,0),iferror(vlookup(AY$12&amp;"-"&amp;$E16,{index('Output_HALO - Nordics'!$A:$ZZ,0,$C$8),index('Output_HALO - Nordics'!$A:$ZZ,0,$C6)},2,0),iferror(vlookup(AY$12&amp;"-"&amp;$E19,{index('Output_HALO - Nordics'!$A:$ZZ,0,$C$8),index('Output_HALO - Nordics'!$A:$ZZ,0,$C6)},2,0),iferror(vlookup(AY$12&amp;"-"&amp;$E22,{index('Output_HALO - Nordics'!$A:$ZZ,0,$C$8),index('Output_HALO - Nordics'!$A:$ZZ,0,$C6)},2,0),iferror(vlookup(AY$12&amp;"-"&amp;$E25,{index('Output_HALO - Nordics'!$A:$ZZ,0,$C$8),index('Output_HALO - Nordics'!$A:$ZZ,0,$C6)},2,0),"")))))</f>
        <v/>
      </c>
      <c r="AZ11" s="351" t="str">
        <f t="array" ref="AZ11">iferror(vlookup(AZ$12&amp;"-"&amp;$E13,{index('Output_HALO - Nordics'!$A:$ZZ,0,$C$8),index('Output_HALO - Nordics'!$A:$ZZ,0,$C6)},2,0),iferror(vlookup(AZ$12&amp;"-"&amp;$E16,{index('Output_HALO - Nordics'!$A:$ZZ,0,$C$8),index('Output_HALO - Nordics'!$A:$ZZ,0,$C6)},2,0),iferror(vlookup(AZ$12&amp;"-"&amp;$E19,{index('Output_HALO - Nordics'!$A:$ZZ,0,$C$8),index('Output_HALO - Nordics'!$A:$ZZ,0,$C6)},2,0),iferror(vlookup(AZ$12&amp;"-"&amp;$E22,{index('Output_HALO - Nordics'!$A:$ZZ,0,$C$8),index('Output_HALO - Nordics'!$A:$ZZ,0,$C6)},2,0),iferror(vlookup(AZ$12&amp;"-"&amp;$E25,{index('Output_HALO - Nordics'!$A:$ZZ,0,$C$8),index('Output_HALO - Nordics'!$A:$ZZ,0,$C6)},2,0),"")))))</f>
        <v/>
      </c>
      <c r="BA11" s="351" t="str">
        <f t="array" ref="BA11">iferror(vlookup(BA$12&amp;"-"&amp;$E13,{index('Output_HALO - Nordics'!$A:$ZZ,0,$C$8),index('Output_HALO - Nordics'!$A:$ZZ,0,$C6)},2,0),iferror(vlookup(BA$12&amp;"-"&amp;$E16,{index('Output_HALO - Nordics'!$A:$ZZ,0,$C$8),index('Output_HALO - Nordics'!$A:$ZZ,0,$C6)},2,0),iferror(vlookup(BA$12&amp;"-"&amp;$E19,{index('Output_HALO - Nordics'!$A:$ZZ,0,$C$8),index('Output_HALO - Nordics'!$A:$ZZ,0,$C6)},2,0),iferror(vlookup(BA$12&amp;"-"&amp;$E22,{index('Output_HALO - Nordics'!$A:$ZZ,0,$C$8),index('Output_HALO - Nordics'!$A:$ZZ,0,$C6)},2,0),iferror(vlookup(BA$12&amp;"-"&amp;$E25,{index('Output_HALO - Nordics'!$A:$ZZ,0,$C$8),index('Output_HALO - Nordics'!$A:$ZZ,0,$C6)},2,0),"")))))</f>
        <v/>
      </c>
      <c r="BB11" s="351">
        <f t="array" ref="BB11">iferror(vlookup(BB$12&amp;"-"&amp;$E13,{index('Output_HALO - Nordics'!$A:$ZZ,0,$C$8),index('Output_HALO - Nordics'!$A:$ZZ,0,$C6)},2,0),iferror(vlookup(BB$12&amp;"-"&amp;$E16,{index('Output_HALO - Nordics'!$A:$ZZ,0,$C$8),index('Output_HALO - Nordics'!$A:$ZZ,0,$C6)},2,0),iferror(vlookup(BB$12&amp;"-"&amp;$E19,{index('Output_HALO - Nordics'!$A:$ZZ,0,$C$8),index('Output_HALO - Nordics'!$A:$ZZ,0,$C6)},2,0),iferror(vlookup(BB$12&amp;"-"&amp;$E22,{index('Output_HALO - Nordics'!$A:$ZZ,0,$C$8),index('Output_HALO - Nordics'!$A:$ZZ,0,$C6)},2,0),iferror(vlookup(BB$12&amp;"-"&amp;$E25,{index('Output_HALO - Nordics'!$A:$ZZ,0,$C$8),index('Output_HALO - Nordics'!$A:$ZZ,0,$C6)},2,0),"")))))</f>
        <v>16</v>
      </c>
      <c r="BC11" s="351">
        <f t="array" ref="BC11">iferror(vlookup(BC$12&amp;"-"&amp;$E13,{index('Output_HALO - Nordics'!$A:$ZZ,0,$C$8),index('Output_HALO - Nordics'!$A:$ZZ,0,$C6)},2,0),iferror(vlookup(BC$12&amp;"-"&amp;$E16,{index('Output_HALO - Nordics'!$A:$ZZ,0,$C$8),index('Output_HALO - Nordics'!$A:$ZZ,0,$C6)},2,0),iferror(vlookup(BC$12&amp;"-"&amp;$E19,{index('Output_HALO - Nordics'!$A:$ZZ,0,$C$8),index('Output_HALO - Nordics'!$A:$ZZ,0,$C6)},2,0),iferror(vlookup(BC$12&amp;"-"&amp;$E22,{index('Output_HALO - Nordics'!$A:$ZZ,0,$C$8),index('Output_HALO - Nordics'!$A:$ZZ,0,$C6)},2,0),iferror(vlookup(BC$12&amp;"-"&amp;$E25,{index('Output_HALO - Nordics'!$A:$ZZ,0,$C$8),index('Output_HALO - Nordics'!$A:$ZZ,0,$C6)},2,0),"")))))</f>
        <v>16</v>
      </c>
      <c r="BD11" s="351">
        <f t="array" ref="BD11">iferror(vlookup(BD$12&amp;"-"&amp;$E13,{index('Output_HALO - Nordics'!$A:$ZZ,0,$C$8),index('Output_HALO - Nordics'!$A:$ZZ,0,$C6)},2,0),iferror(vlookup(BD$12&amp;"-"&amp;$E16,{index('Output_HALO - Nordics'!$A:$ZZ,0,$C$8),index('Output_HALO - Nordics'!$A:$ZZ,0,$C6)},2,0),iferror(vlookup(BD$12&amp;"-"&amp;$E19,{index('Output_HALO - Nordics'!$A:$ZZ,0,$C$8),index('Output_HALO - Nordics'!$A:$ZZ,0,$C6)},2,0),iferror(vlookup(BD$12&amp;"-"&amp;$E22,{index('Output_HALO - Nordics'!$A:$ZZ,0,$C$8),index('Output_HALO - Nordics'!$A:$ZZ,0,$C6)},2,0),iferror(vlookup(BD$12&amp;"-"&amp;$E25,{index('Output_HALO - Nordics'!$A:$ZZ,0,$C$8),index('Output_HALO - Nordics'!$A:$ZZ,0,$C6)},2,0),"")))))</f>
        <v>16</v>
      </c>
      <c r="BE11" s="351">
        <f t="array" ref="BE11">iferror(vlookup(BE$12&amp;"-"&amp;$E13,{index('Output_HALO - Nordics'!$A:$ZZ,0,$C$8),index('Output_HALO - Nordics'!$A:$ZZ,0,$C6)},2,0),iferror(vlookup(BE$12&amp;"-"&amp;$E16,{index('Output_HALO - Nordics'!$A:$ZZ,0,$C$8),index('Output_HALO - Nordics'!$A:$ZZ,0,$C6)},2,0),iferror(vlookup(BE$12&amp;"-"&amp;$E19,{index('Output_HALO - Nordics'!$A:$ZZ,0,$C$8),index('Output_HALO - Nordics'!$A:$ZZ,0,$C6)},2,0),iferror(vlookup(BE$12&amp;"-"&amp;$E22,{index('Output_HALO - Nordics'!$A:$ZZ,0,$C$8),index('Output_HALO - Nordics'!$A:$ZZ,0,$C6)},2,0),iferror(vlookup(BE$12&amp;"-"&amp;$E25,{index('Output_HALO - Nordics'!$A:$ZZ,0,$C$8),index('Output_HALO - Nordics'!$A:$ZZ,0,$C6)},2,0),"")))))</f>
        <v>16</v>
      </c>
      <c r="BF11" s="351" t="str">
        <f t="array" ref="BF11">iferror(vlookup(BF$12&amp;"-"&amp;$E13,{index('Output_HALO - Nordics'!$A:$ZZ,0,$C$8),index('Output_HALO - Nordics'!$A:$ZZ,0,$C6)},2,0),iferror(vlookup(BF$12&amp;"-"&amp;$E16,{index('Output_HALO - Nordics'!$A:$ZZ,0,$C$8),index('Output_HALO - Nordics'!$A:$ZZ,0,$C6)},2,0),iferror(vlookup(BF$12&amp;"-"&amp;$E19,{index('Output_HALO - Nordics'!$A:$ZZ,0,$C$8),index('Output_HALO - Nordics'!$A:$ZZ,0,$C6)},2,0),iferror(vlookup(BF$12&amp;"-"&amp;$E22,{index('Output_HALO - Nordics'!$A:$ZZ,0,$C$8),index('Output_HALO - Nordics'!$A:$ZZ,0,$C6)},2,0),iferror(vlookup(BF$12&amp;"-"&amp;$E25,{index('Output_HALO - Nordics'!$A:$ZZ,0,$C$8),index('Output_HALO - Nordics'!$A:$ZZ,0,$C6)},2,0),"")))))</f>
        <v/>
      </c>
      <c r="BG11" s="351" t="str">
        <f t="array" ref="BG11">iferror(vlookup(BG$12&amp;"-"&amp;$E13,{index('Output_HALO - Nordics'!$A:$ZZ,0,$C$8),index('Output_HALO - Nordics'!$A:$ZZ,0,$C6)},2,0),iferror(vlookup(BG$12&amp;"-"&amp;$E16,{index('Output_HALO - Nordics'!$A:$ZZ,0,$C$8),index('Output_HALO - Nordics'!$A:$ZZ,0,$C6)},2,0),iferror(vlookup(BG$12&amp;"-"&amp;$E19,{index('Output_HALO - Nordics'!$A:$ZZ,0,$C$8),index('Output_HALO - Nordics'!$A:$ZZ,0,$C6)},2,0),iferror(vlookup(BG$12&amp;"-"&amp;$E22,{index('Output_HALO - Nordics'!$A:$ZZ,0,$C$8),index('Output_HALO - Nordics'!$A:$ZZ,0,$C6)},2,0),iferror(vlookup(BG$12&amp;"-"&amp;$E25,{index('Output_HALO - Nordics'!$A:$ZZ,0,$C$8),index('Output_HALO - Nordics'!$A:$ZZ,0,$C6)},2,0),"")))))</f>
        <v/>
      </c>
      <c r="BH11" s="351" t="str">
        <f t="array" ref="BH11">iferror(vlookup(BH$12&amp;"-"&amp;$E13,{index('Output_HALO - Nordics'!$A:$ZZ,0,$C$8),index('Output_HALO - Nordics'!$A:$ZZ,0,$C6)},2,0),iferror(vlookup(BH$12&amp;"-"&amp;$E16,{index('Output_HALO - Nordics'!$A:$ZZ,0,$C$8),index('Output_HALO - Nordics'!$A:$ZZ,0,$C6)},2,0),iferror(vlookup(BH$12&amp;"-"&amp;$E19,{index('Output_HALO - Nordics'!$A:$ZZ,0,$C$8),index('Output_HALO - Nordics'!$A:$ZZ,0,$C6)},2,0),iferror(vlookup(BH$12&amp;"-"&amp;$E22,{index('Output_HALO - Nordics'!$A:$ZZ,0,$C$8),index('Output_HALO - Nordics'!$A:$ZZ,0,$C6)},2,0),iferror(vlookup(BH$12&amp;"-"&amp;$E25,{index('Output_HALO - Nordics'!$A:$ZZ,0,$C$8),index('Output_HALO - Nordics'!$A:$ZZ,0,$C6)},2,0),"")))))</f>
        <v/>
      </c>
      <c r="BI11" s="351" t="str">
        <f t="array" ref="BI11">iferror(vlookup(BI$12&amp;"-"&amp;$E13,{index('Output_HALO - Nordics'!$A:$ZZ,0,$C$8),index('Output_HALO - Nordics'!$A:$ZZ,0,$C6)},2,0),iferror(vlookup(BI$12&amp;"-"&amp;$E16,{index('Output_HALO - Nordics'!$A:$ZZ,0,$C$8),index('Output_HALO - Nordics'!$A:$ZZ,0,$C6)},2,0),iferror(vlookup(BI$12&amp;"-"&amp;$E19,{index('Output_HALO - Nordics'!$A:$ZZ,0,$C$8),index('Output_HALO - Nordics'!$A:$ZZ,0,$C6)},2,0),iferror(vlookup(BI$12&amp;"-"&amp;$E22,{index('Output_HALO - Nordics'!$A:$ZZ,0,$C$8),index('Output_HALO - Nordics'!$A:$ZZ,0,$C6)},2,0),iferror(vlookup(BI$12&amp;"-"&amp;$E25,{index('Output_HALO - Nordics'!$A:$ZZ,0,$C$8),index('Output_HALO - Nordics'!$A:$ZZ,0,$C6)},2,0),"")))))</f>
        <v/>
      </c>
      <c r="BJ11" s="351">
        <f t="array" ref="BJ11">iferror(vlookup(BJ$12&amp;"-"&amp;$E13,{index('Output_HALO - Nordics'!$A:$ZZ,0,$C$8),index('Output_HALO - Nordics'!$A:$ZZ,0,$C6)},2,0),iferror(vlookup(BJ$12&amp;"-"&amp;$E16,{index('Output_HALO - Nordics'!$A:$ZZ,0,$C$8),index('Output_HALO - Nordics'!$A:$ZZ,0,$C6)},2,0),iferror(vlookup(BJ$12&amp;"-"&amp;$E19,{index('Output_HALO - Nordics'!$A:$ZZ,0,$C$8),index('Output_HALO - Nordics'!$A:$ZZ,0,$C6)},2,0),iferror(vlookup(BJ$12&amp;"-"&amp;$E22,{index('Output_HALO - Nordics'!$A:$ZZ,0,$C$8),index('Output_HALO - Nordics'!$A:$ZZ,0,$C6)},2,0),iferror(vlookup(BJ$12&amp;"-"&amp;$E25,{index('Output_HALO - Nordics'!$A:$ZZ,0,$C$8),index('Output_HALO - Nordics'!$A:$ZZ,0,$C6)},2,0),"")))))</f>
        <v>18</v>
      </c>
      <c r="BK11" s="351" t="str">
        <f t="array" ref="BK11">iferror(vlookup(BK$12&amp;"-"&amp;$E13,{index('Output_HALO - Nordics'!$A:$ZZ,0,$C$8),index('Output_HALO - Nordics'!$A:$ZZ,0,$C6)},2,0),iferror(vlookup(BK$12&amp;"-"&amp;$E16,{index('Output_HALO - Nordics'!$A:$ZZ,0,$C$8),index('Output_HALO - Nordics'!$A:$ZZ,0,$C6)},2,0),iferror(vlookup(BK$12&amp;"-"&amp;$E19,{index('Output_HALO - Nordics'!$A:$ZZ,0,$C$8),index('Output_HALO - Nordics'!$A:$ZZ,0,$C6)},2,0),iferror(vlookup(BK$12&amp;"-"&amp;$E22,{index('Output_HALO - Nordics'!$A:$ZZ,0,$C$8),index('Output_HALO - Nordics'!$A:$ZZ,0,$C6)},2,0),iferror(vlookup(BK$12&amp;"-"&amp;$E25,{index('Output_HALO - Nordics'!$A:$ZZ,0,$C$8),index('Output_HALO - Nordics'!$A:$ZZ,0,$C6)},2,0),"")))))</f>
        <v/>
      </c>
      <c r="BL11" s="351" t="str">
        <f t="array" ref="BL11">iferror(vlookup(BL$12&amp;"-"&amp;$E13,{index('Output_HALO - Nordics'!$A:$ZZ,0,$C$8),index('Output_HALO - Nordics'!$A:$ZZ,0,$C6)},2,0),iferror(vlookup(BL$12&amp;"-"&amp;$E16,{index('Output_HALO - Nordics'!$A:$ZZ,0,$C$8),index('Output_HALO - Nordics'!$A:$ZZ,0,$C6)},2,0),iferror(vlookup(BL$12&amp;"-"&amp;$E19,{index('Output_HALO - Nordics'!$A:$ZZ,0,$C$8),index('Output_HALO - Nordics'!$A:$ZZ,0,$C6)},2,0),iferror(vlookup(BL$12&amp;"-"&amp;$E22,{index('Output_HALO - Nordics'!$A:$ZZ,0,$C$8),index('Output_HALO - Nordics'!$A:$ZZ,0,$C6)},2,0),iferror(vlookup(BL$12&amp;"-"&amp;$E25,{index('Output_HALO - Nordics'!$A:$ZZ,0,$C$8),index('Output_HALO - Nordics'!$A:$ZZ,0,$C6)},2,0),"")))))</f>
        <v/>
      </c>
      <c r="BM11" s="351" t="str">
        <f t="array" ref="BM11">iferror(vlookup(BM$12&amp;"-"&amp;$E13,{index('Output_HALO - Nordics'!$A:$ZZ,0,$C$8),index('Output_HALO - Nordics'!$A:$ZZ,0,$C6)},2,0),iferror(vlookup(BM$12&amp;"-"&amp;$E16,{index('Output_HALO - Nordics'!$A:$ZZ,0,$C$8),index('Output_HALO - Nordics'!$A:$ZZ,0,$C6)},2,0),iferror(vlookup(BM$12&amp;"-"&amp;$E19,{index('Output_HALO - Nordics'!$A:$ZZ,0,$C$8),index('Output_HALO - Nordics'!$A:$ZZ,0,$C6)},2,0),iferror(vlookup(BM$12&amp;"-"&amp;$E22,{index('Output_HALO - Nordics'!$A:$ZZ,0,$C$8),index('Output_HALO - Nordics'!$A:$ZZ,0,$C6)},2,0),iferror(vlookup(BM$12&amp;"-"&amp;$E25,{index('Output_HALO - Nordics'!$A:$ZZ,0,$C$8),index('Output_HALO - Nordics'!$A:$ZZ,0,$C6)},2,0),"")))))</f>
        <v/>
      </c>
      <c r="BN11" s="351" t="str">
        <f t="array" ref="BN11">iferror(vlookup(BN$12&amp;"-"&amp;$E13,{index('Output_HALO - Nordics'!$A:$ZZ,0,$C$8),index('Output_HALO - Nordics'!$A:$ZZ,0,$C6)},2,0),iferror(vlookup(BN$12&amp;"-"&amp;$E16,{index('Output_HALO - Nordics'!$A:$ZZ,0,$C$8),index('Output_HALO - Nordics'!$A:$ZZ,0,$C6)},2,0),iferror(vlookup(BN$12&amp;"-"&amp;$E19,{index('Output_HALO - Nordics'!$A:$ZZ,0,$C$8),index('Output_HALO - Nordics'!$A:$ZZ,0,$C6)},2,0),iferror(vlookup(BN$12&amp;"-"&amp;$E22,{index('Output_HALO - Nordics'!$A:$ZZ,0,$C$8),index('Output_HALO - Nordics'!$A:$ZZ,0,$C6)},2,0),iferror(vlookup(BN$12&amp;"-"&amp;$E25,{index('Output_HALO - Nordics'!$A:$ZZ,0,$C$8),index('Output_HALO - Nordics'!$A:$ZZ,0,$C6)},2,0),"")))))</f>
        <v/>
      </c>
      <c r="BO11" s="351" t="str">
        <f t="array" ref="BO11">iferror(vlookup(BO$12&amp;"-"&amp;$E13,{index('Output_HALO - Nordics'!$A:$ZZ,0,$C$8),index('Output_HALO - Nordics'!$A:$ZZ,0,$C6)},2,0),iferror(vlookup(BO$12&amp;"-"&amp;$E16,{index('Output_HALO - Nordics'!$A:$ZZ,0,$C$8),index('Output_HALO - Nordics'!$A:$ZZ,0,$C6)},2,0),iferror(vlookup(BO$12&amp;"-"&amp;$E19,{index('Output_HALO - Nordics'!$A:$ZZ,0,$C$8),index('Output_HALO - Nordics'!$A:$ZZ,0,$C6)},2,0),iferror(vlookup(BO$12&amp;"-"&amp;$E22,{index('Output_HALO - Nordics'!$A:$ZZ,0,$C$8),index('Output_HALO - Nordics'!$A:$ZZ,0,$C6)},2,0),iferror(vlookup(BO$12&amp;"-"&amp;$E25,{index('Output_HALO - Nordics'!$A:$ZZ,0,$C$8),index('Output_HALO - Nordics'!$A:$ZZ,0,$C6)},2,0),"")))))</f>
        <v/>
      </c>
      <c r="BP11" s="351" t="str">
        <f t="array" ref="BP11">iferror(vlookup(BP$12&amp;"-"&amp;$E13,{index('Output_HALO - Nordics'!$A:$ZZ,0,$C$8),index('Output_HALO - Nordics'!$A:$ZZ,0,$C6)},2,0),iferror(vlookup(BP$12&amp;"-"&amp;$E16,{index('Output_HALO - Nordics'!$A:$ZZ,0,$C$8),index('Output_HALO - Nordics'!$A:$ZZ,0,$C6)},2,0),iferror(vlookup(BP$12&amp;"-"&amp;$E19,{index('Output_HALO - Nordics'!$A:$ZZ,0,$C$8),index('Output_HALO - Nordics'!$A:$ZZ,0,$C6)},2,0),iferror(vlookup(BP$12&amp;"-"&amp;$E22,{index('Output_HALO - Nordics'!$A:$ZZ,0,$C$8),index('Output_HALO - Nordics'!$A:$ZZ,0,$C6)},2,0),iferror(vlookup(BP$12&amp;"-"&amp;$E25,{index('Output_HALO - Nordics'!$A:$ZZ,0,$C$8),index('Output_HALO - Nordics'!$A:$ZZ,0,$C6)},2,0),"")))))</f>
        <v/>
      </c>
      <c r="BQ11" s="351" t="str">
        <f t="array" ref="BQ11">iferror(vlookup(BQ$12&amp;"-"&amp;$E13,{index('Output_HALO - Nordics'!$A:$ZZ,0,$C$8),index('Output_HALO - Nordics'!$A:$ZZ,0,$C6)},2,0),iferror(vlookup(BQ$12&amp;"-"&amp;$E16,{index('Output_HALO - Nordics'!$A:$ZZ,0,$C$8),index('Output_HALO - Nordics'!$A:$ZZ,0,$C6)},2,0),iferror(vlookup(BQ$12&amp;"-"&amp;$E19,{index('Output_HALO - Nordics'!$A:$ZZ,0,$C$8),index('Output_HALO - Nordics'!$A:$ZZ,0,$C6)},2,0),iferror(vlookup(BQ$12&amp;"-"&amp;$E22,{index('Output_HALO - Nordics'!$A:$ZZ,0,$C$8),index('Output_HALO - Nordics'!$A:$ZZ,0,$C6)},2,0),iferror(vlookup(BQ$12&amp;"-"&amp;$E25,{index('Output_HALO - Nordics'!$A:$ZZ,0,$C$8),index('Output_HALO - Nordics'!$A:$ZZ,0,$C6)},2,0),"")))))</f>
        <v/>
      </c>
    </row>
    <row r="12">
      <c r="A12" s="118"/>
      <c r="E12" s="348" t="s">
        <v>468</v>
      </c>
      <c r="F12" s="352">
        <v>1.0</v>
      </c>
      <c r="G12" s="352">
        <v>2.0</v>
      </c>
      <c r="H12" s="352">
        <v>3.0</v>
      </c>
      <c r="I12" s="352">
        <v>4.0</v>
      </c>
      <c r="J12" s="352">
        <v>5.0</v>
      </c>
      <c r="K12" s="352">
        <v>6.0</v>
      </c>
      <c r="L12" s="352">
        <v>7.0</v>
      </c>
      <c r="M12" s="352">
        <v>8.0</v>
      </c>
      <c r="N12" s="352">
        <v>9.0</v>
      </c>
      <c r="O12" s="352">
        <v>10.0</v>
      </c>
      <c r="P12" s="352">
        <v>11.0</v>
      </c>
      <c r="Q12" s="352">
        <v>12.0</v>
      </c>
      <c r="R12" s="352">
        <v>13.0</v>
      </c>
      <c r="S12" s="352">
        <v>14.0</v>
      </c>
      <c r="T12" s="352">
        <v>15.0</v>
      </c>
      <c r="U12" s="352">
        <v>16.0</v>
      </c>
      <c r="V12" s="352">
        <v>17.0</v>
      </c>
      <c r="W12" s="352">
        <v>18.0</v>
      </c>
      <c r="X12" s="352">
        <v>19.0</v>
      </c>
      <c r="Y12" s="352">
        <v>20.0</v>
      </c>
      <c r="Z12" s="352">
        <v>21.0</v>
      </c>
      <c r="AA12" s="352">
        <v>22.0</v>
      </c>
      <c r="AB12" s="352">
        <v>23.0</v>
      </c>
      <c r="AC12" s="352">
        <v>24.0</v>
      </c>
      <c r="AD12" s="352">
        <v>25.0</v>
      </c>
      <c r="AE12" s="352">
        <v>26.0</v>
      </c>
      <c r="AF12" s="352">
        <v>27.0</v>
      </c>
      <c r="AG12" s="352">
        <v>28.0</v>
      </c>
      <c r="AH12" s="352">
        <v>29.0</v>
      </c>
      <c r="AI12" s="352">
        <v>30.0</v>
      </c>
      <c r="AJ12" s="352">
        <v>31.0</v>
      </c>
      <c r="AK12" s="352">
        <v>32.0</v>
      </c>
      <c r="AL12" s="352">
        <v>33.0</v>
      </c>
      <c r="AM12" s="352">
        <v>34.0</v>
      </c>
      <c r="AN12" s="352">
        <v>35.0</v>
      </c>
      <c r="AO12" s="352">
        <v>36.0</v>
      </c>
      <c r="AP12" s="352">
        <v>37.0</v>
      </c>
      <c r="AQ12" s="352">
        <v>38.0</v>
      </c>
      <c r="AR12" s="352">
        <v>39.0</v>
      </c>
      <c r="AS12" s="352">
        <v>40.0</v>
      </c>
      <c r="AT12" s="352">
        <v>41.0</v>
      </c>
      <c r="AU12" s="352">
        <v>42.0</v>
      </c>
      <c r="AV12" s="352">
        <v>43.0</v>
      </c>
      <c r="AW12" s="352">
        <v>44.0</v>
      </c>
      <c r="AX12" s="352">
        <v>45.0</v>
      </c>
      <c r="AY12" s="352">
        <v>46.0</v>
      </c>
      <c r="AZ12" s="352">
        <v>47.0</v>
      </c>
      <c r="BA12" s="352">
        <v>48.0</v>
      </c>
      <c r="BB12" s="352">
        <v>49.0</v>
      </c>
      <c r="BC12" s="352">
        <v>50.0</v>
      </c>
      <c r="BD12" s="352">
        <v>51.0</v>
      </c>
      <c r="BE12" s="352">
        <v>52.0</v>
      </c>
      <c r="BF12" s="352">
        <v>53.0</v>
      </c>
      <c r="BG12" s="352">
        <v>54.0</v>
      </c>
      <c r="BH12" s="352">
        <v>55.0</v>
      </c>
      <c r="BI12" s="352">
        <v>56.0</v>
      </c>
      <c r="BJ12" s="352">
        <v>57.0</v>
      </c>
      <c r="BK12" s="352">
        <v>58.0</v>
      </c>
      <c r="BL12" s="352">
        <v>59.0</v>
      </c>
      <c r="BM12" s="352">
        <v>60.0</v>
      </c>
      <c r="BN12" s="352">
        <v>61.0</v>
      </c>
      <c r="BO12" s="352">
        <v>62.0</v>
      </c>
      <c r="BP12" s="352">
        <v>63.0</v>
      </c>
      <c r="BQ12" s="352">
        <v>64.0</v>
      </c>
    </row>
    <row r="13" hidden="1">
      <c r="E13" s="348">
        <v>5.0</v>
      </c>
      <c r="F13" s="353" t="str">
        <f t="array" ref="F13">iferror(vlookup(F$12&amp;"-"&amp;$E13,{index('Output_HALO - Nordics'!$A:$ZZ,0,$C$8),index('Output_HALO - Nordics'!$A:$ZZ,0,$C$3)},2,0),"")</f>
        <v/>
      </c>
      <c r="G13" s="353" t="str">
        <f t="array" ref="G13">iferror(vlookup(G$12&amp;"-"&amp;$E13,{index('Output_HALO - Nordics'!$A:$ZZ,0,$C$8),index('Output_HALO - Nordics'!$A:$ZZ,0,$C$3)},2,0),"")</f>
        <v/>
      </c>
      <c r="H13" s="353" t="str">
        <f t="array" ref="H13">iferror(vlookup(H$12&amp;"-"&amp;$E13,{index('Output_HALO - Nordics'!$A:$ZZ,0,$C$8),index('Output_HALO - Nordics'!$A:$ZZ,0,$C$3)},2,0),"")</f>
        <v/>
      </c>
      <c r="I13" s="353" t="str">
        <f t="array" ref="I13">iferror(vlookup(I$12&amp;"-"&amp;$E13,{index('Output_HALO - Nordics'!$A:$ZZ,0,$C$8),index('Output_HALO - Nordics'!$A:$ZZ,0,$C$3)},2,0),"")</f>
        <v/>
      </c>
      <c r="J13" s="353" t="str">
        <f t="array" ref="J13">iferror(vlookup(J$12&amp;"-"&amp;$E13,{index('Output_HALO - Nordics'!$A:$ZZ,0,$C$8),index('Output_HALO - Nordics'!$A:$ZZ,0,$C$3)},2,0),"")</f>
        <v/>
      </c>
      <c r="K13" s="353" t="str">
        <f t="array" ref="K13">iferror(vlookup(K$12&amp;"-"&amp;$E13,{index('Output_HALO - Nordics'!$A:$ZZ,0,$C$8),index('Output_HALO - Nordics'!$A:$ZZ,0,$C$3)},2,0),"")</f>
        <v/>
      </c>
      <c r="L13" s="353" t="str">
        <f t="array" ref="L13">iferror(vlookup(L$12&amp;"-"&amp;$E13,{index('Output_HALO - Nordics'!$A:$ZZ,0,$C$8),index('Output_HALO - Nordics'!$A:$ZZ,0,$C$3)},2,0),"")</f>
        <v/>
      </c>
      <c r="M13" s="353" t="str">
        <f t="array" ref="M13">iferror(vlookup(M$12&amp;"-"&amp;$E13,{index('Output_HALO - Nordics'!$A:$ZZ,0,$C$8),index('Output_HALO - Nordics'!$A:$ZZ,0,$C$3)},2,0),"")</f>
        <v/>
      </c>
      <c r="N13" s="353" t="str">
        <f t="array" ref="N13">iferror(vlookup(N$12&amp;"-"&amp;$E13,{index('Output_HALO - Nordics'!$A:$ZZ,0,$C$8),index('Output_HALO - Nordics'!$A:$ZZ,0,$C$3)},2,0),"")</f>
        <v/>
      </c>
      <c r="O13" s="353" t="str">
        <f t="array" ref="O13">iferror(vlookup(O$12&amp;"-"&amp;$E13,{index('Output_HALO - Nordics'!$A:$ZZ,0,$C$8),index('Output_HALO - Nordics'!$A:$ZZ,0,$C$3)},2,0),"")</f>
        <v/>
      </c>
      <c r="P13" s="353" t="str">
        <f t="array" ref="P13">iferror(vlookup(P$12&amp;"-"&amp;$E13,{index('Output_HALO - Nordics'!$A:$ZZ,0,$C$8),index('Output_HALO - Nordics'!$A:$ZZ,0,$C$3)},2,0),"")</f>
        <v/>
      </c>
      <c r="Q13" s="353" t="str">
        <f t="array" ref="Q13">iferror(vlookup(Q$12&amp;"-"&amp;$E13,{index('Output_HALO - Nordics'!$A:$ZZ,0,$C$8),index('Output_HALO - Nordics'!$A:$ZZ,0,$C$3)},2,0),"")</f>
        <v/>
      </c>
      <c r="R13" s="353" t="str">
        <f t="array" ref="R13">iferror(vlookup(R$12&amp;"-"&amp;$E13,{index('Output_HALO - Nordics'!$A:$ZZ,0,$C$8),index('Output_HALO - Nordics'!$A:$ZZ,0,$C$3)},2,0),"")</f>
        <v/>
      </c>
      <c r="S13" s="353" t="str">
        <f t="array" ref="S13">iferror(vlookup(S$12&amp;"-"&amp;$E13,{index('Output_HALO - Nordics'!$A:$ZZ,0,$C$8),index('Output_HALO - Nordics'!$A:$ZZ,0,$C$3)},2,0),"")</f>
        <v/>
      </c>
      <c r="T13" s="353" t="str">
        <f t="array" ref="T13">iferror(vlookup(T$12&amp;"-"&amp;$E13,{index('Output_HALO - Nordics'!$A:$ZZ,0,$C$8),index('Output_HALO - Nordics'!$A:$ZZ,0,$C$3)},2,0),"")</f>
        <v/>
      </c>
      <c r="U13" s="353" t="str">
        <f t="array" ref="U13">iferror(vlookup(U$12&amp;"-"&amp;$E13,{index('Output_HALO - Nordics'!$A:$ZZ,0,$C$8),index('Output_HALO - Nordics'!$A:$ZZ,0,$C$3)},2,0),"")</f>
        <v/>
      </c>
      <c r="V13" s="353" t="str">
        <f t="array" ref="V13">iferror(vlookup(V$12&amp;"-"&amp;$E13,{index('Output_HALO - Nordics'!$A:$ZZ,0,$C$8),index('Output_HALO - Nordics'!$A:$ZZ,0,$C$3)},2,0),"")</f>
        <v/>
      </c>
      <c r="W13" s="353" t="str">
        <f t="array" ref="W13">iferror(vlookup(W$12&amp;"-"&amp;$E13,{index('Output_HALO - Nordics'!$A:$ZZ,0,$C$8),index('Output_HALO - Nordics'!$A:$ZZ,0,$C$3)},2,0),"")</f>
        <v/>
      </c>
      <c r="X13" s="353" t="str">
        <f t="array" ref="X13">iferror(vlookup(X$12&amp;"-"&amp;$E13,{index('Output_HALO - Nordics'!$A:$ZZ,0,$C$8),index('Output_HALO - Nordics'!$A:$ZZ,0,$C$3)},2,0),"")</f>
        <v/>
      </c>
      <c r="Y13" s="353" t="str">
        <f t="array" ref="Y13">iferror(vlookup(Y$12&amp;"-"&amp;$E13,{index('Output_HALO - Nordics'!$A:$ZZ,0,$C$8),index('Output_HALO - Nordics'!$A:$ZZ,0,$C$3)},2,0),"")</f>
        <v/>
      </c>
      <c r="Z13" s="353" t="str">
        <f t="array" ref="Z13">iferror(vlookup(Z$12&amp;"-"&amp;$E13,{index('Output_HALO - Nordics'!$A:$ZZ,0,$C$8),index('Output_HALO - Nordics'!$A:$ZZ,0,$C$3)},2,0),"")</f>
        <v/>
      </c>
      <c r="AA13" s="353" t="str">
        <f t="array" ref="AA13">iferror(vlookup(AA$12&amp;"-"&amp;$E13,{index('Output_HALO - Nordics'!$A:$ZZ,0,$C$8),index('Output_HALO - Nordics'!$A:$ZZ,0,$C$3)},2,0),"")</f>
        <v/>
      </c>
      <c r="AB13" s="353" t="str">
        <f t="array" ref="AB13">iferror(vlookup(AB$12&amp;"-"&amp;$E13,{index('Output_HALO - Nordics'!$A:$ZZ,0,$C$8),index('Output_HALO - Nordics'!$A:$ZZ,0,$C$3)},2,0),"")</f>
        <v/>
      </c>
      <c r="AC13" s="353" t="str">
        <f t="array" ref="AC13">iferror(vlookup(AC$12&amp;"-"&amp;$E13,{index('Output_HALO - Nordics'!$A:$ZZ,0,$C$8),index('Output_HALO - Nordics'!$A:$ZZ,0,$C$3)},2,0),"")</f>
        <v/>
      </c>
      <c r="AD13" s="353" t="str">
        <f t="array" ref="AD13">iferror(vlookup(AD$12&amp;"-"&amp;$E13,{index('Output_HALO - Nordics'!$A:$ZZ,0,$C$8),index('Output_HALO - Nordics'!$A:$ZZ,0,$C$3)},2,0),"")</f>
        <v/>
      </c>
      <c r="AE13" s="353" t="str">
        <f t="array" ref="AE13">iferror(vlookup(AE$12&amp;"-"&amp;$E13,{index('Output_HALO - Nordics'!$A:$ZZ,0,$C$8),index('Output_HALO - Nordics'!$A:$ZZ,0,$C$3)},2,0),"")</f>
        <v/>
      </c>
      <c r="AF13" s="353" t="str">
        <f t="array" ref="AF13">iferror(vlookup(AF$12&amp;"-"&amp;$E13,{index('Output_HALO - Nordics'!$A:$ZZ,0,$C$8),index('Output_HALO - Nordics'!$A:$ZZ,0,$C$3)},2,0),"")</f>
        <v/>
      </c>
      <c r="AG13" s="353" t="str">
        <f t="array" ref="AG13">iferror(vlookup(AG$12&amp;"-"&amp;$E13,{index('Output_HALO - Nordics'!$A:$ZZ,0,$C$8),index('Output_HALO - Nordics'!$A:$ZZ,0,$C$3)},2,0),"")</f>
        <v/>
      </c>
      <c r="AH13" s="353" t="str">
        <f t="array" ref="AH13">iferror(vlookup(AH$12&amp;"-"&amp;$E13,{index('Output_HALO - Nordics'!$A:$ZZ,0,$C$8),index('Output_HALO - Nordics'!$A:$ZZ,0,$C$3)},2,0),"")</f>
        <v/>
      </c>
      <c r="AI13" s="353" t="str">
        <f t="array" ref="AI13">iferror(vlookup(AI$12&amp;"-"&amp;$E13,{index('Output_HALO - Nordics'!$A:$ZZ,0,$C$8),index('Output_HALO - Nordics'!$A:$ZZ,0,$C$3)},2,0),"")</f>
        <v/>
      </c>
      <c r="AJ13" s="353" t="str">
        <f t="array" ref="AJ13">iferror(vlookup(AJ$12&amp;"-"&amp;$E13,{index('Output_HALO - Nordics'!$A:$ZZ,0,$C$8),index('Output_HALO - Nordics'!$A:$ZZ,0,$C$3)},2,0),"")</f>
        <v/>
      </c>
      <c r="AK13" s="353" t="str">
        <f t="array" ref="AK13">iferror(vlookup(AK$12&amp;"-"&amp;$E13,{index('Output_HALO - Nordics'!$A:$ZZ,0,$C$8),index('Output_HALO - Nordics'!$A:$ZZ,0,$C$3)},2,0),"")</f>
        <v/>
      </c>
      <c r="AL13" s="353" t="str">
        <f t="array" ref="AL13">iferror(vlookup(AL$12&amp;"-"&amp;$E13,{index('Output_HALO - Nordics'!$A:$ZZ,0,$C$8),index('Output_HALO - Nordics'!$A:$ZZ,0,$C$3)},2,0),"")</f>
        <v/>
      </c>
      <c r="AM13" s="353" t="str">
        <f t="array" ref="AM13">iferror(vlookup(AM$12&amp;"-"&amp;$E13,{index('Output_HALO - Nordics'!$A:$ZZ,0,$C$8),index('Output_HALO - Nordics'!$A:$ZZ,0,$C$3)},2,0),"")</f>
        <v/>
      </c>
      <c r="AN13" s="353" t="str">
        <f t="array" ref="AN13">iferror(vlookup(AN$12&amp;"-"&amp;$E13,{index('Output_HALO - Nordics'!$A:$ZZ,0,$C$8),index('Output_HALO - Nordics'!$A:$ZZ,0,$C$3)},2,0),"")</f>
        <v/>
      </c>
      <c r="AO13" s="353" t="str">
        <f t="array" ref="AO13">iferror(vlookup(AO$12&amp;"-"&amp;$E13,{index('Output_HALO - Nordics'!$A:$ZZ,0,$C$8),index('Output_HALO - Nordics'!$A:$ZZ,0,$C$3)},2,0),"")</f>
        <v/>
      </c>
      <c r="AP13" s="353" t="str">
        <f t="array" ref="AP13">iferror(vlookup(AP$12&amp;"-"&amp;$E13,{index('Output_HALO - Nordics'!$A:$ZZ,0,$C$8),index('Output_HALO - Nordics'!$A:$ZZ,0,$C$3)},2,0),"")</f>
        <v/>
      </c>
      <c r="AQ13" s="353" t="str">
        <f t="array" ref="AQ13">iferror(vlookup(AQ$12&amp;"-"&amp;$E13,{index('Output_HALO - Nordics'!$A:$ZZ,0,$C$8),index('Output_HALO - Nordics'!$A:$ZZ,0,$C$3)},2,0),"")</f>
        <v/>
      </c>
      <c r="AR13" s="353" t="str">
        <f t="array" ref="AR13">iferror(vlookup(AR$12&amp;"-"&amp;$E13,{index('Output_HALO - Nordics'!$A:$ZZ,0,$C$8),index('Output_HALO - Nordics'!$A:$ZZ,0,$C$3)},2,0),"")</f>
        <v/>
      </c>
      <c r="AS13" s="353" t="str">
        <f t="array" ref="AS13">iferror(vlookup(AS$12&amp;"-"&amp;$E13,{index('Output_HALO - Nordics'!$A:$ZZ,0,$C$8),index('Output_HALO - Nordics'!$A:$ZZ,0,$C$3)},2,0),"")</f>
        <v/>
      </c>
      <c r="AT13" s="353" t="str">
        <f t="array" ref="AT13">iferror(vlookup(AT$12&amp;"-"&amp;$E13,{index('Output_HALO - Nordics'!$A:$ZZ,0,$C$8),index('Output_HALO - Nordics'!$A:$ZZ,0,$C$3)},2,0),"")</f>
        <v/>
      </c>
      <c r="AU13" s="353" t="str">
        <f t="array" ref="AU13">iferror(vlookup(AU$12&amp;"-"&amp;$E13,{index('Output_HALO - Nordics'!$A:$ZZ,0,$C$8),index('Output_HALO - Nordics'!$A:$ZZ,0,$C$3)},2,0),"")</f>
        <v/>
      </c>
      <c r="AV13" s="353" t="str">
        <f t="array" ref="AV13">iferror(vlookup(AV$12&amp;"-"&amp;$E13,{index('Output_HALO - Nordics'!$A:$ZZ,0,$C$8),index('Output_HALO - Nordics'!$A:$ZZ,0,$C$3)},2,0),"")</f>
        <v/>
      </c>
      <c r="AW13" s="353" t="str">
        <f t="array" ref="AW13">iferror(vlookup(AW$12&amp;"-"&amp;$E13,{index('Output_HALO - Nordics'!$A:$ZZ,0,$C$8),index('Output_HALO - Nordics'!$A:$ZZ,0,$C$3)},2,0),"")</f>
        <v/>
      </c>
      <c r="AX13" s="353" t="str">
        <f t="array" ref="AX13">iferror(vlookup(AX$12&amp;"-"&amp;$E13,{index('Output_HALO - Nordics'!$A:$ZZ,0,$C$8),index('Output_HALO - Nordics'!$A:$ZZ,0,$C$3)},2,0),"")</f>
        <v/>
      </c>
      <c r="AY13" s="353" t="str">
        <f t="array" ref="AY13">iferror(vlookup(AY$12&amp;"-"&amp;$E13,{index('Output_HALO - Nordics'!$A:$ZZ,0,$C$8),index('Output_HALO - Nordics'!$A:$ZZ,0,$C$3)},2,0),"")</f>
        <v/>
      </c>
      <c r="AZ13" s="353" t="str">
        <f t="array" ref="AZ13">iferror(vlookup(AZ$12&amp;"-"&amp;$E13,{index('Output_HALO - Nordics'!$A:$ZZ,0,$C$8),index('Output_HALO - Nordics'!$A:$ZZ,0,$C$3)},2,0),"")</f>
        <v/>
      </c>
      <c r="BA13" s="353" t="str">
        <f t="array" ref="BA13">iferror(vlookup(BA$12&amp;"-"&amp;$E13,{index('Output_HALO - Nordics'!$A:$ZZ,0,$C$8),index('Output_HALO - Nordics'!$A:$ZZ,0,$C$3)},2,0),"")</f>
        <v/>
      </c>
      <c r="BB13" s="353" t="str">
        <f t="array" ref="BB13">iferror(vlookup(BB$12&amp;"-"&amp;$E13,{index('Output_HALO - Nordics'!$A:$ZZ,0,$C$8),index('Output_HALO - Nordics'!$A:$ZZ,0,$C$3)},2,0),"")</f>
        <v/>
      </c>
      <c r="BC13" s="353" t="str">
        <f t="array" ref="BC13">iferror(vlookup(BC$12&amp;"-"&amp;$E13,{index('Output_HALO - Nordics'!$A:$ZZ,0,$C$8),index('Output_HALO - Nordics'!$A:$ZZ,0,$C$3)},2,0),"")</f>
        <v/>
      </c>
      <c r="BD13" s="353" t="str">
        <f t="array" ref="BD13">iferror(vlookup(BD$12&amp;"-"&amp;$E13,{index('Output_HALO - Nordics'!$A:$ZZ,0,$C$8),index('Output_HALO - Nordics'!$A:$ZZ,0,$C$3)},2,0),"")</f>
        <v/>
      </c>
      <c r="BE13" s="353" t="str">
        <f t="array" ref="BE13">iferror(vlookup(BE$12&amp;"-"&amp;$E13,{index('Output_HALO - Nordics'!$A:$ZZ,0,$C$8),index('Output_HALO - Nordics'!$A:$ZZ,0,$C$3)},2,0),"")</f>
        <v/>
      </c>
      <c r="BF13" s="353" t="str">
        <f t="array" ref="BF13">iferror(vlookup(BF$12&amp;"-"&amp;$E13,{index('Output_HALO - Nordics'!$A:$ZZ,0,$C$8),index('Output_HALO - Nordics'!$A:$ZZ,0,$C$3)},2,0),"")</f>
        <v/>
      </c>
      <c r="BG13" s="353" t="str">
        <f t="array" ref="BG13">iferror(vlookup(BG$12&amp;"-"&amp;$E13,{index('Output_HALO - Nordics'!$A:$ZZ,0,$C$8),index('Output_HALO - Nordics'!$A:$ZZ,0,$C$3)},2,0),"")</f>
        <v/>
      </c>
      <c r="BH13" s="353" t="str">
        <f t="array" ref="BH13">iferror(vlookup(BH$12&amp;"-"&amp;$E13,{index('Output_HALO - Nordics'!$A:$ZZ,0,$C$8),index('Output_HALO - Nordics'!$A:$ZZ,0,$C$3)},2,0),"")</f>
        <v/>
      </c>
      <c r="BI13" s="353" t="str">
        <f t="array" ref="BI13">iferror(vlookup(BI$12&amp;"-"&amp;$E13,{index('Output_HALO - Nordics'!$A:$ZZ,0,$C$8),index('Output_HALO - Nordics'!$A:$ZZ,0,$C$3)},2,0),"")</f>
        <v/>
      </c>
      <c r="BJ13" s="353" t="str">
        <f t="array" ref="BJ13">iferror(vlookup(BJ$12&amp;"-"&amp;$E13,{index('Output_HALO - Nordics'!$A:$ZZ,0,$C$8),index('Output_HALO - Nordics'!$A:$ZZ,0,$C$3)},2,0),"")</f>
        <v/>
      </c>
      <c r="BK13" s="353" t="str">
        <f t="array" ref="BK13">iferror(vlookup(BK$12&amp;"-"&amp;$E13,{index('Output_HALO - Nordics'!$A:$ZZ,0,$C$8),index('Output_HALO - Nordics'!$A:$ZZ,0,$C$3)},2,0),"")</f>
        <v/>
      </c>
      <c r="BL13" s="353" t="str">
        <f t="array" ref="BL13">iferror(vlookup(BL$12&amp;"-"&amp;$E13,{index('Output_HALO - Nordics'!$A:$ZZ,0,$C$8),index('Output_HALO - Nordics'!$A:$ZZ,0,$C$3)},2,0),"")</f>
        <v/>
      </c>
      <c r="BM13" s="353" t="str">
        <f t="array" ref="BM13">iferror(vlookup(BM$12&amp;"-"&amp;$E13,{index('Output_HALO - Nordics'!$A:$ZZ,0,$C$8),index('Output_HALO - Nordics'!$A:$ZZ,0,$C$3)},2,0),"")</f>
        <v/>
      </c>
      <c r="BN13" s="353" t="str">
        <f t="array" ref="BN13">iferror(vlookup(BN$12&amp;"-"&amp;$E13,{index('Output_HALO - Nordics'!$A:$ZZ,0,$C$8),index('Output_HALO - Nordics'!$A:$ZZ,0,$C$3)},2,0),"")</f>
        <v/>
      </c>
      <c r="BO13" s="353" t="str">
        <f t="array" ref="BO13">iferror(vlookup(BO$12&amp;"-"&amp;$E13,{index('Output_HALO - Nordics'!$A:$ZZ,0,$C$8),index('Output_HALO - Nordics'!$A:$ZZ,0,$C$3)},2,0),"")</f>
        <v/>
      </c>
      <c r="BP13" s="353" t="str">
        <f t="array" ref="BP13">iferror(vlookup(BP$12&amp;"-"&amp;$E13,{index('Output_HALO - Nordics'!$A:$ZZ,0,$C$8),index('Output_HALO - Nordics'!$A:$ZZ,0,$C$3)},2,0),"")</f>
        <v/>
      </c>
      <c r="BQ13" s="353" t="str">
        <f t="array" ref="BQ13">iferror(vlookup(BQ$12&amp;"-"&amp;$E13,{index('Output_HALO - Nordics'!$A:$ZZ,0,$C$8),index('Output_HALO - Nordics'!$A:$ZZ,0,$C$3)},2,0),"")</f>
        <v/>
      </c>
    </row>
    <row r="14" hidden="1">
      <c r="E14" s="348">
        <v>5.0</v>
      </c>
      <c r="F14" s="353">
        <f t="array" ref="F14">iferror(vlookup(F13,{index('Output_HALO - Nordics'!$A:$ZZ,0,$C$3),index('Output_HALO - Nordics'!$A:$ZZ,0,$C$4)},2,0),"")</f>
        <v>0</v>
      </c>
      <c r="G14" s="353">
        <f t="array" ref="G14">iferror(vlookup(G13,{index('Output_HALO - Nordics'!$A:$ZZ,0,$C$3),index('Output_HALO - Nordics'!$A:$ZZ,0,$C$4)},2,0),"")</f>
        <v>0</v>
      </c>
      <c r="H14" s="353">
        <f t="array" ref="H14">iferror(vlookup(H13,{index('Output_HALO - Nordics'!$A:$ZZ,0,$C$3),index('Output_HALO - Nordics'!$A:$ZZ,0,$C$4)},2,0),"")</f>
        <v>0</v>
      </c>
      <c r="I14" s="353">
        <f t="array" ref="I14">iferror(vlookup(I13,{index('Output_HALO - Nordics'!$A:$ZZ,0,$C$3),index('Output_HALO - Nordics'!$A:$ZZ,0,$C$4)},2,0),"")</f>
        <v>0</v>
      </c>
      <c r="J14" s="353">
        <f t="array" ref="J14">iferror(vlookup(J13,{index('Output_HALO - Nordics'!$A:$ZZ,0,$C$3),index('Output_HALO - Nordics'!$A:$ZZ,0,$C$4)},2,0),"")</f>
        <v>0</v>
      </c>
      <c r="K14" s="353">
        <f t="array" ref="K14">iferror(vlookup(K13,{index('Output_HALO - Nordics'!$A:$ZZ,0,$C$3),index('Output_HALO - Nordics'!$A:$ZZ,0,$C$4)},2,0),"")</f>
        <v>0</v>
      </c>
      <c r="L14" s="353">
        <f t="array" ref="L14">iferror(vlookup(L13,{index('Output_HALO - Nordics'!$A:$ZZ,0,$C$3),index('Output_HALO - Nordics'!$A:$ZZ,0,$C$4)},2,0),"")</f>
        <v>0</v>
      </c>
      <c r="M14" s="353">
        <f t="array" ref="M14">iferror(vlookup(M13,{index('Output_HALO - Nordics'!$A:$ZZ,0,$C$3),index('Output_HALO - Nordics'!$A:$ZZ,0,$C$4)},2,0),"")</f>
        <v>0</v>
      </c>
      <c r="N14" s="353">
        <f t="array" ref="N14">iferror(vlookup(N13,{index('Output_HALO - Nordics'!$A:$ZZ,0,$C$3),index('Output_HALO - Nordics'!$A:$ZZ,0,$C$4)},2,0),"")</f>
        <v>0</v>
      </c>
      <c r="O14" s="353">
        <f t="array" ref="O14">iferror(vlookup(O13,{index('Output_HALO - Nordics'!$A:$ZZ,0,$C$3),index('Output_HALO - Nordics'!$A:$ZZ,0,$C$4)},2,0),"")</f>
        <v>0</v>
      </c>
      <c r="P14" s="353">
        <f t="array" ref="P14">iferror(vlookup(P13,{index('Output_HALO - Nordics'!$A:$ZZ,0,$C$3),index('Output_HALO - Nordics'!$A:$ZZ,0,$C$4)},2,0),"")</f>
        <v>0</v>
      </c>
      <c r="Q14" s="353">
        <f t="array" ref="Q14">iferror(vlookup(Q13,{index('Output_HALO - Nordics'!$A:$ZZ,0,$C$3),index('Output_HALO - Nordics'!$A:$ZZ,0,$C$4)},2,0),"")</f>
        <v>0</v>
      </c>
      <c r="R14" s="353">
        <f t="array" ref="R14">iferror(vlookup(R13,{index('Output_HALO - Nordics'!$A:$ZZ,0,$C$3),index('Output_HALO - Nordics'!$A:$ZZ,0,$C$4)},2,0),"")</f>
        <v>0</v>
      </c>
      <c r="S14" s="353">
        <f t="array" ref="S14">iferror(vlookup(S13,{index('Output_HALO - Nordics'!$A:$ZZ,0,$C$3),index('Output_HALO - Nordics'!$A:$ZZ,0,$C$4)},2,0),"")</f>
        <v>0</v>
      </c>
      <c r="T14" s="353">
        <f t="array" ref="T14">iferror(vlookup(T13,{index('Output_HALO - Nordics'!$A:$ZZ,0,$C$3),index('Output_HALO - Nordics'!$A:$ZZ,0,$C$4)},2,0),"")</f>
        <v>0</v>
      </c>
      <c r="U14" s="353">
        <f t="array" ref="U14">iferror(vlookup(U13,{index('Output_HALO - Nordics'!$A:$ZZ,0,$C$3),index('Output_HALO - Nordics'!$A:$ZZ,0,$C$4)},2,0),"")</f>
        <v>0</v>
      </c>
      <c r="V14" s="353">
        <f t="array" ref="V14">iferror(vlookup(V13,{index('Output_HALO - Nordics'!$A:$ZZ,0,$C$3),index('Output_HALO - Nordics'!$A:$ZZ,0,$C$4)},2,0),"")</f>
        <v>0</v>
      </c>
      <c r="W14" s="353">
        <f t="array" ref="W14">iferror(vlookup(W13,{index('Output_HALO - Nordics'!$A:$ZZ,0,$C$3),index('Output_HALO - Nordics'!$A:$ZZ,0,$C$4)},2,0),"")</f>
        <v>0</v>
      </c>
      <c r="X14" s="353">
        <f t="array" ref="X14">iferror(vlookup(X13,{index('Output_HALO - Nordics'!$A:$ZZ,0,$C$3),index('Output_HALO - Nordics'!$A:$ZZ,0,$C$4)},2,0),"")</f>
        <v>0</v>
      </c>
      <c r="Y14" s="353">
        <f t="array" ref="Y14">iferror(vlookup(Y13,{index('Output_HALO - Nordics'!$A:$ZZ,0,$C$3),index('Output_HALO - Nordics'!$A:$ZZ,0,$C$4)},2,0),"")</f>
        <v>0</v>
      </c>
      <c r="Z14" s="353">
        <f t="array" ref="Z14">iferror(vlookup(Z13,{index('Output_HALO - Nordics'!$A:$ZZ,0,$C$3),index('Output_HALO - Nordics'!$A:$ZZ,0,$C$4)},2,0),"")</f>
        <v>0</v>
      </c>
      <c r="AA14" s="353">
        <f t="array" ref="AA14">iferror(vlookup(AA13,{index('Output_HALO - Nordics'!$A:$ZZ,0,$C$3),index('Output_HALO - Nordics'!$A:$ZZ,0,$C$4)},2,0),"")</f>
        <v>0</v>
      </c>
      <c r="AB14" s="353">
        <f t="array" ref="AB14">iferror(vlookup(AB13,{index('Output_HALO - Nordics'!$A:$ZZ,0,$C$3),index('Output_HALO - Nordics'!$A:$ZZ,0,$C$4)},2,0),"")</f>
        <v>0</v>
      </c>
      <c r="AC14" s="353">
        <f t="array" ref="AC14">iferror(vlookup(AC13,{index('Output_HALO - Nordics'!$A:$ZZ,0,$C$3),index('Output_HALO - Nordics'!$A:$ZZ,0,$C$4)},2,0),"")</f>
        <v>0</v>
      </c>
      <c r="AD14" s="353">
        <f t="array" ref="AD14">iferror(vlookup(AD13,{index('Output_HALO - Nordics'!$A:$ZZ,0,$C$3),index('Output_HALO - Nordics'!$A:$ZZ,0,$C$4)},2,0),"")</f>
        <v>0</v>
      </c>
      <c r="AE14" s="353">
        <f t="array" ref="AE14">iferror(vlookup(AE13,{index('Output_HALO - Nordics'!$A:$ZZ,0,$C$3),index('Output_HALO - Nordics'!$A:$ZZ,0,$C$4)},2,0),"")</f>
        <v>0</v>
      </c>
      <c r="AF14" s="353">
        <f t="array" ref="AF14">iferror(vlookup(AF13,{index('Output_HALO - Nordics'!$A:$ZZ,0,$C$3),index('Output_HALO - Nordics'!$A:$ZZ,0,$C$4)},2,0),"")</f>
        <v>0</v>
      </c>
      <c r="AG14" s="353">
        <f t="array" ref="AG14">iferror(vlookup(AG13,{index('Output_HALO - Nordics'!$A:$ZZ,0,$C$3),index('Output_HALO - Nordics'!$A:$ZZ,0,$C$4)},2,0),"")</f>
        <v>0</v>
      </c>
      <c r="AH14" s="353">
        <f t="array" ref="AH14">iferror(vlookup(AH13,{index('Output_HALO - Nordics'!$A:$ZZ,0,$C$3),index('Output_HALO - Nordics'!$A:$ZZ,0,$C$4)},2,0),"")</f>
        <v>0</v>
      </c>
      <c r="AI14" s="353">
        <f t="array" ref="AI14">iferror(vlookup(AI13,{index('Output_HALO - Nordics'!$A:$ZZ,0,$C$3),index('Output_HALO - Nordics'!$A:$ZZ,0,$C$4)},2,0),"")</f>
        <v>0</v>
      </c>
      <c r="AJ14" s="353">
        <f t="array" ref="AJ14">iferror(vlookup(AJ13,{index('Output_HALO - Nordics'!$A:$ZZ,0,$C$3),index('Output_HALO - Nordics'!$A:$ZZ,0,$C$4)},2,0),"")</f>
        <v>0</v>
      </c>
      <c r="AK14" s="353">
        <f t="array" ref="AK14">iferror(vlookup(AK13,{index('Output_HALO - Nordics'!$A:$ZZ,0,$C$3),index('Output_HALO - Nordics'!$A:$ZZ,0,$C$4)},2,0),"")</f>
        <v>0</v>
      </c>
      <c r="AL14" s="353">
        <f t="array" ref="AL14">iferror(vlookup(AL13,{index('Output_HALO - Nordics'!$A:$ZZ,0,$C$3),index('Output_HALO - Nordics'!$A:$ZZ,0,$C$4)},2,0),"")</f>
        <v>0</v>
      </c>
      <c r="AM14" s="353">
        <f t="array" ref="AM14">iferror(vlookup(AM13,{index('Output_HALO - Nordics'!$A:$ZZ,0,$C$3),index('Output_HALO - Nordics'!$A:$ZZ,0,$C$4)},2,0),"")</f>
        <v>0</v>
      </c>
      <c r="AN14" s="353">
        <f t="array" ref="AN14">iferror(vlookup(AN13,{index('Output_HALO - Nordics'!$A:$ZZ,0,$C$3),index('Output_HALO - Nordics'!$A:$ZZ,0,$C$4)},2,0),"")</f>
        <v>0</v>
      </c>
      <c r="AO14" s="353">
        <f t="array" ref="AO14">iferror(vlookup(AO13,{index('Output_HALO - Nordics'!$A:$ZZ,0,$C$3),index('Output_HALO - Nordics'!$A:$ZZ,0,$C$4)},2,0),"")</f>
        <v>0</v>
      </c>
      <c r="AP14" s="353">
        <f t="array" ref="AP14">iferror(vlookup(AP13,{index('Output_HALO - Nordics'!$A:$ZZ,0,$C$3),index('Output_HALO - Nordics'!$A:$ZZ,0,$C$4)},2,0),"")</f>
        <v>0</v>
      </c>
      <c r="AQ14" s="353">
        <f t="array" ref="AQ14">iferror(vlookup(AQ13,{index('Output_HALO - Nordics'!$A:$ZZ,0,$C$3),index('Output_HALO - Nordics'!$A:$ZZ,0,$C$4)},2,0),"")</f>
        <v>0</v>
      </c>
      <c r="AR14" s="353">
        <f t="array" ref="AR14">iferror(vlookup(AR13,{index('Output_HALO - Nordics'!$A:$ZZ,0,$C$3),index('Output_HALO - Nordics'!$A:$ZZ,0,$C$4)},2,0),"")</f>
        <v>0</v>
      </c>
      <c r="AS14" s="353">
        <f t="array" ref="AS14">iferror(vlookup(AS13,{index('Output_HALO - Nordics'!$A:$ZZ,0,$C$3),index('Output_HALO - Nordics'!$A:$ZZ,0,$C$4)},2,0),"")</f>
        <v>0</v>
      </c>
      <c r="AT14" s="353">
        <f t="array" ref="AT14">iferror(vlookup(AT13,{index('Output_HALO - Nordics'!$A:$ZZ,0,$C$3),index('Output_HALO - Nordics'!$A:$ZZ,0,$C$4)},2,0),"")</f>
        <v>0</v>
      </c>
      <c r="AU14" s="353">
        <f t="array" ref="AU14">iferror(vlookup(AU13,{index('Output_HALO - Nordics'!$A:$ZZ,0,$C$3),index('Output_HALO - Nordics'!$A:$ZZ,0,$C$4)},2,0),"")</f>
        <v>0</v>
      </c>
      <c r="AV14" s="353">
        <f t="array" ref="AV14">iferror(vlookup(AV13,{index('Output_HALO - Nordics'!$A:$ZZ,0,$C$3),index('Output_HALO - Nordics'!$A:$ZZ,0,$C$4)},2,0),"")</f>
        <v>0</v>
      </c>
      <c r="AW14" s="353">
        <f t="array" ref="AW14">iferror(vlookup(AW13,{index('Output_HALO - Nordics'!$A:$ZZ,0,$C$3),index('Output_HALO - Nordics'!$A:$ZZ,0,$C$4)},2,0),"")</f>
        <v>0</v>
      </c>
      <c r="AX14" s="353">
        <f t="array" ref="AX14">iferror(vlookup(AX13,{index('Output_HALO - Nordics'!$A:$ZZ,0,$C$3),index('Output_HALO - Nordics'!$A:$ZZ,0,$C$4)},2,0),"")</f>
        <v>0</v>
      </c>
      <c r="AY14" s="353">
        <f t="array" ref="AY14">iferror(vlookup(AY13,{index('Output_HALO - Nordics'!$A:$ZZ,0,$C$3),index('Output_HALO - Nordics'!$A:$ZZ,0,$C$4)},2,0),"")</f>
        <v>0</v>
      </c>
      <c r="AZ14" s="353">
        <f t="array" ref="AZ14">iferror(vlookup(AZ13,{index('Output_HALO - Nordics'!$A:$ZZ,0,$C$3),index('Output_HALO - Nordics'!$A:$ZZ,0,$C$4)},2,0),"")</f>
        <v>0</v>
      </c>
      <c r="BA14" s="353">
        <f t="array" ref="BA14">iferror(vlookup(BA13,{index('Output_HALO - Nordics'!$A:$ZZ,0,$C$3),index('Output_HALO - Nordics'!$A:$ZZ,0,$C$4)},2,0),"")</f>
        <v>0</v>
      </c>
      <c r="BB14" s="353">
        <f t="array" ref="BB14">iferror(vlookup(BB13,{index('Output_HALO - Nordics'!$A:$ZZ,0,$C$3),index('Output_HALO - Nordics'!$A:$ZZ,0,$C$4)},2,0),"")</f>
        <v>0</v>
      </c>
      <c r="BC14" s="353">
        <f t="array" ref="BC14">iferror(vlookup(BC13,{index('Output_HALO - Nordics'!$A:$ZZ,0,$C$3),index('Output_HALO - Nordics'!$A:$ZZ,0,$C$4)},2,0),"")</f>
        <v>0</v>
      </c>
      <c r="BD14" s="353">
        <f t="array" ref="BD14">iferror(vlookup(BD13,{index('Output_HALO - Nordics'!$A:$ZZ,0,$C$3),index('Output_HALO - Nordics'!$A:$ZZ,0,$C$4)},2,0),"")</f>
        <v>0</v>
      </c>
      <c r="BE14" s="353">
        <f t="array" ref="BE14">iferror(vlookup(BE13,{index('Output_HALO - Nordics'!$A:$ZZ,0,$C$3),index('Output_HALO - Nordics'!$A:$ZZ,0,$C$4)},2,0),"")</f>
        <v>0</v>
      </c>
      <c r="BF14" s="353">
        <f t="array" ref="BF14">iferror(vlookup(BF13,{index('Output_HALO - Nordics'!$A:$ZZ,0,$C$3),index('Output_HALO - Nordics'!$A:$ZZ,0,$C$4)},2,0),"")</f>
        <v>0</v>
      </c>
      <c r="BG14" s="353">
        <f t="array" ref="BG14">iferror(vlookup(BG13,{index('Output_HALO - Nordics'!$A:$ZZ,0,$C$3),index('Output_HALO - Nordics'!$A:$ZZ,0,$C$4)},2,0),"")</f>
        <v>0</v>
      </c>
      <c r="BH14" s="353">
        <f t="array" ref="BH14">iferror(vlookup(BH13,{index('Output_HALO - Nordics'!$A:$ZZ,0,$C$3),index('Output_HALO - Nordics'!$A:$ZZ,0,$C$4)},2,0),"")</f>
        <v>0</v>
      </c>
      <c r="BI14" s="353">
        <f t="array" ref="BI14">iferror(vlookup(BI13,{index('Output_HALO - Nordics'!$A:$ZZ,0,$C$3),index('Output_HALO - Nordics'!$A:$ZZ,0,$C$4)},2,0),"")</f>
        <v>0</v>
      </c>
      <c r="BJ14" s="353">
        <f t="array" ref="BJ14">iferror(vlookup(BJ13,{index('Output_HALO - Nordics'!$A:$ZZ,0,$C$3),index('Output_HALO - Nordics'!$A:$ZZ,0,$C$4)},2,0),"")</f>
        <v>0</v>
      </c>
      <c r="BK14" s="353">
        <f t="array" ref="BK14">iferror(vlookup(BK13,{index('Output_HALO - Nordics'!$A:$ZZ,0,$C$3),index('Output_HALO - Nordics'!$A:$ZZ,0,$C$4)},2,0),"")</f>
        <v>0</v>
      </c>
      <c r="BL14" s="353">
        <f t="array" ref="BL14">iferror(vlookup(BL13,{index('Output_HALO - Nordics'!$A:$ZZ,0,$C$3),index('Output_HALO - Nordics'!$A:$ZZ,0,$C$4)},2,0),"")</f>
        <v>0</v>
      </c>
      <c r="BM14" s="353">
        <f t="array" ref="BM14">iferror(vlookup(BM13,{index('Output_HALO - Nordics'!$A:$ZZ,0,$C$3),index('Output_HALO - Nordics'!$A:$ZZ,0,$C$4)},2,0),"")</f>
        <v>0</v>
      </c>
      <c r="BN14" s="353">
        <f t="array" ref="BN14">iferror(vlookup(BN13,{index('Output_HALO - Nordics'!$A:$ZZ,0,$C$3),index('Output_HALO - Nordics'!$A:$ZZ,0,$C$4)},2,0),"")</f>
        <v>0</v>
      </c>
      <c r="BO14" s="353">
        <f t="array" ref="BO14">iferror(vlookup(BO13,{index('Output_HALO - Nordics'!$A:$ZZ,0,$C$3),index('Output_HALO - Nordics'!$A:$ZZ,0,$C$4)},2,0),"")</f>
        <v>0</v>
      </c>
      <c r="BP14" s="353">
        <f t="array" ref="BP14">iferror(vlookup(BP13,{index('Output_HALO - Nordics'!$A:$ZZ,0,$C$3),index('Output_HALO - Nordics'!$A:$ZZ,0,$C$4)},2,0),"")</f>
        <v>0</v>
      </c>
      <c r="BQ14" s="353">
        <f t="array" ref="BQ14">iferror(vlookup(BQ13,{index('Output_HALO - Nordics'!$A:$ZZ,0,$C$3),index('Output_HALO - Nordics'!$A:$ZZ,0,$C$4)},2,0),"")</f>
        <v>0</v>
      </c>
    </row>
    <row r="15" hidden="1">
      <c r="E15" s="348">
        <v>5.0</v>
      </c>
      <c r="F15" s="353" t="str">
        <f t="array" ref="F15">iferror(vlookup(F$12&amp;"-"&amp;$E15,{index('Output_HALO - Nordics'!$A:$ZZ,0,$C$8),index('Output_HALO - Nordics'!$A:$ZZ,0,$C$5)},2,0),"")</f>
        <v/>
      </c>
      <c r="G15" s="353" t="str">
        <f t="array" ref="G15">iferror(vlookup(G$12&amp;"-"&amp;$E15,{index('Output_HALO - Nordics'!$A:$ZZ,0,$C$8),index('Output_HALO - Nordics'!$A:$ZZ,0,$C$5)},2,0),"")</f>
        <v/>
      </c>
      <c r="H15" s="353" t="str">
        <f t="array" ref="H15">iferror(vlookup(H$12&amp;"-"&amp;$E15,{index('Output_HALO - Nordics'!$A:$ZZ,0,$C$8),index('Output_HALO - Nordics'!$A:$ZZ,0,$C$5)},2,0),"")</f>
        <v/>
      </c>
      <c r="I15" s="353" t="str">
        <f t="array" ref="I15">iferror(vlookup(I$12&amp;"-"&amp;$E15,{index('Output_HALO - Nordics'!$A:$ZZ,0,$C$8),index('Output_HALO - Nordics'!$A:$ZZ,0,$C$5)},2,0),"")</f>
        <v/>
      </c>
      <c r="J15" s="353" t="str">
        <f t="array" ref="J15">iferror(vlookup(J$12&amp;"-"&amp;$E15,{index('Output_HALO - Nordics'!$A:$ZZ,0,$C$8),index('Output_HALO - Nordics'!$A:$ZZ,0,$C$5)},2,0),"")</f>
        <v/>
      </c>
      <c r="K15" s="353" t="str">
        <f t="array" ref="K15">iferror(vlookup(K$12&amp;"-"&amp;$E15,{index('Output_HALO - Nordics'!$A:$ZZ,0,$C$8),index('Output_HALO - Nordics'!$A:$ZZ,0,$C$5)},2,0),"")</f>
        <v/>
      </c>
      <c r="L15" s="353" t="str">
        <f t="array" ref="L15">iferror(vlookup(L$12&amp;"-"&amp;$E15,{index('Output_HALO - Nordics'!$A:$ZZ,0,$C$8),index('Output_HALO - Nordics'!$A:$ZZ,0,$C$5)},2,0),"")</f>
        <v/>
      </c>
      <c r="M15" s="353" t="str">
        <f t="array" ref="M15">iferror(vlookup(M$12&amp;"-"&amp;$E15,{index('Output_HALO - Nordics'!$A:$ZZ,0,$C$8),index('Output_HALO - Nordics'!$A:$ZZ,0,$C$5)},2,0),"")</f>
        <v/>
      </c>
      <c r="N15" s="353" t="str">
        <f t="array" ref="N15">iferror(vlookup(N$12&amp;"-"&amp;$E15,{index('Output_HALO - Nordics'!$A:$ZZ,0,$C$8),index('Output_HALO - Nordics'!$A:$ZZ,0,$C$5)},2,0),"")</f>
        <v/>
      </c>
      <c r="O15" s="353" t="str">
        <f t="array" ref="O15">iferror(vlookup(O$12&amp;"-"&amp;$E15,{index('Output_HALO - Nordics'!$A:$ZZ,0,$C$8),index('Output_HALO - Nordics'!$A:$ZZ,0,$C$5)},2,0),"")</f>
        <v/>
      </c>
      <c r="P15" s="353" t="str">
        <f t="array" ref="P15">iferror(vlookup(P$12&amp;"-"&amp;$E15,{index('Output_HALO - Nordics'!$A:$ZZ,0,$C$8),index('Output_HALO - Nordics'!$A:$ZZ,0,$C$5)},2,0),"")</f>
        <v/>
      </c>
      <c r="Q15" s="353" t="str">
        <f t="array" ref="Q15">iferror(vlookup(Q$12&amp;"-"&amp;$E15,{index('Output_HALO - Nordics'!$A:$ZZ,0,$C$8),index('Output_HALO - Nordics'!$A:$ZZ,0,$C$5)},2,0),"")</f>
        <v/>
      </c>
      <c r="R15" s="353" t="str">
        <f t="array" ref="R15">iferror(vlookup(R$12&amp;"-"&amp;$E15,{index('Output_HALO - Nordics'!$A:$ZZ,0,$C$8),index('Output_HALO - Nordics'!$A:$ZZ,0,$C$5)},2,0),"")</f>
        <v/>
      </c>
      <c r="S15" s="353" t="str">
        <f t="array" ref="S15">iferror(vlookup(S$12&amp;"-"&amp;$E15,{index('Output_HALO - Nordics'!$A:$ZZ,0,$C$8),index('Output_HALO - Nordics'!$A:$ZZ,0,$C$5)},2,0),"")</f>
        <v/>
      </c>
      <c r="T15" s="353" t="str">
        <f t="array" ref="T15">iferror(vlookup(T$12&amp;"-"&amp;$E15,{index('Output_HALO - Nordics'!$A:$ZZ,0,$C$8),index('Output_HALO - Nordics'!$A:$ZZ,0,$C$5)},2,0),"")</f>
        <v/>
      </c>
      <c r="U15" s="353" t="str">
        <f t="array" ref="U15">iferror(vlookup(U$12&amp;"-"&amp;$E15,{index('Output_HALO - Nordics'!$A:$ZZ,0,$C$8),index('Output_HALO - Nordics'!$A:$ZZ,0,$C$5)},2,0),"")</f>
        <v/>
      </c>
      <c r="V15" s="353" t="str">
        <f t="array" ref="V15">iferror(vlookup(V$12&amp;"-"&amp;$E15,{index('Output_HALO - Nordics'!$A:$ZZ,0,$C$8),index('Output_HALO - Nordics'!$A:$ZZ,0,$C$5)},2,0),"")</f>
        <v/>
      </c>
      <c r="W15" s="353" t="str">
        <f t="array" ref="W15">iferror(vlookup(W$12&amp;"-"&amp;$E15,{index('Output_HALO - Nordics'!$A:$ZZ,0,$C$8),index('Output_HALO - Nordics'!$A:$ZZ,0,$C$5)},2,0),"")</f>
        <v/>
      </c>
      <c r="X15" s="353" t="str">
        <f t="array" ref="X15">iferror(vlookup(X$12&amp;"-"&amp;$E15,{index('Output_HALO - Nordics'!$A:$ZZ,0,$C$8),index('Output_HALO - Nordics'!$A:$ZZ,0,$C$5)},2,0),"")</f>
        <v/>
      </c>
      <c r="Y15" s="353" t="str">
        <f t="array" ref="Y15">iferror(vlookup(Y$12&amp;"-"&amp;$E15,{index('Output_HALO - Nordics'!$A:$ZZ,0,$C$8),index('Output_HALO - Nordics'!$A:$ZZ,0,$C$5)},2,0),"")</f>
        <v/>
      </c>
      <c r="Z15" s="353" t="str">
        <f t="array" ref="Z15">iferror(vlookup(Z$12&amp;"-"&amp;$E15,{index('Output_HALO - Nordics'!$A:$ZZ,0,$C$8),index('Output_HALO - Nordics'!$A:$ZZ,0,$C$5)},2,0),"")</f>
        <v/>
      </c>
      <c r="AA15" s="353" t="str">
        <f t="array" ref="AA15">iferror(vlookup(AA$12&amp;"-"&amp;$E15,{index('Output_HALO - Nordics'!$A:$ZZ,0,$C$8),index('Output_HALO - Nordics'!$A:$ZZ,0,$C$5)},2,0),"")</f>
        <v/>
      </c>
      <c r="AB15" s="353" t="str">
        <f t="array" ref="AB15">iferror(vlookup(AB$12&amp;"-"&amp;$E15,{index('Output_HALO - Nordics'!$A:$ZZ,0,$C$8),index('Output_HALO - Nordics'!$A:$ZZ,0,$C$5)},2,0),"")</f>
        <v/>
      </c>
      <c r="AC15" s="353" t="str">
        <f t="array" ref="AC15">iferror(vlookup(AC$12&amp;"-"&amp;$E15,{index('Output_HALO - Nordics'!$A:$ZZ,0,$C$8),index('Output_HALO - Nordics'!$A:$ZZ,0,$C$5)},2,0),"")</f>
        <v/>
      </c>
      <c r="AD15" s="353" t="str">
        <f t="array" ref="AD15">iferror(vlookup(AD$12&amp;"-"&amp;$E15,{index('Output_HALO - Nordics'!$A:$ZZ,0,$C$8),index('Output_HALO - Nordics'!$A:$ZZ,0,$C$5)},2,0),"")</f>
        <v/>
      </c>
      <c r="AE15" s="353" t="str">
        <f t="array" ref="AE15">iferror(vlookup(AE$12&amp;"-"&amp;$E15,{index('Output_HALO - Nordics'!$A:$ZZ,0,$C$8),index('Output_HALO - Nordics'!$A:$ZZ,0,$C$5)},2,0),"")</f>
        <v/>
      </c>
      <c r="AF15" s="353" t="str">
        <f t="array" ref="AF15">iferror(vlookup(AF$12&amp;"-"&amp;$E15,{index('Output_HALO - Nordics'!$A:$ZZ,0,$C$8),index('Output_HALO - Nordics'!$A:$ZZ,0,$C$5)},2,0),"")</f>
        <v/>
      </c>
      <c r="AG15" s="353" t="str">
        <f t="array" ref="AG15">iferror(vlookup(AG$12&amp;"-"&amp;$E15,{index('Output_HALO - Nordics'!$A:$ZZ,0,$C$8),index('Output_HALO - Nordics'!$A:$ZZ,0,$C$5)},2,0),"")</f>
        <v/>
      </c>
      <c r="AH15" s="353" t="str">
        <f t="array" ref="AH15">iferror(vlookup(AH$12&amp;"-"&amp;$E15,{index('Output_HALO - Nordics'!$A:$ZZ,0,$C$8),index('Output_HALO - Nordics'!$A:$ZZ,0,$C$5)},2,0),"")</f>
        <v/>
      </c>
      <c r="AI15" s="353" t="str">
        <f t="array" ref="AI15">iferror(vlookup(AI$12&amp;"-"&amp;$E15,{index('Output_HALO - Nordics'!$A:$ZZ,0,$C$8),index('Output_HALO - Nordics'!$A:$ZZ,0,$C$5)},2,0),"")</f>
        <v/>
      </c>
      <c r="AJ15" s="353" t="str">
        <f t="array" ref="AJ15">iferror(vlookup(AJ$12&amp;"-"&amp;$E15,{index('Output_HALO - Nordics'!$A:$ZZ,0,$C$8),index('Output_HALO - Nordics'!$A:$ZZ,0,$C$5)},2,0),"")</f>
        <v/>
      </c>
      <c r="AK15" s="353" t="str">
        <f t="array" ref="AK15">iferror(vlookup(AK$12&amp;"-"&amp;$E15,{index('Output_HALO - Nordics'!$A:$ZZ,0,$C$8),index('Output_HALO - Nordics'!$A:$ZZ,0,$C$5)},2,0),"")</f>
        <v/>
      </c>
      <c r="AL15" s="353" t="str">
        <f t="array" ref="AL15">iferror(vlookup(AL$12&amp;"-"&amp;$E15,{index('Output_HALO - Nordics'!$A:$ZZ,0,$C$8),index('Output_HALO - Nordics'!$A:$ZZ,0,$C$5)},2,0),"")</f>
        <v/>
      </c>
      <c r="AM15" s="353" t="str">
        <f t="array" ref="AM15">iferror(vlookup(AM$12&amp;"-"&amp;$E15,{index('Output_HALO - Nordics'!$A:$ZZ,0,$C$8),index('Output_HALO - Nordics'!$A:$ZZ,0,$C$5)},2,0),"")</f>
        <v/>
      </c>
      <c r="AN15" s="353" t="str">
        <f t="array" ref="AN15">iferror(vlookup(AN$12&amp;"-"&amp;$E15,{index('Output_HALO - Nordics'!$A:$ZZ,0,$C$8),index('Output_HALO - Nordics'!$A:$ZZ,0,$C$5)},2,0),"")</f>
        <v/>
      </c>
      <c r="AO15" s="353" t="str">
        <f t="array" ref="AO15">iferror(vlookup(AO$12&amp;"-"&amp;$E15,{index('Output_HALO - Nordics'!$A:$ZZ,0,$C$8),index('Output_HALO - Nordics'!$A:$ZZ,0,$C$5)},2,0),"")</f>
        <v/>
      </c>
      <c r="AP15" s="353" t="str">
        <f t="array" ref="AP15">iferror(vlookup(AP$12&amp;"-"&amp;$E15,{index('Output_HALO - Nordics'!$A:$ZZ,0,$C$8),index('Output_HALO - Nordics'!$A:$ZZ,0,$C$5)},2,0),"")</f>
        <v/>
      </c>
      <c r="AQ15" s="353" t="str">
        <f t="array" ref="AQ15">iferror(vlookup(AQ$12&amp;"-"&amp;$E15,{index('Output_HALO - Nordics'!$A:$ZZ,0,$C$8),index('Output_HALO - Nordics'!$A:$ZZ,0,$C$5)},2,0),"")</f>
        <v/>
      </c>
      <c r="AR15" s="353" t="str">
        <f t="array" ref="AR15">iferror(vlookup(AR$12&amp;"-"&amp;$E15,{index('Output_HALO - Nordics'!$A:$ZZ,0,$C$8),index('Output_HALO - Nordics'!$A:$ZZ,0,$C$5)},2,0),"")</f>
        <v/>
      </c>
      <c r="AS15" s="353" t="str">
        <f t="array" ref="AS15">iferror(vlookup(AS$12&amp;"-"&amp;$E15,{index('Output_HALO - Nordics'!$A:$ZZ,0,$C$8),index('Output_HALO - Nordics'!$A:$ZZ,0,$C$5)},2,0),"")</f>
        <v/>
      </c>
      <c r="AT15" s="353" t="str">
        <f t="array" ref="AT15">iferror(vlookup(AT$12&amp;"-"&amp;$E15,{index('Output_HALO - Nordics'!$A:$ZZ,0,$C$8),index('Output_HALO - Nordics'!$A:$ZZ,0,$C$5)},2,0),"")</f>
        <v/>
      </c>
      <c r="AU15" s="353" t="str">
        <f t="array" ref="AU15">iferror(vlookup(AU$12&amp;"-"&amp;$E15,{index('Output_HALO - Nordics'!$A:$ZZ,0,$C$8),index('Output_HALO - Nordics'!$A:$ZZ,0,$C$5)},2,0),"")</f>
        <v/>
      </c>
      <c r="AV15" s="353" t="str">
        <f t="array" ref="AV15">iferror(vlookup(AV$12&amp;"-"&amp;$E15,{index('Output_HALO - Nordics'!$A:$ZZ,0,$C$8),index('Output_HALO - Nordics'!$A:$ZZ,0,$C$5)},2,0),"")</f>
        <v/>
      </c>
      <c r="AW15" s="353" t="str">
        <f t="array" ref="AW15">iferror(vlookup(AW$12&amp;"-"&amp;$E15,{index('Output_HALO - Nordics'!$A:$ZZ,0,$C$8),index('Output_HALO - Nordics'!$A:$ZZ,0,$C$5)},2,0),"")</f>
        <v/>
      </c>
      <c r="AX15" s="353" t="str">
        <f t="array" ref="AX15">iferror(vlookup(AX$12&amp;"-"&amp;$E15,{index('Output_HALO - Nordics'!$A:$ZZ,0,$C$8),index('Output_HALO - Nordics'!$A:$ZZ,0,$C$5)},2,0),"")</f>
        <v/>
      </c>
      <c r="AY15" s="353" t="str">
        <f t="array" ref="AY15">iferror(vlookup(AY$12&amp;"-"&amp;$E15,{index('Output_HALO - Nordics'!$A:$ZZ,0,$C$8),index('Output_HALO - Nordics'!$A:$ZZ,0,$C$5)},2,0),"")</f>
        <v/>
      </c>
      <c r="AZ15" s="353" t="str">
        <f t="array" ref="AZ15">iferror(vlookup(AZ$12&amp;"-"&amp;$E15,{index('Output_HALO - Nordics'!$A:$ZZ,0,$C$8),index('Output_HALO - Nordics'!$A:$ZZ,0,$C$5)},2,0),"")</f>
        <v/>
      </c>
      <c r="BA15" s="353" t="str">
        <f t="array" ref="BA15">iferror(vlookup(BA$12&amp;"-"&amp;$E15,{index('Output_HALO - Nordics'!$A:$ZZ,0,$C$8),index('Output_HALO - Nordics'!$A:$ZZ,0,$C$5)},2,0),"")</f>
        <v/>
      </c>
      <c r="BB15" s="353" t="str">
        <f t="array" ref="BB15">iferror(vlookup(BB$12&amp;"-"&amp;$E15,{index('Output_HALO - Nordics'!$A:$ZZ,0,$C$8),index('Output_HALO - Nordics'!$A:$ZZ,0,$C$5)},2,0),"")</f>
        <v/>
      </c>
      <c r="BC15" s="353" t="str">
        <f t="array" ref="BC15">iferror(vlookup(BC$12&amp;"-"&amp;$E15,{index('Output_HALO - Nordics'!$A:$ZZ,0,$C$8),index('Output_HALO - Nordics'!$A:$ZZ,0,$C$5)},2,0),"")</f>
        <v/>
      </c>
      <c r="BD15" s="353" t="str">
        <f t="array" ref="BD15">iferror(vlookup(BD$12&amp;"-"&amp;$E15,{index('Output_HALO - Nordics'!$A:$ZZ,0,$C$8),index('Output_HALO - Nordics'!$A:$ZZ,0,$C$5)},2,0),"")</f>
        <v/>
      </c>
      <c r="BE15" s="353" t="str">
        <f t="array" ref="BE15">iferror(vlookup(BE$12&amp;"-"&amp;$E15,{index('Output_HALO - Nordics'!$A:$ZZ,0,$C$8),index('Output_HALO - Nordics'!$A:$ZZ,0,$C$5)},2,0),"")</f>
        <v/>
      </c>
      <c r="BF15" s="353" t="str">
        <f t="array" ref="BF15">iferror(vlookup(BF$12&amp;"-"&amp;$E15,{index('Output_HALO - Nordics'!$A:$ZZ,0,$C$8),index('Output_HALO - Nordics'!$A:$ZZ,0,$C$5)},2,0),"")</f>
        <v/>
      </c>
      <c r="BG15" s="353" t="str">
        <f t="array" ref="BG15">iferror(vlookup(BG$12&amp;"-"&amp;$E15,{index('Output_HALO - Nordics'!$A:$ZZ,0,$C$8),index('Output_HALO - Nordics'!$A:$ZZ,0,$C$5)},2,0),"")</f>
        <v/>
      </c>
      <c r="BH15" s="353" t="str">
        <f t="array" ref="BH15">iferror(vlookup(BH$12&amp;"-"&amp;$E15,{index('Output_HALO - Nordics'!$A:$ZZ,0,$C$8),index('Output_HALO - Nordics'!$A:$ZZ,0,$C$5)},2,0),"")</f>
        <v/>
      </c>
      <c r="BI15" s="353" t="str">
        <f t="array" ref="BI15">iferror(vlookup(BI$12&amp;"-"&amp;$E15,{index('Output_HALO - Nordics'!$A:$ZZ,0,$C$8),index('Output_HALO - Nordics'!$A:$ZZ,0,$C$5)},2,0),"")</f>
        <v/>
      </c>
      <c r="BJ15" s="353" t="str">
        <f t="array" ref="BJ15">iferror(vlookup(BJ$12&amp;"-"&amp;$E15,{index('Output_HALO - Nordics'!$A:$ZZ,0,$C$8),index('Output_HALO - Nordics'!$A:$ZZ,0,$C$5)},2,0),"")</f>
        <v/>
      </c>
      <c r="BK15" s="353" t="str">
        <f t="array" ref="BK15">iferror(vlookup(BK$12&amp;"-"&amp;$E15,{index('Output_HALO - Nordics'!$A:$ZZ,0,$C$8),index('Output_HALO - Nordics'!$A:$ZZ,0,$C$5)},2,0),"")</f>
        <v/>
      </c>
      <c r="BL15" s="353" t="str">
        <f t="array" ref="BL15">iferror(vlookup(BL$12&amp;"-"&amp;$E15,{index('Output_HALO - Nordics'!$A:$ZZ,0,$C$8),index('Output_HALO - Nordics'!$A:$ZZ,0,$C$5)},2,0),"")</f>
        <v/>
      </c>
      <c r="BM15" s="353" t="str">
        <f t="array" ref="BM15">iferror(vlookup(BM$12&amp;"-"&amp;$E15,{index('Output_HALO - Nordics'!$A:$ZZ,0,$C$8),index('Output_HALO - Nordics'!$A:$ZZ,0,$C$5)},2,0),"")</f>
        <v/>
      </c>
      <c r="BN15" s="353" t="str">
        <f t="array" ref="BN15">iferror(vlookup(BN$12&amp;"-"&amp;$E15,{index('Output_HALO - Nordics'!$A:$ZZ,0,$C$8),index('Output_HALO - Nordics'!$A:$ZZ,0,$C$5)},2,0),"")</f>
        <v/>
      </c>
      <c r="BO15" s="353" t="str">
        <f t="array" ref="BO15">iferror(vlookup(BO$12&amp;"-"&amp;$E15,{index('Output_HALO - Nordics'!$A:$ZZ,0,$C$8),index('Output_HALO - Nordics'!$A:$ZZ,0,$C$5)},2,0),"")</f>
        <v/>
      </c>
      <c r="BP15" s="353" t="str">
        <f t="array" ref="BP15">iferror(vlookup(BP$12&amp;"-"&amp;$E15,{index('Output_HALO - Nordics'!$A:$ZZ,0,$C$8),index('Output_HALO - Nordics'!$A:$ZZ,0,$C$5)},2,0),"")</f>
        <v/>
      </c>
      <c r="BQ15" s="353" t="str">
        <f t="array" ref="BQ15">iferror(vlookup(BQ$12&amp;"-"&amp;$E15,{index('Output_HALO - Nordics'!$A:$ZZ,0,$C$8),index('Output_HALO - Nordics'!$A:$ZZ,0,$C$5)},2,0),"")</f>
        <v/>
      </c>
    </row>
    <row r="16" hidden="1">
      <c r="E16" s="354">
        <v>4.0</v>
      </c>
      <c r="F16" s="353" t="str">
        <f t="array" ref="F16">iferror(vlookup(F$12&amp;"-"&amp;$E16,{index('Output_HALO - Nordics'!$A:$ZZ,0,$C$8),index('Output_HALO - Nordics'!$A:$ZZ,0,$C$3)},2,0),"")</f>
        <v/>
      </c>
      <c r="G16" s="353" t="str">
        <f t="array" ref="G16">iferror(vlookup(G$12&amp;"-"&amp;$E16,{index('Output_HALO - Nordics'!$A:$ZZ,0,$C$8),index('Output_HALO - Nordics'!$A:$ZZ,0,$C$3)},2,0),"")</f>
        <v/>
      </c>
      <c r="H16" s="353" t="str">
        <f t="array" ref="H16">iferror(vlookup(H$12&amp;"-"&amp;$E16,{index('Output_HALO - Nordics'!$A:$ZZ,0,$C$8),index('Output_HALO - Nordics'!$A:$ZZ,0,$C$3)},2,0),"")</f>
        <v/>
      </c>
      <c r="I16" s="353" t="str">
        <f t="array" ref="I16">iferror(vlookup(I$12&amp;"-"&amp;$E16,{index('Output_HALO - Nordics'!$A:$ZZ,0,$C$8),index('Output_HALO - Nordics'!$A:$ZZ,0,$C$3)},2,0),"")</f>
        <v/>
      </c>
      <c r="J16" s="353" t="str">
        <f t="array" ref="J16">iferror(vlookup(J$12&amp;"-"&amp;$E16,{index('Output_HALO - Nordics'!$A:$ZZ,0,$C$8),index('Output_HALO - Nordics'!$A:$ZZ,0,$C$3)},2,0),"")</f>
        <v/>
      </c>
      <c r="K16" s="353" t="str">
        <f t="array" ref="K16">iferror(vlookup(K$12&amp;"-"&amp;$E16,{index('Output_HALO - Nordics'!$A:$ZZ,0,$C$8),index('Output_HALO - Nordics'!$A:$ZZ,0,$C$3)},2,0),"")</f>
        <v/>
      </c>
      <c r="L16" s="353" t="str">
        <f t="array" ref="L16">iferror(vlookup(L$12&amp;"-"&amp;$E16,{index('Output_HALO - Nordics'!$A:$ZZ,0,$C$8),index('Output_HALO - Nordics'!$A:$ZZ,0,$C$3)},2,0),"")</f>
        <v/>
      </c>
      <c r="M16" s="353" t="str">
        <f t="array" ref="M16">iferror(vlookup(M$12&amp;"-"&amp;$E16,{index('Output_HALO - Nordics'!$A:$ZZ,0,$C$8),index('Output_HALO - Nordics'!$A:$ZZ,0,$C$3)},2,0),"")</f>
        <v/>
      </c>
      <c r="N16" s="353" t="str">
        <f t="array" ref="N16">iferror(vlookup(N$12&amp;"-"&amp;$E16,{index('Output_HALO - Nordics'!$A:$ZZ,0,$C$8),index('Output_HALO - Nordics'!$A:$ZZ,0,$C$3)},2,0),"")</f>
        <v/>
      </c>
      <c r="O16" s="353" t="str">
        <f t="array" ref="O16">iferror(vlookup(O$12&amp;"-"&amp;$E16,{index('Output_HALO - Nordics'!$A:$ZZ,0,$C$8),index('Output_HALO - Nordics'!$A:$ZZ,0,$C$3)},2,0),"")</f>
        <v/>
      </c>
      <c r="P16" s="353" t="str">
        <f t="array" ref="P16">iferror(vlookup(P$12&amp;"-"&amp;$E16,{index('Output_HALO - Nordics'!$A:$ZZ,0,$C$8),index('Output_HALO - Nordics'!$A:$ZZ,0,$C$3)},2,0),"")</f>
        <v/>
      </c>
      <c r="Q16" s="353" t="str">
        <f t="array" ref="Q16">iferror(vlookup(Q$12&amp;"-"&amp;$E16,{index('Output_HALO - Nordics'!$A:$ZZ,0,$C$8),index('Output_HALO - Nordics'!$A:$ZZ,0,$C$3)},2,0),"")</f>
        <v/>
      </c>
      <c r="R16" s="353" t="str">
        <f t="array" ref="R16">iferror(vlookup(R$12&amp;"-"&amp;$E16,{index('Output_HALO - Nordics'!$A:$ZZ,0,$C$8),index('Output_HALO - Nordics'!$A:$ZZ,0,$C$3)},2,0),"")</f>
        <v/>
      </c>
      <c r="S16" s="353" t="str">
        <f t="array" ref="S16">iferror(vlookup(S$12&amp;"-"&amp;$E16,{index('Output_HALO - Nordics'!$A:$ZZ,0,$C$8),index('Output_HALO - Nordics'!$A:$ZZ,0,$C$3)},2,0),"")</f>
        <v/>
      </c>
      <c r="T16" s="353" t="str">
        <f t="array" ref="T16">iferror(vlookup(T$12&amp;"-"&amp;$E16,{index('Output_HALO - Nordics'!$A:$ZZ,0,$C$8),index('Output_HALO - Nordics'!$A:$ZZ,0,$C$3)},2,0),"")</f>
        <v/>
      </c>
      <c r="U16" s="353" t="str">
        <f t="array" ref="U16">iferror(vlookup(U$12&amp;"-"&amp;$E16,{index('Output_HALO - Nordics'!$A:$ZZ,0,$C$8),index('Output_HALO - Nordics'!$A:$ZZ,0,$C$3)},2,0),"")</f>
        <v/>
      </c>
      <c r="V16" s="353" t="str">
        <f t="array" ref="V16">iferror(vlookup(V$12&amp;"-"&amp;$E16,{index('Output_HALO - Nordics'!$A:$ZZ,0,$C$8),index('Output_HALO - Nordics'!$A:$ZZ,0,$C$3)},2,0),"")</f>
        <v/>
      </c>
      <c r="W16" s="353" t="str">
        <f t="array" ref="W16">iferror(vlookup(W$12&amp;"-"&amp;$E16,{index('Output_HALO - Nordics'!$A:$ZZ,0,$C$8),index('Output_HALO - Nordics'!$A:$ZZ,0,$C$3)},2,0),"")</f>
        <v/>
      </c>
      <c r="X16" s="353" t="str">
        <f t="array" ref="X16">iferror(vlookup(X$12&amp;"-"&amp;$E16,{index('Output_HALO - Nordics'!$A:$ZZ,0,$C$8),index('Output_HALO - Nordics'!$A:$ZZ,0,$C$3)},2,0),"")</f>
        <v/>
      </c>
      <c r="Y16" s="353" t="str">
        <f t="array" ref="Y16">iferror(vlookup(Y$12&amp;"-"&amp;$E16,{index('Output_HALO - Nordics'!$A:$ZZ,0,$C$8),index('Output_HALO - Nordics'!$A:$ZZ,0,$C$3)},2,0),"")</f>
        <v/>
      </c>
      <c r="Z16" s="353" t="str">
        <f t="array" ref="Z16">iferror(vlookup(Z$12&amp;"-"&amp;$E16,{index('Output_HALO - Nordics'!$A:$ZZ,0,$C$8),index('Output_HALO - Nordics'!$A:$ZZ,0,$C$3)},2,0),"")</f>
        <v/>
      </c>
      <c r="AA16" s="353" t="str">
        <f t="array" ref="AA16">iferror(vlookup(AA$12&amp;"-"&amp;$E16,{index('Output_HALO - Nordics'!$A:$ZZ,0,$C$8),index('Output_HALO - Nordics'!$A:$ZZ,0,$C$3)},2,0),"")</f>
        <v/>
      </c>
      <c r="AB16" s="353" t="str">
        <f t="array" ref="AB16">iferror(vlookup(AB$12&amp;"-"&amp;$E16,{index('Output_HALO - Nordics'!$A:$ZZ,0,$C$8),index('Output_HALO - Nordics'!$A:$ZZ,0,$C$3)},2,0),"")</f>
        <v/>
      </c>
      <c r="AC16" s="353" t="str">
        <f t="array" ref="AC16">iferror(vlookup(AC$12&amp;"-"&amp;$E16,{index('Output_HALO - Nordics'!$A:$ZZ,0,$C$8),index('Output_HALO - Nordics'!$A:$ZZ,0,$C$3)},2,0),"")</f>
        <v/>
      </c>
      <c r="AD16" s="353" t="str">
        <f t="array" ref="AD16">iferror(vlookup(AD$12&amp;"-"&amp;$E16,{index('Output_HALO - Nordics'!$A:$ZZ,0,$C$8),index('Output_HALO - Nordics'!$A:$ZZ,0,$C$3)},2,0),"")</f>
        <v/>
      </c>
      <c r="AE16" s="353" t="str">
        <f t="array" ref="AE16">iferror(vlookup(AE$12&amp;"-"&amp;$E16,{index('Output_HALO - Nordics'!$A:$ZZ,0,$C$8),index('Output_HALO - Nordics'!$A:$ZZ,0,$C$3)},2,0),"")</f>
        <v/>
      </c>
      <c r="AF16" s="353" t="str">
        <f t="array" ref="AF16">iferror(vlookup(AF$12&amp;"-"&amp;$E16,{index('Output_HALO - Nordics'!$A:$ZZ,0,$C$8),index('Output_HALO - Nordics'!$A:$ZZ,0,$C$3)},2,0),"")</f>
        <v/>
      </c>
      <c r="AG16" s="353" t="str">
        <f t="array" ref="AG16">iferror(vlookup(AG$12&amp;"-"&amp;$E16,{index('Output_HALO - Nordics'!$A:$ZZ,0,$C$8),index('Output_HALO - Nordics'!$A:$ZZ,0,$C$3)},2,0),"")</f>
        <v/>
      </c>
      <c r="AH16" s="353" t="str">
        <f t="array" ref="AH16">iferror(vlookup(AH$12&amp;"-"&amp;$E16,{index('Output_HALO - Nordics'!$A:$ZZ,0,$C$8),index('Output_HALO - Nordics'!$A:$ZZ,0,$C$3)},2,0),"")</f>
        <v/>
      </c>
      <c r="AI16" s="353" t="str">
        <f t="array" ref="AI16">iferror(vlookup(AI$12&amp;"-"&amp;$E16,{index('Output_HALO - Nordics'!$A:$ZZ,0,$C$8),index('Output_HALO - Nordics'!$A:$ZZ,0,$C$3)},2,0),"")</f>
        <v/>
      </c>
      <c r="AJ16" s="353" t="str">
        <f t="array" ref="AJ16">iferror(vlookup(AJ$12&amp;"-"&amp;$E16,{index('Output_HALO - Nordics'!$A:$ZZ,0,$C$8),index('Output_HALO - Nordics'!$A:$ZZ,0,$C$3)},2,0),"")</f>
        <v/>
      </c>
      <c r="AK16" s="353" t="str">
        <f t="array" ref="AK16">iferror(vlookup(AK$12&amp;"-"&amp;$E16,{index('Output_HALO - Nordics'!$A:$ZZ,0,$C$8),index('Output_HALO - Nordics'!$A:$ZZ,0,$C$3)},2,0),"")</f>
        <v/>
      </c>
      <c r="AL16" s="353" t="str">
        <f t="array" ref="AL16">iferror(vlookup(AL$12&amp;"-"&amp;$E16,{index('Output_HALO - Nordics'!$A:$ZZ,0,$C$8),index('Output_HALO - Nordics'!$A:$ZZ,0,$C$3)},2,0),"")</f>
        <v/>
      </c>
      <c r="AM16" s="353" t="str">
        <f t="array" ref="AM16">iferror(vlookup(AM$12&amp;"-"&amp;$E16,{index('Output_HALO - Nordics'!$A:$ZZ,0,$C$8),index('Output_HALO - Nordics'!$A:$ZZ,0,$C$3)},2,0),"")</f>
        <v/>
      </c>
      <c r="AN16" s="353" t="str">
        <f t="array" ref="AN16">iferror(vlookup(AN$12&amp;"-"&amp;$E16,{index('Output_HALO - Nordics'!$A:$ZZ,0,$C$8),index('Output_HALO - Nordics'!$A:$ZZ,0,$C$3)},2,0),"")</f>
        <v/>
      </c>
      <c r="AO16" s="353" t="str">
        <f t="array" ref="AO16">iferror(vlookup(AO$12&amp;"-"&amp;$E16,{index('Output_HALO - Nordics'!$A:$ZZ,0,$C$8),index('Output_HALO - Nordics'!$A:$ZZ,0,$C$3)},2,0),"")</f>
        <v/>
      </c>
      <c r="AP16" s="353" t="str">
        <f t="array" ref="AP16">iferror(vlookup(AP$12&amp;"-"&amp;$E16,{index('Output_HALO - Nordics'!$A:$ZZ,0,$C$8),index('Output_HALO - Nordics'!$A:$ZZ,0,$C$3)},2,0),"")</f>
        <v/>
      </c>
      <c r="AQ16" s="353" t="str">
        <f t="array" ref="AQ16">iferror(vlookup(AQ$12&amp;"-"&amp;$E16,{index('Output_HALO - Nordics'!$A:$ZZ,0,$C$8),index('Output_HALO - Nordics'!$A:$ZZ,0,$C$3)},2,0),"")</f>
        <v/>
      </c>
      <c r="AR16" s="353" t="str">
        <f t="array" ref="AR16">iferror(vlookup(AR$12&amp;"-"&amp;$E16,{index('Output_HALO - Nordics'!$A:$ZZ,0,$C$8),index('Output_HALO - Nordics'!$A:$ZZ,0,$C$3)},2,0),"")</f>
        <v/>
      </c>
      <c r="AS16" s="353" t="str">
        <f t="array" ref="AS16">iferror(vlookup(AS$12&amp;"-"&amp;$E16,{index('Output_HALO - Nordics'!$A:$ZZ,0,$C$8),index('Output_HALO - Nordics'!$A:$ZZ,0,$C$3)},2,0),"")</f>
        <v/>
      </c>
      <c r="AT16" s="353" t="str">
        <f t="array" ref="AT16">iferror(vlookup(AT$12&amp;"-"&amp;$E16,{index('Output_HALO - Nordics'!$A:$ZZ,0,$C$8),index('Output_HALO - Nordics'!$A:$ZZ,0,$C$3)},2,0),"")</f>
        <v/>
      </c>
      <c r="AU16" s="353" t="str">
        <f t="array" ref="AU16">iferror(vlookup(AU$12&amp;"-"&amp;$E16,{index('Output_HALO - Nordics'!$A:$ZZ,0,$C$8),index('Output_HALO - Nordics'!$A:$ZZ,0,$C$3)},2,0),"")</f>
        <v/>
      </c>
      <c r="AV16" s="353" t="str">
        <f t="array" ref="AV16">iferror(vlookup(AV$12&amp;"-"&amp;$E16,{index('Output_HALO - Nordics'!$A:$ZZ,0,$C$8),index('Output_HALO - Nordics'!$A:$ZZ,0,$C$3)},2,0),"")</f>
        <v/>
      </c>
      <c r="AW16" s="353" t="str">
        <f t="array" ref="AW16">iferror(vlookup(AW$12&amp;"-"&amp;$E16,{index('Output_HALO - Nordics'!$A:$ZZ,0,$C$8),index('Output_HALO - Nordics'!$A:$ZZ,0,$C$3)},2,0),"")</f>
        <v/>
      </c>
      <c r="AX16" s="353" t="str">
        <f t="array" ref="AX16">iferror(vlookup(AX$12&amp;"-"&amp;$E16,{index('Output_HALO - Nordics'!$A:$ZZ,0,$C$8),index('Output_HALO - Nordics'!$A:$ZZ,0,$C$3)},2,0),"")</f>
        <v/>
      </c>
      <c r="AY16" s="353" t="str">
        <f t="array" ref="AY16">iferror(vlookup(AY$12&amp;"-"&amp;$E16,{index('Output_HALO - Nordics'!$A:$ZZ,0,$C$8),index('Output_HALO - Nordics'!$A:$ZZ,0,$C$3)},2,0),"")</f>
        <v/>
      </c>
      <c r="AZ16" s="353" t="str">
        <f t="array" ref="AZ16">iferror(vlookup(AZ$12&amp;"-"&amp;$E16,{index('Output_HALO - Nordics'!$A:$ZZ,0,$C$8),index('Output_HALO - Nordics'!$A:$ZZ,0,$C$3)},2,0),"")</f>
        <v/>
      </c>
      <c r="BA16" s="353" t="str">
        <f t="array" ref="BA16">iferror(vlookup(BA$12&amp;"-"&amp;$E16,{index('Output_HALO - Nordics'!$A:$ZZ,0,$C$8),index('Output_HALO - Nordics'!$A:$ZZ,0,$C$3)},2,0),"")</f>
        <v/>
      </c>
      <c r="BB16" s="353" t="str">
        <f t="array" ref="BB16">iferror(vlookup(BB$12&amp;"-"&amp;$E16,{index('Output_HALO - Nordics'!$A:$ZZ,0,$C$8),index('Output_HALO - Nordics'!$A:$ZZ,0,$C$3)},2,0),"")</f>
        <v/>
      </c>
      <c r="BC16" s="353" t="str">
        <f t="array" ref="BC16">iferror(vlookup(BC$12&amp;"-"&amp;$E16,{index('Output_HALO - Nordics'!$A:$ZZ,0,$C$8),index('Output_HALO - Nordics'!$A:$ZZ,0,$C$3)},2,0),"")</f>
        <v/>
      </c>
      <c r="BD16" s="353" t="str">
        <f t="array" ref="BD16">iferror(vlookup(BD$12&amp;"-"&amp;$E16,{index('Output_HALO - Nordics'!$A:$ZZ,0,$C$8),index('Output_HALO - Nordics'!$A:$ZZ,0,$C$3)},2,0),"")</f>
        <v/>
      </c>
      <c r="BE16" s="353" t="str">
        <f t="array" ref="BE16">iferror(vlookup(BE$12&amp;"-"&amp;$E16,{index('Output_HALO - Nordics'!$A:$ZZ,0,$C$8),index('Output_HALO - Nordics'!$A:$ZZ,0,$C$3)},2,0),"")</f>
        <v/>
      </c>
      <c r="BF16" s="353" t="str">
        <f t="array" ref="BF16">iferror(vlookup(BF$12&amp;"-"&amp;$E16,{index('Output_HALO - Nordics'!$A:$ZZ,0,$C$8),index('Output_HALO - Nordics'!$A:$ZZ,0,$C$3)},2,0),"")</f>
        <v/>
      </c>
      <c r="BG16" s="353" t="str">
        <f t="array" ref="BG16">iferror(vlookup(BG$12&amp;"-"&amp;$E16,{index('Output_HALO - Nordics'!$A:$ZZ,0,$C$8),index('Output_HALO - Nordics'!$A:$ZZ,0,$C$3)},2,0),"")</f>
        <v/>
      </c>
      <c r="BH16" s="353" t="str">
        <f t="array" ref="BH16">iferror(vlookup(BH$12&amp;"-"&amp;$E16,{index('Output_HALO - Nordics'!$A:$ZZ,0,$C$8),index('Output_HALO - Nordics'!$A:$ZZ,0,$C$3)},2,0),"")</f>
        <v/>
      </c>
      <c r="BI16" s="353" t="str">
        <f t="array" ref="BI16">iferror(vlookup(BI$12&amp;"-"&amp;$E16,{index('Output_HALO - Nordics'!$A:$ZZ,0,$C$8),index('Output_HALO - Nordics'!$A:$ZZ,0,$C$3)},2,0),"")</f>
        <v/>
      </c>
      <c r="BJ16" s="353" t="str">
        <f t="array" ref="BJ16">iferror(vlookup(BJ$12&amp;"-"&amp;$E16,{index('Output_HALO - Nordics'!$A:$ZZ,0,$C$8),index('Output_HALO - Nordics'!$A:$ZZ,0,$C$3)},2,0),"")</f>
        <v/>
      </c>
      <c r="BK16" s="353" t="str">
        <f t="array" ref="BK16">iferror(vlookup(BK$12&amp;"-"&amp;$E16,{index('Output_HALO - Nordics'!$A:$ZZ,0,$C$8),index('Output_HALO - Nordics'!$A:$ZZ,0,$C$3)},2,0),"")</f>
        <v/>
      </c>
      <c r="BL16" s="353" t="str">
        <f t="array" ref="BL16">iferror(vlookup(BL$12&amp;"-"&amp;$E16,{index('Output_HALO - Nordics'!$A:$ZZ,0,$C$8),index('Output_HALO - Nordics'!$A:$ZZ,0,$C$3)},2,0),"")</f>
        <v/>
      </c>
      <c r="BM16" s="353" t="str">
        <f t="array" ref="BM16">iferror(vlookup(BM$12&amp;"-"&amp;$E16,{index('Output_HALO - Nordics'!$A:$ZZ,0,$C$8),index('Output_HALO - Nordics'!$A:$ZZ,0,$C$3)},2,0),"")</f>
        <v/>
      </c>
      <c r="BN16" s="353" t="str">
        <f t="array" ref="BN16">iferror(vlookup(BN$12&amp;"-"&amp;$E16,{index('Output_HALO - Nordics'!$A:$ZZ,0,$C$8),index('Output_HALO - Nordics'!$A:$ZZ,0,$C$3)},2,0),"")</f>
        <v/>
      </c>
      <c r="BO16" s="353" t="str">
        <f t="array" ref="BO16">iferror(vlookup(BO$12&amp;"-"&amp;$E16,{index('Output_HALO - Nordics'!$A:$ZZ,0,$C$8),index('Output_HALO - Nordics'!$A:$ZZ,0,$C$3)},2,0),"")</f>
        <v/>
      </c>
      <c r="BP16" s="353" t="str">
        <f t="array" ref="BP16">iferror(vlookup(BP$12&amp;"-"&amp;$E16,{index('Output_HALO - Nordics'!$A:$ZZ,0,$C$8),index('Output_HALO - Nordics'!$A:$ZZ,0,$C$3)},2,0),"")</f>
        <v/>
      </c>
      <c r="BQ16" s="353" t="str">
        <f t="array" ref="BQ16">iferror(vlookup(BQ$12&amp;"-"&amp;$E16,{index('Output_HALO - Nordics'!$A:$ZZ,0,$C$8),index('Output_HALO - Nordics'!$A:$ZZ,0,$C$3)},2,0),"")</f>
        <v/>
      </c>
    </row>
    <row r="17" hidden="1">
      <c r="E17" s="354">
        <v>4.0</v>
      </c>
      <c r="F17" s="353">
        <f t="array" ref="F17">iferror(vlookup(F16,{index('Output_HALO - Nordics'!$A:$ZZ,0,$C$3),index('Output_HALO - Nordics'!$A:$ZZ,0,$C$4)},2,0),"")</f>
        <v>0</v>
      </c>
      <c r="G17" s="353">
        <f t="array" ref="G17">iferror(vlookup(G16,{index('Output_HALO - Nordics'!$A:$ZZ,0,$C$3),index('Output_HALO - Nordics'!$A:$ZZ,0,$C$4)},2,0),"")</f>
        <v>0</v>
      </c>
      <c r="H17" s="353">
        <f t="array" ref="H17">iferror(vlookup(H16,{index('Output_HALO - Nordics'!$A:$ZZ,0,$C$3),index('Output_HALO - Nordics'!$A:$ZZ,0,$C$4)},2,0),"")</f>
        <v>0</v>
      </c>
      <c r="I17" s="353">
        <f t="array" ref="I17">iferror(vlookup(I16,{index('Output_HALO - Nordics'!$A:$ZZ,0,$C$3),index('Output_HALO - Nordics'!$A:$ZZ,0,$C$4)},2,0),"")</f>
        <v>0</v>
      </c>
      <c r="J17" s="353">
        <f t="array" ref="J17">iferror(vlookup(J16,{index('Output_HALO - Nordics'!$A:$ZZ,0,$C$3),index('Output_HALO - Nordics'!$A:$ZZ,0,$C$4)},2,0),"")</f>
        <v>0</v>
      </c>
      <c r="K17" s="353">
        <f t="array" ref="K17">iferror(vlookup(K16,{index('Output_HALO - Nordics'!$A:$ZZ,0,$C$3),index('Output_HALO - Nordics'!$A:$ZZ,0,$C$4)},2,0),"")</f>
        <v>0</v>
      </c>
      <c r="L17" s="353">
        <f t="array" ref="L17">iferror(vlookup(L16,{index('Output_HALO - Nordics'!$A:$ZZ,0,$C$3),index('Output_HALO - Nordics'!$A:$ZZ,0,$C$4)},2,0),"")</f>
        <v>0</v>
      </c>
      <c r="M17" s="353">
        <f t="array" ref="M17">iferror(vlookup(M16,{index('Output_HALO - Nordics'!$A:$ZZ,0,$C$3),index('Output_HALO - Nordics'!$A:$ZZ,0,$C$4)},2,0),"")</f>
        <v>0</v>
      </c>
      <c r="N17" s="353">
        <f t="array" ref="N17">iferror(vlookup(N16,{index('Output_HALO - Nordics'!$A:$ZZ,0,$C$3),index('Output_HALO - Nordics'!$A:$ZZ,0,$C$4)},2,0),"")</f>
        <v>0</v>
      </c>
      <c r="O17" s="353">
        <f t="array" ref="O17">iferror(vlookup(O16,{index('Output_HALO - Nordics'!$A:$ZZ,0,$C$3),index('Output_HALO - Nordics'!$A:$ZZ,0,$C$4)},2,0),"")</f>
        <v>0</v>
      </c>
      <c r="P17" s="353">
        <f t="array" ref="P17">iferror(vlookup(P16,{index('Output_HALO - Nordics'!$A:$ZZ,0,$C$3),index('Output_HALO - Nordics'!$A:$ZZ,0,$C$4)},2,0),"")</f>
        <v>0</v>
      </c>
      <c r="Q17" s="353">
        <f t="array" ref="Q17">iferror(vlookup(Q16,{index('Output_HALO - Nordics'!$A:$ZZ,0,$C$3),index('Output_HALO - Nordics'!$A:$ZZ,0,$C$4)},2,0),"")</f>
        <v>0</v>
      </c>
      <c r="R17" s="353">
        <f t="array" ref="R17">iferror(vlookup(R16,{index('Output_HALO - Nordics'!$A:$ZZ,0,$C$3),index('Output_HALO - Nordics'!$A:$ZZ,0,$C$4)},2,0),"")</f>
        <v>0</v>
      </c>
      <c r="S17" s="353">
        <f t="array" ref="S17">iferror(vlookup(S16,{index('Output_HALO - Nordics'!$A:$ZZ,0,$C$3),index('Output_HALO - Nordics'!$A:$ZZ,0,$C$4)},2,0),"")</f>
        <v>0</v>
      </c>
      <c r="T17" s="353">
        <f t="array" ref="T17">iferror(vlookup(T16,{index('Output_HALO - Nordics'!$A:$ZZ,0,$C$3),index('Output_HALO - Nordics'!$A:$ZZ,0,$C$4)},2,0),"")</f>
        <v>0</v>
      </c>
      <c r="U17" s="353">
        <f t="array" ref="U17">iferror(vlookup(U16,{index('Output_HALO - Nordics'!$A:$ZZ,0,$C$3),index('Output_HALO - Nordics'!$A:$ZZ,0,$C$4)},2,0),"")</f>
        <v>0</v>
      </c>
      <c r="V17" s="353">
        <f t="array" ref="V17">iferror(vlookup(V16,{index('Output_HALO - Nordics'!$A:$ZZ,0,$C$3),index('Output_HALO - Nordics'!$A:$ZZ,0,$C$4)},2,0),"")</f>
        <v>0</v>
      </c>
      <c r="W17" s="353">
        <f t="array" ref="W17">iferror(vlookup(W16,{index('Output_HALO - Nordics'!$A:$ZZ,0,$C$3),index('Output_HALO - Nordics'!$A:$ZZ,0,$C$4)},2,0),"")</f>
        <v>0</v>
      </c>
      <c r="X17" s="353">
        <f t="array" ref="X17">iferror(vlookup(X16,{index('Output_HALO - Nordics'!$A:$ZZ,0,$C$3),index('Output_HALO - Nordics'!$A:$ZZ,0,$C$4)},2,0),"")</f>
        <v>0</v>
      </c>
      <c r="Y17" s="353">
        <f t="array" ref="Y17">iferror(vlookup(Y16,{index('Output_HALO - Nordics'!$A:$ZZ,0,$C$3),index('Output_HALO - Nordics'!$A:$ZZ,0,$C$4)},2,0),"")</f>
        <v>0</v>
      </c>
      <c r="Z17" s="353">
        <f t="array" ref="Z17">iferror(vlookup(Z16,{index('Output_HALO - Nordics'!$A:$ZZ,0,$C$3),index('Output_HALO - Nordics'!$A:$ZZ,0,$C$4)},2,0),"")</f>
        <v>0</v>
      </c>
      <c r="AA17" s="353">
        <f t="array" ref="AA17">iferror(vlookup(AA16,{index('Output_HALO - Nordics'!$A:$ZZ,0,$C$3),index('Output_HALO - Nordics'!$A:$ZZ,0,$C$4)},2,0),"")</f>
        <v>0</v>
      </c>
      <c r="AB17" s="353">
        <f t="array" ref="AB17">iferror(vlookup(AB16,{index('Output_HALO - Nordics'!$A:$ZZ,0,$C$3),index('Output_HALO - Nordics'!$A:$ZZ,0,$C$4)},2,0),"")</f>
        <v>0</v>
      </c>
      <c r="AC17" s="353">
        <f t="array" ref="AC17">iferror(vlookup(AC16,{index('Output_HALO - Nordics'!$A:$ZZ,0,$C$3),index('Output_HALO - Nordics'!$A:$ZZ,0,$C$4)},2,0),"")</f>
        <v>0</v>
      </c>
      <c r="AD17" s="353">
        <f t="array" ref="AD17">iferror(vlookup(AD16,{index('Output_HALO - Nordics'!$A:$ZZ,0,$C$3),index('Output_HALO - Nordics'!$A:$ZZ,0,$C$4)},2,0),"")</f>
        <v>0</v>
      </c>
      <c r="AE17" s="353">
        <f t="array" ref="AE17">iferror(vlookup(AE16,{index('Output_HALO - Nordics'!$A:$ZZ,0,$C$3),index('Output_HALO - Nordics'!$A:$ZZ,0,$C$4)},2,0),"")</f>
        <v>0</v>
      </c>
      <c r="AF17" s="353">
        <f t="array" ref="AF17">iferror(vlookup(AF16,{index('Output_HALO - Nordics'!$A:$ZZ,0,$C$3),index('Output_HALO - Nordics'!$A:$ZZ,0,$C$4)},2,0),"")</f>
        <v>0</v>
      </c>
      <c r="AG17" s="353">
        <f t="array" ref="AG17">iferror(vlookup(AG16,{index('Output_HALO - Nordics'!$A:$ZZ,0,$C$3),index('Output_HALO - Nordics'!$A:$ZZ,0,$C$4)},2,0),"")</f>
        <v>0</v>
      </c>
      <c r="AH17" s="353">
        <f t="array" ref="AH17">iferror(vlookup(AH16,{index('Output_HALO - Nordics'!$A:$ZZ,0,$C$3),index('Output_HALO - Nordics'!$A:$ZZ,0,$C$4)},2,0),"")</f>
        <v>0</v>
      </c>
      <c r="AI17" s="353">
        <f t="array" ref="AI17">iferror(vlookup(AI16,{index('Output_HALO - Nordics'!$A:$ZZ,0,$C$3),index('Output_HALO - Nordics'!$A:$ZZ,0,$C$4)},2,0),"")</f>
        <v>0</v>
      </c>
      <c r="AJ17" s="353">
        <f t="array" ref="AJ17">iferror(vlookup(AJ16,{index('Output_HALO - Nordics'!$A:$ZZ,0,$C$3),index('Output_HALO - Nordics'!$A:$ZZ,0,$C$4)},2,0),"")</f>
        <v>0</v>
      </c>
      <c r="AK17" s="353">
        <f t="array" ref="AK17">iferror(vlookup(AK16,{index('Output_HALO - Nordics'!$A:$ZZ,0,$C$3),index('Output_HALO - Nordics'!$A:$ZZ,0,$C$4)},2,0),"")</f>
        <v>0</v>
      </c>
      <c r="AL17" s="353">
        <f t="array" ref="AL17">iferror(vlookup(AL16,{index('Output_HALO - Nordics'!$A:$ZZ,0,$C$3),index('Output_HALO - Nordics'!$A:$ZZ,0,$C$4)},2,0),"")</f>
        <v>0</v>
      </c>
      <c r="AM17" s="353">
        <f t="array" ref="AM17">iferror(vlookup(AM16,{index('Output_HALO - Nordics'!$A:$ZZ,0,$C$3),index('Output_HALO - Nordics'!$A:$ZZ,0,$C$4)},2,0),"")</f>
        <v>0</v>
      </c>
      <c r="AN17" s="353">
        <f t="array" ref="AN17">iferror(vlookup(AN16,{index('Output_HALO - Nordics'!$A:$ZZ,0,$C$3),index('Output_HALO - Nordics'!$A:$ZZ,0,$C$4)},2,0),"")</f>
        <v>0</v>
      </c>
      <c r="AO17" s="353">
        <f t="array" ref="AO17">iferror(vlookup(AO16,{index('Output_HALO - Nordics'!$A:$ZZ,0,$C$3),index('Output_HALO - Nordics'!$A:$ZZ,0,$C$4)},2,0),"")</f>
        <v>0</v>
      </c>
      <c r="AP17" s="353">
        <f t="array" ref="AP17">iferror(vlookup(AP16,{index('Output_HALO - Nordics'!$A:$ZZ,0,$C$3),index('Output_HALO - Nordics'!$A:$ZZ,0,$C$4)},2,0),"")</f>
        <v>0</v>
      </c>
      <c r="AQ17" s="353">
        <f t="array" ref="AQ17">iferror(vlookup(AQ16,{index('Output_HALO - Nordics'!$A:$ZZ,0,$C$3),index('Output_HALO - Nordics'!$A:$ZZ,0,$C$4)},2,0),"")</f>
        <v>0</v>
      </c>
      <c r="AR17" s="353">
        <f t="array" ref="AR17">iferror(vlookup(AR16,{index('Output_HALO - Nordics'!$A:$ZZ,0,$C$3),index('Output_HALO - Nordics'!$A:$ZZ,0,$C$4)},2,0),"")</f>
        <v>0</v>
      </c>
      <c r="AS17" s="353">
        <f t="array" ref="AS17">iferror(vlookup(AS16,{index('Output_HALO - Nordics'!$A:$ZZ,0,$C$3),index('Output_HALO - Nordics'!$A:$ZZ,0,$C$4)},2,0),"")</f>
        <v>0</v>
      </c>
      <c r="AT17" s="353">
        <f t="array" ref="AT17">iferror(vlookup(AT16,{index('Output_HALO - Nordics'!$A:$ZZ,0,$C$3),index('Output_HALO - Nordics'!$A:$ZZ,0,$C$4)},2,0),"")</f>
        <v>0</v>
      </c>
      <c r="AU17" s="353">
        <f t="array" ref="AU17">iferror(vlookup(AU16,{index('Output_HALO - Nordics'!$A:$ZZ,0,$C$3),index('Output_HALO - Nordics'!$A:$ZZ,0,$C$4)},2,0),"")</f>
        <v>0</v>
      </c>
      <c r="AV17" s="353">
        <f t="array" ref="AV17">iferror(vlookup(AV16,{index('Output_HALO - Nordics'!$A:$ZZ,0,$C$3),index('Output_HALO - Nordics'!$A:$ZZ,0,$C$4)},2,0),"")</f>
        <v>0</v>
      </c>
      <c r="AW17" s="353">
        <f t="array" ref="AW17">iferror(vlookup(AW16,{index('Output_HALO - Nordics'!$A:$ZZ,0,$C$3),index('Output_HALO - Nordics'!$A:$ZZ,0,$C$4)},2,0),"")</f>
        <v>0</v>
      </c>
      <c r="AX17" s="353">
        <f t="array" ref="AX17">iferror(vlookup(AX16,{index('Output_HALO - Nordics'!$A:$ZZ,0,$C$3),index('Output_HALO - Nordics'!$A:$ZZ,0,$C$4)},2,0),"")</f>
        <v>0</v>
      </c>
      <c r="AY17" s="353">
        <f t="array" ref="AY17">iferror(vlookup(AY16,{index('Output_HALO - Nordics'!$A:$ZZ,0,$C$3),index('Output_HALO - Nordics'!$A:$ZZ,0,$C$4)},2,0),"")</f>
        <v>0</v>
      </c>
      <c r="AZ17" s="353">
        <f t="array" ref="AZ17">iferror(vlookup(AZ16,{index('Output_HALO - Nordics'!$A:$ZZ,0,$C$3),index('Output_HALO - Nordics'!$A:$ZZ,0,$C$4)},2,0),"")</f>
        <v>0</v>
      </c>
      <c r="BA17" s="353">
        <f t="array" ref="BA17">iferror(vlookup(BA16,{index('Output_HALO - Nordics'!$A:$ZZ,0,$C$3),index('Output_HALO - Nordics'!$A:$ZZ,0,$C$4)},2,0),"")</f>
        <v>0</v>
      </c>
      <c r="BB17" s="353">
        <f t="array" ref="BB17">iferror(vlookup(BB16,{index('Output_HALO - Nordics'!$A:$ZZ,0,$C$3),index('Output_HALO - Nordics'!$A:$ZZ,0,$C$4)},2,0),"")</f>
        <v>0</v>
      </c>
      <c r="BC17" s="353">
        <f t="array" ref="BC17">iferror(vlookup(BC16,{index('Output_HALO - Nordics'!$A:$ZZ,0,$C$3),index('Output_HALO - Nordics'!$A:$ZZ,0,$C$4)},2,0),"")</f>
        <v>0</v>
      </c>
      <c r="BD17" s="353">
        <f t="array" ref="BD17">iferror(vlookup(BD16,{index('Output_HALO - Nordics'!$A:$ZZ,0,$C$3),index('Output_HALO - Nordics'!$A:$ZZ,0,$C$4)},2,0),"")</f>
        <v>0</v>
      </c>
      <c r="BE17" s="353">
        <f t="array" ref="BE17">iferror(vlookup(BE16,{index('Output_HALO - Nordics'!$A:$ZZ,0,$C$3),index('Output_HALO - Nordics'!$A:$ZZ,0,$C$4)},2,0),"")</f>
        <v>0</v>
      </c>
      <c r="BF17" s="353">
        <f t="array" ref="BF17">iferror(vlookup(BF16,{index('Output_HALO - Nordics'!$A:$ZZ,0,$C$3),index('Output_HALO - Nordics'!$A:$ZZ,0,$C$4)},2,0),"")</f>
        <v>0</v>
      </c>
      <c r="BG17" s="353">
        <f t="array" ref="BG17">iferror(vlookup(BG16,{index('Output_HALO - Nordics'!$A:$ZZ,0,$C$3),index('Output_HALO - Nordics'!$A:$ZZ,0,$C$4)},2,0),"")</f>
        <v>0</v>
      </c>
      <c r="BH17" s="353">
        <f t="array" ref="BH17">iferror(vlookup(BH16,{index('Output_HALO - Nordics'!$A:$ZZ,0,$C$3),index('Output_HALO - Nordics'!$A:$ZZ,0,$C$4)},2,0),"")</f>
        <v>0</v>
      </c>
      <c r="BI17" s="353">
        <f t="array" ref="BI17">iferror(vlookup(BI16,{index('Output_HALO - Nordics'!$A:$ZZ,0,$C$3),index('Output_HALO - Nordics'!$A:$ZZ,0,$C$4)},2,0),"")</f>
        <v>0</v>
      </c>
      <c r="BJ17" s="353">
        <f t="array" ref="BJ17">iferror(vlookup(BJ16,{index('Output_HALO - Nordics'!$A:$ZZ,0,$C$3),index('Output_HALO - Nordics'!$A:$ZZ,0,$C$4)},2,0),"")</f>
        <v>0</v>
      </c>
      <c r="BK17" s="353">
        <f t="array" ref="BK17">iferror(vlookup(BK16,{index('Output_HALO - Nordics'!$A:$ZZ,0,$C$3),index('Output_HALO - Nordics'!$A:$ZZ,0,$C$4)},2,0),"")</f>
        <v>0</v>
      </c>
      <c r="BL17" s="353">
        <f t="array" ref="BL17">iferror(vlookup(BL16,{index('Output_HALO - Nordics'!$A:$ZZ,0,$C$3),index('Output_HALO - Nordics'!$A:$ZZ,0,$C$4)},2,0),"")</f>
        <v>0</v>
      </c>
      <c r="BM17" s="353">
        <f t="array" ref="BM17">iferror(vlookup(BM16,{index('Output_HALO - Nordics'!$A:$ZZ,0,$C$3),index('Output_HALO - Nordics'!$A:$ZZ,0,$C$4)},2,0),"")</f>
        <v>0</v>
      </c>
      <c r="BN17" s="353">
        <f t="array" ref="BN17">iferror(vlookup(BN16,{index('Output_HALO - Nordics'!$A:$ZZ,0,$C$3),index('Output_HALO - Nordics'!$A:$ZZ,0,$C$4)},2,0),"")</f>
        <v>0</v>
      </c>
      <c r="BO17" s="353">
        <f t="array" ref="BO17">iferror(vlookup(BO16,{index('Output_HALO - Nordics'!$A:$ZZ,0,$C$3),index('Output_HALO - Nordics'!$A:$ZZ,0,$C$4)},2,0),"")</f>
        <v>0</v>
      </c>
      <c r="BP17" s="353">
        <f t="array" ref="BP17">iferror(vlookup(BP16,{index('Output_HALO - Nordics'!$A:$ZZ,0,$C$3),index('Output_HALO - Nordics'!$A:$ZZ,0,$C$4)},2,0),"")</f>
        <v>0</v>
      </c>
      <c r="BQ17" s="353">
        <f t="array" ref="BQ17">iferror(vlookup(BQ16,{index('Output_HALO - Nordics'!$A:$ZZ,0,$C$3),index('Output_HALO - Nordics'!$A:$ZZ,0,$C$4)},2,0),"")</f>
        <v>0</v>
      </c>
    </row>
    <row r="18" hidden="1">
      <c r="E18" s="354">
        <v>4.0</v>
      </c>
      <c r="F18" s="353" t="str">
        <f t="array" ref="F18">iferror(vlookup(F$12&amp;"-"&amp;$E18,{index('Output_HALO - Nordics'!$A:$ZZ,0,$C$8),index('Output_HALO - Nordics'!$A:$ZZ,0,$C$5)},2,0),"")</f>
        <v/>
      </c>
      <c r="G18" s="353" t="str">
        <f t="array" ref="G18">iferror(vlookup(G$12&amp;"-"&amp;$E18,{index('Output_HALO - Nordics'!$A:$ZZ,0,$C$8),index('Output_HALO - Nordics'!$A:$ZZ,0,$C$5)},2,0),"")</f>
        <v/>
      </c>
      <c r="H18" s="353" t="str">
        <f t="array" ref="H18">iferror(vlookup(H$12&amp;"-"&amp;$E18,{index('Output_HALO - Nordics'!$A:$ZZ,0,$C$8),index('Output_HALO - Nordics'!$A:$ZZ,0,$C$5)},2,0),"")</f>
        <v/>
      </c>
      <c r="I18" s="353" t="str">
        <f t="array" ref="I18">iferror(vlookup(I$12&amp;"-"&amp;$E18,{index('Output_HALO - Nordics'!$A:$ZZ,0,$C$8),index('Output_HALO - Nordics'!$A:$ZZ,0,$C$5)},2,0),"")</f>
        <v/>
      </c>
      <c r="J18" s="353" t="str">
        <f t="array" ref="J18">iferror(vlookup(J$12&amp;"-"&amp;$E18,{index('Output_HALO - Nordics'!$A:$ZZ,0,$C$8),index('Output_HALO - Nordics'!$A:$ZZ,0,$C$5)},2,0),"")</f>
        <v/>
      </c>
      <c r="K18" s="353" t="str">
        <f t="array" ref="K18">iferror(vlookup(K$12&amp;"-"&amp;$E18,{index('Output_HALO - Nordics'!$A:$ZZ,0,$C$8),index('Output_HALO - Nordics'!$A:$ZZ,0,$C$5)},2,0),"")</f>
        <v/>
      </c>
      <c r="L18" s="353" t="str">
        <f t="array" ref="L18">iferror(vlookup(L$12&amp;"-"&amp;$E18,{index('Output_HALO - Nordics'!$A:$ZZ,0,$C$8),index('Output_HALO - Nordics'!$A:$ZZ,0,$C$5)},2,0),"")</f>
        <v/>
      </c>
      <c r="M18" s="353" t="str">
        <f t="array" ref="M18">iferror(vlookup(M$12&amp;"-"&amp;$E18,{index('Output_HALO - Nordics'!$A:$ZZ,0,$C$8),index('Output_HALO - Nordics'!$A:$ZZ,0,$C$5)},2,0),"")</f>
        <v/>
      </c>
      <c r="N18" s="353" t="str">
        <f t="array" ref="N18">iferror(vlookup(N$12&amp;"-"&amp;$E18,{index('Output_HALO - Nordics'!$A:$ZZ,0,$C$8),index('Output_HALO - Nordics'!$A:$ZZ,0,$C$5)},2,0),"")</f>
        <v/>
      </c>
      <c r="O18" s="353" t="str">
        <f t="array" ref="O18">iferror(vlookup(O$12&amp;"-"&amp;$E18,{index('Output_HALO - Nordics'!$A:$ZZ,0,$C$8),index('Output_HALO - Nordics'!$A:$ZZ,0,$C$5)},2,0),"")</f>
        <v/>
      </c>
      <c r="P18" s="353" t="str">
        <f t="array" ref="P18">iferror(vlookup(P$12&amp;"-"&amp;$E18,{index('Output_HALO - Nordics'!$A:$ZZ,0,$C$8),index('Output_HALO - Nordics'!$A:$ZZ,0,$C$5)},2,0),"")</f>
        <v/>
      </c>
      <c r="Q18" s="353" t="str">
        <f t="array" ref="Q18">iferror(vlookup(Q$12&amp;"-"&amp;$E18,{index('Output_HALO - Nordics'!$A:$ZZ,0,$C$8),index('Output_HALO - Nordics'!$A:$ZZ,0,$C$5)},2,0),"")</f>
        <v/>
      </c>
      <c r="R18" s="353" t="str">
        <f t="array" ref="R18">iferror(vlookup(R$12&amp;"-"&amp;$E18,{index('Output_HALO - Nordics'!$A:$ZZ,0,$C$8),index('Output_HALO - Nordics'!$A:$ZZ,0,$C$5)},2,0),"")</f>
        <v/>
      </c>
      <c r="S18" s="353" t="str">
        <f t="array" ref="S18">iferror(vlookup(S$12&amp;"-"&amp;$E18,{index('Output_HALO - Nordics'!$A:$ZZ,0,$C$8),index('Output_HALO - Nordics'!$A:$ZZ,0,$C$5)},2,0),"")</f>
        <v/>
      </c>
      <c r="T18" s="353" t="str">
        <f t="array" ref="T18">iferror(vlookup(T$12&amp;"-"&amp;$E18,{index('Output_HALO - Nordics'!$A:$ZZ,0,$C$8),index('Output_HALO - Nordics'!$A:$ZZ,0,$C$5)},2,0),"")</f>
        <v/>
      </c>
      <c r="U18" s="353" t="str">
        <f t="array" ref="U18">iferror(vlookup(U$12&amp;"-"&amp;$E18,{index('Output_HALO - Nordics'!$A:$ZZ,0,$C$8),index('Output_HALO - Nordics'!$A:$ZZ,0,$C$5)},2,0),"")</f>
        <v/>
      </c>
      <c r="V18" s="353" t="str">
        <f t="array" ref="V18">iferror(vlookup(V$12&amp;"-"&amp;$E18,{index('Output_HALO - Nordics'!$A:$ZZ,0,$C$8),index('Output_HALO - Nordics'!$A:$ZZ,0,$C$5)},2,0),"")</f>
        <v/>
      </c>
      <c r="W18" s="353" t="str">
        <f t="array" ref="W18">iferror(vlookup(W$12&amp;"-"&amp;$E18,{index('Output_HALO - Nordics'!$A:$ZZ,0,$C$8),index('Output_HALO - Nordics'!$A:$ZZ,0,$C$5)},2,0),"")</f>
        <v/>
      </c>
      <c r="X18" s="353" t="str">
        <f t="array" ref="X18">iferror(vlookup(X$12&amp;"-"&amp;$E18,{index('Output_HALO - Nordics'!$A:$ZZ,0,$C$8),index('Output_HALO - Nordics'!$A:$ZZ,0,$C$5)},2,0),"")</f>
        <v/>
      </c>
      <c r="Y18" s="353" t="str">
        <f t="array" ref="Y18">iferror(vlookup(Y$12&amp;"-"&amp;$E18,{index('Output_HALO - Nordics'!$A:$ZZ,0,$C$8),index('Output_HALO - Nordics'!$A:$ZZ,0,$C$5)},2,0),"")</f>
        <v/>
      </c>
      <c r="Z18" s="353" t="str">
        <f t="array" ref="Z18">iferror(vlookup(Z$12&amp;"-"&amp;$E18,{index('Output_HALO - Nordics'!$A:$ZZ,0,$C$8),index('Output_HALO - Nordics'!$A:$ZZ,0,$C$5)},2,0),"")</f>
        <v/>
      </c>
      <c r="AA18" s="353" t="str">
        <f t="array" ref="AA18">iferror(vlookup(AA$12&amp;"-"&amp;$E18,{index('Output_HALO - Nordics'!$A:$ZZ,0,$C$8),index('Output_HALO - Nordics'!$A:$ZZ,0,$C$5)},2,0),"")</f>
        <v/>
      </c>
      <c r="AB18" s="353" t="str">
        <f t="array" ref="AB18">iferror(vlookup(AB$12&amp;"-"&amp;$E18,{index('Output_HALO - Nordics'!$A:$ZZ,0,$C$8),index('Output_HALO - Nordics'!$A:$ZZ,0,$C$5)},2,0),"")</f>
        <v/>
      </c>
      <c r="AC18" s="353" t="str">
        <f t="array" ref="AC18">iferror(vlookup(AC$12&amp;"-"&amp;$E18,{index('Output_HALO - Nordics'!$A:$ZZ,0,$C$8),index('Output_HALO - Nordics'!$A:$ZZ,0,$C$5)},2,0),"")</f>
        <v/>
      </c>
      <c r="AD18" s="353" t="str">
        <f t="array" ref="AD18">iferror(vlookup(AD$12&amp;"-"&amp;$E18,{index('Output_HALO - Nordics'!$A:$ZZ,0,$C$8),index('Output_HALO - Nordics'!$A:$ZZ,0,$C$5)},2,0),"")</f>
        <v/>
      </c>
      <c r="AE18" s="353" t="str">
        <f t="array" ref="AE18">iferror(vlookup(AE$12&amp;"-"&amp;$E18,{index('Output_HALO - Nordics'!$A:$ZZ,0,$C$8),index('Output_HALO - Nordics'!$A:$ZZ,0,$C$5)},2,0),"")</f>
        <v/>
      </c>
      <c r="AF18" s="353" t="str">
        <f t="array" ref="AF18">iferror(vlookup(AF$12&amp;"-"&amp;$E18,{index('Output_HALO - Nordics'!$A:$ZZ,0,$C$8),index('Output_HALO - Nordics'!$A:$ZZ,0,$C$5)},2,0),"")</f>
        <v/>
      </c>
      <c r="AG18" s="353" t="str">
        <f t="array" ref="AG18">iferror(vlookup(AG$12&amp;"-"&amp;$E18,{index('Output_HALO - Nordics'!$A:$ZZ,0,$C$8),index('Output_HALO - Nordics'!$A:$ZZ,0,$C$5)},2,0),"")</f>
        <v/>
      </c>
      <c r="AH18" s="353" t="str">
        <f t="array" ref="AH18">iferror(vlookup(AH$12&amp;"-"&amp;$E18,{index('Output_HALO - Nordics'!$A:$ZZ,0,$C$8),index('Output_HALO - Nordics'!$A:$ZZ,0,$C$5)},2,0),"")</f>
        <v/>
      </c>
      <c r="AI18" s="353" t="str">
        <f t="array" ref="AI18">iferror(vlookup(AI$12&amp;"-"&amp;$E18,{index('Output_HALO - Nordics'!$A:$ZZ,0,$C$8),index('Output_HALO - Nordics'!$A:$ZZ,0,$C$5)},2,0),"")</f>
        <v/>
      </c>
      <c r="AJ18" s="353" t="str">
        <f t="array" ref="AJ18">iferror(vlookup(AJ$12&amp;"-"&amp;$E18,{index('Output_HALO - Nordics'!$A:$ZZ,0,$C$8),index('Output_HALO - Nordics'!$A:$ZZ,0,$C$5)},2,0),"")</f>
        <v/>
      </c>
      <c r="AK18" s="353" t="str">
        <f t="array" ref="AK18">iferror(vlookup(AK$12&amp;"-"&amp;$E18,{index('Output_HALO - Nordics'!$A:$ZZ,0,$C$8),index('Output_HALO - Nordics'!$A:$ZZ,0,$C$5)},2,0),"")</f>
        <v/>
      </c>
      <c r="AL18" s="353" t="str">
        <f t="array" ref="AL18">iferror(vlookup(AL$12&amp;"-"&amp;$E18,{index('Output_HALO - Nordics'!$A:$ZZ,0,$C$8),index('Output_HALO - Nordics'!$A:$ZZ,0,$C$5)},2,0),"")</f>
        <v/>
      </c>
      <c r="AM18" s="353" t="str">
        <f t="array" ref="AM18">iferror(vlookup(AM$12&amp;"-"&amp;$E18,{index('Output_HALO - Nordics'!$A:$ZZ,0,$C$8),index('Output_HALO - Nordics'!$A:$ZZ,0,$C$5)},2,0),"")</f>
        <v/>
      </c>
      <c r="AN18" s="353" t="str">
        <f t="array" ref="AN18">iferror(vlookup(AN$12&amp;"-"&amp;$E18,{index('Output_HALO - Nordics'!$A:$ZZ,0,$C$8),index('Output_HALO - Nordics'!$A:$ZZ,0,$C$5)},2,0),"")</f>
        <v/>
      </c>
      <c r="AO18" s="353" t="str">
        <f t="array" ref="AO18">iferror(vlookup(AO$12&amp;"-"&amp;$E18,{index('Output_HALO - Nordics'!$A:$ZZ,0,$C$8),index('Output_HALO - Nordics'!$A:$ZZ,0,$C$5)},2,0),"")</f>
        <v/>
      </c>
      <c r="AP18" s="353" t="str">
        <f t="array" ref="AP18">iferror(vlookup(AP$12&amp;"-"&amp;$E18,{index('Output_HALO - Nordics'!$A:$ZZ,0,$C$8),index('Output_HALO - Nordics'!$A:$ZZ,0,$C$5)},2,0),"")</f>
        <v/>
      </c>
      <c r="AQ18" s="353" t="str">
        <f t="array" ref="AQ18">iferror(vlookup(AQ$12&amp;"-"&amp;$E18,{index('Output_HALO - Nordics'!$A:$ZZ,0,$C$8),index('Output_HALO - Nordics'!$A:$ZZ,0,$C$5)},2,0),"")</f>
        <v/>
      </c>
      <c r="AR18" s="353" t="str">
        <f t="array" ref="AR18">iferror(vlookup(AR$12&amp;"-"&amp;$E18,{index('Output_HALO - Nordics'!$A:$ZZ,0,$C$8),index('Output_HALO - Nordics'!$A:$ZZ,0,$C$5)},2,0),"")</f>
        <v/>
      </c>
      <c r="AS18" s="353" t="str">
        <f t="array" ref="AS18">iferror(vlookup(AS$12&amp;"-"&amp;$E18,{index('Output_HALO - Nordics'!$A:$ZZ,0,$C$8),index('Output_HALO - Nordics'!$A:$ZZ,0,$C$5)},2,0),"")</f>
        <v/>
      </c>
      <c r="AT18" s="353" t="str">
        <f t="array" ref="AT18">iferror(vlookup(AT$12&amp;"-"&amp;$E18,{index('Output_HALO - Nordics'!$A:$ZZ,0,$C$8),index('Output_HALO - Nordics'!$A:$ZZ,0,$C$5)},2,0),"")</f>
        <v/>
      </c>
      <c r="AU18" s="353" t="str">
        <f t="array" ref="AU18">iferror(vlookup(AU$12&amp;"-"&amp;$E18,{index('Output_HALO - Nordics'!$A:$ZZ,0,$C$8),index('Output_HALO - Nordics'!$A:$ZZ,0,$C$5)},2,0),"")</f>
        <v/>
      </c>
      <c r="AV18" s="353" t="str">
        <f t="array" ref="AV18">iferror(vlookup(AV$12&amp;"-"&amp;$E18,{index('Output_HALO - Nordics'!$A:$ZZ,0,$C$8),index('Output_HALO - Nordics'!$A:$ZZ,0,$C$5)},2,0),"")</f>
        <v/>
      </c>
      <c r="AW18" s="353" t="str">
        <f t="array" ref="AW18">iferror(vlookup(AW$12&amp;"-"&amp;$E18,{index('Output_HALO - Nordics'!$A:$ZZ,0,$C$8),index('Output_HALO - Nordics'!$A:$ZZ,0,$C$5)},2,0),"")</f>
        <v/>
      </c>
      <c r="AX18" s="353" t="str">
        <f t="array" ref="AX18">iferror(vlookup(AX$12&amp;"-"&amp;$E18,{index('Output_HALO - Nordics'!$A:$ZZ,0,$C$8),index('Output_HALO - Nordics'!$A:$ZZ,0,$C$5)},2,0),"")</f>
        <v/>
      </c>
      <c r="AY18" s="353" t="str">
        <f t="array" ref="AY18">iferror(vlookup(AY$12&amp;"-"&amp;$E18,{index('Output_HALO - Nordics'!$A:$ZZ,0,$C$8),index('Output_HALO - Nordics'!$A:$ZZ,0,$C$5)},2,0),"")</f>
        <v/>
      </c>
      <c r="AZ18" s="353" t="str">
        <f t="array" ref="AZ18">iferror(vlookup(AZ$12&amp;"-"&amp;$E18,{index('Output_HALO - Nordics'!$A:$ZZ,0,$C$8),index('Output_HALO - Nordics'!$A:$ZZ,0,$C$5)},2,0),"")</f>
        <v/>
      </c>
      <c r="BA18" s="353" t="str">
        <f t="array" ref="BA18">iferror(vlookup(BA$12&amp;"-"&amp;$E18,{index('Output_HALO - Nordics'!$A:$ZZ,0,$C$8),index('Output_HALO - Nordics'!$A:$ZZ,0,$C$5)},2,0),"")</f>
        <v/>
      </c>
      <c r="BB18" s="353" t="str">
        <f t="array" ref="BB18">iferror(vlookup(BB$12&amp;"-"&amp;$E18,{index('Output_HALO - Nordics'!$A:$ZZ,0,$C$8),index('Output_HALO - Nordics'!$A:$ZZ,0,$C$5)},2,0),"")</f>
        <v/>
      </c>
      <c r="BC18" s="353" t="str">
        <f t="array" ref="BC18">iferror(vlookup(BC$12&amp;"-"&amp;$E18,{index('Output_HALO - Nordics'!$A:$ZZ,0,$C$8),index('Output_HALO - Nordics'!$A:$ZZ,0,$C$5)},2,0),"")</f>
        <v/>
      </c>
      <c r="BD18" s="353" t="str">
        <f t="array" ref="BD18">iferror(vlookup(BD$12&amp;"-"&amp;$E18,{index('Output_HALO - Nordics'!$A:$ZZ,0,$C$8),index('Output_HALO - Nordics'!$A:$ZZ,0,$C$5)},2,0),"")</f>
        <v/>
      </c>
      <c r="BE18" s="353" t="str">
        <f t="array" ref="BE18">iferror(vlookup(BE$12&amp;"-"&amp;$E18,{index('Output_HALO - Nordics'!$A:$ZZ,0,$C$8),index('Output_HALO - Nordics'!$A:$ZZ,0,$C$5)},2,0),"")</f>
        <v/>
      </c>
      <c r="BF18" s="353" t="str">
        <f t="array" ref="BF18">iferror(vlookup(BF$12&amp;"-"&amp;$E18,{index('Output_HALO - Nordics'!$A:$ZZ,0,$C$8),index('Output_HALO - Nordics'!$A:$ZZ,0,$C$5)},2,0),"")</f>
        <v/>
      </c>
      <c r="BG18" s="353" t="str">
        <f t="array" ref="BG18">iferror(vlookup(BG$12&amp;"-"&amp;$E18,{index('Output_HALO - Nordics'!$A:$ZZ,0,$C$8),index('Output_HALO - Nordics'!$A:$ZZ,0,$C$5)},2,0),"")</f>
        <v/>
      </c>
      <c r="BH18" s="353" t="str">
        <f t="array" ref="BH18">iferror(vlookup(BH$12&amp;"-"&amp;$E18,{index('Output_HALO - Nordics'!$A:$ZZ,0,$C$8),index('Output_HALO - Nordics'!$A:$ZZ,0,$C$5)},2,0),"")</f>
        <v/>
      </c>
      <c r="BI18" s="353" t="str">
        <f t="array" ref="BI18">iferror(vlookup(BI$12&amp;"-"&amp;$E18,{index('Output_HALO - Nordics'!$A:$ZZ,0,$C$8),index('Output_HALO - Nordics'!$A:$ZZ,0,$C$5)},2,0),"")</f>
        <v/>
      </c>
      <c r="BJ18" s="353" t="str">
        <f t="array" ref="BJ18">iferror(vlookup(BJ$12&amp;"-"&amp;$E18,{index('Output_HALO - Nordics'!$A:$ZZ,0,$C$8),index('Output_HALO - Nordics'!$A:$ZZ,0,$C$5)},2,0),"")</f>
        <v/>
      </c>
      <c r="BK18" s="353" t="str">
        <f t="array" ref="BK18">iferror(vlookup(BK$12&amp;"-"&amp;$E18,{index('Output_HALO - Nordics'!$A:$ZZ,0,$C$8),index('Output_HALO - Nordics'!$A:$ZZ,0,$C$5)},2,0),"")</f>
        <v/>
      </c>
      <c r="BL18" s="353" t="str">
        <f t="array" ref="BL18">iferror(vlookup(BL$12&amp;"-"&amp;$E18,{index('Output_HALO - Nordics'!$A:$ZZ,0,$C$8),index('Output_HALO - Nordics'!$A:$ZZ,0,$C$5)},2,0),"")</f>
        <v/>
      </c>
      <c r="BM18" s="353" t="str">
        <f t="array" ref="BM18">iferror(vlookup(BM$12&amp;"-"&amp;$E18,{index('Output_HALO - Nordics'!$A:$ZZ,0,$C$8),index('Output_HALO - Nordics'!$A:$ZZ,0,$C$5)},2,0),"")</f>
        <v/>
      </c>
      <c r="BN18" s="353" t="str">
        <f t="array" ref="BN18">iferror(vlookup(BN$12&amp;"-"&amp;$E18,{index('Output_HALO - Nordics'!$A:$ZZ,0,$C$8),index('Output_HALO - Nordics'!$A:$ZZ,0,$C$5)},2,0),"")</f>
        <v/>
      </c>
      <c r="BO18" s="353" t="str">
        <f t="array" ref="BO18">iferror(vlookup(BO$12&amp;"-"&amp;$E18,{index('Output_HALO - Nordics'!$A:$ZZ,0,$C$8),index('Output_HALO - Nordics'!$A:$ZZ,0,$C$5)},2,0),"")</f>
        <v/>
      </c>
      <c r="BP18" s="353" t="str">
        <f t="array" ref="BP18">iferror(vlookup(BP$12&amp;"-"&amp;$E18,{index('Output_HALO - Nordics'!$A:$ZZ,0,$C$8),index('Output_HALO - Nordics'!$A:$ZZ,0,$C$5)},2,0),"")</f>
        <v/>
      </c>
      <c r="BQ18" s="353" t="str">
        <f t="array" ref="BQ18">iferror(vlookup(BQ$12&amp;"-"&amp;$E18,{index('Output_HALO - Nordics'!$A:$ZZ,0,$C$8),index('Output_HALO - Nordics'!$A:$ZZ,0,$C$5)},2,0),"")</f>
        <v/>
      </c>
    </row>
    <row r="19">
      <c r="E19" s="354">
        <v>3.0</v>
      </c>
      <c r="F19" s="353" t="str">
        <f t="array" ref="F19">iferror(vlookup(F$12&amp;"-"&amp;$E19,{index('Output_HALO - Nordics'!$A:$ZZ,0,$C$8),index('Output_HALO - Nordics'!$A:$ZZ,0,$C$3)},2,0),"")</f>
        <v/>
      </c>
      <c r="G19" s="353" t="str">
        <f t="array" ref="G19">iferror(vlookup(G$12&amp;"-"&amp;$E19,{index('Output_HALO - Nordics'!$A:$ZZ,0,$C$8),index('Output_HALO - Nordics'!$A:$ZZ,0,$C$3)},2,0),"")</f>
        <v/>
      </c>
      <c r="H19" s="353" t="str">
        <f t="array" ref="H19">iferror(vlookup(H$12&amp;"-"&amp;$E19,{index('Output_HALO - Nordics'!$A:$ZZ,0,$C$8),index('Output_HALO - Nordics'!$A:$ZZ,0,$C$3)},2,0),"")</f>
        <v/>
      </c>
      <c r="I19" s="353" t="str">
        <f t="array" ref="I19">iferror(vlookup(I$12&amp;"-"&amp;$E19,{index('Output_HALO - Nordics'!$A:$ZZ,0,$C$8),index('Output_HALO - Nordics'!$A:$ZZ,0,$C$3)},2,0),"")</f>
        <v/>
      </c>
      <c r="J19" s="353" t="str">
        <f t="array" ref="J19">iferror(vlookup(J$12&amp;"-"&amp;$E19,{index('Output_HALO - Nordics'!$A:$ZZ,0,$C$8),index('Output_HALO - Nordics'!$A:$ZZ,0,$C$3)},2,0),"")</f>
        <v/>
      </c>
      <c r="K19" s="353" t="str">
        <f t="array" ref="K19">iferror(vlookup(K$12&amp;"-"&amp;$E19,{index('Output_HALO - Nordics'!$A:$ZZ,0,$C$8),index('Output_HALO - Nordics'!$A:$ZZ,0,$C$3)},2,0),"")</f>
        <v/>
      </c>
      <c r="L19" s="353" t="str">
        <f t="array" ref="L19">iferror(vlookup(L$12&amp;"-"&amp;$E19,{index('Output_HALO - Nordics'!$A:$ZZ,0,$C$8),index('Output_HALO - Nordics'!$A:$ZZ,0,$C$3)},2,0),"")</f>
        <v/>
      </c>
      <c r="M19" s="353" t="str">
        <f t="array" ref="M19">iferror(vlookup(M$12&amp;"-"&amp;$E19,{index('Output_HALO - Nordics'!$A:$ZZ,0,$C$8),index('Output_HALO - Nordics'!$A:$ZZ,0,$C$3)},2,0),"")</f>
        <v/>
      </c>
      <c r="N19" s="353" t="str">
        <f t="array" ref="N19">iferror(vlookup(N$12&amp;"-"&amp;$E19,{index('Output_HALO - Nordics'!$A:$ZZ,0,$C$8),index('Output_HALO - Nordics'!$A:$ZZ,0,$C$3)},2,0),"")</f>
        <v/>
      </c>
      <c r="O19" s="353" t="str">
        <f t="array" ref="O19">iferror(vlookup(O$12&amp;"-"&amp;$E19,{index('Output_HALO - Nordics'!$A:$ZZ,0,$C$8),index('Output_HALO - Nordics'!$A:$ZZ,0,$C$3)},2,0),"")</f>
        <v/>
      </c>
      <c r="P19" s="353" t="str">
        <f t="array" ref="P19">iferror(vlookup(P$12&amp;"-"&amp;$E19,{index('Output_HALO - Nordics'!$A:$ZZ,0,$C$8),index('Output_HALO - Nordics'!$A:$ZZ,0,$C$3)},2,0),"")</f>
        <v/>
      </c>
      <c r="Q19" s="353" t="str">
        <f t="array" ref="Q19">iferror(vlookup(Q$12&amp;"-"&amp;$E19,{index('Output_HALO - Nordics'!$A:$ZZ,0,$C$8),index('Output_HALO - Nordics'!$A:$ZZ,0,$C$3)},2,0),"")</f>
        <v/>
      </c>
      <c r="R19" s="353" t="str">
        <f t="array" ref="R19">iferror(vlookup(R$12&amp;"-"&amp;$E19,{index('Output_HALO - Nordics'!$A:$ZZ,0,$C$8),index('Output_HALO - Nordics'!$A:$ZZ,0,$C$3)},2,0),"")</f>
        <v/>
      </c>
      <c r="S19" s="353" t="str">
        <f t="array" ref="S19">iferror(vlookup(S$12&amp;"-"&amp;$E19,{index('Output_HALO - Nordics'!$A:$ZZ,0,$C$8),index('Output_HALO - Nordics'!$A:$ZZ,0,$C$3)},2,0),"")</f>
        <v/>
      </c>
      <c r="T19" s="353" t="str">
        <f t="array" ref="T19">iferror(vlookup(T$12&amp;"-"&amp;$E19,{index('Output_HALO - Nordics'!$A:$ZZ,0,$C$8),index('Output_HALO - Nordics'!$A:$ZZ,0,$C$3)},2,0),"")</f>
        <v/>
      </c>
      <c r="U19" s="353" t="str">
        <f t="array" ref="U19">iferror(vlookup(U$12&amp;"-"&amp;$E19,{index('Output_HALO - Nordics'!$A:$ZZ,0,$C$8),index('Output_HALO - Nordics'!$A:$ZZ,0,$C$3)},2,0),"")</f>
        <v/>
      </c>
      <c r="V19" s="353" t="str">
        <f t="array" ref="V19">iferror(vlookup(V$12&amp;"-"&amp;$E19,{index('Output_HALO - Nordics'!$A:$ZZ,0,$C$8),index('Output_HALO - Nordics'!$A:$ZZ,0,$C$3)},2,0),"")</f>
        <v/>
      </c>
      <c r="W19" s="353" t="str">
        <f t="array" ref="W19">iferror(vlookup(W$12&amp;"-"&amp;$E19,{index('Output_HALO - Nordics'!$A:$ZZ,0,$C$8),index('Output_HALO - Nordics'!$A:$ZZ,0,$C$3)},2,0),"")</f>
        <v/>
      </c>
      <c r="X19" s="353" t="str">
        <f t="array" ref="X19">iferror(vlookup(X$12&amp;"-"&amp;$E19,{index('Output_HALO - Nordics'!$A:$ZZ,0,$C$8),index('Output_HALO - Nordics'!$A:$ZZ,0,$C$3)},2,0),"")</f>
        <v/>
      </c>
      <c r="Y19" s="353" t="str">
        <f t="array" ref="Y19">iferror(vlookup(Y$12&amp;"-"&amp;$E19,{index('Output_HALO - Nordics'!$A:$ZZ,0,$C$8),index('Output_HALO - Nordics'!$A:$ZZ,0,$C$3)},2,0),"")</f>
        <v/>
      </c>
      <c r="Z19" s="353" t="str">
        <f t="array" ref="Z19">iferror(vlookup(Z$12&amp;"-"&amp;$E19,{index('Output_HALO - Nordics'!$A:$ZZ,0,$C$8),index('Output_HALO - Nordics'!$A:$ZZ,0,$C$3)},2,0),"")</f>
        <v/>
      </c>
      <c r="AA19" s="353" t="str">
        <f t="array" ref="AA19">iferror(vlookup(AA$12&amp;"-"&amp;$E19,{index('Output_HALO - Nordics'!$A:$ZZ,0,$C$8),index('Output_HALO - Nordics'!$A:$ZZ,0,$C$3)},2,0),"")</f>
        <v/>
      </c>
      <c r="AB19" s="353" t="str">
        <f t="array" ref="AB19">iferror(vlookup(AB$12&amp;"-"&amp;$E19,{index('Output_HALO - Nordics'!$A:$ZZ,0,$C$8),index('Output_HALO - Nordics'!$A:$ZZ,0,$C$3)},2,0),"")</f>
        <v/>
      </c>
      <c r="AC19" s="353" t="str">
        <f t="array" ref="AC19">iferror(vlookup(AC$12&amp;"-"&amp;$E19,{index('Output_HALO - Nordics'!$A:$ZZ,0,$C$8),index('Output_HALO - Nordics'!$A:$ZZ,0,$C$3)},2,0),"")</f>
        <v/>
      </c>
      <c r="AD19" s="353" t="str">
        <f t="array" ref="AD19">iferror(vlookup(AD$12&amp;"-"&amp;$E19,{index('Output_HALO - Nordics'!$A:$ZZ,0,$C$8),index('Output_HALO - Nordics'!$A:$ZZ,0,$C$3)},2,0),"")</f>
        <v/>
      </c>
      <c r="AE19" s="353" t="str">
        <f t="array" ref="AE19">iferror(vlookup(AE$12&amp;"-"&amp;$E19,{index('Output_HALO - Nordics'!$A:$ZZ,0,$C$8),index('Output_HALO - Nordics'!$A:$ZZ,0,$C$3)},2,0),"")</f>
        <v/>
      </c>
      <c r="AF19" s="353" t="str">
        <f t="array" ref="AF19">iferror(vlookup(AF$12&amp;"-"&amp;$E19,{index('Output_HALO - Nordics'!$A:$ZZ,0,$C$8),index('Output_HALO - Nordics'!$A:$ZZ,0,$C$3)},2,0),"")</f>
        <v/>
      </c>
      <c r="AG19" s="353" t="str">
        <f t="array" ref="AG19">iferror(vlookup(AG$12&amp;"-"&amp;$E19,{index('Output_HALO - Nordics'!$A:$ZZ,0,$C$8),index('Output_HALO - Nordics'!$A:$ZZ,0,$C$3)},2,0),"")</f>
        <v/>
      </c>
      <c r="AH19" s="353" t="str">
        <f t="array" ref="AH19">iferror(vlookup(AH$12&amp;"-"&amp;$E19,{index('Output_HALO - Nordics'!$A:$ZZ,0,$C$8),index('Output_HALO - Nordics'!$A:$ZZ,0,$C$3)},2,0),"")</f>
        <v/>
      </c>
      <c r="AI19" s="353" t="str">
        <f t="array" ref="AI19">iferror(vlookup(AI$12&amp;"-"&amp;$E19,{index('Output_HALO - Nordics'!$A:$ZZ,0,$C$8),index('Output_HALO - Nordics'!$A:$ZZ,0,$C$3)},2,0),"")</f>
        <v/>
      </c>
      <c r="AJ19" s="353" t="str">
        <f t="array" ref="AJ19">iferror(vlookup(AJ$12&amp;"-"&amp;$E19,{index('Output_HALO - Nordics'!$A:$ZZ,0,$C$8),index('Output_HALO - Nordics'!$A:$ZZ,0,$C$3)},2,0),"")</f>
        <v/>
      </c>
      <c r="AK19" s="353" t="str">
        <f t="array" ref="AK19">iferror(vlookup(AK$12&amp;"-"&amp;$E19,{index('Output_HALO - Nordics'!$A:$ZZ,0,$C$8),index('Output_HALO - Nordics'!$A:$ZZ,0,$C$3)},2,0),"")</f>
        <v/>
      </c>
      <c r="AL19" s="353" t="str">
        <f t="array" ref="AL19">iferror(vlookup(AL$12&amp;"-"&amp;$E19,{index('Output_HALO - Nordics'!$A:$ZZ,0,$C$8),index('Output_HALO - Nordics'!$A:$ZZ,0,$C$3)},2,0),"")</f>
        <v/>
      </c>
      <c r="AM19" s="353" t="str">
        <f t="array" ref="AM19">iferror(vlookup(AM$12&amp;"-"&amp;$E19,{index('Output_HALO - Nordics'!$A:$ZZ,0,$C$8),index('Output_HALO - Nordics'!$A:$ZZ,0,$C$3)},2,0),"")</f>
        <v/>
      </c>
      <c r="AN19" s="353" t="str">
        <f t="array" ref="AN19">iferror(vlookup(AN$12&amp;"-"&amp;$E19,{index('Output_HALO - Nordics'!$A:$ZZ,0,$C$8),index('Output_HALO - Nordics'!$A:$ZZ,0,$C$3)},2,0),"")</f>
        <v/>
      </c>
      <c r="AO19" s="353" t="str">
        <f t="array" ref="AO19">iferror(vlookup(AO$12&amp;"-"&amp;$E19,{index('Output_HALO - Nordics'!$A:$ZZ,0,$C$8),index('Output_HALO - Nordics'!$A:$ZZ,0,$C$3)},2,0),"")</f>
        <v/>
      </c>
      <c r="AP19" s="353" t="str">
        <f t="array" ref="AP19">iferror(vlookup(AP$12&amp;"-"&amp;$E19,{index('Output_HALO - Nordics'!$A:$ZZ,0,$C$8),index('Output_HALO - Nordics'!$A:$ZZ,0,$C$3)},2,0),"")</f>
        <v/>
      </c>
      <c r="AQ19" s="353" t="str">
        <f t="array" ref="AQ19">iferror(vlookup(AQ$12&amp;"-"&amp;$E19,{index('Output_HALO - Nordics'!$A:$ZZ,0,$C$8),index('Output_HALO - Nordics'!$A:$ZZ,0,$C$3)},2,0),"")</f>
        <v/>
      </c>
      <c r="AR19" s="353" t="str">
        <f t="array" ref="AR19">iferror(vlookup(AR$12&amp;"-"&amp;$E19,{index('Output_HALO - Nordics'!$A:$ZZ,0,$C$8),index('Output_HALO - Nordics'!$A:$ZZ,0,$C$3)},2,0),"")</f>
        <v/>
      </c>
      <c r="AS19" s="353" t="str">
        <f t="array" ref="AS19">iferror(vlookup(AS$12&amp;"-"&amp;$E19,{index('Output_HALO - Nordics'!$A:$ZZ,0,$C$8),index('Output_HALO - Nordics'!$A:$ZZ,0,$C$3)},2,0),"")</f>
        <v/>
      </c>
      <c r="AT19" s="353" t="str">
        <f t="array" ref="AT19">iferror(vlookup(AT$12&amp;"-"&amp;$E19,{index('Output_HALO - Nordics'!$A:$ZZ,0,$C$8),index('Output_HALO - Nordics'!$A:$ZZ,0,$C$3)},2,0),"")</f>
        <v/>
      </c>
      <c r="AU19" s="353" t="str">
        <f t="array" ref="AU19">iferror(vlookup(AU$12&amp;"-"&amp;$E19,{index('Output_HALO - Nordics'!$A:$ZZ,0,$C$8),index('Output_HALO - Nordics'!$A:$ZZ,0,$C$3)},2,0),"")</f>
        <v/>
      </c>
      <c r="AV19" s="353" t="str">
        <f t="array" ref="AV19">iferror(vlookup(AV$12&amp;"-"&amp;$E19,{index('Output_HALO - Nordics'!$A:$ZZ,0,$C$8),index('Output_HALO - Nordics'!$A:$ZZ,0,$C$3)},2,0),"")</f>
        <v/>
      </c>
      <c r="AW19" s="353" t="str">
        <f t="array" ref="AW19">iferror(vlookup(AW$12&amp;"-"&amp;$E19,{index('Output_HALO - Nordics'!$A:$ZZ,0,$C$8),index('Output_HALO - Nordics'!$A:$ZZ,0,$C$3)},2,0),"")</f>
        <v/>
      </c>
      <c r="AX19" s="353" t="str">
        <f t="array" ref="AX19">iferror(vlookup(AX$12&amp;"-"&amp;$E19,{index('Output_HALO - Nordics'!$A:$ZZ,0,$C$8),index('Output_HALO - Nordics'!$A:$ZZ,0,$C$3)},2,0),"")</f>
        <v/>
      </c>
      <c r="AY19" s="353" t="str">
        <f t="array" ref="AY19">iferror(vlookup(AY$12&amp;"-"&amp;$E19,{index('Output_HALO - Nordics'!$A:$ZZ,0,$C$8),index('Output_HALO - Nordics'!$A:$ZZ,0,$C$3)},2,0),"")</f>
        <v/>
      </c>
      <c r="AZ19" s="353" t="str">
        <f t="array" ref="AZ19">iferror(vlookup(AZ$12&amp;"-"&amp;$E19,{index('Output_HALO - Nordics'!$A:$ZZ,0,$C$8),index('Output_HALO - Nordics'!$A:$ZZ,0,$C$3)},2,0),"")</f>
        <v/>
      </c>
      <c r="BA19" s="353" t="str">
        <f t="array" ref="BA19">iferror(vlookup(BA$12&amp;"-"&amp;$E19,{index('Output_HALO - Nordics'!$A:$ZZ,0,$C$8),index('Output_HALO - Nordics'!$A:$ZZ,0,$C$3)},2,0),"")</f>
        <v/>
      </c>
      <c r="BB19" s="353" t="str">
        <f t="array" ref="BB19">iferror(vlookup(BB$12&amp;"-"&amp;$E19,{index('Output_HALO - Nordics'!$A:$ZZ,0,$C$8),index('Output_HALO - Nordics'!$A:$ZZ,0,$C$3)},2,0),"")</f>
        <v/>
      </c>
      <c r="BC19" s="359" t="str">
        <f t="array" ref="BC19">iferror(vlookup(BC$12&amp;"-"&amp;$E19,{index('Output_HALO - Nordics'!$A:$ZZ,0,$C$8),index('Output_HALO - Nordics'!$A:$ZZ,0,$C$3)},2,0),"")</f>
        <v/>
      </c>
      <c r="BD19" s="353" t="str">
        <f t="array" ref="BD19">iferror(vlookup(BD$12&amp;"-"&amp;$E19,{index('Output_HALO - Nordics'!$A:$ZZ,0,$C$8),index('Output_HALO - Nordics'!$A:$ZZ,0,$C$3)},2,0),"")</f>
        <v/>
      </c>
      <c r="BE19" s="353" t="str">
        <f t="array" ref="BE19">iferror(vlookup(BE$12&amp;"-"&amp;$E19,{index('Output_HALO - Nordics'!$A:$ZZ,0,$C$8),index('Output_HALO - Nordics'!$A:$ZZ,0,$C$3)},2,0),"")</f>
        <v/>
      </c>
      <c r="BF19" s="353" t="str">
        <f t="array" ref="BF19">iferror(vlookup(BF$12&amp;"-"&amp;$E19,{index('Output_HALO - Nordics'!$A:$ZZ,0,$C$8),index('Output_HALO - Nordics'!$A:$ZZ,0,$C$3)},2,0),"")</f>
        <v/>
      </c>
      <c r="BG19" s="353" t="str">
        <f t="array" ref="BG19">iferror(vlookup(BG$12&amp;"-"&amp;$E19,{index('Output_HALO - Nordics'!$A:$ZZ,0,$C$8),index('Output_HALO - Nordics'!$A:$ZZ,0,$C$3)},2,0),"")</f>
        <v/>
      </c>
      <c r="BH19" s="353" t="str">
        <f t="array" ref="BH19">iferror(vlookup(BH$12&amp;"-"&amp;$E19,{index('Output_HALO - Nordics'!$A:$ZZ,0,$C$8),index('Output_HALO - Nordics'!$A:$ZZ,0,$C$3)},2,0),"")</f>
        <v/>
      </c>
      <c r="BI19" s="353" t="str">
        <f t="array" ref="BI19">iferror(vlookup(BI$12&amp;"-"&amp;$E19,{index('Output_HALO - Nordics'!$A:$ZZ,0,$C$8),index('Output_HALO - Nordics'!$A:$ZZ,0,$C$3)},2,0),"")</f>
        <v/>
      </c>
      <c r="BJ19" s="353" t="str">
        <f t="array" ref="BJ19">iferror(vlookup(BJ$12&amp;"-"&amp;$E19,{index('Output_HALO - Nordics'!$A:$ZZ,0,$C$8),index('Output_HALO - Nordics'!$A:$ZZ,0,$C$3)},2,0),"")</f>
        <v/>
      </c>
      <c r="BK19" s="353" t="str">
        <f t="array" ref="BK19">iferror(vlookup(BK$12&amp;"-"&amp;$E19,{index('Output_HALO - Nordics'!$A:$ZZ,0,$C$8),index('Output_HALO - Nordics'!$A:$ZZ,0,$C$3)},2,0),"")</f>
        <v/>
      </c>
      <c r="BL19" s="353" t="str">
        <f t="array" ref="BL19">iferror(vlookup(BL$12&amp;"-"&amp;$E19,{index('Output_HALO - Nordics'!$A:$ZZ,0,$C$8),index('Output_HALO - Nordics'!$A:$ZZ,0,$C$3)},2,0),"")</f>
        <v/>
      </c>
      <c r="BM19" s="353" t="str">
        <f t="array" ref="BM19">iferror(vlookup(BM$12&amp;"-"&amp;$E19,{index('Output_HALO - Nordics'!$A:$ZZ,0,$C$8),index('Output_HALO - Nordics'!$A:$ZZ,0,$C$3)},2,0),"")</f>
        <v/>
      </c>
      <c r="BN19" s="353" t="str">
        <f t="array" ref="BN19">iferror(vlookup(BN$12&amp;"-"&amp;$E19,{index('Output_HALO - Nordics'!$A:$ZZ,0,$C$8),index('Output_HALO - Nordics'!$A:$ZZ,0,$C$3)},2,0),"")</f>
        <v/>
      </c>
      <c r="BO19" s="353" t="str">
        <f t="array" ref="BO19">iferror(vlookup(BO$12&amp;"-"&amp;$E19,{index('Output_HALO - Nordics'!$A:$ZZ,0,$C$8),index('Output_HALO - Nordics'!$A:$ZZ,0,$C$3)},2,0),"")</f>
        <v/>
      </c>
      <c r="BP19" s="353" t="str">
        <f t="array" ref="BP19">iferror(vlookup(BP$12&amp;"-"&amp;$E19,{index('Output_HALO - Nordics'!$A:$ZZ,0,$C$8),index('Output_HALO - Nordics'!$A:$ZZ,0,$C$3)},2,0),"")</f>
        <v/>
      </c>
      <c r="BQ19" s="353" t="str">
        <f t="array" ref="BQ19">iferror(vlookup(BQ$12&amp;"-"&amp;$E19,{index('Output_HALO - Nordics'!$A:$ZZ,0,$C$8),index('Output_HALO - Nordics'!$A:$ZZ,0,$C$3)},2,0),"")</f>
        <v/>
      </c>
    </row>
    <row r="20">
      <c r="E20" s="354">
        <v>3.0</v>
      </c>
      <c r="F20" s="353">
        <f t="array" ref="F20">iferror(vlookup(F19,{index('Output_HALO - Nordics'!$A:$ZZ,0,$C$3),index('Output_HALO - Nordics'!$A:$ZZ,0,$C$4)},2,0),"")</f>
        <v>0</v>
      </c>
      <c r="G20" s="353">
        <f t="array" ref="G20">iferror(vlookup(G19,{index('Output_HALO - Nordics'!$A:$ZZ,0,$C$3),index('Output_HALO - Nordics'!$A:$ZZ,0,$C$4)},2,0),"")</f>
        <v>0</v>
      </c>
      <c r="H20" s="353">
        <f t="array" ref="H20">iferror(vlookup(H19,{index('Output_HALO - Nordics'!$A:$ZZ,0,$C$3),index('Output_HALO - Nordics'!$A:$ZZ,0,$C$4)},2,0),"")</f>
        <v>0</v>
      </c>
      <c r="I20" s="353">
        <f t="array" ref="I20">iferror(vlookup(I19,{index('Output_HALO - Nordics'!$A:$ZZ,0,$C$3),index('Output_HALO - Nordics'!$A:$ZZ,0,$C$4)},2,0),"")</f>
        <v>0</v>
      </c>
      <c r="J20" s="353">
        <f t="array" ref="J20">iferror(vlookup(J19,{index('Output_HALO - Nordics'!$A:$ZZ,0,$C$3),index('Output_HALO - Nordics'!$A:$ZZ,0,$C$4)},2,0),"")</f>
        <v>0</v>
      </c>
      <c r="K20" s="353">
        <f t="array" ref="K20">iferror(vlookup(K19,{index('Output_HALO - Nordics'!$A:$ZZ,0,$C$3),index('Output_HALO - Nordics'!$A:$ZZ,0,$C$4)},2,0),"")</f>
        <v>0</v>
      </c>
      <c r="L20" s="353">
        <f t="array" ref="L20">iferror(vlookup(L19,{index('Output_HALO - Nordics'!$A:$ZZ,0,$C$3),index('Output_HALO - Nordics'!$A:$ZZ,0,$C$4)},2,0),"")</f>
        <v>0</v>
      </c>
      <c r="M20" s="353">
        <f t="array" ref="M20">iferror(vlookup(M19,{index('Output_HALO - Nordics'!$A:$ZZ,0,$C$3),index('Output_HALO - Nordics'!$A:$ZZ,0,$C$4)},2,0),"")</f>
        <v>0</v>
      </c>
      <c r="N20" s="353">
        <f t="array" ref="N20">iferror(vlookup(N19,{index('Output_HALO - Nordics'!$A:$ZZ,0,$C$3),index('Output_HALO - Nordics'!$A:$ZZ,0,$C$4)},2,0),"")</f>
        <v>0</v>
      </c>
      <c r="O20" s="353">
        <f t="array" ref="O20">iferror(vlookup(O19,{index('Output_HALO - Nordics'!$A:$ZZ,0,$C$3),index('Output_HALO - Nordics'!$A:$ZZ,0,$C$4)},2,0),"")</f>
        <v>0</v>
      </c>
      <c r="P20" s="353">
        <f t="array" ref="P20">iferror(vlookup(P19,{index('Output_HALO - Nordics'!$A:$ZZ,0,$C$3),index('Output_HALO - Nordics'!$A:$ZZ,0,$C$4)},2,0),"")</f>
        <v>0</v>
      </c>
      <c r="Q20" s="353">
        <f t="array" ref="Q20">iferror(vlookup(Q19,{index('Output_HALO - Nordics'!$A:$ZZ,0,$C$3),index('Output_HALO - Nordics'!$A:$ZZ,0,$C$4)},2,0),"")</f>
        <v>0</v>
      </c>
      <c r="R20" s="353">
        <f t="array" ref="R20">iferror(vlookup(R19,{index('Output_HALO - Nordics'!$A:$ZZ,0,$C$3),index('Output_HALO - Nordics'!$A:$ZZ,0,$C$4)},2,0),"")</f>
        <v>0</v>
      </c>
      <c r="S20" s="353">
        <f t="array" ref="S20">iferror(vlookup(S19,{index('Output_HALO - Nordics'!$A:$ZZ,0,$C$3),index('Output_HALO - Nordics'!$A:$ZZ,0,$C$4)},2,0),"")</f>
        <v>0</v>
      </c>
      <c r="T20" s="353">
        <f t="array" ref="T20">iferror(vlookup(T19,{index('Output_HALO - Nordics'!$A:$ZZ,0,$C$3),index('Output_HALO - Nordics'!$A:$ZZ,0,$C$4)},2,0),"")</f>
        <v>0</v>
      </c>
      <c r="U20" s="353">
        <f t="array" ref="U20">iferror(vlookup(U19,{index('Output_HALO - Nordics'!$A:$ZZ,0,$C$3),index('Output_HALO - Nordics'!$A:$ZZ,0,$C$4)},2,0),"")</f>
        <v>0</v>
      </c>
      <c r="V20" s="353">
        <f t="array" ref="V20">iferror(vlookup(V19,{index('Output_HALO - Nordics'!$A:$ZZ,0,$C$3),index('Output_HALO - Nordics'!$A:$ZZ,0,$C$4)},2,0),"")</f>
        <v>0</v>
      </c>
      <c r="W20" s="353">
        <f t="array" ref="W20">iferror(vlookup(W19,{index('Output_HALO - Nordics'!$A:$ZZ,0,$C$3),index('Output_HALO - Nordics'!$A:$ZZ,0,$C$4)},2,0),"")</f>
        <v>0</v>
      </c>
      <c r="X20" s="353">
        <f t="array" ref="X20">iferror(vlookup(X19,{index('Output_HALO - Nordics'!$A:$ZZ,0,$C$3),index('Output_HALO - Nordics'!$A:$ZZ,0,$C$4)},2,0),"")</f>
        <v>0</v>
      </c>
      <c r="Y20" s="353">
        <f t="array" ref="Y20">iferror(vlookup(Y19,{index('Output_HALO - Nordics'!$A:$ZZ,0,$C$3),index('Output_HALO - Nordics'!$A:$ZZ,0,$C$4)},2,0),"")</f>
        <v>0</v>
      </c>
      <c r="Z20" s="353">
        <f t="array" ref="Z20">iferror(vlookup(Z19,{index('Output_HALO - Nordics'!$A:$ZZ,0,$C$3),index('Output_HALO - Nordics'!$A:$ZZ,0,$C$4)},2,0),"")</f>
        <v>0</v>
      </c>
      <c r="AA20" s="353">
        <f t="array" ref="AA20">iferror(vlookup(AA19,{index('Output_HALO - Nordics'!$A:$ZZ,0,$C$3),index('Output_HALO - Nordics'!$A:$ZZ,0,$C$4)},2,0),"")</f>
        <v>0</v>
      </c>
      <c r="AB20" s="353">
        <f t="array" ref="AB20">iferror(vlookup(AB19,{index('Output_HALO - Nordics'!$A:$ZZ,0,$C$3),index('Output_HALO - Nordics'!$A:$ZZ,0,$C$4)},2,0),"")</f>
        <v>0</v>
      </c>
      <c r="AC20" s="353">
        <f t="array" ref="AC20">iferror(vlookup(AC19,{index('Output_HALO - Nordics'!$A:$ZZ,0,$C$3),index('Output_HALO - Nordics'!$A:$ZZ,0,$C$4)},2,0),"")</f>
        <v>0</v>
      </c>
      <c r="AD20" s="353">
        <f t="array" ref="AD20">iferror(vlookup(AD19,{index('Output_HALO - Nordics'!$A:$ZZ,0,$C$3),index('Output_HALO - Nordics'!$A:$ZZ,0,$C$4)},2,0),"")</f>
        <v>0</v>
      </c>
      <c r="AE20" s="353">
        <f t="array" ref="AE20">iferror(vlookup(AE19,{index('Output_HALO - Nordics'!$A:$ZZ,0,$C$3),index('Output_HALO - Nordics'!$A:$ZZ,0,$C$4)},2,0),"")</f>
        <v>0</v>
      </c>
      <c r="AF20" s="353">
        <f t="array" ref="AF20">iferror(vlookup(AF19,{index('Output_HALO - Nordics'!$A:$ZZ,0,$C$3),index('Output_HALO - Nordics'!$A:$ZZ,0,$C$4)},2,0),"")</f>
        <v>0</v>
      </c>
      <c r="AG20" s="353">
        <f t="array" ref="AG20">iferror(vlookup(AG19,{index('Output_HALO - Nordics'!$A:$ZZ,0,$C$3),index('Output_HALO - Nordics'!$A:$ZZ,0,$C$4)},2,0),"")</f>
        <v>0</v>
      </c>
      <c r="AH20" s="353">
        <f t="array" ref="AH20">iferror(vlookup(AH19,{index('Output_HALO - Nordics'!$A:$ZZ,0,$C$3),index('Output_HALO - Nordics'!$A:$ZZ,0,$C$4)},2,0),"")</f>
        <v>0</v>
      </c>
      <c r="AI20" s="353">
        <f t="array" ref="AI20">iferror(vlookup(AI19,{index('Output_HALO - Nordics'!$A:$ZZ,0,$C$3),index('Output_HALO - Nordics'!$A:$ZZ,0,$C$4)},2,0),"")</f>
        <v>0</v>
      </c>
      <c r="AJ20" s="353">
        <f t="array" ref="AJ20">iferror(vlookup(AJ19,{index('Output_HALO - Nordics'!$A:$ZZ,0,$C$3),index('Output_HALO - Nordics'!$A:$ZZ,0,$C$4)},2,0),"")</f>
        <v>0</v>
      </c>
      <c r="AK20" s="353">
        <f t="array" ref="AK20">iferror(vlookup(AK19,{index('Output_HALO - Nordics'!$A:$ZZ,0,$C$3),index('Output_HALO - Nordics'!$A:$ZZ,0,$C$4)},2,0),"")</f>
        <v>0</v>
      </c>
      <c r="AL20" s="353">
        <f t="array" ref="AL20">iferror(vlookup(AL19,{index('Output_HALO - Nordics'!$A:$ZZ,0,$C$3),index('Output_HALO - Nordics'!$A:$ZZ,0,$C$4)},2,0),"")</f>
        <v>0</v>
      </c>
      <c r="AM20" s="353">
        <f t="array" ref="AM20">iferror(vlookup(AM19,{index('Output_HALO - Nordics'!$A:$ZZ,0,$C$3),index('Output_HALO - Nordics'!$A:$ZZ,0,$C$4)},2,0),"")</f>
        <v>0</v>
      </c>
      <c r="AN20" s="353">
        <f t="array" ref="AN20">iferror(vlookup(AN19,{index('Output_HALO - Nordics'!$A:$ZZ,0,$C$3),index('Output_HALO - Nordics'!$A:$ZZ,0,$C$4)},2,0),"")</f>
        <v>0</v>
      </c>
      <c r="AO20" s="353">
        <f t="array" ref="AO20">iferror(vlookup(AO19,{index('Output_HALO - Nordics'!$A:$ZZ,0,$C$3),index('Output_HALO - Nordics'!$A:$ZZ,0,$C$4)},2,0),"")</f>
        <v>0</v>
      </c>
      <c r="AP20" s="353">
        <f t="array" ref="AP20">iferror(vlookup(AP19,{index('Output_HALO - Nordics'!$A:$ZZ,0,$C$3),index('Output_HALO - Nordics'!$A:$ZZ,0,$C$4)},2,0),"")</f>
        <v>0</v>
      </c>
      <c r="AQ20" s="353">
        <f t="array" ref="AQ20">iferror(vlookup(AQ19,{index('Output_HALO - Nordics'!$A:$ZZ,0,$C$3),index('Output_HALO - Nordics'!$A:$ZZ,0,$C$4)},2,0),"")</f>
        <v>0</v>
      </c>
      <c r="AR20" s="353">
        <f t="array" ref="AR20">iferror(vlookup(AR19,{index('Output_HALO - Nordics'!$A:$ZZ,0,$C$3),index('Output_HALO - Nordics'!$A:$ZZ,0,$C$4)},2,0),"")</f>
        <v>0</v>
      </c>
      <c r="AS20" s="353">
        <f t="array" ref="AS20">iferror(vlookup(AS19,{index('Output_HALO - Nordics'!$A:$ZZ,0,$C$3),index('Output_HALO - Nordics'!$A:$ZZ,0,$C$4)},2,0),"")</f>
        <v>0</v>
      </c>
      <c r="AT20" s="353">
        <f t="array" ref="AT20">iferror(vlookup(AT19,{index('Output_HALO - Nordics'!$A:$ZZ,0,$C$3),index('Output_HALO - Nordics'!$A:$ZZ,0,$C$4)},2,0),"")</f>
        <v>0</v>
      </c>
      <c r="AU20" s="353">
        <f t="array" ref="AU20">iferror(vlookup(AU19,{index('Output_HALO - Nordics'!$A:$ZZ,0,$C$3),index('Output_HALO - Nordics'!$A:$ZZ,0,$C$4)},2,0),"")</f>
        <v>0</v>
      </c>
      <c r="AV20" s="353">
        <f t="array" ref="AV20">iferror(vlookup(AV19,{index('Output_HALO - Nordics'!$A:$ZZ,0,$C$3),index('Output_HALO - Nordics'!$A:$ZZ,0,$C$4)},2,0),"")</f>
        <v>0</v>
      </c>
      <c r="AW20" s="353">
        <f t="array" ref="AW20">iferror(vlookup(AW19,{index('Output_HALO - Nordics'!$A:$ZZ,0,$C$3),index('Output_HALO - Nordics'!$A:$ZZ,0,$C$4)},2,0),"")</f>
        <v>0</v>
      </c>
      <c r="AX20" s="353">
        <f t="array" ref="AX20">iferror(vlookup(AX19,{index('Output_HALO - Nordics'!$A:$ZZ,0,$C$3),index('Output_HALO - Nordics'!$A:$ZZ,0,$C$4)},2,0),"")</f>
        <v>0</v>
      </c>
      <c r="AY20" s="353">
        <f t="array" ref="AY20">iferror(vlookup(AY19,{index('Output_HALO - Nordics'!$A:$ZZ,0,$C$3),index('Output_HALO - Nordics'!$A:$ZZ,0,$C$4)},2,0),"")</f>
        <v>0</v>
      </c>
      <c r="AZ20" s="353">
        <f t="array" ref="AZ20">iferror(vlookup(AZ19,{index('Output_HALO - Nordics'!$A:$ZZ,0,$C$3),index('Output_HALO - Nordics'!$A:$ZZ,0,$C$4)},2,0),"")</f>
        <v>0</v>
      </c>
      <c r="BA20" s="353">
        <f t="array" ref="BA20">iferror(vlookup(BA19,{index('Output_HALO - Nordics'!$A:$ZZ,0,$C$3),index('Output_HALO - Nordics'!$A:$ZZ,0,$C$4)},2,0),"")</f>
        <v>0</v>
      </c>
      <c r="BB20" s="353">
        <f t="array" ref="BB20">iferror(vlookup(BB19,{index('Output_HALO - Nordics'!$A:$ZZ,0,$C$3),index('Output_HALO - Nordics'!$A:$ZZ,0,$C$4)},2,0),"")</f>
        <v>0</v>
      </c>
      <c r="BC20" s="353">
        <f t="array" ref="BC20">iferror(vlookup(BC19,{index('Output_HALO - Nordics'!$A:$ZZ,0,$C$3),index('Output_HALO - Nordics'!$A:$ZZ,0,$C$4)},2,0),"")</f>
        <v>0</v>
      </c>
      <c r="BD20" s="353">
        <f t="array" ref="BD20">iferror(vlookup(BD19,{index('Output_HALO - Nordics'!$A:$ZZ,0,$C$3),index('Output_HALO - Nordics'!$A:$ZZ,0,$C$4)},2,0),"")</f>
        <v>0</v>
      </c>
      <c r="BE20" s="353">
        <f t="array" ref="BE20">iferror(vlookup(BE19,{index('Output_HALO - Nordics'!$A:$ZZ,0,$C$3),index('Output_HALO - Nordics'!$A:$ZZ,0,$C$4)},2,0),"")</f>
        <v>0</v>
      </c>
      <c r="BF20" s="353">
        <f t="array" ref="BF20">iferror(vlookup(BF19,{index('Output_HALO - Nordics'!$A:$ZZ,0,$C$3),index('Output_HALO - Nordics'!$A:$ZZ,0,$C$4)},2,0),"")</f>
        <v>0</v>
      </c>
      <c r="BG20" s="353">
        <f t="array" ref="BG20">iferror(vlookup(BG19,{index('Output_HALO - Nordics'!$A:$ZZ,0,$C$3),index('Output_HALO - Nordics'!$A:$ZZ,0,$C$4)},2,0),"")</f>
        <v>0</v>
      </c>
      <c r="BH20" s="353">
        <f t="array" ref="BH20">iferror(vlookup(BH19,{index('Output_HALO - Nordics'!$A:$ZZ,0,$C$3),index('Output_HALO - Nordics'!$A:$ZZ,0,$C$4)},2,0),"")</f>
        <v>0</v>
      </c>
      <c r="BI20" s="353">
        <f t="array" ref="BI20">iferror(vlookup(BI19,{index('Output_HALO - Nordics'!$A:$ZZ,0,$C$3),index('Output_HALO - Nordics'!$A:$ZZ,0,$C$4)},2,0),"")</f>
        <v>0</v>
      </c>
      <c r="BJ20" s="353">
        <f t="array" ref="BJ20">iferror(vlookup(BJ19,{index('Output_HALO - Nordics'!$A:$ZZ,0,$C$3),index('Output_HALO - Nordics'!$A:$ZZ,0,$C$4)},2,0),"")</f>
        <v>0</v>
      </c>
      <c r="BK20" s="353">
        <f t="array" ref="BK20">iferror(vlookup(BK19,{index('Output_HALO - Nordics'!$A:$ZZ,0,$C$3),index('Output_HALO - Nordics'!$A:$ZZ,0,$C$4)},2,0),"")</f>
        <v>0</v>
      </c>
      <c r="BL20" s="353">
        <f t="array" ref="BL20">iferror(vlookup(BL19,{index('Output_HALO - Nordics'!$A:$ZZ,0,$C$3),index('Output_HALO - Nordics'!$A:$ZZ,0,$C$4)},2,0),"")</f>
        <v>0</v>
      </c>
      <c r="BM20" s="353">
        <f t="array" ref="BM20">iferror(vlookup(BM19,{index('Output_HALO - Nordics'!$A:$ZZ,0,$C$3),index('Output_HALO - Nordics'!$A:$ZZ,0,$C$4)},2,0),"")</f>
        <v>0</v>
      </c>
      <c r="BN20" s="353">
        <f t="array" ref="BN20">iferror(vlookup(BN19,{index('Output_HALO - Nordics'!$A:$ZZ,0,$C$3),index('Output_HALO - Nordics'!$A:$ZZ,0,$C$4)},2,0),"")</f>
        <v>0</v>
      </c>
      <c r="BO20" s="353">
        <f t="array" ref="BO20">iferror(vlookup(BO19,{index('Output_HALO - Nordics'!$A:$ZZ,0,$C$3),index('Output_HALO - Nordics'!$A:$ZZ,0,$C$4)},2,0),"")</f>
        <v>0</v>
      </c>
      <c r="BP20" s="353">
        <f t="array" ref="BP20">iferror(vlookup(BP19,{index('Output_HALO - Nordics'!$A:$ZZ,0,$C$3),index('Output_HALO - Nordics'!$A:$ZZ,0,$C$4)},2,0),"")</f>
        <v>0</v>
      </c>
      <c r="BQ20" s="353">
        <f t="array" ref="BQ20">iferror(vlookup(BQ19,{index('Output_HALO - Nordics'!$A:$ZZ,0,$C$3),index('Output_HALO - Nordics'!$A:$ZZ,0,$C$4)},2,0),"")</f>
        <v>0</v>
      </c>
    </row>
    <row r="21">
      <c r="E21" s="354">
        <v>3.0</v>
      </c>
      <c r="F21" s="353" t="str">
        <f t="array" ref="F21">iferror(vlookup(F$12&amp;"-"&amp;$E21,{index('Output_HALO - Nordics'!$A:$ZZ,0,$C$8),index('Output_HALO - Nordics'!$A:$ZZ,0,$C$5)},2,0),"")</f>
        <v/>
      </c>
      <c r="G21" s="353" t="str">
        <f t="array" ref="G21">iferror(vlookup(G$12&amp;"-"&amp;$E21,{index('Output_HALO - Nordics'!$A:$ZZ,0,$C$8),index('Output_HALO - Nordics'!$A:$ZZ,0,$C$5)},2,0),"")</f>
        <v/>
      </c>
      <c r="H21" s="353" t="str">
        <f t="array" ref="H21">iferror(vlookup(H$12&amp;"-"&amp;$E21,{index('Output_HALO - Nordics'!$A:$ZZ,0,$C$8),index('Output_HALO - Nordics'!$A:$ZZ,0,$C$5)},2,0),"")</f>
        <v/>
      </c>
      <c r="I21" s="353" t="str">
        <f t="array" ref="I21">iferror(vlookup(I$12&amp;"-"&amp;$E21,{index('Output_HALO - Nordics'!$A:$ZZ,0,$C$8),index('Output_HALO - Nordics'!$A:$ZZ,0,$C$5)},2,0),"")</f>
        <v/>
      </c>
      <c r="J21" s="353" t="str">
        <f t="array" ref="J21">iferror(vlookup(J$12&amp;"-"&amp;$E21,{index('Output_HALO - Nordics'!$A:$ZZ,0,$C$8),index('Output_HALO - Nordics'!$A:$ZZ,0,$C$5)},2,0),"")</f>
        <v/>
      </c>
      <c r="K21" s="353" t="str">
        <f t="array" ref="K21">iferror(vlookup(K$12&amp;"-"&amp;$E21,{index('Output_HALO - Nordics'!$A:$ZZ,0,$C$8),index('Output_HALO - Nordics'!$A:$ZZ,0,$C$5)},2,0),"")</f>
        <v/>
      </c>
      <c r="L21" s="353" t="str">
        <f t="array" ref="L21">iferror(vlookup(L$12&amp;"-"&amp;$E21,{index('Output_HALO - Nordics'!$A:$ZZ,0,$C$8),index('Output_HALO - Nordics'!$A:$ZZ,0,$C$5)},2,0),"")</f>
        <v/>
      </c>
      <c r="M21" s="353" t="str">
        <f t="array" ref="M21">iferror(vlookup(M$12&amp;"-"&amp;$E21,{index('Output_HALO - Nordics'!$A:$ZZ,0,$C$8),index('Output_HALO - Nordics'!$A:$ZZ,0,$C$5)},2,0),"")</f>
        <v/>
      </c>
      <c r="N21" s="353" t="str">
        <f t="array" ref="N21">iferror(vlookup(N$12&amp;"-"&amp;$E21,{index('Output_HALO - Nordics'!$A:$ZZ,0,$C$8),index('Output_HALO - Nordics'!$A:$ZZ,0,$C$5)},2,0),"")</f>
        <v/>
      </c>
      <c r="O21" s="353" t="str">
        <f t="array" ref="O21">iferror(vlookup(O$12&amp;"-"&amp;$E21,{index('Output_HALO - Nordics'!$A:$ZZ,0,$C$8),index('Output_HALO - Nordics'!$A:$ZZ,0,$C$5)},2,0),"")</f>
        <v/>
      </c>
      <c r="P21" s="353" t="str">
        <f t="array" ref="P21">iferror(vlookup(P$12&amp;"-"&amp;$E21,{index('Output_HALO - Nordics'!$A:$ZZ,0,$C$8),index('Output_HALO - Nordics'!$A:$ZZ,0,$C$5)},2,0),"")</f>
        <v/>
      </c>
      <c r="Q21" s="353" t="str">
        <f t="array" ref="Q21">iferror(vlookup(Q$12&amp;"-"&amp;$E21,{index('Output_HALO - Nordics'!$A:$ZZ,0,$C$8),index('Output_HALO - Nordics'!$A:$ZZ,0,$C$5)},2,0),"")</f>
        <v/>
      </c>
      <c r="R21" s="353" t="str">
        <f t="array" ref="R21">iferror(vlookup(R$12&amp;"-"&amp;$E21,{index('Output_HALO - Nordics'!$A:$ZZ,0,$C$8),index('Output_HALO - Nordics'!$A:$ZZ,0,$C$5)},2,0),"")</f>
        <v/>
      </c>
      <c r="S21" s="353" t="str">
        <f t="array" ref="S21">iferror(vlookup(S$12&amp;"-"&amp;$E21,{index('Output_HALO - Nordics'!$A:$ZZ,0,$C$8),index('Output_HALO - Nordics'!$A:$ZZ,0,$C$5)},2,0),"")</f>
        <v/>
      </c>
      <c r="T21" s="353" t="str">
        <f t="array" ref="T21">iferror(vlookup(T$12&amp;"-"&amp;$E21,{index('Output_HALO - Nordics'!$A:$ZZ,0,$C$8),index('Output_HALO - Nordics'!$A:$ZZ,0,$C$5)},2,0),"")</f>
        <v/>
      </c>
      <c r="U21" s="353" t="str">
        <f t="array" ref="U21">iferror(vlookup(U$12&amp;"-"&amp;$E21,{index('Output_HALO - Nordics'!$A:$ZZ,0,$C$8),index('Output_HALO - Nordics'!$A:$ZZ,0,$C$5)},2,0),"")</f>
        <v/>
      </c>
      <c r="V21" s="353" t="str">
        <f t="array" ref="V21">iferror(vlookup(V$12&amp;"-"&amp;$E21,{index('Output_HALO - Nordics'!$A:$ZZ,0,$C$8),index('Output_HALO - Nordics'!$A:$ZZ,0,$C$5)},2,0),"")</f>
        <v/>
      </c>
      <c r="W21" s="353" t="str">
        <f t="array" ref="W21">iferror(vlookup(W$12&amp;"-"&amp;$E21,{index('Output_HALO - Nordics'!$A:$ZZ,0,$C$8),index('Output_HALO - Nordics'!$A:$ZZ,0,$C$5)},2,0),"")</f>
        <v/>
      </c>
      <c r="X21" s="353" t="str">
        <f t="array" ref="X21">iferror(vlookup(X$12&amp;"-"&amp;$E21,{index('Output_HALO - Nordics'!$A:$ZZ,0,$C$8),index('Output_HALO - Nordics'!$A:$ZZ,0,$C$5)},2,0),"")</f>
        <v/>
      </c>
      <c r="Y21" s="353" t="str">
        <f t="array" ref="Y21">iferror(vlookup(Y$12&amp;"-"&amp;$E21,{index('Output_HALO - Nordics'!$A:$ZZ,0,$C$8),index('Output_HALO - Nordics'!$A:$ZZ,0,$C$5)},2,0),"")</f>
        <v/>
      </c>
      <c r="Z21" s="353" t="str">
        <f t="array" ref="Z21">iferror(vlookup(Z$12&amp;"-"&amp;$E21,{index('Output_HALO - Nordics'!$A:$ZZ,0,$C$8),index('Output_HALO - Nordics'!$A:$ZZ,0,$C$5)},2,0),"")</f>
        <v/>
      </c>
      <c r="AA21" s="353" t="str">
        <f t="array" ref="AA21">iferror(vlookup(AA$12&amp;"-"&amp;$E21,{index('Output_HALO - Nordics'!$A:$ZZ,0,$C$8),index('Output_HALO - Nordics'!$A:$ZZ,0,$C$5)},2,0),"")</f>
        <v/>
      </c>
      <c r="AB21" s="353" t="str">
        <f t="array" ref="AB21">iferror(vlookup(AB$12&amp;"-"&amp;$E21,{index('Output_HALO - Nordics'!$A:$ZZ,0,$C$8),index('Output_HALO - Nordics'!$A:$ZZ,0,$C$5)},2,0),"")</f>
        <v/>
      </c>
      <c r="AC21" s="353" t="str">
        <f t="array" ref="AC21">iferror(vlookup(AC$12&amp;"-"&amp;$E21,{index('Output_HALO - Nordics'!$A:$ZZ,0,$C$8),index('Output_HALO - Nordics'!$A:$ZZ,0,$C$5)},2,0),"")</f>
        <v/>
      </c>
      <c r="AD21" s="353" t="str">
        <f t="array" ref="AD21">iferror(vlookup(AD$12&amp;"-"&amp;$E21,{index('Output_HALO - Nordics'!$A:$ZZ,0,$C$8),index('Output_HALO - Nordics'!$A:$ZZ,0,$C$5)},2,0),"")</f>
        <v/>
      </c>
      <c r="AE21" s="353" t="str">
        <f t="array" ref="AE21">iferror(vlookup(AE$12&amp;"-"&amp;$E21,{index('Output_HALO - Nordics'!$A:$ZZ,0,$C$8),index('Output_HALO - Nordics'!$A:$ZZ,0,$C$5)},2,0),"")</f>
        <v/>
      </c>
      <c r="AF21" s="353" t="str">
        <f t="array" ref="AF21">iferror(vlookup(AF$12&amp;"-"&amp;$E21,{index('Output_HALO - Nordics'!$A:$ZZ,0,$C$8),index('Output_HALO - Nordics'!$A:$ZZ,0,$C$5)},2,0),"")</f>
        <v/>
      </c>
      <c r="AG21" s="353" t="str">
        <f t="array" ref="AG21">iferror(vlookup(AG$12&amp;"-"&amp;$E21,{index('Output_HALO - Nordics'!$A:$ZZ,0,$C$8),index('Output_HALO - Nordics'!$A:$ZZ,0,$C$5)},2,0),"")</f>
        <v/>
      </c>
      <c r="AH21" s="353" t="str">
        <f t="array" ref="AH21">iferror(vlookup(AH$12&amp;"-"&amp;$E21,{index('Output_HALO - Nordics'!$A:$ZZ,0,$C$8),index('Output_HALO - Nordics'!$A:$ZZ,0,$C$5)},2,0),"")</f>
        <v/>
      </c>
      <c r="AI21" s="353" t="str">
        <f t="array" ref="AI21">iferror(vlookup(AI$12&amp;"-"&amp;$E21,{index('Output_HALO - Nordics'!$A:$ZZ,0,$C$8),index('Output_HALO - Nordics'!$A:$ZZ,0,$C$5)},2,0),"")</f>
        <v/>
      </c>
      <c r="AJ21" s="353" t="str">
        <f t="array" ref="AJ21">iferror(vlookup(AJ$12&amp;"-"&amp;$E21,{index('Output_HALO - Nordics'!$A:$ZZ,0,$C$8),index('Output_HALO - Nordics'!$A:$ZZ,0,$C$5)},2,0),"")</f>
        <v/>
      </c>
      <c r="AK21" s="353" t="str">
        <f t="array" ref="AK21">iferror(vlookup(AK$12&amp;"-"&amp;$E21,{index('Output_HALO - Nordics'!$A:$ZZ,0,$C$8),index('Output_HALO - Nordics'!$A:$ZZ,0,$C$5)},2,0),"")</f>
        <v/>
      </c>
      <c r="AL21" s="353" t="str">
        <f t="array" ref="AL21">iferror(vlookup(AL$12&amp;"-"&amp;$E21,{index('Output_HALO - Nordics'!$A:$ZZ,0,$C$8),index('Output_HALO - Nordics'!$A:$ZZ,0,$C$5)},2,0),"")</f>
        <v/>
      </c>
      <c r="AM21" s="353" t="str">
        <f t="array" ref="AM21">iferror(vlookup(AM$12&amp;"-"&amp;$E21,{index('Output_HALO - Nordics'!$A:$ZZ,0,$C$8),index('Output_HALO - Nordics'!$A:$ZZ,0,$C$5)},2,0),"")</f>
        <v/>
      </c>
      <c r="AN21" s="353" t="str">
        <f t="array" ref="AN21">iferror(vlookup(AN$12&amp;"-"&amp;$E21,{index('Output_HALO - Nordics'!$A:$ZZ,0,$C$8),index('Output_HALO - Nordics'!$A:$ZZ,0,$C$5)},2,0),"")</f>
        <v/>
      </c>
      <c r="AO21" s="353" t="str">
        <f t="array" ref="AO21">iferror(vlookup(AO$12&amp;"-"&amp;$E21,{index('Output_HALO - Nordics'!$A:$ZZ,0,$C$8),index('Output_HALO - Nordics'!$A:$ZZ,0,$C$5)},2,0),"")</f>
        <v/>
      </c>
      <c r="AP21" s="353" t="str">
        <f t="array" ref="AP21">iferror(vlookup(AP$12&amp;"-"&amp;$E21,{index('Output_HALO - Nordics'!$A:$ZZ,0,$C$8),index('Output_HALO - Nordics'!$A:$ZZ,0,$C$5)},2,0),"")</f>
        <v/>
      </c>
      <c r="AQ21" s="353" t="str">
        <f t="array" ref="AQ21">iferror(vlookup(AQ$12&amp;"-"&amp;$E21,{index('Output_HALO - Nordics'!$A:$ZZ,0,$C$8),index('Output_HALO - Nordics'!$A:$ZZ,0,$C$5)},2,0),"")</f>
        <v/>
      </c>
      <c r="AR21" s="353" t="str">
        <f t="array" ref="AR21">iferror(vlookup(AR$12&amp;"-"&amp;$E21,{index('Output_HALO - Nordics'!$A:$ZZ,0,$C$8),index('Output_HALO - Nordics'!$A:$ZZ,0,$C$5)},2,0),"")</f>
        <v/>
      </c>
      <c r="AS21" s="353" t="str">
        <f t="array" ref="AS21">iferror(vlookup(AS$12&amp;"-"&amp;$E21,{index('Output_HALO - Nordics'!$A:$ZZ,0,$C$8),index('Output_HALO - Nordics'!$A:$ZZ,0,$C$5)},2,0),"")</f>
        <v/>
      </c>
      <c r="AT21" s="353" t="str">
        <f t="array" ref="AT21">iferror(vlookup(AT$12&amp;"-"&amp;$E21,{index('Output_HALO - Nordics'!$A:$ZZ,0,$C$8),index('Output_HALO - Nordics'!$A:$ZZ,0,$C$5)},2,0),"")</f>
        <v/>
      </c>
      <c r="AU21" s="353" t="str">
        <f t="array" ref="AU21">iferror(vlookup(AU$12&amp;"-"&amp;$E21,{index('Output_HALO - Nordics'!$A:$ZZ,0,$C$8),index('Output_HALO - Nordics'!$A:$ZZ,0,$C$5)},2,0),"")</f>
        <v/>
      </c>
      <c r="AV21" s="353" t="str">
        <f t="array" ref="AV21">iferror(vlookup(AV$12&amp;"-"&amp;$E21,{index('Output_HALO - Nordics'!$A:$ZZ,0,$C$8),index('Output_HALO - Nordics'!$A:$ZZ,0,$C$5)},2,0),"")</f>
        <v/>
      </c>
      <c r="AW21" s="353" t="str">
        <f t="array" ref="AW21">iferror(vlookup(AW$12&amp;"-"&amp;$E21,{index('Output_HALO - Nordics'!$A:$ZZ,0,$C$8),index('Output_HALO - Nordics'!$A:$ZZ,0,$C$5)},2,0),"")</f>
        <v/>
      </c>
      <c r="AX21" s="353" t="str">
        <f t="array" ref="AX21">iferror(vlookup(AX$12&amp;"-"&amp;$E21,{index('Output_HALO - Nordics'!$A:$ZZ,0,$C$8),index('Output_HALO - Nordics'!$A:$ZZ,0,$C$5)},2,0),"")</f>
        <v/>
      </c>
      <c r="AY21" s="353" t="str">
        <f t="array" ref="AY21">iferror(vlookup(AY$12&amp;"-"&amp;$E21,{index('Output_HALO - Nordics'!$A:$ZZ,0,$C$8),index('Output_HALO - Nordics'!$A:$ZZ,0,$C$5)},2,0),"")</f>
        <v/>
      </c>
      <c r="AZ21" s="353" t="str">
        <f t="array" ref="AZ21">iferror(vlookup(AZ$12&amp;"-"&amp;$E21,{index('Output_HALO - Nordics'!$A:$ZZ,0,$C$8),index('Output_HALO - Nordics'!$A:$ZZ,0,$C$5)},2,0),"")</f>
        <v/>
      </c>
      <c r="BA21" s="353" t="str">
        <f t="array" ref="BA21">iferror(vlookup(BA$12&amp;"-"&amp;$E21,{index('Output_HALO - Nordics'!$A:$ZZ,0,$C$8),index('Output_HALO - Nordics'!$A:$ZZ,0,$C$5)},2,0),"")</f>
        <v/>
      </c>
      <c r="BB21" s="353" t="str">
        <f t="array" ref="BB21">iferror(vlookup(BB$12&amp;"-"&amp;$E21,{index('Output_HALO - Nordics'!$A:$ZZ,0,$C$8),index('Output_HALO - Nordics'!$A:$ZZ,0,$C$5)},2,0),"")</f>
        <v/>
      </c>
      <c r="BC21" s="353" t="str">
        <f t="array" ref="BC21">iferror(vlookup(BC$12&amp;"-"&amp;$E21,{index('Output_HALO - Nordics'!$A:$ZZ,0,$C$8),index('Output_HALO - Nordics'!$A:$ZZ,0,$C$5)},2,0),"")</f>
        <v/>
      </c>
      <c r="BD21" s="353" t="str">
        <f t="array" ref="BD21">iferror(vlookup(BD$12&amp;"-"&amp;$E21,{index('Output_HALO - Nordics'!$A:$ZZ,0,$C$8),index('Output_HALO - Nordics'!$A:$ZZ,0,$C$5)},2,0),"")</f>
        <v/>
      </c>
      <c r="BE21" s="353" t="str">
        <f t="array" ref="BE21">iferror(vlookup(BE$12&amp;"-"&amp;$E21,{index('Output_HALO - Nordics'!$A:$ZZ,0,$C$8),index('Output_HALO - Nordics'!$A:$ZZ,0,$C$5)},2,0),"")</f>
        <v/>
      </c>
      <c r="BF21" s="353" t="str">
        <f t="array" ref="BF21">iferror(vlookup(BF$12&amp;"-"&amp;$E21,{index('Output_HALO - Nordics'!$A:$ZZ,0,$C$8),index('Output_HALO - Nordics'!$A:$ZZ,0,$C$5)},2,0),"")</f>
        <v/>
      </c>
      <c r="BG21" s="353" t="str">
        <f t="array" ref="BG21">iferror(vlookup(BG$12&amp;"-"&amp;$E21,{index('Output_HALO - Nordics'!$A:$ZZ,0,$C$8),index('Output_HALO - Nordics'!$A:$ZZ,0,$C$5)},2,0),"")</f>
        <v/>
      </c>
      <c r="BH21" s="353" t="str">
        <f t="array" ref="BH21">iferror(vlookup(BH$12&amp;"-"&amp;$E21,{index('Output_HALO - Nordics'!$A:$ZZ,0,$C$8),index('Output_HALO - Nordics'!$A:$ZZ,0,$C$5)},2,0),"")</f>
        <v/>
      </c>
      <c r="BI21" s="353" t="str">
        <f t="array" ref="BI21">iferror(vlookup(BI$12&amp;"-"&amp;$E21,{index('Output_HALO - Nordics'!$A:$ZZ,0,$C$8),index('Output_HALO - Nordics'!$A:$ZZ,0,$C$5)},2,0),"")</f>
        <v/>
      </c>
      <c r="BJ21" s="353" t="str">
        <f t="array" ref="BJ21">iferror(vlookup(BJ$12&amp;"-"&amp;$E21,{index('Output_HALO - Nordics'!$A:$ZZ,0,$C$8),index('Output_HALO - Nordics'!$A:$ZZ,0,$C$5)},2,0),"")</f>
        <v/>
      </c>
      <c r="BK21" s="353" t="str">
        <f t="array" ref="BK21">iferror(vlookup(BK$12&amp;"-"&amp;$E21,{index('Output_HALO - Nordics'!$A:$ZZ,0,$C$8),index('Output_HALO - Nordics'!$A:$ZZ,0,$C$5)},2,0),"")</f>
        <v/>
      </c>
      <c r="BL21" s="353" t="str">
        <f t="array" ref="BL21">iferror(vlookup(BL$12&amp;"-"&amp;$E21,{index('Output_HALO - Nordics'!$A:$ZZ,0,$C$8),index('Output_HALO - Nordics'!$A:$ZZ,0,$C$5)},2,0),"")</f>
        <v/>
      </c>
      <c r="BM21" s="353" t="str">
        <f t="array" ref="BM21">iferror(vlookup(BM$12&amp;"-"&amp;$E21,{index('Output_HALO - Nordics'!$A:$ZZ,0,$C$8),index('Output_HALO - Nordics'!$A:$ZZ,0,$C$5)},2,0),"")</f>
        <v/>
      </c>
      <c r="BN21" s="353" t="str">
        <f t="array" ref="BN21">iferror(vlookup(BN$12&amp;"-"&amp;$E21,{index('Output_HALO - Nordics'!$A:$ZZ,0,$C$8),index('Output_HALO - Nordics'!$A:$ZZ,0,$C$5)},2,0),"")</f>
        <v/>
      </c>
      <c r="BO21" s="353" t="str">
        <f t="array" ref="BO21">iferror(vlookup(BO$12&amp;"-"&amp;$E21,{index('Output_HALO - Nordics'!$A:$ZZ,0,$C$8),index('Output_HALO - Nordics'!$A:$ZZ,0,$C$5)},2,0),"")</f>
        <v/>
      </c>
      <c r="BP21" s="353" t="str">
        <f t="array" ref="BP21">iferror(vlookup(BP$12&amp;"-"&amp;$E21,{index('Output_HALO - Nordics'!$A:$ZZ,0,$C$8),index('Output_HALO - Nordics'!$A:$ZZ,0,$C$5)},2,0),"")</f>
        <v/>
      </c>
      <c r="BQ21" s="353" t="str">
        <f t="array" ref="BQ21">iferror(vlookup(BQ$12&amp;"-"&amp;$E21,{index('Output_HALO - Nordics'!$A:$ZZ,0,$C$8),index('Output_HALO - Nordics'!$A:$ZZ,0,$C$5)},2,0),"")</f>
        <v/>
      </c>
    </row>
    <row r="22">
      <c r="E22" s="354">
        <v>2.0</v>
      </c>
      <c r="F22" s="353" t="str">
        <f t="array" ref="F22">iferror(vlookup(F$12&amp;"-"&amp;$E22,{index('Output_HALO - Nordics'!$A:$ZZ,0,$C$8),index('Output_HALO - Nordics'!$A:$ZZ,0,$C$3)},2,0),"")</f>
        <v/>
      </c>
      <c r="G22" s="353" t="str">
        <f t="array" ref="G22">iferror(vlookup(G$12&amp;"-"&amp;$E22,{index('Output_HALO - Nordics'!$A:$ZZ,0,$C$8),index('Output_HALO - Nordics'!$A:$ZZ,0,$C$3)},2,0),"")</f>
        <v/>
      </c>
      <c r="H22" s="353" t="str">
        <f t="array" ref="H22">iferror(vlookup(H$12&amp;"-"&amp;$E22,{index('Output_HALO - Nordics'!$A:$ZZ,0,$C$8),index('Output_HALO - Nordics'!$A:$ZZ,0,$C$3)},2,0),"")</f>
        <v/>
      </c>
      <c r="I22" s="353" t="str">
        <f t="array" ref="I22">iferror(vlookup(I$12&amp;"-"&amp;$E22,{index('Output_HALO - Nordics'!$A:$ZZ,0,$C$8),index('Output_HALO - Nordics'!$A:$ZZ,0,$C$3)},2,0),"")</f>
        <v/>
      </c>
      <c r="J22" s="353" t="str">
        <f t="array" ref="J22">iferror(vlookup(J$12&amp;"-"&amp;$E22,{index('Output_HALO - Nordics'!$A:$ZZ,0,$C$8),index('Output_HALO - Nordics'!$A:$ZZ,0,$C$3)},2,0),"")</f>
        <v/>
      </c>
      <c r="K22" s="353" t="str">
        <f t="array" ref="K22">iferror(vlookup(K$12&amp;"-"&amp;$E22,{index('Output_HALO - Nordics'!$A:$ZZ,0,$C$8),index('Output_HALO - Nordics'!$A:$ZZ,0,$C$3)},2,0),"")</f>
        <v/>
      </c>
      <c r="L22" s="353" t="str">
        <f t="array" ref="L22">iferror(vlookup(L$12&amp;"-"&amp;$E22,{index('Output_HALO - Nordics'!$A:$ZZ,0,$C$8),index('Output_HALO - Nordics'!$A:$ZZ,0,$C$3)},2,0),"")</f>
        <v/>
      </c>
      <c r="M22" s="353" t="str">
        <f t="array" ref="M22">iferror(vlookup(M$12&amp;"-"&amp;$E22,{index('Output_HALO - Nordics'!$A:$ZZ,0,$C$8),index('Output_HALO - Nordics'!$A:$ZZ,0,$C$3)},2,0),"")</f>
        <v/>
      </c>
      <c r="N22" s="353" t="str">
        <f t="array" ref="N22">iferror(vlookup(N$12&amp;"-"&amp;$E22,{index('Output_HALO - Nordics'!$A:$ZZ,0,$C$8),index('Output_HALO - Nordics'!$A:$ZZ,0,$C$3)},2,0),"")</f>
        <v/>
      </c>
      <c r="O22" s="353" t="str">
        <f t="array" ref="O22">iferror(vlookup(O$12&amp;"-"&amp;$E22,{index('Output_HALO - Nordics'!$A:$ZZ,0,$C$8),index('Output_HALO - Nordics'!$A:$ZZ,0,$C$3)},2,0),"")</f>
        <v/>
      </c>
      <c r="P22" s="353" t="str">
        <f t="array" ref="P22">iferror(vlookup(P$12&amp;"-"&amp;$E22,{index('Output_HALO - Nordics'!$A:$ZZ,0,$C$8),index('Output_HALO - Nordics'!$A:$ZZ,0,$C$3)},2,0),"")</f>
        <v/>
      </c>
      <c r="Q22" s="353" t="str">
        <f t="array" ref="Q22">iferror(vlookup(Q$12&amp;"-"&amp;$E22,{index('Output_HALO - Nordics'!$A:$ZZ,0,$C$8),index('Output_HALO - Nordics'!$A:$ZZ,0,$C$3)},2,0),"")</f>
        <v>565221 - Laksebowl med citrus-miso</v>
      </c>
      <c r="R22" s="353" t="str">
        <f t="array" ref="R22">iferror(vlookup(R$12&amp;"-"&amp;$E22,{index('Output_HALO - Nordics'!$A:$ZZ,0,$C$8),index('Output_HALO - Nordics'!$A:$ZZ,0,$C$3)},2,0),"")</f>
        <v>565178 - Vestfrikansk-inspireret peanut-kyllingecurry</v>
      </c>
      <c r="S22" s="353" t="str">
        <f t="array" ref="S22">iferror(vlookup(S$12&amp;"-"&amp;$E22,{index('Output_HALO - Nordics'!$A:$ZZ,0,$C$8),index('Output_HALO - Nordics'!$A:$ZZ,0,$C$3)},2,0),"")</f>
        <v>565091 - Krydret hakket oksekød med jalapenos</v>
      </c>
      <c r="T22" s="353" t="str">
        <f t="array" ref="T22">iferror(vlookup(T$12&amp;"-"&amp;$E22,{index('Output_HALO - Nordics'!$A:$ZZ,0,$C$8),index('Output_HALO - Nordics'!$A:$ZZ,0,$C$3)},2,0),"")</f>
        <v/>
      </c>
      <c r="U22" s="353" t="str">
        <f t="array" ref="U22">iferror(vlookup(U$12&amp;"-"&amp;$E22,{index('Output_HALO - Nordics'!$A:$ZZ,0,$C$8),index('Output_HALO - Nordics'!$A:$ZZ,0,$C$3)},2,0),"")</f>
        <v/>
      </c>
      <c r="V22" s="353" t="str">
        <f t="array" ref="V22">iferror(vlookup(V$12&amp;"-"&amp;$E22,{index('Output_HALO - Nordics'!$A:$ZZ,0,$C$8),index('Output_HALO - Nordics'!$A:$ZZ,0,$C$3)},2,0),"")</f>
        <v/>
      </c>
      <c r="W22" s="353" t="str">
        <f t="array" ref="W22">iferror(vlookup(W$12&amp;"-"&amp;$E22,{index('Output_HALO - Nordics'!$A:$ZZ,0,$C$8),index('Output_HALO - Nordics'!$A:$ZZ,0,$C$3)},2,0),"")</f>
        <v>565211 - Grillet kylling med ingefær og hvidløg</v>
      </c>
      <c r="X22" s="353" t="str">
        <f t="array" ref="X22">iferror(vlookup(X$12&amp;"-"&amp;$E22,{index('Output_HALO - Nordics'!$A:$ZZ,0,$C$8),index('Output_HALO - Nordics'!$A:$ZZ,0,$C$3)},2,0),"")</f>
        <v>565309 - Braiseret oksekød i urtesky</v>
      </c>
      <c r="Y22" s="353" t="str">
        <f t="array" ref="Y22">iferror(vlookup(Y$12&amp;"-"&amp;$E22,{index('Output_HALO - Nordics'!$A:$ZZ,0,$C$8),index('Output_HALO - Nordics'!$A:$ZZ,0,$C$3)},2,0),"")</f>
        <v>565095 - Svinemørbrad i ancho- og chilisauce</v>
      </c>
      <c r="Z22" s="353" t="str">
        <f t="array" ref="Z22">iferror(vlookup(Z$12&amp;"-"&amp;$E22,{index('Output_HALO - Nordics'!$A:$ZZ,0,$C$8),index('Output_HALO - Nordics'!$A:$ZZ,0,$C$3)},2,0),"")</f>
        <v/>
      </c>
      <c r="AA22" s="353" t="str">
        <f t="array" ref="AA22">iferror(vlookup(AA$12&amp;"-"&amp;$E22,{index('Output_HALO - Nordics'!$A:$ZZ,0,$C$8),index('Output_HALO - Nordics'!$A:$ZZ,0,$C$3)},2,0),"")</f>
        <v/>
      </c>
      <c r="AB22" s="353" t="str">
        <f t="array" ref="AB22">iferror(vlookup(AB$12&amp;"-"&amp;$E22,{index('Output_HALO - Nordics'!$A:$ZZ,0,$C$8),index('Output_HALO - Nordics'!$A:$ZZ,0,$C$3)},2,0),"")</f>
        <v/>
      </c>
      <c r="AC22" s="353" t="str">
        <f t="array" ref="AC22">iferror(vlookup(AC$12&amp;"-"&amp;$E22,{index('Output_HALO - Nordics'!$A:$ZZ,0,$C$8),index('Output_HALO - Nordics'!$A:$ZZ,0,$C$3)},2,0),"")</f>
        <v/>
      </c>
      <c r="AD22" s="353" t="str">
        <f t="array" ref="AD22">iferror(vlookup(AD$12&amp;"-"&amp;$E22,{index('Output_HALO - Nordics'!$A:$ZZ,0,$C$8),index('Output_HALO - Nordics'!$A:$ZZ,0,$C$3)},2,0),"")</f>
        <v/>
      </c>
      <c r="AE22" s="353" t="str">
        <f t="array" ref="AE22">iferror(vlookup(AE$12&amp;"-"&amp;$E22,{index('Output_HALO - Nordics'!$A:$ZZ,0,$C$8),index('Output_HALO - Nordics'!$A:$ZZ,0,$C$3)},2,0),"")</f>
        <v/>
      </c>
      <c r="AF22" s="353" t="str">
        <f t="array" ref="AF22">iferror(vlookup(AF$12&amp;"-"&amp;$E22,{index('Output_HALO - Nordics'!$A:$ZZ,0,$C$8),index('Output_HALO - Nordics'!$A:$ZZ,0,$C$3)},2,0),"")</f>
        <v/>
      </c>
      <c r="AG22" s="353" t="str">
        <f t="array" ref="AG22">iferror(vlookup(AG$12&amp;"-"&amp;$E22,{index('Output_HALO - Nordics'!$A:$ZZ,0,$C$8),index('Output_HALO - Nordics'!$A:$ZZ,0,$C$3)},2,0),"")</f>
        <v>565072 - Grillet kylling med ratatouille</v>
      </c>
      <c r="AH22" s="353" t="str">
        <f t="array" ref="AH22">iferror(vlookup(AH$12&amp;"-"&amp;$E22,{index('Output_HALO - Nordics'!$A:$ZZ,0,$C$8),index('Output_HALO - Nordics'!$A:$ZZ,0,$C$3)},2,0),"")</f>
        <v/>
      </c>
      <c r="AI22" s="353" t="str">
        <f t="array" ref="AI22">iferror(vlookup(AI$12&amp;"-"&amp;$E22,{index('Output_HALO - Nordics'!$A:$ZZ,0,$C$8),index('Output_HALO - Nordics'!$A:$ZZ,0,$C$3)},2,0),"")</f>
        <v/>
      </c>
      <c r="AJ22" s="353" t="str">
        <f t="array" ref="AJ22">iferror(vlookup(AJ$12&amp;"-"&amp;$E22,{index('Output_HALO - Nordics'!$A:$ZZ,0,$C$8),index('Output_HALO - Nordics'!$A:$ZZ,0,$C$3)},2,0),"")</f>
        <v/>
      </c>
      <c r="AK22" s="353" t="str">
        <f t="array" ref="AK22">iferror(vlookup(AK$12&amp;"-"&amp;$E22,{index('Output_HALO - Nordics'!$A:$ZZ,0,$C$8),index('Output_HALO - Nordics'!$A:$ZZ,0,$C$3)},2,0),"")</f>
        <v/>
      </c>
      <c r="AL22" s="353" t="str">
        <f t="array" ref="AL22">iferror(vlookup(AL$12&amp;"-"&amp;$E22,{index('Output_HALO - Nordics'!$A:$ZZ,0,$C$8),index('Output_HALO - Nordics'!$A:$ZZ,0,$C$3)},2,0),"")</f>
        <v/>
      </c>
      <c r="AM22" s="353" t="str">
        <f t="array" ref="AM22">iferror(vlookup(AM$12&amp;"-"&amp;$E22,{index('Output_HALO - Nordics'!$A:$ZZ,0,$C$8),index('Output_HALO - Nordics'!$A:$ZZ,0,$C$3)},2,0),"")</f>
        <v>565130 - Chilikryddet pulled pork</v>
      </c>
      <c r="AN22" s="353" t="str">
        <f t="array" ref="AN22">iferror(vlookup(AN$12&amp;"-"&amp;$E22,{index('Output_HALO - Nordics'!$A:$ZZ,0,$C$8),index('Output_HALO - Nordics'!$A:$ZZ,0,$C$3)},2,0),"")</f>
        <v/>
      </c>
      <c r="AO22" s="353" t="str">
        <f t="array" ref="AO22">iferror(vlookup(AO$12&amp;"-"&amp;$E22,{index('Output_HALO - Nordics'!$A:$ZZ,0,$C$8),index('Output_HALO - Nordics'!$A:$ZZ,0,$C$3)},2,0),"")</f>
        <v/>
      </c>
      <c r="AP22" s="353" t="str">
        <f t="array" ref="AP22">iferror(vlookup(AP$12&amp;"-"&amp;$E22,{index('Output_HALO - Nordics'!$A:$ZZ,0,$C$8),index('Output_HALO - Nordics'!$A:$ZZ,0,$C$3)},2,0),"")</f>
        <v/>
      </c>
      <c r="AQ22" s="353" t="str">
        <f t="array" ref="AQ22">iferror(vlookup(AQ$12&amp;"-"&amp;$E22,{index('Output_HALO - Nordics'!$A:$ZZ,0,$C$8),index('Output_HALO - Nordics'!$A:$ZZ,0,$C$3)},2,0),"")</f>
        <v/>
      </c>
      <c r="AR22" s="353" t="str">
        <f t="array" ref="AR22">iferror(vlookup(AR$12&amp;"-"&amp;$E22,{index('Output_HALO - Nordics'!$A:$ZZ,0,$C$8),index('Output_HALO - Nordics'!$A:$ZZ,0,$C$3)},2,0),"")</f>
        <v/>
      </c>
      <c r="AS22" s="353" t="str">
        <f t="array" ref="AS22">iferror(vlookup(AS$12&amp;"-"&amp;$E22,{index('Output_HALO - Nordics'!$A:$ZZ,0,$C$8),index('Output_HALO - Nordics'!$A:$ZZ,0,$C$3)},2,0),"")</f>
        <v/>
      </c>
      <c r="AT22" s="353" t="str">
        <f t="array" ref="AT22">iferror(vlookup(AT$12&amp;"-"&amp;$E22,{index('Output_HALO - Nordics'!$A:$ZZ,0,$C$8),index('Output_HALO - Nordics'!$A:$ZZ,0,$C$3)},2,0),"")</f>
        <v>709 - FACTOR_ Spirulina Ginger Lime Ginger Shot</v>
      </c>
      <c r="AU22" s="353" t="str">
        <f t="array" ref="AU22">iferror(vlookup(AU$12&amp;"-"&amp;$E22,{index('Output_HALO - Nordics'!$A:$ZZ,0,$C$8),index('Output_HALO - Nordics'!$A:$ZZ,0,$C$3)},2,0),"")</f>
        <v>710 - FACTOR_ Turmeric Cayenne Pineapple Ginger Shot</v>
      </c>
      <c r="AV22" s="353" t="str">
        <f t="array" ref="AV22">iferror(vlookup(AV$12&amp;"-"&amp;$E22,{index('Output_HALO - Nordics'!$A:$ZZ,0,$C$8),index('Output_HALO - Nordics'!$A:$ZZ,0,$C$3)},2,0),"")</f>
        <v>565141 - Squash- og peberfrugtsratatouille</v>
      </c>
      <c r="AW22" s="353" t="str">
        <f t="array" ref="AW22">iferror(vlookup(AW$12&amp;"-"&amp;$E22,{index('Output_HALO - Nordics'!$A:$ZZ,0,$C$8),index('Output_HALO - Nordics'!$A:$ZZ,0,$C$3)},2,0),"")</f>
        <v/>
      </c>
      <c r="AX22" s="353" t="str">
        <f t="array" ref="AX22">iferror(vlookup(AX$12&amp;"-"&amp;$E22,{index('Output_HALO - Nordics'!$A:$ZZ,0,$C$8),index('Output_HALO - Nordics'!$A:$ZZ,0,$C$3)},2,0),"")</f>
        <v/>
      </c>
      <c r="AY22" s="353" t="str">
        <f t="array" ref="AY22">iferror(vlookup(AY$12&amp;"-"&amp;$E22,{index('Output_HALO - Nordics'!$A:$ZZ,0,$C$8),index('Output_HALO - Nordics'!$A:$ZZ,0,$C$3)},2,0),"")</f>
        <v/>
      </c>
      <c r="AZ22" s="353" t="str">
        <f t="array" ref="AZ22">iferror(vlookup(AZ$12&amp;"-"&amp;$E22,{index('Output_HALO - Nordics'!$A:$ZZ,0,$C$8),index('Output_HALO - Nordics'!$A:$ZZ,0,$C$3)},2,0),"")</f>
        <v/>
      </c>
      <c r="BA22" s="353" t="str">
        <f t="array" ref="BA22">iferror(vlookup(BA$12&amp;"-"&amp;$E22,{index('Output_HALO - Nordics'!$A:$ZZ,0,$C$8),index('Output_HALO - Nordics'!$A:$ZZ,0,$C$3)},2,0),"")</f>
        <v/>
      </c>
      <c r="BB22" s="353" t="str">
        <f t="array" ref="BB22">iferror(vlookup(BB$12&amp;"-"&amp;$E22,{index('Output_HALO - Nordics'!$A:$ZZ,0,$C$8),index('Output_HALO - Nordics'!$A:$ZZ,0,$C$3)},2,0),"")</f>
        <v>705 - FACTOR_ Ginger Lemon Apple Wellness Shot</v>
      </c>
      <c r="BC22" s="353" t="str">
        <f t="array" ref="BC22">iferror(vlookup(BC$12&amp;"-"&amp;$E22,{index('Output_HALO - Nordics'!$A:$ZZ,0,$C$8),index('Output_HALO - Nordics'!$A:$ZZ,0,$C$3)},2,0),"")</f>
        <v>FA-Nordics Welcome Booklet</v>
      </c>
      <c r="BD22" s="353" t="str">
        <f t="array" ref="BD22">iferror(vlookup(BD$12&amp;"-"&amp;$E22,{index('Output_HALO - Nordics'!$A:$ZZ,0,$C$8),index('Output_HALO - Nordics'!$A:$ZZ,0,$C$3)},2,0),"")</f>
        <v>565244 - Cremet tomatrisotto</v>
      </c>
      <c r="BE22" s="353" t="str">
        <f t="array" ref="BE22">iferror(vlookup(BE$12&amp;"-"&amp;$E22,{index('Output_HALO - Nordics'!$A:$ZZ,0,$C$8),index('Output_HALO - Nordics'!$A:$ZZ,0,$C$3)},2,0),"")</f>
        <v/>
      </c>
      <c r="BF22" s="353" t="str">
        <f t="array" ref="BF22">iferror(vlookup(BF$12&amp;"-"&amp;$E22,{index('Output_HALO - Nordics'!$A:$ZZ,0,$C$8),index('Output_HALO - Nordics'!$A:$ZZ,0,$C$3)},2,0),"")</f>
        <v/>
      </c>
      <c r="BG22" s="353" t="str">
        <f t="array" ref="BG22">iferror(vlookup(BG$12&amp;"-"&amp;$E22,{index('Output_HALO - Nordics'!$A:$ZZ,0,$C$8),index('Output_HALO - Nordics'!$A:$ZZ,0,$C$3)},2,0),"")</f>
        <v/>
      </c>
      <c r="BH22" s="353" t="str">
        <f t="array" ref="BH22">iferror(vlookup(BH$12&amp;"-"&amp;$E22,{index('Output_HALO - Nordics'!$A:$ZZ,0,$C$8),index('Output_HALO - Nordics'!$A:$ZZ,0,$C$3)},2,0),"")</f>
        <v/>
      </c>
      <c r="BI22" s="353" t="str">
        <f t="array" ref="BI22">iferror(vlookup(BI$12&amp;"-"&amp;$E22,{index('Output_HALO - Nordics'!$A:$ZZ,0,$C$8),index('Output_HALO - Nordics'!$A:$ZZ,0,$C$3)},2,0),"")</f>
        <v/>
      </c>
      <c r="BJ22" s="353" t="str">
        <f t="array" ref="BJ22">iferror(vlookup(BJ$12&amp;"-"&amp;$E22,{index('Output_HALO - Nordics'!$A:$ZZ,0,$C$8),index('Output_HALO - Nordics'!$A:$ZZ,0,$C$3)},2,0),"")</f>
        <v>FA-DE Freebies</v>
      </c>
      <c r="BK22" s="353" t="str">
        <f t="array" ref="BK22">iferror(vlookup(BK$12&amp;"-"&amp;$E22,{index('Output_HALO - Nordics'!$A:$ZZ,0,$C$8),index('Output_HALO - Nordics'!$A:$ZZ,0,$C$3)},2,0),"")</f>
        <v/>
      </c>
      <c r="BL22" s="353" t="str">
        <f t="array" ref="BL22">iferror(vlookup(BL$12&amp;"-"&amp;$E22,{index('Output_HALO - Nordics'!$A:$ZZ,0,$C$8),index('Output_HALO - Nordics'!$A:$ZZ,0,$C$3)},2,0),"")</f>
        <v/>
      </c>
      <c r="BM22" s="353" t="str">
        <f t="array" ref="BM22">iferror(vlookup(BM$12&amp;"-"&amp;$E22,{index('Output_HALO - Nordics'!$A:$ZZ,0,$C$8),index('Output_HALO - Nordics'!$A:$ZZ,0,$C$3)},2,0),"")</f>
        <v/>
      </c>
      <c r="BN22" s="353" t="str">
        <f t="array" ref="BN22">iferror(vlookup(BN$12&amp;"-"&amp;$E22,{index('Output_HALO - Nordics'!$A:$ZZ,0,$C$8),index('Output_HALO - Nordics'!$A:$ZZ,0,$C$3)},2,0),"")</f>
        <v/>
      </c>
      <c r="BO22" s="353" t="str">
        <f t="array" ref="BO22">iferror(vlookup(BO$12&amp;"-"&amp;$E22,{index('Output_HALO - Nordics'!$A:$ZZ,0,$C$8),index('Output_HALO - Nordics'!$A:$ZZ,0,$C$3)},2,0),"")</f>
        <v/>
      </c>
      <c r="BP22" s="353" t="str">
        <f t="array" ref="BP22">iferror(vlookup(BP$12&amp;"-"&amp;$E22,{index('Output_HALO - Nordics'!$A:$ZZ,0,$C$8),index('Output_HALO - Nordics'!$A:$ZZ,0,$C$3)},2,0),"")</f>
        <v/>
      </c>
      <c r="BQ22" s="353" t="str">
        <f t="array" ref="BQ22">iferror(vlookup(BQ$12&amp;"-"&amp;$E22,{index('Output_HALO - Nordics'!$A:$ZZ,0,$C$8),index('Output_HALO - Nordics'!$A:$ZZ,0,$C$3)},2,0),"")</f>
        <v/>
      </c>
    </row>
    <row r="23">
      <c r="E23" s="354">
        <v>2.0</v>
      </c>
      <c r="F23" s="353">
        <f t="array" ref="F23">iferror(vlookup(F22,{index('Output_HALO - Nordics'!$A:$ZZ,0,$C$3),index('Output_HALO - Nordics'!$A:$ZZ,0,$C$4)},2,0),"")</f>
        <v>0</v>
      </c>
      <c r="G23" s="353">
        <f t="array" ref="G23">iferror(vlookup(G22,{index('Output_HALO - Nordics'!$A:$ZZ,0,$C$3),index('Output_HALO - Nordics'!$A:$ZZ,0,$C$4)},2,0),"")</f>
        <v>0</v>
      </c>
      <c r="H23" s="353">
        <f t="array" ref="H23">iferror(vlookup(H22,{index('Output_HALO - Nordics'!$A:$ZZ,0,$C$3),index('Output_HALO - Nordics'!$A:$ZZ,0,$C$4)},2,0),"")</f>
        <v>0</v>
      </c>
      <c r="I23" s="353">
        <f t="array" ref="I23">iferror(vlookup(I22,{index('Output_HALO - Nordics'!$A:$ZZ,0,$C$3),index('Output_HALO - Nordics'!$A:$ZZ,0,$C$4)},2,0),"")</f>
        <v>0</v>
      </c>
      <c r="J23" s="353">
        <f t="array" ref="J23">iferror(vlookup(J22,{index('Output_HALO - Nordics'!$A:$ZZ,0,$C$3),index('Output_HALO - Nordics'!$A:$ZZ,0,$C$4)},2,0),"")</f>
        <v>0</v>
      </c>
      <c r="K23" s="353">
        <f t="array" ref="K23">iferror(vlookup(K22,{index('Output_HALO - Nordics'!$A:$ZZ,0,$C$3),index('Output_HALO - Nordics'!$A:$ZZ,0,$C$4)},2,0),"")</f>
        <v>0</v>
      </c>
      <c r="L23" s="353">
        <f t="array" ref="L23">iferror(vlookup(L22,{index('Output_HALO - Nordics'!$A:$ZZ,0,$C$3),index('Output_HALO - Nordics'!$A:$ZZ,0,$C$4)},2,0),"")</f>
        <v>0</v>
      </c>
      <c r="M23" s="353">
        <f t="array" ref="M23">iferror(vlookup(M22,{index('Output_HALO - Nordics'!$A:$ZZ,0,$C$3),index('Output_HALO - Nordics'!$A:$ZZ,0,$C$4)},2,0),"")</f>
        <v>0</v>
      </c>
      <c r="N23" s="353">
        <f t="array" ref="N23">iferror(vlookup(N22,{index('Output_HALO - Nordics'!$A:$ZZ,0,$C$3),index('Output_HALO - Nordics'!$A:$ZZ,0,$C$4)},2,0),"")</f>
        <v>0</v>
      </c>
      <c r="O23" s="353">
        <f t="array" ref="O23">iferror(vlookup(O22,{index('Output_HALO - Nordics'!$A:$ZZ,0,$C$3),index('Output_HALO - Nordics'!$A:$ZZ,0,$C$4)},2,0),"")</f>
        <v>0</v>
      </c>
      <c r="P23" s="353">
        <f t="array" ref="P23">iferror(vlookup(P22,{index('Output_HALO - Nordics'!$A:$ZZ,0,$C$3),index('Output_HALO - Nordics'!$A:$ZZ,0,$C$4)},2,0),"")</f>
        <v>0</v>
      </c>
      <c r="Q23" s="353">
        <f t="array" ref="Q23">iferror(vlookup(Q22,{index('Output_HALO - Nordics'!$A:$ZZ,0,$C$3),index('Output_HALO - Nordics'!$A:$ZZ,0,$C$4)},2,0),"")</f>
        <v>625</v>
      </c>
      <c r="R23" s="353">
        <f t="array" ref="R23">iferror(vlookup(R22,{index('Output_HALO - Nordics'!$A:$ZZ,0,$C$3),index('Output_HALO - Nordics'!$A:$ZZ,0,$C$4)},2,0),"")</f>
        <v>2382</v>
      </c>
      <c r="S23" s="353">
        <f t="array" ref="S23">iferror(vlookup(S22,{index('Output_HALO - Nordics'!$A:$ZZ,0,$C$3),index('Output_HALO - Nordics'!$A:$ZZ,0,$C$4)},2,0),"")</f>
        <v>685</v>
      </c>
      <c r="T23" s="353">
        <f t="array" ref="T23">iferror(vlookup(T22,{index('Output_HALO - Nordics'!$A:$ZZ,0,$C$3),index('Output_HALO - Nordics'!$A:$ZZ,0,$C$4)},2,0),"")</f>
        <v>0</v>
      </c>
      <c r="U23" s="353">
        <f t="array" ref="U23">iferror(vlookup(U22,{index('Output_HALO - Nordics'!$A:$ZZ,0,$C$3),index('Output_HALO - Nordics'!$A:$ZZ,0,$C$4)},2,0),"")</f>
        <v>0</v>
      </c>
      <c r="V23" s="353">
        <f t="array" ref="V23">iferror(vlookup(V22,{index('Output_HALO - Nordics'!$A:$ZZ,0,$C$3),index('Output_HALO - Nordics'!$A:$ZZ,0,$C$4)},2,0),"")</f>
        <v>0</v>
      </c>
      <c r="W23" s="353">
        <f t="array" ref="W23">iferror(vlookup(W22,{index('Output_HALO - Nordics'!$A:$ZZ,0,$C$3),index('Output_HALO - Nordics'!$A:$ZZ,0,$C$4)},2,0),"")</f>
        <v>718</v>
      </c>
      <c r="X23" s="353">
        <f t="array" ref="X23">iferror(vlookup(X22,{index('Output_HALO - Nordics'!$A:$ZZ,0,$C$3),index('Output_HALO - Nordics'!$A:$ZZ,0,$C$4)},2,0),"")</f>
        <v>2354</v>
      </c>
      <c r="Y23" s="353">
        <f t="array" ref="Y23">iferror(vlookup(Y22,{index('Output_HALO - Nordics'!$A:$ZZ,0,$C$3),index('Output_HALO - Nordics'!$A:$ZZ,0,$C$4)},2,0),"")</f>
        <v>667</v>
      </c>
      <c r="Z23" s="353">
        <f t="array" ref="Z23">iferror(vlookup(Z22,{index('Output_HALO - Nordics'!$A:$ZZ,0,$C$3),index('Output_HALO - Nordics'!$A:$ZZ,0,$C$4)},2,0),"")</f>
        <v>0</v>
      </c>
      <c r="AA23" s="353">
        <f t="array" ref="AA23">iferror(vlookup(AA22,{index('Output_HALO - Nordics'!$A:$ZZ,0,$C$3),index('Output_HALO - Nordics'!$A:$ZZ,0,$C$4)},2,0),"")</f>
        <v>0</v>
      </c>
      <c r="AB23" s="353">
        <f t="array" ref="AB23">iferror(vlookup(AB22,{index('Output_HALO - Nordics'!$A:$ZZ,0,$C$3),index('Output_HALO - Nordics'!$A:$ZZ,0,$C$4)},2,0),"")</f>
        <v>0</v>
      </c>
      <c r="AC23" s="353">
        <f t="array" ref="AC23">iferror(vlookup(AC22,{index('Output_HALO - Nordics'!$A:$ZZ,0,$C$3),index('Output_HALO - Nordics'!$A:$ZZ,0,$C$4)},2,0),"")</f>
        <v>0</v>
      </c>
      <c r="AD23" s="353">
        <f t="array" ref="AD23">iferror(vlookup(AD22,{index('Output_HALO - Nordics'!$A:$ZZ,0,$C$3),index('Output_HALO - Nordics'!$A:$ZZ,0,$C$4)},2,0),"")</f>
        <v>0</v>
      </c>
      <c r="AE23" s="353">
        <f t="array" ref="AE23">iferror(vlookup(AE22,{index('Output_HALO - Nordics'!$A:$ZZ,0,$C$3),index('Output_HALO - Nordics'!$A:$ZZ,0,$C$4)},2,0),"")</f>
        <v>0</v>
      </c>
      <c r="AF23" s="353">
        <f t="array" ref="AF23">iferror(vlookup(AF22,{index('Output_HALO - Nordics'!$A:$ZZ,0,$C$3),index('Output_HALO - Nordics'!$A:$ZZ,0,$C$4)},2,0),"")</f>
        <v>0</v>
      </c>
      <c r="AG23" s="353">
        <f t="array" ref="AG23">iferror(vlookup(AG22,{index('Output_HALO - Nordics'!$A:$ZZ,0,$C$3),index('Output_HALO - Nordics'!$A:$ZZ,0,$C$4)},2,0),"")</f>
        <v>3769</v>
      </c>
      <c r="AH23" s="353">
        <f t="array" ref="AH23">iferror(vlookup(AH22,{index('Output_HALO - Nordics'!$A:$ZZ,0,$C$3),index('Output_HALO - Nordics'!$A:$ZZ,0,$C$4)},2,0),"")</f>
        <v>0</v>
      </c>
      <c r="AI23" s="353">
        <f t="array" ref="AI23">iferror(vlookup(AI22,{index('Output_HALO - Nordics'!$A:$ZZ,0,$C$3),index('Output_HALO - Nordics'!$A:$ZZ,0,$C$4)},2,0),"")</f>
        <v>0</v>
      </c>
      <c r="AJ23" s="353">
        <f t="array" ref="AJ23">iferror(vlookup(AJ22,{index('Output_HALO - Nordics'!$A:$ZZ,0,$C$3),index('Output_HALO - Nordics'!$A:$ZZ,0,$C$4)},2,0),"")</f>
        <v>0</v>
      </c>
      <c r="AK23" s="353">
        <f t="array" ref="AK23">iferror(vlookup(AK22,{index('Output_HALO - Nordics'!$A:$ZZ,0,$C$3),index('Output_HALO - Nordics'!$A:$ZZ,0,$C$4)},2,0),"")</f>
        <v>0</v>
      </c>
      <c r="AL23" s="353">
        <f t="array" ref="AL23">iferror(vlookup(AL22,{index('Output_HALO - Nordics'!$A:$ZZ,0,$C$3),index('Output_HALO - Nordics'!$A:$ZZ,0,$C$4)},2,0),"")</f>
        <v>0</v>
      </c>
      <c r="AM23" s="353">
        <f t="array" ref="AM23">iferror(vlookup(AM22,{index('Output_HALO - Nordics'!$A:$ZZ,0,$C$3),index('Output_HALO - Nordics'!$A:$ZZ,0,$C$4)},2,0),"")</f>
        <v>1996</v>
      </c>
      <c r="AN23" s="353">
        <f t="array" ref="AN23">iferror(vlookup(AN22,{index('Output_HALO - Nordics'!$A:$ZZ,0,$C$3),index('Output_HALO - Nordics'!$A:$ZZ,0,$C$4)},2,0),"")</f>
        <v>0</v>
      </c>
      <c r="AO23" s="353">
        <f t="array" ref="AO23">iferror(vlookup(AO22,{index('Output_HALO - Nordics'!$A:$ZZ,0,$C$3),index('Output_HALO - Nordics'!$A:$ZZ,0,$C$4)},2,0),"")</f>
        <v>0</v>
      </c>
      <c r="AP23" s="353">
        <f t="array" ref="AP23">iferror(vlookup(AP22,{index('Output_HALO - Nordics'!$A:$ZZ,0,$C$3),index('Output_HALO - Nordics'!$A:$ZZ,0,$C$4)},2,0),"")</f>
        <v>0</v>
      </c>
      <c r="AQ23" s="353">
        <f t="array" ref="AQ23">iferror(vlookup(AQ22,{index('Output_HALO - Nordics'!$A:$ZZ,0,$C$3),index('Output_HALO - Nordics'!$A:$ZZ,0,$C$4)},2,0),"")</f>
        <v>0</v>
      </c>
      <c r="AR23" s="353">
        <f t="array" ref="AR23">iferror(vlookup(AR22,{index('Output_HALO - Nordics'!$A:$ZZ,0,$C$3),index('Output_HALO - Nordics'!$A:$ZZ,0,$C$4)},2,0),"")</f>
        <v>0</v>
      </c>
      <c r="AS23" s="353">
        <f t="array" ref="AS23">iferror(vlookup(AS22,{index('Output_HALO - Nordics'!$A:$ZZ,0,$C$3),index('Output_HALO - Nordics'!$A:$ZZ,0,$C$4)},2,0),"")</f>
        <v>0</v>
      </c>
      <c r="AT23" s="353">
        <f t="array" ref="AT23">iferror(vlookup(AT22,{index('Output_HALO - Nordics'!$A:$ZZ,0,$C$3),index('Output_HALO - Nordics'!$A:$ZZ,0,$C$4)},2,0),"")</f>
        <v>73</v>
      </c>
      <c r="AU23" s="353">
        <f t="array" ref="AU23">iferror(vlookup(AU22,{index('Output_HALO - Nordics'!$A:$ZZ,0,$C$3),index('Output_HALO - Nordics'!$A:$ZZ,0,$C$4)},2,0),"")</f>
        <v>89</v>
      </c>
      <c r="AV23" s="353">
        <f t="array" ref="AV23">iferror(vlookup(AV22,{index('Output_HALO - Nordics'!$A:$ZZ,0,$C$3),index('Output_HALO - Nordics'!$A:$ZZ,0,$C$4)},2,0),"")</f>
        <v>260</v>
      </c>
      <c r="AW23" s="353">
        <f t="array" ref="AW23">iferror(vlookup(AW22,{index('Output_HALO - Nordics'!$A:$ZZ,0,$C$3),index('Output_HALO - Nordics'!$A:$ZZ,0,$C$4)},2,0),"")</f>
        <v>0</v>
      </c>
      <c r="AX23" s="353">
        <f t="array" ref="AX23">iferror(vlookup(AX22,{index('Output_HALO - Nordics'!$A:$ZZ,0,$C$3),index('Output_HALO - Nordics'!$A:$ZZ,0,$C$4)},2,0),"")</f>
        <v>0</v>
      </c>
      <c r="AY23" s="353">
        <f t="array" ref="AY23">iferror(vlookup(AY22,{index('Output_HALO - Nordics'!$A:$ZZ,0,$C$3),index('Output_HALO - Nordics'!$A:$ZZ,0,$C$4)},2,0),"")</f>
        <v>0</v>
      </c>
      <c r="AZ23" s="353">
        <f t="array" ref="AZ23">iferror(vlookup(AZ22,{index('Output_HALO - Nordics'!$A:$ZZ,0,$C$3),index('Output_HALO - Nordics'!$A:$ZZ,0,$C$4)},2,0),"")</f>
        <v>0</v>
      </c>
      <c r="BA23" s="353">
        <f t="array" ref="BA23">iferror(vlookup(BA22,{index('Output_HALO - Nordics'!$A:$ZZ,0,$C$3),index('Output_HALO - Nordics'!$A:$ZZ,0,$C$4)},2,0),"")</f>
        <v>0</v>
      </c>
      <c r="BB23" s="353">
        <f t="array" ref="BB23">iferror(vlookup(BB22,{index('Output_HALO - Nordics'!$A:$ZZ,0,$C$3),index('Output_HALO - Nordics'!$A:$ZZ,0,$C$4)},2,0),"")</f>
        <v>126</v>
      </c>
      <c r="BC23" s="353">
        <f t="array" ref="BC23">iferror(vlookup(BC22,{index('Output_HALO - Nordics'!$A:$ZZ,0,$C$3),index('Output_HALO - Nordics'!$A:$ZZ,0,$C$4)},2,0),"")</f>
        <v>0</v>
      </c>
      <c r="BD23" s="353">
        <f t="array" ref="BD23">iferror(vlookup(BD22,{index('Output_HALO - Nordics'!$A:$ZZ,0,$C$3),index('Output_HALO - Nordics'!$A:$ZZ,0,$C$4)},2,0),"")</f>
        <v>310</v>
      </c>
      <c r="BE23" s="353">
        <f t="array" ref="BE23">iferror(vlookup(BE22,{index('Output_HALO - Nordics'!$A:$ZZ,0,$C$3),index('Output_HALO - Nordics'!$A:$ZZ,0,$C$4)},2,0),"")</f>
        <v>0</v>
      </c>
      <c r="BF23" s="353">
        <f t="array" ref="BF23">iferror(vlookup(BF22,{index('Output_HALO - Nordics'!$A:$ZZ,0,$C$3),index('Output_HALO - Nordics'!$A:$ZZ,0,$C$4)},2,0),"")</f>
        <v>0</v>
      </c>
      <c r="BG23" s="353">
        <f t="array" ref="BG23">iferror(vlookup(BG22,{index('Output_HALO - Nordics'!$A:$ZZ,0,$C$3),index('Output_HALO - Nordics'!$A:$ZZ,0,$C$4)},2,0),"")</f>
        <v>0</v>
      </c>
      <c r="BH23" s="353">
        <f t="array" ref="BH23">iferror(vlookup(BH22,{index('Output_HALO - Nordics'!$A:$ZZ,0,$C$3),index('Output_HALO - Nordics'!$A:$ZZ,0,$C$4)},2,0),"")</f>
        <v>0</v>
      </c>
      <c r="BI23" s="353">
        <f t="array" ref="BI23">iferror(vlookup(BI22,{index('Output_HALO - Nordics'!$A:$ZZ,0,$C$3),index('Output_HALO - Nordics'!$A:$ZZ,0,$C$4)},2,0),"")</f>
        <v>0</v>
      </c>
      <c r="BJ23" s="353">
        <f t="array" ref="BJ23">iferror(vlookup(BJ22,{index('Output_HALO - Nordics'!$A:$ZZ,0,$C$3),index('Output_HALO - Nordics'!$A:$ZZ,0,$C$4)},2,0),"")</f>
        <v>0</v>
      </c>
      <c r="BK23" s="353">
        <f t="array" ref="BK23">iferror(vlookup(BK22,{index('Output_HALO - Nordics'!$A:$ZZ,0,$C$3),index('Output_HALO - Nordics'!$A:$ZZ,0,$C$4)},2,0),"")</f>
        <v>0</v>
      </c>
      <c r="BL23" s="353">
        <f t="array" ref="BL23">iferror(vlookup(BL22,{index('Output_HALO - Nordics'!$A:$ZZ,0,$C$3),index('Output_HALO - Nordics'!$A:$ZZ,0,$C$4)},2,0),"")</f>
        <v>0</v>
      </c>
      <c r="BM23" s="353">
        <f t="array" ref="BM23">iferror(vlookup(BM22,{index('Output_HALO - Nordics'!$A:$ZZ,0,$C$3),index('Output_HALO - Nordics'!$A:$ZZ,0,$C$4)},2,0),"")</f>
        <v>0</v>
      </c>
      <c r="BN23" s="353">
        <f t="array" ref="BN23">iferror(vlookup(BN22,{index('Output_HALO - Nordics'!$A:$ZZ,0,$C$3),index('Output_HALO - Nordics'!$A:$ZZ,0,$C$4)},2,0),"")</f>
        <v>0</v>
      </c>
      <c r="BO23" s="353">
        <f t="array" ref="BO23">iferror(vlookup(BO22,{index('Output_HALO - Nordics'!$A:$ZZ,0,$C$3),index('Output_HALO - Nordics'!$A:$ZZ,0,$C$4)},2,0),"")</f>
        <v>0</v>
      </c>
      <c r="BP23" s="353">
        <f t="array" ref="BP23">iferror(vlookup(BP22,{index('Output_HALO - Nordics'!$A:$ZZ,0,$C$3),index('Output_HALO - Nordics'!$A:$ZZ,0,$C$4)},2,0),"")</f>
        <v>0</v>
      </c>
      <c r="BQ23" s="353">
        <f t="array" ref="BQ23">iferror(vlookup(BQ22,{index('Output_HALO - Nordics'!$A:$ZZ,0,$C$3),index('Output_HALO - Nordics'!$A:$ZZ,0,$C$4)},2,0),"")</f>
        <v>0</v>
      </c>
    </row>
    <row r="24">
      <c r="E24" s="354">
        <v>2.0</v>
      </c>
      <c r="F24" s="353" t="str">
        <f t="array" ref="F24">iferror(vlookup(F$12&amp;"-"&amp;$E24,{index('Output_HALO - Nordics'!$A:$ZZ,0,$C$8),index('Output_HALO - Nordics'!$A:$ZZ,0,$C$5)},2,0),"")</f>
        <v/>
      </c>
      <c r="G24" s="353" t="str">
        <f t="array" ref="G24">iferror(vlookup(G$12&amp;"-"&amp;$E24,{index('Output_HALO - Nordics'!$A:$ZZ,0,$C$8),index('Output_HALO - Nordics'!$A:$ZZ,0,$C$5)},2,0),"")</f>
        <v/>
      </c>
      <c r="H24" s="353" t="str">
        <f t="array" ref="H24">iferror(vlookup(H$12&amp;"-"&amp;$E24,{index('Output_HALO - Nordics'!$A:$ZZ,0,$C$8),index('Output_HALO - Nordics'!$A:$ZZ,0,$C$5)},2,0),"")</f>
        <v/>
      </c>
      <c r="I24" s="353" t="str">
        <f t="array" ref="I24">iferror(vlookup(I$12&amp;"-"&amp;$E24,{index('Output_HALO - Nordics'!$A:$ZZ,0,$C$8),index('Output_HALO - Nordics'!$A:$ZZ,0,$C$5)},2,0),"")</f>
        <v/>
      </c>
      <c r="J24" s="353" t="str">
        <f t="array" ref="J24">iferror(vlookup(J$12&amp;"-"&amp;$E24,{index('Output_HALO - Nordics'!$A:$ZZ,0,$C$8),index('Output_HALO - Nordics'!$A:$ZZ,0,$C$5)},2,0),"")</f>
        <v/>
      </c>
      <c r="K24" s="353" t="str">
        <f t="array" ref="K24">iferror(vlookup(K$12&amp;"-"&amp;$E24,{index('Output_HALO - Nordics'!$A:$ZZ,0,$C$8),index('Output_HALO - Nordics'!$A:$ZZ,0,$C$5)},2,0),"")</f>
        <v/>
      </c>
      <c r="L24" s="353" t="str">
        <f t="array" ref="L24">iferror(vlookup(L$12&amp;"-"&amp;$E24,{index('Output_HALO - Nordics'!$A:$ZZ,0,$C$8),index('Output_HALO - Nordics'!$A:$ZZ,0,$C$5)},2,0),"")</f>
        <v/>
      </c>
      <c r="M24" s="353" t="str">
        <f t="array" ref="M24">iferror(vlookup(M$12&amp;"-"&amp;$E24,{index('Output_HALO - Nordics'!$A:$ZZ,0,$C$8),index('Output_HALO - Nordics'!$A:$ZZ,0,$C$5)},2,0),"")</f>
        <v/>
      </c>
      <c r="N24" s="353" t="str">
        <f t="array" ref="N24">iferror(vlookup(N$12&amp;"-"&amp;$E24,{index('Output_HALO - Nordics'!$A:$ZZ,0,$C$8),index('Output_HALO - Nordics'!$A:$ZZ,0,$C$5)},2,0),"")</f>
        <v/>
      </c>
      <c r="O24" s="353" t="str">
        <f t="array" ref="O24">iferror(vlookup(O$12&amp;"-"&amp;$E24,{index('Output_HALO - Nordics'!$A:$ZZ,0,$C$8),index('Output_HALO - Nordics'!$A:$ZZ,0,$C$5)},2,0),"")</f>
        <v/>
      </c>
      <c r="P24" s="353" t="str">
        <f t="array" ref="P24">iferror(vlookup(P$12&amp;"-"&amp;$E24,{index('Output_HALO - Nordics'!$A:$ZZ,0,$C$8),index('Output_HALO - Nordics'!$A:$ZZ,0,$C$5)},2,0),"")</f>
        <v/>
      </c>
      <c r="Q24" s="353" t="str">
        <f t="array" ref="Q24">iferror(vlookup(Q$12&amp;"-"&amp;$E24,{index('Output_HALO - Nordics'!$A:$ZZ,0,$C$8),index('Output_HALO - Nordics'!$A:$ZZ,0,$C$5)},2,0),"")</f>
        <v>F20</v>
      </c>
      <c r="R24" s="353" t="str">
        <f t="array" ref="R24">iferror(vlookup(R$12&amp;"-"&amp;$E24,{index('Output_HALO - Nordics'!$A:$ZZ,0,$C$8),index('Output_HALO - Nordics'!$A:$ZZ,0,$C$5)},2,0),"")</f>
        <v>F23</v>
      </c>
      <c r="S24" s="353" t="str">
        <f t="array" ref="S24">iferror(vlookup(S$12&amp;"-"&amp;$E24,{index('Output_HALO - Nordics'!$A:$ZZ,0,$C$8),index('Output_HALO - Nordics'!$A:$ZZ,0,$C$5)},2,0),"")</f>
        <v>F26</v>
      </c>
      <c r="T24" s="353" t="str">
        <f t="array" ref="T24">iferror(vlookup(T$12&amp;"-"&amp;$E24,{index('Output_HALO - Nordics'!$A:$ZZ,0,$C$8),index('Output_HALO - Nordics'!$A:$ZZ,0,$C$5)},2,0),"")</f>
        <v/>
      </c>
      <c r="U24" s="353" t="str">
        <f t="array" ref="U24">iferror(vlookup(U$12&amp;"-"&amp;$E24,{index('Output_HALO - Nordics'!$A:$ZZ,0,$C$8),index('Output_HALO - Nordics'!$A:$ZZ,0,$C$5)},2,0),"")</f>
        <v/>
      </c>
      <c r="V24" s="353" t="str">
        <f t="array" ref="V24">iferror(vlookup(V$12&amp;"-"&amp;$E24,{index('Output_HALO - Nordics'!$A:$ZZ,0,$C$8),index('Output_HALO - Nordics'!$A:$ZZ,0,$C$5)},2,0),"")</f>
        <v/>
      </c>
      <c r="W24" s="353" t="str">
        <f t="array" ref="W24">iferror(vlookup(W$12&amp;"-"&amp;$E24,{index('Output_HALO - Nordics'!$A:$ZZ,0,$C$8),index('Output_HALO - Nordics'!$A:$ZZ,0,$C$5)},2,0),"")</f>
        <v>F38</v>
      </c>
      <c r="X24" s="353" t="str">
        <f t="array" ref="X24">iferror(vlookup(X$12&amp;"-"&amp;$E24,{index('Output_HALO - Nordics'!$A:$ZZ,0,$C$8),index('Output_HALO - Nordics'!$A:$ZZ,0,$C$5)},2,0),"")</f>
        <v>F41</v>
      </c>
      <c r="Y24" s="353" t="str">
        <f t="array" ref="Y24">iferror(vlookup(Y$12&amp;"-"&amp;$E24,{index('Output_HALO - Nordics'!$A:$ZZ,0,$C$8),index('Output_HALO - Nordics'!$A:$ZZ,0,$C$5)},2,0),"")</f>
        <v>F44</v>
      </c>
      <c r="Z24" s="353" t="str">
        <f t="array" ref="Z24">iferror(vlookup(Z$12&amp;"-"&amp;$E24,{index('Output_HALO - Nordics'!$A:$ZZ,0,$C$8),index('Output_HALO - Nordics'!$A:$ZZ,0,$C$5)},2,0),"")</f>
        <v/>
      </c>
      <c r="AA24" s="353" t="str">
        <f t="array" ref="AA24">iferror(vlookup(AA$12&amp;"-"&amp;$E24,{index('Output_HALO - Nordics'!$A:$ZZ,0,$C$8),index('Output_HALO - Nordics'!$A:$ZZ,0,$C$5)},2,0),"")</f>
        <v/>
      </c>
      <c r="AB24" s="353" t="str">
        <f t="array" ref="AB24">iferror(vlookup(AB$12&amp;"-"&amp;$E24,{index('Output_HALO - Nordics'!$A:$ZZ,0,$C$8),index('Output_HALO - Nordics'!$A:$ZZ,0,$C$5)},2,0),"")</f>
        <v/>
      </c>
      <c r="AC24" s="353" t="str">
        <f t="array" ref="AC24">iferror(vlookup(AC$12&amp;"-"&amp;$E24,{index('Output_HALO - Nordics'!$A:$ZZ,0,$C$8),index('Output_HALO - Nordics'!$A:$ZZ,0,$C$5)},2,0),"")</f>
        <v/>
      </c>
      <c r="AD24" s="353" t="str">
        <f t="array" ref="AD24">iferror(vlookup(AD$12&amp;"-"&amp;$E24,{index('Output_HALO - Nordics'!$A:$ZZ,0,$C$8),index('Output_HALO - Nordics'!$A:$ZZ,0,$C$5)},2,0),"")</f>
        <v/>
      </c>
      <c r="AE24" s="353" t="str">
        <f t="array" ref="AE24">iferror(vlookup(AE$12&amp;"-"&amp;$E24,{index('Output_HALO - Nordics'!$A:$ZZ,0,$C$8),index('Output_HALO - Nordics'!$A:$ZZ,0,$C$5)},2,0),"")</f>
        <v/>
      </c>
      <c r="AF24" s="353" t="str">
        <f t="array" ref="AF24">iferror(vlookup(AF$12&amp;"-"&amp;$E24,{index('Output_HALO - Nordics'!$A:$ZZ,0,$C$8),index('Output_HALO - Nordics'!$A:$ZZ,0,$C$5)},2,0),"")</f>
        <v/>
      </c>
      <c r="AG24" s="353" t="str">
        <f t="array" ref="AG24">iferror(vlookup(AG$12&amp;"-"&amp;$E24,{index('Output_HALO - Nordics'!$A:$ZZ,0,$C$8),index('Output_HALO - Nordics'!$A:$ZZ,0,$C$5)},2,0),"")</f>
        <v>F68</v>
      </c>
      <c r="AH24" s="353" t="str">
        <f t="array" ref="AH24">iferror(vlookup(AH$12&amp;"-"&amp;$E24,{index('Output_HALO - Nordics'!$A:$ZZ,0,$C$8),index('Output_HALO - Nordics'!$A:$ZZ,0,$C$5)},2,0),"")</f>
        <v/>
      </c>
      <c r="AI24" s="353" t="str">
        <f t="array" ref="AI24">iferror(vlookup(AI$12&amp;"-"&amp;$E24,{index('Output_HALO - Nordics'!$A:$ZZ,0,$C$8),index('Output_HALO - Nordics'!$A:$ZZ,0,$C$5)},2,0),"")</f>
        <v/>
      </c>
      <c r="AJ24" s="353" t="str">
        <f t="array" ref="AJ24">iferror(vlookup(AJ$12&amp;"-"&amp;$E24,{index('Output_HALO - Nordics'!$A:$ZZ,0,$C$8),index('Output_HALO - Nordics'!$A:$ZZ,0,$C$5)},2,0),"")</f>
        <v/>
      </c>
      <c r="AK24" s="353" t="str">
        <f t="array" ref="AK24">iferror(vlookup(AK$12&amp;"-"&amp;$E24,{index('Output_HALO - Nordics'!$A:$ZZ,0,$C$8),index('Output_HALO - Nordics'!$A:$ZZ,0,$C$5)},2,0),"")</f>
        <v/>
      </c>
      <c r="AL24" s="353" t="str">
        <f t="array" ref="AL24">iferror(vlookup(AL$12&amp;"-"&amp;$E24,{index('Output_HALO - Nordics'!$A:$ZZ,0,$C$8),index('Output_HALO - Nordics'!$A:$ZZ,0,$C$5)},2,0),"")</f>
        <v/>
      </c>
      <c r="AM24" s="353" t="str">
        <f t="array" ref="AM24">iferror(vlookup(AM$12&amp;"-"&amp;$E24,{index('Output_HALO - Nordics'!$A:$ZZ,0,$C$8),index('Output_HALO - Nordics'!$A:$ZZ,0,$C$5)},2,0),"")</f>
        <v>F86</v>
      </c>
      <c r="AN24" s="353" t="str">
        <f t="array" ref="AN24">iferror(vlookup(AN$12&amp;"-"&amp;$E24,{index('Output_HALO - Nordics'!$A:$ZZ,0,$C$8),index('Output_HALO - Nordics'!$A:$ZZ,0,$C$5)},2,0),"")</f>
        <v>F89</v>
      </c>
      <c r="AO24" s="353" t="str">
        <f t="array" ref="AO24">iferror(vlookup(AO$12&amp;"-"&amp;$E24,{index('Output_HALO - Nordics'!$A:$ZZ,0,$C$8),index('Output_HALO - Nordics'!$A:$ZZ,0,$C$5)},2,0),"")</f>
        <v/>
      </c>
      <c r="AP24" s="353" t="str">
        <f t="array" ref="AP24">iferror(vlookup(AP$12&amp;"-"&amp;$E24,{index('Output_HALO - Nordics'!$A:$ZZ,0,$C$8),index('Output_HALO - Nordics'!$A:$ZZ,0,$C$5)},2,0),"")</f>
        <v/>
      </c>
      <c r="AQ24" s="353" t="str">
        <f t="array" ref="AQ24">iferror(vlookup(AQ$12&amp;"-"&amp;$E24,{index('Output_HALO - Nordics'!$A:$ZZ,0,$C$8),index('Output_HALO - Nordics'!$A:$ZZ,0,$C$5)},2,0),"")</f>
        <v/>
      </c>
      <c r="AR24" s="353" t="str">
        <f t="array" ref="AR24">iferror(vlookup(AR$12&amp;"-"&amp;$E24,{index('Output_HALO - Nordics'!$A:$ZZ,0,$C$8),index('Output_HALO - Nordics'!$A:$ZZ,0,$C$5)},2,0),"")</f>
        <v/>
      </c>
      <c r="AS24" s="353" t="str">
        <f t="array" ref="AS24">iferror(vlookup(AS$12&amp;"-"&amp;$E24,{index('Output_HALO - Nordics'!$A:$ZZ,0,$C$8),index('Output_HALO - Nordics'!$A:$ZZ,0,$C$5)},2,0),"")</f>
        <v/>
      </c>
      <c r="AT24" s="353" t="str">
        <f t="array" ref="AT24">iferror(vlookup(AT$12&amp;"-"&amp;$E24,{index('Output_HALO - Nordics'!$A:$ZZ,0,$C$8),index('Output_HALO - Nordics'!$A:$ZZ,0,$C$5)},2,0),"")</f>
        <v>F106</v>
      </c>
      <c r="AU24" s="353" t="str">
        <f t="array" ref="AU24">iferror(vlookup(AU$12&amp;"-"&amp;$E24,{index('Output_HALO - Nordics'!$A:$ZZ,0,$C$8),index('Output_HALO - Nordics'!$A:$ZZ,0,$C$5)},2,0),"")</f>
        <v>F108</v>
      </c>
      <c r="AV24" s="353" t="str">
        <f t="array" ref="AV24">iferror(vlookup(AV$12&amp;"-"&amp;$E24,{index('Output_HALO - Nordics'!$A:$ZZ,0,$C$8),index('Output_HALO - Nordics'!$A:$ZZ,0,$C$5)},2,0),"")</f>
        <v>F110</v>
      </c>
      <c r="AW24" s="353" t="str">
        <f t="array" ref="AW24">iferror(vlookup(AW$12&amp;"-"&amp;$E24,{index('Output_HALO - Nordics'!$A:$ZZ,0,$C$8),index('Output_HALO - Nordics'!$A:$ZZ,0,$C$5)},2,0),"")</f>
        <v/>
      </c>
      <c r="AX24" s="353" t="str">
        <f t="array" ref="AX24">iferror(vlookup(AX$12&amp;"-"&amp;$E24,{index('Output_HALO - Nordics'!$A:$ZZ,0,$C$8),index('Output_HALO - Nordics'!$A:$ZZ,0,$C$5)},2,0),"")</f>
        <v/>
      </c>
      <c r="AY24" s="353" t="str">
        <f t="array" ref="AY24">iferror(vlookup(AY$12&amp;"-"&amp;$E24,{index('Output_HALO - Nordics'!$A:$ZZ,0,$C$8),index('Output_HALO - Nordics'!$A:$ZZ,0,$C$5)},2,0),"")</f>
        <v/>
      </c>
      <c r="AZ24" s="353" t="str">
        <f t="array" ref="AZ24">iferror(vlookup(AZ$12&amp;"-"&amp;$E24,{index('Output_HALO - Nordics'!$A:$ZZ,0,$C$8),index('Output_HALO - Nordics'!$A:$ZZ,0,$C$5)},2,0),"")</f>
        <v/>
      </c>
      <c r="BA24" s="353" t="str">
        <f t="array" ref="BA24">iferror(vlookup(BA$12&amp;"-"&amp;$E24,{index('Output_HALO - Nordics'!$A:$ZZ,0,$C$8),index('Output_HALO - Nordics'!$A:$ZZ,0,$C$5)},2,0),"")</f>
        <v/>
      </c>
      <c r="BB24" s="353" t="str">
        <f t="array" ref="BB24">iferror(vlookup(BB$12&amp;"-"&amp;$E24,{index('Output_HALO - Nordics'!$A:$ZZ,0,$C$8),index('Output_HALO - Nordics'!$A:$ZZ,0,$C$5)},2,0),"")</f>
        <v>F122</v>
      </c>
      <c r="BC24" s="353" t="str">
        <f t="array" ref="BC24">iferror(vlookup(BC$12&amp;"-"&amp;$E24,{index('Output_HALO - Nordics'!$A:$ZZ,0,$C$8),index('Output_HALO - Nordics'!$A:$ZZ,0,$C$5)},2,0),"")</f>
        <v>F124</v>
      </c>
      <c r="BD24" s="353" t="str">
        <f t="array" ref="BD24">iferror(vlookup(BD$12&amp;"-"&amp;$E24,{index('Output_HALO - Nordics'!$A:$ZZ,0,$C$8),index('Output_HALO - Nordics'!$A:$ZZ,0,$C$5)},2,0),"")</f>
        <v>F126</v>
      </c>
      <c r="BE24" s="353" t="str">
        <f t="array" ref="BE24">iferror(vlookup(BE$12&amp;"-"&amp;$E24,{index('Output_HALO - Nordics'!$A:$ZZ,0,$C$8),index('Output_HALO - Nordics'!$A:$ZZ,0,$C$5)},2,0),"")</f>
        <v/>
      </c>
      <c r="BF24" s="353" t="str">
        <f t="array" ref="BF24">iferror(vlookup(BF$12&amp;"-"&amp;$E24,{index('Output_HALO - Nordics'!$A:$ZZ,0,$C$8),index('Output_HALO - Nordics'!$A:$ZZ,0,$C$5)},2,0),"")</f>
        <v/>
      </c>
      <c r="BG24" s="353" t="str">
        <f t="array" ref="BG24">iferror(vlookup(BG$12&amp;"-"&amp;$E24,{index('Output_HALO - Nordics'!$A:$ZZ,0,$C$8),index('Output_HALO - Nordics'!$A:$ZZ,0,$C$5)},2,0),"")</f>
        <v/>
      </c>
      <c r="BH24" s="353" t="str">
        <f t="array" ref="BH24">iferror(vlookup(BH$12&amp;"-"&amp;$E24,{index('Output_HALO - Nordics'!$A:$ZZ,0,$C$8),index('Output_HALO - Nordics'!$A:$ZZ,0,$C$5)},2,0),"")</f>
        <v/>
      </c>
      <c r="BI24" s="353" t="str">
        <f t="array" ref="BI24">iferror(vlookup(BI$12&amp;"-"&amp;$E24,{index('Output_HALO - Nordics'!$A:$ZZ,0,$C$8),index('Output_HALO - Nordics'!$A:$ZZ,0,$C$5)},2,0),"")</f>
        <v/>
      </c>
      <c r="BJ24" s="353" t="str">
        <f t="array" ref="BJ24">iferror(vlookup(BJ$12&amp;"-"&amp;$E24,{index('Output_HALO - Nordics'!$A:$ZZ,0,$C$8),index('Output_HALO - Nordics'!$A:$ZZ,0,$C$5)},2,0),"")</f>
        <v>F138</v>
      </c>
      <c r="BK24" s="353" t="str">
        <f t="array" ref="BK24">iferror(vlookup(BK$12&amp;"-"&amp;$E24,{index('Output_HALO - Nordics'!$A:$ZZ,0,$C$8),index('Output_HALO - Nordics'!$A:$ZZ,0,$C$5)},2,0),"")</f>
        <v/>
      </c>
      <c r="BL24" s="353" t="str">
        <f t="array" ref="BL24">iferror(vlookup(BL$12&amp;"-"&amp;$E24,{index('Output_HALO - Nordics'!$A:$ZZ,0,$C$8),index('Output_HALO - Nordics'!$A:$ZZ,0,$C$5)},2,0),"")</f>
        <v/>
      </c>
      <c r="BM24" s="353" t="str">
        <f t="array" ref="BM24">iferror(vlookup(BM$12&amp;"-"&amp;$E24,{index('Output_HALO - Nordics'!$A:$ZZ,0,$C$8),index('Output_HALO - Nordics'!$A:$ZZ,0,$C$5)},2,0),"")</f>
        <v/>
      </c>
      <c r="BN24" s="353" t="str">
        <f t="array" ref="BN24">iferror(vlookup(BN$12&amp;"-"&amp;$E24,{index('Output_HALO - Nordics'!$A:$ZZ,0,$C$8),index('Output_HALO - Nordics'!$A:$ZZ,0,$C$5)},2,0),"")</f>
        <v/>
      </c>
      <c r="BO24" s="353" t="str">
        <f t="array" ref="BO24">iferror(vlookup(BO$12&amp;"-"&amp;$E24,{index('Output_HALO - Nordics'!$A:$ZZ,0,$C$8),index('Output_HALO - Nordics'!$A:$ZZ,0,$C$5)},2,0),"")</f>
        <v/>
      </c>
      <c r="BP24" s="353" t="str">
        <f t="array" ref="BP24">iferror(vlookup(BP$12&amp;"-"&amp;$E24,{index('Output_HALO - Nordics'!$A:$ZZ,0,$C$8),index('Output_HALO - Nordics'!$A:$ZZ,0,$C$5)},2,0),"")</f>
        <v/>
      </c>
      <c r="BQ24" s="353" t="str">
        <f t="array" ref="BQ24">iferror(vlookup(BQ$12&amp;"-"&amp;$E24,{index('Output_HALO - Nordics'!$A:$ZZ,0,$C$8),index('Output_HALO - Nordics'!$A:$ZZ,0,$C$5)},2,0),"")</f>
        <v/>
      </c>
    </row>
    <row r="25">
      <c r="E25" s="354">
        <v>1.0</v>
      </c>
      <c r="F25" s="353" t="str">
        <f t="array" ref="F25">iferror(vlookup(F$12&amp;"-"&amp;$E25,{index('Output_HALO - Nordics'!$A:$ZZ,0,$C$8),index('Output_HALO - Nordics'!$A:$ZZ,0,$C$3)},2,0),"")</f>
        <v/>
      </c>
      <c r="G25" s="353" t="str">
        <f t="array" ref="G25">iferror(vlookup(G$12&amp;"-"&amp;$E25,{index('Output_HALO - Nordics'!$A:$ZZ,0,$C$8),index('Output_HALO - Nordics'!$A:$ZZ,0,$C$3)},2,0),"")</f>
        <v>L</v>
      </c>
      <c r="H25" s="353" t="str">
        <f t="array" ref="H25">iferror(vlookup(H$12&amp;"-"&amp;$E25,{index('Output_HALO - Nordics'!$A:$ZZ,0,$C$8),index('Output_HALO - Nordics'!$A:$ZZ,0,$C$3)},2,0),"")</f>
        <v>M</v>
      </c>
      <c r="I25" s="353" t="str">
        <f t="array" ref="I25">iferror(vlookup(I$12&amp;"-"&amp;$E25,{index('Output_HALO - Nordics'!$A:$ZZ,0,$C$8),index('Output_HALO - Nordics'!$A:$ZZ,0,$C$3)},2,0),"")</f>
        <v>S</v>
      </c>
      <c r="J25" s="353" t="str">
        <f t="array" ref="J25">iferror(vlookup(J$12&amp;"-"&amp;$E25,{index('Output_HALO - Nordics'!$A:$ZZ,0,$C$8),index('Output_HALO - Nordics'!$A:$ZZ,0,$C$3)},2,0),"")</f>
        <v>XS</v>
      </c>
      <c r="K25" s="353" t="str">
        <f t="array" ref="K25">iferror(vlookup(K$12&amp;"-"&amp;$E25,{index('Output_HALO - Nordics'!$A:$ZZ,0,$C$8),index('Output_HALO - Nordics'!$A:$ZZ,0,$C$3)},2,0),"")</f>
        <v/>
      </c>
      <c r="L25" s="353" t="str">
        <f t="array" ref="L25">iferror(vlookup(L$12&amp;"-"&amp;$E25,{index('Output_HALO - Nordics'!$A:$ZZ,0,$C$8),index('Output_HALO - Nordics'!$A:$ZZ,0,$C$3)},2,0),"")</f>
        <v/>
      </c>
      <c r="M25" s="353" t="str">
        <f t="array" ref="M25">iferror(vlookup(M$12&amp;"-"&amp;$E25,{index('Output_HALO - Nordics'!$A:$ZZ,0,$C$8),index('Output_HALO - Nordics'!$A:$ZZ,0,$C$3)},2,0),"")</f>
        <v/>
      </c>
      <c r="N25" s="353" t="str">
        <f t="array" ref="N25">iferror(vlookup(N$12&amp;"-"&amp;$E25,{index('Output_HALO - Nordics'!$A:$ZZ,0,$C$8),index('Output_HALO - Nordics'!$A:$ZZ,0,$C$3)},2,0),"")</f>
        <v/>
      </c>
      <c r="O25" s="353" t="str">
        <f t="array" ref="O25">iferror(vlookup(O$12&amp;"-"&amp;$E25,{index('Output_HALO - Nordics'!$A:$ZZ,0,$C$8),index('Output_HALO - Nordics'!$A:$ZZ,0,$C$3)},2,0),"")</f>
        <v/>
      </c>
      <c r="P25" s="353" t="str">
        <f t="array" ref="P25">iferror(vlookup(P$12&amp;"-"&amp;$E25,{index('Output_HALO - Nordics'!$A:$ZZ,0,$C$8),index('Output_HALO - Nordics'!$A:$ZZ,0,$C$3)},2,0),"")</f>
        <v/>
      </c>
      <c r="Q25" s="353" t="str">
        <f t="array" ref="Q25">iferror(vlookup(Q$12&amp;"-"&amp;$E25,{index('Output_HALO - Nordics'!$A:$ZZ,0,$C$8),index('Output_HALO - Nordics'!$A:$ZZ,0,$C$3)},2,0),"")</f>
        <v/>
      </c>
      <c r="R25" s="353" t="str">
        <f t="array" ref="R25">iferror(vlookup(R$12&amp;"-"&amp;$E25,{index('Output_HALO - Nordics'!$A:$ZZ,0,$C$8),index('Output_HALO - Nordics'!$A:$ZZ,0,$C$3)},2,0),"")</f>
        <v/>
      </c>
      <c r="S25" s="353" t="str">
        <f t="array" ref="S25">iferror(vlookup(S$12&amp;"-"&amp;$E25,{index('Output_HALO - Nordics'!$A:$ZZ,0,$C$8),index('Output_HALO - Nordics'!$A:$ZZ,0,$C$3)},2,0),"")</f>
        <v>621 - </v>
      </c>
      <c r="T25" s="353" t="str">
        <f t="array" ref="T25">iferror(vlookup(T$12&amp;"-"&amp;$E25,{index('Output_HALO - Nordics'!$A:$ZZ,0,$C$8),index('Output_HALO - Nordics'!$A:$ZZ,0,$C$3)},2,0),"")</f>
        <v/>
      </c>
      <c r="U25" s="353" t="str">
        <f t="array" ref="U25">iferror(vlookup(U$12&amp;"-"&amp;$E25,{index('Output_HALO - Nordics'!$A:$ZZ,0,$C$8),index('Output_HALO - Nordics'!$A:$ZZ,0,$C$3)},2,0),"")</f>
        <v/>
      </c>
      <c r="V25" s="353" t="str">
        <f t="array" ref="V25">iferror(vlookup(V$12&amp;"-"&amp;$E25,{index('Output_HALO - Nordics'!$A:$ZZ,0,$C$8),index('Output_HALO - Nordics'!$A:$ZZ,0,$C$3)},2,0),"")</f>
        <v/>
      </c>
      <c r="W25" s="353" t="str">
        <f t="array" ref="W25">iferror(vlookup(W$12&amp;"-"&amp;$E25,{index('Output_HALO - Nordics'!$A:$ZZ,0,$C$8),index('Output_HALO - Nordics'!$A:$ZZ,0,$C$3)},2,0),"")</f>
        <v>565064 - Laks i senneps-dild sauce</v>
      </c>
      <c r="X25" s="353" t="str">
        <f t="array" ref="X25">iferror(vlookup(X$12&amp;"-"&amp;$E25,{index('Output_HALO - Nordics'!$A:$ZZ,0,$C$8),index('Output_HALO - Nordics'!$A:$ZZ,0,$C$3)},2,0),"")</f>
        <v>565164 - Kylling i Emmental-fondue med karamelliseret løg</v>
      </c>
      <c r="Y25" s="353" t="str">
        <f t="array" ref="Y25">iferror(vlookup(Y$12&amp;"-"&amp;$E25,{index('Output_HALO - Nordics'!$A:$ZZ,0,$C$8),index('Output_HALO - Nordics'!$A:$ZZ,0,$C$3)},2,0),"")</f>
        <v/>
      </c>
      <c r="Z25" s="353" t="str">
        <f t="array" ref="Z25">iferror(vlookup(Z$12&amp;"-"&amp;$E25,{index('Output_HALO - Nordics'!$A:$ZZ,0,$C$8),index('Output_HALO - Nordics'!$A:$ZZ,0,$C$3)},2,0),"")</f>
        <v/>
      </c>
      <c r="AA25" s="353" t="str">
        <f t="array" ref="AA25">iferror(vlookup(AA$12&amp;"-"&amp;$E25,{index('Output_HALO - Nordics'!$A:$ZZ,0,$C$8),index('Output_HALO - Nordics'!$A:$ZZ,0,$C$3)},2,0),"")</f>
        <v/>
      </c>
      <c r="AB25" s="353" t="str">
        <f t="array" ref="AB25">iferror(vlookup(AB$12&amp;"-"&amp;$E25,{index('Output_HALO - Nordics'!$A:$ZZ,0,$C$8),index('Output_HALO - Nordics'!$A:$ZZ,0,$C$3)},2,0),"")</f>
        <v/>
      </c>
      <c r="AC25" s="353" t="str">
        <f t="array" ref="AC25">iferror(vlookup(AC$12&amp;"-"&amp;$E25,{index('Output_HALO - Nordics'!$A:$ZZ,0,$C$8),index('Output_HALO - Nordics'!$A:$ZZ,0,$C$3)},2,0),"")</f>
        <v/>
      </c>
      <c r="AD25" s="353" t="str">
        <f t="array" ref="AD25">iferror(vlookup(AD$12&amp;"-"&amp;$E25,{index('Output_HALO - Nordics'!$A:$ZZ,0,$C$8),index('Output_HALO - Nordics'!$A:$ZZ,0,$C$3)},2,0),"")</f>
        <v/>
      </c>
      <c r="AE25" s="353" t="str">
        <f t="array" ref="AE25">iferror(vlookup(AE$12&amp;"-"&amp;$E25,{index('Output_HALO - Nordics'!$A:$ZZ,0,$C$8),index('Output_HALO - Nordics'!$A:$ZZ,0,$C$3)},2,0),"")</f>
        <v/>
      </c>
      <c r="AF25" s="353" t="str">
        <f t="array" ref="AF25">iferror(vlookup(AF$12&amp;"-"&amp;$E25,{index('Output_HALO - Nordics'!$A:$ZZ,0,$C$8),index('Output_HALO - Nordics'!$A:$ZZ,0,$C$3)},2,0),"")</f>
        <v/>
      </c>
      <c r="AG25" s="353" t="str">
        <f t="array" ref="AG25">iferror(vlookup(AG$12&amp;"-"&amp;$E25,{index('Output_HALO - Nordics'!$A:$ZZ,0,$C$8),index('Output_HALO - Nordics'!$A:$ZZ,0,$C$3)},2,0),"")</f>
        <v/>
      </c>
      <c r="AH25" s="353" t="str">
        <f t="array" ref="AH25">iferror(vlookup(AH$12&amp;"-"&amp;$E25,{index('Output_HALO - Nordics'!$A:$ZZ,0,$C$8),index('Output_HALO - Nordics'!$A:$ZZ,0,$C$3)},2,0),"")</f>
        <v>620 - </v>
      </c>
      <c r="AI25" s="353" t="str">
        <f t="array" ref="AI25">iferror(vlookup(AI$12&amp;"-"&amp;$E25,{index('Output_HALO - Nordics'!$A:$ZZ,0,$C$8),index('Output_HALO - Nordics'!$A:$ZZ,0,$C$3)},2,0),"")</f>
        <v/>
      </c>
      <c r="AJ25" s="353" t="str">
        <f t="array" ref="AJ25">iferror(vlookup(AJ$12&amp;"-"&amp;$E25,{index('Output_HALO - Nordics'!$A:$ZZ,0,$C$8),index('Output_HALO - Nordics'!$A:$ZZ,0,$C$3)},2,0),"")</f>
        <v/>
      </c>
      <c r="AK25" s="353" t="str">
        <f t="array" ref="AK25">iferror(vlookup(AK$12&amp;"-"&amp;$E25,{index('Output_HALO - Nordics'!$A:$ZZ,0,$C$8),index('Output_HALO - Nordics'!$A:$ZZ,0,$C$3)},2,0),"")</f>
        <v/>
      </c>
      <c r="AL25" s="353" t="str">
        <f t="array" ref="AL25">iferror(vlookup(AL$12&amp;"-"&amp;$E25,{index('Output_HALO - Nordics'!$A:$ZZ,0,$C$8),index('Output_HALO - Nordics'!$A:$ZZ,0,$C$3)},2,0),"")</f>
        <v/>
      </c>
      <c r="AM25" s="353" t="str">
        <f t="array" ref="AM25">iferror(vlookup(AM$12&amp;"-"&amp;$E25,{index('Output_HALO - Nordics'!$A:$ZZ,0,$C$8),index('Output_HALO - Nordics'!$A:$ZZ,0,$C$3)},2,0),"")</f>
        <v>706 - Grillet kylling med hvidlød og urter</v>
      </c>
      <c r="AN25" s="353" t="str">
        <f t="array" ref="AN25">iferror(vlookup(AN$12&amp;"-"&amp;$E25,{index('Output_HALO - Nordics'!$A:$ZZ,0,$C$8),index('Output_HALO - Nordics'!$A:$ZZ,0,$C$3)},2,0),"")</f>
        <v>565196 - Laks med aji verde</v>
      </c>
      <c r="AO25" s="353" t="str">
        <f t="array" ref="AO25">iferror(vlookup(AO$12&amp;"-"&amp;$E25,{index('Output_HALO - Nordics'!$A:$ZZ,0,$C$8),index('Output_HALO - Nordics'!$A:$ZZ,0,$C$3)},2,0),"")</f>
        <v/>
      </c>
      <c r="AP25" s="353" t="str">
        <f t="array" ref="AP25">iferror(vlookup(AP$12&amp;"-"&amp;$E25,{index('Output_HALO - Nordics'!$A:$ZZ,0,$C$8),index('Output_HALO - Nordics'!$A:$ZZ,0,$C$3)},2,0),"")</f>
        <v/>
      </c>
      <c r="AQ25" s="353" t="str">
        <f t="array" ref="AQ25">iferror(vlookup(AQ$12&amp;"-"&amp;$E25,{index('Output_HALO - Nordics'!$A:$ZZ,0,$C$8),index('Output_HALO - Nordics'!$A:$ZZ,0,$C$3)},2,0),"")</f>
        <v/>
      </c>
      <c r="AR25" s="353" t="str">
        <f t="array" ref="AR25">iferror(vlookup(AR$12&amp;"-"&amp;$E25,{index('Output_HALO - Nordics'!$A:$ZZ,0,$C$8),index('Output_HALO - Nordics'!$A:$ZZ,0,$C$3)},2,0),"")</f>
        <v/>
      </c>
      <c r="AS25" s="353" t="str">
        <f t="array" ref="AS25">iferror(vlookup(AS$12&amp;"-"&amp;$E25,{index('Output_HALO - Nordics'!$A:$ZZ,0,$C$8),index('Output_HALO - Nordics'!$A:$ZZ,0,$C$3)},2,0),"")</f>
        <v/>
      </c>
      <c r="AT25" s="353" t="str">
        <f t="array" ref="AT25">iferror(vlookup(AT$12&amp;"-"&amp;$E25,{index('Output_HALO - Nordics'!$A:$ZZ,0,$C$8),index('Output_HALO - Nordics'!$A:$ZZ,0,$C$3)},2,0),"")</f>
        <v/>
      </c>
      <c r="AU25" s="353" t="str">
        <f t="array" ref="AU25">iferror(vlookup(AU$12&amp;"-"&amp;$E25,{index('Output_HALO - Nordics'!$A:$ZZ,0,$C$8),index('Output_HALO - Nordics'!$A:$ZZ,0,$C$3)},2,0),"")</f>
        <v>565043 - Spicy kylling med jalapeño, lime og cheddar</v>
      </c>
      <c r="AV25" s="353" t="str">
        <f t="array" ref="AV25">iferror(vlookup(AV$12&amp;"-"&amp;$E25,{index('Output_HALO - Nordics'!$A:$ZZ,0,$C$8),index('Output_HALO - Nordics'!$A:$ZZ,0,$C$3)},2,0),"")</f>
        <v>565252 - Pasta med oksekødsragù og soltørrede tomater</v>
      </c>
      <c r="AW25" s="353" t="str">
        <f t="array" ref="AW25">iferror(vlookup(AW$12&amp;"-"&amp;$E25,{index('Output_HALO - Nordics'!$A:$ZZ,0,$C$8),index('Output_HALO - Nordics'!$A:$ZZ,0,$C$3)},2,0),"")</f>
        <v/>
      </c>
      <c r="AX25" s="353" t="str">
        <f t="array" ref="AX25">iferror(vlookup(AX$12&amp;"-"&amp;$E25,{index('Output_HALO - Nordics'!$A:$ZZ,0,$C$8),index('Output_HALO - Nordics'!$A:$ZZ,0,$C$3)},2,0),"")</f>
        <v/>
      </c>
      <c r="AY25" s="353" t="str">
        <f t="array" ref="AY25">iferror(vlookup(AY$12&amp;"-"&amp;$E25,{index('Output_HALO - Nordics'!$A:$ZZ,0,$C$8),index('Output_HALO - Nordics'!$A:$ZZ,0,$C$3)},2,0),"")</f>
        <v/>
      </c>
      <c r="AZ25" s="353" t="str">
        <f t="array" ref="AZ25">iferror(vlookup(AZ$12&amp;"-"&amp;$E25,{index('Output_HALO - Nordics'!$A:$ZZ,0,$C$8),index('Output_HALO - Nordics'!$A:$ZZ,0,$C$3)},2,0),"")</f>
        <v/>
      </c>
      <c r="BA25" s="353" t="str">
        <f t="array" ref="BA25">iferror(vlookup(BA$12&amp;"-"&amp;$E25,{index('Output_HALO - Nordics'!$A:$ZZ,0,$C$8),index('Output_HALO - Nordics'!$A:$ZZ,0,$C$3)},2,0),"")</f>
        <v/>
      </c>
      <c r="BB25" s="353" t="str">
        <f t="array" ref="BB25">iferror(vlookup(BB$12&amp;"-"&amp;$E25,{index('Output_HALO - Nordics'!$A:$ZZ,0,$C$8),index('Output_HALO - Nordics'!$A:$ZZ,0,$C$3)},2,0),"")</f>
        <v/>
      </c>
      <c r="BC25" s="353" t="str">
        <f t="array" ref="BC25">iferror(vlookup(BC$12&amp;"-"&amp;$E25,{index('Output_HALO - Nordics'!$A:$ZZ,0,$C$8),index('Output_HALO - Nordics'!$A:$ZZ,0,$C$3)},2,0),"")</f>
        <v>565143 - Svinemørbrad i cremet hvidløgs- og sennepssauce</v>
      </c>
      <c r="BD25" s="353" t="str">
        <f t="array" ref="BD25">iferror(vlookup(BD$12&amp;"-"&amp;$E25,{index('Output_HALO - Nordics'!$A:$ZZ,0,$C$8),index('Output_HALO - Nordics'!$A:$ZZ,0,$C$3)},2,0),"")</f>
        <v>565209 - Chilensk inspireret kylling med salsa-quinoa</v>
      </c>
      <c r="BE25" s="353" t="str">
        <f t="array" ref="BE25">iferror(vlookup(BE$12&amp;"-"&amp;$E25,{index('Output_HALO - Nordics'!$A:$ZZ,0,$C$8),index('Output_HALO - Nordics'!$A:$ZZ,0,$C$3)},2,0),"")</f>
        <v>565189 - Laks Piccata </v>
      </c>
      <c r="BF25" s="353" t="str">
        <f t="array" ref="BF25">iferror(vlookup(BF$12&amp;"-"&amp;$E25,{index('Output_HALO - Nordics'!$A:$ZZ,0,$C$8),index('Output_HALO - Nordics'!$A:$ZZ,0,$C$3)},2,0),"")</f>
        <v/>
      </c>
      <c r="BG25" s="353" t="str">
        <f t="array" ref="BG25">iferror(vlookup(BG$12&amp;"-"&amp;$E25,{index('Output_HALO - Nordics'!$A:$ZZ,0,$C$8),index('Output_HALO - Nordics'!$A:$ZZ,0,$C$3)},2,0),"")</f>
        <v/>
      </c>
      <c r="BH25" s="353" t="str">
        <f t="array" ref="BH25">iferror(vlookup(BH$12&amp;"-"&amp;$E25,{index('Output_HALO - Nordics'!$A:$ZZ,0,$C$8),index('Output_HALO - Nordics'!$A:$ZZ,0,$C$3)},2,0),"")</f>
        <v/>
      </c>
      <c r="BI25" s="353" t="str">
        <f t="array" ref="BI25">iferror(vlookup(BI$12&amp;"-"&amp;$E25,{index('Output_HALO - Nordics'!$A:$ZZ,0,$C$8),index('Output_HALO - Nordics'!$A:$ZZ,0,$C$3)},2,0),"")</f>
        <v/>
      </c>
      <c r="BJ25" s="353" t="str">
        <f t="array" ref="BJ25">iferror(vlookup(BJ$12&amp;"-"&amp;$E25,{index('Output_HALO - Nordics'!$A:$ZZ,0,$C$8),index('Output_HALO - Nordics'!$A:$ZZ,0,$C$3)},2,0),"")</f>
        <v>IcePack1</v>
      </c>
      <c r="BK25" s="353" t="str">
        <f t="array" ref="BK25">iferror(vlookup(BK$12&amp;"-"&amp;$E25,{index('Output_HALO - Nordics'!$A:$ZZ,0,$C$8),index('Output_HALO - Nordics'!$A:$ZZ,0,$C$3)},2,0),"")</f>
        <v/>
      </c>
      <c r="BL25" s="353" t="str">
        <f t="array" ref="BL25">iferror(vlookup(BL$12&amp;"-"&amp;$E25,{index('Output_HALO - Nordics'!$A:$ZZ,0,$C$8),index('Output_HALO - Nordics'!$A:$ZZ,0,$C$3)},2,0),"")</f>
        <v/>
      </c>
      <c r="BM25" s="353" t="str">
        <f t="array" ref="BM25">iferror(vlookup(BM$12&amp;"-"&amp;$E25,{index('Output_HALO - Nordics'!$A:$ZZ,0,$C$8),index('Output_HALO - Nordics'!$A:$ZZ,0,$C$3)},2,0),"")</f>
        <v/>
      </c>
      <c r="BN25" s="353" t="str">
        <f t="array" ref="BN25">iferror(vlookup(BN$12&amp;"-"&amp;$E25,{index('Output_HALO - Nordics'!$A:$ZZ,0,$C$8),index('Output_HALO - Nordics'!$A:$ZZ,0,$C$3)},2,0),"")</f>
        <v/>
      </c>
      <c r="BO25" s="353" t="str">
        <f t="array" ref="BO25">iferror(vlookup(BO$12&amp;"-"&amp;$E25,{index('Output_HALO - Nordics'!$A:$ZZ,0,$C$8),index('Output_HALO - Nordics'!$A:$ZZ,0,$C$3)},2,0),"")</f>
        <v/>
      </c>
      <c r="BP25" s="353" t="str">
        <f t="array" ref="BP25">iferror(vlookup(BP$12&amp;"-"&amp;$E25,{index('Output_HALO - Nordics'!$A:$ZZ,0,$C$8),index('Output_HALO - Nordics'!$A:$ZZ,0,$C$3)},2,0),"")</f>
        <v/>
      </c>
      <c r="BQ25" s="353" t="str">
        <f t="array" ref="BQ25">iferror(vlookup(BQ$12&amp;"-"&amp;$E25,{index('Output_HALO - Nordics'!$A:$ZZ,0,$C$8),index('Output_HALO - Nordics'!$A:$ZZ,0,$C$3)},2,0),"")</f>
        <v/>
      </c>
    </row>
    <row r="26">
      <c r="E26" s="354">
        <v>1.0</v>
      </c>
      <c r="F26" s="353">
        <f t="array" ref="F26">iferror(vlookup(F25,{index('Output_HALO - Nordics'!$A:$ZZ,0,$C$3),index('Output_HALO - Nordics'!$A:$ZZ,0,$C$4)},2,0),"")</f>
        <v>0</v>
      </c>
      <c r="G26" s="353">
        <f t="array" ref="G26">iferror(vlookup(G25,{index('Output_HALO - Nordics'!$A:$ZZ,0,$C$3),index('Output_HALO - Nordics'!$A:$ZZ,0,$C$4)},2,0),"")</f>
        <v>0</v>
      </c>
      <c r="H26" s="353">
        <f t="array" ref="H26">iferror(vlookup(H25,{index('Output_HALO - Nordics'!$A:$ZZ,0,$C$3),index('Output_HALO - Nordics'!$A:$ZZ,0,$C$4)},2,0),"")</f>
        <v>0</v>
      </c>
      <c r="I26" s="353">
        <f t="array" ref="I26">iferror(vlookup(I25,{index('Output_HALO - Nordics'!$A:$ZZ,0,$C$3),index('Output_HALO - Nordics'!$A:$ZZ,0,$C$4)},2,0),"")</f>
        <v>0</v>
      </c>
      <c r="J26" s="353">
        <f t="array" ref="J26">iferror(vlookup(J25,{index('Output_HALO - Nordics'!$A:$ZZ,0,$C$3),index('Output_HALO - Nordics'!$A:$ZZ,0,$C$4)},2,0),"")</f>
        <v>0</v>
      </c>
      <c r="K26" s="353">
        <f t="array" ref="K26">iferror(vlookup(K25,{index('Output_HALO - Nordics'!$A:$ZZ,0,$C$3),index('Output_HALO - Nordics'!$A:$ZZ,0,$C$4)},2,0),"")</f>
        <v>0</v>
      </c>
      <c r="L26" s="353">
        <f t="array" ref="L26">iferror(vlookup(L25,{index('Output_HALO - Nordics'!$A:$ZZ,0,$C$3),index('Output_HALO - Nordics'!$A:$ZZ,0,$C$4)},2,0),"")</f>
        <v>0</v>
      </c>
      <c r="M26" s="353">
        <f t="array" ref="M26">iferror(vlookup(M25,{index('Output_HALO - Nordics'!$A:$ZZ,0,$C$3),index('Output_HALO - Nordics'!$A:$ZZ,0,$C$4)},2,0),"")</f>
        <v>0</v>
      </c>
      <c r="N26" s="353">
        <f t="array" ref="N26">iferror(vlookup(N25,{index('Output_HALO - Nordics'!$A:$ZZ,0,$C$3),index('Output_HALO - Nordics'!$A:$ZZ,0,$C$4)},2,0),"")</f>
        <v>0</v>
      </c>
      <c r="O26" s="353">
        <f t="array" ref="O26">iferror(vlookup(O25,{index('Output_HALO - Nordics'!$A:$ZZ,0,$C$3),index('Output_HALO - Nordics'!$A:$ZZ,0,$C$4)},2,0),"")</f>
        <v>0</v>
      </c>
      <c r="P26" s="353">
        <f t="array" ref="P26">iferror(vlookup(P25,{index('Output_HALO - Nordics'!$A:$ZZ,0,$C$3),index('Output_HALO - Nordics'!$A:$ZZ,0,$C$4)},2,0),"")</f>
        <v>0</v>
      </c>
      <c r="Q26" s="353">
        <f t="array" ref="Q26">iferror(vlookup(Q25,{index('Output_HALO - Nordics'!$A:$ZZ,0,$C$3),index('Output_HALO - Nordics'!$A:$ZZ,0,$C$4)},2,0),"")</f>
        <v>0</v>
      </c>
      <c r="R26" s="353">
        <f t="array" ref="R26">iferror(vlookup(R25,{index('Output_HALO - Nordics'!$A:$ZZ,0,$C$3),index('Output_HALO - Nordics'!$A:$ZZ,0,$C$4)},2,0),"")</f>
        <v>0</v>
      </c>
      <c r="S26" s="353">
        <f t="array" ref="S26">iferror(vlookup(S25,{index('Output_HALO - Nordics'!$A:$ZZ,0,$C$3),index('Output_HALO - Nordics'!$A:$ZZ,0,$C$4)},2,0),"")</f>
        <v>0</v>
      </c>
      <c r="T26" s="353">
        <f t="array" ref="T26">iferror(vlookup(T25,{index('Output_HALO - Nordics'!$A:$ZZ,0,$C$3),index('Output_HALO - Nordics'!$A:$ZZ,0,$C$4)},2,0),"")</f>
        <v>0</v>
      </c>
      <c r="U26" s="353">
        <f t="array" ref="U26">iferror(vlookup(U25,{index('Output_HALO - Nordics'!$A:$ZZ,0,$C$3),index('Output_HALO - Nordics'!$A:$ZZ,0,$C$4)},2,0),"")</f>
        <v>0</v>
      </c>
      <c r="V26" s="353">
        <f t="array" ref="V26">iferror(vlookup(V25,{index('Output_HALO - Nordics'!$A:$ZZ,0,$C$3),index('Output_HALO - Nordics'!$A:$ZZ,0,$C$4)},2,0),"")</f>
        <v>0</v>
      </c>
      <c r="W26" s="353">
        <f t="array" ref="W26">iferror(vlookup(W25,{index('Output_HALO - Nordics'!$A:$ZZ,0,$C$3),index('Output_HALO - Nordics'!$A:$ZZ,0,$C$4)},2,0),"")</f>
        <v>0</v>
      </c>
      <c r="X26" s="353">
        <f t="array" ref="X26">iferror(vlookup(X25,{index('Output_HALO - Nordics'!$A:$ZZ,0,$C$3),index('Output_HALO - Nordics'!$A:$ZZ,0,$C$4)},2,0),"")</f>
        <v>0</v>
      </c>
      <c r="Y26" s="353">
        <f t="array" ref="Y26">iferror(vlookup(Y25,{index('Output_HALO - Nordics'!$A:$ZZ,0,$C$3),index('Output_HALO - Nordics'!$A:$ZZ,0,$C$4)},2,0),"")</f>
        <v>0</v>
      </c>
      <c r="Z26" s="353">
        <f t="array" ref="Z26">iferror(vlookup(Z25,{index('Output_HALO - Nordics'!$A:$ZZ,0,$C$3),index('Output_HALO - Nordics'!$A:$ZZ,0,$C$4)},2,0),"")</f>
        <v>0</v>
      </c>
      <c r="AA26" s="353">
        <f t="array" ref="AA26">iferror(vlookup(AA25,{index('Output_HALO - Nordics'!$A:$ZZ,0,$C$3),index('Output_HALO - Nordics'!$A:$ZZ,0,$C$4)},2,0),"")</f>
        <v>0</v>
      </c>
      <c r="AB26" s="353">
        <f t="array" ref="AB26">iferror(vlookup(AB25,{index('Output_HALO - Nordics'!$A:$ZZ,0,$C$3),index('Output_HALO - Nordics'!$A:$ZZ,0,$C$4)},2,0),"")</f>
        <v>0</v>
      </c>
      <c r="AC26" s="353">
        <f t="array" ref="AC26">iferror(vlookup(AC25,{index('Output_HALO - Nordics'!$A:$ZZ,0,$C$3),index('Output_HALO - Nordics'!$A:$ZZ,0,$C$4)},2,0),"")</f>
        <v>0</v>
      </c>
      <c r="AD26" s="353">
        <f t="array" ref="AD26">iferror(vlookup(AD25,{index('Output_HALO - Nordics'!$A:$ZZ,0,$C$3),index('Output_HALO - Nordics'!$A:$ZZ,0,$C$4)},2,0),"")</f>
        <v>0</v>
      </c>
      <c r="AE26" s="353">
        <f t="array" ref="AE26">iferror(vlookup(AE25,{index('Output_HALO - Nordics'!$A:$ZZ,0,$C$3),index('Output_HALO - Nordics'!$A:$ZZ,0,$C$4)},2,0),"")</f>
        <v>0</v>
      </c>
      <c r="AF26" s="353">
        <f t="array" ref="AF26">iferror(vlookup(AF25,{index('Output_HALO - Nordics'!$A:$ZZ,0,$C$3),index('Output_HALO - Nordics'!$A:$ZZ,0,$C$4)},2,0),"")</f>
        <v>0</v>
      </c>
      <c r="AG26" s="353">
        <f t="array" ref="AG26">iferror(vlookup(AG25,{index('Output_HALO - Nordics'!$A:$ZZ,0,$C$3),index('Output_HALO - Nordics'!$A:$ZZ,0,$C$4)},2,0),"")</f>
        <v>0</v>
      </c>
      <c r="AH26" s="353">
        <f t="array" ref="AH26">iferror(vlookup(AH25,{index('Output_HALO - Nordics'!$A:$ZZ,0,$C$3),index('Output_HALO - Nordics'!$A:$ZZ,0,$C$4)},2,0),"")</f>
        <v>0</v>
      </c>
      <c r="AI26" s="353">
        <f t="array" ref="AI26">iferror(vlookup(AI25,{index('Output_HALO - Nordics'!$A:$ZZ,0,$C$3),index('Output_HALO - Nordics'!$A:$ZZ,0,$C$4)},2,0),"")</f>
        <v>0</v>
      </c>
      <c r="AJ26" s="353">
        <f t="array" ref="AJ26">iferror(vlookup(AJ25,{index('Output_HALO - Nordics'!$A:$ZZ,0,$C$3),index('Output_HALO - Nordics'!$A:$ZZ,0,$C$4)},2,0),"")</f>
        <v>0</v>
      </c>
      <c r="AK26" s="353">
        <f t="array" ref="AK26">iferror(vlookup(AK25,{index('Output_HALO - Nordics'!$A:$ZZ,0,$C$3),index('Output_HALO - Nordics'!$A:$ZZ,0,$C$4)},2,0),"")</f>
        <v>0</v>
      </c>
      <c r="AL26" s="353">
        <f t="array" ref="AL26">iferror(vlookup(AL25,{index('Output_HALO - Nordics'!$A:$ZZ,0,$C$3),index('Output_HALO - Nordics'!$A:$ZZ,0,$C$4)},2,0),"")</f>
        <v>0</v>
      </c>
      <c r="AM26" s="353">
        <f t="array" ref="AM26">iferror(vlookup(AM25,{index('Output_HALO - Nordics'!$A:$ZZ,0,$C$3),index('Output_HALO - Nordics'!$A:$ZZ,0,$C$4)},2,0),"")</f>
        <v>36</v>
      </c>
      <c r="AN26" s="353">
        <f t="array" ref="AN26">iferror(vlookup(AN25,{index('Output_HALO - Nordics'!$A:$ZZ,0,$C$3),index('Output_HALO - Nordics'!$A:$ZZ,0,$C$4)},2,0),"")</f>
        <v>1383</v>
      </c>
      <c r="AO26" s="353">
        <f t="array" ref="AO26">iferror(vlookup(AO25,{index('Output_HALO - Nordics'!$A:$ZZ,0,$C$3),index('Output_HALO - Nordics'!$A:$ZZ,0,$C$4)},2,0),"")</f>
        <v>0</v>
      </c>
      <c r="AP26" s="353">
        <f t="array" ref="AP26">iferror(vlookup(AP25,{index('Output_HALO - Nordics'!$A:$ZZ,0,$C$3),index('Output_HALO - Nordics'!$A:$ZZ,0,$C$4)},2,0),"")</f>
        <v>0</v>
      </c>
      <c r="AQ26" s="353">
        <f t="array" ref="AQ26">iferror(vlookup(AQ25,{index('Output_HALO - Nordics'!$A:$ZZ,0,$C$3),index('Output_HALO - Nordics'!$A:$ZZ,0,$C$4)},2,0),"")</f>
        <v>0</v>
      </c>
      <c r="AR26" s="353">
        <f t="array" ref="AR26">iferror(vlookup(AR25,{index('Output_HALO - Nordics'!$A:$ZZ,0,$C$3),index('Output_HALO - Nordics'!$A:$ZZ,0,$C$4)},2,0),"")</f>
        <v>0</v>
      </c>
      <c r="AS26" s="353">
        <f t="array" ref="AS26">iferror(vlookup(AS25,{index('Output_HALO - Nordics'!$A:$ZZ,0,$C$3),index('Output_HALO - Nordics'!$A:$ZZ,0,$C$4)},2,0),"")</f>
        <v>0</v>
      </c>
      <c r="AT26" s="353">
        <f t="array" ref="AT26">iferror(vlookup(AT25,{index('Output_HALO - Nordics'!$A:$ZZ,0,$C$3),index('Output_HALO - Nordics'!$A:$ZZ,0,$C$4)},2,0),"")</f>
        <v>0</v>
      </c>
      <c r="AU26" s="353">
        <f t="array" ref="AU26">iferror(vlookup(AU25,{index('Output_HALO - Nordics'!$A:$ZZ,0,$C$3),index('Output_HALO - Nordics'!$A:$ZZ,0,$C$4)},2,0),"")</f>
        <v>1291</v>
      </c>
      <c r="AV26" s="353">
        <f t="array" ref="AV26">iferror(vlookup(AV25,{index('Output_HALO - Nordics'!$A:$ZZ,0,$C$3),index('Output_HALO - Nordics'!$A:$ZZ,0,$C$4)},2,0),"")</f>
        <v>1844</v>
      </c>
      <c r="AW26" s="353">
        <f t="array" ref="AW26">iferror(vlookup(AW25,{index('Output_HALO - Nordics'!$A:$ZZ,0,$C$3),index('Output_HALO - Nordics'!$A:$ZZ,0,$C$4)},2,0),"")</f>
        <v>0</v>
      </c>
      <c r="AX26" s="353">
        <f t="array" ref="AX26">iferror(vlookup(AX25,{index('Output_HALO - Nordics'!$A:$ZZ,0,$C$3),index('Output_HALO - Nordics'!$A:$ZZ,0,$C$4)},2,0),"")</f>
        <v>0</v>
      </c>
      <c r="AY26" s="353">
        <f t="array" ref="AY26">iferror(vlookup(AY25,{index('Output_HALO - Nordics'!$A:$ZZ,0,$C$3),index('Output_HALO - Nordics'!$A:$ZZ,0,$C$4)},2,0),"")</f>
        <v>0</v>
      </c>
      <c r="AZ26" s="353">
        <f t="array" ref="AZ26">iferror(vlookup(AZ25,{index('Output_HALO - Nordics'!$A:$ZZ,0,$C$3),index('Output_HALO - Nordics'!$A:$ZZ,0,$C$4)},2,0),"")</f>
        <v>0</v>
      </c>
      <c r="BA26" s="353">
        <f t="array" ref="BA26">iferror(vlookup(BA25,{index('Output_HALO - Nordics'!$A:$ZZ,0,$C$3),index('Output_HALO - Nordics'!$A:$ZZ,0,$C$4)},2,0),"")</f>
        <v>0</v>
      </c>
      <c r="BB26" s="353">
        <f t="array" ref="BB26">iferror(vlookup(BB25,{index('Output_HALO - Nordics'!$A:$ZZ,0,$C$3),index('Output_HALO - Nordics'!$A:$ZZ,0,$C$4)},2,0),"")</f>
        <v>0</v>
      </c>
      <c r="BC26" s="353">
        <f t="array" ref="BC26">iferror(vlookup(BC25,{index('Output_HALO - Nordics'!$A:$ZZ,0,$C$3),index('Output_HALO - Nordics'!$A:$ZZ,0,$C$4)},2,0),"")</f>
        <v>709</v>
      </c>
      <c r="BD26" s="353">
        <f t="array" ref="BD26">iferror(vlookup(BD25,{index('Output_HALO - Nordics'!$A:$ZZ,0,$C$3),index('Output_HALO - Nordics'!$A:$ZZ,0,$C$4)},2,0),"")</f>
        <v>2570</v>
      </c>
      <c r="BE26" s="353">
        <f t="array" ref="BE26">iferror(vlookup(BE25,{index('Output_HALO - Nordics'!$A:$ZZ,0,$C$3),index('Output_HALO - Nordics'!$A:$ZZ,0,$C$4)},2,0),"")</f>
        <v>0</v>
      </c>
      <c r="BF26" s="353">
        <f t="array" ref="BF26">iferror(vlookup(BF25,{index('Output_HALO - Nordics'!$A:$ZZ,0,$C$3),index('Output_HALO - Nordics'!$A:$ZZ,0,$C$4)},2,0),"")</f>
        <v>0</v>
      </c>
      <c r="BG26" s="353">
        <f t="array" ref="BG26">iferror(vlookup(BG25,{index('Output_HALO - Nordics'!$A:$ZZ,0,$C$3),index('Output_HALO - Nordics'!$A:$ZZ,0,$C$4)},2,0),"")</f>
        <v>0</v>
      </c>
      <c r="BH26" s="353">
        <f t="array" ref="BH26">iferror(vlookup(BH25,{index('Output_HALO - Nordics'!$A:$ZZ,0,$C$3),index('Output_HALO - Nordics'!$A:$ZZ,0,$C$4)},2,0),"")</f>
        <v>0</v>
      </c>
      <c r="BI26" s="353">
        <f t="array" ref="BI26">iferror(vlookup(BI25,{index('Output_HALO - Nordics'!$A:$ZZ,0,$C$3),index('Output_HALO - Nordics'!$A:$ZZ,0,$C$4)},2,0),"")</f>
        <v>0</v>
      </c>
      <c r="BJ26" s="353">
        <f t="array" ref="BJ26">iferror(vlookup(BJ25,{index('Output_HALO - Nordics'!$A:$ZZ,0,$C$3),index('Output_HALO - Nordics'!$A:$ZZ,0,$C$4)},2,0),"")</f>
        <v>130</v>
      </c>
      <c r="BK26" s="353">
        <f t="array" ref="BK26">iferror(vlookup(BK25,{index('Output_HALO - Nordics'!$A:$ZZ,0,$C$3),index('Output_HALO - Nordics'!$A:$ZZ,0,$C$4)},2,0),"")</f>
        <v>0</v>
      </c>
      <c r="BL26" s="353">
        <f t="array" ref="BL26">iferror(vlookup(BL25,{index('Output_HALO - Nordics'!$A:$ZZ,0,$C$3),index('Output_HALO - Nordics'!$A:$ZZ,0,$C$4)},2,0),"")</f>
        <v>0</v>
      </c>
      <c r="BM26" s="353">
        <f t="array" ref="BM26">iferror(vlookup(BM25,{index('Output_HALO - Nordics'!$A:$ZZ,0,$C$3),index('Output_HALO - Nordics'!$A:$ZZ,0,$C$4)},2,0),"")</f>
        <v>0</v>
      </c>
      <c r="BN26" s="353">
        <f t="array" ref="BN26">iferror(vlookup(BN25,{index('Output_HALO - Nordics'!$A:$ZZ,0,$C$3),index('Output_HALO - Nordics'!$A:$ZZ,0,$C$4)},2,0),"")</f>
        <v>0</v>
      </c>
      <c r="BO26" s="353">
        <f t="array" ref="BO26">iferror(vlookup(BO25,{index('Output_HALO - Nordics'!$A:$ZZ,0,$C$3),index('Output_HALO - Nordics'!$A:$ZZ,0,$C$4)},2,0),"")</f>
        <v>0</v>
      </c>
      <c r="BP26" s="353">
        <f t="array" ref="BP26">iferror(vlookup(BP25,{index('Output_HALO - Nordics'!$A:$ZZ,0,$C$3),index('Output_HALO - Nordics'!$A:$ZZ,0,$C$4)},2,0),"")</f>
        <v>0</v>
      </c>
      <c r="BQ26" s="353">
        <f t="array" ref="BQ26">iferror(vlookup(BQ25,{index('Output_HALO - Nordics'!$A:$ZZ,0,$C$3),index('Output_HALO - Nordics'!$A:$ZZ,0,$C$4)},2,0),"")</f>
        <v>0</v>
      </c>
    </row>
    <row r="27">
      <c r="E27" s="354">
        <v>1.0</v>
      </c>
      <c r="F27" s="353" t="str">
        <f t="array" ref="F27">iferror(vlookup(F$12&amp;"-"&amp;$E27,{index('Output_HALO - Nordics'!$A:$ZZ,0,$C$8),index('Output_HALO - Nordics'!$A:$ZZ,0,$C$5)},2,0),"")</f>
        <v/>
      </c>
      <c r="G27" s="353" t="str">
        <f t="array" ref="G27">iferror(vlookup(G$12&amp;"-"&amp;$E27,{index('Output_HALO - Nordics'!$A:$ZZ,0,$C$8),index('Output_HALO - Nordics'!$A:$ZZ,0,$C$5)},2,0),"")</f>
        <v>F02</v>
      </c>
      <c r="H27" s="353" t="str">
        <f t="array" ref="H27">iferror(vlookup(H$12&amp;"-"&amp;$E27,{index('Output_HALO - Nordics'!$A:$ZZ,0,$C$8),index('Output_HALO - Nordics'!$A:$ZZ,0,$C$5)},2,0),"")</f>
        <v>F03</v>
      </c>
      <c r="I27" s="353" t="str">
        <f t="array" ref="I27">iferror(vlookup(I$12&amp;"-"&amp;$E27,{index('Output_HALO - Nordics'!$A:$ZZ,0,$C$8),index('Output_HALO - Nordics'!$A:$ZZ,0,$C$5)},2,0),"")</f>
        <v>F04</v>
      </c>
      <c r="J27" s="353" t="str">
        <f t="array" ref="J27">iferror(vlookup(J$12&amp;"-"&amp;$E27,{index('Output_HALO - Nordics'!$A:$ZZ,0,$C$8),index('Output_HALO - Nordics'!$A:$ZZ,0,$C$5)},2,0),"")</f>
        <v>F05</v>
      </c>
      <c r="K27" s="353" t="str">
        <f t="array" ref="K27">iferror(vlookup(K$12&amp;"-"&amp;$E27,{index('Output_HALO - Nordics'!$A:$ZZ,0,$C$8),index('Output_HALO - Nordics'!$A:$ZZ,0,$C$5)},2,0),"")</f>
        <v/>
      </c>
      <c r="L27" s="353" t="str">
        <f t="array" ref="L27">iferror(vlookup(L$12&amp;"-"&amp;$E27,{index('Output_HALO - Nordics'!$A:$ZZ,0,$C$8),index('Output_HALO - Nordics'!$A:$ZZ,0,$C$5)},2,0),"")</f>
        <v/>
      </c>
      <c r="M27" s="353" t="str">
        <f t="array" ref="M27">iferror(vlookup(M$12&amp;"-"&amp;$E27,{index('Output_HALO - Nordics'!$A:$ZZ,0,$C$8),index('Output_HALO - Nordics'!$A:$ZZ,0,$C$5)},2,0),"")</f>
        <v/>
      </c>
      <c r="N27" s="353" t="str">
        <f t="array" ref="N27">iferror(vlookup(N$12&amp;"-"&amp;$E27,{index('Output_HALO - Nordics'!$A:$ZZ,0,$C$8),index('Output_HALO - Nordics'!$A:$ZZ,0,$C$5)},2,0),"")</f>
        <v/>
      </c>
      <c r="O27" s="353" t="str">
        <f t="array" ref="O27">iferror(vlookup(O$12&amp;"-"&amp;$E27,{index('Output_HALO - Nordics'!$A:$ZZ,0,$C$8),index('Output_HALO - Nordics'!$A:$ZZ,0,$C$5)},2,0),"")</f>
        <v/>
      </c>
      <c r="P27" s="353" t="str">
        <f t="array" ref="P27">iferror(vlookup(P$12&amp;"-"&amp;$E27,{index('Output_HALO - Nordics'!$A:$ZZ,0,$C$8),index('Output_HALO - Nordics'!$A:$ZZ,0,$C$5)},2,0),"")</f>
        <v/>
      </c>
      <c r="Q27" s="353" t="str">
        <f t="array" ref="Q27">iferror(vlookup(Q$12&amp;"-"&amp;$E27,{index('Output_HALO - Nordics'!$A:$ZZ,0,$C$8),index('Output_HALO - Nordics'!$A:$ZZ,0,$C$5)},2,0),"")</f>
        <v/>
      </c>
      <c r="R27" s="353" t="str">
        <f t="array" ref="R27">iferror(vlookup(R$12&amp;"-"&amp;$E27,{index('Output_HALO - Nordics'!$A:$ZZ,0,$C$8),index('Output_HALO - Nordics'!$A:$ZZ,0,$C$5)},2,0),"")</f>
        <v/>
      </c>
      <c r="S27" s="353" t="str">
        <f t="array" ref="S27">iferror(vlookup(S$12&amp;"-"&amp;$E27,{index('Output_HALO - Nordics'!$A:$ZZ,0,$C$8),index('Output_HALO - Nordics'!$A:$ZZ,0,$C$5)},2,0),"")</f>
        <v>F25</v>
      </c>
      <c r="T27" s="353" t="str">
        <f t="array" ref="T27">iferror(vlookup(T$12&amp;"-"&amp;$E27,{index('Output_HALO - Nordics'!$A:$ZZ,0,$C$8),index('Output_HALO - Nordics'!$A:$ZZ,0,$C$5)},2,0),"")</f>
        <v/>
      </c>
      <c r="U27" s="353" t="str">
        <f t="array" ref="U27">iferror(vlookup(U$12&amp;"-"&amp;$E27,{index('Output_HALO - Nordics'!$A:$ZZ,0,$C$8),index('Output_HALO - Nordics'!$A:$ZZ,0,$C$5)},2,0),"")</f>
        <v/>
      </c>
      <c r="V27" s="353" t="str">
        <f t="array" ref="V27">iferror(vlookup(V$12&amp;"-"&amp;$E27,{index('Output_HALO - Nordics'!$A:$ZZ,0,$C$8),index('Output_HALO - Nordics'!$A:$ZZ,0,$C$5)},2,0),"")</f>
        <v/>
      </c>
      <c r="W27" s="353" t="str">
        <f t="array" ref="W27">iferror(vlookup(W$12&amp;"-"&amp;$E27,{index('Output_HALO - Nordics'!$A:$ZZ,0,$C$8),index('Output_HALO - Nordics'!$A:$ZZ,0,$C$5)},2,0),"")</f>
        <v>F37</v>
      </c>
      <c r="X27" s="353" t="str">
        <f t="array" ref="X27">iferror(vlookup(X$12&amp;"-"&amp;$E27,{index('Output_HALO - Nordics'!$A:$ZZ,0,$C$8),index('Output_HALO - Nordics'!$A:$ZZ,0,$C$5)},2,0),"")</f>
        <v>F40</v>
      </c>
      <c r="Y27" s="353" t="str">
        <f t="array" ref="Y27">iferror(vlookup(Y$12&amp;"-"&amp;$E27,{index('Output_HALO - Nordics'!$A:$ZZ,0,$C$8),index('Output_HALO - Nordics'!$A:$ZZ,0,$C$5)},2,0),"")</f>
        <v/>
      </c>
      <c r="Z27" s="353" t="str">
        <f t="array" ref="Z27">iferror(vlookup(Z$12&amp;"-"&amp;$E27,{index('Output_HALO - Nordics'!$A:$ZZ,0,$C$8),index('Output_HALO - Nordics'!$A:$ZZ,0,$C$5)},2,0),"")</f>
        <v/>
      </c>
      <c r="AA27" s="353" t="str">
        <f t="array" ref="AA27">iferror(vlookup(AA$12&amp;"-"&amp;$E27,{index('Output_HALO - Nordics'!$A:$ZZ,0,$C$8),index('Output_HALO - Nordics'!$A:$ZZ,0,$C$5)},2,0),"")</f>
        <v/>
      </c>
      <c r="AB27" s="353" t="str">
        <f t="array" ref="AB27">iferror(vlookup(AB$12&amp;"-"&amp;$E27,{index('Output_HALO - Nordics'!$A:$ZZ,0,$C$8),index('Output_HALO - Nordics'!$A:$ZZ,0,$C$5)},2,0),"")</f>
        <v/>
      </c>
      <c r="AC27" s="353" t="str">
        <f t="array" ref="AC27">iferror(vlookup(AC$12&amp;"-"&amp;$E27,{index('Output_HALO - Nordics'!$A:$ZZ,0,$C$8),index('Output_HALO - Nordics'!$A:$ZZ,0,$C$5)},2,0),"")</f>
        <v/>
      </c>
      <c r="AD27" s="353" t="str">
        <f t="array" ref="AD27">iferror(vlookup(AD$12&amp;"-"&amp;$E27,{index('Output_HALO - Nordics'!$A:$ZZ,0,$C$8),index('Output_HALO - Nordics'!$A:$ZZ,0,$C$5)},2,0),"")</f>
        <v/>
      </c>
      <c r="AE27" s="353" t="str">
        <f t="array" ref="AE27">iferror(vlookup(AE$12&amp;"-"&amp;$E27,{index('Output_HALO - Nordics'!$A:$ZZ,0,$C$8),index('Output_HALO - Nordics'!$A:$ZZ,0,$C$5)},2,0),"")</f>
        <v/>
      </c>
      <c r="AF27" s="353" t="str">
        <f t="array" ref="AF27">iferror(vlookup(AF$12&amp;"-"&amp;$E27,{index('Output_HALO - Nordics'!$A:$ZZ,0,$C$8),index('Output_HALO - Nordics'!$A:$ZZ,0,$C$5)},2,0),"")</f>
        <v/>
      </c>
      <c r="AG27" s="353" t="str">
        <f t="array" ref="AG27">iferror(vlookup(AG$12&amp;"-"&amp;$E27,{index('Output_HALO - Nordics'!$A:$ZZ,0,$C$8),index('Output_HALO - Nordics'!$A:$ZZ,0,$C$5)},2,0),"")</f>
        <v/>
      </c>
      <c r="AH27" s="353" t="str">
        <f t="array" ref="AH27">iferror(vlookup(AH$12&amp;"-"&amp;$E27,{index('Output_HALO - Nordics'!$A:$ZZ,0,$C$8),index('Output_HALO - Nordics'!$A:$ZZ,0,$C$5)},2,0),"")</f>
        <v>F70</v>
      </c>
      <c r="AI27" s="353" t="str">
        <f t="array" ref="AI27">iferror(vlookup(AI$12&amp;"-"&amp;$E27,{index('Output_HALO - Nordics'!$A:$ZZ,0,$C$8),index('Output_HALO - Nordics'!$A:$ZZ,0,$C$5)},2,0),"")</f>
        <v/>
      </c>
      <c r="AJ27" s="353" t="str">
        <f t="array" ref="AJ27">iferror(vlookup(AJ$12&amp;"-"&amp;$E27,{index('Output_HALO - Nordics'!$A:$ZZ,0,$C$8),index('Output_HALO - Nordics'!$A:$ZZ,0,$C$5)},2,0),"")</f>
        <v/>
      </c>
      <c r="AK27" s="353" t="str">
        <f t="array" ref="AK27">iferror(vlookup(AK$12&amp;"-"&amp;$E27,{index('Output_HALO - Nordics'!$A:$ZZ,0,$C$8),index('Output_HALO - Nordics'!$A:$ZZ,0,$C$5)},2,0),"")</f>
        <v/>
      </c>
      <c r="AL27" s="353" t="str">
        <f t="array" ref="AL27">iferror(vlookup(AL$12&amp;"-"&amp;$E27,{index('Output_HALO - Nordics'!$A:$ZZ,0,$C$8),index('Output_HALO - Nordics'!$A:$ZZ,0,$C$5)},2,0),"")</f>
        <v/>
      </c>
      <c r="AM27" s="353" t="str">
        <f t="array" ref="AM27">iferror(vlookup(AM$12&amp;"-"&amp;$E27,{index('Output_HALO - Nordics'!$A:$ZZ,0,$C$8),index('Output_HALO - Nordics'!$A:$ZZ,0,$C$5)},2,0),"")</f>
        <v>F85</v>
      </c>
      <c r="AN27" s="353" t="str">
        <f t="array" ref="AN27">iferror(vlookup(AN$12&amp;"-"&amp;$E27,{index('Output_HALO - Nordics'!$A:$ZZ,0,$C$8),index('Output_HALO - Nordics'!$A:$ZZ,0,$C$5)},2,0),"")</f>
        <v>F88</v>
      </c>
      <c r="AO27" s="353" t="str">
        <f t="array" ref="AO27">iferror(vlookup(AO$12&amp;"-"&amp;$E27,{index('Output_HALO - Nordics'!$A:$ZZ,0,$C$8),index('Output_HALO - Nordics'!$A:$ZZ,0,$C$5)},2,0),"")</f>
        <v/>
      </c>
      <c r="AP27" s="353" t="str">
        <f t="array" ref="AP27">iferror(vlookup(AP$12&amp;"-"&amp;$E27,{index('Output_HALO - Nordics'!$A:$ZZ,0,$C$8),index('Output_HALO - Nordics'!$A:$ZZ,0,$C$5)},2,0),"")</f>
        <v/>
      </c>
      <c r="AQ27" s="353" t="str">
        <f t="array" ref="AQ27">iferror(vlookup(AQ$12&amp;"-"&amp;$E27,{index('Output_HALO - Nordics'!$A:$ZZ,0,$C$8),index('Output_HALO - Nordics'!$A:$ZZ,0,$C$5)},2,0),"")</f>
        <v/>
      </c>
      <c r="AR27" s="353" t="str">
        <f t="array" ref="AR27">iferror(vlookup(AR$12&amp;"-"&amp;$E27,{index('Output_HALO - Nordics'!$A:$ZZ,0,$C$8),index('Output_HALO - Nordics'!$A:$ZZ,0,$C$5)},2,0),"")</f>
        <v/>
      </c>
      <c r="AS27" s="353" t="str">
        <f t="array" ref="AS27">iferror(vlookup(AS$12&amp;"-"&amp;$E27,{index('Output_HALO - Nordics'!$A:$ZZ,0,$C$8),index('Output_HALO - Nordics'!$A:$ZZ,0,$C$5)},2,0),"")</f>
        <v/>
      </c>
      <c r="AT27" s="353" t="str">
        <f t="array" ref="AT27">iferror(vlookup(AT$12&amp;"-"&amp;$E27,{index('Output_HALO - Nordics'!$A:$ZZ,0,$C$8),index('Output_HALO - Nordics'!$A:$ZZ,0,$C$5)},2,0),"")</f>
        <v/>
      </c>
      <c r="AU27" s="353" t="str">
        <f t="array" ref="AU27">iferror(vlookup(AU$12&amp;"-"&amp;$E27,{index('Output_HALO - Nordics'!$A:$ZZ,0,$C$8),index('Output_HALO - Nordics'!$A:$ZZ,0,$C$5)},2,0),"")</f>
        <v>F107</v>
      </c>
      <c r="AV27" s="353" t="str">
        <f t="array" ref="AV27">iferror(vlookup(AV$12&amp;"-"&amp;$E27,{index('Output_HALO - Nordics'!$A:$ZZ,0,$C$8),index('Output_HALO - Nordics'!$A:$ZZ,0,$C$5)},2,0),"")</f>
        <v>F109</v>
      </c>
      <c r="AW27" s="353" t="str">
        <f t="array" ref="AW27">iferror(vlookup(AW$12&amp;"-"&amp;$E27,{index('Output_HALO - Nordics'!$A:$ZZ,0,$C$8),index('Output_HALO - Nordics'!$A:$ZZ,0,$C$5)},2,0),"")</f>
        <v/>
      </c>
      <c r="AX27" s="353" t="str">
        <f t="array" ref="AX27">iferror(vlookup(AX$12&amp;"-"&amp;$E27,{index('Output_HALO - Nordics'!$A:$ZZ,0,$C$8),index('Output_HALO - Nordics'!$A:$ZZ,0,$C$5)},2,0),"")</f>
        <v/>
      </c>
      <c r="AY27" s="353" t="str">
        <f t="array" ref="AY27">iferror(vlookup(AY$12&amp;"-"&amp;$E27,{index('Output_HALO - Nordics'!$A:$ZZ,0,$C$8),index('Output_HALO - Nordics'!$A:$ZZ,0,$C$5)},2,0),"")</f>
        <v/>
      </c>
      <c r="AZ27" s="353" t="str">
        <f t="array" ref="AZ27">iferror(vlookup(AZ$12&amp;"-"&amp;$E27,{index('Output_HALO - Nordics'!$A:$ZZ,0,$C$8),index('Output_HALO - Nordics'!$A:$ZZ,0,$C$5)},2,0),"")</f>
        <v/>
      </c>
      <c r="BA27" s="353" t="str">
        <f t="array" ref="BA27">iferror(vlookup(BA$12&amp;"-"&amp;$E27,{index('Output_HALO - Nordics'!$A:$ZZ,0,$C$8),index('Output_HALO - Nordics'!$A:$ZZ,0,$C$5)},2,0),"")</f>
        <v/>
      </c>
      <c r="BB27" s="353" t="str">
        <f t="array" ref="BB27">iferror(vlookup(BB$12&amp;"-"&amp;$E27,{index('Output_HALO - Nordics'!$A:$ZZ,0,$C$8),index('Output_HALO - Nordics'!$A:$ZZ,0,$C$5)},2,0),"")</f>
        <v/>
      </c>
      <c r="BC27" s="353" t="str">
        <f t="array" ref="BC27">iferror(vlookup(BC$12&amp;"-"&amp;$E27,{index('Output_HALO - Nordics'!$A:$ZZ,0,$C$8),index('Output_HALO - Nordics'!$A:$ZZ,0,$C$5)},2,0),"")</f>
        <v>F123</v>
      </c>
      <c r="BD27" s="353" t="str">
        <f t="array" ref="BD27">iferror(vlookup(BD$12&amp;"-"&amp;$E27,{index('Output_HALO - Nordics'!$A:$ZZ,0,$C$8),index('Output_HALO - Nordics'!$A:$ZZ,0,$C$5)},2,0),"")</f>
        <v>F125</v>
      </c>
      <c r="BE27" s="353" t="str">
        <f t="array" ref="BE27">iferror(vlookup(BE$12&amp;"-"&amp;$E27,{index('Output_HALO - Nordics'!$A:$ZZ,0,$C$8),index('Output_HALO - Nordics'!$A:$ZZ,0,$C$5)},2,0),"")</f>
        <v>F127</v>
      </c>
      <c r="BF27" s="353" t="str">
        <f t="array" ref="BF27">iferror(vlookup(BF$12&amp;"-"&amp;$E27,{index('Output_HALO - Nordics'!$A:$ZZ,0,$C$8),index('Output_HALO - Nordics'!$A:$ZZ,0,$C$5)},2,0),"")</f>
        <v/>
      </c>
      <c r="BG27" s="353" t="str">
        <f t="array" ref="BG27">iferror(vlookup(BG$12&amp;"-"&amp;$E27,{index('Output_HALO - Nordics'!$A:$ZZ,0,$C$8),index('Output_HALO - Nordics'!$A:$ZZ,0,$C$5)},2,0),"")</f>
        <v/>
      </c>
      <c r="BH27" s="353" t="str">
        <f t="array" ref="BH27">iferror(vlookup(BH$12&amp;"-"&amp;$E27,{index('Output_HALO - Nordics'!$A:$ZZ,0,$C$8),index('Output_HALO - Nordics'!$A:$ZZ,0,$C$5)},2,0),"")</f>
        <v/>
      </c>
      <c r="BI27" s="353" t="str">
        <f t="array" ref="BI27">iferror(vlookup(BI$12&amp;"-"&amp;$E27,{index('Output_HALO - Nordics'!$A:$ZZ,0,$C$8),index('Output_HALO - Nordics'!$A:$ZZ,0,$C$5)},2,0),"")</f>
        <v/>
      </c>
      <c r="BJ27" s="353" t="str">
        <f t="array" ref="BJ27">iferror(vlookup(BJ$12&amp;"-"&amp;$E27,{index('Output_HALO - Nordics'!$A:$ZZ,0,$C$8),index('Output_HALO - Nordics'!$A:$ZZ,0,$C$5)},2,0),"")</f>
        <v>F137</v>
      </c>
      <c r="BK27" s="353" t="str">
        <f t="array" ref="BK27">iferror(vlookup(BK$12&amp;"-"&amp;$E27,{index('Output_HALO - Nordics'!$A:$ZZ,0,$C$8),index('Output_HALO - Nordics'!$A:$ZZ,0,$C$5)},2,0),"")</f>
        <v/>
      </c>
      <c r="BL27" s="353" t="str">
        <f t="array" ref="BL27">iferror(vlookup(BL$12&amp;"-"&amp;$E27,{index('Output_HALO - Nordics'!$A:$ZZ,0,$C$8),index('Output_HALO - Nordics'!$A:$ZZ,0,$C$5)},2,0),"")</f>
        <v/>
      </c>
      <c r="BM27" s="353" t="str">
        <f t="array" ref="BM27">iferror(vlookup(BM$12&amp;"-"&amp;$E27,{index('Output_HALO - Nordics'!$A:$ZZ,0,$C$8),index('Output_HALO - Nordics'!$A:$ZZ,0,$C$5)},2,0),"")</f>
        <v/>
      </c>
      <c r="BN27" s="353" t="str">
        <f t="array" ref="BN27">iferror(vlookup(BN$12&amp;"-"&amp;$E27,{index('Output_HALO - Nordics'!$A:$ZZ,0,$C$8),index('Output_HALO - Nordics'!$A:$ZZ,0,$C$5)},2,0),"")</f>
        <v/>
      </c>
      <c r="BO27" s="353" t="str">
        <f t="array" ref="BO27">iferror(vlookup(BO$12&amp;"-"&amp;$E27,{index('Output_HALO - Nordics'!$A:$ZZ,0,$C$8),index('Output_HALO - Nordics'!$A:$ZZ,0,$C$5)},2,0),"")</f>
        <v/>
      </c>
      <c r="BP27" s="353" t="str">
        <f t="array" ref="BP27">iferror(vlookup(BP$12&amp;"-"&amp;$E27,{index('Output_HALO - Nordics'!$A:$ZZ,0,$C$8),index('Output_HALO - Nordics'!$A:$ZZ,0,$C$5)},2,0),"")</f>
        <v/>
      </c>
      <c r="BQ27" s="353" t="str">
        <f t="array" ref="BQ27">iferror(vlookup(BQ$12&amp;"-"&amp;$E27,{index('Output_HALO - Nordics'!$A:$ZZ,0,$C$8),index('Output_HALO - Nordics'!$A:$ZZ,0,$C$5)},2,0),"")</f>
        <v/>
      </c>
    </row>
    <row r="28">
      <c r="E28" s="354"/>
      <c r="F28" s="355"/>
      <c r="G28" s="355"/>
      <c r="H28" s="355"/>
      <c r="I28" s="355"/>
      <c r="J28" s="355"/>
      <c r="K28" s="355"/>
      <c r="L28" s="355"/>
      <c r="M28" s="355"/>
      <c r="N28" s="355"/>
      <c r="O28" s="355"/>
      <c r="P28" s="355"/>
      <c r="Q28" s="355"/>
      <c r="R28" s="355"/>
      <c r="S28" s="355"/>
      <c r="T28" s="355"/>
      <c r="U28" s="355"/>
      <c r="V28" s="355"/>
      <c r="W28" s="355"/>
      <c r="X28" s="355"/>
      <c r="Y28" s="355"/>
      <c r="Z28" s="355"/>
      <c r="AA28" s="355"/>
      <c r="AB28" s="355"/>
      <c r="AC28" s="355"/>
      <c r="AD28" s="355"/>
      <c r="AE28" s="355"/>
      <c r="AF28" s="355"/>
      <c r="AG28" s="355"/>
      <c r="AH28" s="355"/>
      <c r="AI28" s="355"/>
      <c r="AJ28" s="355"/>
      <c r="AK28" s="355"/>
      <c r="AL28" s="355"/>
      <c r="AM28" s="355"/>
      <c r="AN28" s="355"/>
      <c r="AO28" s="355"/>
      <c r="AP28" s="355"/>
      <c r="AQ28" s="355"/>
      <c r="AR28" s="355"/>
      <c r="AS28" s="355"/>
      <c r="AT28" s="355"/>
      <c r="AU28" s="355"/>
      <c r="AV28" s="355"/>
      <c r="AW28" s="355"/>
      <c r="AX28" s="355"/>
      <c r="AY28" s="355"/>
      <c r="AZ28" s="355"/>
      <c r="BA28" s="355"/>
      <c r="BB28" s="355"/>
      <c r="BC28" s="355"/>
      <c r="BD28" s="355"/>
      <c r="BE28" s="355"/>
      <c r="BF28" s="355"/>
      <c r="BG28" s="355"/>
      <c r="BH28" s="355"/>
      <c r="BI28" s="355"/>
      <c r="BJ28" s="355"/>
      <c r="BK28" s="355"/>
      <c r="BL28" s="355"/>
      <c r="BM28" s="355"/>
      <c r="BN28" s="355"/>
      <c r="BO28" s="355"/>
      <c r="BP28" s="355"/>
      <c r="BQ28" s="355"/>
    </row>
    <row r="29">
      <c r="E29" s="354"/>
      <c r="F29" s="355"/>
      <c r="G29" s="355"/>
      <c r="H29" s="355"/>
      <c r="I29" s="355"/>
      <c r="J29" s="355"/>
      <c r="K29" s="355"/>
      <c r="L29" s="355"/>
      <c r="M29" s="355"/>
      <c r="N29" s="355"/>
      <c r="O29" s="355"/>
      <c r="P29" s="355"/>
      <c r="Q29" s="355"/>
      <c r="R29" s="355"/>
      <c r="S29" s="355"/>
      <c r="T29" s="355"/>
      <c r="U29" s="355"/>
      <c r="V29" s="355"/>
      <c r="W29" s="355"/>
      <c r="X29" s="355"/>
      <c r="Y29" s="355"/>
      <c r="Z29" s="355"/>
      <c r="AA29" s="355"/>
      <c r="AB29" s="355"/>
      <c r="AC29" s="355"/>
      <c r="AD29" s="355"/>
      <c r="AE29" s="355"/>
      <c r="AF29" s="355"/>
      <c r="AG29" s="355"/>
      <c r="AH29" s="355"/>
      <c r="AI29" s="355"/>
      <c r="AJ29" s="355"/>
      <c r="AK29" s="355"/>
      <c r="AL29" s="355"/>
      <c r="AM29" s="355"/>
      <c r="AN29" s="355"/>
      <c r="AO29" s="355"/>
      <c r="AP29" s="355"/>
      <c r="AQ29" s="355"/>
      <c r="AR29" s="355"/>
      <c r="AS29" s="355"/>
      <c r="AT29" s="355"/>
      <c r="AU29" s="355"/>
      <c r="AV29" s="355"/>
      <c r="AW29" s="355"/>
      <c r="AX29" s="355"/>
      <c r="AY29" s="355"/>
      <c r="AZ29" s="355"/>
      <c r="BA29" s="355"/>
      <c r="BB29" s="355"/>
      <c r="BC29" s="355"/>
      <c r="BD29" s="355"/>
      <c r="BE29" s="355"/>
      <c r="BF29" s="355"/>
      <c r="BG29" s="355"/>
      <c r="BH29" s="355"/>
      <c r="BI29" s="355"/>
      <c r="BJ29" s="355"/>
      <c r="BK29" s="355"/>
      <c r="BL29" s="355"/>
      <c r="BM29" s="355"/>
      <c r="BN29" s="355"/>
      <c r="BO29" s="355"/>
      <c r="BP29" s="355"/>
      <c r="BQ29" s="355"/>
    </row>
    <row r="30" hidden="1">
      <c r="E30" s="348">
        <v>-1.0</v>
      </c>
      <c r="F30" s="355"/>
      <c r="G30" s="355"/>
      <c r="H30" s="355"/>
      <c r="I30" s="355"/>
      <c r="J30" s="355"/>
      <c r="K30" s="355"/>
      <c r="L30" s="355"/>
      <c r="M30" s="355"/>
      <c r="N30" s="355"/>
      <c r="O30" s="355"/>
      <c r="P30" s="355"/>
      <c r="Q30" s="355"/>
      <c r="R30" s="355"/>
      <c r="S30" s="355"/>
      <c r="T30" s="355"/>
      <c r="U30" s="355"/>
      <c r="V30" s="355"/>
      <c r="W30" s="355"/>
      <c r="X30" s="356" t="e">
        <v>#N/A</v>
      </c>
      <c r="Y30" s="356" t="e">
        <v>#N/A</v>
      </c>
      <c r="Z30" s="355"/>
      <c r="AA30" s="355"/>
      <c r="AB30" s="355"/>
      <c r="AC30" s="355"/>
      <c r="AD30" s="355"/>
      <c r="AE30" s="355"/>
      <c r="AF30" s="355"/>
      <c r="AG30" s="356" t="e">
        <v>#N/A</v>
      </c>
      <c r="AH30" s="356" t="e">
        <v>#N/A</v>
      </c>
      <c r="AI30" s="355"/>
      <c r="AJ30" s="356" t="e">
        <v>#N/A</v>
      </c>
      <c r="AK30" s="356" t="e">
        <v>#N/A</v>
      </c>
      <c r="AL30" s="355"/>
      <c r="AM30" s="355"/>
      <c r="AN30" s="355"/>
      <c r="AO30" s="355"/>
      <c r="AP30" s="355"/>
      <c r="AQ30" s="355"/>
      <c r="AR30" s="355"/>
      <c r="AS30" s="355"/>
      <c r="AT30" s="355"/>
      <c r="AU30" s="355"/>
      <c r="AV30" s="355"/>
      <c r="AW30" s="355"/>
      <c r="AX30" s="355"/>
      <c r="AY30" s="355"/>
      <c r="AZ30" s="355"/>
      <c r="BA30" s="355"/>
      <c r="BB30" s="355"/>
      <c r="BC30" s="355"/>
      <c r="BD30" s="355"/>
      <c r="BE30" s="355"/>
      <c r="BF30" s="355"/>
      <c r="BG30" s="355"/>
      <c r="BH30" s="355"/>
      <c r="BI30" s="355"/>
      <c r="BJ30" s="355"/>
      <c r="BK30" s="355"/>
      <c r="BL30" s="355"/>
      <c r="BM30" s="355"/>
      <c r="BN30" s="355"/>
      <c r="BO30" s="355"/>
      <c r="BP30" s="355"/>
      <c r="BQ30" s="355"/>
    </row>
    <row r="31" hidden="1">
      <c r="E31" s="348">
        <v>-2.0</v>
      </c>
      <c r="F31" s="355"/>
      <c r="G31" s="355"/>
      <c r="H31" s="355"/>
      <c r="I31" s="355"/>
      <c r="J31" s="355"/>
      <c r="K31" s="355"/>
      <c r="L31" s="355"/>
      <c r="M31" s="355"/>
      <c r="N31" s="355"/>
      <c r="O31" s="355"/>
      <c r="P31" s="355"/>
      <c r="Q31" s="355"/>
      <c r="R31" s="355"/>
      <c r="S31" s="355"/>
      <c r="T31" s="355"/>
      <c r="U31" s="355"/>
      <c r="V31" s="355"/>
      <c r="W31" s="355"/>
      <c r="X31" s="355"/>
      <c r="Y31" s="355"/>
      <c r="Z31" s="355"/>
      <c r="AA31" s="355"/>
      <c r="AB31" s="355"/>
      <c r="AC31" s="355"/>
      <c r="AD31" s="355"/>
      <c r="AE31" s="355"/>
      <c r="AF31" s="355"/>
      <c r="AG31" s="355"/>
      <c r="AH31" s="355"/>
      <c r="AI31" s="355"/>
      <c r="AJ31" s="355"/>
      <c r="AK31" s="355"/>
      <c r="AL31" s="355"/>
      <c r="AM31" s="355"/>
      <c r="AN31" s="355"/>
      <c r="AO31" s="355"/>
      <c r="AP31" s="355"/>
      <c r="AQ31" s="355"/>
      <c r="AR31" s="355"/>
      <c r="AS31" s="355"/>
      <c r="AT31" s="355"/>
      <c r="AU31" s="355"/>
      <c r="AV31" s="355"/>
      <c r="AW31" s="355"/>
      <c r="AX31" s="355"/>
      <c r="AY31" s="355"/>
      <c r="AZ31" s="355"/>
      <c r="BA31" s="355"/>
      <c r="BB31" s="355"/>
      <c r="BC31" s="355"/>
      <c r="BD31" s="355"/>
      <c r="BE31" s="355"/>
      <c r="BF31" s="355"/>
      <c r="BG31" s="355"/>
      <c r="BH31" s="355"/>
      <c r="BI31" s="355"/>
      <c r="BJ31" s="355"/>
      <c r="BK31" s="355"/>
      <c r="BL31" s="355"/>
      <c r="BM31" s="355"/>
      <c r="BN31" s="355"/>
      <c r="BO31" s="355"/>
      <c r="BP31" s="355"/>
      <c r="BQ31" s="355"/>
    </row>
    <row r="32" hidden="1">
      <c r="E32" s="348">
        <v>-3.0</v>
      </c>
      <c r="F32" s="355"/>
      <c r="G32" s="355"/>
      <c r="H32" s="355"/>
      <c r="I32" s="355"/>
      <c r="J32" s="355"/>
      <c r="K32" s="355"/>
      <c r="L32" s="355"/>
      <c r="M32" s="355"/>
      <c r="N32" s="355"/>
      <c r="O32" s="355"/>
      <c r="P32" s="355"/>
      <c r="Q32" s="355"/>
      <c r="R32" s="355"/>
      <c r="S32" s="355"/>
      <c r="T32" s="355"/>
      <c r="U32" s="355"/>
      <c r="V32" s="355"/>
      <c r="W32" s="355"/>
      <c r="X32" s="355"/>
      <c r="Y32" s="355"/>
      <c r="Z32" s="355"/>
      <c r="AA32" s="355"/>
      <c r="AB32" s="355"/>
      <c r="AC32" s="355"/>
      <c r="AD32" s="355"/>
      <c r="AE32" s="355"/>
      <c r="AF32" s="355"/>
      <c r="AG32" s="355"/>
      <c r="AH32" s="355"/>
      <c r="AI32" s="355"/>
      <c r="AJ32" s="355"/>
      <c r="AK32" s="355"/>
      <c r="AL32" s="355"/>
      <c r="AM32" s="355"/>
      <c r="AN32" s="355"/>
      <c r="AO32" s="355"/>
      <c r="AP32" s="355"/>
      <c r="AQ32" s="355"/>
      <c r="AR32" s="355"/>
      <c r="AS32" s="355"/>
      <c r="AT32" s="355"/>
      <c r="AU32" s="355"/>
      <c r="AV32" s="355"/>
      <c r="AW32" s="355"/>
      <c r="AX32" s="355"/>
      <c r="AY32" s="355"/>
      <c r="AZ32" s="355"/>
      <c r="BA32" s="355"/>
      <c r="BB32" s="355"/>
      <c r="BC32" s="355"/>
      <c r="BD32" s="355"/>
      <c r="BE32" s="355"/>
      <c r="BF32" s="355"/>
      <c r="BG32" s="355"/>
      <c r="BH32" s="355"/>
      <c r="BI32" s="355"/>
      <c r="BJ32" s="355"/>
      <c r="BK32" s="355"/>
      <c r="BL32" s="355"/>
      <c r="BM32" s="355"/>
      <c r="BN32" s="355"/>
      <c r="BO32" s="355"/>
      <c r="BP32" s="355"/>
      <c r="BQ32" s="355"/>
    </row>
    <row r="33" hidden="1">
      <c r="E33" s="348">
        <v>-4.0</v>
      </c>
      <c r="F33" s="355"/>
      <c r="G33" s="355"/>
      <c r="H33" s="355"/>
      <c r="I33" s="355"/>
      <c r="J33" s="355"/>
      <c r="K33" s="355"/>
      <c r="L33" s="355"/>
      <c r="M33" s="355"/>
      <c r="N33" s="355"/>
      <c r="O33" s="355"/>
      <c r="P33" s="355"/>
      <c r="Q33" s="355"/>
      <c r="R33" s="355"/>
      <c r="S33" s="355"/>
      <c r="T33" s="355"/>
      <c r="U33" s="355"/>
      <c r="V33" s="355"/>
      <c r="W33" s="355"/>
      <c r="X33" s="355"/>
      <c r="Y33" s="355"/>
      <c r="Z33" s="355"/>
      <c r="AA33" s="355"/>
      <c r="AB33" s="355"/>
      <c r="AC33" s="355"/>
      <c r="AD33" s="355"/>
      <c r="AE33" s="355"/>
      <c r="AF33" s="355"/>
      <c r="AG33" s="355"/>
      <c r="AH33" s="355"/>
      <c r="AI33" s="355"/>
      <c r="AJ33" s="355"/>
      <c r="AK33" s="355"/>
      <c r="AL33" s="355"/>
      <c r="AM33" s="355"/>
      <c r="AN33" s="355"/>
      <c r="AO33" s="355"/>
      <c r="AP33" s="355"/>
      <c r="AQ33" s="355"/>
      <c r="AR33" s="355"/>
      <c r="AS33" s="355"/>
      <c r="AT33" s="355"/>
      <c r="AU33" s="355"/>
      <c r="AV33" s="355"/>
      <c r="AW33" s="355"/>
      <c r="AX33" s="355"/>
      <c r="AY33" s="355"/>
      <c r="AZ33" s="355"/>
      <c r="BA33" s="355"/>
      <c r="BB33" s="355"/>
      <c r="BC33" s="355"/>
      <c r="BD33" s="355"/>
      <c r="BE33" s="355"/>
      <c r="BF33" s="355"/>
      <c r="BG33" s="355"/>
      <c r="BH33" s="355"/>
      <c r="BI33" s="355"/>
      <c r="BJ33" s="355"/>
      <c r="BK33" s="355"/>
      <c r="BL33" s="355"/>
      <c r="BM33" s="355"/>
      <c r="BN33" s="355"/>
      <c r="BO33" s="355"/>
      <c r="BP33" s="355"/>
      <c r="BQ33" s="355"/>
    </row>
    <row r="34" hidden="1">
      <c r="E34" s="348">
        <v>-5.0</v>
      </c>
      <c r="F34" s="355"/>
      <c r="G34" s="355"/>
      <c r="H34" s="355"/>
      <c r="I34" s="355"/>
      <c r="J34" s="355"/>
      <c r="K34" s="355"/>
      <c r="L34" s="355"/>
      <c r="M34" s="355"/>
      <c r="N34" s="355"/>
      <c r="O34" s="355"/>
      <c r="P34" s="355"/>
      <c r="Q34" s="355"/>
      <c r="R34" s="355"/>
      <c r="S34" s="355"/>
      <c r="T34" s="355"/>
      <c r="U34" s="355"/>
      <c r="V34" s="355"/>
      <c r="W34" s="355"/>
      <c r="X34" s="355"/>
      <c r="Y34" s="355"/>
      <c r="Z34" s="355"/>
      <c r="AA34" s="355"/>
      <c r="AB34" s="355"/>
      <c r="AC34" s="355"/>
      <c r="AD34" s="355"/>
      <c r="AE34" s="355"/>
      <c r="AF34" s="355"/>
      <c r="AG34" s="355"/>
      <c r="AH34" s="355"/>
      <c r="AI34" s="355"/>
      <c r="AJ34" s="355"/>
      <c r="AK34" s="355"/>
      <c r="AL34" s="355"/>
      <c r="AM34" s="355"/>
      <c r="AN34" s="355"/>
      <c r="AO34" s="355"/>
      <c r="AP34" s="355"/>
      <c r="AQ34" s="355"/>
      <c r="AR34" s="355"/>
      <c r="AS34" s="355"/>
      <c r="AT34" s="355"/>
      <c r="AU34" s="355"/>
      <c r="AV34" s="355"/>
      <c r="AW34" s="355"/>
      <c r="AX34" s="355"/>
      <c r="AY34" s="355"/>
      <c r="AZ34" s="355"/>
      <c r="BA34" s="355"/>
      <c r="BB34" s="355"/>
      <c r="BC34" s="355"/>
      <c r="BD34" s="355"/>
      <c r="BE34" s="355"/>
      <c r="BF34" s="355"/>
      <c r="BG34" s="355"/>
      <c r="BH34" s="355"/>
      <c r="BI34" s="355"/>
      <c r="BJ34" s="355"/>
      <c r="BK34" s="355"/>
      <c r="BL34" s="355"/>
      <c r="BM34" s="355"/>
      <c r="BN34" s="355"/>
      <c r="BO34" s="355"/>
      <c r="BP34" s="355"/>
      <c r="BQ34" s="355"/>
    </row>
    <row r="35">
      <c r="E35" s="354"/>
      <c r="F35" s="355"/>
      <c r="G35" s="355"/>
      <c r="H35" s="355"/>
      <c r="I35" s="355"/>
      <c r="J35" s="355"/>
      <c r="K35" s="355"/>
      <c r="L35" s="355"/>
      <c r="M35" s="355"/>
      <c r="N35" s="355"/>
      <c r="O35" s="355"/>
      <c r="P35" s="355"/>
      <c r="Q35" s="355"/>
      <c r="R35" s="355"/>
      <c r="S35" s="355"/>
      <c r="T35" s="355"/>
      <c r="U35" s="355"/>
      <c r="V35" s="355"/>
      <c r="W35" s="355"/>
      <c r="X35" s="355"/>
      <c r="Y35" s="355"/>
      <c r="Z35" s="355"/>
      <c r="AA35" s="355"/>
      <c r="AB35" s="355"/>
      <c r="AC35" s="355"/>
      <c r="AD35" s="355"/>
      <c r="AE35" s="355"/>
      <c r="AF35" s="355"/>
      <c r="AG35" s="355"/>
      <c r="AH35" s="355"/>
      <c r="AI35" s="355"/>
      <c r="AJ35" s="355"/>
      <c r="AK35" s="355"/>
      <c r="AL35" s="355"/>
      <c r="AM35" s="355"/>
      <c r="AN35" s="355"/>
      <c r="AO35" s="355"/>
      <c r="AP35" s="355"/>
      <c r="AQ35" s="355"/>
      <c r="AR35" s="355"/>
      <c r="AS35" s="355"/>
      <c r="AT35" s="355"/>
      <c r="AU35" s="355"/>
      <c r="AV35" s="355"/>
      <c r="AW35" s="355"/>
      <c r="AX35" s="355"/>
      <c r="AY35" s="355"/>
      <c r="AZ35" s="355"/>
      <c r="BA35" s="355"/>
      <c r="BB35" s="355"/>
      <c r="BC35" s="355"/>
      <c r="BD35" s="355"/>
      <c r="BE35" s="355"/>
      <c r="BF35" s="355"/>
      <c r="BG35" s="355"/>
      <c r="BH35" s="355"/>
      <c r="BI35" s="355"/>
      <c r="BJ35" s="355"/>
      <c r="BK35" s="355"/>
      <c r="BL35" s="355"/>
      <c r="BM35" s="355"/>
      <c r="BN35" s="355"/>
      <c r="BO35" s="355"/>
      <c r="BP35" s="355"/>
      <c r="BQ35" s="355"/>
    </row>
    <row r="36">
      <c r="E36" s="354"/>
      <c r="F36" s="355"/>
      <c r="G36" s="355"/>
      <c r="H36" s="355"/>
      <c r="I36" s="355"/>
      <c r="J36" s="355"/>
      <c r="K36" s="355"/>
      <c r="L36" s="355"/>
      <c r="M36" s="355"/>
      <c r="N36" s="355"/>
      <c r="O36" s="355"/>
      <c r="P36" s="355"/>
      <c r="Q36" s="355"/>
      <c r="R36" s="355"/>
      <c r="S36" s="355"/>
      <c r="T36" s="355"/>
      <c r="U36" s="355"/>
      <c r="V36" s="355"/>
      <c r="W36" s="355"/>
      <c r="X36" s="355"/>
      <c r="Y36" s="355"/>
      <c r="Z36" s="355"/>
      <c r="AA36" s="355"/>
      <c r="AB36" s="355"/>
      <c r="AC36" s="355"/>
      <c r="AD36" s="355"/>
      <c r="AE36" s="355"/>
      <c r="AF36" s="355"/>
      <c r="AG36" s="355"/>
      <c r="AH36" s="355"/>
      <c r="AI36" s="355"/>
      <c r="AJ36" s="355"/>
      <c r="AK36" s="355"/>
      <c r="AL36" s="355"/>
      <c r="AM36" s="355"/>
      <c r="AN36" s="355"/>
      <c r="AO36" s="355"/>
      <c r="AP36" s="355"/>
      <c r="AQ36" s="355"/>
      <c r="AR36" s="355"/>
      <c r="AS36" s="355"/>
      <c r="AT36" s="355"/>
      <c r="AU36" s="355"/>
      <c r="AV36" s="355"/>
      <c r="AW36" s="355"/>
      <c r="AX36" s="355"/>
      <c r="AY36" s="355"/>
      <c r="AZ36" s="355"/>
      <c r="BA36" s="355"/>
      <c r="BB36" s="355"/>
      <c r="BC36" s="355"/>
      <c r="BD36" s="355"/>
      <c r="BE36" s="355"/>
      <c r="BF36" s="355"/>
      <c r="BG36" s="355"/>
      <c r="BH36" s="355"/>
      <c r="BI36" s="355"/>
      <c r="BJ36" s="355"/>
      <c r="BK36" s="355"/>
      <c r="BL36" s="355"/>
      <c r="BM36" s="355"/>
      <c r="BN36" s="355"/>
      <c r="BO36" s="355"/>
      <c r="BP36" s="355"/>
      <c r="BQ36" s="355"/>
    </row>
    <row r="37">
      <c r="E37" s="354"/>
      <c r="F37" s="355"/>
      <c r="G37" s="355"/>
      <c r="H37" s="355"/>
      <c r="I37" s="355"/>
      <c r="J37" s="355"/>
      <c r="K37" s="355"/>
      <c r="L37" s="355"/>
      <c r="M37" s="355"/>
      <c r="N37" s="355"/>
      <c r="O37" s="355"/>
      <c r="P37" s="355"/>
      <c r="Q37" s="355"/>
      <c r="R37" s="355"/>
      <c r="S37" s="355"/>
      <c r="T37" s="355"/>
      <c r="U37" s="355"/>
      <c r="V37" s="355"/>
      <c r="W37" s="355"/>
      <c r="X37" s="355"/>
      <c r="Y37" s="355"/>
      <c r="Z37" s="355"/>
      <c r="AA37" s="355"/>
      <c r="AB37" s="355"/>
      <c r="AC37" s="355"/>
      <c r="AD37" s="355"/>
      <c r="AE37" s="355"/>
      <c r="AF37" s="355"/>
      <c r="AG37" s="355"/>
      <c r="AH37" s="355"/>
      <c r="AI37" s="355"/>
      <c r="AJ37" s="355"/>
      <c r="AK37" s="355"/>
      <c r="AL37" s="355"/>
      <c r="AM37" s="355"/>
      <c r="AN37" s="355"/>
      <c r="AO37" s="355"/>
      <c r="AP37" s="355"/>
      <c r="AQ37" s="355"/>
      <c r="AR37" s="355"/>
      <c r="AS37" s="355"/>
      <c r="AT37" s="355"/>
      <c r="AU37" s="355"/>
      <c r="AV37" s="355"/>
      <c r="AW37" s="355"/>
      <c r="AX37" s="355"/>
      <c r="AY37" s="355"/>
      <c r="AZ37" s="355"/>
      <c r="BA37" s="355"/>
      <c r="BB37" s="355"/>
      <c r="BC37" s="355"/>
      <c r="BD37" s="355"/>
      <c r="BE37" s="355"/>
      <c r="BF37" s="355"/>
      <c r="BG37" s="355"/>
      <c r="BH37" s="355"/>
      <c r="BI37" s="355"/>
      <c r="BJ37" s="355"/>
      <c r="BK37" s="355"/>
      <c r="BL37" s="355"/>
      <c r="BM37" s="355"/>
      <c r="BN37" s="355"/>
      <c r="BO37" s="355"/>
      <c r="BP37" s="355"/>
      <c r="BQ37" s="355"/>
    </row>
    <row r="38">
      <c r="E38" s="354"/>
      <c r="F38" s="355"/>
      <c r="G38" s="355"/>
      <c r="H38" s="355"/>
      <c r="I38" s="355"/>
      <c r="J38" s="355"/>
      <c r="K38" s="355"/>
      <c r="L38" s="355"/>
      <c r="M38" s="355"/>
      <c r="N38" s="355"/>
      <c r="O38" s="355"/>
      <c r="P38" s="355"/>
      <c r="Q38" s="355"/>
      <c r="R38" s="355"/>
      <c r="S38" s="355"/>
      <c r="T38" s="355"/>
      <c r="U38" s="355"/>
      <c r="V38" s="355"/>
      <c r="W38" s="355"/>
      <c r="X38" s="355"/>
      <c r="Y38" s="355"/>
      <c r="Z38" s="355"/>
      <c r="AA38" s="355"/>
      <c r="AB38" s="355"/>
      <c r="AC38" s="355"/>
      <c r="AD38" s="355"/>
      <c r="AE38" s="355"/>
      <c r="AF38" s="355"/>
      <c r="AG38" s="355"/>
      <c r="AH38" s="355"/>
      <c r="AI38" s="355"/>
      <c r="AJ38" s="355"/>
      <c r="AK38" s="355"/>
      <c r="AL38" s="355"/>
      <c r="AM38" s="355"/>
      <c r="AN38" s="355"/>
      <c r="AO38" s="355"/>
      <c r="AP38" s="355"/>
      <c r="AQ38" s="355"/>
      <c r="AR38" s="355"/>
      <c r="AS38" s="355"/>
      <c r="AT38" s="355"/>
      <c r="AU38" s="355"/>
      <c r="AV38" s="355"/>
      <c r="AW38" s="355"/>
      <c r="AX38" s="355"/>
      <c r="AY38" s="355"/>
      <c r="AZ38" s="355"/>
      <c r="BA38" s="355"/>
      <c r="BB38" s="355"/>
      <c r="BC38" s="355"/>
      <c r="BD38" s="355"/>
      <c r="BE38" s="355"/>
      <c r="BF38" s="355"/>
      <c r="BG38" s="355"/>
      <c r="BH38" s="355"/>
      <c r="BI38" s="355"/>
      <c r="BJ38" s="355"/>
      <c r="BK38" s="355"/>
      <c r="BL38" s="355"/>
      <c r="BM38" s="355"/>
      <c r="BN38" s="355"/>
      <c r="BO38" s="355"/>
      <c r="BP38" s="355"/>
      <c r="BQ38" s="355"/>
    </row>
    <row r="39">
      <c r="E39" s="354"/>
      <c r="F39" s="355"/>
      <c r="G39" s="355"/>
      <c r="H39" s="355"/>
      <c r="I39" s="355"/>
      <c r="J39" s="355"/>
      <c r="K39" s="355"/>
      <c r="L39" s="355"/>
      <c r="M39" s="355"/>
      <c r="N39" s="355"/>
      <c r="O39" s="355"/>
      <c r="P39" s="355"/>
      <c r="Q39" s="355"/>
      <c r="R39" s="355"/>
      <c r="S39" s="355"/>
      <c r="T39" s="355"/>
      <c r="U39" s="355"/>
      <c r="V39" s="355"/>
      <c r="W39" s="355"/>
      <c r="X39" s="355"/>
      <c r="Y39" s="355"/>
      <c r="Z39" s="355"/>
      <c r="AA39" s="355"/>
      <c r="AB39" s="355"/>
      <c r="AC39" s="355"/>
      <c r="AD39" s="355"/>
      <c r="AE39" s="355"/>
      <c r="AF39" s="355"/>
      <c r="AG39" s="355"/>
      <c r="AH39" s="355"/>
      <c r="AI39" s="355"/>
      <c r="AJ39" s="355"/>
      <c r="AK39" s="355"/>
      <c r="AL39" s="355"/>
      <c r="AM39" s="355"/>
      <c r="AN39" s="355"/>
      <c r="AO39" s="355"/>
      <c r="AP39" s="355"/>
      <c r="AQ39" s="355"/>
      <c r="AR39" s="355"/>
      <c r="AS39" s="355"/>
      <c r="AT39" s="355"/>
      <c r="AU39" s="355"/>
      <c r="AV39" s="355"/>
      <c r="AW39" s="355"/>
      <c r="AX39" s="355"/>
      <c r="AY39" s="355"/>
      <c r="AZ39" s="355"/>
      <c r="BA39" s="355"/>
      <c r="BB39" s="355"/>
      <c r="BC39" s="355"/>
      <c r="BD39" s="355"/>
      <c r="BE39" s="355"/>
      <c r="BF39" s="355"/>
      <c r="BG39" s="355"/>
      <c r="BH39" s="355"/>
      <c r="BI39" s="355"/>
      <c r="BJ39" s="355"/>
      <c r="BK39" s="355"/>
      <c r="BL39" s="355"/>
      <c r="BM39" s="355"/>
      <c r="BN39" s="355"/>
      <c r="BO39" s="355"/>
      <c r="BP39" s="355"/>
      <c r="BQ39" s="355"/>
    </row>
    <row r="40">
      <c r="E40" s="354"/>
      <c r="F40" s="355"/>
      <c r="G40" s="355"/>
      <c r="H40" s="355"/>
      <c r="I40" s="355"/>
      <c r="J40" s="355"/>
      <c r="K40" s="355"/>
      <c r="L40" s="355"/>
      <c r="M40" s="355"/>
      <c r="N40" s="355"/>
      <c r="O40" s="355"/>
      <c r="P40" s="355"/>
      <c r="Q40" s="355"/>
      <c r="R40" s="355"/>
      <c r="S40" s="355"/>
      <c r="T40" s="355"/>
      <c r="U40" s="355"/>
      <c r="V40" s="355"/>
      <c r="W40" s="355"/>
      <c r="X40" s="355"/>
      <c r="Y40" s="355"/>
      <c r="Z40" s="355"/>
      <c r="AA40" s="355"/>
      <c r="AB40" s="355"/>
      <c r="AC40" s="355"/>
      <c r="AD40" s="355"/>
      <c r="AE40" s="355"/>
      <c r="AF40" s="355"/>
      <c r="AG40" s="355"/>
      <c r="AH40" s="355"/>
      <c r="AI40" s="355"/>
      <c r="AJ40" s="355"/>
      <c r="AK40" s="355"/>
      <c r="AL40" s="355"/>
      <c r="AM40" s="355"/>
      <c r="AN40" s="355"/>
      <c r="AO40" s="355"/>
      <c r="AP40" s="355"/>
      <c r="AQ40" s="355"/>
      <c r="AR40" s="355"/>
      <c r="AS40" s="355"/>
      <c r="AT40" s="355"/>
      <c r="AU40" s="355"/>
      <c r="AV40" s="355"/>
      <c r="AW40" s="355"/>
      <c r="AX40" s="355"/>
      <c r="AY40" s="355"/>
      <c r="AZ40" s="355"/>
      <c r="BA40" s="355"/>
      <c r="BB40" s="355"/>
      <c r="BC40" s="355"/>
      <c r="BD40" s="355"/>
      <c r="BE40" s="355"/>
      <c r="BF40" s="355"/>
      <c r="BG40" s="355"/>
      <c r="BH40" s="355"/>
      <c r="BI40" s="355"/>
      <c r="BJ40" s="355"/>
      <c r="BK40" s="355"/>
      <c r="BL40" s="355"/>
      <c r="BM40" s="355"/>
      <c r="BN40" s="355"/>
      <c r="BO40" s="355"/>
      <c r="BP40" s="355"/>
      <c r="BQ40" s="355"/>
    </row>
    <row r="41">
      <c r="E41" s="354"/>
      <c r="F41" s="355"/>
      <c r="G41" s="355"/>
      <c r="H41" s="355"/>
      <c r="I41" s="355"/>
      <c r="J41" s="355"/>
      <c r="K41" s="355"/>
      <c r="L41" s="355"/>
      <c r="M41" s="355"/>
      <c r="N41" s="355"/>
      <c r="O41" s="355"/>
      <c r="P41" s="355"/>
      <c r="Q41" s="355"/>
      <c r="R41" s="355"/>
      <c r="S41" s="355"/>
      <c r="T41" s="355"/>
      <c r="U41" s="355"/>
      <c r="V41" s="355"/>
      <c r="W41" s="355"/>
      <c r="X41" s="355"/>
      <c r="Y41" s="355"/>
      <c r="Z41" s="355"/>
      <c r="AA41" s="355"/>
      <c r="AB41" s="355"/>
      <c r="AC41" s="355"/>
      <c r="AD41" s="355"/>
      <c r="AE41" s="355"/>
      <c r="AF41" s="355"/>
      <c r="AG41" s="355"/>
      <c r="AH41" s="355"/>
      <c r="AI41" s="355"/>
      <c r="AJ41" s="355"/>
      <c r="AK41" s="355"/>
      <c r="AL41" s="355"/>
      <c r="AM41" s="355"/>
      <c r="AN41" s="355"/>
      <c r="AO41" s="355"/>
      <c r="AP41" s="355"/>
      <c r="AQ41" s="355"/>
      <c r="AR41" s="355"/>
      <c r="AS41" s="355"/>
      <c r="AT41" s="355"/>
      <c r="AU41" s="355"/>
      <c r="AV41" s="355"/>
      <c r="AW41" s="355"/>
      <c r="AX41" s="355"/>
      <c r="AY41" s="355"/>
      <c r="AZ41" s="355"/>
      <c r="BA41" s="355"/>
      <c r="BB41" s="355"/>
      <c r="BC41" s="355"/>
      <c r="BD41" s="355"/>
      <c r="BE41" s="355"/>
      <c r="BF41" s="355"/>
      <c r="BG41" s="355"/>
      <c r="BH41" s="355"/>
      <c r="BI41" s="355"/>
      <c r="BJ41" s="355"/>
      <c r="BK41" s="355"/>
      <c r="BL41" s="355"/>
      <c r="BM41" s="355"/>
      <c r="BN41" s="355"/>
      <c r="BO41" s="355"/>
      <c r="BP41" s="355"/>
      <c r="BQ41" s="355"/>
    </row>
    <row r="42">
      <c r="E42" s="354"/>
      <c r="F42" s="355"/>
      <c r="G42" s="355"/>
      <c r="H42" s="355"/>
      <c r="I42" s="355"/>
      <c r="J42" s="355"/>
      <c r="K42" s="355"/>
      <c r="L42" s="355"/>
      <c r="M42" s="355"/>
      <c r="N42" s="355"/>
      <c r="O42" s="355"/>
      <c r="P42" s="355"/>
      <c r="Q42" s="355"/>
      <c r="R42" s="355"/>
      <c r="S42" s="355"/>
      <c r="T42" s="355"/>
      <c r="U42" s="355"/>
      <c r="V42" s="355"/>
      <c r="W42" s="355"/>
      <c r="X42" s="355"/>
      <c r="Y42" s="355"/>
      <c r="Z42" s="355"/>
      <c r="AA42" s="355"/>
      <c r="AB42" s="355"/>
      <c r="AC42" s="355"/>
      <c r="AD42" s="355"/>
      <c r="AE42" s="355"/>
      <c r="AF42" s="355"/>
      <c r="AG42" s="355"/>
      <c r="AH42" s="355"/>
      <c r="AI42" s="355"/>
      <c r="AJ42" s="355"/>
      <c r="AK42" s="355"/>
      <c r="AL42" s="355"/>
      <c r="AM42" s="355"/>
      <c r="AN42" s="355"/>
      <c r="AO42" s="355"/>
      <c r="AP42" s="355"/>
      <c r="AQ42" s="355"/>
      <c r="AR42" s="355"/>
      <c r="AS42" s="355"/>
      <c r="AT42" s="355"/>
      <c r="AU42" s="355"/>
      <c r="AV42" s="355"/>
      <c r="AW42" s="355"/>
      <c r="AX42" s="355"/>
      <c r="AY42" s="355"/>
      <c r="AZ42" s="355"/>
      <c r="BA42" s="355"/>
      <c r="BB42" s="355"/>
      <c r="BC42" s="355"/>
      <c r="BD42" s="355"/>
      <c r="BE42" s="355"/>
      <c r="BF42" s="355"/>
      <c r="BG42" s="355"/>
      <c r="BH42" s="355"/>
      <c r="BI42" s="355"/>
      <c r="BJ42" s="355"/>
      <c r="BK42" s="355"/>
      <c r="BL42" s="355"/>
      <c r="BM42" s="355"/>
      <c r="BN42" s="355"/>
      <c r="BO42" s="355"/>
      <c r="BP42" s="355"/>
      <c r="BQ42" s="355"/>
    </row>
    <row r="43">
      <c r="E43" s="354"/>
      <c r="F43" s="355"/>
      <c r="G43" s="355"/>
      <c r="H43" s="355"/>
      <c r="I43" s="355"/>
      <c r="J43" s="355"/>
      <c r="K43" s="355"/>
      <c r="L43" s="355"/>
      <c r="M43" s="355"/>
      <c r="N43" s="355"/>
      <c r="O43" s="355"/>
      <c r="P43" s="355"/>
      <c r="Q43" s="355"/>
      <c r="R43" s="355"/>
      <c r="S43" s="355"/>
      <c r="T43" s="355"/>
      <c r="U43" s="355"/>
      <c r="V43" s="355"/>
      <c r="W43" s="355"/>
      <c r="X43" s="355"/>
      <c r="Y43" s="355"/>
      <c r="Z43" s="355"/>
      <c r="AA43" s="355"/>
      <c r="AB43" s="355"/>
      <c r="AC43" s="355"/>
      <c r="AD43" s="355"/>
      <c r="AE43" s="355"/>
      <c r="AF43" s="355"/>
      <c r="AG43" s="355"/>
      <c r="AH43" s="355"/>
      <c r="AI43" s="355"/>
      <c r="AJ43" s="355"/>
      <c r="AK43" s="355"/>
      <c r="AL43" s="355"/>
      <c r="AM43" s="355"/>
      <c r="AN43" s="355"/>
      <c r="AO43" s="355"/>
      <c r="AP43" s="355"/>
      <c r="AQ43" s="355"/>
      <c r="AR43" s="355"/>
      <c r="AS43" s="355"/>
      <c r="AT43" s="355"/>
      <c r="AU43" s="355"/>
      <c r="AV43" s="355"/>
      <c r="AW43" s="355"/>
      <c r="AX43" s="355"/>
      <c r="AY43" s="355"/>
      <c r="AZ43" s="355"/>
      <c r="BA43" s="355"/>
      <c r="BB43" s="355"/>
      <c r="BC43" s="355"/>
      <c r="BD43" s="355"/>
      <c r="BE43" s="355"/>
      <c r="BF43" s="355"/>
      <c r="BG43" s="355"/>
      <c r="BH43" s="355"/>
      <c r="BI43" s="355"/>
      <c r="BJ43" s="355"/>
      <c r="BK43" s="355"/>
      <c r="BL43" s="355"/>
      <c r="BM43" s="355"/>
      <c r="BN43" s="355"/>
      <c r="BO43" s="355"/>
      <c r="BP43" s="355"/>
      <c r="BQ43" s="355"/>
    </row>
    <row r="44">
      <c r="E44" s="354"/>
      <c r="F44" s="355"/>
      <c r="G44" s="355"/>
      <c r="H44" s="355"/>
      <c r="I44" s="355"/>
      <c r="J44" s="355"/>
      <c r="K44" s="355"/>
      <c r="L44" s="355"/>
      <c r="M44" s="355"/>
      <c r="N44" s="355"/>
      <c r="O44" s="355"/>
      <c r="P44" s="355"/>
      <c r="Q44" s="355"/>
      <c r="R44" s="355"/>
      <c r="S44" s="355"/>
      <c r="T44" s="355"/>
      <c r="U44" s="355"/>
      <c r="V44" s="355"/>
      <c r="W44" s="355"/>
      <c r="X44" s="355"/>
      <c r="Y44" s="355"/>
      <c r="Z44" s="355"/>
      <c r="AA44" s="355"/>
      <c r="AB44" s="355"/>
      <c r="AC44" s="355"/>
      <c r="AD44" s="355"/>
      <c r="AE44" s="355"/>
      <c r="AF44" s="355"/>
      <c r="AG44" s="355"/>
      <c r="AH44" s="355"/>
      <c r="AI44" s="355"/>
      <c r="AJ44" s="355"/>
      <c r="AK44" s="355"/>
      <c r="AL44" s="355"/>
      <c r="AM44" s="355"/>
      <c r="AN44" s="355"/>
      <c r="AO44" s="355"/>
      <c r="AP44" s="355"/>
      <c r="AQ44" s="355"/>
      <c r="AR44" s="355"/>
      <c r="AS44" s="355"/>
      <c r="AT44" s="355"/>
      <c r="AU44" s="355"/>
      <c r="AV44" s="355"/>
      <c r="AW44" s="355"/>
      <c r="AX44" s="355"/>
      <c r="AY44" s="355"/>
      <c r="AZ44" s="355"/>
      <c r="BA44" s="355"/>
      <c r="BB44" s="355"/>
      <c r="BC44" s="355"/>
      <c r="BD44" s="355"/>
      <c r="BE44" s="355"/>
      <c r="BF44" s="355"/>
      <c r="BG44" s="355"/>
      <c r="BH44" s="355"/>
      <c r="BI44" s="355"/>
      <c r="BJ44" s="355"/>
      <c r="BK44" s="355"/>
      <c r="BL44" s="355"/>
      <c r="BM44" s="355"/>
      <c r="BN44" s="355"/>
      <c r="BO44" s="355"/>
      <c r="BP44" s="355"/>
      <c r="BQ44" s="355"/>
    </row>
    <row r="45">
      <c r="E45" s="354"/>
      <c r="F45" s="355"/>
      <c r="G45" s="355"/>
      <c r="H45" s="355"/>
      <c r="I45" s="355"/>
      <c r="J45" s="355"/>
      <c r="K45" s="355"/>
      <c r="L45" s="355"/>
      <c r="M45" s="355"/>
      <c r="N45" s="355"/>
      <c r="O45" s="355"/>
      <c r="P45" s="355"/>
      <c r="Q45" s="355"/>
      <c r="R45" s="355"/>
      <c r="S45" s="355"/>
      <c r="T45" s="355"/>
      <c r="U45" s="355"/>
      <c r="V45" s="355"/>
      <c r="W45" s="355"/>
      <c r="X45" s="355"/>
      <c r="Y45" s="355"/>
      <c r="Z45" s="355"/>
      <c r="AA45" s="355"/>
      <c r="AB45" s="355"/>
      <c r="AC45" s="355"/>
      <c r="AD45" s="355"/>
      <c r="AE45" s="355"/>
      <c r="AF45" s="355"/>
      <c r="AG45" s="355"/>
      <c r="AH45" s="355"/>
      <c r="AI45" s="355"/>
      <c r="AJ45" s="355"/>
      <c r="AK45" s="355"/>
      <c r="AL45" s="355"/>
      <c r="AM45" s="355"/>
      <c r="AN45" s="355"/>
      <c r="AO45" s="355"/>
      <c r="AP45" s="355"/>
      <c r="AQ45" s="355"/>
      <c r="AR45" s="355"/>
      <c r="AS45" s="355"/>
      <c r="AT45" s="355"/>
      <c r="AU45" s="355"/>
      <c r="AV45" s="355"/>
      <c r="AW45" s="355"/>
      <c r="AX45" s="355"/>
      <c r="AY45" s="355"/>
      <c r="AZ45" s="355"/>
      <c r="BA45" s="355"/>
      <c r="BB45" s="355"/>
      <c r="BC45" s="355"/>
      <c r="BD45" s="355"/>
      <c r="BE45" s="355"/>
      <c r="BF45" s="355"/>
      <c r="BG45" s="355"/>
      <c r="BH45" s="355"/>
      <c r="BI45" s="355"/>
      <c r="BJ45" s="355"/>
      <c r="BK45" s="355"/>
      <c r="BL45" s="355"/>
      <c r="BM45" s="355"/>
      <c r="BN45" s="355"/>
      <c r="BO45" s="355"/>
      <c r="BP45" s="355"/>
      <c r="BQ45" s="355"/>
    </row>
    <row r="46">
      <c r="E46" s="354"/>
      <c r="F46" s="355"/>
      <c r="G46" s="355"/>
      <c r="H46" s="355"/>
      <c r="I46" s="355"/>
      <c r="J46" s="355"/>
      <c r="K46" s="355"/>
      <c r="L46" s="355"/>
      <c r="M46" s="355"/>
      <c r="N46" s="355"/>
      <c r="O46" s="355"/>
      <c r="P46" s="355"/>
      <c r="Q46" s="355"/>
      <c r="R46" s="355"/>
      <c r="S46" s="355"/>
      <c r="T46" s="355"/>
      <c r="U46" s="355"/>
      <c r="V46" s="355"/>
      <c r="W46" s="355"/>
      <c r="X46" s="355"/>
      <c r="Y46" s="355"/>
      <c r="Z46" s="355"/>
      <c r="AA46" s="355"/>
      <c r="AB46" s="355"/>
      <c r="AC46" s="355"/>
      <c r="AD46" s="355"/>
      <c r="AE46" s="355"/>
      <c r="AF46" s="355"/>
      <c r="AG46" s="355"/>
      <c r="AH46" s="355"/>
      <c r="AI46" s="355"/>
      <c r="AJ46" s="355"/>
      <c r="AK46" s="355"/>
      <c r="AL46" s="355"/>
      <c r="AM46" s="355"/>
      <c r="AN46" s="355"/>
      <c r="AO46" s="355"/>
      <c r="AP46" s="355"/>
      <c r="AQ46" s="355"/>
      <c r="AR46" s="355"/>
      <c r="AS46" s="355"/>
      <c r="AT46" s="355"/>
      <c r="AU46" s="355"/>
      <c r="AV46" s="355"/>
      <c r="AW46" s="355"/>
      <c r="AX46" s="355"/>
      <c r="AY46" s="355"/>
      <c r="AZ46" s="355"/>
      <c r="BA46" s="355"/>
      <c r="BB46" s="355"/>
      <c r="BC46" s="355"/>
      <c r="BD46" s="355"/>
      <c r="BE46" s="355"/>
      <c r="BF46" s="355"/>
      <c r="BG46" s="355"/>
      <c r="BH46" s="355"/>
      <c r="BI46" s="355"/>
      <c r="BJ46" s="355"/>
      <c r="BK46" s="355"/>
      <c r="BL46" s="355"/>
      <c r="BM46" s="355"/>
      <c r="BN46" s="355"/>
      <c r="BO46" s="355"/>
      <c r="BP46" s="355"/>
      <c r="BQ46" s="355"/>
    </row>
    <row r="47">
      <c r="E47" s="354"/>
      <c r="F47" s="355"/>
      <c r="G47" s="355"/>
      <c r="H47" s="355"/>
      <c r="I47" s="355"/>
      <c r="J47" s="355"/>
      <c r="K47" s="355"/>
      <c r="L47" s="355"/>
      <c r="M47" s="355"/>
      <c r="N47" s="355"/>
      <c r="O47" s="355"/>
      <c r="P47" s="355"/>
      <c r="Q47" s="355"/>
      <c r="R47" s="355"/>
      <c r="S47" s="355"/>
      <c r="T47" s="355"/>
      <c r="U47" s="355"/>
      <c r="V47" s="355"/>
      <c r="W47" s="355"/>
      <c r="X47" s="355"/>
      <c r="Y47" s="355"/>
      <c r="Z47" s="355"/>
      <c r="AA47" s="355"/>
      <c r="AB47" s="355"/>
      <c r="AC47" s="355"/>
      <c r="AD47" s="355"/>
      <c r="AE47" s="355"/>
      <c r="AF47" s="355"/>
      <c r="AG47" s="355"/>
      <c r="AH47" s="355"/>
      <c r="AI47" s="355"/>
      <c r="AJ47" s="355"/>
      <c r="AK47" s="355"/>
      <c r="AL47" s="355"/>
      <c r="AM47" s="355"/>
      <c r="AN47" s="355"/>
      <c r="AO47" s="355"/>
      <c r="AP47" s="355"/>
      <c r="AQ47" s="355"/>
      <c r="AR47" s="355"/>
      <c r="AS47" s="355"/>
      <c r="AT47" s="355"/>
      <c r="AU47" s="355"/>
      <c r="AV47" s="355"/>
      <c r="AW47" s="355"/>
      <c r="AX47" s="355"/>
      <c r="AY47" s="355"/>
      <c r="AZ47" s="355"/>
      <c r="BA47" s="355"/>
      <c r="BB47" s="355"/>
      <c r="BC47" s="355"/>
      <c r="BD47" s="355"/>
      <c r="BE47" s="355"/>
      <c r="BF47" s="355"/>
      <c r="BG47" s="355"/>
      <c r="BH47" s="355"/>
      <c r="BI47" s="355"/>
      <c r="BJ47" s="355"/>
      <c r="BK47" s="355"/>
      <c r="BL47" s="355"/>
      <c r="BM47" s="355"/>
      <c r="BN47" s="355"/>
      <c r="BO47" s="355"/>
      <c r="BP47" s="355"/>
      <c r="BQ47" s="355"/>
    </row>
    <row r="48">
      <c r="E48" s="354"/>
      <c r="F48" s="355"/>
      <c r="G48" s="355"/>
      <c r="H48" s="355"/>
      <c r="I48" s="355"/>
      <c r="J48" s="355"/>
      <c r="K48" s="355"/>
      <c r="L48" s="355"/>
      <c r="M48" s="355"/>
      <c r="N48" s="355"/>
      <c r="O48" s="355"/>
      <c r="P48" s="355"/>
      <c r="Q48" s="355"/>
      <c r="R48" s="355"/>
      <c r="S48" s="355"/>
      <c r="T48" s="355"/>
      <c r="U48" s="355"/>
      <c r="V48" s="355"/>
      <c r="W48" s="355"/>
      <c r="X48" s="355"/>
      <c r="Y48" s="355"/>
      <c r="Z48" s="355"/>
      <c r="AA48" s="355"/>
      <c r="AB48" s="355"/>
      <c r="AC48" s="355"/>
      <c r="AD48" s="355"/>
      <c r="AE48" s="355"/>
      <c r="AF48" s="355"/>
      <c r="AG48" s="355"/>
      <c r="AH48" s="355"/>
      <c r="AI48" s="355"/>
      <c r="AJ48" s="355"/>
      <c r="AK48" s="355"/>
      <c r="AL48" s="355"/>
      <c r="AM48" s="355"/>
      <c r="AN48" s="355"/>
      <c r="AO48" s="355"/>
      <c r="AP48" s="355"/>
      <c r="AQ48" s="355"/>
      <c r="AR48" s="355"/>
      <c r="AS48" s="355"/>
      <c r="AT48" s="355"/>
      <c r="AU48" s="355"/>
      <c r="AV48" s="355"/>
      <c r="AW48" s="355"/>
      <c r="AX48" s="355"/>
      <c r="AY48" s="355"/>
      <c r="AZ48" s="355"/>
      <c r="BA48" s="355"/>
      <c r="BB48" s="355"/>
      <c r="BC48" s="355"/>
      <c r="BD48" s="355"/>
      <c r="BE48" s="355"/>
      <c r="BF48" s="355"/>
      <c r="BG48" s="355"/>
      <c r="BH48" s="355"/>
      <c r="BI48" s="355"/>
      <c r="BJ48" s="355"/>
      <c r="BK48" s="355"/>
      <c r="BL48" s="355"/>
      <c r="BM48" s="355"/>
      <c r="BN48" s="355"/>
      <c r="BO48" s="355"/>
      <c r="BP48" s="355"/>
      <c r="BQ48" s="355"/>
    </row>
    <row r="49">
      <c r="E49" s="354"/>
      <c r="F49" s="355"/>
      <c r="G49" s="355"/>
      <c r="H49" s="355"/>
      <c r="I49" s="355"/>
      <c r="J49" s="355"/>
      <c r="K49" s="355"/>
      <c r="L49" s="355"/>
      <c r="M49" s="355"/>
      <c r="N49" s="355"/>
      <c r="O49" s="355"/>
      <c r="P49" s="355"/>
      <c r="Q49" s="355"/>
      <c r="R49" s="355"/>
      <c r="S49" s="355"/>
      <c r="T49" s="355"/>
      <c r="U49" s="355"/>
      <c r="V49" s="355"/>
      <c r="W49" s="355"/>
      <c r="X49" s="355"/>
      <c r="Y49" s="355"/>
      <c r="Z49" s="355"/>
      <c r="AA49" s="355"/>
      <c r="AB49" s="355"/>
      <c r="AC49" s="355"/>
      <c r="AD49" s="355"/>
      <c r="AE49" s="355"/>
      <c r="AF49" s="355"/>
      <c r="AG49" s="355"/>
      <c r="AH49" s="355"/>
      <c r="AI49" s="355"/>
      <c r="AJ49" s="355"/>
      <c r="AK49" s="355"/>
      <c r="AL49" s="355"/>
      <c r="AM49" s="355"/>
      <c r="AN49" s="355"/>
      <c r="AO49" s="355"/>
      <c r="AP49" s="355"/>
      <c r="AQ49" s="355"/>
      <c r="AR49" s="355"/>
      <c r="AS49" s="355"/>
      <c r="AT49" s="355"/>
      <c r="AU49" s="355"/>
      <c r="AV49" s="355"/>
      <c r="AW49" s="355"/>
      <c r="AX49" s="355"/>
      <c r="AY49" s="355"/>
      <c r="AZ49" s="355"/>
      <c r="BA49" s="355"/>
      <c r="BB49" s="355"/>
      <c r="BC49" s="355"/>
      <c r="BD49" s="355"/>
      <c r="BE49" s="355"/>
      <c r="BF49" s="355"/>
      <c r="BG49" s="355"/>
      <c r="BH49" s="355"/>
      <c r="BI49" s="355"/>
      <c r="BJ49" s="355"/>
      <c r="BK49" s="355"/>
      <c r="BL49" s="355"/>
      <c r="BM49" s="355"/>
      <c r="BN49" s="355"/>
      <c r="BO49" s="355"/>
      <c r="BP49" s="355"/>
      <c r="BQ49" s="355"/>
    </row>
    <row r="50">
      <c r="E50" s="354"/>
      <c r="F50" s="355"/>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c r="AK50" s="355"/>
      <c r="AL50" s="355"/>
      <c r="AM50" s="355"/>
      <c r="AN50" s="355"/>
      <c r="AO50" s="355"/>
      <c r="AP50" s="355"/>
      <c r="AQ50" s="355"/>
      <c r="AR50" s="355"/>
      <c r="AS50" s="355"/>
      <c r="AT50" s="355"/>
      <c r="AU50" s="355"/>
      <c r="AV50" s="355"/>
      <c r="AW50" s="355"/>
      <c r="AX50" s="355"/>
      <c r="AY50" s="355"/>
      <c r="AZ50" s="355"/>
      <c r="BA50" s="355"/>
      <c r="BB50" s="355"/>
      <c r="BC50" s="355"/>
      <c r="BD50" s="355"/>
      <c r="BE50" s="355"/>
      <c r="BF50" s="355"/>
      <c r="BG50" s="355"/>
      <c r="BH50" s="355"/>
      <c r="BI50" s="355"/>
      <c r="BJ50" s="355"/>
      <c r="BK50" s="355"/>
      <c r="BL50" s="355"/>
      <c r="BM50" s="355"/>
      <c r="BN50" s="355"/>
      <c r="BO50" s="355"/>
      <c r="BP50" s="355"/>
      <c r="BQ50" s="355"/>
    </row>
    <row r="51">
      <c r="E51" s="354"/>
      <c r="F51" s="355"/>
      <c r="G51" s="355"/>
      <c r="H51" s="355"/>
      <c r="I51" s="355"/>
      <c r="J51" s="355"/>
      <c r="K51" s="355"/>
      <c r="L51" s="355"/>
      <c r="M51" s="355"/>
      <c r="N51" s="355"/>
      <c r="O51" s="355"/>
      <c r="P51" s="355"/>
      <c r="Q51" s="355"/>
      <c r="R51" s="355"/>
      <c r="S51" s="355"/>
      <c r="T51" s="355"/>
      <c r="U51" s="355"/>
      <c r="V51" s="355"/>
      <c r="W51" s="355"/>
      <c r="X51" s="355"/>
      <c r="Y51" s="355"/>
      <c r="Z51" s="355"/>
      <c r="AA51" s="355"/>
      <c r="AB51" s="355"/>
      <c r="AC51" s="355"/>
      <c r="AD51" s="355"/>
      <c r="AE51" s="355"/>
      <c r="AF51" s="355"/>
      <c r="AG51" s="355"/>
      <c r="AH51" s="355"/>
      <c r="AI51" s="355"/>
      <c r="AJ51" s="355"/>
      <c r="AK51" s="355"/>
      <c r="AL51" s="355"/>
      <c r="AM51" s="355"/>
      <c r="AN51" s="355"/>
      <c r="AO51" s="355"/>
      <c r="AP51" s="355"/>
      <c r="AQ51" s="355"/>
      <c r="AR51" s="355"/>
      <c r="AS51" s="355"/>
      <c r="AT51" s="355"/>
      <c r="AU51" s="355"/>
      <c r="AV51" s="355"/>
      <c r="AW51" s="355"/>
      <c r="AX51" s="355"/>
      <c r="AY51" s="355"/>
      <c r="AZ51" s="355"/>
      <c r="BA51" s="355"/>
      <c r="BB51" s="355"/>
      <c r="BC51" s="355"/>
      <c r="BD51" s="355"/>
      <c r="BE51" s="355"/>
      <c r="BF51" s="355"/>
      <c r="BG51" s="355"/>
      <c r="BH51" s="355"/>
      <c r="BI51" s="355"/>
      <c r="BJ51" s="355"/>
      <c r="BK51" s="355"/>
      <c r="BL51" s="355"/>
      <c r="BM51" s="355"/>
      <c r="BN51" s="355"/>
      <c r="BO51" s="355"/>
      <c r="BP51" s="355"/>
      <c r="BQ51" s="355"/>
    </row>
    <row r="52">
      <c r="E52" s="354"/>
      <c r="F52" s="355"/>
      <c r="G52" s="355"/>
      <c r="H52" s="355"/>
      <c r="I52" s="355"/>
      <c r="J52" s="355"/>
      <c r="K52" s="355"/>
      <c r="L52" s="355"/>
      <c r="M52" s="355"/>
      <c r="N52" s="355"/>
      <c r="O52" s="355"/>
      <c r="P52" s="355"/>
      <c r="Q52" s="355"/>
      <c r="R52" s="355"/>
      <c r="S52" s="355"/>
      <c r="T52" s="355"/>
      <c r="U52" s="355"/>
      <c r="V52" s="355"/>
      <c r="W52" s="355"/>
      <c r="X52" s="355"/>
      <c r="Y52" s="355"/>
      <c r="Z52" s="355"/>
      <c r="AA52" s="355"/>
      <c r="AB52" s="355"/>
      <c r="AC52" s="355"/>
      <c r="AD52" s="355"/>
      <c r="AE52" s="355"/>
      <c r="AF52" s="355"/>
      <c r="AG52" s="355"/>
      <c r="AH52" s="355"/>
      <c r="AI52" s="355"/>
      <c r="AJ52" s="355"/>
      <c r="AK52" s="355"/>
      <c r="AL52" s="355"/>
      <c r="AM52" s="355"/>
      <c r="AN52" s="355"/>
      <c r="AO52" s="355"/>
      <c r="AP52" s="355"/>
      <c r="AQ52" s="355"/>
      <c r="AR52" s="355"/>
      <c r="AS52" s="355"/>
      <c r="AT52" s="355"/>
      <c r="AU52" s="355"/>
      <c r="AV52" s="355"/>
      <c r="AW52" s="355"/>
      <c r="AX52" s="355"/>
      <c r="AY52" s="355"/>
      <c r="AZ52" s="355"/>
      <c r="BA52" s="355"/>
      <c r="BB52" s="355"/>
      <c r="BC52" s="355"/>
      <c r="BD52" s="355"/>
      <c r="BE52" s="355"/>
      <c r="BF52" s="355"/>
      <c r="BG52" s="355"/>
      <c r="BH52" s="355"/>
      <c r="BI52" s="355"/>
      <c r="BJ52" s="355"/>
      <c r="BK52" s="355"/>
      <c r="BL52" s="355"/>
      <c r="BM52" s="355"/>
      <c r="BN52" s="355"/>
      <c r="BO52" s="355"/>
      <c r="BP52" s="355"/>
      <c r="BQ52" s="355"/>
    </row>
    <row r="53">
      <c r="E53" s="354"/>
      <c r="F53" s="355"/>
      <c r="G53" s="355"/>
      <c r="H53" s="355"/>
      <c r="I53" s="355"/>
      <c r="J53" s="355"/>
      <c r="K53" s="355"/>
      <c r="L53" s="355"/>
      <c r="M53" s="355"/>
      <c r="N53" s="355"/>
      <c r="O53" s="355"/>
      <c r="P53" s="355"/>
      <c r="Q53" s="355"/>
      <c r="R53" s="355"/>
      <c r="S53" s="355"/>
      <c r="T53" s="355"/>
      <c r="U53" s="355"/>
      <c r="V53" s="355"/>
      <c r="W53" s="355"/>
      <c r="X53" s="355"/>
      <c r="Y53" s="355"/>
      <c r="Z53" s="355"/>
      <c r="AA53" s="355"/>
      <c r="AB53" s="355"/>
      <c r="AC53" s="355"/>
      <c r="AD53" s="355"/>
      <c r="AE53" s="355"/>
      <c r="AF53" s="355"/>
      <c r="AG53" s="355"/>
      <c r="AH53" s="355"/>
      <c r="AI53" s="355"/>
      <c r="AJ53" s="355"/>
      <c r="AK53" s="355"/>
      <c r="AL53" s="355"/>
      <c r="AM53" s="355"/>
      <c r="AN53" s="355"/>
      <c r="AO53" s="355"/>
      <c r="AP53" s="355"/>
      <c r="AQ53" s="355"/>
      <c r="AR53" s="355"/>
      <c r="AS53" s="355"/>
      <c r="AT53" s="355"/>
      <c r="AU53" s="355"/>
      <c r="AV53" s="355"/>
      <c r="AW53" s="355"/>
      <c r="AX53" s="355"/>
      <c r="AY53" s="355"/>
      <c r="AZ53" s="355"/>
      <c r="BA53" s="355"/>
      <c r="BB53" s="355"/>
      <c r="BC53" s="355"/>
      <c r="BD53" s="355"/>
      <c r="BE53" s="355"/>
      <c r="BF53" s="355"/>
      <c r="BG53" s="355"/>
      <c r="BH53" s="355"/>
      <c r="BI53" s="355"/>
      <c r="BJ53" s="355"/>
      <c r="BK53" s="355"/>
      <c r="BL53" s="355"/>
      <c r="BM53" s="355"/>
      <c r="BN53" s="355"/>
      <c r="BO53" s="355"/>
      <c r="BP53" s="355"/>
      <c r="BQ53" s="355"/>
    </row>
    <row r="54">
      <c r="E54" s="354"/>
      <c r="F54" s="355"/>
      <c r="G54" s="355"/>
      <c r="H54" s="355"/>
      <c r="I54" s="355"/>
      <c r="J54" s="355"/>
      <c r="K54" s="355"/>
      <c r="L54" s="355"/>
      <c r="M54" s="355"/>
      <c r="N54" s="355"/>
      <c r="O54" s="355"/>
      <c r="P54" s="355"/>
      <c r="Q54" s="355"/>
      <c r="R54" s="355"/>
      <c r="S54" s="355"/>
      <c r="T54" s="355"/>
      <c r="U54" s="355"/>
      <c r="V54" s="355"/>
      <c r="W54" s="355"/>
      <c r="X54" s="355"/>
      <c r="Y54" s="355"/>
      <c r="Z54" s="355"/>
      <c r="AA54" s="355"/>
      <c r="AB54" s="355"/>
      <c r="AC54" s="355"/>
      <c r="AD54" s="355"/>
      <c r="AE54" s="355"/>
      <c r="AF54" s="355"/>
      <c r="AG54" s="355"/>
      <c r="AH54" s="355"/>
      <c r="AI54" s="355"/>
      <c r="AJ54" s="355"/>
      <c r="AK54" s="355"/>
      <c r="AL54" s="355"/>
      <c r="AM54" s="355"/>
      <c r="AN54" s="355"/>
      <c r="AO54" s="355"/>
      <c r="AP54" s="355"/>
      <c r="AQ54" s="355"/>
      <c r="AR54" s="355"/>
      <c r="AS54" s="355"/>
      <c r="AT54" s="355"/>
      <c r="AU54" s="355"/>
      <c r="AV54" s="355"/>
      <c r="AW54" s="355"/>
      <c r="AX54" s="355"/>
      <c r="AY54" s="355"/>
      <c r="AZ54" s="355"/>
      <c r="BA54" s="355"/>
      <c r="BB54" s="355"/>
      <c r="BC54" s="355"/>
      <c r="BD54" s="355"/>
      <c r="BE54" s="355"/>
      <c r="BF54" s="355"/>
      <c r="BG54" s="355"/>
      <c r="BH54" s="355"/>
      <c r="BI54" s="355"/>
      <c r="BJ54" s="355"/>
      <c r="BK54" s="355"/>
      <c r="BL54" s="355"/>
      <c r="BM54" s="355"/>
      <c r="BN54" s="355"/>
      <c r="BO54" s="355"/>
      <c r="BP54" s="355"/>
      <c r="BQ54" s="355"/>
    </row>
    <row r="55">
      <c r="E55" s="354"/>
      <c r="F55" s="355"/>
      <c r="G55" s="355"/>
      <c r="H55" s="355"/>
      <c r="I55" s="355"/>
      <c r="J55" s="355"/>
      <c r="K55" s="355"/>
      <c r="L55" s="355"/>
      <c r="M55" s="355"/>
      <c r="N55" s="355"/>
      <c r="O55" s="355"/>
      <c r="P55" s="355"/>
      <c r="Q55" s="355"/>
      <c r="R55" s="355"/>
      <c r="S55" s="355"/>
      <c r="T55" s="355"/>
      <c r="U55" s="355"/>
      <c r="V55" s="355"/>
      <c r="W55" s="355"/>
      <c r="X55" s="355"/>
      <c r="Y55" s="355"/>
      <c r="Z55" s="355"/>
      <c r="AA55" s="355"/>
      <c r="AB55" s="355"/>
      <c r="AC55" s="355"/>
      <c r="AD55" s="355"/>
      <c r="AE55" s="355"/>
      <c r="AF55" s="355"/>
      <c r="AG55" s="355"/>
      <c r="AH55" s="355"/>
      <c r="AI55" s="355"/>
      <c r="AJ55" s="355"/>
      <c r="AK55" s="355"/>
      <c r="AL55" s="355"/>
      <c r="AM55" s="355"/>
      <c r="AN55" s="355"/>
      <c r="AO55" s="355"/>
      <c r="AP55" s="355"/>
      <c r="AQ55" s="355"/>
      <c r="AR55" s="355"/>
      <c r="AS55" s="355"/>
      <c r="AT55" s="355"/>
      <c r="AU55" s="355"/>
      <c r="AV55" s="355"/>
      <c r="AW55" s="355"/>
      <c r="AX55" s="355"/>
      <c r="AY55" s="355"/>
      <c r="AZ55" s="355"/>
      <c r="BA55" s="355"/>
      <c r="BB55" s="355"/>
      <c r="BC55" s="355"/>
      <c r="BD55" s="355"/>
      <c r="BE55" s="355"/>
      <c r="BF55" s="355"/>
      <c r="BG55" s="355"/>
      <c r="BH55" s="355"/>
      <c r="BI55" s="355"/>
      <c r="BJ55" s="355"/>
      <c r="BK55" s="355"/>
      <c r="BL55" s="355"/>
      <c r="BM55" s="355"/>
      <c r="BN55" s="355"/>
      <c r="BO55" s="355"/>
      <c r="BP55" s="355"/>
      <c r="BQ55" s="355"/>
    </row>
    <row r="56">
      <c r="E56" s="354"/>
      <c r="F56" s="355"/>
      <c r="G56" s="355"/>
      <c r="H56" s="355"/>
      <c r="I56" s="355"/>
      <c r="J56" s="355"/>
      <c r="K56" s="355"/>
      <c r="L56" s="355"/>
      <c r="M56" s="355"/>
      <c r="N56" s="355"/>
      <c r="O56" s="355"/>
      <c r="P56" s="355"/>
      <c r="Q56" s="355"/>
      <c r="R56" s="355"/>
      <c r="S56" s="355"/>
      <c r="T56" s="355"/>
      <c r="U56" s="355"/>
      <c r="V56" s="355"/>
      <c r="W56" s="355"/>
      <c r="X56" s="355"/>
      <c r="Y56" s="355"/>
      <c r="Z56" s="355"/>
      <c r="AA56" s="355"/>
      <c r="AB56" s="355"/>
      <c r="AC56" s="355"/>
      <c r="AD56" s="355"/>
      <c r="AE56" s="355"/>
      <c r="AF56" s="355"/>
      <c r="AG56" s="355"/>
      <c r="AH56" s="355"/>
      <c r="AI56" s="355"/>
      <c r="AJ56" s="355"/>
      <c r="AK56" s="355"/>
      <c r="AL56" s="355"/>
      <c r="AM56" s="355"/>
      <c r="AN56" s="355"/>
      <c r="AO56" s="355"/>
      <c r="AP56" s="355"/>
      <c r="AQ56" s="355"/>
      <c r="AR56" s="355"/>
      <c r="AS56" s="355"/>
      <c r="AT56" s="355"/>
      <c r="AU56" s="355"/>
      <c r="AV56" s="355"/>
      <c r="AW56" s="355"/>
      <c r="AX56" s="355"/>
      <c r="AY56" s="355"/>
      <c r="AZ56" s="355"/>
      <c r="BA56" s="355"/>
      <c r="BB56" s="355"/>
      <c r="BC56" s="355"/>
      <c r="BD56" s="355"/>
      <c r="BE56" s="355"/>
      <c r="BF56" s="355"/>
      <c r="BG56" s="355"/>
      <c r="BH56" s="355"/>
      <c r="BI56" s="355"/>
      <c r="BJ56" s="355"/>
      <c r="BK56" s="355"/>
      <c r="BL56" s="355"/>
      <c r="BM56" s="355"/>
      <c r="BN56" s="355"/>
      <c r="BO56" s="355"/>
      <c r="BP56" s="355"/>
      <c r="BQ56" s="355"/>
    </row>
    <row r="57">
      <c r="E57" s="354"/>
      <c r="F57" s="355"/>
      <c r="G57" s="355"/>
      <c r="H57" s="355"/>
      <c r="I57" s="355"/>
      <c r="J57" s="355"/>
      <c r="K57" s="355"/>
      <c r="L57" s="355"/>
      <c r="M57" s="355"/>
      <c r="N57" s="355"/>
      <c r="O57" s="355"/>
      <c r="P57" s="355"/>
      <c r="Q57" s="355"/>
      <c r="R57" s="355"/>
      <c r="S57" s="355"/>
      <c r="T57" s="355"/>
      <c r="U57" s="355"/>
      <c r="V57" s="355"/>
      <c r="W57" s="355"/>
      <c r="X57" s="355"/>
      <c r="Y57" s="355"/>
      <c r="Z57" s="355"/>
      <c r="AA57" s="355"/>
      <c r="AB57" s="355"/>
      <c r="AC57" s="355"/>
      <c r="AD57" s="355"/>
      <c r="AE57" s="355"/>
      <c r="AF57" s="355"/>
      <c r="AG57" s="355"/>
      <c r="AH57" s="355"/>
      <c r="AI57" s="355"/>
      <c r="AJ57" s="355"/>
      <c r="AK57" s="355"/>
      <c r="AL57" s="355"/>
      <c r="AM57" s="355"/>
      <c r="AN57" s="355"/>
      <c r="AO57" s="355"/>
      <c r="AP57" s="355"/>
      <c r="AQ57" s="355"/>
      <c r="AR57" s="355"/>
      <c r="AS57" s="355"/>
      <c r="AT57" s="355"/>
      <c r="AU57" s="355"/>
      <c r="AV57" s="355"/>
      <c r="AW57" s="355"/>
      <c r="AX57" s="355"/>
      <c r="AY57" s="355"/>
      <c r="AZ57" s="355"/>
      <c r="BA57" s="355"/>
      <c r="BB57" s="355"/>
      <c r="BC57" s="355"/>
      <c r="BD57" s="355"/>
      <c r="BE57" s="355"/>
      <c r="BF57" s="355"/>
      <c r="BG57" s="355"/>
      <c r="BH57" s="355"/>
      <c r="BI57" s="355"/>
      <c r="BJ57" s="355"/>
      <c r="BK57" s="355"/>
      <c r="BL57" s="355"/>
      <c r="BM57" s="355"/>
      <c r="BN57" s="355"/>
      <c r="BO57" s="355"/>
      <c r="BP57" s="355"/>
      <c r="BQ57" s="355"/>
    </row>
    <row r="58">
      <c r="E58" s="354"/>
      <c r="F58" s="355"/>
      <c r="G58" s="355"/>
      <c r="H58" s="355"/>
      <c r="I58" s="355"/>
      <c r="J58" s="355"/>
      <c r="K58" s="355"/>
      <c r="L58" s="355"/>
      <c r="M58" s="355"/>
      <c r="N58" s="355"/>
      <c r="O58" s="355"/>
      <c r="P58" s="355"/>
      <c r="Q58" s="355"/>
      <c r="R58" s="355"/>
      <c r="S58" s="355"/>
      <c r="T58" s="355"/>
      <c r="U58" s="355"/>
      <c r="V58" s="355"/>
      <c r="W58" s="355"/>
      <c r="X58" s="355"/>
      <c r="Y58" s="355"/>
      <c r="Z58" s="355"/>
      <c r="AA58" s="355"/>
      <c r="AB58" s="355"/>
      <c r="AC58" s="355"/>
      <c r="AD58" s="355"/>
      <c r="AE58" s="355"/>
      <c r="AF58" s="355"/>
      <c r="AG58" s="355"/>
      <c r="AH58" s="355"/>
      <c r="AI58" s="355"/>
      <c r="AJ58" s="355"/>
      <c r="AK58" s="355"/>
      <c r="AL58" s="355"/>
      <c r="AM58" s="355"/>
      <c r="AN58" s="355"/>
      <c r="AO58" s="355"/>
      <c r="AP58" s="355"/>
      <c r="AQ58" s="355"/>
      <c r="AR58" s="355"/>
      <c r="AS58" s="355"/>
      <c r="AT58" s="355"/>
      <c r="AU58" s="355"/>
      <c r="AV58" s="355"/>
      <c r="AW58" s="355"/>
      <c r="AX58" s="355"/>
      <c r="AY58" s="355"/>
      <c r="AZ58" s="355"/>
      <c r="BA58" s="355"/>
      <c r="BB58" s="355"/>
      <c r="BC58" s="355"/>
      <c r="BD58" s="355"/>
      <c r="BE58" s="355"/>
      <c r="BF58" s="355"/>
      <c r="BG58" s="355"/>
      <c r="BH58" s="355"/>
      <c r="BI58" s="355"/>
      <c r="BJ58" s="355"/>
      <c r="BK58" s="355"/>
      <c r="BL58" s="355"/>
      <c r="BM58" s="355"/>
      <c r="BN58" s="355"/>
      <c r="BO58" s="355"/>
      <c r="BP58" s="355"/>
      <c r="BQ58" s="355"/>
    </row>
    <row r="59">
      <c r="E59" s="354"/>
      <c r="F59" s="355"/>
      <c r="G59" s="355"/>
      <c r="H59" s="355"/>
      <c r="I59" s="355"/>
      <c r="J59" s="355"/>
      <c r="K59" s="355"/>
      <c r="L59" s="355"/>
      <c r="M59" s="355"/>
      <c r="N59" s="355"/>
      <c r="O59" s="355"/>
      <c r="P59" s="355"/>
      <c r="Q59" s="355"/>
      <c r="R59" s="355"/>
      <c r="S59" s="355"/>
      <c r="T59" s="355"/>
      <c r="U59" s="355"/>
      <c r="V59" s="355"/>
      <c r="W59" s="355"/>
      <c r="X59" s="355"/>
      <c r="Y59" s="355"/>
      <c r="Z59" s="355"/>
      <c r="AA59" s="355"/>
      <c r="AB59" s="355"/>
      <c r="AC59" s="355"/>
      <c r="AD59" s="355"/>
      <c r="AE59" s="355"/>
      <c r="AF59" s="355"/>
      <c r="AG59" s="355"/>
      <c r="AH59" s="355"/>
      <c r="AI59" s="355"/>
      <c r="AJ59" s="355"/>
      <c r="AK59" s="355"/>
      <c r="AL59" s="355"/>
      <c r="AM59" s="355"/>
      <c r="AN59" s="355"/>
      <c r="AO59" s="355"/>
      <c r="AP59" s="355"/>
      <c r="AQ59" s="355"/>
      <c r="AR59" s="355"/>
      <c r="AS59" s="355"/>
      <c r="AT59" s="355"/>
      <c r="AU59" s="355"/>
      <c r="AV59" s="355"/>
      <c r="AW59" s="355"/>
      <c r="AX59" s="355"/>
      <c r="AY59" s="355"/>
      <c r="AZ59" s="355"/>
      <c r="BA59" s="355"/>
      <c r="BB59" s="355"/>
      <c r="BC59" s="355"/>
      <c r="BD59" s="355"/>
      <c r="BE59" s="355"/>
      <c r="BF59" s="355"/>
      <c r="BG59" s="355"/>
      <c r="BH59" s="355"/>
      <c r="BI59" s="355"/>
      <c r="BJ59" s="355"/>
      <c r="BK59" s="355"/>
      <c r="BL59" s="355"/>
      <c r="BM59" s="355"/>
      <c r="BN59" s="355"/>
      <c r="BO59" s="355"/>
      <c r="BP59" s="355"/>
      <c r="BQ59" s="355"/>
    </row>
    <row r="60">
      <c r="E60" s="354"/>
      <c r="F60" s="355"/>
      <c r="G60" s="355"/>
      <c r="H60" s="355"/>
      <c r="I60" s="355"/>
      <c r="J60" s="355"/>
      <c r="K60" s="355"/>
      <c r="L60" s="355"/>
      <c r="M60" s="355"/>
      <c r="N60" s="355"/>
      <c r="O60" s="355"/>
      <c r="P60" s="355"/>
      <c r="Q60" s="355"/>
      <c r="R60" s="355"/>
      <c r="S60" s="355"/>
      <c r="T60" s="355"/>
      <c r="U60" s="355"/>
      <c r="V60" s="355"/>
      <c r="W60" s="355"/>
      <c r="X60" s="355"/>
      <c r="Y60" s="355"/>
      <c r="Z60" s="355"/>
      <c r="AA60" s="355"/>
      <c r="AB60" s="355"/>
      <c r="AC60" s="355"/>
      <c r="AD60" s="355"/>
      <c r="AE60" s="355"/>
      <c r="AF60" s="355"/>
      <c r="AG60" s="355"/>
      <c r="AH60" s="355"/>
      <c r="AI60" s="355"/>
      <c r="AJ60" s="355"/>
      <c r="AK60" s="355"/>
      <c r="AL60" s="355"/>
      <c r="AM60" s="355"/>
      <c r="AN60" s="355"/>
      <c r="AO60" s="355"/>
      <c r="AP60" s="355"/>
      <c r="AQ60" s="355"/>
      <c r="AR60" s="355"/>
      <c r="AS60" s="355"/>
      <c r="AT60" s="355"/>
      <c r="AU60" s="355"/>
      <c r="AV60" s="355"/>
      <c r="AW60" s="355"/>
      <c r="AX60" s="355"/>
      <c r="AY60" s="355"/>
      <c r="AZ60" s="355"/>
      <c r="BA60" s="355"/>
      <c r="BB60" s="355"/>
      <c r="BC60" s="355"/>
      <c r="BD60" s="355"/>
      <c r="BE60" s="355"/>
      <c r="BF60" s="355"/>
      <c r="BG60" s="355"/>
      <c r="BH60" s="355"/>
      <c r="BI60" s="355"/>
      <c r="BJ60" s="355"/>
      <c r="BK60" s="355"/>
      <c r="BL60" s="355"/>
      <c r="BM60" s="355"/>
      <c r="BN60" s="355"/>
      <c r="BO60" s="355"/>
      <c r="BP60" s="355"/>
      <c r="BQ60" s="355"/>
    </row>
    <row r="61">
      <c r="E61" s="354"/>
      <c r="F61" s="355"/>
      <c r="G61" s="355"/>
      <c r="H61" s="355"/>
      <c r="I61" s="355"/>
      <c r="J61" s="355"/>
      <c r="K61" s="355"/>
      <c r="L61" s="355"/>
      <c r="M61" s="355"/>
      <c r="N61" s="355"/>
      <c r="O61" s="355"/>
      <c r="P61" s="355"/>
      <c r="Q61" s="355"/>
      <c r="R61" s="355"/>
      <c r="S61" s="355"/>
      <c r="T61" s="355"/>
      <c r="U61" s="355"/>
      <c r="V61" s="355"/>
      <c r="W61" s="355"/>
      <c r="X61" s="355"/>
      <c r="Y61" s="355"/>
      <c r="Z61" s="355"/>
      <c r="AA61" s="355"/>
      <c r="AB61" s="355"/>
      <c r="AC61" s="355"/>
      <c r="AD61" s="355"/>
      <c r="AE61" s="355"/>
      <c r="AF61" s="355"/>
      <c r="AG61" s="355"/>
      <c r="AH61" s="355"/>
      <c r="AI61" s="355"/>
      <c r="AJ61" s="355"/>
      <c r="AK61" s="355"/>
      <c r="AL61" s="355"/>
      <c r="AM61" s="355"/>
      <c r="AN61" s="355"/>
      <c r="AO61" s="355"/>
      <c r="AP61" s="355"/>
      <c r="AQ61" s="355"/>
      <c r="AR61" s="355"/>
      <c r="AS61" s="355"/>
      <c r="AT61" s="355"/>
      <c r="AU61" s="355"/>
      <c r="AV61" s="355"/>
      <c r="AW61" s="355"/>
      <c r="AX61" s="355"/>
      <c r="AY61" s="355"/>
      <c r="AZ61" s="355"/>
      <c r="BA61" s="355"/>
      <c r="BB61" s="355"/>
      <c r="BC61" s="355"/>
      <c r="BD61" s="355"/>
      <c r="BE61" s="355"/>
      <c r="BF61" s="355"/>
      <c r="BG61" s="355"/>
      <c r="BH61" s="355"/>
      <c r="BI61" s="355"/>
      <c r="BJ61" s="355"/>
      <c r="BK61" s="355"/>
      <c r="BL61" s="355"/>
      <c r="BM61" s="355"/>
      <c r="BN61" s="355"/>
      <c r="BO61" s="355"/>
      <c r="BP61" s="355"/>
      <c r="BQ61" s="355"/>
    </row>
    <row r="62">
      <c r="E62" s="354"/>
      <c r="F62" s="355"/>
      <c r="G62" s="355"/>
      <c r="H62" s="355"/>
      <c r="I62" s="355"/>
      <c r="J62" s="355"/>
      <c r="K62" s="355"/>
      <c r="L62" s="355"/>
      <c r="M62" s="355"/>
      <c r="N62" s="355"/>
      <c r="O62" s="355"/>
      <c r="P62" s="355"/>
      <c r="Q62" s="355"/>
      <c r="R62" s="355"/>
      <c r="S62" s="355"/>
      <c r="T62" s="355"/>
      <c r="U62" s="355"/>
      <c r="V62" s="355"/>
      <c r="W62" s="355"/>
      <c r="X62" s="355"/>
      <c r="Y62" s="355"/>
      <c r="Z62" s="355"/>
      <c r="AA62" s="355"/>
      <c r="AB62" s="355"/>
      <c r="AC62" s="355"/>
      <c r="AD62" s="355"/>
      <c r="AE62" s="355"/>
      <c r="AF62" s="355"/>
      <c r="AG62" s="355"/>
      <c r="AH62" s="355"/>
      <c r="AI62" s="355"/>
      <c r="AJ62" s="355"/>
      <c r="AK62" s="355"/>
      <c r="AL62" s="355"/>
      <c r="AM62" s="355"/>
      <c r="AN62" s="355"/>
      <c r="AO62" s="355"/>
      <c r="AP62" s="355"/>
      <c r="AQ62" s="355"/>
      <c r="AR62" s="355"/>
      <c r="AS62" s="355"/>
      <c r="AT62" s="355"/>
      <c r="AU62" s="355"/>
      <c r="AV62" s="355"/>
      <c r="AW62" s="355"/>
      <c r="AX62" s="355"/>
      <c r="AY62" s="355"/>
      <c r="AZ62" s="355"/>
      <c r="BA62" s="355"/>
      <c r="BB62" s="355"/>
      <c r="BC62" s="355"/>
      <c r="BD62" s="355"/>
      <c r="BE62" s="355"/>
      <c r="BF62" s="355"/>
      <c r="BG62" s="355"/>
      <c r="BH62" s="355"/>
      <c r="BI62" s="355"/>
      <c r="BJ62" s="355"/>
      <c r="BK62" s="355"/>
      <c r="BL62" s="355"/>
      <c r="BM62" s="355"/>
      <c r="BN62" s="355"/>
      <c r="BO62" s="355"/>
      <c r="BP62" s="355"/>
      <c r="BQ62" s="355"/>
    </row>
    <row r="63">
      <c r="E63" s="354"/>
      <c r="F63" s="355"/>
      <c r="G63" s="355"/>
      <c r="H63" s="355"/>
      <c r="I63" s="355"/>
      <c r="J63" s="355"/>
      <c r="K63" s="355"/>
      <c r="L63" s="355"/>
      <c r="M63" s="355"/>
      <c r="N63" s="355"/>
      <c r="O63" s="355"/>
      <c r="P63" s="355"/>
      <c r="Q63" s="355"/>
      <c r="R63" s="355"/>
      <c r="S63" s="355"/>
      <c r="T63" s="355"/>
      <c r="U63" s="355"/>
      <c r="V63" s="355"/>
      <c r="W63" s="355"/>
      <c r="X63" s="355"/>
      <c r="Y63" s="355"/>
      <c r="Z63" s="355"/>
      <c r="AA63" s="355"/>
      <c r="AB63" s="355"/>
      <c r="AC63" s="355"/>
      <c r="AD63" s="355"/>
      <c r="AE63" s="355"/>
      <c r="AF63" s="355"/>
      <c r="AG63" s="355"/>
      <c r="AH63" s="355"/>
      <c r="AI63" s="355"/>
      <c r="AJ63" s="355"/>
      <c r="AK63" s="355"/>
      <c r="AL63" s="355"/>
      <c r="AM63" s="355"/>
      <c r="AN63" s="355"/>
      <c r="AO63" s="355"/>
      <c r="AP63" s="355"/>
      <c r="AQ63" s="355"/>
      <c r="AR63" s="355"/>
      <c r="AS63" s="355"/>
      <c r="AT63" s="355"/>
      <c r="AU63" s="355"/>
      <c r="AV63" s="355"/>
      <c r="AW63" s="355"/>
      <c r="AX63" s="355"/>
      <c r="AY63" s="355"/>
      <c r="AZ63" s="355"/>
      <c r="BA63" s="355"/>
      <c r="BB63" s="355"/>
      <c r="BC63" s="355"/>
      <c r="BD63" s="355"/>
      <c r="BE63" s="355"/>
      <c r="BF63" s="355"/>
      <c r="BG63" s="355"/>
      <c r="BH63" s="355"/>
      <c r="BI63" s="355"/>
      <c r="BJ63" s="355"/>
      <c r="BK63" s="355"/>
      <c r="BL63" s="355"/>
      <c r="BM63" s="355"/>
      <c r="BN63" s="355"/>
      <c r="BO63" s="355"/>
      <c r="BP63" s="355"/>
      <c r="BQ63" s="355"/>
    </row>
    <row r="64">
      <c r="E64" s="354"/>
      <c r="F64" s="355"/>
      <c r="G64" s="355"/>
      <c r="H64" s="355"/>
      <c r="I64" s="355"/>
      <c r="J64" s="355"/>
      <c r="K64" s="355"/>
      <c r="L64" s="355"/>
      <c r="M64" s="355"/>
      <c r="N64" s="355"/>
      <c r="O64" s="355"/>
      <c r="P64" s="355"/>
      <c r="Q64" s="355"/>
      <c r="R64" s="355"/>
      <c r="S64" s="355"/>
      <c r="T64" s="355"/>
      <c r="U64" s="355"/>
      <c r="V64" s="355"/>
      <c r="W64" s="355"/>
      <c r="X64" s="355"/>
      <c r="Y64" s="355"/>
      <c r="Z64" s="355"/>
      <c r="AA64" s="355"/>
      <c r="AB64" s="355"/>
      <c r="AC64" s="355"/>
      <c r="AD64" s="355"/>
      <c r="AE64" s="355"/>
      <c r="AF64" s="355"/>
      <c r="AG64" s="355"/>
      <c r="AH64" s="355"/>
      <c r="AI64" s="355"/>
      <c r="AJ64" s="355"/>
      <c r="AK64" s="355"/>
      <c r="AL64" s="355"/>
      <c r="AM64" s="355"/>
      <c r="AN64" s="355"/>
      <c r="AO64" s="355"/>
      <c r="AP64" s="355"/>
      <c r="AQ64" s="355"/>
      <c r="AR64" s="355"/>
      <c r="AS64" s="355"/>
      <c r="AT64" s="355"/>
      <c r="AU64" s="355"/>
      <c r="AV64" s="355"/>
      <c r="AW64" s="355"/>
      <c r="AX64" s="355"/>
      <c r="AY64" s="355"/>
      <c r="AZ64" s="355"/>
      <c r="BA64" s="355"/>
      <c r="BB64" s="355"/>
      <c r="BC64" s="355"/>
      <c r="BD64" s="355"/>
      <c r="BE64" s="355"/>
      <c r="BF64" s="355"/>
      <c r="BG64" s="355"/>
      <c r="BH64" s="355"/>
      <c r="BI64" s="355"/>
      <c r="BJ64" s="355"/>
      <c r="BK64" s="355"/>
      <c r="BL64" s="355"/>
      <c r="BM64" s="355"/>
      <c r="BN64" s="355"/>
      <c r="BO64" s="355"/>
      <c r="BP64" s="355"/>
      <c r="BQ64" s="355"/>
    </row>
    <row r="65">
      <c r="E65" s="354"/>
      <c r="F65" s="355"/>
      <c r="G65" s="355"/>
      <c r="H65" s="355"/>
      <c r="I65" s="355"/>
      <c r="J65" s="355"/>
      <c r="K65" s="355"/>
      <c r="L65" s="355"/>
      <c r="M65" s="355"/>
      <c r="N65" s="355"/>
      <c r="O65" s="355"/>
      <c r="P65" s="355"/>
      <c r="Q65" s="355"/>
      <c r="R65" s="355"/>
      <c r="S65" s="355"/>
      <c r="T65" s="355"/>
      <c r="U65" s="355"/>
      <c r="V65" s="355"/>
      <c r="W65" s="355"/>
      <c r="X65" s="355"/>
      <c r="Y65" s="355"/>
      <c r="Z65" s="355"/>
      <c r="AA65" s="355"/>
      <c r="AB65" s="355"/>
      <c r="AC65" s="355"/>
      <c r="AD65" s="355"/>
      <c r="AE65" s="355"/>
      <c r="AF65" s="355"/>
      <c r="AG65" s="355"/>
      <c r="AH65" s="355"/>
      <c r="AI65" s="355"/>
      <c r="AJ65" s="355"/>
      <c r="AK65" s="355"/>
      <c r="AL65" s="355"/>
      <c r="AM65" s="355"/>
      <c r="AN65" s="355"/>
      <c r="AO65" s="355"/>
      <c r="AP65" s="355"/>
      <c r="AQ65" s="355"/>
      <c r="AR65" s="355"/>
      <c r="AS65" s="355"/>
      <c r="AT65" s="355"/>
      <c r="AU65" s="355"/>
      <c r="AV65" s="355"/>
      <c r="AW65" s="355"/>
      <c r="AX65" s="355"/>
      <c r="AY65" s="355"/>
      <c r="AZ65" s="355"/>
      <c r="BA65" s="355"/>
      <c r="BB65" s="355"/>
      <c r="BC65" s="355"/>
      <c r="BD65" s="355"/>
      <c r="BE65" s="355"/>
      <c r="BF65" s="355"/>
      <c r="BG65" s="355"/>
      <c r="BH65" s="355"/>
      <c r="BI65" s="355"/>
      <c r="BJ65" s="355"/>
      <c r="BK65" s="355"/>
      <c r="BL65" s="355"/>
      <c r="BM65" s="355"/>
      <c r="BN65" s="355"/>
      <c r="BO65" s="355"/>
      <c r="BP65" s="355"/>
      <c r="BQ65" s="355"/>
    </row>
    <row r="66">
      <c r="E66" s="354"/>
      <c r="F66" s="355"/>
      <c r="G66" s="355"/>
      <c r="H66" s="355"/>
      <c r="I66" s="355"/>
      <c r="J66" s="355"/>
      <c r="K66" s="355"/>
      <c r="L66" s="355"/>
      <c r="M66" s="355"/>
      <c r="N66" s="355"/>
      <c r="O66" s="355"/>
      <c r="P66" s="355"/>
      <c r="Q66" s="355"/>
      <c r="R66" s="355"/>
      <c r="S66" s="355"/>
      <c r="T66" s="355"/>
      <c r="U66" s="355"/>
      <c r="V66" s="355"/>
      <c r="W66" s="355"/>
      <c r="X66" s="355"/>
      <c r="Y66" s="355"/>
      <c r="Z66" s="355"/>
      <c r="AA66" s="355"/>
      <c r="AB66" s="355"/>
      <c r="AC66" s="355"/>
      <c r="AD66" s="355"/>
      <c r="AE66" s="355"/>
      <c r="AF66" s="355"/>
      <c r="AG66" s="355"/>
      <c r="AH66" s="355"/>
      <c r="AI66" s="355"/>
      <c r="AJ66" s="355"/>
      <c r="AK66" s="355"/>
      <c r="AL66" s="355"/>
      <c r="AM66" s="355"/>
      <c r="AN66" s="355"/>
      <c r="AO66" s="355"/>
      <c r="AP66" s="355"/>
      <c r="AQ66" s="355"/>
      <c r="AR66" s="355"/>
      <c r="AS66" s="355"/>
      <c r="AT66" s="355"/>
      <c r="AU66" s="355"/>
      <c r="AV66" s="355"/>
      <c r="AW66" s="355"/>
      <c r="AX66" s="355"/>
      <c r="AY66" s="355"/>
      <c r="AZ66" s="355"/>
      <c r="BA66" s="355"/>
      <c r="BB66" s="355"/>
      <c r="BC66" s="355"/>
      <c r="BD66" s="355"/>
      <c r="BE66" s="355"/>
      <c r="BF66" s="355"/>
      <c r="BG66" s="355"/>
      <c r="BH66" s="355"/>
      <c r="BI66" s="355"/>
      <c r="BJ66" s="355"/>
      <c r="BK66" s="355"/>
      <c r="BL66" s="355"/>
      <c r="BM66" s="355"/>
      <c r="BN66" s="355"/>
      <c r="BO66" s="355"/>
      <c r="BP66" s="355"/>
      <c r="BQ66" s="355"/>
    </row>
    <row r="67">
      <c r="E67" s="354"/>
      <c r="F67" s="355"/>
      <c r="G67" s="355"/>
      <c r="H67" s="355"/>
      <c r="I67" s="355"/>
      <c r="J67" s="355"/>
      <c r="K67" s="355"/>
      <c r="L67" s="355"/>
      <c r="M67" s="355"/>
      <c r="N67" s="355"/>
      <c r="O67" s="355"/>
      <c r="P67" s="355"/>
      <c r="Q67" s="355"/>
      <c r="R67" s="355"/>
      <c r="S67" s="355"/>
      <c r="T67" s="355"/>
      <c r="U67" s="355"/>
      <c r="V67" s="355"/>
      <c r="W67" s="355"/>
      <c r="X67" s="355"/>
      <c r="Y67" s="355"/>
      <c r="Z67" s="355"/>
      <c r="AA67" s="355"/>
      <c r="AB67" s="355"/>
      <c r="AC67" s="355"/>
      <c r="AD67" s="355"/>
      <c r="AE67" s="355"/>
      <c r="AF67" s="355"/>
      <c r="AG67" s="355"/>
      <c r="AH67" s="355"/>
      <c r="AI67" s="355"/>
      <c r="AJ67" s="355"/>
      <c r="AK67" s="355"/>
      <c r="AL67" s="355"/>
      <c r="AM67" s="355"/>
      <c r="AN67" s="355"/>
      <c r="AO67" s="355"/>
      <c r="AP67" s="355"/>
      <c r="AQ67" s="355"/>
      <c r="AR67" s="355"/>
      <c r="AS67" s="355"/>
      <c r="AT67" s="355"/>
      <c r="AU67" s="355"/>
      <c r="AV67" s="355"/>
      <c r="AW67" s="355"/>
      <c r="AX67" s="355"/>
      <c r="AY67" s="355"/>
      <c r="AZ67" s="355"/>
      <c r="BA67" s="355"/>
      <c r="BB67" s="355"/>
      <c r="BC67" s="355"/>
      <c r="BD67" s="355"/>
      <c r="BE67" s="355"/>
      <c r="BF67" s="355"/>
      <c r="BG67" s="355"/>
      <c r="BH67" s="355"/>
      <c r="BI67" s="355"/>
      <c r="BJ67" s="355"/>
      <c r="BK67" s="355"/>
      <c r="BL67" s="355"/>
      <c r="BM67" s="355"/>
      <c r="BN67" s="355"/>
      <c r="BO67" s="355"/>
      <c r="BP67" s="355"/>
      <c r="BQ67" s="355"/>
    </row>
    <row r="68">
      <c r="E68" s="354"/>
      <c r="F68" s="355"/>
      <c r="G68" s="355"/>
      <c r="H68" s="355"/>
      <c r="I68" s="355"/>
      <c r="J68" s="355"/>
      <c r="K68" s="355"/>
      <c r="L68" s="355"/>
      <c r="M68" s="355"/>
      <c r="N68" s="355"/>
      <c r="O68" s="355"/>
      <c r="P68" s="355"/>
      <c r="Q68" s="355"/>
      <c r="R68" s="355"/>
      <c r="S68" s="355"/>
      <c r="T68" s="355"/>
      <c r="U68" s="355"/>
      <c r="V68" s="355"/>
      <c r="W68" s="355"/>
      <c r="X68" s="355"/>
      <c r="Y68" s="355"/>
      <c r="Z68" s="355"/>
      <c r="AA68" s="355"/>
      <c r="AB68" s="355"/>
      <c r="AC68" s="355"/>
      <c r="AD68" s="355"/>
      <c r="AE68" s="355"/>
      <c r="AF68" s="355"/>
      <c r="AG68" s="355"/>
      <c r="AH68" s="355"/>
      <c r="AI68" s="355"/>
      <c r="AJ68" s="355"/>
      <c r="AK68" s="355"/>
      <c r="AL68" s="355"/>
      <c r="AM68" s="355"/>
      <c r="AN68" s="355"/>
      <c r="AO68" s="355"/>
      <c r="AP68" s="355"/>
      <c r="AQ68" s="355"/>
      <c r="AR68" s="355"/>
      <c r="AS68" s="355"/>
      <c r="AT68" s="355"/>
      <c r="AU68" s="355"/>
      <c r="AV68" s="355"/>
      <c r="AW68" s="355"/>
      <c r="AX68" s="355"/>
      <c r="AY68" s="355"/>
      <c r="AZ68" s="355"/>
      <c r="BA68" s="355"/>
      <c r="BB68" s="355"/>
      <c r="BC68" s="355"/>
      <c r="BD68" s="355"/>
      <c r="BE68" s="355"/>
      <c r="BF68" s="355"/>
      <c r="BG68" s="355"/>
      <c r="BH68" s="355"/>
      <c r="BI68" s="355"/>
      <c r="BJ68" s="355"/>
      <c r="BK68" s="355"/>
      <c r="BL68" s="355"/>
      <c r="BM68" s="355"/>
      <c r="BN68" s="355"/>
      <c r="BO68" s="355"/>
      <c r="BP68" s="355"/>
      <c r="BQ68" s="355"/>
    </row>
    <row r="69">
      <c r="E69" s="354"/>
      <c r="F69" s="355"/>
      <c r="G69" s="355"/>
      <c r="H69" s="355"/>
      <c r="I69" s="355"/>
      <c r="J69" s="355"/>
      <c r="K69" s="355"/>
      <c r="L69" s="355"/>
      <c r="M69" s="355"/>
      <c r="N69" s="355"/>
      <c r="O69" s="355"/>
      <c r="P69" s="355"/>
      <c r="Q69" s="355"/>
      <c r="R69" s="355"/>
      <c r="S69" s="355"/>
      <c r="T69" s="355"/>
      <c r="U69" s="355"/>
      <c r="V69" s="355"/>
      <c r="W69" s="355"/>
      <c r="X69" s="355"/>
      <c r="Y69" s="355"/>
      <c r="Z69" s="355"/>
      <c r="AA69" s="355"/>
      <c r="AB69" s="355"/>
      <c r="AC69" s="355"/>
      <c r="AD69" s="355"/>
      <c r="AE69" s="355"/>
      <c r="AF69" s="355"/>
      <c r="AG69" s="355"/>
      <c r="AH69" s="355"/>
      <c r="AI69" s="355"/>
      <c r="AJ69" s="355"/>
      <c r="AK69" s="355"/>
      <c r="AL69" s="355"/>
      <c r="AM69" s="355"/>
      <c r="AN69" s="355"/>
      <c r="AO69" s="355"/>
      <c r="AP69" s="355"/>
      <c r="AQ69" s="355"/>
      <c r="AR69" s="355"/>
      <c r="AS69" s="355"/>
      <c r="AT69" s="355"/>
      <c r="AU69" s="355"/>
      <c r="AV69" s="355"/>
      <c r="AW69" s="355"/>
      <c r="AX69" s="355"/>
      <c r="AY69" s="355"/>
      <c r="AZ69" s="355"/>
      <c r="BA69" s="355"/>
      <c r="BB69" s="355"/>
      <c r="BC69" s="355"/>
      <c r="BD69" s="355"/>
      <c r="BE69" s="355"/>
      <c r="BF69" s="355"/>
      <c r="BG69" s="355"/>
      <c r="BH69" s="355"/>
      <c r="BI69" s="355"/>
      <c r="BJ69" s="355"/>
      <c r="BK69" s="355"/>
      <c r="BL69" s="355"/>
      <c r="BM69" s="355"/>
      <c r="BN69" s="355"/>
      <c r="BO69" s="355"/>
      <c r="BP69" s="355"/>
      <c r="BQ69" s="355"/>
    </row>
    <row r="70">
      <c r="E70" s="354"/>
      <c r="F70" s="355"/>
      <c r="G70" s="355"/>
      <c r="H70" s="355"/>
      <c r="I70" s="355"/>
      <c r="J70" s="355"/>
      <c r="K70" s="355"/>
      <c r="L70" s="355"/>
      <c r="M70" s="355"/>
      <c r="N70" s="355"/>
      <c r="O70" s="355"/>
      <c r="P70" s="355"/>
      <c r="Q70" s="355"/>
      <c r="R70" s="355"/>
      <c r="S70" s="355"/>
      <c r="T70" s="355"/>
      <c r="U70" s="355"/>
      <c r="V70" s="355"/>
      <c r="W70" s="355"/>
      <c r="X70" s="355"/>
      <c r="Y70" s="355"/>
      <c r="Z70" s="355"/>
      <c r="AA70" s="355"/>
      <c r="AB70" s="355"/>
      <c r="AC70" s="355"/>
      <c r="AD70" s="355"/>
      <c r="AE70" s="355"/>
      <c r="AF70" s="355"/>
      <c r="AG70" s="355"/>
      <c r="AH70" s="355"/>
      <c r="AI70" s="355"/>
      <c r="AJ70" s="355"/>
      <c r="AK70" s="355"/>
      <c r="AL70" s="355"/>
      <c r="AM70" s="355"/>
      <c r="AN70" s="355"/>
      <c r="AO70" s="355"/>
      <c r="AP70" s="355"/>
      <c r="AQ70" s="355"/>
      <c r="AR70" s="355"/>
      <c r="AS70" s="355"/>
      <c r="AT70" s="355"/>
      <c r="AU70" s="355"/>
      <c r="AV70" s="355"/>
      <c r="AW70" s="355"/>
      <c r="AX70" s="355"/>
      <c r="AY70" s="355"/>
      <c r="AZ70" s="355"/>
      <c r="BA70" s="355"/>
      <c r="BB70" s="355"/>
      <c r="BC70" s="355"/>
      <c r="BD70" s="355"/>
      <c r="BE70" s="355"/>
      <c r="BF70" s="355"/>
      <c r="BG70" s="355"/>
      <c r="BH70" s="355"/>
      <c r="BI70" s="355"/>
      <c r="BJ70" s="355"/>
      <c r="BK70" s="355"/>
      <c r="BL70" s="355"/>
      <c r="BM70" s="355"/>
      <c r="BN70" s="355"/>
      <c r="BO70" s="355"/>
      <c r="BP70" s="355"/>
      <c r="BQ70" s="355"/>
    </row>
    <row r="71">
      <c r="E71" s="354"/>
      <c r="F71" s="355"/>
      <c r="G71" s="355"/>
      <c r="H71" s="355"/>
      <c r="I71" s="355"/>
      <c r="J71" s="355"/>
      <c r="K71" s="355"/>
      <c r="L71" s="355"/>
      <c r="M71" s="355"/>
      <c r="N71" s="355"/>
      <c r="O71" s="355"/>
      <c r="P71" s="355"/>
      <c r="Q71" s="355"/>
      <c r="R71" s="355"/>
      <c r="S71" s="355"/>
      <c r="T71" s="355"/>
      <c r="U71" s="355"/>
      <c r="V71" s="355"/>
      <c r="W71" s="355"/>
      <c r="X71" s="355"/>
      <c r="Y71" s="355"/>
      <c r="Z71" s="355"/>
      <c r="AA71" s="355"/>
      <c r="AB71" s="355"/>
      <c r="AC71" s="355"/>
      <c r="AD71" s="355"/>
      <c r="AE71" s="355"/>
      <c r="AF71" s="355"/>
      <c r="AG71" s="355"/>
      <c r="AH71" s="355"/>
      <c r="AI71" s="355"/>
      <c r="AJ71" s="355"/>
      <c r="AK71" s="355"/>
      <c r="AL71" s="355"/>
      <c r="AM71" s="355"/>
      <c r="AN71" s="355"/>
      <c r="AO71" s="355"/>
      <c r="AP71" s="355"/>
      <c r="AQ71" s="355"/>
      <c r="AR71" s="355"/>
      <c r="AS71" s="355"/>
      <c r="AT71" s="355"/>
      <c r="AU71" s="355"/>
      <c r="AV71" s="355"/>
      <c r="AW71" s="355"/>
      <c r="AX71" s="355"/>
      <c r="AY71" s="355"/>
      <c r="AZ71" s="355"/>
      <c r="BA71" s="355"/>
      <c r="BB71" s="355"/>
      <c r="BC71" s="355"/>
      <c r="BD71" s="355"/>
      <c r="BE71" s="355"/>
      <c r="BF71" s="355"/>
      <c r="BG71" s="355"/>
      <c r="BH71" s="355"/>
      <c r="BI71" s="355"/>
      <c r="BJ71" s="355"/>
      <c r="BK71" s="355"/>
      <c r="BL71" s="355"/>
      <c r="BM71" s="355"/>
      <c r="BN71" s="355"/>
      <c r="BO71" s="355"/>
      <c r="BP71" s="355"/>
      <c r="BQ71" s="355"/>
    </row>
    <row r="72">
      <c r="E72" s="354"/>
      <c r="F72" s="355"/>
      <c r="G72" s="355"/>
      <c r="H72" s="355"/>
      <c r="I72" s="355"/>
      <c r="J72" s="355"/>
      <c r="K72" s="355"/>
      <c r="L72" s="355"/>
      <c r="M72" s="355"/>
      <c r="N72" s="355"/>
      <c r="O72" s="355"/>
      <c r="P72" s="355"/>
      <c r="Q72" s="355"/>
      <c r="R72" s="355"/>
      <c r="S72" s="355"/>
      <c r="T72" s="355"/>
      <c r="U72" s="355"/>
      <c r="V72" s="355"/>
      <c r="W72" s="355"/>
      <c r="X72" s="355"/>
      <c r="Y72" s="355"/>
      <c r="Z72" s="355"/>
      <c r="AA72" s="355"/>
      <c r="AB72" s="355"/>
      <c r="AC72" s="355"/>
      <c r="AD72" s="355"/>
      <c r="AE72" s="355"/>
      <c r="AF72" s="355"/>
      <c r="AG72" s="355"/>
      <c r="AH72" s="355"/>
      <c r="AI72" s="355"/>
      <c r="AJ72" s="355"/>
      <c r="AK72" s="355"/>
      <c r="AL72" s="355"/>
      <c r="AM72" s="355"/>
      <c r="AN72" s="355"/>
      <c r="AO72" s="355"/>
      <c r="AP72" s="355"/>
      <c r="AQ72" s="355"/>
      <c r="AR72" s="355"/>
      <c r="AS72" s="355"/>
      <c r="AT72" s="355"/>
      <c r="AU72" s="355"/>
      <c r="AV72" s="355"/>
      <c r="AW72" s="355"/>
      <c r="AX72" s="355"/>
      <c r="AY72" s="355"/>
      <c r="AZ72" s="355"/>
      <c r="BA72" s="355"/>
      <c r="BB72" s="355"/>
      <c r="BC72" s="355"/>
      <c r="BD72" s="355"/>
      <c r="BE72" s="355"/>
      <c r="BF72" s="355"/>
      <c r="BG72" s="355"/>
      <c r="BH72" s="355"/>
      <c r="BI72" s="355"/>
      <c r="BJ72" s="355"/>
      <c r="BK72" s="355"/>
      <c r="BL72" s="355"/>
      <c r="BM72" s="355"/>
      <c r="BN72" s="355"/>
      <c r="BO72" s="355"/>
      <c r="BP72" s="355"/>
      <c r="BQ72" s="355"/>
    </row>
    <row r="73">
      <c r="E73" s="354"/>
      <c r="F73" s="355"/>
      <c r="G73" s="355"/>
      <c r="H73" s="355"/>
      <c r="I73" s="355"/>
      <c r="J73" s="355"/>
      <c r="K73" s="355"/>
      <c r="L73" s="355"/>
      <c r="M73" s="355"/>
      <c r="N73" s="355"/>
      <c r="O73" s="355"/>
      <c r="P73" s="355"/>
      <c r="Q73" s="355"/>
      <c r="R73" s="355"/>
      <c r="S73" s="355"/>
      <c r="T73" s="355"/>
      <c r="U73" s="355"/>
      <c r="V73" s="355"/>
      <c r="W73" s="355"/>
      <c r="X73" s="355"/>
      <c r="Y73" s="355"/>
      <c r="Z73" s="355"/>
      <c r="AA73" s="355"/>
      <c r="AB73" s="355"/>
      <c r="AC73" s="355"/>
      <c r="AD73" s="355"/>
      <c r="AE73" s="355"/>
      <c r="AF73" s="355"/>
      <c r="AG73" s="355"/>
      <c r="AH73" s="355"/>
      <c r="AI73" s="355"/>
      <c r="AJ73" s="355"/>
      <c r="AK73" s="355"/>
      <c r="AL73" s="355"/>
      <c r="AM73" s="355"/>
      <c r="AN73" s="355"/>
      <c r="AO73" s="355"/>
      <c r="AP73" s="355"/>
      <c r="AQ73" s="355"/>
      <c r="AR73" s="355"/>
      <c r="AS73" s="355"/>
      <c r="AT73" s="355"/>
      <c r="AU73" s="355"/>
      <c r="AV73" s="355"/>
      <c r="AW73" s="355"/>
      <c r="AX73" s="355"/>
      <c r="AY73" s="355"/>
      <c r="AZ73" s="355"/>
      <c r="BA73" s="355"/>
      <c r="BB73" s="355"/>
      <c r="BC73" s="355"/>
      <c r="BD73" s="355"/>
      <c r="BE73" s="355"/>
      <c r="BF73" s="355"/>
      <c r="BG73" s="355"/>
      <c r="BH73" s="355"/>
      <c r="BI73" s="355"/>
      <c r="BJ73" s="355"/>
      <c r="BK73" s="355"/>
      <c r="BL73" s="355"/>
      <c r="BM73" s="355"/>
      <c r="BN73" s="355"/>
      <c r="BO73" s="355"/>
      <c r="BP73" s="355"/>
      <c r="BQ73" s="355"/>
    </row>
    <row r="74">
      <c r="E74" s="354"/>
      <c r="F74" s="355"/>
      <c r="G74" s="355"/>
      <c r="H74" s="355"/>
      <c r="I74" s="355"/>
      <c r="J74" s="355"/>
      <c r="K74" s="355"/>
      <c r="L74" s="355"/>
      <c r="M74" s="355"/>
      <c r="N74" s="355"/>
      <c r="O74" s="355"/>
      <c r="P74" s="355"/>
      <c r="Q74" s="355"/>
      <c r="R74" s="355"/>
      <c r="S74" s="355"/>
      <c r="T74" s="355"/>
      <c r="U74" s="355"/>
      <c r="V74" s="355"/>
      <c r="W74" s="355"/>
      <c r="X74" s="355"/>
      <c r="Y74" s="355"/>
      <c r="Z74" s="355"/>
      <c r="AA74" s="355"/>
      <c r="AB74" s="355"/>
      <c r="AC74" s="355"/>
      <c r="AD74" s="355"/>
      <c r="AE74" s="355"/>
      <c r="AF74" s="355"/>
      <c r="AG74" s="355"/>
      <c r="AH74" s="355"/>
      <c r="AI74" s="355"/>
      <c r="AJ74" s="355"/>
      <c r="AK74" s="355"/>
      <c r="AL74" s="355"/>
      <c r="AM74" s="355"/>
      <c r="AN74" s="355"/>
      <c r="AO74" s="355"/>
      <c r="AP74" s="355"/>
      <c r="AQ74" s="355"/>
      <c r="AR74" s="355"/>
      <c r="AS74" s="355"/>
      <c r="AT74" s="355"/>
      <c r="AU74" s="355"/>
      <c r="AV74" s="355"/>
      <c r="AW74" s="355"/>
      <c r="AX74" s="355"/>
      <c r="AY74" s="355"/>
      <c r="AZ74" s="355"/>
      <c r="BA74" s="355"/>
      <c r="BB74" s="355"/>
      <c r="BC74" s="355"/>
      <c r="BD74" s="355"/>
      <c r="BE74" s="355"/>
      <c r="BF74" s="355"/>
      <c r="BG74" s="355"/>
      <c r="BH74" s="355"/>
      <c r="BI74" s="355"/>
      <c r="BJ74" s="355"/>
      <c r="BK74" s="355"/>
      <c r="BL74" s="355"/>
      <c r="BM74" s="355"/>
      <c r="BN74" s="355"/>
      <c r="BO74" s="355"/>
      <c r="BP74" s="355"/>
      <c r="BQ74" s="355"/>
    </row>
    <row r="75">
      <c r="E75" s="354"/>
      <c r="F75" s="355"/>
      <c r="G75" s="355"/>
      <c r="H75" s="355"/>
      <c r="I75" s="355"/>
      <c r="J75" s="355"/>
      <c r="K75" s="355"/>
      <c r="L75" s="355"/>
      <c r="M75" s="355"/>
      <c r="N75" s="355"/>
      <c r="O75" s="355"/>
      <c r="P75" s="355"/>
      <c r="Q75" s="355"/>
      <c r="R75" s="355"/>
      <c r="S75" s="355"/>
      <c r="T75" s="355"/>
      <c r="U75" s="355"/>
      <c r="V75" s="355"/>
      <c r="W75" s="355"/>
      <c r="X75" s="355"/>
      <c r="Y75" s="355"/>
      <c r="Z75" s="355"/>
      <c r="AA75" s="355"/>
      <c r="AB75" s="355"/>
      <c r="AC75" s="355"/>
      <c r="AD75" s="355"/>
      <c r="AE75" s="355"/>
      <c r="AF75" s="355"/>
      <c r="AG75" s="355"/>
      <c r="AH75" s="355"/>
      <c r="AI75" s="355"/>
      <c r="AJ75" s="355"/>
      <c r="AK75" s="355"/>
      <c r="AL75" s="355"/>
      <c r="AM75" s="355"/>
      <c r="AN75" s="355"/>
      <c r="AO75" s="355"/>
      <c r="AP75" s="355"/>
      <c r="AQ75" s="355"/>
      <c r="AR75" s="355"/>
      <c r="AS75" s="355"/>
      <c r="AT75" s="355"/>
      <c r="AU75" s="355"/>
      <c r="AV75" s="355"/>
      <c r="AW75" s="355"/>
      <c r="AX75" s="355"/>
      <c r="AY75" s="355"/>
      <c r="AZ75" s="355"/>
      <c r="BA75" s="355"/>
      <c r="BB75" s="355"/>
      <c r="BC75" s="355"/>
      <c r="BD75" s="355"/>
      <c r="BE75" s="355"/>
      <c r="BF75" s="355"/>
      <c r="BG75" s="355"/>
      <c r="BH75" s="355"/>
      <c r="BI75" s="355"/>
      <c r="BJ75" s="355"/>
      <c r="BK75" s="355"/>
      <c r="BL75" s="355"/>
      <c r="BM75" s="355"/>
      <c r="BN75" s="355"/>
      <c r="BO75" s="355"/>
      <c r="BP75" s="355"/>
      <c r="BQ75" s="355"/>
    </row>
    <row r="76">
      <c r="E76" s="354"/>
      <c r="F76" s="355"/>
      <c r="G76" s="355"/>
      <c r="H76" s="355"/>
      <c r="I76" s="355"/>
      <c r="J76" s="355"/>
      <c r="K76" s="355"/>
      <c r="L76" s="355"/>
      <c r="M76" s="355"/>
      <c r="N76" s="355"/>
      <c r="O76" s="355"/>
      <c r="P76" s="355"/>
      <c r="Q76" s="355"/>
      <c r="R76" s="355"/>
      <c r="S76" s="355"/>
      <c r="T76" s="355"/>
      <c r="U76" s="355"/>
      <c r="V76" s="355"/>
      <c r="W76" s="355"/>
      <c r="X76" s="355"/>
      <c r="Y76" s="355"/>
      <c r="Z76" s="355"/>
      <c r="AA76" s="355"/>
      <c r="AB76" s="355"/>
      <c r="AC76" s="355"/>
      <c r="AD76" s="355"/>
      <c r="AE76" s="355"/>
      <c r="AF76" s="355"/>
      <c r="AG76" s="355"/>
      <c r="AH76" s="355"/>
      <c r="AI76" s="355"/>
      <c r="AJ76" s="355"/>
      <c r="AK76" s="355"/>
      <c r="AL76" s="355"/>
      <c r="AM76" s="355"/>
      <c r="AN76" s="355"/>
      <c r="AO76" s="355"/>
      <c r="AP76" s="355"/>
      <c r="AQ76" s="355"/>
      <c r="AR76" s="355"/>
      <c r="AS76" s="355"/>
      <c r="AT76" s="355"/>
      <c r="AU76" s="355"/>
      <c r="AV76" s="355"/>
      <c r="AW76" s="355"/>
      <c r="AX76" s="355"/>
      <c r="AY76" s="355"/>
      <c r="AZ76" s="355"/>
      <c r="BA76" s="355"/>
      <c r="BB76" s="355"/>
      <c r="BC76" s="355"/>
      <c r="BD76" s="355"/>
      <c r="BE76" s="355"/>
      <c r="BF76" s="355"/>
      <c r="BG76" s="355"/>
      <c r="BH76" s="355"/>
      <c r="BI76" s="355"/>
      <c r="BJ76" s="355"/>
      <c r="BK76" s="355"/>
      <c r="BL76" s="355"/>
      <c r="BM76" s="355"/>
      <c r="BN76" s="355"/>
      <c r="BO76" s="355"/>
      <c r="BP76" s="355"/>
      <c r="BQ76" s="355"/>
    </row>
    <row r="77">
      <c r="E77" s="354"/>
      <c r="F77" s="355"/>
      <c r="G77" s="355"/>
      <c r="H77" s="355"/>
      <c r="I77" s="355"/>
      <c r="J77" s="355"/>
      <c r="K77" s="355"/>
      <c r="L77" s="355"/>
      <c r="M77" s="355"/>
      <c r="N77" s="355"/>
      <c r="O77" s="355"/>
      <c r="P77" s="355"/>
      <c r="Q77" s="355"/>
      <c r="R77" s="355"/>
      <c r="S77" s="355"/>
      <c r="T77" s="355"/>
      <c r="U77" s="355"/>
      <c r="V77" s="355"/>
      <c r="W77" s="355"/>
      <c r="X77" s="355"/>
      <c r="Y77" s="355"/>
      <c r="Z77" s="355"/>
      <c r="AA77" s="355"/>
      <c r="AB77" s="355"/>
      <c r="AC77" s="355"/>
      <c r="AD77" s="355"/>
      <c r="AE77" s="355"/>
      <c r="AF77" s="355"/>
      <c r="AG77" s="355"/>
      <c r="AH77" s="355"/>
      <c r="AI77" s="355"/>
      <c r="AJ77" s="355"/>
      <c r="AK77" s="355"/>
      <c r="AL77" s="355"/>
      <c r="AM77" s="355"/>
      <c r="AN77" s="355"/>
      <c r="AO77" s="355"/>
      <c r="AP77" s="355"/>
      <c r="AQ77" s="355"/>
      <c r="AR77" s="355"/>
      <c r="AS77" s="355"/>
      <c r="AT77" s="355"/>
      <c r="AU77" s="355"/>
      <c r="AV77" s="355"/>
      <c r="AW77" s="355"/>
      <c r="AX77" s="355"/>
      <c r="AY77" s="355"/>
      <c r="AZ77" s="355"/>
      <c r="BA77" s="355"/>
      <c r="BB77" s="355"/>
      <c r="BC77" s="355"/>
      <c r="BD77" s="355"/>
      <c r="BE77" s="355"/>
      <c r="BF77" s="355"/>
      <c r="BG77" s="355"/>
      <c r="BH77" s="355"/>
      <c r="BI77" s="355"/>
      <c r="BJ77" s="355"/>
      <c r="BK77" s="355"/>
      <c r="BL77" s="355"/>
      <c r="BM77" s="355"/>
      <c r="BN77" s="355"/>
      <c r="BO77" s="355"/>
      <c r="BP77" s="355"/>
      <c r="BQ77" s="355"/>
    </row>
    <row r="78">
      <c r="E78" s="354"/>
      <c r="F78" s="355"/>
      <c r="G78" s="355"/>
      <c r="H78" s="355"/>
      <c r="I78" s="355"/>
      <c r="J78" s="355"/>
      <c r="K78" s="355"/>
      <c r="L78" s="355"/>
      <c r="M78" s="355"/>
      <c r="N78" s="355"/>
      <c r="O78" s="355"/>
      <c r="P78" s="355"/>
      <c r="Q78" s="355"/>
      <c r="R78" s="355"/>
      <c r="S78" s="355"/>
      <c r="T78" s="355"/>
      <c r="U78" s="355"/>
      <c r="V78" s="355"/>
      <c r="W78" s="355"/>
      <c r="X78" s="355"/>
      <c r="Y78" s="355"/>
      <c r="Z78" s="355"/>
      <c r="AA78" s="355"/>
      <c r="AB78" s="355"/>
      <c r="AC78" s="355"/>
      <c r="AD78" s="355"/>
      <c r="AE78" s="355"/>
      <c r="AF78" s="355"/>
      <c r="AG78" s="355"/>
      <c r="AH78" s="355"/>
      <c r="AI78" s="355"/>
      <c r="AJ78" s="355"/>
      <c r="AK78" s="355"/>
      <c r="AL78" s="355"/>
      <c r="AM78" s="355"/>
      <c r="AN78" s="355"/>
      <c r="AO78" s="355"/>
      <c r="AP78" s="355"/>
      <c r="AQ78" s="355"/>
      <c r="AR78" s="355"/>
      <c r="AS78" s="355"/>
      <c r="AT78" s="355"/>
      <c r="AU78" s="355"/>
      <c r="AV78" s="355"/>
      <c r="AW78" s="355"/>
      <c r="AX78" s="355"/>
      <c r="AY78" s="355"/>
      <c r="AZ78" s="355"/>
      <c r="BA78" s="355"/>
      <c r="BB78" s="355"/>
      <c r="BC78" s="355"/>
      <c r="BD78" s="355"/>
      <c r="BE78" s="355"/>
      <c r="BF78" s="355"/>
      <c r="BG78" s="355"/>
      <c r="BH78" s="355"/>
      <c r="BI78" s="355"/>
      <c r="BJ78" s="355"/>
      <c r="BK78" s="355"/>
      <c r="BL78" s="355"/>
      <c r="BM78" s="355"/>
      <c r="BN78" s="355"/>
      <c r="BO78" s="355"/>
      <c r="BP78" s="355"/>
      <c r="BQ78" s="355"/>
    </row>
    <row r="79">
      <c r="E79" s="354"/>
      <c r="F79" s="355"/>
      <c r="G79" s="355"/>
      <c r="H79" s="355"/>
      <c r="I79" s="355"/>
      <c r="J79" s="355"/>
      <c r="K79" s="355"/>
      <c r="L79" s="355"/>
      <c r="M79" s="355"/>
      <c r="N79" s="355"/>
      <c r="O79" s="355"/>
      <c r="P79" s="355"/>
      <c r="Q79" s="355"/>
      <c r="R79" s="355"/>
      <c r="S79" s="355"/>
      <c r="T79" s="355"/>
      <c r="U79" s="355"/>
      <c r="V79" s="355"/>
      <c r="W79" s="355"/>
      <c r="X79" s="355"/>
      <c r="Y79" s="355"/>
      <c r="Z79" s="355"/>
      <c r="AA79" s="355"/>
      <c r="AB79" s="355"/>
      <c r="AC79" s="355"/>
      <c r="AD79" s="355"/>
      <c r="AE79" s="355"/>
      <c r="AF79" s="355"/>
      <c r="AG79" s="355"/>
      <c r="AH79" s="355"/>
      <c r="AI79" s="355"/>
      <c r="AJ79" s="355"/>
      <c r="AK79" s="355"/>
      <c r="AL79" s="355"/>
      <c r="AM79" s="355"/>
      <c r="AN79" s="355"/>
      <c r="AO79" s="355"/>
      <c r="AP79" s="355"/>
      <c r="AQ79" s="355"/>
      <c r="AR79" s="355"/>
      <c r="AS79" s="355"/>
      <c r="AT79" s="355"/>
      <c r="AU79" s="355"/>
      <c r="AV79" s="355"/>
      <c r="AW79" s="355"/>
      <c r="AX79" s="355"/>
      <c r="AY79" s="355"/>
      <c r="AZ79" s="355"/>
      <c r="BA79" s="355"/>
      <c r="BB79" s="355"/>
      <c r="BC79" s="355"/>
      <c r="BD79" s="355"/>
      <c r="BE79" s="355"/>
      <c r="BF79" s="355"/>
      <c r="BG79" s="355"/>
      <c r="BH79" s="355"/>
      <c r="BI79" s="355"/>
      <c r="BJ79" s="355"/>
      <c r="BK79" s="355"/>
      <c r="BL79" s="355"/>
      <c r="BM79" s="355"/>
      <c r="BN79" s="355"/>
      <c r="BO79" s="355"/>
      <c r="BP79" s="355"/>
      <c r="BQ79" s="355"/>
    </row>
    <row r="80">
      <c r="E80" s="354"/>
      <c r="F80" s="355"/>
      <c r="G80" s="355"/>
      <c r="H80" s="355"/>
      <c r="I80" s="355"/>
      <c r="J80" s="355"/>
      <c r="K80" s="355"/>
      <c r="L80" s="355"/>
      <c r="M80" s="355"/>
      <c r="N80" s="355"/>
      <c r="O80" s="355"/>
      <c r="P80" s="355"/>
      <c r="Q80" s="355"/>
      <c r="R80" s="355"/>
      <c r="S80" s="355"/>
      <c r="T80" s="355"/>
      <c r="U80" s="355"/>
      <c r="V80" s="355"/>
      <c r="W80" s="355"/>
      <c r="X80" s="355"/>
      <c r="Y80" s="355"/>
      <c r="Z80" s="355"/>
      <c r="AA80" s="355"/>
      <c r="AB80" s="355"/>
      <c r="AC80" s="355"/>
      <c r="AD80" s="355"/>
      <c r="AE80" s="355"/>
      <c r="AF80" s="355"/>
      <c r="AG80" s="355"/>
      <c r="AH80" s="355"/>
      <c r="AI80" s="355"/>
      <c r="AJ80" s="355"/>
      <c r="AK80" s="355"/>
      <c r="AL80" s="355"/>
      <c r="AM80" s="355"/>
      <c r="AN80" s="355"/>
      <c r="AO80" s="355"/>
      <c r="AP80" s="355"/>
      <c r="AQ80" s="355"/>
      <c r="AR80" s="355"/>
      <c r="AS80" s="355"/>
      <c r="AT80" s="355"/>
      <c r="AU80" s="355"/>
      <c r="AV80" s="355"/>
      <c r="AW80" s="355"/>
      <c r="AX80" s="355"/>
      <c r="AY80" s="355"/>
      <c r="AZ80" s="355"/>
      <c r="BA80" s="355"/>
      <c r="BB80" s="355"/>
      <c r="BC80" s="355"/>
      <c r="BD80" s="355"/>
      <c r="BE80" s="355"/>
      <c r="BF80" s="355"/>
      <c r="BG80" s="355"/>
      <c r="BH80" s="355"/>
      <c r="BI80" s="355"/>
      <c r="BJ80" s="355"/>
      <c r="BK80" s="355"/>
      <c r="BL80" s="355"/>
      <c r="BM80" s="355"/>
      <c r="BN80" s="355"/>
      <c r="BO80" s="355"/>
      <c r="BP80" s="355"/>
      <c r="BQ80" s="355"/>
    </row>
    <row r="81">
      <c r="E81" s="354"/>
      <c r="F81" s="355"/>
      <c r="G81" s="355"/>
      <c r="H81" s="355"/>
      <c r="I81" s="355"/>
      <c r="J81" s="355"/>
      <c r="K81" s="355"/>
      <c r="L81" s="355"/>
      <c r="M81" s="355"/>
      <c r="N81" s="355"/>
      <c r="O81" s="355"/>
      <c r="P81" s="355"/>
      <c r="Q81" s="355"/>
      <c r="R81" s="355"/>
      <c r="S81" s="355"/>
      <c r="T81" s="355"/>
      <c r="U81" s="355"/>
      <c r="V81" s="355"/>
      <c r="W81" s="355"/>
      <c r="X81" s="355"/>
      <c r="Y81" s="355"/>
      <c r="Z81" s="355"/>
      <c r="AA81" s="355"/>
      <c r="AB81" s="355"/>
      <c r="AC81" s="355"/>
      <c r="AD81" s="355"/>
      <c r="AE81" s="355"/>
      <c r="AF81" s="355"/>
      <c r="AG81" s="355"/>
      <c r="AH81" s="355"/>
      <c r="AI81" s="355"/>
      <c r="AJ81" s="355"/>
      <c r="AK81" s="355"/>
      <c r="AL81" s="355"/>
      <c r="AM81" s="355"/>
      <c r="AN81" s="355"/>
      <c r="AO81" s="355"/>
      <c r="AP81" s="355"/>
      <c r="AQ81" s="355"/>
      <c r="AR81" s="355"/>
      <c r="AS81" s="355"/>
      <c r="AT81" s="355"/>
      <c r="AU81" s="355"/>
      <c r="AV81" s="355"/>
      <c r="AW81" s="355"/>
      <c r="AX81" s="355"/>
      <c r="AY81" s="355"/>
      <c r="AZ81" s="355"/>
      <c r="BA81" s="355"/>
      <c r="BB81" s="355"/>
      <c r="BC81" s="355"/>
      <c r="BD81" s="355"/>
      <c r="BE81" s="355"/>
      <c r="BF81" s="355"/>
      <c r="BG81" s="355"/>
      <c r="BH81" s="355"/>
      <c r="BI81" s="355"/>
      <c r="BJ81" s="355"/>
      <c r="BK81" s="355"/>
      <c r="BL81" s="355"/>
      <c r="BM81" s="355"/>
      <c r="BN81" s="355"/>
      <c r="BO81" s="355"/>
      <c r="BP81" s="355"/>
      <c r="BQ81" s="355"/>
    </row>
    <row r="82">
      <c r="E82" s="354"/>
      <c r="F82" s="355"/>
      <c r="G82" s="355"/>
      <c r="H82" s="355"/>
      <c r="I82" s="355"/>
      <c r="J82" s="355"/>
      <c r="K82" s="355"/>
      <c r="L82" s="355"/>
      <c r="M82" s="355"/>
      <c r="N82" s="355"/>
      <c r="O82" s="355"/>
      <c r="P82" s="355"/>
      <c r="Q82" s="355"/>
      <c r="R82" s="355"/>
      <c r="S82" s="355"/>
      <c r="T82" s="355"/>
      <c r="U82" s="355"/>
      <c r="V82" s="355"/>
      <c r="W82" s="355"/>
      <c r="X82" s="355"/>
      <c r="Y82" s="355"/>
      <c r="Z82" s="355"/>
      <c r="AA82" s="355"/>
      <c r="AB82" s="355"/>
      <c r="AC82" s="355"/>
      <c r="AD82" s="355"/>
      <c r="AE82" s="355"/>
      <c r="AF82" s="355"/>
      <c r="AG82" s="355"/>
      <c r="AH82" s="355"/>
      <c r="AI82" s="355"/>
      <c r="AJ82" s="355"/>
      <c r="AK82" s="355"/>
      <c r="AL82" s="355"/>
      <c r="AM82" s="355"/>
      <c r="AN82" s="355"/>
      <c r="AO82" s="355"/>
      <c r="AP82" s="355"/>
      <c r="AQ82" s="355"/>
      <c r="AR82" s="355"/>
      <c r="AS82" s="355"/>
      <c r="AT82" s="355"/>
      <c r="AU82" s="355"/>
      <c r="AV82" s="355"/>
      <c r="AW82" s="355"/>
      <c r="AX82" s="355"/>
      <c r="AY82" s="355"/>
      <c r="AZ82" s="355"/>
      <c r="BA82" s="355"/>
      <c r="BB82" s="355"/>
      <c r="BC82" s="355"/>
      <c r="BD82" s="355"/>
      <c r="BE82" s="355"/>
      <c r="BF82" s="355"/>
      <c r="BG82" s="355"/>
      <c r="BH82" s="355"/>
      <c r="BI82" s="355"/>
      <c r="BJ82" s="355"/>
      <c r="BK82" s="355"/>
      <c r="BL82" s="355"/>
      <c r="BM82" s="355"/>
      <c r="BN82" s="355"/>
      <c r="BO82" s="355"/>
      <c r="BP82" s="355"/>
      <c r="BQ82" s="355"/>
    </row>
    <row r="83">
      <c r="E83" s="354"/>
      <c r="F83" s="355"/>
      <c r="G83" s="355"/>
      <c r="H83" s="355"/>
      <c r="I83" s="355"/>
      <c r="J83" s="355"/>
      <c r="K83" s="355"/>
      <c r="L83" s="355"/>
      <c r="M83" s="355"/>
      <c r="N83" s="355"/>
      <c r="O83" s="355"/>
      <c r="P83" s="355"/>
      <c r="Q83" s="355"/>
      <c r="R83" s="355"/>
      <c r="S83" s="355"/>
      <c r="T83" s="355"/>
      <c r="U83" s="355"/>
      <c r="V83" s="355"/>
      <c r="W83" s="355"/>
      <c r="X83" s="355"/>
      <c r="Y83" s="355"/>
      <c r="Z83" s="355"/>
      <c r="AA83" s="355"/>
      <c r="AB83" s="355"/>
      <c r="AC83" s="355"/>
      <c r="AD83" s="355"/>
      <c r="AE83" s="355"/>
      <c r="AF83" s="355"/>
      <c r="AG83" s="355"/>
      <c r="AH83" s="355"/>
      <c r="AI83" s="355"/>
      <c r="AJ83" s="355"/>
      <c r="AK83" s="355"/>
      <c r="AL83" s="355"/>
      <c r="AM83" s="355"/>
      <c r="AN83" s="355"/>
      <c r="AO83" s="355"/>
      <c r="AP83" s="355"/>
      <c r="AQ83" s="355"/>
      <c r="AR83" s="355"/>
      <c r="AS83" s="355"/>
      <c r="AT83" s="355"/>
      <c r="AU83" s="355"/>
      <c r="AV83" s="355"/>
      <c r="AW83" s="355"/>
      <c r="AX83" s="355"/>
      <c r="AY83" s="355"/>
      <c r="AZ83" s="355"/>
      <c r="BA83" s="355"/>
      <c r="BB83" s="355"/>
      <c r="BC83" s="355"/>
      <c r="BD83" s="355"/>
      <c r="BE83" s="355"/>
      <c r="BF83" s="355"/>
      <c r="BG83" s="355"/>
      <c r="BH83" s="355"/>
      <c r="BI83" s="355"/>
      <c r="BJ83" s="355"/>
      <c r="BK83" s="355"/>
      <c r="BL83" s="355"/>
      <c r="BM83" s="355"/>
      <c r="BN83" s="355"/>
      <c r="BO83" s="355"/>
      <c r="BP83" s="355"/>
      <c r="BQ83" s="355"/>
    </row>
    <row r="84">
      <c r="E84" s="354"/>
      <c r="F84" s="355"/>
      <c r="G84" s="355"/>
      <c r="H84" s="355"/>
      <c r="I84" s="355"/>
      <c r="J84" s="355"/>
      <c r="K84" s="355"/>
      <c r="L84" s="355"/>
      <c r="M84" s="355"/>
      <c r="N84" s="355"/>
      <c r="O84" s="355"/>
      <c r="P84" s="355"/>
      <c r="Q84" s="355"/>
      <c r="R84" s="355"/>
      <c r="S84" s="355"/>
      <c r="T84" s="355"/>
      <c r="U84" s="355"/>
      <c r="V84" s="355"/>
      <c r="W84" s="355"/>
      <c r="X84" s="355"/>
      <c r="Y84" s="355"/>
      <c r="Z84" s="355"/>
      <c r="AA84" s="355"/>
      <c r="AB84" s="355"/>
      <c r="AC84" s="355"/>
      <c r="AD84" s="355"/>
      <c r="AE84" s="355"/>
      <c r="AF84" s="355"/>
      <c r="AG84" s="355"/>
      <c r="AH84" s="355"/>
      <c r="AI84" s="355"/>
      <c r="AJ84" s="355"/>
      <c r="AK84" s="355"/>
      <c r="AL84" s="355"/>
      <c r="AM84" s="355"/>
      <c r="AN84" s="355"/>
      <c r="AO84" s="355"/>
      <c r="AP84" s="355"/>
      <c r="AQ84" s="355"/>
      <c r="AR84" s="355"/>
      <c r="AS84" s="355"/>
      <c r="AT84" s="355"/>
      <c r="AU84" s="355"/>
      <c r="AV84" s="355"/>
      <c r="AW84" s="355"/>
      <c r="AX84" s="355"/>
      <c r="AY84" s="355"/>
      <c r="AZ84" s="355"/>
      <c r="BA84" s="355"/>
      <c r="BB84" s="355"/>
      <c r="BC84" s="355"/>
      <c r="BD84" s="355"/>
      <c r="BE84" s="355"/>
      <c r="BF84" s="355"/>
      <c r="BG84" s="355"/>
      <c r="BH84" s="355"/>
      <c r="BI84" s="355"/>
      <c r="BJ84" s="355"/>
      <c r="BK84" s="355"/>
      <c r="BL84" s="355"/>
      <c r="BM84" s="355"/>
      <c r="BN84" s="355"/>
      <c r="BO84" s="355"/>
      <c r="BP84" s="355"/>
      <c r="BQ84" s="355"/>
    </row>
    <row r="85">
      <c r="E85" s="354"/>
      <c r="F85" s="355"/>
      <c r="G85" s="355"/>
      <c r="H85" s="355"/>
      <c r="I85" s="355"/>
      <c r="J85" s="355"/>
      <c r="K85" s="355"/>
      <c r="L85" s="355"/>
      <c r="M85" s="355"/>
      <c r="N85" s="355"/>
      <c r="O85" s="355"/>
      <c r="P85" s="355"/>
      <c r="Q85" s="355"/>
      <c r="R85" s="355"/>
      <c r="S85" s="355"/>
      <c r="T85" s="355"/>
      <c r="U85" s="355"/>
      <c r="V85" s="355"/>
      <c r="W85" s="355"/>
      <c r="X85" s="355"/>
      <c r="Y85" s="355"/>
      <c r="Z85" s="355"/>
      <c r="AA85" s="355"/>
      <c r="AB85" s="355"/>
      <c r="AC85" s="355"/>
      <c r="AD85" s="355"/>
      <c r="AE85" s="355"/>
      <c r="AF85" s="355"/>
      <c r="AG85" s="355"/>
      <c r="AH85" s="355"/>
      <c r="AI85" s="355"/>
      <c r="AJ85" s="355"/>
      <c r="AK85" s="355"/>
      <c r="AL85" s="355"/>
      <c r="AM85" s="355"/>
      <c r="AN85" s="355"/>
      <c r="AO85" s="355"/>
      <c r="AP85" s="355"/>
      <c r="AQ85" s="355"/>
      <c r="AR85" s="355"/>
      <c r="AS85" s="355"/>
      <c r="AT85" s="355"/>
      <c r="AU85" s="355"/>
      <c r="AV85" s="355"/>
      <c r="AW85" s="355"/>
      <c r="AX85" s="355"/>
      <c r="AY85" s="355"/>
      <c r="AZ85" s="355"/>
      <c r="BA85" s="355"/>
      <c r="BB85" s="355"/>
      <c r="BC85" s="355"/>
      <c r="BD85" s="355"/>
      <c r="BE85" s="355"/>
      <c r="BF85" s="355"/>
      <c r="BG85" s="355"/>
      <c r="BH85" s="355"/>
      <c r="BI85" s="355"/>
      <c r="BJ85" s="355"/>
      <c r="BK85" s="355"/>
      <c r="BL85" s="355"/>
      <c r="BM85" s="355"/>
      <c r="BN85" s="355"/>
      <c r="BO85" s="355"/>
      <c r="BP85" s="355"/>
      <c r="BQ85" s="355"/>
    </row>
    <row r="86">
      <c r="E86" s="354"/>
      <c r="F86" s="355"/>
      <c r="G86" s="355"/>
      <c r="H86" s="355"/>
      <c r="I86" s="355"/>
      <c r="J86" s="355"/>
      <c r="K86" s="355"/>
      <c r="L86" s="355"/>
      <c r="M86" s="355"/>
      <c r="N86" s="355"/>
      <c r="O86" s="355"/>
      <c r="P86" s="355"/>
      <c r="Q86" s="355"/>
      <c r="R86" s="355"/>
      <c r="S86" s="355"/>
      <c r="T86" s="355"/>
      <c r="U86" s="355"/>
      <c r="V86" s="355"/>
      <c r="W86" s="355"/>
      <c r="X86" s="355"/>
      <c r="Y86" s="355"/>
      <c r="Z86" s="355"/>
      <c r="AA86" s="355"/>
      <c r="AB86" s="355"/>
      <c r="AC86" s="355"/>
      <c r="AD86" s="355"/>
      <c r="AE86" s="355"/>
      <c r="AF86" s="355"/>
      <c r="AG86" s="355"/>
      <c r="AH86" s="355"/>
      <c r="AI86" s="355"/>
      <c r="AJ86" s="355"/>
      <c r="AK86" s="355"/>
      <c r="AL86" s="355"/>
      <c r="AM86" s="355"/>
      <c r="AN86" s="355"/>
      <c r="AO86" s="355"/>
      <c r="AP86" s="355"/>
      <c r="AQ86" s="355"/>
      <c r="AR86" s="355"/>
      <c r="AS86" s="355"/>
      <c r="AT86" s="355"/>
      <c r="AU86" s="355"/>
      <c r="AV86" s="355"/>
      <c r="AW86" s="355"/>
      <c r="AX86" s="355"/>
      <c r="AY86" s="355"/>
      <c r="AZ86" s="355"/>
      <c r="BA86" s="355"/>
      <c r="BB86" s="355"/>
      <c r="BC86" s="355"/>
      <c r="BD86" s="355"/>
      <c r="BE86" s="355"/>
      <c r="BF86" s="355"/>
      <c r="BG86" s="355"/>
      <c r="BH86" s="355"/>
      <c r="BI86" s="355"/>
      <c r="BJ86" s="355"/>
      <c r="BK86" s="355"/>
      <c r="BL86" s="355"/>
      <c r="BM86" s="355"/>
      <c r="BN86" s="355"/>
      <c r="BO86" s="355"/>
      <c r="BP86" s="355"/>
      <c r="BQ86" s="355"/>
    </row>
    <row r="87">
      <c r="E87" s="354"/>
      <c r="F87" s="355"/>
      <c r="G87" s="355"/>
      <c r="H87" s="355"/>
      <c r="I87" s="355"/>
      <c r="J87" s="355"/>
      <c r="K87" s="355"/>
      <c r="L87" s="355"/>
      <c r="M87" s="355"/>
      <c r="N87" s="355"/>
      <c r="O87" s="355"/>
      <c r="P87" s="355"/>
      <c r="Q87" s="355"/>
      <c r="R87" s="355"/>
      <c r="S87" s="355"/>
      <c r="T87" s="355"/>
      <c r="U87" s="355"/>
      <c r="V87" s="355"/>
      <c r="W87" s="355"/>
      <c r="X87" s="355"/>
      <c r="Y87" s="355"/>
      <c r="Z87" s="355"/>
      <c r="AA87" s="355"/>
      <c r="AB87" s="355"/>
      <c r="AC87" s="355"/>
      <c r="AD87" s="355"/>
      <c r="AE87" s="355"/>
      <c r="AF87" s="355"/>
      <c r="AG87" s="355"/>
      <c r="AH87" s="355"/>
      <c r="AI87" s="355"/>
      <c r="AJ87" s="355"/>
      <c r="AK87" s="355"/>
      <c r="AL87" s="355"/>
      <c r="AM87" s="355"/>
      <c r="AN87" s="355"/>
      <c r="AO87" s="355"/>
      <c r="AP87" s="355"/>
      <c r="AQ87" s="355"/>
      <c r="AR87" s="355"/>
      <c r="AS87" s="355"/>
      <c r="AT87" s="355"/>
      <c r="AU87" s="355"/>
      <c r="AV87" s="355"/>
      <c r="AW87" s="355"/>
      <c r="AX87" s="355"/>
      <c r="AY87" s="355"/>
      <c r="AZ87" s="355"/>
      <c r="BA87" s="355"/>
      <c r="BB87" s="355"/>
      <c r="BC87" s="355"/>
      <c r="BD87" s="355"/>
      <c r="BE87" s="355"/>
      <c r="BF87" s="355"/>
      <c r="BG87" s="355"/>
      <c r="BH87" s="355"/>
      <c r="BI87" s="355"/>
      <c r="BJ87" s="355"/>
      <c r="BK87" s="355"/>
      <c r="BL87" s="355"/>
      <c r="BM87" s="355"/>
      <c r="BN87" s="355"/>
      <c r="BO87" s="355"/>
      <c r="BP87" s="355"/>
      <c r="BQ87" s="355"/>
    </row>
    <row r="88">
      <c r="E88" s="354"/>
      <c r="F88" s="355"/>
      <c r="G88" s="355"/>
      <c r="H88" s="355"/>
      <c r="I88" s="355"/>
      <c r="J88" s="355"/>
      <c r="K88" s="355"/>
      <c r="L88" s="355"/>
      <c r="M88" s="355"/>
      <c r="N88" s="355"/>
      <c r="O88" s="355"/>
      <c r="P88" s="355"/>
      <c r="Q88" s="355"/>
      <c r="R88" s="355"/>
      <c r="S88" s="355"/>
      <c r="T88" s="355"/>
      <c r="U88" s="355"/>
      <c r="V88" s="355"/>
      <c r="W88" s="355"/>
      <c r="X88" s="355"/>
      <c r="Y88" s="355"/>
      <c r="Z88" s="355"/>
      <c r="AA88" s="355"/>
      <c r="AB88" s="355"/>
      <c r="AC88" s="355"/>
      <c r="AD88" s="355"/>
      <c r="AE88" s="355"/>
      <c r="AF88" s="355"/>
      <c r="AG88" s="355"/>
      <c r="AH88" s="355"/>
      <c r="AI88" s="355"/>
      <c r="AJ88" s="355"/>
      <c r="AK88" s="355"/>
      <c r="AL88" s="355"/>
      <c r="AM88" s="355"/>
      <c r="AN88" s="355"/>
      <c r="AO88" s="355"/>
      <c r="AP88" s="355"/>
      <c r="AQ88" s="355"/>
      <c r="AR88" s="355"/>
      <c r="AS88" s="355"/>
      <c r="AT88" s="355"/>
      <c r="AU88" s="355"/>
      <c r="AV88" s="355"/>
      <c r="AW88" s="355"/>
      <c r="AX88" s="355"/>
      <c r="AY88" s="355"/>
      <c r="AZ88" s="355"/>
      <c r="BA88" s="355"/>
      <c r="BB88" s="355"/>
      <c r="BC88" s="355"/>
      <c r="BD88" s="355"/>
      <c r="BE88" s="355"/>
      <c r="BF88" s="355"/>
      <c r="BG88" s="355"/>
      <c r="BH88" s="355"/>
      <c r="BI88" s="355"/>
      <c r="BJ88" s="355"/>
      <c r="BK88" s="355"/>
      <c r="BL88" s="355"/>
      <c r="BM88" s="355"/>
      <c r="BN88" s="355"/>
      <c r="BO88" s="355"/>
      <c r="BP88" s="355"/>
      <c r="BQ88" s="355"/>
    </row>
    <row r="89">
      <c r="E89" s="354"/>
      <c r="F89" s="355"/>
      <c r="G89" s="355"/>
      <c r="H89" s="355"/>
      <c r="I89" s="355"/>
      <c r="J89" s="355"/>
      <c r="K89" s="355"/>
      <c r="L89" s="355"/>
      <c r="M89" s="355"/>
      <c r="N89" s="355"/>
      <c r="O89" s="355"/>
      <c r="P89" s="355"/>
      <c r="Q89" s="355"/>
      <c r="R89" s="355"/>
      <c r="S89" s="355"/>
      <c r="T89" s="355"/>
      <c r="U89" s="355"/>
      <c r="V89" s="355"/>
      <c r="W89" s="355"/>
      <c r="X89" s="355"/>
      <c r="Y89" s="355"/>
      <c r="Z89" s="355"/>
      <c r="AA89" s="355"/>
      <c r="AB89" s="355"/>
      <c r="AC89" s="355"/>
      <c r="AD89" s="355"/>
      <c r="AE89" s="355"/>
      <c r="AF89" s="355"/>
      <c r="AG89" s="355"/>
      <c r="AH89" s="355"/>
      <c r="AI89" s="355"/>
      <c r="AJ89" s="355"/>
      <c r="AK89" s="355"/>
      <c r="AL89" s="355"/>
      <c r="AM89" s="355"/>
      <c r="AN89" s="355"/>
      <c r="AO89" s="355"/>
      <c r="AP89" s="355"/>
      <c r="AQ89" s="355"/>
      <c r="AR89" s="355"/>
      <c r="AS89" s="355"/>
      <c r="AT89" s="355"/>
      <c r="AU89" s="355"/>
      <c r="AV89" s="355"/>
      <c r="AW89" s="355"/>
      <c r="AX89" s="355"/>
      <c r="AY89" s="355"/>
      <c r="AZ89" s="355"/>
      <c r="BA89" s="355"/>
      <c r="BB89" s="355"/>
      <c r="BC89" s="355"/>
      <c r="BD89" s="355"/>
      <c r="BE89" s="355"/>
      <c r="BF89" s="355"/>
      <c r="BG89" s="355"/>
      <c r="BH89" s="355"/>
      <c r="BI89" s="355"/>
      <c r="BJ89" s="355"/>
      <c r="BK89" s="355"/>
      <c r="BL89" s="355"/>
      <c r="BM89" s="355"/>
      <c r="BN89" s="355"/>
      <c r="BO89" s="355"/>
      <c r="BP89" s="355"/>
      <c r="BQ89" s="355"/>
    </row>
    <row r="90">
      <c r="E90" s="354"/>
      <c r="F90" s="355"/>
      <c r="G90" s="355"/>
      <c r="H90" s="355"/>
      <c r="I90" s="355"/>
      <c r="J90" s="355"/>
      <c r="K90" s="355"/>
      <c r="L90" s="355"/>
      <c r="M90" s="355"/>
      <c r="N90" s="355"/>
      <c r="O90" s="355"/>
      <c r="P90" s="355"/>
      <c r="Q90" s="355"/>
      <c r="R90" s="355"/>
      <c r="S90" s="355"/>
      <c r="T90" s="355"/>
      <c r="U90" s="355"/>
      <c r="V90" s="355"/>
      <c r="W90" s="355"/>
      <c r="X90" s="355"/>
      <c r="Y90" s="355"/>
      <c r="Z90" s="355"/>
      <c r="AA90" s="355"/>
      <c r="AB90" s="355"/>
      <c r="AC90" s="355"/>
      <c r="AD90" s="355"/>
      <c r="AE90" s="355"/>
      <c r="AF90" s="355"/>
      <c r="AG90" s="355"/>
      <c r="AH90" s="355"/>
      <c r="AI90" s="355"/>
      <c r="AJ90" s="355"/>
      <c r="AK90" s="355"/>
      <c r="AL90" s="355"/>
      <c r="AM90" s="355"/>
      <c r="AN90" s="355"/>
      <c r="AO90" s="355"/>
      <c r="AP90" s="355"/>
      <c r="AQ90" s="355"/>
      <c r="AR90" s="355"/>
      <c r="AS90" s="355"/>
      <c r="AT90" s="355"/>
      <c r="AU90" s="355"/>
      <c r="AV90" s="355"/>
      <c r="AW90" s="355"/>
      <c r="AX90" s="355"/>
      <c r="AY90" s="355"/>
      <c r="AZ90" s="355"/>
      <c r="BA90" s="355"/>
      <c r="BB90" s="355"/>
      <c r="BC90" s="355"/>
      <c r="BD90" s="355"/>
      <c r="BE90" s="355"/>
      <c r="BF90" s="355"/>
      <c r="BG90" s="355"/>
      <c r="BH90" s="355"/>
      <c r="BI90" s="355"/>
      <c r="BJ90" s="355"/>
      <c r="BK90" s="355"/>
      <c r="BL90" s="355"/>
      <c r="BM90" s="355"/>
      <c r="BN90" s="355"/>
      <c r="BO90" s="355"/>
      <c r="BP90" s="355"/>
      <c r="BQ90" s="355"/>
    </row>
    <row r="91">
      <c r="E91" s="354"/>
      <c r="F91" s="355"/>
      <c r="G91" s="355"/>
      <c r="H91" s="355"/>
      <c r="I91" s="355"/>
      <c r="J91" s="355"/>
      <c r="K91" s="355"/>
      <c r="L91" s="355"/>
      <c r="M91" s="355"/>
      <c r="N91" s="355"/>
      <c r="O91" s="355"/>
      <c r="P91" s="355"/>
      <c r="Q91" s="355"/>
      <c r="R91" s="355"/>
      <c r="S91" s="355"/>
      <c r="T91" s="355"/>
      <c r="U91" s="355"/>
      <c r="V91" s="355"/>
      <c r="W91" s="355"/>
      <c r="X91" s="355"/>
      <c r="Y91" s="355"/>
      <c r="Z91" s="355"/>
      <c r="AA91" s="355"/>
      <c r="AB91" s="355"/>
      <c r="AC91" s="355"/>
      <c r="AD91" s="355"/>
      <c r="AE91" s="355"/>
      <c r="AF91" s="355"/>
      <c r="AG91" s="355"/>
      <c r="AH91" s="355"/>
      <c r="AI91" s="355"/>
      <c r="AJ91" s="355"/>
      <c r="AK91" s="355"/>
      <c r="AL91" s="355"/>
      <c r="AM91" s="355"/>
      <c r="AN91" s="355"/>
      <c r="AO91" s="355"/>
      <c r="AP91" s="355"/>
      <c r="AQ91" s="355"/>
      <c r="AR91" s="355"/>
      <c r="AS91" s="355"/>
      <c r="AT91" s="355"/>
      <c r="AU91" s="355"/>
      <c r="AV91" s="355"/>
      <c r="AW91" s="355"/>
      <c r="AX91" s="355"/>
      <c r="AY91" s="355"/>
      <c r="AZ91" s="355"/>
      <c r="BA91" s="355"/>
      <c r="BB91" s="355"/>
      <c r="BC91" s="355"/>
      <c r="BD91" s="355"/>
      <c r="BE91" s="355"/>
      <c r="BF91" s="355"/>
      <c r="BG91" s="355"/>
      <c r="BH91" s="355"/>
      <c r="BI91" s="355"/>
      <c r="BJ91" s="355"/>
      <c r="BK91" s="355"/>
      <c r="BL91" s="355"/>
      <c r="BM91" s="355"/>
      <c r="BN91" s="355"/>
      <c r="BO91" s="355"/>
      <c r="BP91" s="355"/>
      <c r="BQ91" s="355"/>
    </row>
    <row r="92">
      <c r="E92" s="354"/>
      <c r="F92" s="355"/>
      <c r="G92" s="355"/>
      <c r="H92" s="355"/>
      <c r="I92" s="355"/>
      <c r="J92" s="355"/>
      <c r="K92" s="355"/>
      <c r="L92" s="355"/>
      <c r="M92" s="355"/>
      <c r="N92" s="355"/>
      <c r="O92" s="355"/>
      <c r="P92" s="355"/>
      <c r="Q92" s="355"/>
      <c r="R92" s="355"/>
      <c r="S92" s="355"/>
      <c r="T92" s="355"/>
      <c r="U92" s="355"/>
      <c r="V92" s="355"/>
      <c r="W92" s="355"/>
      <c r="X92" s="355"/>
      <c r="Y92" s="355"/>
      <c r="Z92" s="355"/>
      <c r="AA92" s="355"/>
      <c r="AB92" s="355"/>
      <c r="AC92" s="355"/>
      <c r="AD92" s="355"/>
      <c r="AE92" s="355"/>
      <c r="AF92" s="355"/>
      <c r="AG92" s="355"/>
      <c r="AH92" s="355"/>
      <c r="AI92" s="355"/>
      <c r="AJ92" s="355"/>
      <c r="AK92" s="355"/>
      <c r="AL92" s="355"/>
      <c r="AM92" s="355"/>
      <c r="AN92" s="355"/>
      <c r="AO92" s="355"/>
      <c r="AP92" s="355"/>
      <c r="AQ92" s="355"/>
      <c r="AR92" s="355"/>
      <c r="AS92" s="355"/>
      <c r="AT92" s="355"/>
      <c r="AU92" s="355"/>
      <c r="AV92" s="355"/>
      <c r="AW92" s="355"/>
      <c r="AX92" s="355"/>
      <c r="AY92" s="355"/>
      <c r="AZ92" s="355"/>
      <c r="BA92" s="355"/>
      <c r="BB92" s="355"/>
      <c r="BC92" s="355"/>
      <c r="BD92" s="355"/>
      <c r="BE92" s="355"/>
      <c r="BF92" s="355"/>
      <c r="BG92" s="355"/>
      <c r="BH92" s="355"/>
      <c r="BI92" s="355"/>
      <c r="BJ92" s="355"/>
      <c r="BK92" s="355"/>
      <c r="BL92" s="355"/>
      <c r="BM92" s="355"/>
      <c r="BN92" s="355"/>
      <c r="BO92" s="355"/>
      <c r="BP92" s="355"/>
      <c r="BQ92" s="355"/>
    </row>
    <row r="93">
      <c r="E93" s="354"/>
      <c r="F93" s="355"/>
      <c r="G93" s="355"/>
      <c r="H93" s="355"/>
      <c r="I93" s="355"/>
      <c r="J93" s="355"/>
      <c r="K93" s="355"/>
      <c r="L93" s="355"/>
      <c r="M93" s="355"/>
      <c r="N93" s="355"/>
      <c r="O93" s="355"/>
      <c r="P93" s="355"/>
      <c r="Q93" s="355"/>
      <c r="R93" s="355"/>
      <c r="S93" s="355"/>
      <c r="T93" s="355"/>
      <c r="U93" s="355"/>
      <c r="V93" s="355"/>
      <c r="W93" s="355"/>
      <c r="X93" s="355"/>
      <c r="Y93" s="355"/>
      <c r="Z93" s="355"/>
      <c r="AA93" s="355"/>
      <c r="AB93" s="355"/>
      <c r="AC93" s="355"/>
      <c r="AD93" s="355"/>
      <c r="AE93" s="355"/>
      <c r="AF93" s="355"/>
      <c r="AG93" s="355"/>
      <c r="AH93" s="355"/>
      <c r="AI93" s="355"/>
      <c r="AJ93" s="355"/>
      <c r="AK93" s="355"/>
      <c r="AL93" s="355"/>
      <c r="AM93" s="355"/>
      <c r="AN93" s="355"/>
      <c r="AO93" s="355"/>
      <c r="AP93" s="355"/>
      <c r="AQ93" s="355"/>
      <c r="AR93" s="355"/>
      <c r="AS93" s="355"/>
      <c r="AT93" s="355"/>
      <c r="AU93" s="355"/>
      <c r="AV93" s="355"/>
      <c r="AW93" s="355"/>
      <c r="AX93" s="355"/>
      <c r="AY93" s="355"/>
      <c r="AZ93" s="355"/>
      <c r="BA93" s="355"/>
      <c r="BB93" s="355"/>
      <c r="BC93" s="355"/>
      <c r="BD93" s="355"/>
      <c r="BE93" s="355"/>
      <c r="BF93" s="355"/>
      <c r="BG93" s="355"/>
      <c r="BH93" s="355"/>
      <c r="BI93" s="355"/>
      <c r="BJ93" s="355"/>
      <c r="BK93" s="355"/>
      <c r="BL93" s="355"/>
      <c r="BM93" s="355"/>
      <c r="BN93" s="355"/>
      <c r="BO93" s="355"/>
      <c r="BP93" s="355"/>
      <c r="BQ93" s="355"/>
    </row>
    <row r="94">
      <c r="E94" s="354"/>
      <c r="F94" s="355"/>
      <c r="G94" s="355"/>
      <c r="H94" s="355"/>
      <c r="I94" s="355"/>
      <c r="J94" s="355"/>
      <c r="K94" s="355"/>
      <c r="L94" s="355"/>
      <c r="M94" s="355"/>
      <c r="N94" s="355"/>
      <c r="O94" s="355"/>
      <c r="P94" s="355"/>
      <c r="Q94" s="355"/>
      <c r="R94" s="355"/>
      <c r="S94" s="355"/>
      <c r="T94" s="355"/>
      <c r="U94" s="355"/>
      <c r="V94" s="355"/>
      <c r="W94" s="355"/>
      <c r="X94" s="355"/>
      <c r="Y94" s="355"/>
      <c r="Z94" s="355"/>
      <c r="AA94" s="355"/>
      <c r="AB94" s="355"/>
      <c r="AC94" s="355"/>
      <c r="AD94" s="355"/>
      <c r="AE94" s="355"/>
      <c r="AF94" s="355"/>
      <c r="AG94" s="355"/>
      <c r="AH94" s="355"/>
      <c r="AI94" s="355"/>
      <c r="AJ94" s="355"/>
      <c r="AK94" s="355"/>
      <c r="AL94" s="355"/>
      <c r="AM94" s="355"/>
      <c r="AN94" s="355"/>
      <c r="AO94" s="355"/>
      <c r="AP94" s="355"/>
      <c r="AQ94" s="355"/>
      <c r="AR94" s="355"/>
      <c r="AS94" s="355"/>
      <c r="AT94" s="355"/>
      <c r="AU94" s="355"/>
      <c r="AV94" s="355"/>
      <c r="AW94" s="355"/>
      <c r="AX94" s="355"/>
      <c r="AY94" s="355"/>
      <c r="AZ94" s="355"/>
      <c r="BA94" s="355"/>
      <c r="BB94" s="355"/>
      <c r="BC94" s="355"/>
      <c r="BD94" s="355"/>
      <c r="BE94" s="355"/>
      <c r="BF94" s="355"/>
      <c r="BG94" s="355"/>
      <c r="BH94" s="355"/>
      <c r="BI94" s="355"/>
      <c r="BJ94" s="355"/>
      <c r="BK94" s="355"/>
      <c r="BL94" s="355"/>
      <c r="BM94" s="355"/>
      <c r="BN94" s="355"/>
      <c r="BO94" s="355"/>
      <c r="BP94" s="355"/>
      <c r="BQ94" s="355"/>
    </row>
    <row r="95">
      <c r="E95" s="354"/>
      <c r="F95" s="355"/>
      <c r="G95" s="355"/>
      <c r="H95" s="355"/>
      <c r="I95" s="355"/>
      <c r="J95" s="355"/>
      <c r="K95" s="355"/>
      <c r="L95" s="355"/>
      <c r="M95" s="355"/>
      <c r="N95" s="355"/>
      <c r="O95" s="355"/>
      <c r="P95" s="355"/>
      <c r="Q95" s="355"/>
      <c r="R95" s="355"/>
      <c r="S95" s="355"/>
      <c r="T95" s="355"/>
      <c r="U95" s="355"/>
      <c r="V95" s="355"/>
      <c r="W95" s="355"/>
      <c r="X95" s="355"/>
      <c r="Y95" s="355"/>
      <c r="Z95" s="355"/>
      <c r="AA95" s="355"/>
      <c r="AB95" s="355"/>
      <c r="AC95" s="355"/>
      <c r="AD95" s="355"/>
      <c r="AE95" s="355"/>
      <c r="AF95" s="355"/>
      <c r="AG95" s="355"/>
      <c r="AH95" s="355"/>
      <c r="AI95" s="355"/>
      <c r="AJ95" s="355"/>
      <c r="AK95" s="355"/>
      <c r="AL95" s="355"/>
      <c r="AM95" s="355"/>
      <c r="AN95" s="355"/>
      <c r="AO95" s="355"/>
      <c r="AP95" s="355"/>
      <c r="AQ95" s="355"/>
      <c r="AR95" s="355"/>
      <c r="AS95" s="355"/>
      <c r="AT95" s="355"/>
      <c r="AU95" s="355"/>
      <c r="AV95" s="355"/>
      <c r="AW95" s="355"/>
      <c r="AX95" s="355"/>
      <c r="AY95" s="355"/>
      <c r="AZ95" s="355"/>
      <c r="BA95" s="355"/>
      <c r="BB95" s="355"/>
      <c r="BC95" s="355"/>
      <c r="BD95" s="355"/>
      <c r="BE95" s="355"/>
      <c r="BF95" s="355"/>
      <c r="BG95" s="355"/>
      <c r="BH95" s="355"/>
      <c r="BI95" s="355"/>
      <c r="BJ95" s="355"/>
      <c r="BK95" s="355"/>
      <c r="BL95" s="355"/>
      <c r="BM95" s="355"/>
      <c r="BN95" s="355"/>
      <c r="BO95" s="355"/>
      <c r="BP95" s="355"/>
      <c r="BQ95" s="355"/>
    </row>
    <row r="96">
      <c r="E96" s="354"/>
      <c r="F96" s="355"/>
      <c r="G96" s="355"/>
      <c r="H96" s="355"/>
      <c r="I96" s="355"/>
      <c r="J96" s="355"/>
      <c r="K96" s="355"/>
      <c r="L96" s="355"/>
      <c r="M96" s="355"/>
      <c r="N96" s="355"/>
      <c r="O96" s="355"/>
      <c r="P96" s="355"/>
      <c r="Q96" s="355"/>
      <c r="R96" s="355"/>
      <c r="S96" s="355"/>
      <c r="T96" s="355"/>
      <c r="U96" s="355"/>
      <c r="V96" s="355"/>
      <c r="W96" s="355"/>
      <c r="X96" s="355"/>
      <c r="Y96" s="355"/>
      <c r="Z96" s="355"/>
      <c r="AA96" s="355"/>
      <c r="AB96" s="355"/>
      <c r="AC96" s="355"/>
      <c r="AD96" s="355"/>
      <c r="AE96" s="355"/>
      <c r="AF96" s="355"/>
      <c r="AG96" s="355"/>
      <c r="AH96" s="355"/>
      <c r="AI96" s="355"/>
      <c r="AJ96" s="355"/>
      <c r="AK96" s="355"/>
      <c r="AL96" s="355"/>
      <c r="AM96" s="355"/>
      <c r="AN96" s="355"/>
      <c r="AO96" s="355"/>
      <c r="AP96" s="355"/>
      <c r="AQ96" s="355"/>
      <c r="AR96" s="355"/>
      <c r="AS96" s="355"/>
      <c r="AT96" s="355"/>
      <c r="AU96" s="355"/>
      <c r="AV96" s="355"/>
      <c r="AW96" s="355"/>
      <c r="AX96" s="355"/>
      <c r="AY96" s="355"/>
      <c r="AZ96" s="355"/>
      <c r="BA96" s="355"/>
      <c r="BB96" s="355"/>
      <c r="BC96" s="355"/>
      <c r="BD96" s="355"/>
      <c r="BE96" s="355"/>
      <c r="BF96" s="355"/>
      <c r="BG96" s="355"/>
      <c r="BH96" s="355"/>
      <c r="BI96" s="355"/>
      <c r="BJ96" s="355"/>
      <c r="BK96" s="355"/>
      <c r="BL96" s="355"/>
      <c r="BM96" s="355"/>
      <c r="BN96" s="355"/>
      <c r="BO96" s="355"/>
      <c r="BP96" s="355"/>
      <c r="BQ96" s="355"/>
    </row>
    <row r="97">
      <c r="E97" s="354"/>
      <c r="F97" s="355"/>
      <c r="G97" s="355"/>
      <c r="H97" s="355"/>
      <c r="I97" s="355"/>
      <c r="J97" s="355"/>
      <c r="K97" s="355"/>
      <c r="L97" s="355"/>
      <c r="M97" s="355"/>
      <c r="N97" s="355"/>
      <c r="O97" s="355"/>
      <c r="P97" s="355"/>
      <c r="Q97" s="355"/>
      <c r="R97" s="355"/>
      <c r="S97" s="355"/>
      <c r="T97" s="355"/>
      <c r="U97" s="355"/>
      <c r="V97" s="355"/>
      <c r="W97" s="355"/>
      <c r="X97" s="355"/>
      <c r="Y97" s="355"/>
      <c r="Z97" s="355"/>
      <c r="AA97" s="355"/>
      <c r="AB97" s="355"/>
      <c r="AC97" s="355"/>
      <c r="AD97" s="355"/>
      <c r="AE97" s="355"/>
      <c r="AF97" s="355"/>
      <c r="AG97" s="355"/>
      <c r="AH97" s="355"/>
      <c r="AI97" s="355"/>
      <c r="AJ97" s="355"/>
      <c r="AK97" s="355"/>
      <c r="AL97" s="355"/>
      <c r="AM97" s="355"/>
      <c r="AN97" s="355"/>
      <c r="AO97" s="355"/>
      <c r="AP97" s="355"/>
      <c r="AQ97" s="355"/>
      <c r="AR97" s="355"/>
      <c r="AS97" s="355"/>
      <c r="AT97" s="355"/>
      <c r="AU97" s="355"/>
      <c r="AV97" s="355"/>
      <c r="AW97" s="355"/>
      <c r="AX97" s="355"/>
      <c r="AY97" s="355"/>
      <c r="AZ97" s="355"/>
      <c r="BA97" s="355"/>
      <c r="BB97" s="355"/>
      <c r="BC97" s="355"/>
      <c r="BD97" s="355"/>
      <c r="BE97" s="355"/>
      <c r="BF97" s="355"/>
      <c r="BG97" s="355"/>
      <c r="BH97" s="355"/>
      <c r="BI97" s="355"/>
      <c r="BJ97" s="355"/>
      <c r="BK97" s="355"/>
      <c r="BL97" s="355"/>
      <c r="BM97" s="355"/>
      <c r="BN97" s="355"/>
      <c r="BO97" s="355"/>
      <c r="BP97" s="355"/>
      <c r="BQ97" s="355"/>
    </row>
    <row r="98">
      <c r="E98" s="354"/>
      <c r="F98" s="355"/>
      <c r="G98" s="355"/>
      <c r="H98" s="355"/>
      <c r="I98" s="355"/>
      <c r="J98" s="355"/>
      <c r="K98" s="355"/>
      <c r="L98" s="355"/>
      <c r="M98" s="355"/>
      <c r="N98" s="355"/>
      <c r="O98" s="355"/>
      <c r="P98" s="355"/>
      <c r="Q98" s="355"/>
      <c r="R98" s="355"/>
      <c r="S98" s="355"/>
      <c r="T98" s="355"/>
      <c r="U98" s="355"/>
      <c r="V98" s="355"/>
      <c r="W98" s="355"/>
      <c r="X98" s="355"/>
      <c r="Y98" s="355"/>
      <c r="Z98" s="355"/>
      <c r="AA98" s="355"/>
      <c r="AB98" s="355"/>
      <c r="AC98" s="355"/>
      <c r="AD98" s="355"/>
      <c r="AE98" s="355"/>
      <c r="AF98" s="355"/>
      <c r="AG98" s="355"/>
      <c r="AH98" s="355"/>
      <c r="AI98" s="355"/>
      <c r="AJ98" s="355"/>
      <c r="AK98" s="355"/>
      <c r="AL98" s="355"/>
      <c r="AM98" s="355"/>
      <c r="AN98" s="355"/>
      <c r="AO98" s="355"/>
      <c r="AP98" s="355"/>
      <c r="AQ98" s="355"/>
      <c r="AR98" s="355"/>
      <c r="AS98" s="355"/>
      <c r="AT98" s="355"/>
      <c r="AU98" s="355"/>
      <c r="AV98" s="355"/>
      <c r="AW98" s="355"/>
      <c r="AX98" s="355"/>
      <c r="AY98" s="355"/>
      <c r="AZ98" s="355"/>
      <c r="BA98" s="355"/>
      <c r="BB98" s="355"/>
      <c r="BC98" s="355"/>
      <c r="BD98" s="355"/>
      <c r="BE98" s="355"/>
      <c r="BF98" s="355"/>
      <c r="BG98" s="355"/>
      <c r="BH98" s="355"/>
      <c r="BI98" s="355"/>
      <c r="BJ98" s="355"/>
      <c r="BK98" s="355"/>
      <c r="BL98" s="355"/>
      <c r="BM98" s="355"/>
      <c r="BN98" s="355"/>
      <c r="BO98" s="355"/>
      <c r="BP98" s="355"/>
      <c r="BQ98" s="355"/>
    </row>
    <row r="99">
      <c r="E99" s="354"/>
      <c r="F99" s="355"/>
      <c r="G99" s="355"/>
      <c r="H99" s="355"/>
      <c r="I99" s="355"/>
      <c r="J99" s="355"/>
      <c r="K99" s="355"/>
      <c r="L99" s="355"/>
      <c r="M99" s="355"/>
      <c r="N99" s="355"/>
      <c r="O99" s="355"/>
      <c r="P99" s="355"/>
      <c r="Q99" s="355"/>
      <c r="R99" s="355"/>
      <c r="S99" s="355"/>
      <c r="T99" s="355"/>
      <c r="U99" s="355"/>
      <c r="V99" s="355"/>
      <c r="W99" s="355"/>
      <c r="X99" s="355"/>
      <c r="Y99" s="355"/>
      <c r="Z99" s="355"/>
      <c r="AA99" s="355"/>
      <c r="AB99" s="355"/>
      <c r="AC99" s="355"/>
      <c r="AD99" s="355"/>
      <c r="AE99" s="355"/>
      <c r="AF99" s="355"/>
      <c r="AG99" s="355"/>
      <c r="AH99" s="355"/>
      <c r="AI99" s="355"/>
      <c r="AJ99" s="355"/>
      <c r="AK99" s="355"/>
      <c r="AL99" s="355"/>
      <c r="AM99" s="355"/>
      <c r="AN99" s="355"/>
      <c r="AO99" s="355"/>
      <c r="AP99" s="355"/>
      <c r="AQ99" s="355"/>
      <c r="AR99" s="355"/>
      <c r="AS99" s="355"/>
      <c r="AT99" s="355"/>
      <c r="AU99" s="355"/>
      <c r="AV99" s="355"/>
      <c r="AW99" s="355"/>
      <c r="AX99" s="355"/>
      <c r="AY99" s="355"/>
      <c r="AZ99" s="355"/>
      <c r="BA99" s="355"/>
      <c r="BB99" s="355"/>
      <c r="BC99" s="355"/>
      <c r="BD99" s="355"/>
      <c r="BE99" s="355"/>
      <c r="BF99" s="355"/>
      <c r="BG99" s="355"/>
      <c r="BH99" s="355"/>
      <c r="BI99" s="355"/>
      <c r="BJ99" s="355"/>
      <c r="BK99" s="355"/>
      <c r="BL99" s="355"/>
      <c r="BM99" s="355"/>
      <c r="BN99" s="355"/>
      <c r="BO99" s="355"/>
      <c r="BP99" s="355"/>
      <c r="BQ99" s="355"/>
    </row>
    <row r="100">
      <c r="E100" s="354"/>
      <c r="F100" s="355"/>
      <c r="G100" s="355"/>
      <c r="H100" s="355"/>
      <c r="I100" s="355"/>
      <c r="J100" s="355"/>
      <c r="K100" s="355"/>
      <c r="L100" s="355"/>
      <c r="M100" s="355"/>
      <c r="N100" s="355"/>
      <c r="O100" s="355"/>
      <c r="P100" s="355"/>
      <c r="Q100" s="355"/>
      <c r="R100" s="355"/>
      <c r="S100" s="355"/>
      <c r="T100" s="355"/>
      <c r="U100" s="355"/>
      <c r="V100" s="355"/>
      <c r="W100" s="355"/>
      <c r="X100" s="355"/>
      <c r="Y100" s="355"/>
      <c r="Z100" s="355"/>
      <c r="AA100" s="355"/>
      <c r="AB100" s="355"/>
      <c r="AC100" s="355"/>
      <c r="AD100" s="355"/>
      <c r="AE100" s="355"/>
      <c r="AF100" s="355"/>
      <c r="AG100" s="355"/>
      <c r="AH100" s="355"/>
      <c r="AI100" s="355"/>
      <c r="AJ100" s="355"/>
      <c r="AK100" s="355"/>
      <c r="AL100" s="355"/>
      <c r="AM100" s="355"/>
      <c r="AN100" s="355"/>
      <c r="AO100" s="355"/>
      <c r="AP100" s="355"/>
      <c r="AQ100" s="355"/>
      <c r="AR100" s="355"/>
      <c r="AS100" s="355"/>
      <c r="AT100" s="355"/>
      <c r="AU100" s="355"/>
      <c r="AV100" s="355"/>
      <c r="AW100" s="355"/>
      <c r="AX100" s="355"/>
      <c r="AY100" s="355"/>
      <c r="AZ100" s="355"/>
      <c r="BA100" s="355"/>
      <c r="BB100" s="355"/>
      <c r="BC100" s="355"/>
      <c r="BD100" s="355"/>
      <c r="BE100" s="355"/>
      <c r="BF100" s="355"/>
      <c r="BG100" s="355"/>
      <c r="BH100" s="355"/>
      <c r="BI100" s="355"/>
      <c r="BJ100" s="355"/>
      <c r="BK100" s="355"/>
      <c r="BL100" s="355"/>
      <c r="BM100" s="355"/>
      <c r="BN100" s="355"/>
      <c r="BO100" s="355"/>
      <c r="BP100" s="355"/>
      <c r="BQ100" s="355"/>
    </row>
    <row r="101">
      <c r="E101" s="354"/>
      <c r="F101" s="355"/>
      <c r="G101" s="355"/>
      <c r="H101" s="355"/>
      <c r="I101" s="355"/>
      <c r="J101" s="355"/>
      <c r="K101" s="355"/>
      <c r="L101" s="355"/>
      <c r="M101" s="355"/>
      <c r="N101" s="355"/>
      <c r="O101" s="355"/>
      <c r="P101" s="355"/>
      <c r="Q101" s="355"/>
      <c r="R101" s="355"/>
      <c r="S101" s="355"/>
      <c r="T101" s="355"/>
      <c r="U101" s="355"/>
      <c r="V101" s="355"/>
      <c r="W101" s="355"/>
      <c r="X101" s="355"/>
      <c r="Y101" s="355"/>
      <c r="Z101" s="355"/>
      <c r="AA101" s="355"/>
      <c r="AB101" s="355"/>
      <c r="AC101" s="355"/>
      <c r="AD101" s="355"/>
      <c r="AE101" s="355"/>
      <c r="AF101" s="355"/>
      <c r="AG101" s="355"/>
      <c r="AH101" s="355"/>
      <c r="AI101" s="355"/>
      <c r="AJ101" s="355"/>
      <c r="AK101" s="355"/>
      <c r="AL101" s="355"/>
      <c r="AM101" s="355"/>
      <c r="AN101" s="355"/>
      <c r="AO101" s="355"/>
      <c r="AP101" s="355"/>
      <c r="AQ101" s="355"/>
      <c r="AR101" s="355"/>
      <c r="AS101" s="355"/>
      <c r="AT101" s="355"/>
      <c r="AU101" s="355"/>
      <c r="AV101" s="355"/>
      <c r="AW101" s="355"/>
      <c r="AX101" s="355"/>
      <c r="AY101" s="355"/>
      <c r="AZ101" s="355"/>
      <c r="BA101" s="355"/>
      <c r="BB101" s="355"/>
      <c r="BC101" s="355"/>
      <c r="BD101" s="355"/>
      <c r="BE101" s="355"/>
      <c r="BF101" s="355"/>
      <c r="BG101" s="355"/>
      <c r="BH101" s="355"/>
      <c r="BI101" s="355"/>
      <c r="BJ101" s="355"/>
      <c r="BK101" s="355"/>
      <c r="BL101" s="355"/>
      <c r="BM101" s="355"/>
      <c r="BN101" s="355"/>
      <c r="BO101" s="355"/>
      <c r="BP101" s="355"/>
      <c r="BQ101" s="355"/>
    </row>
    <row r="102">
      <c r="E102" s="354"/>
      <c r="F102" s="355"/>
      <c r="G102" s="355"/>
      <c r="H102" s="355"/>
      <c r="I102" s="355"/>
      <c r="J102" s="355"/>
      <c r="K102" s="355"/>
      <c r="L102" s="355"/>
      <c r="M102" s="355"/>
      <c r="N102" s="355"/>
      <c r="O102" s="355"/>
      <c r="P102" s="355"/>
      <c r="Q102" s="355"/>
      <c r="R102" s="355"/>
      <c r="S102" s="355"/>
      <c r="T102" s="355"/>
      <c r="U102" s="355"/>
      <c r="V102" s="355"/>
      <c r="W102" s="355"/>
      <c r="X102" s="355"/>
      <c r="Y102" s="355"/>
      <c r="Z102" s="355"/>
      <c r="AA102" s="355"/>
      <c r="AB102" s="355"/>
      <c r="AC102" s="355"/>
      <c r="AD102" s="355"/>
      <c r="AE102" s="355"/>
      <c r="AF102" s="355"/>
      <c r="AG102" s="355"/>
      <c r="AH102" s="355"/>
      <c r="AI102" s="355"/>
      <c r="AJ102" s="355"/>
      <c r="AK102" s="355"/>
      <c r="AL102" s="355"/>
      <c r="AM102" s="355"/>
      <c r="AN102" s="355"/>
      <c r="AO102" s="355"/>
      <c r="AP102" s="355"/>
      <c r="AQ102" s="355"/>
      <c r="AR102" s="355"/>
      <c r="AS102" s="355"/>
      <c r="AT102" s="355"/>
      <c r="AU102" s="355"/>
      <c r="AV102" s="355"/>
      <c r="AW102" s="355"/>
      <c r="AX102" s="355"/>
      <c r="AY102" s="355"/>
      <c r="AZ102" s="355"/>
      <c r="BA102" s="355"/>
      <c r="BB102" s="355"/>
      <c r="BC102" s="355"/>
      <c r="BD102" s="355"/>
      <c r="BE102" s="355"/>
      <c r="BF102" s="355"/>
      <c r="BG102" s="355"/>
      <c r="BH102" s="355"/>
      <c r="BI102" s="355"/>
      <c r="BJ102" s="355"/>
      <c r="BK102" s="355"/>
      <c r="BL102" s="355"/>
      <c r="BM102" s="355"/>
      <c r="BN102" s="355"/>
      <c r="BO102" s="355"/>
      <c r="BP102" s="355"/>
      <c r="BQ102" s="355"/>
    </row>
    <row r="103">
      <c r="E103" s="354"/>
      <c r="F103" s="355"/>
      <c r="G103" s="355"/>
      <c r="H103" s="355"/>
      <c r="I103" s="355"/>
      <c r="J103" s="355"/>
      <c r="K103" s="355"/>
      <c r="L103" s="355"/>
      <c r="M103" s="355"/>
      <c r="N103" s="355"/>
      <c r="O103" s="355"/>
      <c r="P103" s="355"/>
      <c r="Q103" s="355"/>
      <c r="R103" s="355"/>
      <c r="S103" s="355"/>
      <c r="T103" s="355"/>
      <c r="U103" s="355"/>
      <c r="V103" s="355"/>
      <c r="W103" s="355"/>
      <c r="X103" s="355"/>
      <c r="Y103" s="355"/>
      <c r="Z103" s="355"/>
      <c r="AA103" s="355"/>
      <c r="AB103" s="355"/>
      <c r="AC103" s="355"/>
      <c r="AD103" s="355"/>
      <c r="AE103" s="355"/>
      <c r="AF103" s="355"/>
      <c r="AG103" s="355"/>
      <c r="AH103" s="355"/>
      <c r="AI103" s="355"/>
      <c r="AJ103" s="355"/>
      <c r="AK103" s="355"/>
      <c r="AL103" s="355"/>
      <c r="AM103" s="355"/>
      <c r="AN103" s="355"/>
      <c r="AO103" s="355"/>
      <c r="AP103" s="355"/>
      <c r="AQ103" s="355"/>
      <c r="AR103" s="355"/>
      <c r="AS103" s="355"/>
      <c r="AT103" s="355"/>
      <c r="AU103" s="355"/>
      <c r="AV103" s="355"/>
      <c r="AW103" s="355"/>
      <c r="AX103" s="355"/>
      <c r="AY103" s="355"/>
      <c r="AZ103" s="355"/>
      <c r="BA103" s="355"/>
      <c r="BB103" s="355"/>
      <c r="BC103" s="355"/>
      <c r="BD103" s="355"/>
      <c r="BE103" s="355"/>
      <c r="BF103" s="355"/>
      <c r="BG103" s="355"/>
      <c r="BH103" s="355"/>
      <c r="BI103" s="355"/>
      <c r="BJ103" s="355"/>
      <c r="BK103" s="355"/>
      <c r="BL103" s="355"/>
      <c r="BM103" s="355"/>
      <c r="BN103" s="355"/>
      <c r="BO103" s="355"/>
      <c r="BP103" s="355"/>
      <c r="BQ103" s="355"/>
    </row>
    <row r="104">
      <c r="E104" s="354"/>
      <c r="F104" s="355"/>
      <c r="G104" s="355"/>
      <c r="H104" s="355"/>
      <c r="I104" s="355"/>
      <c r="J104" s="355"/>
      <c r="K104" s="355"/>
      <c r="L104" s="355"/>
      <c r="M104" s="355"/>
      <c r="N104" s="355"/>
      <c r="O104" s="355"/>
      <c r="P104" s="355"/>
      <c r="Q104" s="355"/>
      <c r="R104" s="355"/>
      <c r="S104" s="355"/>
      <c r="T104" s="355"/>
      <c r="U104" s="355"/>
      <c r="V104" s="355"/>
      <c r="W104" s="355"/>
      <c r="X104" s="355"/>
      <c r="Y104" s="355"/>
      <c r="Z104" s="355"/>
      <c r="AA104" s="355"/>
      <c r="AB104" s="355"/>
      <c r="AC104" s="355"/>
      <c r="AD104" s="355"/>
      <c r="AE104" s="355"/>
      <c r="AF104" s="355"/>
      <c r="AG104" s="355"/>
      <c r="AH104" s="355"/>
      <c r="AI104" s="355"/>
      <c r="AJ104" s="355"/>
      <c r="AK104" s="355"/>
      <c r="AL104" s="355"/>
      <c r="AM104" s="355"/>
      <c r="AN104" s="355"/>
      <c r="AO104" s="355"/>
      <c r="AP104" s="355"/>
      <c r="AQ104" s="355"/>
      <c r="AR104" s="355"/>
      <c r="AS104" s="355"/>
      <c r="AT104" s="355"/>
      <c r="AU104" s="355"/>
      <c r="AV104" s="355"/>
      <c r="AW104" s="355"/>
      <c r="AX104" s="355"/>
      <c r="AY104" s="355"/>
      <c r="AZ104" s="355"/>
      <c r="BA104" s="355"/>
      <c r="BB104" s="355"/>
      <c r="BC104" s="355"/>
      <c r="BD104" s="355"/>
      <c r="BE104" s="355"/>
      <c r="BF104" s="355"/>
      <c r="BG104" s="355"/>
      <c r="BH104" s="355"/>
      <c r="BI104" s="355"/>
      <c r="BJ104" s="355"/>
      <c r="BK104" s="355"/>
      <c r="BL104" s="355"/>
      <c r="BM104" s="355"/>
      <c r="BN104" s="355"/>
      <c r="BO104" s="355"/>
      <c r="BP104" s="355"/>
      <c r="BQ104" s="355"/>
    </row>
    <row r="105">
      <c r="E105" s="354"/>
      <c r="F105" s="355"/>
      <c r="G105" s="355"/>
      <c r="H105" s="355"/>
      <c r="I105" s="355"/>
      <c r="J105" s="355"/>
      <c r="K105" s="355"/>
      <c r="L105" s="355"/>
      <c r="M105" s="355"/>
      <c r="N105" s="355"/>
      <c r="O105" s="355"/>
      <c r="P105" s="355"/>
      <c r="Q105" s="355"/>
      <c r="R105" s="355"/>
      <c r="S105" s="355"/>
      <c r="T105" s="355"/>
      <c r="U105" s="355"/>
      <c r="V105" s="355"/>
      <c r="W105" s="355"/>
      <c r="X105" s="355"/>
      <c r="Y105" s="355"/>
      <c r="Z105" s="355"/>
      <c r="AA105" s="355"/>
      <c r="AB105" s="355"/>
      <c r="AC105" s="355"/>
      <c r="AD105" s="355"/>
      <c r="AE105" s="355"/>
      <c r="AF105" s="355"/>
      <c r="AG105" s="355"/>
      <c r="AH105" s="355"/>
      <c r="AI105" s="355"/>
      <c r="AJ105" s="355"/>
      <c r="AK105" s="355"/>
      <c r="AL105" s="355"/>
      <c r="AM105" s="355"/>
      <c r="AN105" s="355"/>
      <c r="AO105" s="355"/>
      <c r="AP105" s="355"/>
      <c r="AQ105" s="355"/>
      <c r="AR105" s="355"/>
      <c r="AS105" s="355"/>
      <c r="AT105" s="355"/>
      <c r="AU105" s="355"/>
      <c r="AV105" s="355"/>
      <c r="AW105" s="355"/>
      <c r="AX105" s="355"/>
      <c r="AY105" s="355"/>
      <c r="AZ105" s="355"/>
      <c r="BA105" s="355"/>
      <c r="BB105" s="355"/>
      <c r="BC105" s="355"/>
      <c r="BD105" s="355"/>
      <c r="BE105" s="355"/>
      <c r="BF105" s="355"/>
      <c r="BG105" s="355"/>
      <c r="BH105" s="355"/>
      <c r="BI105" s="355"/>
      <c r="BJ105" s="355"/>
      <c r="BK105" s="355"/>
      <c r="BL105" s="355"/>
      <c r="BM105" s="355"/>
      <c r="BN105" s="355"/>
      <c r="BO105" s="355"/>
      <c r="BP105" s="355"/>
      <c r="BQ105" s="355"/>
    </row>
    <row r="106">
      <c r="E106" s="354"/>
      <c r="F106" s="355"/>
      <c r="G106" s="355"/>
      <c r="H106" s="355"/>
      <c r="I106" s="355"/>
      <c r="J106" s="355"/>
      <c r="K106" s="355"/>
      <c r="L106" s="355"/>
      <c r="M106" s="355"/>
      <c r="N106" s="355"/>
      <c r="O106" s="355"/>
      <c r="P106" s="355"/>
      <c r="Q106" s="355"/>
      <c r="R106" s="355"/>
      <c r="S106" s="355"/>
      <c r="T106" s="355"/>
      <c r="U106" s="355"/>
      <c r="V106" s="355"/>
      <c r="W106" s="355"/>
      <c r="X106" s="355"/>
      <c r="Y106" s="355"/>
      <c r="Z106" s="355"/>
      <c r="AA106" s="355"/>
      <c r="AB106" s="355"/>
      <c r="AC106" s="355"/>
      <c r="AD106" s="355"/>
      <c r="AE106" s="355"/>
      <c r="AF106" s="355"/>
      <c r="AG106" s="355"/>
      <c r="AH106" s="355"/>
      <c r="AI106" s="355"/>
      <c r="AJ106" s="355"/>
      <c r="AK106" s="355"/>
      <c r="AL106" s="355"/>
      <c r="AM106" s="355"/>
      <c r="AN106" s="355"/>
      <c r="AO106" s="355"/>
      <c r="AP106" s="355"/>
      <c r="AQ106" s="355"/>
      <c r="AR106" s="355"/>
      <c r="AS106" s="355"/>
      <c r="AT106" s="355"/>
      <c r="AU106" s="355"/>
      <c r="AV106" s="355"/>
      <c r="AW106" s="355"/>
      <c r="AX106" s="355"/>
      <c r="AY106" s="355"/>
      <c r="AZ106" s="355"/>
      <c r="BA106" s="355"/>
      <c r="BB106" s="355"/>
      <c r="BC106" s="355"/>
      <c r="BD106" s="355"/>
      <c r="BE106" s="355"/>
      <c r="BF106" s="355"/>
      <c r="BG106" s="355"/>
      <c r="BH106" s="355"/>
      <c r="BI106" s="355"/>
      <c r="BJ106" s="355"/>
      <c r="BK106" s="355"/>
      <c r="BL106" s="355"/>
      <c r="BM106" s="355"/>
      <c r="BN106" s="355"/>
      <c r="BO106" s="355"/>
      <c r="BP106" s="355"/>
      <c r="BQ106" s="355"/>
    </row>
    <row r="107">
      <c r="E107" s="354"/>
      <c r="F107" s="355"/>
      <c r="G107" s="355"/>
      <c r="H107" s="355"/>
      <c r="I107" s="355"/>
      <c r="J107" s="355"/>
      <c r="K107" s="355"/>
      <c r="L107" s="355"/>
      <c r="M107" s="355"/>
      <c r="N107" s="355"/>
      <c r="O107" s="355"/>
      <c r="P107" s="355"/>
      <c r="Q107" s="355"/>
      <c r="R107" s="355"/>
      <c r="S107" s="355"/>
      <c r="T107" s="355"/>
      <c r="U107" s="355"/>
      <c r="V107" s="355"/>
      <c r="W107" s="355"/>
      <c r="X107" s="355"/>
      <c r="Y107" s="355"/>
      <c r="Z107" s="355"/>
      <c r="AA107" s="355"/>
      <c r="AB107" s="355"/>
      <c r="AC107" s="355"/>
      <c r="AD107" s="355"/>
      <c r="AE107" s="355"/>
      <c r="AF107" s="355"/>
      <c r="AG107" s="355"/>
      <c r="AH107" s="355"/>
      <c r="AI107" s="355"/>
      <c r="AJ107" s="355"/>
      <c r="AK107" s="355"/>
      <c r="AL107" s="355"/>
      <c r="AM107" s="355"/>
      <c r="AN107" s="355"/>
      <c r="AO107" s="355"/>
      <c r="AP107" s="355"/>
      <c r="AQ107" s="355"/>
      <c r="AR107" s="355"/>
      <c r="AS107" s="355"/>
      <c r="AT107" s="355"/>
      <c r="AU107" s="355"/>
      <c r="AV107" s="355"/>
      <c r="AW107" s="355"/>
      <c r="AX107" s="355"/>
      <c r="AY107" s="355"/>
      <c r="AZ107" s="355"/>
      <c r="BA107" s="355"/>
      <c r="BB107" s="355"/>
      <c r="BC107" s="355"/>
      <c r="BD107" s="355"/>
      <c r="BE107" s="355"/>
      <c r="BF107" s="355"/>
      <c r="BG107" s="355"/>
      <c r="BH107" s="355"/>
      <c r="BI107" s="355"/>
      <c r="BJ107" s="355"/>
      <c r="BK107" s="355"/>
      <c r="BL107" s="355"/>
      <c r="BM107" s="355"/>
      <c r="BN107" s="355"/>
      <c r="BO107" s="355"/>
      <c r="BP107" s="355"/>
      <c r="BQ107" s="355"/>
    </row>
    <row r="108">
      <c r="E108" s="354"/>
      <c r="F108" s="355"/>
      <c r="G108" s="355"/>
      <c r="H108" s="355"/>
      <c r="I108" s="355"/>
      <c r="J108" s="355"/>
      <c r="K108" s="355"/>
      <c r="L108" s="355"/>
      <c r="M108" s="355"/>
      <c r="N108" s="355"/>
      <c r="O108" s="355"/>
      <c r="P108" s="355"/>
      <c r="Q108" s="355"/>
      <c r="R108" s="355"/>
      <c r="S108" s="355"/>
      <c r="T108" s="355"/>
      <c r="U108" s="355"/>
      <c r="V108" s="355"/>
      <c r="W108" s="355"/>
      <c r="X108" s="355"/>
      <c r="Y108" s="355"/>
      <c r="Z108" s="355"/>
      <c r="AA108" s="355"/>
      <c r="AB108" s="355"/>
      <c r="AC108" s="355"/>
      <c r="AD108" s="355"/>
      <c r="AE108" s="355"/>
      <c r="AF108" s="355"/>
      <c r="AG108" s="355"/>
      <c r="AH108" s="355"/>
      <c r="AI108" s="355"/>
      <c r="AJ108" s="355"/>
      <c r="AK108" s="355"/>
      <c r="AL108" s="355"/>
      <c r="AM108" s="355"/>
      <c r="AN108" s="355"/>
      <c r="AO108" s="355"/>
      <c r="AP108" s="355"/>
      <c r="AQ108" s="355"/>
      <c r="AR108" s="355"/>
      <c r="AS108" s="355"/>
      <c r="AT108" s="355"/>
      <c r="AU108" s="355"/>
      <c r="AV108" s="355"/>
      <c r="AW108" s="355"/>
      <c r="AX108" s="355"/>
      <c r="AY108" s="355"/>
      <c r="AZ108" s="355"/>
      <c r="BA108" s="355"/>
      <c r="BB108" s="355"/>
      <c r="BC108" s="355"/>
      <c r="BD108" s="355"/>
      <c r="BE108" s="355"/>
      <c r="BF108" s="355"/>
      <c r="BG108" s="355"/>
      <c r="BH108" s="355"/>
      <c r="BI108" s="355"/>
      <c r="BJ108" s="355"/>
      <c r="BK108" s="355"/>
      <c r="BL108" s="355"/>
      <c r="BM108" s="355"/>
      <c r="BN108" s="355"/>
      <c r="BO108" s="355"/>
      <c r="BP108" s="355"/>
      <c r="BQ108" s="355"/>
    </row>
    <row r="109">
      <c r="E109" s="354"/>
      <c r="F109" s="355"/>
      <c r="G109" s="355"/>
      <c r="H109" s="355"/>
      <c r="I109" s="355"/>
      <c r="J109" s="355"/>
      <c r="K109" s="355"/>
      <c r="L109" s="355"/>
      <c r="M109" s="355"/>
      <c r="N109" s="355"/>
      <c r="O109" s="355"/>
      <c r="P109" s="355"/>
      <c r="Q109" s="355"/>
      <c r="R109" s="355"/>
      <c r="S109" s="355"/>
      <c r="T109" s="355"/>
      <c r="U109" s="355"/>
      <c r="V109" s="355"/>
      <c r="W109" s="355"/>
      <c r="X109" s="355"/>
      <c r="Y109" s="355"/>
      <c r="Z109" s="355"/>
      <c r="AA109" s="355"/>
      <c r="AB109" s="355"/>
      <c r="AC109" s="355"/>
      <c r="AD109" s="355"/>
      <c r="AE109" s="355"/>
      <c r="AF109" s="355"/>
      <c r="AG109" s="355"/>
      <c r="AH109" s="355"/>
      <c r="AI109" s="355"/>
      <c r="AJ109" s="355"/>
      <c r="AK109" s="355"/>
      <c r="AL109" s="355"/>
      <c r="AM109" s="355"/>
      <c r="AN109" s="355"/>
      <c r="AO109" s="355"/>
      <c r="AP109" s="355"/>
      <c r="AQ109" s="355"/>
      <c r="AR109" s="355"/>
      <c r="AS109" s="355"/>
      <c r="AT109" s="355"/>
      <c r="AU109" s="355"/>
      <c r="AV109" s="355"/>
      <c r="AW109" s="355"/>
      <c r="AX109" s="355"/>
      <c r="AY109" s="355"/>
      <c r="AZ109" s="355"/>
      <c r="BA109" s="355"/>
      <c r="BB109" s="355"/>
      <c r="BC109" s="355"/>
      <c r="BD109" s="355"/>
      <c r="BE109" s="355"/>
      <c r="BF109" s="355"/>
      <c r="BG109" s="355"/>
      <c r="BH109" s="355"/>
      <c r="BI109" s="355"/>
      <c r="BJ109" s="355"/>
      <c r="BK109" s="355"/>
      <c r="BL109" s="355"/>
      <c r="BM109" s="355"/>
      <c r="BN109" s="355"/>
      <c r="BO109" s="355"/>
      <c r="BP109" s="355"/>
      <c r="BQ109" s="355"/>
    </row>
    <row r="110">
      <c r="E110" s="354"/>
      <c r="F110" s="355"/>
      <c r="G110" s="355"/>
      <c r="H110" s="355"/>
      <c r="I110" s="355"/>
      <c r="J110" s="355"/>
      <c r="K110" s="355"/>
      <c r="L110" s="355"/>
      <c r="M110" s="355"/>
      <c r="N110" s="355"/>
      <c r="O110" s="355"/>
      <c r="P110" s="355"/>
      <c r="Q110" s="355"/>
      <c r="R110" s="355"/>
      <c r="S110" s="355"/>
      <c r="T110" s="355"/>
      <c r="U110" s="355"/>
      <c r="V110" s="355"/>
      <c r="W110" s="355"/>
      <c r="X110" s="355"/>
      <c r="Y110" s="355"/>
      <c r="Z110" s="355"/>
      <c r="AA110" s="355"/>
      <c r="AB110" s="355"/>
      <c r="AC110" s="355"/>
      <c r="AD110" s="355"/>
      <c r="AE110" s="355"/>
      <c r="AF110" s="355"/>
      <c r="AG110" s="355"/>
      <c r="AH110" s="355"/>
      <c r="AI110" s="355"/>
      <c r="AJ110" s="355"/>
      <c r="AK110" s="355"/>
      <c r="AL110" s="355"/>
      <c r="AM110" s="355"/>
      <c r="AN110" s="355"/>
      <c r="AO110" s="355"/>
      <c r="AP110" s="355"/>
      <c r="AQ110" s="355"/>
      <c r="AR110" s="355"/>
      <c r="AS110" s="355"/>
      <c r="AT110" s="355"/>
      <c r="AU110" s="355"/>
      <c r="AV110" s="355"/>
      <c r="AW110" s="355"/>
      <c r="AX110" s="355"/>
      <c r="AY110" s="355"/>
      <c r="AZ110" s="355"/>
      <c r="BA110" s="355"/>
      <c r="BB110" s="355"/>
      <c r="BC110" s="355"/>
      <c r="BD110" s="355"/>
      <c r="BE110" s="355"/>
      <c r="BF110" s="355"/>
      <c r="BG110" s="355"/>
      <c r="BH110" s="355"/>
      <c r="BI110" s="355"/>
      <c r="BJ110" s="355"/>
      <c r="BK110" s="355"/>
      <c r="BL110" s="355"/>
      <c r="BM110" s="355"/>
      <c r="BN110" s="355"/>
      <c r="BO110" s="355"/>
      <c r="BP110" s="355"/>
      <c r="BQ110" s="355"/>
    </row>
    <row r="111">
      <c r="E111" s="354"/>
      <c r="F111" s="355"/>
      <c r="G111" s="355"/>
      <c r="H111" s="355"/>
      <c r="I111" s="355"/>
      <c r="J111" s="355"/>
      <c r="K111" s="355"/>
      <c r="L111" s="355"/>
      <c r="M111" s="355"/>
      <c r="N111" s="355"/>
      <c r="O111" s="355"/>
      <c r="P111" s="355"/>
      <c r="Q111" s="355"/>
      <c r="R111" s="355"/>
      <c r="S111" s="355"/>
      <c r="T111" s="355"/>
      <c r="U111" s="355"/>
      <c r="V111" s="355"/>
      <c r="W111" s="355"/>
      <c r="X111" s="355"/>
      <c r="Y111" s="355"/>
      <c r="Z111" s="355"/>
      <c r="AA111" s="355"/>
      <c r="AB111" s="355"/>
      <c r="AC111" s="355"/>
      <c r="AD111" s="355"/>
      <c r="AE111" s="355"/>
      <c r="AF111" s="355"/>
      <c r="AG111" s="355"/>
      <c r="AH111" s="355"/>
      <c r="AI111" s="355"/>
      <c r="AJ111" s="355"/>
      <c r="AK111" s="355"/>
      <c r="AL111" s="355"/>
      <c r="AM111" s="355"/>
      <c r="AN111" s="355"/>
      <c r="AO111" s="355"/>
      <c r="AP111" s="355"/>
      <c r="AQ111" s="355"/>
      <c r="AR111" s="355"/>
      <c r="AS111" s="355"/>
      <c r="AT111" s="355"/>
      <c r="AU111" s="355"/>
      <c r="AV111" s="355"/>
      <c r="AW111" s="355"/>
      <c r="AX111" s="355"/>
      <c r="AY111" s="355"/>
      <c r="AZ111" s="355"/>
      <c r="BA111" s="355"/>
      <c r="BB111" s="355"/>
      <c r="BC111" s="355"/>
      <c r="BD111" s="355"/>
      <c r="BE111" s="355"/>
      <c r="BF111" s="355"/>
      <c r="BG111" s="355"/>
      <c r="BH111" s="355"/>
      <c r="BI111" s="355"/>
      <c r="BJ111" s="355"/>
      <c r="BK111" s="355"/>
      <c r="BL111" s="355"/>
      <c r="BM111" s="355"/>
      <c r="BN111" s="355"/>
      <c r="BO111" s="355"/>
      <c r="BP111" s="355"/>
      <c r="BQ111" s="355"/>
    </row>
    <row r="112">
      <c r="E112" s="354"/>
      <c r="F112" s="355"/>
      <c r="G112" s="355"/>
      <c r="H112" s="355"/>
      <c r="I112" s="355"/>
      <c r="J112" s="355"/>
      <c r="K112" s="355"/>
      <c r="L112" s="355"/>
      <c r="M112" s="355"/>
      <c r="N112" s="355"/>
      <c r="O112" s="355"/>
      <c r="P112" s="355"/>
      <c r="Q112" s="355"/>
      <c r="R112" s="355"/>
      <c r="S112" s="355"/>
      <c r="T112" s="355"/>
      <c r="U112" s="355"/>
      <c r="V112" s="355"/>
      <c r="W112" s="355"/>
      <c r="X112" s="355"/>
      <c r="Y112" s="355"/>
      <c r="Z112" s="355"/>
      <c r="AA112" s="355"/>
      <c r="AB112" s="355"/>
      <c r="AC112" s="355"/>
      <c r="AD112" s="355"/>
      <c r="AE112" s="355"/>
      <c r="AF112" s="355"/>
      <c r="AG112" s="355"/>
      <c r="AH112" s="355"/>
      <c r="AI112" s="355"/>
      <c r="AJ112" s="355"/>
      <c r="AK112" s="355"/>
      <c r="AL112" s="355"/>
      <c r="AM112" s="355"/>
      <c r="AN112" s="355"/>
      <c r="AO112" s="355"/>
      <c r="AP112" s="355"/>
      <c r="AQ112" s="355"/>
      <c r="AR112" s="355"/>
      <c r="AS112" s="355"/>
      <c r="AT112" s="355"/>
      <c r="AU112" s="355"/>
      <c r="AV112" s="355"/>
      <c r="AW112" s="355"/>
      <c r="AX112" s="355"/>
      <c r="AY112" s="355"/>
      <c r="AZ112" s="355"/>
      <c r="BA112" s="355"/>
      <c r="BB112" s="355"/>
      <c r="BC112" s="355"/>
      <c r="BD112" s="355"/>
      <c r="BE112" s="355"/>
      <c r="BF112" s="355"/>
      <c r="BG112" s="355"/>
      <c r="BH112" s="355"/>
      <c r="BI112" s="355"/>
      <c r="BJ112" s="355"/>
      <c r="BK112" s="355"/>
      <c r="BL112" s="355"/>
      <c r="BM112" s="355"/>
      <c r="BN112" s="355"/>
      <c r="BO112" s="355"/>
      <c r="BP112" s="355"/>
      <c r="BQ112" s="355"/>
    </row>
    <row r="113">
      <c r="E113" s="354"/>
      <c r="F113" s="355"/>
      <c r="G113" s="355"/>
      <c r="H113" s="355"/>
      <c r="I113" s="355"/>
      <c r="J113" s="355"/>
      <c r="K113" s="355"/>
      <c r="L113" s="355"/>
      <c r="M113" s="355"/>
      <c r="N113" s="355"/>
      <c r="O113" s="355"/>
      <c r="P113" s="355"/>
      <c r="Q113" s="355"/>
      <c r="R113" s="355"/>
      <c r="S113" s="355"/>
      <c r="T113" s="355"/>
      <c r="U113" s="355"/>
      <c r="V113" s="355"/>
      <c r="W113" s="355"/>
      <c r="X113" s="355"/>
      <c r="Y113" s="355"/>
      <c r="Z113" s="355"/>
      <c r="AA113" s="355"/>
      <c r="AB113" s="355"/>
      <c r="AC113" s="355"/>
      <c r="AD113" s="355"/>
      <c r="AE113" s="355"/>
      <c r="AF113" s="355"/>
      <c r="AG113" s="355"/>
      <c r="AH113" s="355"/>
      <c r="AI113" s="355"/>
      <c r="AJ113" s="355"/>
      <c r="AK113" s="355"/>
      <c r="AL113" s="355"/>
      <c r="AM113" s="355"/>
      <c r="AN113" s="355"/>
      <c r="AO113" s="355"/>
      <c r="AP113" s="355"/>
      <c r="AQ113" s="355"/>
      <c r="AR113" s="355"/>
      <c r="AS113" s="355"/>
      <c r="AT113" s="355"/>
      <c r="AU113" s="355"/>
      <c r="AV113" s="355"/>
      <c r="AW113" s="355"/>
      <c r="AX113" s="355"/>
      <c r="AY113" s="355"/>
      <c r="AZ113" s="355"/>
      <c r="BA113" s="355"/>
      <c r="BB113" s="355"/>
      <c r="BC113" s="355"/>
      <c r="BD113" s="355"/>
      <c r="BE113" s="355"/>
      <c r="BF113" s="355"/>
      <c r="BG113" s="355"/>
      <c r="BH113" s="355"/>
      <c r="BI113" s="355"/>
      <c r="BJ113" s="355"/>
      <c r="BK113" s="355"/>
      <c r="BL113" s="355"/>
      <c r="BM113" s="355"/>
      <c r="BN113" s="355"/>
      <c r="BO113" s="355"/>
      <c r="BP113" s="355"/>
      <c r="BQ113" s="355"/>
    </row>
    <row r="114">
      <c r="E114" s="354"/>
      <c r="F114" s="355"/>
      <c r="G114" s="355"/>
      <c r="H114" s="355"/>
      <c r="I114" s="355"/>
      <c r="J114" s="355"/>
      <c r="K114" s="355"/>
      <c r="L114" s="355"/>
      <c r="M114" s="355"/>
      <c r="N114" s="355"/>
      <c r="O114" s="355"/>
      <c r="P114" s="355"/>
      <c r="Q114" s="355"/>
      <c r="R114" s="355"/>
      <c r="S114" s="355"/>
      <c r="T114" s="355"/>
      <c r="U114" s="355"/>
      <c r="V114" s="355"/>
      <c r="W114" s="355"/>
      <c r="X114" s="355"/>
      <c r="Y114" s="355"/>
      <c r="Z114" s="355"/>
      <c r="AA114" s="355"/>
      <c r="AB114" s="355"/>
      <c r="AC114" s="355"/>
      <c r="AD114" s="355"/>
      <c r="AE114" s="355"/>
      <c r="AF114" s="355"/>
      <c r="AG114" s="355"/>
      <c r="AH114" s="355"/>
      <c r="AI114" s="355"/>
      <c r="AJ114" s="355"/>
      <c r="AK114" s="355"/>
      <c r="AL114" s="355"/>
      <c r="AM114" s="355"/>
      <c r="AN114" s="355"/>
      <c r="AO114" s="355"/>
      <c r="AP114" s="355"/>
      <c r="AQ114" s="355"/>
      <c r="AR114" s="355"/>
      <c r="AS114" s="355"/>
      <c r="AT114" s="355"/>
      <c r="AU114" s="355"/>
      <c r="AV114" s="355"/>
      <c r="AW114" s="355"/>
      <c r="AX114" s="355"/>
      <c r="AY114" s="355"/>
      <c r="AZ114" s="355"/>
      <c r="BA114" s="355"/>
      <c r="BB114" s="355"/>
      <c r="BC114" s="355"/>
      <c r="BD114" s="355"/>
      <c r="BE114" s="355"/>
      <c r="BF114" s="355"/>
      <c r="BG114" s="355"/>
      <c r="BH114" s="355"/>
      <c r="BI114" s="355"/>
      <c r="BJ114" s="355"/>
      <c r="BK114" s="355"/>
      <c r="BL114" s="355"/>
      <c r="BM114" s="355"/>
      <c r="BN114" s="355"/>
      <c r="BO114" s="355"/>
      <c r="BP114" s="355"/>
      <c r="BQ114" s="355"/>
    </row>
    <row r="115">
      <c r="E115" s="354"/>
      <c r="F115" s="355"/>
      <c r="G115" s="355"/>
      <c r="H115" s="355"/>
      <c r="I115" s="355"/>
      <c r="J115" s="355"/>
      <c r="K115" s="355"/>
      <c r="L115" s="355"/>
      <c r="M115" s="355"/>
      <c r="N115" s="355"/>
      <c r="O115" s="355"/>
      <c r="P115" s="355"/>
      <c r="Q115" s="355"/>
      <c r="R115" s="355"/>
      <c r="S115" s="355"/>
      <c r="T115" s="355"/>
      <c r="U115" s="355"/>
      <c r="V115" s="355"/>
      <c r="W115" s="355"/>
      <c r="X115" s="355"/>
      <c r="Y115" s="355"/>
      <c r="Z115" s="355"/>
      <c r="AA115" s="355"/>
      <c r="AB115" s="355"/>
      <c r="AC115" s="355"/>
      <c r="AD115" s="355"/>
      <c r="AE115" s="355"/>
      <c r="AF115" s="355"/>
      <c r="AG115" s="355"/>
      <c r="AH115" s="355"/>
      <c r="AI115" s="355"/>
      <c r="AJ115" s="355"/>
      <c r="AK115" s="355"/>
      <c r="AL115" s="355"/>
      <c r="AM115" s="355"/>
      <c r="AN115" s="355"/>
      <c r="AO115" s="355"/>
      <c r="AP115" s="355"/>
      <c r="AQ115" s="355"/>
      <c r="AR115" s="355"/>
      <c r="AS115" s="355"/>
      <c r="AT115" s="355"/>
      <c r="AU115" s="355"/>
      <c r="AV115" s="355"/>
      <c r="AW115" s="355"/>
      <c r="AX115" s="355"/>
      <c r="AY115" s="355"/>
      <c r="AZ115" s="355"/>
      <c r="BA115" s="355"/>
      <c r="BB115" s="355"/>
      <c r="BC115" s="355"/>
      <c r="BD115" s="355"/>
      <c r="BE115" s="355"/>
      <c r="BF115" s="355"/>
      <c r="BG115" s="355"/>
      <c r="BH115" s="355"/>
      <c r="BI115" s="355"/>
      <c r="BJ115" s="355"/>
      <c r="BK115" s="355"/>
      <c r="BL115" s="355"/>
      <c r="BM115" s="355"/>
      <c r="BN115" s="355"/>
      <c r="BO115" s="355"/>
      <c r="BP115" s="355"/>
      <c r="BQ115" s="355"/>
    </row>
    <row r="116">
      <c r="E116" s="354"/>
      <c r="F116" s="355"/>
      <c r="G116" s="355"/>
      <c r="H116" s="355"/>
      <c r="I116" s="355"/>
      <c r="J116" s="355"/>
      <c r="K116" s="355"/>
      <c r="L116" s="355"/>
      <c r="M116" s="355"/>
      <c r="N116" s="355"/>
      <c r="O116" s="355"/>
      <c r="P116" s="355"/>
      <c r="Q116" s="355"/>
      <c r="R116" s="355"/>
      <c r="S116" s="355"/>
      <c r="T116" s="355"/>
      <c r="U116" s="355"/>
      <c r="V116" s="355"/>
      <c r="W116" s="355"/>
      <c r="X116" s="355"/>
      <c r="Y116" s="355"/>
      <c r="Z116" s="355"/>
      <c r="AA116" s="355"/>
      <c r="AB116" s="355"/>
      <c r="AC116" s="355"/>
      <c r="AD116" s="355"/>
      <c r="AE116" s="355"/>
      <c r="AF116" s="355"/>
      <c r="AG116" s="355"/>
      <c r="AH116" s="355"/>
      <c r="AI116" s="355"/>
      <c r="AJ116" s="355"/>
      <c r="AK116" s="355"/>
      <c r="AL116" s="355"/>
      <c r="AM116" s="355"/>
      <c r="AN116" s="355"/>
      <c r="AO116" s="355"/>
      <c r="AP116" s="355"/>
      <c r="AQ116" s="355"/>
      <c r="AR116" s="355"/>
      <c r="AS116" s="355"/>
      <c r="AT116" s="355"/>
      <c r="AU116" s="355"/>
      <c r="AV116" s="355"/>
      <c r="AW116" s="355"/>
      <c r="AX116" s="355"/>
      <c r="AY116" s="355"/>
      <c r="AZ116" s="355"/>
      <c r="BA116" s="355"/>
      <c r="BB116" s="355"/>
      <c r="BC116" s="355"/>
      <c r="BD116" s="355"/>
      <c r="BE116" s="355"/>
      <c r="BF116" s="355"/>
      <c r="BG116" s="355"/>
      <c r="BH116" s="355"/>
      <c r="BI116" s="355"/>
      <c r="BJ116" s="355"/>
      <c r="BK116" s="355"/>
      <c r="BL116" s="355"/>
      <c r="BM116" s="355"/>
      <c r="BN116" s="355"/>
      <c r="BO116" s="355"/>
      <c r="BP116" s="355"/>
      <c r="BQ116" s="355"/>
    </row>
    <row r="117">
      <c r="E117" s="354"/>
      <c r="F117" s="355"/>
      <c r="G117" s="355"/>
      <c r="H117" s="355"/>
      <c r="I117" s="355"/>
      <c r="J117" s="355"/>
      <c r="K117" s="355"/>
      <c r="L117" s="355"/>
      <c r="M117" s="355"/>
      <c r="N117" s="355"/>
      <c r="O117" s="355"/>
      <c r="P117" s="355"/>
      <c r="Q117" s="355"/>
      <c r="R117" s="355"/>
      <c r="S117" s="355"/>
      <c r="T117" s="355"/>
      <c r="U117" s="355"/>
      <c r="V117" s="355"/>
      <c r="W117" s="355"/>
      <c r="X117" s="355"/>
      <c r="Y117" s="355"/>
      <c r="Z117" s="355"/>
      <c r="AA117" s="355"/>
      <c r="AB117" s="355"/>
      <c r="AC117" s="355"/>
      <c r="AD117" s="355"/>
      <c r="AE117" s="355"/>
      <c r="AF117" s="355"/>
      <c r="AG117" s="355"/>
      <c r="AH117" s="355"/>
      <c r="AI117" s="355"/>
      <c r="AJ117" s="355"/>
      <c r="AK117" s="355"/>
      <c r="AL117" s="355"/>
      <c r="AM117" s="355"/>
      <c r="AN117" s="355"/>
      <c r="AO117" s="355"/>
      <c r="AP117" s="355"/>
      <c r="AQ117" s="355"/>
      <c r="AR117" s="355"/>
      <c r="AS117" s="355"/>
      <c r="AT117" s="355"/>
      <c r="AU117" s="355"/>
      <c r="AV117" s="355"/>
      <c r="AW117" s="355"/>
      <c r="AX117" s="355"/>
      <c r="AY117" s="355"/>
      <c r="AZ117" s="355"/>
      <c r="BA117" s="355"/>
      <c r="BB117" s="355"/>
      <c r="BC117" s="355"/>
      <c r="BD117" s="355"/>
      <c r="BE117" s="355"/>
      <c r="BF117" s="355"/>
      <c r="BG117" s="355"/>
      <c r="BH117" s="355"/>
      <c r="BI117" s="355"/>
      <c r="BJ117" s="355"/>
      <c r="BK117" s="355"/>
      <c r="BL117" s="355"/>
      <c r="BM117" s="355"/>
      <c r="BN117" s="355"/>
      <c r="BO117" s="355"/>
      <c r="BP117" s="355"/>
      <c r="BQ117" s="355"/>
    </row>
    <row r="118">
      <c r="E118" s="354"/>
      <c r="F118" s="355"/>
      <c r="G118" s="355"/>
      <c r="H118" s="355"/>
      <c r="I118" s="355"/>
      <c r="J118" s="355"/>
      <c r="K118" s="355"/>
      <c r="L118" s="355"/>
      <c r="M118" s="355"/>
      <c r="N118" s="355"/>
      <c r="O118" s="355"/>
      <c r="P118" s="355"/>
      <c r="Q118" s="355"/>
      <c r="R118" s="355"/>
      <c r="S118" s="355"/>
      <c r="T118" s="355"/>
      <c r="U118" s="355"/>
      <c r="V118" s="355"/>
      <c r="W118" s="355"/>
      <c r="X118" s="355"/>
      <c r="Y118" s="355"/>
      <c r="Z118" s="355"/>
      <c r="AA118" s="355"/>
      <c r="AB118" s="355"/>
      <c r="AC118" s="355"/>
      <c r="AD118" s="355"/>
      <c r="AE118" s="355"/>
      <c r="AF118" s="355"/>
      <c r="AG118" s="355"/>
      <c r="AH118" s="355"/>
      <c r="AI118" s="355"/>
      <c r="AJ118" s="355"/>
      <c r="AK118" s="355"/>
      <c r="AL118" s="355"/>
      <c r="AM118" s="355"/>
      <c r="AN118" s="355"/>
      <c r="AO118" s="355"/>
      <c r="AP118" s="355"/>
      <c r="AQ118" s="355"/>
      <c r="AR118" s="355"/>
      <c r="AS118" s="355"/>
      <c r="AT118" s="355"/>
      <c r="AU118" s="355"/>
      <c r="AV118" s="355"/>
      <c r="AW118" s="355"/>
      <c r="AX118" s="355"/>
      <c r="AY118" s="355"/>
      <c r="AZ118" s="355"/>
      <c r="BA118" s="355"/>
      <c r="BB118" s="355"/>
      <c r="BC118" s="355"/>
      <c r="BD118" s="355"/>
      <c r="BE118" s="355"/>
      <c r="BF118" s="355"/>
      <c r="BG118" s="355"/>
      <c r="BH118" s="355"/>
      <c r="BI118" s="355"/>
      <c r="BJ118" s="355"/>
      <c r="BK118" s="355"/>
      <c r="BL118" s="355"/>
      <c r="BM118" s="355"/>
      <c r="BN118" s="355"/>
      <c r="BO118" s="355"/>
      <c r="BP118" s="355"/>
      <c r="BQ118" s="355"/>
    </row>
    <row r="119">
      <c r="E119" s="354"/>
      <c r="F119" s="355"/>
      <c r="G119" s="355"/>
      <c r="H119" s="355"/>
      <c r="I119" s="355"/>
      <c r="J119" s="355"/>
      <c r="K119" s="355"/>
      <c r="L119" s="355"/>
      <c r="M119" s="355"/>
      <c r="N119" s="355"/>
      <c r="O119" s="355"/>
      <c r="P119" s="355"/>
      <c r="Q119" s="355"/>
      <c r="R119" s="355"/>
      <c r="S119" s="355"/>
      <c r="T119" s="355"/>
      <c r="U119" s="355"/>
      <c r="V119" s="355"/>
      <c r="W119" s="355"/>
      <c r="X119" s="355"/>
      <c r="Y119" s="355"/>
      <c r="Z119" s="355"/>
      <c r="AA119" s="355"/>
      <c r="AB119" s="355"/>
      <c r="AC119" s="355"/>
      <c r="AD119" s="355"/>
      <c r="AE119" s="355"/>
      <c r="AF119" s="355"/>
      <c r="AG119" s="355"/>
      <c r="AH119" s="355"/>
      <c r="AI119" s="355"/>
      <c r="AJ119" s="355"/>
      <c r="AK119" s="355"/>
      <c r="AL119" s="355"/>
      <c r="AM119" s="355"/>
      <c r="AN119" s="355"/>
      <c r="AO119" s="355"/>
      <c r="AP119" s="355"/>
      <c r="AQ119" s="355"/>
      <c r="AR119" s="355"/>
      <c r="AS119" s="355"/>
      <c r="AT119" s="355"/>
      <c r="AU119" s="355"/>
      <c r="AV119" s="355"/>
      <c r="AW119" s="355"/>
      <c r="AX119" s="355"/>
      <c r="AY119" s="355"/>
      <c r="AZ119" s="355"/>
      <c r="BA119" s="355"/>
      <c r="BB119" s="355"/>
      <c r="BC119" s="355"/>
      <c r="BD119" s="355"/>
      <c r="BE119" s="355"/>
      <c r="BF119" s="355"/>
      <c r="BG119" s="355"/>
      <c r="BH119" s="355"/>
      <c r="BI119" s="355"/>
      <c r="BJ119" s="355"/>
      <c r="BK119" s="355"/>
      <c r="BL119" s="355"/>
      <c r="BM119" s="355"/>
      <c r="BN119" s="355"/>
      <c r="BO119" s="355"/>
      <c r="BP119" s="355"/>
      <c r="BQ119" s="355"/>
    </row>
    <row r="120">
      <c r="E120" s="354"/>
      <c r="F120" s="355"/>
      <c r="G120" s="355"/>
      <c r="H120" s="355"/>
      <c r="I120" s="355"/>
      <c r="J120" s="355"/>
      <c r="K120" s="355"/>
      <c r="L120" s="355"/>
      <c r="M120" s="355"/>
      <c r="N120" s="355"/>
      <c r="O120" s="355"/>
      <c r="P120" s="355"/>
      <c r="Q120" s="355"/>
      <c r="R120" s="355"/>
      <c r="S120" s="355"/>
      <c r="T120" s="355"/>
      <c r="U120" s="355"/>
      <c r="V120" s="355"/>
      <c r="W120" s="355"/>
      <c r="X120" s="355"/>
      <c r="Y120" s="355"/>
      <c r="Z120" s="355"/>
      <c r="AA120" s="355"/>
      <c r="AB120" s="355"/>
      <c r="AC120" s="355"/>
      <c r="AD120" s="355"/>
      <c r="AE120" s="355"/>
      <c r="AF120" s="355"/>
      <c r="AG120" s="355"/>
      <c r="AH120" s="355"/>
      <c r="AI120" s="355"/>
      <c r="AJ120" s="355"/>
      <c r="AK120" s="355"/>
      <c r="AL120" s="355"/>
      <c r="AM120" s="355"/>
      <c r="AN120" s="355"/>
      <c r="AO120" s="355"/>
      <c r="AP120" s="355"/>
      <c r="AQ120" s="355"/>
      <c r="AR120" s="355"/>
      <c r="AS120" s="355"/>
      <c r="AT120" s="355"/>
      <c r="AU120" s="355"/>
      <c r="AV120" s="355"/>
      <c r="AW120" s="355"/>
      <c r="AX120" s="355"/>
      <c r="AY120" s="355"/>
      <c r="AZ120" s="355"/>
      <c r="BA120" s="355"/>
      <c r="BB120" s="355"/>
      <c r="BC120" s="355"/>
      <c r="BD120" s="355"/>
      <c r="BE120" s="355"/>
      <c r="BF120" s="355"/>
      <c r="BG120" s="355"/>
      <c r="BH120" s="355"/>
      <c r="BI120" s="355"/>
      <c r="BJ120" s="355"/>
      <c r="BK120" s="355"/>
      <c r="BL120" s="355"/>
      <c r="BM120" s="355"/>
      <c r="BN120" s="355"/>
      <c r="BO120" s="355"/>
      <c r="BP120" s="355"/>
      <c r="BQ120" s="355"/>
    </row>
    <row r="121">
      <c r="E121" s="354"/>
      <c r="F121" s="355"/>
      <c r="G121" s="355"/>
      <c r="H121" s="355"/>
      <c r="I121" s="355"/>
      <c r="J121" s="355"/>
      <c r="K121" s="355"/>
      <c r="L121" s="355"/>
      <c r="M121" s="355"/>
      <c r="N121" s="355"/>
      <c r="O121" s="355"/>
      <c r="P121" s="355"/>
      <c r="Q121" s="355"/>
      <c r="R121" s="355"/>
      <c r="S121" s="355"/>
      <c r="T121" s="355"/>
      <c r="U121" s="355"/>
      <c r="V121" s="355"/>
      <c r="W121" s="355"/>
      <c r="X121" s="355"/>
      <c r="Y121" s="355"/>
      <c r="Z121" s="355"/>
      <c r="AA121" s="355"/>
      <c r="AB121" s="355"/>
      <c r="AC121" s="355"/>
      <c r="AD121" s="355"/>
      <c r="AE121" s="355"/>
      <c r="AF121" s="355"/>
      <c r="AG121" s="355"/>
      <c r="AH121" s="355"/>
      <c r="AI121" s="355"/>
      <c r="AJ121" s="355"/>
      <c r="AK121" s="355"/>
      <c r="AL121" s="355"/>
      <c r="AM121" s="355"/>
      <c r="AN121" s="355"/>
      <c r="AO121" s="355"/>
      <c r="AP121" s="355"/>
      <c r="AQ121" s="355"/>
      <c r="AR121" s="355"/>
      <c r="AS121" s="355"/>
      <c r="AT121" s="355"/>
      <c r="AU121" s="355"/>
      <c r="AV121" s="355"/>
      <c r="AW121" s="355"/>
      <c r="AX121" s="355"/>
      <c r="AY121" s="355"/>
      <c r="AZ121" s="355"/>
      <c r="BA121" s="355"/>
      <c r="BB121" s="355"/>
      <c r="BC121" s="355"/>
      <c r="BD121" s="355"/>
      <c r="BE121" s="355"/>
      <c r="BF121" s="355"/>
      <c r="BG121" s="355"/>
      <c r="BH121" s="355"/>
      <c r="BI121" s="355"/>
      <c r="BJ121" s="355"/>
      <c r="BK121" s="355"/>
      <c r="BL121" s="355"/>
      <c r="BM121" s="355"/>
      <c r="BN121" s="355"/>
      <c r="BO121" s="355"/>
      <c r="BP121" s="355"/>
      <c r="BQ121" s="355"/>
    </row>
    <row r="122">
      <c r="E122" s="354"/>
      <c r="F122" s="355"/>
      <c r="G122" s="355"/>
      <c r="H122" s="355"/>
      <c r="I122" s="355"/>
      <c r="J122" s="355"/>
      <c r="K122" s="355"/>
      <c r="L122" s="355"/>
      <c r="M122" s="355"/>
      <c r="N122" s="355"/>
      <c r="O122" s="355"/>
      <c r="P122" s="355"/>
      <c r="Q122" s="355"/>
      <c r="R122" s="355"/>
      <c r="S122" s="355"/>
      <c r="T122" s="355"/>
      <c r="U122" s="355"/>
      <c r="V122" s="355"/>
      <c r="W122" s="355"/>
      <c r="X122" s="355"/>
      <c r="Y122" s="355"/>
      <c r="Z122" s="355"/>
      <c r="AA122" s="355"/>
      <c r="AB122" s="355"/>
      <c r="AC122" s="355"/>
      <c r="AD122" s="355"/>
      <c r="AE122" s="355"/>
      <c r="AF122" s="355"/>
      <c r="AG122" s="355"/>
      <c r="AH122" s="355"/>
      <c r="AI122" s="355"/>
      <c r="AJ122" s="355"/>
      <c r="AK122" s="355"/>
      <c r="AL122" s="355"/>
      <c r="AM122" s="355"/>
      <c r="AN122" s="355"/>
      <c r="AO122" s="355"/>
      <c r="AP122" s="355"/>
      <c r="AQ122" s="355"/>
      <c r="AR122" s="355"/>
      <c r="AS122" s="355"/>
      <c r="AT122" s="355"/>
      <c r="AU122" s="355"/>
      <c r="AV122" s="355"/>
      <c r="AW122" s="355"/>
      <c r="AX122" s="355"/>
      <c r="AY122" s="355"/>
      <c r="AZ122" s="355"/>
      <c r="BA122" s="355"/>
      <c r="BB122" s="355"/>
      <c r="BC122" s="355"/>
      <c r="BD122" s="355"/>
      <c r="BE122" s="355"/>
      <c r="BF122" s="355"/>
      <c r="BG122" s="355"/>
      <c r="BH122" s="355"/>
      <c r="BI122" s="355"/>
      <c r="BJ122" s="355"/>
      <c r="BK122" s="355"/>
      <c r="BL122" s="355"/>
      <c r="BM122" s="355"/>
      <c r="BN122" s="355"/>
      <c r="BO122" s="355"/>
      <c r="BP122" s="355"/>
      <c r="BQ122" s="355"/>
    </row>
    <row r="123">
      <c r="E123" s="354"/>
      <c r="F123" s="355"/>
      <c r="G123" s="355"/>
      <c r="H123" s="355"/>
      <c r="I123" s="355"/>
      <c r="J123" s="355"/>
      <c r="K123" s="355"/>
      <c r="L123" s="355"/>
      <c r="M123" s="355"/>
      <c r="N123" s="355"/>
      <c r="O123" s="355"/>
      <c r="P123" s="355"/>
      <c r="Q123" s="355"/>
      <c r="R123" s="355"/>
      <c r="S123" s="355"/>
      <c r="T123" s="355"/>
      <c r="U123" s="355"/>
      <c r="V123" s="355"/>
      <c r="W123" s="355"/>
      <c r="X123" s="355"/>
      <c r="Y123" s="355"/>
      <c r="Z123" s="355"/>
      <c r="AA123" s="355"/>
      <c r="AB123" s="355"/>
      <c r="AC123" s="355"/>
      <c r="AD123" s="355"/>
      <c r="AE123" s="355"/>
      <c r="AF123" s="355"/>
      <c r="AG123" s="355"/>
      <c r="AH123" s="355"/>
      <c r="AI123" s="355"/>
      <c r="AJ123" s="355"/>
      <c r="AK123" s="355"/>
      <c r="AL123" s="355"/>
      <c r="AM123" s="355"/>
      <c r="AN123" s="355"/>
      <c r="AO123" s="355"/>
      <c r="AP123" s="355"/>
      <c r="AQ123" s="355"/>
      <c r="AR123" s="355"/>
      <c r="AS123" s="355"/>
      <c r="AT123" s="355"/>
      <c r="AU123" s="355"/>
      <c r="AV123" s="355"/>
      <c r="AW123" s="355"/>
      <c r="AX123" s="355"/>
      <c r="AY123" s="355"/>
      <c r="AZ123" s="355"/>
      <c r="BA123" s="355"/>
      <c r="BB123" s="355"/>
      <c r="BC123" s="355"/>
      <c r="BD123" s="355"/>
      <c r="BE123" s="355"/>
      <c r="BF123" s="355"/>
      <c r="BG123" s="355"/>
      <c r="BH123" s="355"/>
      <c r="BI123" s="355"/>
      <c r="BJ123" s="355"/>
      <c r="BK123" s="355"/>
      <c r="BL123" s="355"/>
      <c r="BM123" s="355"/>
      <c r="BN123" s="355"/>
      <c r="BO123" s="355"/>
      <c r="BP123" s="355"/>
      <c r="BQ123" s="355"/>
    </row>
  </sheetData>
  <conditionalFormatting sqref="F13:BQ123">
    <cfRule type="containsBlanks" dxfId="15" priority="1">
      <formula>LEN(TRIM(F13))=0</formula>
    </cfRule>
  </conditionalFormatting>
  <conditionalFormatting sqref="F14:BQ15 F17:BQ18 F20:BQ21 F23:BQ24 F26:BQ123">
    <cfRule type="colorScale" priority="2">
      <colorScale>
        <cfvo type="min"/>
        <cfvo type="percentile" val="50"/>
        <cfvo type="max"/>
        <color rgb="FF57BB8A"/>
        <color rgb="FFFFD666"/>
        <color rgb="FFE67C73"/>
      </colorScale>
    </cfRule>
  </conditionalFormatting>
  <conditionalFormatting sqref="F11:BQ11">
    <cfRule type="colorScale" priority="3">
      <colorScale>
        <cfvo type="min"/>
        <cfvo type="max"/>
        <color rgb="FFFFFF00"/>
        <color rgb="FF4285F4"/>
      </colorScale>
    </cfRule>
  </conditionalFormatting>
  <conditionalFormatting sqref="F10:BQ10">
    <cfRule type="colorScale" priority="4">
      <colorScale>
        <cfvo type="min"/>
        <cfvo type="percentile" val="50"/>
        <cfvo type="max"/>
        <color rgb="FF57BB8A"/>
        <color rgb="FFFFD666"/>
        <color rgb="FFE67C73"/>
      </colorScale>
    </cfRule>
  </conditionalFormatting>
  <conditionalFormatting sqref="H15:BQ15 F18:BQ18 H21:BQ21 F24:BQ24 F27:BQ123">
    <cfRule type="notContainsBlanks" dxfId="16" priority="5">
      <formula>LEN(TRIM(H15))&gt;0</formula>
    </cfRule>
  </conditionalFormatting>
  <drawing r:id="rId4"/>
  <legacy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2" max="2" width="20.38"/>
  </cols>
  <sheetData>
    <row r="1">
      <c r="A1" s="360" t="s">
        <v>97</v>
      </c>
      <c r="S1" s="360" t="s">
        <v>100</v>
      </c>
    </row>
    <row r="2">
      <c r="P2" s="361"/>
    </row>
    <row r="3">
      <c r="P3" s="361"/>
    </row>
    <row r="4">
      <c r="P4" s="361"/>
    </row>
    <row r="5">
      <c r="P5" s="361"/>
    </row>
    <row r="6">
      <c r="A6" s="186"/>
      <c r="B6" s="186" t="s">
        <v>328</v>
      </c>
      <c r="C6" s="186" t="s">
        <v>526</v>
      </c>
      <c r="D6" s="186"/>
      <c r="E6" s="186"/>
      <c r="F6" s="186"/>
      <c r="G6" s="186"/>
      <c r="H6" s="186"/>
      <c r="I6" s="186"/>
      <c r="P6" s="361"/>
      <c r="S6" s="186"/>
      <c r="T6" s="186" t="s">
        <v>328</v>
      </c>
      <c r="U6" s="186" t="s">
        <v>526</v>
      </c>
      <c r="V6" s="186"/>
      <c r="W6" s="186"/>
      <c r="X6" s="186"/>
      <c r="Y6" s="186"/>
      <c r="Z6" s="186"/>
      <c r="AA6" s="186"/>
    </row>
    <row r="7">
      <c r="A7" s="186"/>
      <c r="B7" s="186" t="s">
        <v>265</v>
      </c>
      <c r="C7" s="186"/>
      <c r="D7" s="186"/>
      <c r="E7" s="186"/>
      <c r="F7" s="186" t="s">
        <v>262</v>
      </c>
      <c r="G7" s="186"/>
      <c r="H7" s="186"/>
      <c r="I7" s="186"/>
      <c r="P7" s="361"/>
      <c r="S7" s="186"/>
      <c r="T7" s="186" t="s">
        <v>265</v>
      </c>
      <c r="U7" s="186"/>
      <c r="V7" s="186"/>
      <c r="W7" s="186"/>
      <c r="X7" s="186" t="s">
        <v>262</v>
      </c>
      <c r="Y7" s="186"/>
      <c r="Z7" s="186"/>
      <c r="AA7" s="186"/>
    </row>
    <row r="8">
      <c r="A8" s="186" t="s">
        <v>324</v>
      </c>
      <c r="B8" s="186" t="s">
        <v>527</v>
      </c>
      <c r="C8" s="186" t="s">
        <v>528</v>
      </c>
      <c r="D8" s="186" t="s">
        <v>529</v>
      </c>
      <c r="E8" s="186" t="s">
        <v>530</v>
      </c>
      <c r="F8" s="186" t="s">
        <v>527</v>
      </c>
      <c r="G8" s="186" t="s">
        <v>528</v>
      </c>
      <c r="H8" s="186" t="s">
        <v>529</v>
      </c>
      <c r="I8" s="186" t="s">
        <v>530</v>
      </c>
      <c r="P8" s="361"/>
      <c r="S8" s="186" t="s">
        <v>324</v>
      </c>
      <c r="T8" s="186" t="s">
        <v>527</v>
      </c>
      <c r="U8" s="186" t="s">
        <v>528</v>
      </c>
      <c r="V8" s="186" t="s">
        <v>529</v>
      </c>
      <c r="W8" s="186" t="s">
        <v>530</v>
      </c>
      <c r="X8" s="186" t="s">
        <v>527</v>
      </c>
      <c r="Y8" s="186" t="s">
        <v>528</v>
      </c>
      <c r="Z8" s="186" t="s">
        <v>529</v>
      </c>
      <c r="AA8" s="186" t="s">
        <v>530</v>
      </c>
    </row>
    <row r="9">
      <c r="A9" s="186">
        <v>1.0</v>
      </c>
      <c r="B9" s="186"/>
      <c r="C9" s="186"/>
      <c r="D9" s="186"/>
      <c r="E9" s="186"/>
      <c r="F9" s="186">
        <v>0.0</v>
      </c>
      <c r="G9" s="186">
        <v>0.0</v>
      </c>
      <c r="H9" s="186">
        <v>0.0</v>
      </c>
      <c r="I9" s="186">
        <v>3.0</v>
      </c>
      <c r="P9" s="361"/>
      <c r="S9" s="186">
        <v>1.0</v>
      </c>
      <c r="T9" s="186"/>
      <c r="U9" s="186"/>
      <c r="V9" s="186"/>
      <c r="W9" s="186"/>
      <c r="X9" s="186">
        <v>0.0</v>
      </c>
      <c r="Y9" s="186">
        <v>0.0</v>
      </c>
      <c r="Z9" s="186">
        <v>0.0</v>
      </c>
      <c r="AA9" s="186">
        <v>4.0</v>
      </c>
    </row>
    <row r="10">
      <c r="A10" s="186">
        <v>2.0</v>
      </c>
      <c r="B10" s="186"/>
      <c r="C10" s="186"/>
      <c r="D10" s="186"/>
      <c r="E10" s="186"/>
      <c r="F10" s="186">
        <v>0.0</v>
      </c>
      <c r="G10" s="186">
        <v>0.0</v>
      </c>
      <c r="H10" s="186">
        <v>0.0</v>
      </c>
      <c r="I10" s="186">
        <v>6.0</v>
      </c>
      <c r="P10" s="361"/>
      <c r="S10" s="186">
        <v>4.0</v>
      </c>
      <c r="T10" s="186">
        <v>3692.0</v>
      </c>
      <c r="U10" s="186">
        <v>0.0</v>
      </c>
      <c r="V10" s="186">
        <v>0.0</v>
      </c>
      <c r="W10" s="186">
        <v>4.0</v>
      </c>
      <c r="X10" s="186"/>
      <c r="Y10" s="186"/>
      <c r="Z10" s="186"/>
      <c r="AA10" s="186"/>
    </row>
    <row r="11">
      <c r="A11" s="186">
        <v>8.0</v>
      </c>
      <c r="B11" s="186">
        <v>2915.0</v>
      </c>
      <c r="C11" s="186">
        <v>0.0</v>
      </c>
      <c r="D11" s="186">
        <v>0.0</v>
      </c>
      <c r="E11" s="186">
        <v>4.0</v>
      </c>
      <c r="F11" s="186"/>
      <c r="G11" s="186"/>
      <c r="H11" s="186"/>
      <c r="I11" s="186"/>
      <c r="P11" s="361"/>
      <c r="S11" s="186">
        <v>6.0</v>
      </c>
      <c r="T11" s="186">
        <v>3739.0</v>
      </c>
      <c r="U11" s="186">
        <v>0.0</v>
      </c>
      <c r="V11" s="186">
        <v>0.0</v>
      </c>
      <c r="W11" s="186">
        <v>5.0</v>
      </c>
      <c r="X11" s="186"/>
      <c r="Y11" s="186"/>
      <c r="Z11" s="186"/>
      <c r="AA11" s="186"/>
    </row>
    <row r="12">
      <c r="A12" s="186">
        <v>9.0</v>
      </c>
      <c r="B12" s="186">
        <v>1246.0</v>
      </c>
      <c r="C12" s="186">
        <v>0.0</v>
      </c>
      <c r="D12" s="186">
        <v>0.0</v>
      </c>
      <c r="E12" s="186">
        <v>1.0</v>
      </c>
      <c r="F12" s="186"/>
      <c r="G12" s="186"/>
      <c r="H12" s="186"/>
      <c r="I12" s="186"/>
      <c r="P12" s="361"/>
      <c r="S12" s="186">
        <v>9.0</v>
      </c>
      <c r="T12" s="186">
        <v>3769.0</v>
      </c>
      <c r="U12" s="186">
        <v>0.0</v>
      </c>
      <c r="V12" s="186">
        <v>0.0</v>
      </c>
      <c r="W12" s="186">
        <v>2.0</v>
      </c>
      <c r="X12" s="186"/>
      <c r="Y12" s="186"/>
      <c r="Z12" s="186"/>
      <c r="AA12" s="186"/>
    </row>
    <row r="13">
      <c r="A13" s="186">
        <v>12.0</v>
      </c>
      <c r="B13" s="186">
        <v>2818.0</v>
      </c>
      <c r="C13" s="186">
        <v>0.0</v>
      </c>
      <c r="D13" s="186">
        <v>0.0</v>
      </c>
      <c r="E13" s="186">
        <v>4.0</v>
      </c>
      <c r="F13" s="186"/>
      <c r="G13" s="186"/>
      <c r="H13" s="186"/>
      <c r="I13" s="186"/>
      <c r="P13" s="361"/>
      <c r="S13" s="186">
        <v>12.0</v>
      </c>
      <c r="T13" s="186">
        <v>3415.0</v>
      </c>
      <c r="U13" s="186">
        <v>0.0</v>
      </c>
      <c r="V13" s="186">
        <v>0.0</v>
      </c>
      <c r="W13" s="186">
        <v>3.0</v>
      </c>
      <c r="X13" s="186"/>
      <c r="Y13" s="186"/>
      <c r="Z13" s="186"/>
      <c r="AA13" s="186"/>
    </row>
    <row r="14">
      <c r="A14" s="186">
        <v>13.0</v>
      </c>
      <c r="B14" s="186">
        <v>2993.0</v>
      </c>
      <c r="C14" s="186">
        <v>0.0</v>
      </c>
      <c r="D14" s="186">
        <v>0.0</v>
      </c>
      <c r="E14" s="186">
        <v>3.0</v>
      </c>
      <c r="F14" s="186"/>
      <c r="G14" s="186"/>
      <c r="H14" s="186"/>
      <c r="I14" s="186"/>
      <c r="P14" s="361"/>
      <c r="S14" s="186">
        <v>14.0</v>
      </c>
      <c r="T14" s="186">
        <v>3557.0</v>
      </c>
      <c r="U14" s="186">
        <v>0.0</v>
      </c>
      <c r="V14" s="186">
        <v>0.0</v>
      </c>
      <c r="W14" s="186">
        <v>5.0</v>
      </c>
      <c r="X14" s="186"/>
      <c r="Y14" s="186"/>
      <c r="Z14" s="186"/>
      <c r="AA14" s="186"/>
    </row>
    <row r="15">
      <c r="A15" s="186">
        <v>14.0</v>
      </c>
      <c r="B15" s="186">
        <v>2938.0</v>
      </c>
      <c r="C15" s="186">
        <v>0.0</v>
      </c>
      <c r="D15" s="186">
        <v>0.0</v>
      </c>
      <c r="E15" s="186">
        <v>6.0</v>
      </c>
      <c r="F15" s="186"/>
      <c r="G15" s="186"/>
      <c r="H15" s="186"/>
      <c r="I15" s="186"/>
      <c r="P15" s="361"/>
      <c r="S15" s="186">
        <v>16.0</v>
      </c>
      <c r="T15" s="186">
        <v>3715.0</v>
      </c>
      <c r="U15" s="186">
        <v>0.0</v>
      </c>
      <c r="V15" s="186">
        <v>0.0</v>
      </c>
      <c r="W15" s="186">
        <v>6.0</v>
      </c>
      <c r="X15" s="186"/>
      <c r="Y15" s="186"/>
      <c r="Z15" s="186"/>
      <c r="AA15" s="186"/>
    </row>
    <row r="16">
      <c r="A16" s="186">
        <v>16.0</v>
      </c>
      <c r="B16" s="186">
        <v>2978.0</v>
      </c>
      <c r="C16" s="186">
        <v>0.0</v>
      </c>
      <c r="D16" s="186">
        <v>0.0</v>
      </c>
      <c r="E16" s="186">
        <v>6.0</v>
      </c>
      <c r="F16" s="186"/>
      <c r="G16" s="186"/>
      <c r="H16" s="186"/>
      <c r="I16" s="186"/>
      <c r="P16" s="361"/>
      <c r="S16" s="186">
        <v>18.0</v>
      </c>
      <c r="T16" s="186">
        <v>130.0</v>
      </c>
      <c r="U16" s="186">
        <v>0.0</v>
      </c>
      <c r="V16" s="186">
        <v>0.0</v>
      </c>
      <c r="W16" s="186">
        <v>2.0</v>
      </c>
      <c r="X16" s="186"/>
      <c r="Y16" s="186"/>
      <c r="Z16" s="186"/>
      <c r="AA16" s="186"/>
    </row>
    <row r="17">
      <c r="A17" s="186">
        <v>17.0</v>
      </c>
      <c r="B17" s="186">
        <v>2962.0</v>
      </c>
      <c r="C17" s="186">
        <v>0.0</v>
      </c>
      <c r="D17" s="186">
        <v>0.0</v>
      </c>
      <c r="E17" s="186">
        <v>5.0</v>
      </c>
      <c r="F17" s="186"/>
      <c r="G17" s="186"/>
      <c r="H17" s="186"/>
      <c r="I17" s="186"/>
      <c r="P17" s="361"/>
    </row>
    <row r="18">
      <c r="A18" s="186">
        <v>18.0</v>
      </c>
      <c r="B18" s="186">
        <v>55.0</v>
      </c>
      <c r="C18" s="186">
        <v>0.0</v>
      </c>
      <c r="D18" s="186">
        <v>0.0</v>
      </c>
      <c r="E18" s="186">
        <v>8.0</v>
      </c>
      <c r="F18" s="186"/>
      <c r="G18" s="186"/>
      <c r="H18" s="186"/>
      <c r="I18" s="186"/>
      <c r="P18" s="361"/>
    </row>
    <row r="19">
      <c r="P19" s="361"/>
    </row>
    <row r="20">
      <c r="P20" s="361"/>
    </row>
    <row r="21">
      <c r="P21" s="361"/>
    </row>
    <row r="22">
      <c r="P22" s="361"/>
    </row>
    <row r="23">
      <c r="P23" s="361"/>
    </row>
    <row r="24">
      <c r="P24" s="361"/>
    </row>
    <row r="25">
      <c r="P25" s="361"/>
    </row>
    <row r="26">
      <c r="P26" s="361"/>
    </row>
    <row r="27">
      <c r="P27" s="361"/>
    </row>
    <row r="28">
      <c r="C28" s="264"/>
      <c r="D28" s="264"/>
      <c r="E28" s="264"/>
      <c r="P28" s="361"/>
    </row>
    <row r="29">
      <c r="D29" s="189"/>
      <c r="E29" s="264"/>
      <c r="F29" s="264"/>
      <c r="P29" s="361"/>
    </row>
    <row r="30">
      <c r="D30" s="189"/>
      <c r="E30" s="264"/>
      <c r="P30" s="361"/>
    </row>
    <row r="31">
      <c r="D31" s="189"/>
      <c r="P31" s="361"/>
    </row>
    <row r="32">
      <c r="D32" s="189"/>
      <c r="P32" s="361"/>
    </row>
    <row r="33">
      <c r="D33" s="189"/>
      <c r="P33" s="361"/>
    </row>
    <row r="34">
      <c r="D34" s="189"/>
      <c r="E34" s="264"/>
      <c r="P34" s="361"/>
    </row>
    <row r="35">
      <c r="D35" s="189"/>
      <c r="E35" s="264"/>
      <c r="P35" s="361"/>
    </row>
    <row r="36">
      <c r="D36" s="189"/>
      <c r="E36" s="264"/>
      <c r="P36" s="361"/>
    </row>
    <row r="37">
      <c r="D37" s="189"/>
      <c r="P37" s="361"/>
    </row>
    <row r="38">
      <c r="D38" s="189"/>
      <c r="P38" s="361"/>
      <c r="T38" s="189"/>
      <c r="U38" s="189"/>
    </row>
    <row r="39">
      <c r="D39" s="189"/>
      <c r="P39" s="361"/>
      <c r="T39" s="189"/>
      <c r="U39" s="189"/>
    </row>
    <row r="40">
      <c r="B40" s="189"/>
      <c r="C40" s="189"/>
      <c r="D40" s="189"/>
      <c r="P40" s="361"/>
      <c r="T40" s="189"/>
      <c r="U40" s="189"/>
    </row>
    <row r="41">
      <c r="B41" s="189"/>
      <c r="C41" s="189"/>
      <c r="D41" s="189"/>
      <c r="P41" s="361"/>
      <c r="T41" s="189"/>
      <c r="U41" s="189"/>
    </row>
    <row r="42">
      <c r="B42" s="189"/>
      <c r="C42" s="189"/>
      <c r="D42" s="189"/>
      <c r="P42" s="361"/>
      <c r="T42" s="189"/>
      <c r="U42" s="189"/>
    </row>
    <row r="43">
      <c r="B43" s="189"/>
      <c r="C43" s="189"/>
      <c r="D43" s="189"/>
      <c r="P43" s="361"/>
      <c r="T43" s="189"/>
      <c r="U43" s="189"/>
    </row>
    <row r="44">
      <c r="B44" s="189"/>
      <c r="C44" s="189"/>
      <c r="D44" s="189"/>
      <c r="P44" s="361"/>
      <c r="T44" s="189"/>
      <c r="U44" s="189"/>
    </row>
    <row r="45">
      <c r="B45" s="189"/>
      <c r="C45" s="189"/>
      <c r="D45" s="189"/>
      <c r="P45" s="361"/>
      <c r="T45" s="189"/>
      <c r="U45" s="189"/>
    </row>
    <row r="46">
      <c r="B46" s="189"/>
      <c r="C46" s="189"/>
      <c r="D46" s="189"/>
      <c r="P46" s="361"/>
      <c r="T46" s="189"/>
      <c r="U46" s="189"/>
    </row>
    <row r="47">
      <c r="B47" s="189"/>
      <c r="C47" s="189"/>
      <c r="D47" s="189"/>
      <c r="P47" s="361"/>
      <c r="T47" s="189"/>
      <c r="U47" s="189"/>
    </row>
    <row r="48">
      <c r="P48" s="361"/>
    </row>
    <row r="49">
      <c r="P49" s="361"/>
    </row>
    <row r="50">
      <c r="P50" s="361"/>
    </row>
    <row r="51">
      <c r="P51" s="361"/>
    </row>
    <row r="52">
      <c r="P52" s="361"/>
    </row>
    <row r="53">
      <c r="A53" s="362" t="s">
        <v>531</v>
      </c>
      <c r="B53" s="362" t="s">
        <v>24</v>
      </c>
      <c r="C53" s="363">
        <f t="shared" ref="C53:E53" si="1">AVERAGE(C30:C46)/MAX(C30:C46)</f>
        <v>0.6316404945</v>
      </c>
      <c r="D53" s="363" t="str">
        <f t="shared" si="1"/>
        <v>#DIV/0!</v>
      </c>
      <c r="E53" s="363" t="str">
        <f t="shared" si="1"/>
        <v>#DIV/0!</v>
      </c>
      <c r="P53" s="361"/>
      <c r="S53" s="364" t="s">
        <v>531</v>
      </c>
      <c r="T53" s="364" t="s">
        <v>24</v>
      </c>
      <c r="U53" s="365">
        <f t="shared" ref="U53:W53" si="2">AVERAGE(U30:U46)/MAX(U30:U46)</f>
        <v>0.7302003184</v>
      </c>
      <c r="V53" s="366" t="str">
        <f t="shared" si="2"/>
        <v>#DIV/0!</v>
      </c>
      <c r="W53" s="366" t="str">
        <f t="shared" si="2"/>
        <v>#DIV/0!</v>
      </c>
    </row>
    <row r="54">
      <c r="A54" s="367"/>
      <c r="B54" s="362" t="s">
        <v>265</v>
      </c>
      <c r="C54" s="363">
        <f>IFERROR(__xludf.DUMMYFUNCTION("AVERAGE(FILTER($B29:C53,B29:B53=""Chilled""))/MAX(FILTER($B29:C53,B29:B53=""Chilled""))"),0.7895506181089208)</f>
        <v>0.7895506181</v>
      </c>
      <c r="D54" s="363" t="str">
        <f>IFERROR(__xludf.DUMMYFUNCTION("AVERAGE(FILTER({$B29:$B53,$D29:$D53 },$B29:$B53=""Chilled""))/MAX(FILTER({$B29:$B53,$D29:$D53 },$B29:$B53=""Chilled""))"),"#DIV/0!")</f>
        <v>#DIV/0!</v>
      </c>
      <c r="E54" s="363" t="str">
        <f>IFERROR(__xludf.DUMMYFUNCTION("AVERAGE(FILTER({$B29:$B53,$E29:$E53 },$B29:$B53=""Chilled""))/MAX(FILTER({$B29:$B53,$E29:$E53 },$B29:$B53=""Chilled""))"),"#DIV/0!")</f>
        <v>#DIV/0!</v>
      </c>
      <c r="P54" s="361"/>
      <c r="S54" s="4"/>
      <c r="T54" s="364" t="s">
        <v>265</v>
      </c>
      <c r="U54" s="368" t="str">
        <f>IFERROR(__xludf.DUMMYFUNCTION("AVERAGE(FILTER($O24:R48,T29:T53=""Chilled""))/MAX(FILTER($O24:R48,T29:T53=""Chilled""))"),"#DIV/0!")</f>
        <v>#DIV/0!</v>
      </c>
      <c r="V54" s="366" t="str">
        <f>IFERROR(__xludf.DUMMYFUNCTION("AVERAGE(FILTER({$B29:$B53,$D29:$D53 },$B29:$B53=""Chilled""))/MAX(FILTER({$B29:$B53,$D29:$D53 },$B29:$B53=""Chilled""))"),"#DIV/0!")</f>
        <v>#DIV/0!</v>
      </c>
      <c r="W54" s="366" t="str">
        <f>IFERROR(__xludf.DUMMYFUNCTION("AVERAGE(FILTER({$B29:$B53,$E29:$E53 },$B29:$B53=""Chilled""))/MAX(FILTER({$B29:$B53,$E29:$E53 },$B29:$B53=""Chilled""))"),"#DIV/0!")</f>
        <v>#DIV/0!</v>
      </c>
    </row>
    <row r="55">
      <c r="A55" s="367"/>
      <c r="B55" s="362" t="s">
        <v>532</v>
      </c>
      <c r="C55" s="369" t="str">
        <f>IFERROR(__xludf.DUMMYFUNCTION("Average(FILTER({$B29:$B53,$C29:C53},($B29:$B53=""Kits"")+($B29:$B53=""Single Picks"")))/MAX(FILTER({$B29:$B53,$C29:C53},($B29:$B53=""Kits"")+($B29:$B53=""Single Picks"")))"),"#N/A")</f>
        <v>#N/A</v>
      </c>
      <c r="D55" s="369" t="str">
        <f>IFERROR(__xludf.DUMMYFUNCTION("Average(FILTER({$B29:$B53,$D29:D53},($B29:$B53=""Kits"")+($B29:$B53=""Single Picks"")))/MAX(FILTER({$B29:$B53,$D29:D53},($B29:$B53=""Kits"")+($B29:$B53=""Single Picks"")))"),"#N/A")</f>
        <v>#N/A</v>
      </c>
      <c r="E55" s="369" t="str">
        <f>IFERROR(__xludf.DUMMYFUNCTION("Average(FILTER({$B29:$B53,$E29:E53},($B29:$B53=""Kits"")+($B29:$B53=""Single Picks"")))/MAX(FILTER({$B29:$B53,$E29:E53},($B29:$B53=""Kits"")+($B29:$B53=""Single Picks"")))"),"#N/A")</f>
        <v>#N/A</v>
      </c>
      <c r="P55" s="361"/>
      <c r="S55" s="4"/>
      <c r="T55" s="364" t="s">
        <v>532</v>
      </c>
      <c r="U55" s="370" t="str">
        <f>IFERROR(__xludf.DUMMYFUNCTION("Average(FILTER({$B29:$B53,$O24:R48},($B29:$B53=""Kits"")+($B29:$B53=""Single Picks"")))/MAX(FILTER({$B29:$B53,$O24:R48},($B29:$B53=""Kits"")+($B29:$B53=""Single Picks"")))"),"#N/A")</f>
        <v>#N/A</v>
      </c>
      <c r="V55" s="370" t="str">
        <f>IFERROR(__xludf.DUMMYFUNCTION("Average(FILTER({$B29:$B53,$O24:R48},($B29:$B53=""Kits"")+($B29:$B53=""Single Picks"")))/MAX(FILTER({$B29:$B53,$O24:R48},($B29:$B53=""Kits"")+($B29:$B53=""Single Picks"")))"),"#N/A")</f>
        <v>#N/A</v>
      </c>
      <c r="W55" s="370" t="str">
        <f>IFERROR(__xludf.DUMMYFUNCTION("Average(FILTER({$B29:$B53,$O24:R48},($B29:$B53=""Kits"")+($B29:$B53=""Single Picks"")))/MAX(FILTER({$B29:$B53,$O24:R48},($B29:$B53=""Kits"")+($B29:$B53=""Single Picks"")))"),"#N/A")</f>
        <v>#N/A</v>
      </c>
    </row>
    <row r="56">
      <c r="P56" s="361"/>
    </row>
    <row r="57">
      <c r="P57" s="361"/>
    </row>
    <row r="58">
      <c r="P58" s="361"/>
    </row>
    <row r="59">
      <c r="P59" s="361"/>
    </row>
    <row r="60">
      <c r="B60" s="371"/>
      <c r="P60" s="361"/>
    </row>
    <row r="61">
      <c r="P61" s="361"/>
    </row>
    <row r="62">
      <c r="P62" s="361"/>
    </row>
    <row r="63">
      <c r="P63" s="361"/>
    </row>
    <row r="64">
      <c r="P64" s="361"/>
    </row>
    <row r="65">
      <c r="P65" s="361"/>
    </row>
    <row r="66">
      <c r="P66" s="361"/>
    </row>
    <row r="67">
      <c r="P67" s="361"/>
    </row>
    <row r="68">
      <c r="P68" s="361"/>
    </row>
  </sheetData>
  <mergeCells count="2">
    <mergeCell ref="A1:N3"/>
    <mergeCell ref="S1:AF3"/>
  </mergeCells>
  <conditionalFormatting sqref="C53:E55">
    <cfRule type="colorScale" priority="1">
      <colorScale>
        <cfvo type="min"/>
        <cfvo type="percentile" val="50"/>
        <cfvo type="max"/>
        <color rgb="FFE67C73"/>
        <color rgb="FFFFFFFF"/>
        <color rgb="FF57BB8A"/>
      </colorScale>
    </cfRule>
  </conditionalFormatting>
  <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7.75"/>
  </cols>
  <sheetData>
    <row r="1">
      <c r="A1" s="1" t="str">
        <f>IFERROR(__xludf.DUMMYFUNCTION("IMPORTRANGE(""https://docs.google.com/spreadsheets/d/1L8QtO2TgW0DbmzLSbVHwotKAn1b-1y4fQgTJsuJCiJE/edit?gid=1316160815#gid=1316160815"",""2025 Verden Forecast (DE+NOR)!A1:S10000"")"),"")</f>
        <v/>
      </c>
      <c r="B1" s="186"/>
      <c r="C1" s="186"/>
      <c r="D1" s="186"/>
      <c r="E1" s="186"/>
      <c r="F1" s="186"/>
      <c r="G1" s="186"/>
      <c r="H1" s="186"/>
      <c r="I1" s="186"/>
      <c r="J1" s="186"/>
      <c r="K1" s="186"/>
      <c r="L1" s="186"/>
      <c r="M1" s="186"/>
      <c r="N1" s="186"/>
      <c r="O1" s="186"/>
      <c r="P1" s="186"/>
      <c r="Q1" s="186"/>
      <c r="R1" s="186"/>
      <c r="S1" s="186"/>
    </row>
    <row r="2">
      <c r="A2" s="186" t="str">
        <f>IFERROR(__xludf.DUMMYFUNCTION("""COMPUTED_VALUE"""),"Market")</f>
        <v>Market</v>
      </c>
      <c r="B2" s="186" t="str">
        <f>IFERROR(__xludf.DUMMYFUNCTION("""COMPUTED_VALUE"""),"week")</f>
        <v>week</v>
      </c>
      <c r="C2" s="186" t="str">
        <f>IFERROR(__xludf.DUMMYFUNCTION("""COMPUTED_VALUE"""),"Recipe Slot Number")</f>
        <v>Recipe Slot Number</v>
      </c>
      <c r="D2" s="186" t="str">
        <f>IFERROR(__xludf.DUMMYFUNCTION("""COMPUTED_VALUE"""),"SKU Code")</f>
        <v>SKU Code</v>
      </c>
      <c r="E2" s="186" t="str">
        <f>IFERROR(__xludf.DUMMYFUNCTION("""COMPUTED_VALUE"""),"English Name")</f>
        <v>English Name</v>
      </c>
      <c r="F2" s="186" t="str">
        <f>IFERROR(__xludf.DUMMYFUNCTION("""COMPUTED_VALUE"""),"Recipe Name")</f>
        <v>Recipe Name</v>
      </c>
      <c r="G2" s="186" t="str">
        <f>IFERROR(__xludf.DUMMYFUNCTION("""COMPUTED_VALUE"""),"Recipe Code")</f>
        <v>Recipe Code</v>
      </c>
      <c r="H2" s="186" t="str">
        <f>IFERROR(__xludf.DUMMYFUNCTION("""COMPUTED_VALUE"""),"Maitre Code")</f>
        <v>Maitre Code</v>
      </c>
      <c r="I2" s="186" t="str">
        <f>IFERROR(__xludf.DUMMYFUNCTION("""COMPUTED_VALUE"""),"Maitre SKU Name")</f>
        <v>Maitre SKU Name</v>
      </c>
      <c r="J2" s="186" t="str">
        <f>IFERROR(__xludf.DUMMYFUNCTION("""COMPUTED_VALUE"""),"wed -4wk")</f>
        <v>wed -4wk</v>
      </c>
      <c r="K2" s="186" t="str">
        <f>IFERROR(__xludf.DUMMYFUNCTION("""COMPUTED_VALUE"""),"wed -3wk")</f>
        <v>wed -3wk</v>
      </c>
      <c r="L2" s="186" t="str">
        <f>IFERROR(__xludf.DUMMYFUNCTION("""COMPUTED_VALUE"""),"wed -2wk")</f>
        <v>wed -2wk</v>
      </c>
      <c r="M2" s="186" t="str">
        <f>IFERROR(__xludf.DUMMYFUNCTION("""COMPUTED_VALUE"""),"wed-1wk")</f>
        <v>wed-1wk</v>
      </c>
      <c r="N2" s="186" t="str">
        <f>IFERROR(__xludf.DUMMYFUNCTION("""COMPUTED_VALUE"""),"Fri -1wk")</f>
        <v>Fri -1wk</v>
      </c>
      <c r="O2" s="186" t="str">
        <f>IFERROR(__xludf.DUMMYFUNCTION("""COMPUTED_VALUE"""),"Mon")</f>
        <v>Mon</v>
      </c>
      <c r="P2" s="186" t="str">
        <f>IFERROR(__xludf.DUMMYFUNCTION("""COMPUTED_VALUE"""),"Tues")</f>
        <v>Tues</v>
      </c>
      <c r="Q2" s="186" t="str">
        <f>IFERROR(__xludf.DUMMYFUNCTION("""COMPUTED_VALUE"""),"Weds")</f>
        <v>Weds</v>
      </c>
      <c r="R2" s="186" t="str">
        <f>IFERROR(__xludf.DUMMYFUNCTION("""COMPUTED_VALUE"""),"Thurs")</f>
        <v>Thurs</v>
      </c>
      <c r="S2" s="186" t="str">
        <f>IFERROR(__xludf.DUMMYFUNCTION("""COMPUTED_VALUE"""),"order")</f>
        <v>order</v>
      </c>
    </row>
    <row r="3">
      <c r="A3" s="186" t="str">
        <f>IFERROR(__xludf.DUMMYFUNCTION("""COMPUTED_VALUE"""),"NORDICS")</f>
        <v>NORDICS</v>
      </c>
      <c r="B3" s="186" t="str">
        <f>IFERROR(__xludf.DUMMYFUNCTION("""COMPUTED_VALUE"""),"W46")</f>
        <v>W46</v>
      </c>
      <c r="C3" s="186">
        <f>IFERROR(__xludf.DUMMYFUNCTION("""COMPUTED_VALUE"""),301.0)</f>
        <v>301</v>
      </c>
      <c r="D3" s="186"/>
      <c r="E3" s="186"/>
      <c r="F3" s="186"/>
      <c r="G3" s="186" t="str">
        <f>IFERROR(__xludf.DUMMYFUNCTION("""COMPUTED_VALUE"""),"FE4001A")</f>
        <v>FE4001A</v>
      </c>
      <c r="H3" s="186"/>
      <c r="I3" s="186"/>
      <c r="J3" s="189">
        <f>IFERROR(__xludf.DUMMYFUNCTION("""COMPUTED_VALUE"""),4138.0)</f>
        <v>4138</v>
      </c>
      <c r="K3" s="189">
        <f>IFERROR(__xludf.DUMMYFUNCTION("""COMPUTED_VALUE"""),3840.0)</f>
        <v>3840</v>
      </c>
      <c r="L3" s="189">
        <f>IFERROR(__xludf.DUMMYFUNCTION("""COMPUTED_VALUE"""),3593.0)</f>
        <v>3593</v>
      </c>
      <c r="M3" s="189">
        <f>IFERROR(__xludf.DUMMYFUNCTION("""COMPUTED_VALUE"""),3665.0)</f>
        <v>3665</v>
      </c>
      <c r="N3" s="189">
        <f>IFERROR(__xludf.DUMMYFUNCTION("""COMPUTED_VALUE"""),3598.0)</f>
        <v>3598</v>
      </c>
      <c r="O3" s="189">
        <f>IFERROR(__xludf.DUMMYFUNCTION("""COMPUTED_VALUE"""),3641.0)</f>
        <v>3641</v>
      </c>
      <c r="P3" s="189">
        <f>IFERROR(__xludf.DUMMYFUNCTION("""COMPUTED_VALUE"""),3703.0)</f>
        <v>3703</v>
      </c>
      <c r="Q3" s="189">
        <f>IFERROR(__xludf.DUMMYFUNCTION("""COMPUTED_VALUE"""),3740.0)</f>
        <v>3740</v>
      </c>
      <c r="R3" s="189">
        <f>IFERROR(__xludf.DUMMYFUNCTION("""COMPUTED_VALUE"""),3679.0)</f>
        <v>3679</v>
      </c>
      <c r="S3" s="189">
        <f>IFERROR(__xludf.DUMMYFUNCTION("""COMPUTED_VALUE"""),3495.0)</f>
        <v>3495</v>
      </c>
    </row>
    <row r="4">
      <c r="A4" s="186" t="str">
        <f>IFERROR(__xludf.DUMMYFUNCTION("""COMPUTED_VALUE"""),"NORDICS")</f>
        <v>NORDICS</v>
      </c>
      <c r="B4" s="186" t="str">
        <f>IFERROR(__xludf.DUMMYFUNCTION("""COMPUTED_VALUE"""),"W46")</f>
        <v>W46</v>
      </c>
      <c r="C4" s="186">
        <f>IFERROR(__xludf.DUMMYFUNCTION("""COMPUTED_VALUE"""),302.0)</f>
        <v>302</v>
      </c>
      <c r="D4" s="186"/>
      <c r="E4" s="186"/>
      <c r="F4" s="186"/>
      <c r="G4" s="186" t="str">
        <f>IFERROR(__xludf.DUMMYFUNCTION("""COMPUTED_VALUE"""),"FE4011B")</f>
        <v>FE4011B</v>
      </c>
      <c r="H4" s="186"/>
      <c r="I4" s="186"/>
      <c r="J4" s="189">
        <f>IFERROR(__xludf.DUMMYFUNCTION("""COMPUTED_VALUE"""),2523.0)</f>
        <v>2523</v>
      </c>
      <c r="K4" s="189">
        <f>IFERROR(__xludf.DUMMYFUNCTION("""COMPUTED_VALUE"""),2477.0)</f>
        <v>2477</v>
      </c>
      <c r="L4" s="189">
        <f>IFERROR(__xludf.DUMMYFUNCTION("""COMPUTED_VALUE"""),2194.0)</f>
        <v>2194</v>
      </c>
      <c r="M4" s="189">
        <f>IFERROR(__xludf.DUMMYFUNCTION("""COMPUTED_VALUE"""),2155.0)</f>
        <v>2155</v>
      </c>
      <c r="N4" s="189">
        <f>IFERROR(__xludf.DUMMYFUNCTION("""COMPUTED_VALUE"""),2161.0)</f>
        <v>2161</v>
      </c>
      <c r="O4" s="189">
        <f>IFERROR(__xludf.DUMMYFUNCTION("""COMPUTED_VALUE"""),2186.0)</f>
        <v>2186</v>
      </c>
      <c r="P4" s="189">
        <f>IFERROR(__xludf.DUMMYFUNCTION("""COMPUTED_VALUE"""),2150.0)</f>
        <v>2150</v>
      </c>
      <c r="Q4" s="189">
        <f>IFERROR(__xludf.DUMMYFUNCTION("""COMPUTED_VALUE"""),2175.0)</f>
        <v>2175</v>
      </c>
      <c r="R4" s="189">
        <f>IFERROR(__xludf.DUMMYFUNCTION("""COMPUTED_VALUE"""),2093.0)</f>
        <v>2093</v>
      </c>
      <c r="S4" s="189">
        <f>IFERROR(__xludf.DUMMYFUNCTION("""COMPUTED_VALUE"""),1988.0)</f>
        <v>1988</v>
      </c>
    </row>
    <row r="5">
      <c r="A5" s="186" t="str">
        <f>IFERROR(__xludf.DUMMYFUNCTION("""COMPUTED_VALUE"""),"NORDICS")</f>
        <v>NORDICS</v>
      </c>
      <c r="B5" s="186" t="str">
        <f>IFERROR(__xludf.DUMMYFUNCTION("""COMPUTED_VALUE"""),"W46")</f>
        <v>W46</v>
      </c>
      <c r="C5" s="186">
        <f>IFERROR(__xludf.DUMMYFUNCTION("""COMPUTED_VALUE"""),303.0)</f>
        <v>303</v>
      </c>
      <c r="D5" s="186"/>
      <c r="E5" s="186"/>
      <c r="F5" s="186"/>
      <c r="G5" s="186" t="str">
        <f>IFERROR(__xludf.DUMMYFUNCTION("""COMPUTED_VALUE"""),"FE0713A")</f>
        <v>FE0713A</v>
      </c>
      <c r="H5" s="186"/>
      <c r="I5" s="186"/>
      <c r="J5" s="189">
        <f>IFERROR(__xludf.DUMMYFUNCTION("""COMPUTED_VALUE"""),2558.0)</f>
        <v>2558</v>
      </c>
      <c r="K5" s="189">
        <f>IFERROR(__xludf.DUMMYFUNCTION("""COMPUTED_VALUE"""),2482.0)</f>
        <v>2482</v>
      </c>
      <c r="L5" s="189">
        <f>IFERROR(__xludf.DUMMYFUNCTION("""COMPUTED_VALUE"""),2346.0)</f>
        <v>2346</v>
      </c>
      <c r="M5" s="189">
        <f>IFERROR(__xludf.DUMMYFUNCTION("""COMPUTED_VALUE"""),2266.0)</f>
        <v>2266</v>
      </c>
      <c r="N5" s="189">
        <f>IFERROR(__xludf.DUMMYFUNCTION("""COMPUTED_VALUE"""),2251.0)</f>
        <v>2251</v>
      </c>
      <c r="O5" s="189">
        <f>IFERROR(__xludf.DUMMYFUNCTION("""COMPUTED_VALUE"""),2321.0)</f>
        <v>2321</v>
      </c>
      <c r="P5" s="189">
        <f>IFERROR(__xludf.DUMMYFUNCTION("""COMPUTED_VALUE"""),2297.0)</f>
        <v>2297</v>
      </c>
      <c r="Q5" s="189">
        <f>IFERROR(__xludf.DUMMYFUNCTION("""COMPUTED_VALUE"""),2357.0)</f>
        <v>2357</v>
      </c>
      <c r="R5" s="189">
        <f>IFERROR(__xludf.DUMMYFUNCTION("""COMPUTED_VALUE"""),2301.0)</f>
        <v>2301</v>
      </c>
      <c r="S5" s="189">
        <f>IFERROR(__xludf.DUMMYFUNCTION("""COMPUTED_VALUE"""),2201.0)</f>
        <v>2201</v>
      </c>
    </row>
    <row r="6">
      <c r="A6" s="186" t="str">
        <f>IFERROR(__xludf.DUMMYFUNCTION("""COMPUTED_VALUE"""),"NORDICS")</f>
        <v>NORDICS</v>
      </c>
      <c r="B6" s="186" t="str">
        <f>IFERROR(__xludf.DUMMYFUNCTION("""COMPUTED_VALUE"""),"W46")</f>
        <v>W46</v>
      </c>
      <c r="C6" s="186">
        <f>IFERROR(__xludf.DUMMYFUNCTION("""COMPUTED_VALUE"""),304.0)</f>
        <v>304</v>
      </c>
      <c r="D6" s="186"/>
      <c r="E6" s="186"/>
      <c r="F6" s="186"/>
      <c r="G6" s="186" t="str">
        <f>IFERROR(__xludf.DUMMYFUNCTION("""COMPUTED_VALUE"""),"FE4040A")</f>
        <v>FE4040A</v>
      </c>
      <c r="H6" s="186"/>
      <c r="I6" s="186"/>
      <c r="J6" s="189">
        <f>IFERROR(__xludf.DUMMYFUNCTION("""COMPUTED_VALUE"""),3758.0)</f>
        <v>3758</v>
      </c>
      <c r="K6" s="189">
        <f>IFERROR(__xludf.DUMMYFUNCTION("""COMPUTED_VALUE"""),3622.0)</f>
        <v>3622</v>
      </c>
      <c r="L6" s="189">
        <f>IFERROR(__xludf.DUMMYFUNCTION("""COMPUTED_VALUE"""),3434.0)</f>
        <v>3434</v>
      </c>
      <c r="M6" s="189">
        <f>IFERROR(__xludf.DUMMYFUNCTION("""COMPUTED_VALUE"""),3506.0)</f>
        <v>3506</v>
      </c>
      <c r="N6" s="189">
        <f>IFERROR(__xludf.DUMMYFUNCTION("""COMPUTED_VALUE"""),3398.0)</f>
        <v>3398</v>
      </c>
      <c r="O6" s="189">
        <f>IFERROR(__xludf.DUMMYFUNCTION("""COMPUTED_VALUE"""),3480.0)</f>
        <v>3480</v>
      </c>
      <c r="P6" s="189">
        <f>IFERROR(__xludf.DUMMYFUNCTION("""COMPUTED_VALUE"""),3456.0)</f>
        <v>3456</v>
      </c>
      <c r="Q6" s="189">
        <f>IFERROR(__xludf.DUMMYFUNCTION("""COMPUTED_VALUE"""),3544.0)</f>
        <v>3544</v>
      </c>
      <c r="R6" s="189">
        <f>IFERROR(__xludf.DUMMYFUNCTION("""COMPUTED_VALUE"""),3365.0)</f>
        <v>3365</v>
      </c>
      <c r="S6" s="189">
        <f>IFERROR(__xludf.DUMMYFUNCTION("""COMPUTED_VALUE"""),3204.0)</f>
        <v>3204</v>
      </c>
    </row>
    <row r="7">
      <c r="A7" s="186" t="str">
        <f>IFERROR(__xludf.DUMMYFUNCTION("""COMPUTED_VALUE"""),"NORDICS")</f>
        <v>NORDICS</v>
      </c>
      <c r="B7" s="186" t="str">
        <f>IFERROR(__xludf.DUMMYFUNCTION("""COMPUTED_VALUE"""),"W46")</f>
        <v>W46</v>
      </c>
      <c r="C7" s="186">
        <f>IFERROR(__xludf.DUMMYFUNCTION("""COMPUTED_VALUE"""),305.0)</f>
        <v>305</v>
      </c>
      <c r="D7" s="186" t="str">
        <f>IFERROR(__xludf.DUMMYFUNCTION("""COMPUTED_VALUE"""),"CON-00-147831-2")</f>
        <v>CON-00-147831-2</v>
      </c>
      <c r="E7" s="186" t="str">
        <f>IFERROR(__xludf.DUMMYFUNCTION("""COMPUTED_VALUE"""),"Cranberry Chicken ")</f>
        <v>Cranberry Chicken </v>
      </c>
      <c r="F7" s="186" t="str">
        <f>IFERROR(__xludf.DUMMYFUNCTION("""COMPUTED_VALUE"""),"Kylling i tranebærsauce")</f>
        <v>Kylling i tranebærsauce</v>
      </c>
      <c r="G7" s="186" t="str">
        <f>IFERROR(__xludf.DUMMYFUNCTION("""COMPUTED_VALUE"""),"FE0271B")</f>
        <v>FE0271B</v>
      </c>
      <c r="H7" s="186">
        <f>IFERROR(__xludf.DUMMYFUNCTION("""COMPUTED_VALUE"""),565132.0)</f>
        <v>565132</v>
      </c>
      <c r="I7" s="186"/>
      <c r="J7" s="189">
        <f>IFERROR(__xludf.DUMMYFUNCTION("""COMPUTED_VALUE"""),3098.0)</f>
        <v>3098</v>
      </c>
      <c r="K7" s="189">
        <f>IFERROR(__xludf.DUMMYFUNCTION("""COMPUTED_VALUE"""),2872.0)</f>
        <v>2872</v>
      </c>
      <c r="L7" s="189">
        <f>IFERROR(__xludf.DUMMYFUNCTION("""COMPUTED_VALUE"""),2728.0)</f>
        <v>2728</v>
      </c>
      <c r="M7" s="189">
        <f>IFERROR(__xludf.DUMMYFUNCTION("""COMPUTED_VALUE"""),2745.0)</f>
        <v>2745</v>
      </c>
      <c r="N7" s="189">
        <f>IFERROR(__xludf.DUMMYFUNCTION("""COMPUTED_VALUE"""),2691.0)</f>
        <v>2691</v>
      </c>
      <c r="O7" s="189">
        <f>IFERROR(__xludf.DUMMYFUNCTION("""COMPUTED_VALUE"""),2663.0)</f>
        <v>2663</v>
      </c>
      <c r="P7" s="189">
        <f>IFERROR(__xludf.DUMMYFUNCTION("""COMPUTED_VALUE"""),2635.0)</f>
        <v>2635</v>
      </c>
      <c r="Q7" s="189">
        <f>IFERROR(__xludf.DUMMYFUNCTION("""COMPUTED_VALUE"""),2665.0)</f>
        <v>2665</v>
      </c>
      <c r="R7" s="189">
        <f>IFERROR(__xludf.DUMMYFUNCTION("""COMPUTED_VALUE"""),2582.0)</f>
        <v>2582</v>
      </c>
      <c r="S7" s="189">
        <f>IFERROR(__xludf.DUMMYFUNCTION("""COMPUTED_VALUE"""),2448.0)</f>
        <v>2448</v>
      </c>
    </row>
    <row r="8">
      <c r="A8" s="186" t="str">
        <f>IFERROR(__xludf.DUMMYFUNCTION("""COMPUTED_VALUE"""),"NORDICS")</f>
        <v>NORDICS</v>
      </c>
      <c r="B8" s="186" t="str">
        <f>IFERROR(__xludf.DUMMYFUNCTION("""COMPUTED_VALUE"""),"W46")</f>
        <v>W46</v>
      </c>
      <c r="C8" s="186">
        <f>IFERROR(__xludf.DUMMYFUNCTION("""COMPUTED_VALUE"""),306.0)</f>
        <v>306</v>
      </c>
      <c r="D8" s="186" t="str">
        <f>IFERROR(__xludf.DUMMYFUNCTION("""COMPUTED_VALUE"""),"CON-00-147819-2")</f>
        <v>CON-00-147819-2</v>
      </c>
      <c r="E8" s="186" t="str">
        <f>IFERROR(__xludf.DUMMYFUNCTION("""COMPUTED_VALUE"""),"Peruvian style chicken breast")</f>
        <v>Peruvian style chicken breast</v>
      </c>
      <c r="F8" s="186" t="str">
        <f>IFERROR(__xludf.DUMMYFUNCTION("""COMPUTED_VALUE"""),"Peruviansk inspireret kyllingebryst")</f>
        <v>Peruviansk inspireret kyllingebryst</v>
      </c>
      <c r="G8" s="186" t="str">
        <f>IFERROR(__xludf.DUMMYFUNCTION("""COMPUTED_VALUE"""),"FE0129G")</f>
        <v>FE0129G</v>
      </c>
      <c r="H8" s="186">
        <f>IFERROR(__xludf.DUMMYFUNCTION("""COMPUTED_VALUE"""),565193.0)</f>
        <v>565193</v>
      </c>
      <c r="I8" s="186" t="str">
        <f>IFERROR(__xludf.DUMMYFUNCTION("""COMPUTED_VALUE"""),"HF RW Peruaanse stijl kipfilet")</f>
        <v>HF RW Peruaanse stijl kipfilet</v>
      </c>
      <c r="J8" s="189">
        <f>IFERROR(__xludf.DUMMYFUNCTION("""COMPUTED_VALUE"""),1998.0)</f>
        <v>1998</v>
      </c>
      <c r="K8" s="189">
        <f>IFERROR(__xludf.DUMMYFUNCTION("""COMPUTED_VALUE"""),2121.0)</f>
        <v>2121</v>
      </c>
      <c r="L8" s="189">
        <f>IFERROR(__xludf.DUMMYFUNCTION("""COMPUTED_VALUE"""),1747.0)</f>
        <v>1747</v>
      </c>
      <c r="M8" s="189">
        <f>IFERROR(__xludf.DUMMYFUNCTION("""COMPUTED_VALUE"""),1946.0)</f>
        <v>1946</v>
      </c>
      <c r="N8" s="189">
        <f>IFERROR(__xludf.DUMMYFUNCTION("""COMPUTED_VALUE"""),1882.0)</f>
        <v>1882</v>
      </c>
      <c r="O8" s="189">
        <f>IFERROR(__xludf.DUMMYFUNCTION("""COMPUTED_VALUE"""),1955.0)</f>
        <v>1955</v>
      </c>
      <c r="P8" s="189">
        <f>IFERROR(__xludf.DUMMYFUNCTION("""COMPUTED_VALUE"""),1930.0)</f>
        <v>1930</v>
      </c>
      <c r="Q8" s="189">
        <f>IFERROR(__xludf.DUMMYFUNCTION("""COMPUTED_VALUE"""),1985.0)</f>
        <v>1985</v>
      </c>
      <c r="R8" s="189">
        <f>IFERROR(__xludf.DUMMYFUNCTION("""COMPUTED_VALUE"""),1838.0)</f>
        <v>1838</v>
      </c>
      <c r="S8" s="189">
        <f>IFERROR(__xludf.DUMMYFUNCTION("""COMPUTED_VALUE"""),1761.0)</f>
        <v>1761</v>
      </c>
    </row>
    <row r="9">
      <c r="A9" s="186" t="str">
        <f>IFERROR(__xludf.DUMMYFUNCTION("""COMPUTED_VALUE"""),"NORDICS")</f>
        <v>NORDICS</v>
      </c>
      <c r="B9" s="186" t="str">
        <f>IFERROR(__xludf.DUMMYFUNCTION("""COMPUTED_VALUE"""),"W46")</f>
        <v>W46</v>
      </c>
      <c r="C9" s="186">
        <f>IFERROR(__xludf.DUMMYFUNCTION("""COMPUTED_VALUE"""),307.0)</f>
        <v>307</v>
      </c>
      <c r="D9" s="186" t="str">
        <f>IFERROR(__xludf.DUMMYFUNCTION("""COMPUTED_VALUE"""),"CON-00-147874-2")</f>
        <v>CON-00-147874-2</v>
      </c>
      <c r="E9" s="186" t="str">
        <f>IFERROR(__xludf.DUMMYFUNCTION("""COMPUTED_VALUE"""),"Grilled pork tenderloin and tomato butter")</f>
        <v>Grilled pork tenderloin and tomato butter</v>
      </c>
      <c r="F9" s="186" t="str">
        <f>IFERROR(__xludf.DUMMYFUNCTION("""COMPUTED_VALUE"""),"Grillet svinemørbrad og tomatsmør")</f>
        <v>Grillet svinemørbrad og tomatsmør</v>
      </c>
      <c r="G9" s="186" t="str">
        <f>IFERROR(__xludf.DUMMYFUNCTION("""COMPUTED_VALUE"""),"FE4010B")</f>
        <v>FE4010B</v>
      </c>
      <c r="H9" s="186">
        <f>IFERROR(__xludf.DUMMYFUNCTION("""COMPUTED_VALUE"""),565138.0)</f>
        <v>565138</v>
      </c>
      <c r="I9" s="186"/>
      <c r="J9" s="189">
        <f>IFERROR(__xludf.DUMMYFUNCTION("""COMPUTED_VALUE"""),1433.0)</f>
        <v>1433</v>
      </c>
      <c r="K9" s="189">
        <f>IFERROR(__xludf.DUMMYFUNCTION("""COMPUTED_VALUE"""),1390.0)</f>
        <v>1390</v>
      </c>
      <c r="L9" s="189">
        <f>IFERROR(__xludf.DUMMYFUNCTION("""COMPUTED_VALUE"""),1361.0)</f>
        <v>1361</v>
      </c>
      <c r="M9" s="189">
        <f>IFERROR(__xludf.DUMMYFUNCTION("""COMPUTED_VALUE"""),1560.0)</f>
        <v>1560</v>
      </c>
      <c r="N9" s="189">
        <f>IFERROR(__xludf.DUMMYFUNCTION("""COMPUTED_VALUE"""),1525.0)</f>
        <v>1525</v>
      </c>
      <c r="O9" s="189">
        <f>IFERROR(__xludf.DUMMYFUNCTION("""COMPUTED_VALUE"""),1526.0)</f>
        <v>1526</v>
      </c>
      <c r="P9" s="189">
        <f>IFERROR(__xludf.DUMMYFUNCTION("""COMPUTED_VALUE"""),1522.0)</f>
        <v>1522</v>
      </c>
      <c r="Q9" s="189">
        <f>IFERROR(__xludf.DUMMYFUNCTION("""COMPUTED_VALUE"""),1546.0)</f>
        <v>1546</v>
      </c>
      <c r="R9" s="189">
        <f>IFERROR(__xludf.DUMMYFUNCTION("""COMPUTED_VALUE"""),1523.0)</f>
        <v>1523</v>
      </c>
      <c r="S9" s="189">
        <f>IFERROR(__xludf.DUMMYFUNCTION("""COMPUTED_VALUE"""),1463.0)</f>
        <v>1463</v>
      </c>
    </row>
    <row r="10">
      <c r="A10" s="186" t="str">
        <f>IFERROR(__xludf.DUMMYFUNCTION("""COMPUTED_VALUE"""),"NORDICS")</f>
        <v>NORDICS</v>
      </c>
      <c r="B10" s="186" t="str">
        <f>IFERROR(__xludf.DUMMYFUNCTION("""COMPUTED_VALUE"""),"W46")</f>
        <v>W46</v>
      </c>
      <c r="C10" s="186">
        <f>IFERROR(__xludf.DUMMYFUNCTION("""COMPUTED_VALUE"""),308.0)</f>
        <v>308</v>
      </c>
      <c r="D10" s="186" t="str">
        <f>IFERROR(__xludf.DUMMYFUNCTION("""COMPUTED_VALUE"""),"CON-00-147893-2")</f>
        <v>CON-00-147893-2</v>
      </c>
      <c r="E10" s="186" t="str">
        <f>IFERROR(__xludf.DUMMYFUNCTION("""COMPUTED_VALUE"""),"Salmon in creamy gochugaru sauce")</f>
        <v>Salmon in creamy gochugaru sauce</v>
      </c>
      <c r="F10" s="186" t="str">
        <f>IFERROR(__xludf.DUMMYFUNCTION("""COMPUTED_VALUE"""),"Laks i cremet gochugaru sauce")</f>
        <v>Laks i cremet gochugaru sauce</v>
      </c>
      <c r="G10" s="186" t="str">
        <f>IFERROR(__xludf.DUMMYFUNCTION("""COMPUTED_VALUE"""),"FE4039C")</f>
        <v>FE4039C</v>
      </c>
      <c r="H10" s="186" t="str">
        <f>IFERROR(__xludf.DUMMYFUNCTION("""COMPUTED_VALUE"""),"NO565102")</f>
        <v>NO565102</v>
      </c>
      <c r="I10" s="186" t="str">
        <f>IFERROR(__xludf.DUMMYFUNCTION("""COMPUTED_VALUE"""),"HF Zalm in romige gochugaru saus 415g")</f>
        <v>HF Zalm in romige gochugaru saus 415g</v>
      </c>
      <c r="J10" s="189">
        <f>IFERROR(__xludf.DUMMYFUNCTION("""COMPUTED_VALUE"""),1996.0)</f>
        <v>1996</v>
      </c>
      <c r="K10" s="189">
        <f>IFERROR(__xludf.DUMMYFUNCTION("""COMPUTED_VALUE"""),1859.0)</f>
        <v>1859</v>
      </c>
      <c r="L10" s="189">
        <f>IFERROR(__xludf.DUMMYFUNCTION("""COMPUTED_VALUE"""),1636.0)</f>
        <v>1636</v>
      </c>
      <c r="M10" s="189">
        <f>IFERROR(__xludf.DUMMYFUNCTION("""COMPUTED_VALUE"""),1708.0)</f>
        <v>1708</v>
      </c>
      <c r="N10" s="189">
        <f>IFERROR(__xludf.DUMMYFUNCTION("""COMPUTED_VALUE"""),1673.0)</f>
        <v>1673</v>
      </c>
      <c r="O10" s="189">
        <f>IFERROR(__xludf.DUMMYFUNCTION("""COMPUTED_VALUE"""),1700.0)</f>
        <v>1700</v>
      </c>
      <c r="P10" s="189">
        <f>IFERROR(__xludf.DUMMYFUNCTION("""COMPUTED_VALUE"""),1691.0)</f>
        <v>1691</v>
      </c>
      <c r="Q10" s="189">
        <f>IFERROR(__xludf.DUMMYFUNCTION("""COMPUTED_VALUE"""),1744.0)</f>
        <v>1744</v>
      </c>
      <c r="R10" s="189">
        <f>IFERROR(__xludf.DUMMYFUNCTION("""COMPUTED_VALUE"""),1729.0)</f>
        <v>1729</v>
      </c>
      <c r="S10" s="189">
        <f>IFERROR(__xludf.DUMMYFUNCTION("""COMPUTED_VALUE"""),1674.0)</f>
        <v>1674</v>
      </c>
    </row>
    <row r="11">
      <c r="A11" s="186" t="str">
        <f>IFERROR(__xludf.DUMMYFUNCTION("""COMPUTED_VALUE"""),"NORDICS")</f>
        <v>NORDICS</v>
      </c>
      <c r="B11" s="186" t="str">
        <f>IFERROR(__xludf.DUMMYFUNCTION("""COMPUTED_VALUE"""),"W46")</f>
        <v>W46</v>
      </c>
      <c r="C11" s="186">
        <f>IFERROR(__xludf.DUMMYFUNCTION("""COMPUTED_VALUE"""),309.0)</f>
        <v>309</v>
      </c>
      <c r="D11" s="186"/>
      <c r="E11" s="186"/>
      <c r="F11" s="186"/>
      <c r="G11" s="186" t="str">
        <f>IFERROR(__xludf.DUMMYFUNCTION("""COMPUTED_VALUE"""),"FE0031B")</f>
        <v>FE0031B</v>
      </c>
      <c r="H11" s="186"/>
      <c r="I11" s="186"/>
      <c r="J11" s="186">
        <f>IFERROR(__xludf.DUMMYFUNCTION("""COMPUTED_VALUE"""),371.0)</f>
        <v>371</v>
      </c>
      <c r="K11" s="186">
        <f>IFERROR(__xludf.DUMMYFUNCTION("""COMPUTED_VALUE"""),350.0)</f>
        <v>350</v>
      </c>
      <c r="L11" s="189">
        <f>IFERROR(__xludf.DUMMYFUNCTION("""COMPUTED_VALUE"""),474.0)</f>
        <v>474</v>
      </c>
      <c r="M11" s="186">
        <f>IFERROR(__xludf.DUMMYFUNCTION("""COMPUTED_VALUE"""),444.0)</f>
        <v>444</v>
      </c>
      <c r="N11" s="186">
        <f>IFERROR(__xludf.DUMMYFUNCTION("""COMPUTED_VALUE"""),386.0)</f>
        <v>386</v>
      </c>
      <c r="O11" s="186">
        <f>IFERROR(__xludf.DUMMYFUNCTION("""COMPUTED_VALUE"""),358.0)</f>
        <v>358</v>
      </c>
      <c r="P11" s="186">
        <f>IFERROR(__xludf.DUMMYFUNCTION("""COMPUTED_VALUE"""),350.0)</f>
        <v>350</v>
      </c>
      <c r="Q11" s="186">
        <f>IFERROR(__xludf.DUMMYFUNCTION("""COMPUTED_VALUE"""),362.0)</f>
        <v>362</v>
      </c>
      <c r="R11" s="189">
        <f>IFERROR(__xludf.DUMMYFUNCTION("""COMPUTED_VALUE"""),360.0)</f>
        <v>360</v>
      </c>
      <c r="S11" s="189">
        <f>IFERROR(__xludf.DUMMYFUNCTION("""COMPUTED_VALUE"""),353.0)</f>
        <v>353</v>
      </c>
    </row>
    <row r="12">
      <c r="A12" s="186" t="str">
        <f>IFERROR(__xludf.DUMMYFUNCTION("""COMPUTED_VALUE"""),"NORDICS")</f>
        <v>NORDICS</v>
      </c>
      <c r="B12" s="186" t="str">
        <f>IFERROR(__xludf.DUMMYFUNCTION("""COMPUTED_VALUE"""),"W46")</f>
        <v>W46</v>
      </c>
      <c r="C12" s="186">
        <f>IFERROR(__xludf.DUMMYFUNCTION("""COMPUTED_VALUE"""),310.0)</f>
        <v>310</v>
      </c>
      <c r="D12" s="186" t="str">
        <f>IFERROR(__xludf.DUMMYFUNCTION("""COMPUTED_VALUE"""),"CON-00-147822-2")</f>
        <v>CON-00-147822-2</v>
      </c>
      <c r="E12" s="186" t="str">
        <f>IFERROR(__xludf.DUMMYFUNCTION("""COMPUTED_VALUE"""),"Black bean bowl and enchilada sauce")</f>
        <v>Black bean bowl and enchilada sauce</v>
      </c>
      <c r="F12" s="186" t="str">
        <f>IFERROR(__xludf.DUMMYFUNCTION("""COMPUTED_VALUE"""),"Mexikansk-inspireret bønnebowl ")</f>
        <v>Mexikansk-inspireret bønnebowl </v>
      </c>
      <c r="G12" s="186" t="str">
        <f>IFERROR(__xludf.DUMMYFUNCTION("""COMPUTED_VALUE"""),"FE0131C")</f>
        <v>FE0131C</v>
      </c>
      <c r="H12" s="186">
        <f>IFERROR(__xludf.DUMMYFUNCTION("""COMPUTED_VALUE"""),565044.0)</f>
        <v>565044</v>
      </c>
      <c r="I12" s="186" t="str">
        <f>IFERROR(__xludf.DUMMYFUNCTION("""COMPUTED_VALUE"""),"HF Black Bean &amp; Rice Enchilada Bowl 400g")</f>
        <v>HF Black Bean &amp; Rice Enchilada Bowl 400g</v>
      </c>
      <c r="J12" s="186">
        <f>IFERROR(__xludf.DUMMYFUNCTION("""COMPUTED_VALUE"""),387.0)</f>
        <v>387</v>
      </c>
      <c r="K12" s="186">
        <f>IFERROR(__xludf.DUMMYFUNCTION("""COMPUTED_VALUE"""),381.0)</f>
        <v>381</v>
      </c>
      <c r="L12" s="186">
        <f>IFERROR(__xludf.DUMMYFUNCTION("""COMPUTED_VALUE"""),525.0)</f>
        <v>525</v>
      </c>
      <c r="M12" s="186">
        <f>IFERROR(__xludf.DUMMYFUNCTION("""COMPUTED_VALUE"""),428.0)</f>
        <v>428</v>
      </c>
      <c r="N12" s="186">
        <f>IFERROR(__xludf.DUMMYFUNCTION("""COMPUTED_VALUE"""),418.0)</f>
        <v>418</v>
      </c>
      <c r="O12" s="186">
        <f>IFERROR(__xludf.DUMMYFUNCTION("""COMPUTED_VALUE"""),421.0)</f>
        <v>421</v>
      </c>
      <c r="P12" s="186">
        <f>IFERROR(__xludf.DUMMYFUNCTION("""COMPUTED_VALUE"""),433.0)</f>
        <v>433</v>
      </c>
      <c r="Q12" s="186">
        <f>IFERROR(__xludf.DUMMYFUNCTION("""COMPUTED_VALUE"""),427.0)</f>
        <v>427</v>
      </c>
      <c r="R12" s="186">
        <f>IFERROR(__xludf.DUMMYFUNCTION("""COMPUTED_VALUE"""),429.0)</f>
        <v>429</v>
      </c>
      <c r="S12" s="186">
        <f>IFERROR(__xludf.DUMMYFUNCTION("""COMPUTED_VALUE"""),417.0)</f>
        <v>417</v>
      </c>
    </row>
    <row r="13">
      <c r="A13" s="186" t="str">
        <f>IFERROR(__xludf.DUMMYFUNCTION("""COMPUTED_VALUE"""),"NORDICS")</f>
        <v>NORDICS</v>
      </c>
      <c r="B13" s="186" t="str">
        <f>IFERROR(__xludf.DUMMYFUNCTION("""COMPUTED_VALUE"""),"W46")</f>
        <v>W46</v>
      </c>
      <c r="C13" s="186">
        <f>IFERROR(__xludf.DUMMYFUNCTION("""COMPUTED_VALUE"""),311.0)</f>
        <v>311</v>
      </c>
      <c r="D13" s="186" t="str">
        <f>IFERROR(__xludf.DUMMYFUNCTION("""COMPUTED_VALUE"""),"CON-00-148371-2")</f>
        <v>CON-00-148371-2</v>
      </c>
      <c r="E13" s="186" t="str">
        <f>IFERROR(__xludf.DUMMYFUNCTION("""COMPUTED_VALUE"""),"Pulled beef &amp; pasta in cheese sauce")</f>
        <v>Pulled beef &amp; pasta in cheese sauce</v>
      </c>
      <c r="F13" s="186" t="str">
        <f>IFERROR(__xludf.DUMMYFUNCTION("""COMPUTED_VALUE"""),"Pulled beef &amp; pasta i ostesauce")</f>
        <v>Pulled beef &amp; pasta i ostesauce</v>
      </c>
      <c r="G13" s="186" t="str">
        <f>IFERROR(__xludf.DUMMYFUNCTION("""COMPUTED_VALUE"""),"FE1345A")</f>
        <v>FE1345A</v>
      </c>
      <c r="H13" s="186">
        <f>IFERROR(__xludf.DUMMYFUNCTION("""COMPUTED_VALUE"""),565158.0)</f>
        <v>565158</v>
      </c>
      <c r="I13" s="186"/>
      <c r="J13" s="186">
        <f>IFERROR(__xludf.DUMMYFUNCTION("""COMPUTED_VALUE"""),826.0)</f>
        <v>826</v>
      </c>
      <c r="K13" s="186">
        <f>IFERROR(__xludf.DUMMYFUNCTION("""COMPUTED_VALUE"""),856.0)</f>
        <v>856</v>
      </c>
      <c r="L13" s="189">
        <f>IFERROR(__xludf.DUMMYFUNCTION("""COMPUTED_VALUE"""),1271.0)</f>
        <v>1271</v>
      </c>
      <c r="M13" s="189">
        <f>IFERROR(__xludf.DUMMYFUNCTION("""COMPUTED_VALUE"""),1047.0)</f>
        <v>1047</v>
      </c>
      <c r="N13" s="189">
        <f>IFERROR(__xludf.DUMMYFUNCTION("""COMPUTED_VALUE"""),1037.0)</f>
        <v>1037</v>
      </c>
      <c r="O13" s="189">
        <f>IFERROR(__xludf.DUMMYFUNCTION("""COMPUTED_VALUE"""),1121.0)</f>
        <v>1121</v>
      </c>
      <c r="P13" s="189">
        <f>IFERROR(__xludf.DUMMYFUNCTION("""COMPUTED_VALUE"""),1109.0)</f>
        <v>1109</v>
      </c>
      <c r="Q13" s="189">
        <f>IFERROR(__xludf.DUMMYFUNCTION("""COMPUTED_VALUE"""),1138.0)</f>
        <v>1138</v>
      </c>
      <c r="R13" s="189">
        <f>IFERROR(__xludf.DUMMYFUNCTION("""COMPUTED_VALUE"""),1122.0)</f>
        <v>1122</v>
      </c>
      <c r="S13" s="189">
        <f>IFERROR(__xludf.DUMMYFUNCTION("""COMPUTED_VALUE"""),1114.0)</f>
        <v>1114</v>
      </c>
    </row>
    <row r="14">
      <c r="A14" s="186" t="str">
        <f>IFERROR(__xludf.DUMMYFUNCTION("""COMPUTED_VALUE"""),"NORDICS")</f>
        <v>NORDICS</v>
      </c>
      <c r="B14" s="186" t="str">
        <f>IFERROR(__xludf.DUMMYFUNCTION("""COMPUTED_VALUE"""),"W46")</f>
        <v>W46</v>
      </c>
      <c r="C14" s="186">
        <f>IFERROR(__xludf.DUMMYFUNCTION("""COMPUTED_VALUE"""),312.0)</f>
        <v>312</v>
      </c>
      <c r="D14" s="186" t="str">
        <f>IFERROR(__xludf.DUMMYFUNCTION("""COMPUTED_VALUE"""),"CON-00-147814-2")</f>
        <v>CON-00-147814-2</v>
      </c>
      <c r="E14" s="186" t="str">
        <f>IFERROR(__xludf.DUMMYFUNCTION("""COMPUTED_VALUE"""),"Salmon on cheesy cauliflower rice")</f>
        <v>Salmon on cheesy cauliflower rice</v>
      </c>
      <c r="F14" s="186" t="str">
        <f>IFERROR(__xludf.DUMMYFUNCTION("""COMPUTED_VALUE"""),"Laks og ostegratineret blomkålsris")</f>
        <v>Laks og ostegratineret blomkålsris</v>
      </c>
      <c r="G14" s="186" t="str">
        <f>IFERROR(__xludf.DUMMYFUNCTION("""COMPUTED_VALUE"""),"FE0036E")</f>
        <v>FE0036E</v>
      </c>
      <c r="H14" s="186" t="str">
        <f>IFERROR(__xludf.DUMMYFUNCTION("""COMPUTED_VALUE"""),"NO565042")</f>
        <v>NO565042</v>
      </c>
      <c r="I14" s="186" t="str">
        <f>IFERROR(__xludf.DUMMYFUNCTION("""COMPUTED_VALUE"""),"HF Zalm op cheesy bloemkoolrijst 365g")</f>
        <v>HF Zalm op cheesy bloemkoolrijst 365g</v>
      </c>
      <c r="J14" s="189">
        <f>IFERROR(__xludf.DUMMYFUNCTION("""COMPUTED_VALUE"""),1524.0)</f>
        <v>1524</v>
      </c>
      <c r="K14" s="189">
        <f>IFERROR(__xludf.DUMMYFUNCTION("""COMPUTED_VALUE"""),1514.0)</f>
        <v>1514</v>
      </c>
      <c r="L14" s="189">
        <f>IFERROR(__xludf.DUMMYFUNCTION("""COMPUTED_VALUE"""),1572.0)</f>
        <v>1572</v>
      </c>
      <c r="M14" s="189">
        <f>IFERROR(__xludf.DUMMYFUNCTION("""COMPUTED_VALUE"""),1621.0)</f>
        <v>1621</v>
      </c>
      <c r="N14" s="189">
        <f>IFERROR(__xludf.DUMMYFUNCTION("""COMPUTED_VALUE"""),1561.0)</f>
        <v>1561</v>
      </c>
      <c r="O14" s="189">
        <f>IFERROR(__xludf.DUMMYFUNCTION("""COMPUTED_VALUE"""),1641.0)</f>
        <v>1641</v>
      </c>
      <c r="P14" s="189">
        <f>IFERROR(__xludf.DUMMYFUNCTION("""COMPUTED_VALUE"""),1646.0)</f>
        <v>1646</v>
      </c>
      <c r="Q14" s="189">
        <f>IFERROR(__xludf.DUMMYFUNCTION("""COMPUTED_VALUE"""),1685.0)</f>
        <v>1685</v>
      </c>
      <c r="R14" s="189">
        <f>IFERROR(__xludf.DUMMYFUNCTION("""COMPUTED_VALUE"""),1628.0)</f>
        <v>1628</v>
      </c>
      <c r="S14" s="189">
        <f>IFERROR(__xludf.DUMMYFUNCTION("""COMPUTED_VALUE"""),1586.0)</f>
        <v>1586</v>
      </c>
    </row>
    <row r="15">
      <c r="A15" s="186" t="str">
        <f>IFERROR(__xludf.DUMMYFUNCTION("""COMPUTED_VALUE"""),"NORDICS")</f>
        <v>NORDICS</v>
      </c>
      <c r="B15" s="186" t="str">
        <f>IFERROR(__xludf.DUMMYFUNCTION("""COMPUTED_VALUE"""),"W46")</f>
        <v>W46</v>
      </c>
      <c r="C15" s="186">
        <f>IFERROR(__xludf.DUMMYFUNCTION("""COMPUTED_VALUE"""),313.0)</f>
        <v>313</v>
      </c>
      <c r="D15" s="186" t="str">
        <f>IFERROR(__xludf.DUMMYFUNCTION("""COMPUTED_VALUE"""),"CON-00-147820-2")</f>
        <v>CON-00-147820-2</v>
      </c>
      <c r="E15" s="186" t="str">
        <f>IFERROR(__xludf.DUMMYFUNCTION("""COMPUTED_VALUE"""),"Rice bowl with pulled chicken and taco spices")</f>
        <v>Rice bowl with pulled chicken and taco spices</v>
      </c>
      <c r="F15" s="186" t="str">
        <f>IFERROR(__xludf.DUMMYFUNCTION("""COMPUTED_VALUE"""),"Ris bowl med pulled chicken og tacokrydderier")</f>
        <v>Ris bowl med pulled chicken og tacokrydderier</v>
      </c>
      <c r="G15" s="186" t="str">
        <f>IFERROR(__xludf.DUMMYFUNCTION("""COMPUTED_VALUE"""),"FE0130E")</f>
        <v>FE0130E</v>
      </c>
      <c r="H15" s="186">
        <f>IFERROR(__xludf.DUMMYFUNCTION("""COMPUTED_VALUE"""),565197.0)</f>
        <v>565197</v>
      </c>
      <c r="I15" s="186" t="str">
        <f>IFERROR(__xludf.DUMMYFUNCTION("""COMPUTED_VALUE"""),"HF Pulled chick rijst en bonen")</f>
        <v>HF Pulled chick rijst en bonen</v>
      </c>
      <c r="J15" s="189">
        <f>IFERROR(__xludf.DUMMYFUNCTION("""COMPUTED_VALUE"""),1796.0)</f>
        <v>1796</v>
      </c>
      <c r="K15" s="189">
        <f>IFERROR(__xludf.DUMMYFUNCTION("""COMPUTED_VALUE"""),1847.0)</f>
        <v>1847</v>
      </c>
      <c r="L15" s="189">
        <f>IFERROR(__xludf.DUMMYFUNCTION("""COMPUTED_VALUE"""),2271.0)</f>
        <v>2271</v>
      </c>
      <c r="M15" s="189">
        <f>IFERROR(__xludf.DUMMYFUNCTION("""COMPUTED_VALUE"""),2053.0)</f>
        <v>2053</v>
      </c>
      <c r="N15" s="189">
        <f>IFERROR(__xludf.DUMMYFUNCTION("""COMPUTED_VALUE"""),1945.0)</f>
        <v>1945</v>
      </c>
      <c r="O15" s="189">
        <f>IFERROR(__xludf.DUMMYFUNCTION("""COMPUTED_VALUE"""),1947.0)</f>
        <v>1947</v>
      </c>
      <c r="P15" s="189">
        <f>IFERROR(__xludf.DUMMYFUNCTION("""COMPUTED_VALUE"""),1927.0)</f>
        <v>1927</v>
      </c>
      <c r="Q15" s="189">
        <f>IFERROR(__xludf.DUMMYFUNCTION("""COMPUTED_VALUE"""),1998.0)</f>
        <v>1998</v>
      </c>
      <c r="R15" s="189">
        <f>IFERROR(__xludf.DUMMYFUNCTION("""COMPUTED_VALUE"""),1929.0)</f>
        <v>1929</v>
      </c>
      <c r="S15" s="189">
        <f>IFERROR(__xludf.DUMMYFUNCTION("""COMPUTED_VALUE"""),1865.0)</f>
        <v>1865</v>
      </c>
    </row>
    <row r="16">
      <c r="A16" s="186" t="str">
        <f>IFERROR(__xludf.DUMMYFUNCTION("""COMPUTED_VALUE"""),"NORDICS")</f>
        <v>NORDICS</v>
      </c>
      <c r="B16" s="186" t="str">
        <f>IFERROR(__xludf.DUMMYFUNCTION("""COMPUTED_VALUE"""),"W46")</f>
        <v>W46</v>
      </c>
      <c r="C16" s="186">
        <f>IFERROR(__xludf.DUMMYFUNCTION("""COMPUTED_VALUE"""),314.0)</f>
        <v>314</v>
      </c>
      <c r="D16" s="186"/>
      <c r="E16" s="186"/>
      <c r="F16" s="186"/>
      <c r="G16" s="186" t="str">
        <f>IFERROR(__xludf.DUMMYFUNCTION("""COMPUTED_VALUE"""),"FE0780D")</f>
        <v>FE0780D</v>
      </c>
      <c r="H16" s="186"/>
      <c r="I16" s="186"/>
      <c r="J16" s="189">
        <f>IFERROR(__xludf.DUMMYFUNCTION("""COMPUTED_VALUE"""),1458.0)</f>
        <v>1458</v>
      </c>
      <c r="K16" s="189">
        <f>IFERROR(__xludf.DUMMYFUNCTION("""COMPUTED_VALUE"""),1346.0)</f>
        <v>1346</v>
      </c>
      <c r="L16" s="189">
        <f>IFERROR(__xludf.DUMMYFUNCTION("""COMPUTED_VALUE"""),1128.0)</f>
        <v>1128</v>
      </c>
      <c r="M16" s="189">
        <f>IFERROR(__xludf.DUMMYFUNCTION("""COMPUTED_VALUE"""),1041.0)</f>
        <v>1041</v>
      </c>
      <c r="N16" s="189">
        <f>IFERROR(__xludf.DUMMYFUNCTION("""COMPUTED_VALUE"""),1026.0)</f>
        <v>1026</v>
      </c>
      <c r="O16" s="189">
        <f>IFERROR(__xludf.DUMMYFUNCTION("""COMPUTED_VALUE"""),1028.0)</f>
        <v>1028</v>
      </c>
      <c r="P16" s="189">
        <f>IFERROR(__xludf.DUMMYFUNCTION("""COMPUTED_VALUE"""),1029.0)</f>
        <v>1029</v>
      </c>
      <c r="Q16" s="189">
        <f>IFERROR(__xludf.DUMMYFUNCTION("""COMPUTED_VALUE"""),1042.0)</f>
        <v>1042</v>
      </c>
      <c r="R16" s="189">
        <f>IFERROR(__xludf.DUMMYFUNCTION("""COMPUTED_VALUE"""),1027.0)</f>
        <v>1027</v>
      </c>
      <c r="S16" s="189">
        <f>IFERROR(__xludf.DUMMYFUNCTION("""COMPUTED_VALUE"""),1006.0)</f>
        <v>1006</v>
      </c>
    </row>
    <row r="17">
      <c r="A17" s="186" t="str">
        <f>IFERROR(__xludf.DUMMYFUNCTION("""COMPUTED_VALUE"""),"NORDICS")</f>
        <v>NORDICS</v>
      </c>
      <c r="B17" s="186" t="str">
        <f>IFERROR(__xludf.DUMMYFUNCTION("""COMPUTED_VALUE"""),"W46")</f>
        <v>W46</v>
      </c>
      <c r="C17" s="186">
        <f>IFERROR(__xludf.DUMMYFUNCTION("""COMPUTED_VALUE"""),315.0)</f>
        <v>315</v>
      </c>
      <c r="D17" s="186" t="str">
        <f>IFERROR(__xludf.DUMMYFUNCTION("""COMPUTED_VALUE"""),"CON-00-147897-2")</f>
        <v>CON-00-147897-2</v>
      </c>
      <c r="E17" s="186" t="str">
        <f>IFERROR(__xludf.DUMMYFUNCTION("""COMPUTED_VALUE"""),"Beef in tomato ragout")</f>
        <v>Beef in tomato ragout</v>
      </c>
      <c r="F17" s="186" t="str">
        <f>IFERROR(__xludf.DUMMYFUNCTION("""COMPUTED_VALUE"""),"Oksekød i tomatragout ")</f>
        <v>Oksekød i tomatragout </v>
      </c>
      <c r="G17" s="186" t="str">
        <f>IFERROR(__xludf.DUMMYFUNCTION("""COMPUTED_VALUE"""),"FE4043A")</f>
        <v>FE4043A</v>
      </c>
      <c r="H17" s="186">
        <f>IFERROR(__xludf.DUMMYFUNCTION("""COMPUTED_VALUE"""),565110.0)</f>
        <v>565110</v>
      </c>
      <c r="I17" s="186"/>
      <c r="J17" s="186">
        <f>IFERROR(__xludf.DUMMYFUNCTION("""COMPUTED_VALUE"""),921.0)</f>
        <v>921</v>
      </c>
      <c r="K17" s="189">
        <f>IFERROR(__xludf.DUMMYFUNCTION("""COMPUTED_VALUE"""),761.0)</f>
        <v>761</v>
      </c>
      <c r="L17" s="186">
        <f>IFERROR(__xludf.DUMMYFUNCTION("""COMPUTED_VALUE"""),1063.0)</f>
        <v>1063</v>
      </c>
      <c r="M17" s="186">
        <f>IFERROR(__xludf.DUMMYFUNCTION("""COMPUTED_VALUE"""),967.0)</f>
        <v>967</v>
      </c>
      <c r="N17" s="186">
        <f>IFERROR(__xludf.DUMMYFUNCTION("""COMPUTED_VALUE"""),914.0)</f>
        <v>914</v>
      </c>
      <c r="O17" s="186">
        <f>IFERROR(__xludf.DUMMYFUNCTION("""COMPUTED_VALUE"""),957.0)</f>
        <v>957</v>
      </c>
      <c r="P17" s="186">
        <f>IFERROR(__xludf.DUMMYFUNCTION("""COMPUTED_VALUE"""),966.0)</f>
        <v>966</v>
      </c>
      <c r="Q17" s="186">
        <f>IFERROR(__xludf.DUMMYFUNCTION("""COMPUTED_VALUE"""),982.0)</f>
        <v>982</v>
      </c>
      <c r="R17" s="189">
        <f>IFERROR(__xludf.DUMMYFUNCTION("""COMPUTED_VALUE"""),979.0)</f>
        <v>979</v>
      </c>
      <c r="S17" s="189">
        <f>IFERROR(__xludf.DUMMYFUNCTION("""COMPUTED_VALUE"""),968.0)</f>
        <v>968</v>
      </c>
    </row>
    <row r="18">
      <c r="A18" s="186" t="str">
        <f>IFERROR(__xludf.DUMMYFUNCTION("""COMPUTED_VALUE"""),"NORDICS")</f>
        <v>NORDICS</v>
      </c>
      <c r="B18" s="186" t="str">
        <f>IFERROR(__xludf.DUMMYFUNCTION("""COMPUTED_VALUE"""),"W46")</f>
        <v>W46</v>
      </c>
      <c r="C18" s="186">
        <f>IFERROR(__xludf.DUMMYFUNCTION("""COMPUTED_VALUE"""),316.0)</f>
        <v>316</v>
      </c>
      <c r="D18" s="186" t="str">
        <f>IFERROR(__xludf.DUMMYFUNCTION("""COMPUTED_VALUE"""),"CON-00-151283-2")</f>
        <v>CON-00-151283-2</v>
      </c>
      <c r="E18" s="186" t="str">
        <f>IFERROR(__xludf.DUMMYFUNCTION("""COMPUTED_VALUE"""),"Tomato-mozzarella chicken")</f>
        <v>Tomato-mozzarella chicken</v>
      </c>
      <c r="F18" s="186" t="str">
        <f>IFERROR(__xludf.DUMMYFUNCTION("""COMPUTED_VALUE"""),"Tomat- og mozzarella kylling")</f>
        <v>Tomat- og mozzarella kylling</v>
      </c>
      <c r="G18" s="186" t="str">
        <f>IFERROR(__xludf.DUMMYFUNCTION("""COMPUTED_VALUE"""),"FE4051A")</f>
        <v>FE4051A</v>
      </c>
      <c r="H18" s="186">
        <f>IFERROR(__xludf.DUMMYFUNCTION("""COMPUTED_VALUE"""),565126.0)</f>
        <v>565126</v>
      </c>
      <c r="I18" s="186" t="str">
        <f>IFERROR(__xludf.DUMMYFUNCTION("""COMPUTED_VALUE"""),"HF Kip tomatensaus mozzarella")</f>
        <v>HF Kip tomatensaus mozzarella</v>
      </c>
      <c r="J18" s="189">
        <f>IFERROR(__xludf.DUMMYFUNCTION("""COMPUTED_VALUE"""),675.0)</f>
        <v>675</v>
      </c>
      <c r="K18" s="189">
        <f>IFERROR(__xludf.DUMMYFUNCTION("""COMPUTED_VALUE"""),676.0)</f>
        <v>676</v>
      </c>
      <c r="L18" s="189">
        <f>IFERROR(__xludf.DUMMYFUNCTION("""COMPUTED_VALUE"""),736.0)</f>
        <v>736</v>
      </c>
      <c r="M18" s="189">
        <f>IFERROR(__xludf.DUMMYFUNCTION("""COMPUTED_VALUE"""),601.0)</f>
        <v>601</v>
      </c>
      <c r="N18" s="189">
        <f>IFERROR(__xludf.DUMMYFUNCTION("""COMPUTED_VALUE"""),535.0)</f>
        <v>535</v>
      </c>
      <c r="O18" s="189">
        <f>IFERROR(__xludf.DUMMYFUNCTION("""COMPUTED_VALUE"""),538.0)</f>
        <v>538</v>
      </c>
      <c r="P18" s="189">
        <f>IFERROR(__xludf.DUMMYFUNCTION("""COMPUTED_VALUE"""),515.0)</f>
        <v>515</v>
      </c>
      <c r="Q18" s="189">
        <f>IFERROR(__xludf.DUMMYFUNCTION("""COMPUTED_VALUE"""),517.0)</f>
        <v>517</v>
      </c>
      <c r="R18" s="189">
        <f>IFERROR(__xludf.DUMMYFUNCTION("""COMPUTED_VALUE"""),448.0)</f>
        <v>448</v>
      </c>
      <c r="S18" s="189">
        <f>IFERROR(__xludf.DUMMYFUNCTION("""COMPUTED_VALUE"""),444.0)</f>
        <v>444</v>
      </c>
    </row>
    <row r="19">
      <c r="A19" s="186" t="str">
        <f>IFERROR(__xludf.DUMMYFUNCTION("""COMPUTED_VALUE"""),"NORDICS")</f>
        <v>NORDICS</v>
      </c>
      <c r="B19" s="186" t="str">
        <f>IFERROR(__xludf.DUMMYFUNCTION("""COMPUTED_VALUE"""),"W46")</f>
        <v>W46</v>
      </c>
      <c r="C19" s="186">
        <f>IFERROR(__xludf.DUMMYFUNCTION("""COMPUTED_VALUE"""),317.0)</f>
        <v>317</v>
      </c>
      <c r="D19" s="186" t="str">
        <f>IFERROR(__xludf.DUMMYFUNCTION("""COMPUTED_VALUE"""),"CON-00-147883-2")</f>
        <v>CON-00-147883-2</v>
      </c>
      <c r="E19" s="186" t="str">
        <f>IFERROR(__xludf.DUMMYFUNCTION("""COMPUTED_VALUE"""),"Pork tenderloin with black pepper and sage")</f>
        <v>Pork tenderloin with black pepper and sage</v>
      </c>
      <c r="F19" s="186" t="str">
        <f>IFERROR(__xludf.DUMMYFUNCTION("""COMPUTED_VALUE"""),"Svinemørbrad med sort peber og salvie")</f>
        <v>Svinemørbrad med sort peber og salvie</v>
      </c>
      <c r="G19" s="186" t="str">
        <f>IFERROR(__xludf.DUMMYFUNCTION("""COMPUTED_VALUE"""),"FE4022B")</f>
        <v>FE4022B</v>
      </c>
      <c r="H19" s="186">
        <f>IFERROR(__xludf.DUMMYFUNCTION("""COMPUTED_VALUE"""),565146.0)</f>
        <v>565146</v>
      </c>
      <c r="I19" s="186" t="str">
        <f>IFERROR(__xludf.DUMMYFUNCTION("""COMPUTED_VALUE"""),"HF RW Varkenshaas zwpeper sali")</f>
        <v>HF RW Varkenshaas zwpeper sali</v>
      </c>
      <c r="J19" s="189">
        <f>IFERROR(__xludf.DUMMYFUNCTION("""COMPUTED_VALUE"""),579.0)</f>
        <v>579</v>
      </c>
      <c r="K19" s="189">
        <f>IFERROR(__xludf.DUMMYFUNCTION("""COMPUTED_VALUE"""),556.0)</f>
        <v>556</v>
      </c>
      <c r="L19" s="189">
        <f>IFERROR(__xludf.DUMMYFUNCTION("""COMPUTED_VALUE"""),555.0)</f>
        <v>555</v>
      </c>
      <c r="M19" s="189">
        <f>IFERROR(__xludf.DUMMYFUNCTION("""COMPUTED_VALUE"""),468.0)</f>
        <v>468</v>
      </c>
      <c r="N19" s="189">
        <f>IFERROR(__xludf.DUMMYFUNCTION("""COMPUTED_VALUE"""),460.0)</f>
        <v>460</v>
      </c>
      <c r="O19" s="189">
        <f>IFERROR(__xludf.DUMMYFUNCTION("""COMPUTED_VALUE"""),491.0)</f>
        <v>491</v>
      </c>
      <c r="P19" s="189">
        <f>IFERROR(__xludf.DUMMYFUNCTION("""COMPUTED_VALUE"""),510.0)</f>
        <v>510</v>
      </c>
      <c r="Q19" s="189">
        <f>IFERROR(__xludf.DUMMYFUNCTION("""COMPUTED_VALUE"""),537.0)</f>
        <v>537</v>
      </c>
      <c r="R19" s="189">
        <f>IFERROR(__xludf.DUMMYFUNCTION("""COMPUTED_VALUE"""),519.0)</f>
        <v>519</v>
      </c>
      <c r="S19" s="189">
        <f>IFERROR(__xludf.DUMMYFUNCTION("""COMPUTED_VALUE"""),513.0)</f>
        <v>513</v>
      </c>
    </row>
    <row r="20">
      <c r="A20" s="186" t="str">
        <f>IFERROR(__xludf.DUMMYFUNCTION("""COMPUTED_VALUE"""),"NORDICS")</f>
        <v>NORDICS</v>
      </c>
      <c r="B20" s="186" t="str">
        <f>IFERROR(__xludf.DUMMYFUNCTION("""COMPUTED_VALUE"""),"W46")</f>
        <v>W46</v>
      </c>
      <c r="C20" s="186">
        <f>IFERROR(__xludf.DUMMYFUNCTION("""COMPUTED_VALUE"""),318.0)</f>
        <v>318</v>
      </c>
      <c r="D20" s="186"/>
      <c r="E20" s="186"/>
      <c r="F20" s="186"/>
      <c r="G20" s="186" t="str">
        <f>IFERROR(__xludf.DUMMYFUNCTION("""COMPUTED_VALUE"""),"FE4048A")</f>
        <v>FE4048A</v>
      </c>
      <c r="H20" s="186"/>
      <c r="I20" s="186"/>
      <c r="J20" s="186">
        <f>IFERROR(__xludf.DUMMYFUNCTION("""COMPUTED_VALUE"""),811.0)</f>
        <v>811</v>
      </c>
      <c r="K20" s="186">
        <f>IFERROR(__xludf.DUMMYFUNCTION("""COMPUTED_VALUE"""),766.0)</f>
        <v>766</v>
      </c>
      <c r="L20" s="186">
        <f>IFERROR(__xludf.DUMMYFUNCTION("""COMPUTED_VALUE"""),578.0)</f>
        <v>578</v>
      </c>
      <c r="M20" s="186">
        <f>IFERROR(__xludf.DUMMYFUNCTION("""COMPUTED_VALUE"""),576.0)</f>
        <v>576</v>
      </c>
      <c r="N20" s="186">
        <f>IFERROR(__xludf.DUMMYFUNCTION("""COMPUTED_VALUE"""),594.0)</f>
        <v>594</v>
      </c>
      <c r="O20" s="186">
        <f>IFERROR(__xludf.DUMMYFUNCTION("""COMPUTED_VALUE"""),637.0)</f>
        <v>637</v>
      </c>
      <c r="P20" s="186">
        <f>IFERROR(__xludf.DUMMYFUNCTION("""COMPUTED_VALUE"""),658.0)</f>
        <v>658</v>
      </c>
      <c r="Q20" s="186">
        <f>IFERROR(__xludf.DUMMYFUNCTION("""COMPUTED_VALUE"""),684.0)</f>
        <v>684</v>
      </c>
      <c r="R20" s="186">
        <f>IFERROR(__xludf.DUMMYFUNCTION("""COMPUTED_VALUE"""),689.0)</f>
        <v>689</v>
      </c>
      <c r="S20" s="189">
        <f>IFERROR(__xludf.DUMMYFUNCTION("""COMPUTED_VALUE"""),684.0)</f>
        <v>684</v>
      </c>
    </row>
    <row r="21">
      <c r="A21" s="186" t="str">
        <f>IFERROR(__xludf.DUMMYFUNCTION("""COMPUTED_VALUE"""),"NORDICS")</f>
        <v>NORDICS</v>
      </c>
      <c r="B21" s="186" t="str">
        <f>IFERROR(__xludf.DUMMYFUNCTION("""COMPUTED_VALUE"""),"W46")</f>
        <v>W46</v>
      </c>
      <c r="C21" s="186">
        <f>IFERROR(__xludf.DUMMYFUNCTION("""COMPUTED_VALUE"""),806.0)</f>
        <v>806</v>
      </c>
      <c r="D21" s="186" t="str">
        <f>IFERROR(__xludf.DUMMYFUNCTION("""COMPUTED_VALUE"""),"PTN-00-148223-2")</f>
        <v>PTN-00-148223-2</v>
      </c>
      <c r="E21" s="186" t="str">
        <f>IFERROR(__xludf.DUMMYFUNCTION("""COMPUTED_VALUE"""),"Garlic Herb Grilled Chicken")</f>
        <v>Garlic Herb Grilled Chicken</v>
      </c>
      <c r="F21" s="186" t="str">
        <f>IFERROR(__xludf.DUMMYFUNCTION("""COMPUTED_VALUE"""),"Grillet kylling med hvidlød og urter")</f>
        <v>Grillet kylling med hvidlød og urter</v>
      </c>
      <c r="G21" s="186" t="str">
        <f>IFERROR(__xludf.DUMMYFUNCTION("""COMPUTED_VALUE"""),"FEA006A")</f>
        <v>FEA006A</v>
      </c>
      <c r="H21" s="186">
        <f>IFERROR(__xludf.DUMMYFUNCTION("""COMPUTED_VALUE"""),565119.0)</f>
        <v>565119</v>
      </c>
      <c r="I21" s="186"/>
      <c r="J21" s="186">
        <f>IFERROR(__xludf.DUMMYFUNCTION("""COMPUTED_VALUE"""),48.0)</f>
        <v>48</v>
      </c>
      <c r="K21" s="186">
        <f>IFERROR(__xludf.DUMMYFUNCTION("""COMPUTED_VALUE"""),48.0)</f>
        <v>48</v>
      </c>
      <c r="L21" s="186">
        <f>IFERROR(__xludf.DUMMYFUNCTION("""COMPUTED_VALUE"""),48.0)</f>
        <v>48</v>
      </c>
      <c r="M21" s="186">
        <f>IFERROR(__xludf.DUMMYFUNCTION("""COMPUTED_VALUE"""),48.0)</f>
        <v>48</v>
      </c>
      <c r="N21" s="186">
        <f>IFERROR(__xludf.DUMMYFUNCTION("""COMPUTED_VALUE"""),48.0)</f>
        <v>48</v>
      </c>
      <c r="O21" s="186">
        <f>IFERROR(__xludf.DUMMYFUNCTION("""COMPUTED_VALUE"""),48.0)</f>
        <v>48</v>
      </c>
      <c r="P21" s="186">
        <f>IFERROR(__xludf.DUMMYFUNCTION("""COMPUTED_VALUE"""),48.0)</f>
        <v>48</v>
      </c>
      <c r="Q21" s="186">
        <f>IFERROR(__xludf.DUMMYFUNCTION("""COMPUTED_VALUE"""),48.0)</f>
        <v>48</v>
      </c>
      <c r="R21" s="186">
        <f>IFERROR(__xludf.DUMMYFUNCTION("""COMPUTED_VALUE"""),64.0)</f>
        <v>64</v>
      </c>
      <c r="S21" s="189">
        <f>IFERROR(__xludf.DUMMYFUNCTION("""COMPUTED_VALUE"""),61.0)</f>
        <v>61</v>
      </c>
    </row>
    <row r="22">
      <c r="A22" s="186" t="str">
        <f>IFERROR(__xludf.DUMMYFUNCTION("""COMPUTED_VALUE"""),"NORDICS")</f>
        <v>NORDICS</v>
      </c>
      <c r="B22" s="186" t="str">
        <f>IFERROR(__xludf.DUMMYFUNCTION("""COMPUTED_VALUE"""),"W46")</f>
        <v>W46</v>
      </c>
      <c r="C22" s="186"/>
      <c r="D22" s="186"/>
      <c r="E22" s="186"/>
      <c r="F22" s="186"/>
      <c r="G22" s="186"/>
      <c r="H22" s="186"/>
      <c r="I22" s="186"/>
      <c r="J22" s="189">
        <f>IFERROR(__xludf.DUMMYFUNCTION("""COMPUTED_VALUE"""),30898.0)</f>
        <v>30898</v>
      </c>
      <c r="K22" s="189">
        <f>IFERROR(__xludf.DUMMYFUNCTION("""COMPUTED_VALUE"""),29716.0)</f>
        <v>29716</v>
      </c>
      <c r="L22" s="189">
        <f>IFERROR(__xludf.DUMMYFUNCTION("""COMPUTED_VALUE"""),29212.0)</f>
        <v>29212</v>
      </c>
      <c r="M22" s="189">
        <f>IFERROR(__xludf.DUMMYFUNCTION("""COMPUTED_VALUE"""),28797.0)</f>
        <v>28797</v>
      </c>
      <c r="N22" s="189">
        <f>IFERROR(__xludf.DUMMYFUNCTION("""COMPUTED_VALUE"""),28055.0)</f>
        <v>28055</v>
      </c>
      <c r="O22" s="189">
        <f>IFERROR(__xludf.DUMMYFUNCTION("""COMPUTED_VALUE"""),28611.0)</f>
        <v>28611</v>
      </c>
      <c r="P22" s="189">
        <f>IFERROR(__xludf.DUMMYFUNCTION("""COMPUTED_VALUE"""),28527.0)</f>
        <v>28527</v>
      </c>
      <c r="Q22" s="189">
        <f>IFERROR(__xludf.DUMMYFUNCTION("""COMPUTED_VALUE"""),29128.0)</f>
        <v>29128</v>
      </c>
      <c r="R22" s="189">
        <f>IFERROR(__xludf.DUMMYFUNCTION("""COMPUTED_VALUE"""),28240.0)</f>
        <v>28240</v>
      </c>
      <c r="S22" s="189">
        <f>IFERROR(__xludf.DUMMYFUNCTION("""COMPUTED_VALUE"""),27184.0)</f>
        <v>27184</v>
      </c>
    </row>
    <row r="23">
      <c r="A23" s="186" t="str">
        <f>IFERROR(__xludf.DUMMYFUNCTION("""COMPUTED_VALUE"""),"DE")</f>
        <v>DE</v>
      </c>
      <c r="B23" s="186" t="str">
        <f>IFERROR(__xludf.DUMMYFUNCTION("""COMPUTED_VALUE"""),"W46")</f>
        <v>W46</v>
      </c>
      <c r="C23" s="186">
        <f>IFERROR(__xludf.DUMMYFUNCTION("""COMPUTED_VALUE"""),301.0)</f>
        <v>301</v>
      </c>
      <c r="D23" s="186"/>
      <c r="E23" s="186"/>
      <c r="F23" s="186"/>
      <c r="G23" s="186" t="str">
        <f>IFERROR(__xludf.DUMMYFUNCTION("""COMPUTED_VALUE"""),"FE4001A")</f>
        <v>FE4001A</v>
      </c>
      <c r="H23" s="186"/>
      <c r="I23" s="186"/>
      <c r="J23" s="189">
        <f>IFERROR(__xludf.DUMMYFUNCTION("""COMPUTED_VALUE"""),3618.0)</f>
        <v>3618</v>
      </c>
      <c r="K23" s="189">
        <f>IFERROR(__xludf.DUMMYFUNCTION("""COMPUTED_VALUE"""),3132.0)</f>
        <v>3132</v>
      </c>
      <c r="L23" s="189">
        <f>IFERROR(__xludf.DUMMYFUNCTION("""COMPUTED_VALUE"""),2936.0)</f>
        <v>2936</v>
      </c>
      <c r="M23" s="189">
        <f>IFERROR(__xludf.DUMMYFUNCTION("""COMPUTED_VALUE"""),3011.0)</f>
        <v>3011</v>
      </c>
      <c r="N23" s="189">
        <f>IFERROR(__xludf.DUMMYFUNCTION("""COMPUTED_VALUE"""),3021.0)</f>
        <v>3021</v>
      </c>
      <c r="O23" s="189">
        <f>IFERROR(__xludf.DUMMYFUNCTION("""COMPUTED_VALUE"""),3122.0)</f>
        <v>3122</v>
      </c>
      <c r="P23" s="189">
        <f>IFERROR(__xludf.DUMMYFUNCTION("""COMPUTED_VALUE"""),3123.0)</f>
        <v>3123</v>
      </c>
      <c r="Q23" s="189">
        <f>IFERROR(__xludf.DUMMYFUNCTION("""COMPUTED_VALUE"""),3168.0)</f>
        <v>3168</v>
      </c>
      <c r="R23" s="189">
        <f>IFERROR(__xludf.DUMMYFUNCTION("""COMPUTED_VALUE"""),3128.0)</f>
        <v>3128</v>
      </c>
      <c r="S23" s="189">
        <f>IFERROR(__xludf.DUMMYFUNCTION("""COMPUTED_VALUE"""),3219.0)</f>
        <v>3219</v>
      </c>
    </row>
    <row r="24">
      <c r="A24" s="186" t="str">
        <f>IFERROR(__xludf.DUMMYFUNCTION("""COMPUTED_VALUE"""),"DE")</f>
        <v>DE</v>
      </c>
      <c r="B24" s="186" t="str">
        <f>IFERROR(__xludf.DUMMYFUNCTION("""COMPUTED_VALUE"""),"W46")</f>
        <v>W46</v>
      </c>
      <c r="C24" s="186">
        <f>IFERROR(__xludf.DUMMYFUNCTION("""COMPUTED_VALUE"""),302.0)</f>
        <v>302</v>
      </c>
      <c r="D24" s="186"/>
      <c r="E24" s="186"/>
      <c r="F24" s="186"/>
      <c r="G24" s="186" t="str">
        <f>IFERROR(__xludf.DUMMYFUNCTION("""COMPUTED_VALUE"""),"FE4011B")</f>
        <v>FE4011B</v>
      </c>
      <c r="H24" s="186"/>
      <c r="I24" s="186"/>
      <c r="J24" s="189">
        <f>IFERROR(__xludf.DUMMYFUNCTION("""COMPUTED_VALUE"""),2223.0)</f>
        <v>2223</v>
      </c>
      <c r="K24" s="189">
        <f>IFERROR(__xludf.DUMMYFUNCTION("""COMPUTED_VALUE"""),2060.0)</f>
        <v>2060</v>
      </c>
      <c r="L24" s="189">
        <f>IFERROR(__xludf.DUMMYFUNCTION("""COMPUTED_VALUE"""),1912.0)</f>
        <v>1912</v>
      </c>
      <c r="M24" s="189">
        <f>IFERROR(__xludf.DUMMYFUNCTION("""COMPUTED_VALUE"""),1819.0)</f>
        <v>1819</v>
      </c>
      <c r="N24" s="189">
        <f>IFERROR(__xludf.DUMMYFUNCTION("""COMPUTED_VALUE"""),1785.0)</f>
        <v>1785</v>
      </c>
      <c r="O24" s="189">
        <f>IFERROR(__xludf.DUMMYFUNCTION("""COMPUTED_VALUE"""),1791.0)</f>
        <v>1791</v>
      </c>
      <c r="P24" s="189">
        <f>IFERROR(__xludf.DUMMYFUNCTION("""COMPUTED_VALUE"""),1786.0)</f>
        <v>1786</v>
      </c>
      <c r="Q24" s="189">
        <f>IFERROR(__xludf.DUMMYFUNCTION("""COMPUTED_VALUE"""),1779.0)</f>
        <v>1779</v>
      </c>
      <c r="R24" s="189">
        <f>IFERROR(__xludf.DUMMYFUNCTION("""COMPUTED_VALUE"""),1785.0)</f>
        <v>1785</v>
      </c>
      <c r="S24" s="189">
        <f>IFERROR(__xludf.DUMMYFUNCTION("""COMPUTED_VALUE"""),1801.0)</f>
        <v>1801</v>
      </c>
    </row>
    <row r="25">
      <c r="A25" s="186" t="str">
        <f>IFERROR(__xludf.DUMMYFUNCTION("""COMPUTED_VALUE"""),"DE")</f>
        <v>DE</v>
      </c>
      <c r="B25" s="186" t="str">
        <f>IFERROR(__xludf.DUMMYFUNCTION("""COMPUTED_VALUE"""),"W46")</f>
        <v>W46</v>
      </c>
      <c r="C25" s="186">
        <f>IFERROR(__xludf.DUMMYFUNCTION("""COMPUTED_VALUE"""),303.0)</f>
        <v>303</v>
      </c>
      <c r="D25" s="186"/>
      <c r="E25" s="186"/>
      <c r="F25" s="186"/>
      <c r="G25" s="186" t="str">
        <f>IFERROR(__xludf.DUMMYFUNCTION("""COMPUTED_VALUE"""),"FE0713A")</f>
        <v>FE0713A</v>
      </c>
      <c r="H25" s="186"/>
      <c r="I25" s="186"/>
      <c r="J25" s="189">
        <f>IFERROR(__xludf.DUMMYFUNCTION("""COMPUTED_VALUE"""),2515.0)</f>
        <v>2515</v>
      </c>
      <c r="K25" s="189">
        <f>IFERROR(__xludf.DUMMYFUNCTION("""COMPUTED_VALUE"""),2261.0)</f>
        <v>2261</v>
      </c>
      <c r="L25" s="189">
        <f>IFERROR(__xludf.DUMMYFUNCTION("""COMPUTED_VALUE"""),2180.0)</f>
        <v>2180</v>
      </c>
      <c r="M25" s="189">
        <f>IFERROR(__xludf.DUMMYFUNCTION("""COMPUTED_VALUE"""),2267.0)</f>
        <v>2267</v>
      </c>
      <c r="N25" s="189">
        <f>IFERROR(__xludf.DUMMYFUNCTION("""COMPUTED_VALUE"""),2189.0)</f>
        <v>2189</v>
      </c>
      <c r="O25" s="189">
        <f>IFERROR(__xludf.DUMMYFUNCTION("""COMPUTED_VALUE"""),2266.0)</f>
        <v>2266</v>
      </c>
      <c r="P25" s="189">
        <f>IFERROR(__xludf.DUMMYFUNCTION("""COMPUTED_VALUE"""),2252.0)</f>
        <v>2252</v>
      </c>
      <c r="Q25" s="189">
        <f>IFERROR(__xludf.DUMMYFUNCTION("""COMPUTED_VALUE"""),2249.0)</f>
        <v>2249</v>
      </c>
      <c r="R25" s="189">
        <f>IFERROR(__xludf.DUMMYFUNCTION("""COMPUTED_VALUE"""),2250.0)</f>
        <v>2250</v>
      </c>
      <c r="S25" s="189">
        <f>IFERROR(__xludf.DUMMYFUNCTION("""COMPUTED_VALUE"""),2269.0)</f>
        <v>2269</v>
      </c>
    </row>
    <row r="26">
      <c r="A26" s="186" t="str">
        <f>IFERROR(__xludf.DUMMYFUNCTION("""COMPUTED_VALUE"""),"DE")</f>
        <v>DE</v>
      </c>
      <c r="B26" s="186" t="str">
        <f>IFERROR(__xludf.DUMMYFUNCTION("""COMPUTED_VALUE"""),"W46")</f>
        <v>W46</v>
      </c>
      <c r="C26" s="186">
        <f>IFERROR(__xludf.DUMMYFUNCTION("""COMPUTED_VALUE"""),304.0)</f>
        <v>304</v>
      </c>
      <c r="D26" s="186"/>
      <c r="E26" s="186"/>
      <c r="F26" s="186"/>
      <c r="G26" s="186" t="str">
        <f>IFERROR(__xludf.DUMMYFUNCTION("""COMPUTED_VALUE"""),"FE4040A")</f>
        <v>FE4040A</v>
      </c>
      <c r="H26" s="186"/>
      <c r="I26" s="186"/>
      <c r="J26" s="189">
        <f>IFERROR(__xludf.DUMMYFUNCTION("""COMPUTED_VALUE"""),3536.0)</f>
        <v>3536</v>
      </c>
      <c r="K26" s="189">
        <f>IFERROR(__xludf.DUMMYFUNCTION("""COMPUTED_VALUE"""),3066.0)</f>
        <v>3066</v>
      </c>
      <c r="L26" s="189">
        <f>IFERROR(__xludf.DUMMYFUNCTION("""COMPUTED_VALUE"""),2826.0)</f>
        <v>2826</v>
      </c>
      <c r="M26" s="189">
        <f>IFERROR(__xludf.DUMMYFUNCTION("""COMPUTED_VALUE"""),2953.0)</f>
        <v>2953</v>
      </c>
      <c r="N26" s="189">
        <f>IFERROR(__xludf.DUMMYFUNCTION("""COMPUTED_VALUE"""),2989.0)</f>
        <v>2989</v>
      </c>
      <c r="O26" s="189">
        <f>IFERROR(__xludf.DUMMYFUNCTION("""COMPUTED_VALUE"""),3119.0)</f>
        <v>3119</v>
      </c>
      <c r="P26" s="189">
        <f>IFERROR(__xludf.DUMMYFUNCTION("""COMPUTED_VALUE"""),3110.0)</f>
        <v>3110</v>
      </c>
      <c r="Q26" s="189">
        <f>IFERROR(__xludf.DUMMYFUNCTION("""COMPUTED_VALUE"""),3165.0)</f>
        <v>3165</v>
      </c>
      <c r="R26" s="189">
        <f>IFERROR(__xludf.DUMMYFUNCTION("""COMPUTED_VALUE"""),3207.0)</f>
        <v>3207</v>
      </c>
      <c r="S26" s="189">
        <f>IFERROR(__xludf.DUMMYFUNCTION("""COMPUTED_VALUE"""),3247.0)</f>
        <v>3247</v>
      </c>
    </row>
    <row r="27">
      <c r="A27" s="186" t="str">
        <f>IFERROR(__xludf.DUMMYFUNCTION("""COMPUTED_VALUE"""),"DE")</f>
        <v>DE</v>
      </c>
      <c r="B27" s="186" t="str">
        <f>IFERROR(__xludf.DUMMYFUNCTION("""COMPUTED_VALUE"""),"W46")</f>
        <v>W46</v>
      </c>
      <c r="C27" s="186">
        <f>IFERROR(__xludf.DUMMYFUNCTION("""COMPUTED_VALUE"""),305.0)</f>
        <v>305</v>
      </c>
      <c r="D27" s="186" t="str">
        <f>IFERROR(__xludf.DUMMYFUNCTION("""COMPUTED_VALUE"""),"CON-00-136669-3")</f>
        <v>CON-00-136669-3</v>
      </c>
      <c r="E27" s="186" t="str">
        <f>IFERROR(__xludf.DUMMYFUNCTION("""COMPUTED_VALUE"""),"Cranberry Chicken ")</f>
        <v>Cranberry Chicken </v>
      </c>
      <c r="F27" s="186" t="str">
        <f>IFERROR(__xludf.DUMMYFUNCTION("""COMPUTED_VALUE"""),"Cranberry-Hähnchen")</f>
        <v>Cranberry-Hähnchen</v>
      </c>
      <c r="G27" s="186" t="str">
        <f>IFERROR(__xludf.DUMMYFUNCTION("""COMPUTED_VALUE"""),"FE0271B")</f>
        <v>FE0271B</v>
      </c>
      <c r="H27" s="186">
        <f>IFERROR(__xludf.DUMMYFUNCTION("""COMPUTED_VALUE"""),565132.0)</f>
        <v>565132</v>
      </c>
      <c r="I27" s="186"/>
      <c r="J27" s="189">
        <f>IFERROR(__xludf.DUMMYFUNCTION("""COMPUTED_VALUE"""),3063.0)</f>
        <v>3063</v>
      </c>
      <c r="K27" s="189">
        <f>IFERROR(__xludf.DUMMYFUNCTION("""COMPUTED_VALUE"""),2627.0)</f>
        <v>2627</v>
      </c>
      <c r="L27" s="189">
        <f>IFERROR(__xludf.DUMMYFUNCTION("""COMPUTED_VALUE"""),2788.0)</f>
        <v>2788</v>
      </c>
      <c r="M27" s="189">
        <f>IFERROR(__xludf.DUMMYFUNCTION("""COMPUTED_VALUE"""),2774.0)</f>
        <v>2774</v>
      </c>
      <c r="N27" s="189">
        <f>IFERROR(__xludf.DUMMYFUNCTION("""COMPUTED_VALUE"""),2730.0)</f>
        <v>2730</v>
      </c>
      <c r="O27" s="189">
        <f>IFERROR(__xludf.DUMMYFUNCTION("""COMPUTED_VALUE"""),2726.0)</f>
        <v>2726</v>
      </c>
      <c r="P27" s="189">
        <f>IFERROR(__xludf.DUMMYFUNCTION("""COMPUTED_VALUE"""),2717.0)</f>
        <v>2717</v>
      </c>
      <c r="Q27" s="189">
        <f>IFERROR(__xludf.DUMMYFUNCTION("""COMPUTED_VALUE"""),2743.0)</f>
        <v>2743</v>
      </c>
      <c r="R27" s="189">
        <f>IFERROR(__xludf.DUMMYFUNCTION("""COMPUTED_VALUE"""),2749.0)</f>
        <v>2749</v>
      </c>
      <c r="S27" s="189">
        <f>IFERROR(__xludf.DUMMYFUNCTION("""COMPUTED_VALUE"""),2819.0)</f>
        <v>2819</v>
      </c>
    </row>
    <row r="28">
      <c r="A28" s="186" t="str">
        <f>IFERROR(__xludf.DUMMYFUNCTION("""COMPUTED_VALUE"""),"DE")</f>
        <v>DE</v>
      </c>
      <c r="B28" s="186" t="str">
        <f>IFERROR(__xludf.DUMMYFUNCTION("""COMPUTED_VALUE"""),"W46")</f>
        <v>W46</v>
      </c>
      <c r="C28" s="186">
        <f>IFERROR(__xludf.DUMMYFUNCTION("""COMPUTED_VALUE"""),306.0)</f>
        <v>306</v>
      </c>
      <c r="D28" s="186" t="str">
        <f>IFERROR(__xludf.DUMMYFUNCTION("""COMPUTED_VALUE"""),"CON-00-136727-3")</f>
        <v>CON-00-136727-3</v>
      </c>
      <c r="E28" s="186" t="str">
        <f>IFERROR(__xludf.DUMMYFUNCTION("""COMPUTED_VALUE"""),"Peruvian style chicken breast")</f>
        <v>Peruvian style chicken breast</v>
      </c>
      <c r="F28" s="186" t="str">
        <f>IFERROR(__xludf.DUMMYFUNCTION("""COMPUTED_VALUE"""),"Hähnchenbrust nach peruanischer Art")</f>
        <v>Hähnchenbrust nach peruanischer Art</v>
      </c>
      <c r="G28" s="186" t="str">
        <f>IFERROR(__xludf.DUMMYFUNCTION("""COMPUTED_VALUE"""),"FE0129G")</f>
        <v>FE0129G</v>
      </c>
      <c r="H28" s="186">
        <f>IFERROR(__xludf.DUMMYFUNCTION("""COMPUTED_VALUE"""),565193.0)</f>
        <v>565193</v>
      </c>
      <c r="I28" s="186" t="str">
        <f>IFERROR(__xludf.DUMMYFUNCTION("""COMPUTED_VALUE"""),"HF RW Peruaanse stijl kipfilet")</f>
        <v>HF RW Peruaanse stijl kipfilet</v>
      </c>
      <c r="J28" s="189">
        <f>IFERROR(__xludf.DUMMYFUNCTION("""COMPUTED_VALUE"""),2332.0)</f>
        <v>2332</v>
      </c>
      <c r="K28" s="189">
        <f>IFERROR(__xludf.DUMMYFUNCTION("""COMPUTED_VALUE"""),2227.0)</f>
        <v>2227</v>
      </c>
      <c r="L28" s="189">
        <f>IFERROR(__xludf.DUMMYFUNCTION("""COMPUTED_VALUE"""),2017.0)</f>
        <v>2017</v>
      </c>
      <c r="M28" s="189">
        <f>IFERROR(__xludf.DUMMYFUNCTION("""COMPUTED_VALUE"""),2037.0)</f>
        <v>2037</v>
      </c>
      <c r="N28" s="189">
        <f>IFERROR(__xludf.DUMMYFUNCTION("""COMPUTED_VALUE"""),2032.0)</f>
        <v>2032</v>
      </c>
      <c r="O28" s="189">
        <f>IFERROR(__xludf.DUMMYFUNCTION("""COMPUTED_VALUE"""),2107.0)</f>
        <v>2107</v>
      </c>
      <c r="P28" s="189">
        <f>IFERROR(__xludf.DUMMYFUNCTION("""COMPUTED_VALUE"""),2133.0)</f>
        <v>2133</v>
      </c>
      <c r="Q28" s="189">
        <f>IFERROR(__xludf.DUMMYFUNCTION("""COMPUTED_VALUE"""),2141.0)</f>
        <v>2141</v>
      </c>
      <c r="R28" s="189">
        <f>IFERROR(__xludf.DUMMYFUNCTION("""COMPUTED_VALUE"""),2137.0)</f>
        <v>2137</v>
      </c>
      <c r="S28" s="189">
        <f>IFERROR(__xludf.DUMMYFUNCTION("""COMPUTED_VALUE"""),2190.0)</f>
        <v>2190</v>
      </c>
    </row>
    <row r="29">
      <c r="A29" s="186" t="str">
        <f>IFERROR(__xludf.DUMMYFUNCTION("""COMPUTED_VALUE"""),"DE")</f>
        <v>DE</v>
      </c>
      <c r="B29" s="186" t="str">
        <f>IFERROR(__xludf.DUMMYFUNCTION("""COMPUTED_VALUE"""),"W46")</f>
        <v>W46</v>
      </c>
      <c r="C29" s="186">
        <f>IFERROR(__xludf.DUMMYFUNCTION("""COMPUTED_VALUE"""),307.0)</f>
        <v>307</v>
      </c>
      <c r="D29" s="186" t="str">
        <f>IFERROR(__xludf.DUMMYFUNCTION("""COMPUTED_VALUE"""),"CON-00-136670-3")</f>
        <v>CON-00-136670-3</v>
      </c>
      <c r="E29" s="186" t="str">
        <f>IFERROR(__xludf.DUMMYFUNCTION("""COMPUTED_VALUE"""),"Grilled pork tenderloin and tomato butter")</f>
        <v>Grilled pork tenderloin and tomato butter</v>
      </c>
      <c r="F29" s="186" t="str">
        <f>IFERROR(__xludf.DUMMYFUNCTION("""COMPUTED_VALUE"""),"Gegrilltes Schweinefilet mit Tomatenbutter")</f>
        <v>Gegrilltes Schweinefilet mit Tomatenbutter</v>
      </c>
      <c r="G29" s="186" t="str">
        <f>IFERROR(__xludf.DUMMYFUNCTION("""COMPUTED_VALUE"""),"FE4010B")</f>
        <v>FE4010B</v>
      </c>
      <c r="H29" s="186">
        <f>IFERROR(__xludf.DUMMYFUNCTION("""COMPUTED_VALUE"""),565138.0)</f>
        <v>565138</v>
      </c>
      <c r="I29" s="186"/>
      <c r="J29" s="189">
        <f>IFERROR(__xludf.DUMMYFUNCTION("""COMPUTED_VALUE"""),1464.0)</f>
        <v>1464</v>
      </c>
      <c r="K29" s="189">
        <f>IFERROR(__xludf.DUMMYFUNCTION("""COMPUTED_VALUE"""),1335.0)</f>
        <v>1335</v>
      </c>
      <c r="L29" s="189">
        <f>IFERROR(__xludf.DUMMYFUNCTION("""COMPUTED_VALUE"""),1357.0)</f>
        <v>1357</v>
      </c>
      <c r="M29" s="189">
        <f>IFERROR(__xludf.DUMMYFUNCTION("""COMPUTED_VALUE"""),1381.0)</f>
        <v>1381</v>
      </c>
      <c r="N29" s="189">
        <f>IFERROR(__xludf.DUMMYFUNCTION("""COMPUTED_VALUE"""),1333.0)</f>
        <v>1333</v>
      </c>
      <c r="O29" s="189">
        <f>IFERROR(__xludf.DUMMYFUNCTION("""COMPUTED_VALUE"""),1375.0)</f>
        <v>1375</v>
      </c>
      <c r="P29" s="189">
        <f>IFERROR(__xludf.DUMMYFUNCTION("""COMPUTED_VALUE"""),1380.0)</f>
        <v>1380</v>
      </c>
      <c r="Q29" s="189">
        <f>IFERROR(__xludf.DUMMYFUNCTION("""COMPUTED_VALUE"""),1392.0)</f>
        <v>1392</v>
      </c>
      <c r="R29" s="189">
        <f>IFERROR(__xludf.DUMMYFUNCTION("""COMPUTED_VALUE"""),1402.0)</f>
        <v>1402</v>
      </c>
      <c r="S29" s="189">
        <f>IFERROR(__xludf.DUMMYFUNCTION("""COMPUTED_VALUE"""),1485.0)</f>
        <v>1485</v>
      </c>
    </row>
    <row r="30">
      <c r="A30" s="186" t="str">
        <f>IFERROR(__xludf.DUMMYFUNCTION("""COMPUTED_VALUE"""),"DE")</f>
        <v>DE</v>
      </c>
      <c r="B30" s="186" t="str">
        <f>IFERROR(__xludf.DUMMYFUNCTION("""COMPUTED_VALUE"""),"W46")</f>
        <v>W46</v>
      </c>
      <c r="C30" s="186">
        <f>IFERROR(__xludf.DUMMYFUNCTION("""COMPUTED_VALUE"""),308.0)</f>
        <v>308</v>
      </c>
      <c r="D30" s="186" t="str">
        <f>IFERROR(__xludf.DUMMYFUNCTION("""COMPUTED_VALUE"""),"CON-00-137744-2")</f>
        <v>CON-00-137744-2</v>
      </c>
      <c r="E30" s="186" t="str">
        <f>IFERROR(__xludf.DUMMYFUNCTION("""COMPUTED_VALUE"""),"Salmon in creamy gochugaru sauce")</f>
        <v>Salmon in creamy gochugaru sauce</v>
      </c>
      <c r="F30" s="186" t="str">
        <f>IFERROR(__xludf.DUMMYFUNCTION("""COMPUTED_VALUE"""),"Lachs in cremiger Gochugaru-Sauce")</f>
        <v>Lachs in cremiger Gochugaru-Sauce</v>
      </c>
      <c r="G30" s="186" t="str">
        <f>IFERROR(__xludf.DUMMYFUNCTION("""COMPUTED_VALUE"""),"FE4039C")</f>
        <v>FE4039C</v>
      </c>
      <c r="H30" s="186">
        <f>IFERROR(__xludf.DUMMYFUNCTION("""COMPUTED_VALUE"""),565102.0)</f>
        <v>565102</v>
      </c>
      <c r="I30" s="186" t="str">
        <f>IFERROR(__xludf.DUMMYFUNCTION("""COMPUTED_VALUE"""),"HF Zalm romige gochugaru sa")</f>
        <v>HF Zalm romige gochugaru sa</v>
      </c>
      <c r="J30" s="189">
        <f>IFERROR(__xludf.DUMMYFUNCTION("""COMPUTED_VALUE"""),2229.0)</f>
        <v>2229</v>
      </c>
      <c r="K30" s="189">
        <f>IFERROR(__xludf.DUMMYFUNCTION("""COMPUTED_VALUE"""),1922.0)</f>
        <v>1922</v>
      </c>
      <c r="L30" s="189">
        <f>IFERROR(__xludf.DUMMYFUNCTION("""COMPUTED_VALUE"""),1811.0)</f>
        <v>1811</v>
      </c>
      <c r="M30" s="189">
        <f>IFERROR(__xludf.DUMMYFUNCTION("""COMPUTED_VALUE"""),1661.0)</f>
        <v>1661</v>
      </c>
      <c r="N30" s="189">
        <f>IFERROR(__xludf.DUMMYFUNCTION("""COMPUTED_VALUE"""),1711.0)</f>
        <v>1711</v>
      </c>
      <c r="O30" s="189">
        <f>IFERROR(__xludf.DUMMYFUNCTION("""COMPUTED_VALUE"""),1811.0)</f>
        <v>1811</v>
      </c>
      <c r="P30" s="189">
        <f>IFERROR(__xludf.DUMMYFUNCTION("""COMPUTED_VALUE"""),1827.0)</f>
        <v>1827</v>
      </c>
      <c r="Q30" s="189">
        <f>IFERROR(__xludf.DUMMYFUNCTION("""COMPUTED_VALUE"""),1823.0)</f>
        <v>1823</v>
      </c>
      <c r="R30" s="189">
        <f>IFERROR(__xludf.DUMMYFUNCTION("""COMPUTED_VALUE"""),1817.0)</f>
        <v>1817</v>
      </c>
      <c r="S30" s="189">
        <f>IFERROR(__xludf.DUMMYFUNCTION("""COMPUTED_VALUE"""),1872.0)</f>
        <v>1872</v>
      </c>
    </row>
    <row r="31">
      <c r="A31" s="186" t="str">
        <f>IFERROR(__xludf.DUMMYFUNCTION("""COMPUTED_VALUE"""),"DE")</f>
        <v>DE</v>
      </c>
      <c r="B31" s="186" t="str">
        <f>IFERROR(__xludf.DUMMYFUNCTION("""COMPUTED_VALUE"""),"W46")</f>
        <v>W46</v>
      </c>
      <c r="C31" s="186">
        <f>IFERROR(__xludf.DUMMYFUNCTION("""COMPUTED_VALUE"""),309.0)</f>
        <v>309</v>
      </c>
      <c r="D31" s="186"/>
      <c r="E31" s="186"/>
      <c r="F31" s="186"/>
      <c r="G31" s="186" t="str">
        <f>IFERROR(__xludf.DUMMYFUNCTION("""COMPUTED_VALUE"""),"FE0031B")</f>
        <v>FE0031B</v>
      </c>
      <c r="H31" s="186"/>
      <c r="I31" s="186"/>
      <c r="J31" s="186">
        <f>IFERROR(__xludf.DUMMYFUNCTION("""COMPUTED_VALUE"""),460.0)</f>
        <v>460</v>
      </c>
      <c r="K31" s="186">
        <f>IFERROR(__xludf.DUMMYFUNCTION("""COMPUTED_VALUE"""),470.0)</f>
        <v>470</v>
      </c>
      <c r="L31" s="186">
        <f>IFERROR(__xludf.DUMMYFUNCTION("""COMPUTED_VALUE"""),268.0)</f>
        <v>268</v>
      </c>
      <c r="M31" s="186">
        <f>IFERROR(__xludf.DUMMYFUNCTION("""COMPUTED_VALUE"""),439.0)</f>
        <v>439</v>
      </c>
      <c r="N31" s="186">
        <f>IFERROR(__xludf.DUMMYFUNCTION("""COMPUTED_VALUE"""),428.0)</f>
        <v>428</v>
      </c>
      <c r="O31" s="186">
        <f>IFERROR(__xludf.DUMMYFUNCTION("""COMPUTED_VALUE"""),413.0)</f>
        <v>413</v>
      </c>
      <c r="P31" s="186">
        <f>IFERROR(__xludf.DUMMYFUNCTION("""COMPUTED_VALUE"""),412.0)</f>
        <v>412</v>
      </c>
      <c r="Q31" s="186">
        <f>IFERROR(__xludf.DUMMYFUNCTION("""COMPUTED_VALUE"""),424.0)</f>
        <v>424</v>
      </c>
      <c r="R31" s="186">
        <f>IFERROR(__xludf.DUMMYFUNCTION("""COMPUTED_VALUE"""),441.0)</f>
        <v>441</v>
      </c>
      <c r="S31" s="189">
        <f>IFERROR(__xludf.DUMMYFUNCTION("""COMPUTED_VALUE"""),429.0)</f>
        <v>429</v>
      </c>
    </row>
    <row r="32">
      <c r="A32" s="186" t="str">
        <f>IFERROR(__xludf.DUMMYFUNCTION("""COMPUTED_VALUE"""),"DE")</f>
        <v>DE</v>
      </c>
      <c r="B32" s="186" t="str">
        <f>IFERROR(__xludf.DUMMYFUNCTION("""COMPUTED_VALUE"""),"W46")</f>
        <v>W46</v>
      </c>
      <c r="C32" s="186">
        <f>IFERROR(__xludf.DUMMYFUNCTION("""COMPUTED_VALUE"""),310.0)</f>
        <v>310</v>
      </c>
      <c r="D32" s="186" t="str">
        <f>IFERROR(__xludf.DUMMYFUNCTION("""COMPUTED_VALUE"""),"CON-00-136625-3")</f>
        <v>CON-00-136625-3</v>
      </c>
      <c r="E32" s="186" t="str">
        <f>IFERROR(__xludf.DUMMYFUNCTION("""COMPUTED_VALUE"""),"Black bean bowl and enchilada sauce")</f>
        <v>Black bean bowl and enchilada sauce</v>
      </c>
      <c r="F32" s="186" t="str">
        <f>IFERROR(__xludf.DUMMYFUNCTION("""COMPUTED_VALUE"""),"Black Bean Bowl mit Enchiladasauce")</f>
        <v>Black Bean Bowl mit Enchiladasauce</v>
      </c>
      <c r="G32" s="186" t="str">
        <f>IFERROR(__xludf.DUMMYFUNCTION("""COMPUTED_VALUE"""),"FE0131C")</f>
        <v>FE0131C</v>
      </c>
      <c r="H32" s="186">
        <f>IFERROR(__xludf.DUMMYFUNCTION("""COMPUTED_VALUE"""),565044.0)</f>
        <v>565044</v>
      </c>
      <c r="I32" s="186" t="str">
        <f>IFERROR(__xludf.DUMMYFUNCTION("""COMPUTED_VALUE"""),"HF Black Bean &amp; Rice Enchilada Bowl 400g")</f>
        <v>HF Black Bean &amp; Rice Enchilada Bowl 400g</v>
      </c>
      <c r="J32" s="186">
        <f>IFERROR(__xludf.DUMMYFUNCTION("""COMPUTED_VALUE"""),471.0)</f>
        <v>471</v>
      </c>
      <c r="K32" s="186">
        <f>IFERROR(__xludf.DUMMYFUNCTION("""COMPUTED_VALUE"""),473.0)</f>
        <v>473</v>
      </c>
      <c r="L32" s="186">
        <f>IFERROR(__xludf.DUMMYFUNCTION("""COMPUTED_VALUE"""),526.0)</f>
        <v>526</v>
      </c>
      <c r="M32" s="186">
        <f>IFERROR(__xludf.DUMMYFUNCTION("""COMPUTED_VALUE"""),529.0)</f>
        <v>529</v>
      </c>
      <c r="N32" s="186">
        <f>IFERROR(__xludf.DUMMYFUNCTION("""COMPUTED_VALUE"""),526.0)</f>
        <v>526</v>
      </c>
      <c r="O32" s="186">
        <f>IFERROR(__xludf.DUMMYFUNCTION("""COMPUTED_VALUE"""),541.0)</f>
        <v>541</v>
      </c>
      <c r="P32" s="186">
        <f>IFERROR(__xludf.DUMMYFUNCTION("""COMPUTED_VALUE"""),541.0)</f>
        <v>541</v>
      </c>
      <c r="Q32" s="186">
        <f>IFERROR(__xludf.DUMMYFUNCTION("""COMPUTED_VALUE"""),537.0)</f>
        <v>537</v>
      </c>
      <c r="R32" s="186">
        <f>IFERROR(__xludf.DUMMYFUNCTION("""COMPUTED_VALUE"""),533.0)</f>
        <v>533</v>
      </c>
      <c r="S32" s="186">
        <f>IFERROR(__xludf.DUMMYFUNCTION("""COMPUTED_VALUE"""),554.0)</f>
        <v>554</v>
      </c>
    </row>
    <row r="33">
      <c r="A33" s="186" t="str">
        <f>IFERROR(__xludf.DUMMYFUNCTION("""COMPUTED_VALUE"""),"DE")</f>
        <v>DE</v>
      </c>
      <c r="B33" s="186" t="str">
        <f>IFERROR(__xludf.DUMMYFUNCTION("""COMPUTED_VALUE"""),"W46")</f>
        <v>W46</v>
      </c>
      <c r="C33" s="186">
        <f>IFERROR(__xludf.DUMMYFUNCTION("""COMPUTED_VALUE"""),311.0)</f>
        <v>311</v>
      </c>
      <c r="D33" s="186" t="str">
        <f>IFERROR(__xludf.DUMMYFUNCTION("""COMPUTED_VALUE"""),"CON-00-148373-2")</f>
        <v>CON-00-148373-2</v>
      </c>
      <c r="E33" s="186" t="str">
        <f>IFERROR(__xludf.DUMMYFUNCTION("""COMPUTED_VALUE"""),"Pulled beef &amp; pasta in cheese sauce")</f>
        <v>Pulled beef &amp; pasta in cheese sauce</v>
      </c>
      <c r="F33" s="186" t="str">
        <f>IFERROR(__xludf.DUMMYFUNCTION("""COMPUTED_VALUE"""),"Pulled Beef und Pasta in Käsesauce")</f>
        <v>Pulled Beef und Pasta in Käsesauce</v>
      </c>
      <c r="G33" s="186" t="str">
        <f>IFERROR(__xludf.DUMMYFUNCTION("""COMPUTED_VALUE"""),"FE1345A")</f>
        <v>FE1345A</v>
      </c>
      <c r="H33" s="186">
        <f>IFERROR(__xludf.DUMMYFUNCTION("""COMPUTED_VALUE"""),565158.0)</f>
        <v>565158</v>
      </c>
      <c r="I33" s="186"/>
      <c r="J33" s="186">
        <f>IFERROR(__xludf.DUMMYFUNCTION("""COMPUTED_VALUE"""),917.0)</f>
        <v>917</v>
      </c>
      <c r="K33" s="186">
        <f>IFERROR(__xludf.DUMMYFUNCTION("""COMPUTED_VALUE"""),901.0)</f>
        <v>901</v>
      </c>
      <c r="L33" s="186">
        <f>IFERROR(__xludf.DUMMYFUNCTION("""COMPUTED_VALUE"""),1191.0)</f>
        <v>1191</v>
      </c>
      <c r="M33" s="189">
        <f>IFERROR(__xludf.DUMMYFUNCTION("""COMPUTED_VALUE"""),1181.0)</f>
        <v>1181</v>
      </c>
      <c r="N33" s="189">
        <f>IFERROR(__xludf.DUMMYFUNCTION("""COMPUTED_VALUE"""),1131.0)</f>
        <v>1131</v>
      </c>
      <c r="O33" s="189">
        <f>IFERROR(__xludf.DUMMYFUNCTION("""COMPUTED_VALUE"""),1130.0)</f>
        <v>1130</v>
      </c>
      <c r="P33" s="189">
        <f>IFERROR(__xludf.DUMMYFUNCTION("""COMPUTED_VALUE"""),1100.0)</f>
        <v>1100</v>
      </c>
      <c r="Q33" s="189">
        <f>IFERROR(__xludf.DUMMYFUNCTION("""COMPUTED_VALUE"""),1124.0)</f>
        <v>1124</v>
      </c>
      <c r="R33" s="189">
        <f>IFERROR(__xludf.DUMMYFUNCTION("""COMPUTED_VALUE"""),1203.0)</f>
        <v>1203</v>
      </c>
      <c r="S33" s="189">
        <f>IFERROR(__xludf.DUMMYFUNCTION("""COMPUTED_VALUE"""),1232.0)</f>
        <v>1232</v>
      </c>
    </row>
    <row r="34">
      <c r="A34" s="186" t="str">
        <f>IFERROR(__xludf.DUMMYFUNCTION("""COMPUTED_VALUE"""),"DE")</f>
        <v>DE</v>
      </c>
      <c r="B34" s="186" t="str">
        <f>IFERROR(__xludf.DUMMYFUNCTION("""COMPUTED_VALUE"""),"W46")</f>
        <v>W46</v>
      </c>
      <c r="C34" s="186">
        <f>IFERROR(__xludf.DUMMYFUNCTION("""COMPUTED_VALUE"""),312.0)</f>
        <v>312</v>
      </c>
      <c r="D34" s="186" t="str">
        <f>IFERROR(__xludf.DUMMYFUNCTION("""COMPUTED_VALUE"""),"CON-00-136617-3")</f>
        <v>CON-00-136617-3</v>
      </c>
      <c r="E34" s="186" t="str">
        <f>IFERROR(__xludf.DUMMYFUNCTION("""COMPUTED_VALUE"""),"Salmon on cheesy cauliflower rice")</f>
        <v>Salmon on cheesy cauliflower rice</v>
      </c>
      <c r="F34" s="186" t="str">
        <f>IFERROR(__xludf.DUMMYFUNCTION("""COMPUTED_VALUE"""),"Lachs auf Blumenkohlreis in Käsecreme")</f>
        <v>Lachs auf Blumenkohlreis in Käsecreme</v>
      </c>
      <c r="G34" s="186" t="str">
        <f>IFERROR(__xludf.DUMMYFUNCTION("""COMPUTED_VALUE"""),"FE0036E")</f>
        <v>FE0036E</v>
      </c>
      <c r="H34" s="186">
        <f>IFERROR(__xludf.DUMMYFUNCTION("""COMPUTED_VALUE"""),565042.0)</f>
        <v>565042</v>
      </c>
      <c r="I34" s="186" t="str">
        <f>IFERROR(__xludf.DUMMYFUNCTION("""COMPUTED_VALUE"""),"HF Zalm+cheesy bloemk rijst")</f>
        <v>HF Zalm+cheesy bloemk rijst</v>
      </c>
      <c r="J34" s="186">
        <f>IFERROR(__xludf.DUMMYFUNCTION("""COMPUTED_VALUE"""),1574.0)</f>
        <v>1574</v>
      </c>
      <c r="K34" s="186">
        <f>IFERROR(__xludf.DUMMYFUNCTION("""COMPUTED_VALUE"""),1503.0)</f>
        <v>1503</v>
      </c>
      <c r="L34" s="189">
        <f>IFERROR(__xludf.DUMMYFUNCTION("""COMPUTED_VALUE"""),1737.0)</f>
        <v>1737</v>
      </c>
      <c r="M34" s="189">
        <f>IFERROR(__xludf.DUMMYFUNCTION("""COMPUTED_VALUE"""),1709.0)</f>
        <v>1709</v>
      </c>
      <c r="N34" s="189">
        <f>IFERROR(__xludf.DUMMYFUNCTION("""COMPUTED_VALUE"""),1702.0)</f>
        <v>1702</v>
      </c>
      <c r="O34" s="189">
        <f>IFERROR(__xludf.DUMMYFUNCTION("""COMPUTED_VALUE"""),1740.0)</f>
        <v>1740</v>
      </c>
      <c r="P34" s="189">
        <f>IFERROR(__xludf.DUMMYFUNCTION("""COMPUTED_VALUE"""),1757.0)</f>
        <v>1757</v>
      </c>
      <c r="Q34" s="189">
        <f>IFERROR(__xludf.DUMMYFUNCTION("""COMPUTED_VALUE"""),1782.0)</f>
        <v>1782</v>
      </c>
      <c r="R34" s="189">
        <f>IFERROR(__xludf.DUMMYFUNCTION("""COMPUTED_VALUE"""),1872.0)</f>
        <v>1872</v>
      </c>
      <c r="S34" s="189">
        <f>IFERROR(__xludf.DUMMYFUNCTION("""COMPUTED_VALUE"""),1894.0)</f>
        <v>1894</v>
      </c>
    </row>
    <row r="35">
      <c r="A35" s="186" t="str">
        <f>IFERROR(__xludf.DUMMYFUNCTION("""COMPUTED_VALUE"""),"DE")</f>
        <v>DE</v>
      </c>
      <c r="B35" s="186" t="str">
        <f>IFERROR(__xludf.DUMMYFUNCTION("""COMPUTED_VALUE"""),"W46")</f>
        <v>W46</v>
      </c>
      <c r="C35" s="186">
        <f>IFERROR(__xludf.DUMMYFUNCTION("""COMPUTED_VALUE"""),313.0)</f>
        <v>313</v>
      </c>
      <c r="D35" s="186" t="str">
        <f>IFERROR(__xludf.DUMMYFUNCTION("""COMPUTED_VALUE"""),"CON-00-136635-3")</f>
        <v>CON-00-136635-3</v>
      </c>
      <c r="E35" s="186" t="str">
        <f>IFERROR(__xludf.DUMMYFUNCTION("""COMPUTED_VALUE"""),"Rice bowl with pulled chicken and taco spices")</f>
        <v>Rice bowl with pulled chicken and taco spices</v>
      </c>
      <c r="F35" s="186" t="str">
        <f>IFERROR(__xludf.DUMMYFUNCTION("""COMPUTED_VALUE"""),"Reis-Bowl mit Pulled Chicken im Taco-Stil")</f>
        <v>Reis-Bowl mit Pulled Chicken im Taco-Stil</v>
      </c>
      <c r="G35" s="186" t="str">
        <f>IFERROR(__xludf.DUMMYFUNCTION("""COMPUTED_VALUE"""),"FE0130E")</f>
        <v>FE0130E</v>
      </c>
      <c r="H35" s="186">
        <f>IFERROR(__xludf.DUMMYFUNCTION("""COMPUTED_VALUE"""),565197.0)</f>
        <v>565197</v>
      </c>
      <c r="I35" s="186" t="str">
        <f>IFERROR(__xludf.DUMMYFUNCTION("""COMPUTED_VALUE"""),"HF Pulled chick rijst en bonen")</f>
        <v>HF Pulled chick rijst en bonen</v>
      </c>
      <c r="J35" s="186">
        <f>IFERROR(__xludf.DUMMYFUNCTION("""COMPUTED_VALUE"""),1719.0)</f>
        <v>1719</v>
      </c>
      <c r="K35" s="186">
        <f>IFERROR(__xludf.DUMMYFUNCTION("""COMPUTED_VALUE"""),1557.0)</f>
        <v>1557</v>
      </c>
      <c r="L35" s="186">
        <f>IFERROR(__xludf.DUMMYFUNCTION("""COMPUTED_VALUE"""),1971.0)</f>
        <v>1971</v>
      </c>
      <c r="M35" s="189">
        <f>IFERROR(__xludf.DUMMYFUNCTION("""COMPUTED_VALUE"""),1728.0)</f>
        <v>1728</v>
      </c>
      <c r="N35" s="189">
        <f>IFERROR(__xludf.DUMMYFUNCTION("""COMPUTED_VALUE"""),1665.0)</f>
        <v>1665</v>
      </c>
      <c r="O35" s="189">
        <f>IFERROR(__xludf.DUMMYFUNCTION("""COMPUTED_VALUE"""),1685.0)</f>
        <v>1685</v>
      </c>
      <c r="P35" s="189">
        <f>IFERROR(__xludf.DUMMYFUNCTION("""COMPUTED_VALUE"""),1656.0)</f>
        <v>1656</v>
      </c>
      <c r="Q35" s="189">
        <f>IFERROR(__xludf.DUMMYFUNCTION("""COMPUTED_VALUE"""),1704.0)</f>
        <v>1704</v>
      </c>
      <c r="R35" s="189">
        <f>IFERROR(__xludf.DUMMYFUNCTION("""COMPUTED_VALUE"""),1693.0)</f>
        <v>1693</v>
      </c>
      <c r="S35" s="189">
        <f>IFERROR(__xludf.DUMMYFUNCTION("""COMPUTED_VALUE"""),1742.0)</f>
        <v>1742</v>
      </c>
    </row>
    <row r="36">
      <c r="A36" s="186" t="str">
        <f>IFERROR(__xludf.DUMMYFUNCTION("""COMPUTED_VALUE"""),"DE")</f>
        <v>DE</v>
      </c>
      <c r="B36" s="186" t="str">
        <f>IFERROR(__xludf.DUMMYFUNCTION("""COMPUTED_VALUE"""),"W46")</f>
        <v>W46</v>
      </c>
      <c r="C36" s="186">
        <f>IFERROR(__xludf.DUMMYFUNCTION("""COMPUTED_VALUE"""),314.0)</f>
        <v>314</v>
      </c>
      <c r="D36" s="186"/>
      <c r="E36" s="186"/>
      <c r="F36" s="186"/>
      <c r="G36" s="186" t="str">
        <f>IFERROR(__xludf.DUMMYFUNCTION("""COMPUTED_VALUE"""),"FE0780D")</f>
        <v>FE0780D</v>
      </c>
      <c r="H36" s="186"/>
      <c r="I36" s="186"/>
      <c r="J36" s="186">
        <f>IFERROR(__xludf.DUMMYFUNCTION("""COMPUTED_VALUE"""),1122.0)</f>
        <v>1122</v>
      </c>
      <c r="K36" s="186">
        <f>IFERROR(__xludf.DUMMYFUNCTION("""COMPUTED_VALUE"""),1032.0)</f>
        <v>1032</v>
      </c>
      <c r="L36" s="186">
        <f>IFERROR(__xludf.DUMMYFUNCTION("""COMPUTED_VALUE"""),700.0)</f>
        <v>700</v>
      </c>
      <c r="M36" s="186">
        <f>IFERROR(__xludf.DUMMYFUNCTION("""COMPUTED_VALUE"""),760.0)</f>
        <v>760</v>
      </c>
      <c r="N36" s="186">
        <f>IFERROR(__xludf.DUMMYFUNCTION("""COMPUTED_VALUE"""),699.0)</f>
        <v>699</v>
      </c>
      <c r="O36" s="186">
        <f>IFERROR(__xludf.DUMMYFUNCTION("""COMPUTED_VALUE"""),737.0)</f>
        <v>737</v>
      </c>
      <c r="P36" s="186">
        <f>IFERROR(__xludf.DUMMYFUNCTION("""COMPUTED_VALUE"""),746.0)</f>
        <v>746</v>
      </c>
      <c r="Q36" s="186">
        <f>IFERROR(__xludf.DUMMYFUNCTION("""COMPUTED_VALUE"""),776.0)</f>
        <v>776</v>
      </c>
      <c r="R36" s="186">
        <f>IFERROR(__xludf.DUMMYFUNCTION("""COMPUTED_VALUE"""),749.0)</f>
        <v>749</v>
      </c>
      <c r="S36" s="189">
        <f>IFERROR(__xludf.DUMMYFUNCTION("""COMPUTED_VALUE"""),729.0)</f>
        <v>729</v>
      </c>
    </row>
    <row r="37">
      <c r="A37" s="186" t="str">
        <f>IFERROR(__xludf.DUMMYFUNCTION("""COMPUTED_VALUE"""),"DE")</f>
        <v>DE</v>
      </c>
      <c r="B37" s="186" t="str">
        <f>IFERROR(__xludf.DUMMYFUNCTION("""COMPUTED_VALUE"""),"W46")</f>
        <v>W46</v>
      </c>
      <c r="C37" s="186">
        <f>IFERROR(__xludf.DUMMYFUNCTION("""COMPUTED_VALUE"""),315.0)</f>
        <v>315</v>
      </c>
      <c r="D37" s="186" t="str">
        <f>IFERROR(__xludf.DUMMYFUNCTION("""COMPUTED_VALUE"""),"CON-00-136720-3")</f>
        <v>CON-00-136720-3</v>
      </c>
      <c r="E37" s="186" t="str">
        <f>IFERROR(__xludf.DUMMYFUNCTION("""COMPUTED_VALUE"""),"Beef in tomato ragout")</f>
        <v>Beef in tomato ragout</v>
      </c>
      <c r="F37" s="186" t="str">
        <f>IFERROR(__xludf.DUMMYFUNCTION("""COMPUTED_VALUE"""),"Rindfleisch-Tomaten-Ragout")</f>
        <v>Rindfleisch-Tomaten-Ragout</v>
      </c>
      <c r="G37" s="186" t="str">
        <f>IFERROR(__xludf.DUMMYFUNCTION("""COMPUTED_VALUE"""),"FE4043A")</f>
        <v>FE4043A</v>
      </c>
      <c r="H37" s="186">
        <f>IFERROR(__xludf.DUMMYFUNCTION("""COMPUTED_VALUE"""),565110.0)</f>
        <v>565110</v>
      </c>
      <c r="I37" s="186"/>
      <c r="J37" s="186">
        <f>IFERROR(__xludf.DUMMYFUNCTION("""COMPUTED_VALUE"""),904.0)</f>
        <v>904</v>
      </c>
      <c r="K37" s="186">
        <f>IFERROR(__xludf.DUMMYFUNCTION("""COMPUTED_VALUE"""),707.0)</f>
        <v>707</v>
      </c>
      <c r="L37" s="186">
        <f>IFERROR(__xludf.DUMMYFUNCTION("""COMPUTED_VALUE"""),1263.0)</f>
        <v>1263</v>
      </c>
      <c r="M37" s="189">
        <f>IFERROR(__xludf.DUMMYFUNCTION("""COMPUTED_VALUE"""),1107.0)</f>
        <v>1107</v>
      </c>
      <c r="N37" s="189">
        <f>IFERROR(__xludf.DUMMYFUNCTION("""COMPUTED_VALUE"""),1023.0)</f>
        <v>1023</v>
      </c>
      <c r="O37" s="189">
        <f>IFERROR(__xludf.DUMMYFUNCTION("""COMPUTED_VALUE"""),1038.0)</f>
        <v>1038</v>
      </c>
      <c r="P37" s="189">
        <f>IFERROR(__xludf.DUMMYFUNCTION("""COMPUTED_VALUE"""),1029.0)</f>
        <v>1029</v>
      </c>
      <c r="Q37" s="189">
        <f>IFERROR(__xludf.DUMMYFUNCTION("""COMPUTED_VALUE"""),1037.0)</f>
        <v>1037</v>
      </c>
      <c r="R37" s="189">
        <f>IFERROR(__xludf.DUMMYFUNCTION("""COMPUTED_VALUE"""),1098.0)</f>
        <v>1098</v>
      </c>
      <c r="S37" s="189">
        <f>IFERROR(__xludf.DUMMYFUNCTION("""COMPUTED_VALUE"""),1093.0)</f>
        <v>1093</v>
      </c>
    </row>
    <row r="38">
      <c r="A38" s="186" t="str">
        <f>IFERROR(__xludf.DUMMYFUNCTION("""COMPUTED_VALUE"""),"DE")</f>
        <v>DE</v>
      </c>
      <c r="B38" s="186" t="str">
        <f>IFERROR(__xludf.DUMMYFUNCTION("""COMPUTED_VALUE"""),"W46")</f>
        <v>W46</v>
      </c>
      <c r="C38" s="186">
        <f>IFERROR(__xludf.DUMMYFUNCTION("""COMPUTED_VALUE"""),316.0)</f>
        <v>316</v>
      </c>
      <c r="D38" s="186" t="str">
        <f>IFERROR(__xludf.DUMMYFUNCTION("""COMPUTED_VALUE"""),"CON-00-137456-2")</f>
        <v>CON-00-137456-2</v>
      </c>
      <c r="E38" s="186" t="str">
        <f>IFERROR(__xludf.DUMMYFUNCTION("""COMPUTED_VALUE"""),"Tomato-mozzarella chicken")</f>
        <v>Tomato-mozzarella chicken</v>
      </c>
      <c r="F38" s="186" t="str">
        <f>IFERROR(__xludf.DUMMYFUNCTION("""COMPUTED_VALUE"""),"Tomate-Mozzarella-Hähnchen")</f>
        <v>Tomate-Mozzarella-Hähnchen</v>
      </c>
      <c r="G38" s="186" t="str">
        <f>IFERROR(__xludf.DUMMYFUNCTION("""COMPUTED_VALUE"""),"FE4051A")</f>
        <v>FE4051A</v>
      </c>
      <c r="H38" s="186">
        <f>IFERROR(__xludf.DUMMYFUNCTION("""COMPUTED_VALUE"""),565126.0)</f>
        <v>565126</v>
      </c>
      <c r="I38" s="186" t="str">
        <f>IFERROR(__xludf.DUMMYFUNCTION("""COMPUTED_VALUE"""),"HF Kip tomatensaus mozzarella")</f>
        <v>HF Kip tomatensaus mozzarella</v>
      </c>
      <c r="J38" s="186">
        <f>IFERROR(__xludf.DUMMYFUNCTION("""COMPUTED_VALUE"""),792.0)</f>
        <v>792</v>
      </c>
      <c r="K38" s="186">
        <f>IFERROR(__xludf.DUMMYFUNCTION("""COMPUTED_VALUE"""),795.0)</f>
        <v>795</v>
      </c>
      <c r="L38" s="186">
        <f>IFERROR(__xludf.DUMMYFUNCTION("""COMPUTED_VALUE"""),615.0)</f>
        <v>615</v>
      </c>
      <c r="M38" s="186">
        <f>IFERROR(__xludf.DUMMYFUNCTION("""COMPUTED_VALUE"""),559.0)</f>
        <v>559</v>
      </c>
      <c r="N38" s="186">
        <f>IFERROR(__xludf.DUMMYFUNCTION("""COMPUTED_VALUE"""),604.0)</f>
        <v>604</v>
      </c>
      <c r="O38" s="186">
        <f>IFERROR(__xludf.DUMMYFUNCTION("""COMPUTED_VALUE"""),545.0)</f>
        <v>545</v>
      </c>
      <c r="P38" s="186">
        <f>IFERROR(__xludf.DUMMYFUNCTION("""COMPUTED_VALUE"""),544.0)</f>
        <v>544</v>
      </c>
      <c r="Q38" s="186">
        <f>IFERROR(__xludf.DUMMYFUNCTION("""COMPUTED_VALUE"""),558.0)</f>
        <v>558</v>
      </c>
      <c r="R38" s="186">
        <f>IFERROR(__xludf.DUMMYFUNCTION("""COMPUTED_VALUE"""),562.0)</f>
        <v>562</v>
      </c>
      <c r="S38" s="189">
        <f>IFERROR(__xludf.DUMMYFUNCTION("""COMPUTED_VALUE"""),563.0)</f>
        <v>563</v>
      </c>
    </row>
    <row r="39">
      <c r="A39" s="186" t="str">
        <f>IFERROR(__xludf.DUMMYFUNCTION("""COMPUTED_VALUE"""),"DE")</f>
        <v>DE</v>
      </c>
      <c r="B39" s="186" t="str">
        <f>IFERROR(__xludf.DUMMYFUNCTION("""COMPUTED_VALUE"""),"W46")</f>
        <v>W46</v>
      </c>
      <c r="C39" s="186">
        <f>IFERROR(__xludf.DUMMYFUNCTION("""COMPUTED_VALUE"""),317.0)</f>
        <v>317</v>
      </c>
      <c r="D39" s="186" t="str">
        <f>IFERROR(__xludf.DUMMYFUNCTION("""COMPUTED_VALUE"""),"CON-00-136684-3")</f>
        <v>CON-00-136684-3</v>
      </c>
      <c r="E39" s="186" t="str">
        <f>IFERROR(__xludf.DUMMYFUNCTION("""COMPUTED_VALUE"""),"Pork tenderloin with black pepper and sage")</f>
        <v>Pork tenderloin with black pepper and sage</v>
      </c>
      <c r="F39" s="186" t="str">
        <f>IFERROR(__xludf.DUMMYFUNCTION("""COMPUTED_VALUE"""),"Schweinefilet mit schwarzem Pfeffer und Salbei")</f>
        <v>Schweinefilet mit schwarzem Pfeffer und Salbei</v>
      </c>
      <c r="G39" s="186" t="str">
        <f>IFERROR(__xludf.DUMMYFUNCTION("""COMPUTED_VALUE"""),"FE4022B")</f>
        <v>FE4022B</v>
      </c>
      <c r="H39" s="186">
        <f>IFERROR(__xludf.DUMMYFUNCTION("""COMPUTED_VALUE"""),565146.0)</f>
        <v>565146</v>
      </c>
      <c r="I39" s="186" t="str">
        <f>IFERROR(__xludf.DUMMYFUNCTION("""COMPUTED_VALUE"""),"HF RW Varkenshaas zwpeper sali")</f>
        <v>HF RW Varkenshaas zwpeper sali</v>
      </c>
      <c r="J39" s="186">
        <f>IFERROR(__xludf.DUMMYFUNCTION("""COMPUTED_VALUE"""),525.0)</f>
        <v>525</v>
      </c>
      <c r="K39" s="186">
        <f>IFERROR(__xludf.DUMMYFUNCTION("""COMPUTED_VALUE"""),525.0)</f>
        <v>525</v>
      </c>
      <c r="L39" s="186">
        <f>IFERROR(__xludf.DUMMYFUNCTION("""COMPUTED_VALUE"""),376.0)</f>
        <v>376</v>
      </c>
      <c r="M39" s="186">
        <f>IFERROR(__xludf.DUMMYFUNCTION("""COMPUTED_VALUE"""),493.0)</f>
        <v>493</v>
      </c>
      <c r="N39" s="186">
        <f>IFERROR(__xludf.DUMMYFUNCTION("""COMPUTED_VALUE"""),479.0)</f>
        <v>479</v>
      </c>
      <c r="O39" s="186">
        <f>IFERROR(__xludf.DUMMYFUNCTION("""COMPUTED_VALUE"""),503.0)</f>
        <v>503</v>
      </c>
      <c r="P39" s="186">
        <f>IFERROR(__xludf.DUMMYFUNCTION("""COMPUTED_VALUE"""),492.0)</f>
        <v>492</v>
      </c>
      <c r="Q39" s="186">
        <f>IFERROR(__xludf.DUMMYFUNCTION("""COMPUTED_VALUE"""),506.0)</f>
        <v>506</v>
      </c>
      <c r="R39" s="186">
        <f>IFERROR(__xludf.DUMMYFUNCTION("""COMPUTED_VALUE"""),523.0)</f>
        <v>523</v>
      </c>
      <c r="S39" s="189">
        <f>IFERROR(__xludf.DUMMYFUNCTION("""COMPUTED_VALUE"""),526.0)</f>
        <v>526</v>
      </c>
    </row>
    <row r="40">
      <c r="A40" s="186" t="str">
        <f>IFERROR(__xludf.DUMMYFUNCTION("""COMPUTED_VALUE"""),"DE")</f>
        <v>DE</v>
      </c>
      <c r="B40" s="186" t="str">
        <f>IFERROR(__xludf.DUMMYFUNCTION("""COMPUTED_VALUE"""),"W46")</f>
        <v>W46</v>
      </c>
      <c r="C40" s="186">
        <f>IFERROR(__xludf.DUMMYFUNCTION("""COMPUTED_VALUE"""),318.0)</f>
        <v>318</v>
      </c>
      <c r="D40" s="186"/>
      <c r="E40" s="186"/>
      <c r="F40" s="186"/>
      <c r="G40" s="186" t="str">
        <f>IFERROR(__xludf.DUMMYFUNCTION("""COMPUTED_VALUE"""),"FE4048A")</f>
        <v>FE4048A</v>
      </c>
      <c r="H40" s="186"/>
      <c r="I40" s="186"/>
      <c r="J40" s="186">
        <f>IFERROR(__xludf.DUMMYFUNCTION("""COMPUTED_VALUE"""),574.0)</f>
        <v>574</v>
      </c>
      <c r="K40" s="186">
        <f>IFERROR(__xludf.DUMMYFUNCTION("""COMPUTED_VALUE"""),568.0)</f>
        <v>568</v>
      </c>
      <c r="L40" s="186">
        <f>IFERROR(__xludf.DUMMYFUNCTION("""COMPUTED_VALUE"""),587.0)</f>
        <v>587</v>
      </c>
      <c r="M40" s="186">
        <f>IFERROR(__xludf.DUMMYFUNCTION("""COMPUTED_VALUE"""),516.0)</f>
        <v>516</v>
      </c>
      <c r="N40" s="186">
        <f>IFERROR(__xludf.DUMMYFUNCTION("""COMPUTED_VALUE"""),515.0)</f>
        <v>515</v>
      </c>
      <c r="O40" s="186">
        <f>IFERROR(__xludf.DUMMYFUNCTION("""COMPUTED_VALUE"""),547.0)</f>
        <v>547</v>
      </c>
      <c r="P40" s="186">
        <f>IFERROR(__xludf.DUMMYFUNCTION("""COMPUTED_VALUE"""),538.0)</f>
        <v>538</v>
      </c>
      <c r="Q40" s="186">
        <f>IFERROR(__xludf.DUMMYFUNCTION("""COMPUTED_VALUE"""),541.0)</f>
        <v>541</v>
      </c>
      <c r="R40" s="186">
        <f>IFERROR(__xludf.DUMMYFUNCTION("""COMPUTED_VALUE"""),573.0)</f>
        <v>573</v>
      </c>
      <c r="S40" s="189">
        <f>IFERROR(__xludf.DUMMYFUNCTION("""COMPUTED_VALUE"""),567.0)</f>
        <v>567</v>
      </c>
    </row>
    <row r="41">
      <c r="A41" s="186" t="str">
        <f>IFERROR(__xludf.DUMMYFUNCTION("""COMPUTED_VALUE"""),"DE")</f>
        <v>DE</v>
      </c>
      <c r="B41" s="186" t="str">
        <f>IFERROR(__xludf.DUMMYFUNCTION("""COMPUTED_VALUE"""),"W46")</f>
        <v>W46</v>
      </c>
      <c r="C41" s="186">
        <f>IFERROR(__xludf.DUMMYFUNCTION("""COMPUTED_VALUE"""),806.0)</f>
        <v>806</v>
      </c>
      <c r="D41" s="186" t="str">
        <f>IFERROR(__xludf.DUMMYFUNCTION("""COMPUTED_VALUE"""),"PTN-00-136930-3")</f>
        <v>PTN-00-136930-3</v>
      </c>
      <c r="E41" s="186" t="str">
        <f>IFERROR(__xludf.DUMMYFUNCTION("""COMPUTED_VALUE"""),"Garlic Herb Grilled Chicken")</f>
        <v>Garlic Herb Grilled Chicken</v>
      </c>
      <c r="F41" s="186" t="str">
        <f>IFERROR(__xludf.DUMMYFUNCTION("""COMPUTED_VALUE"""),"Gegrilltes Hähnchen mit Knoblauch-Kräutern")</f>
        <v>Gegrilltes Hähnchen mit Knoblauch-Kräutern</v>
      </c>
      <c r="G41" s="186" t="str">
        <f>IFERROR(__xludf.DUMMYFUNCTION("""COMPUTED_VALUE"""),"FEA006A")</f>
        <v>FEA006A</v>
      </c>
      <c r="H41" s="186">
        <f>IFERROR(__xludf.DUMMYFUNCTION("""COMPUTED_VALUE"""),565119.0)</f>
        <v>565119</v>
      </c>
      <c r="I41" s="186"/>
      <c r="J41" s="186">
        <f>IFERROR(__xludf.DUMMYFUNCTION("""COMPUTED_VALUE"""),79.0)</f>
        <v>79</v>
      </c>
      <c r="K41" s="186">
        <f>IFERROR(__xludf.DUMMYFUNCTION("""COMPUTED_VALUE"""),79.0)</f>
        <v>79</v>
      </c>
      <c r="L41" s="186">
        <f>IFERROR(__xludf.DUMMYFUNCTION("""COMPUTED_VALUE"""),79.0)</f>
        <v>79</v>
      </c>
      <c r="M41" s="186">
        <f>IFERROR(__xludf.DUMMYFUNCTION("""COMPUTED_VALUE"""),79.0)</f>
        <v>79</v>
      </c>
      <c r="N41" s="186">
        <f>IFERROR(__xludf.DUMMYFUNCTION("""COMPUTED_VALUE"""),79.0)</f>
        <v>79</v>
      </c>
      <c r="O41" s="186">
        <f>IFERROR(__xludf.DUMMYFUNCTION("""COMPUTED_VALUE"""),79.0)</f>
        <v>79</v>
      </c>
      <c r="P41" s="186">
        <f>IFERROR(__xludf.DUMMYFUNCTION("""COMPUTED_VALUE"""),79.0)</f>
        <v>79</v>
      </c>
      <c r="Q41" s="186">
        <f>IFERROR(__xludf.DUMMYFUNCTION("""COMPUTED_VALUE"""),79.0)</f>
        <v>79</v>
      </c>
      <c r="R41" s="186">
        <f>IFERROR(__xludf.DUMMYFUNCTION("""COMPUTED_VALUE"""),56.0)</f>
        <v>56</v>
      </c>
      <c r="S41" s="189">
        <f>IFERROR(__xludf.DUMMYFUNCTION("""COMPUTED_VALUE"""),56.0)</f>
        <v>56</v>
      </c>
    </row>
    <row r="42">
      <c r="A42" s="186" t="str">
        <f>IFERROR(__xludf.DUMMYFUNCTION("""COMPUTED_VALUE"""),"DE")</f>
        <v>DE</v>
      </c>
      <c r="B42" s="186" t="str">
        <f>IFERROR(__xludf.DUMMYFUNCTION("""COMPUTED_VALUE"""),"W46")</f>
        <v>W46</v>
      </c>
      <c r="C42" s="186"/>
      <c r="D42" s="186"/>
      <c r="E42" s="186"/>
      <c r="F42" s="186"/>
      <c r="G42" s="186"/>
      <c r="H42" s="186"/>
      <c r="I42" s="186"/>
      <c r="J42" s="189">
        <f>IFERROR(__xludf.DUMMYFUNCTION("""COMPUTED_VALUE"""),30117.0)</f>
        <v>30117</v>
      </c>
      <c r="K42" s="189">
        <f>IFERROR(__xludf.DUMMYFUNCTION("""COMPUTED_VALUE"""),27240.0)</f>
        <v>27240</v>
      </c>
      <c r="L42" s="189">
        <f>IFERROR(__xludf.DUMMYFUNCTION("""COMPUTED_VALUE"""),27140.0)</f>
        <v>27140</v>
      </c>
      <c r="M42" s="189">
        <f>IFERROR(__xludf.DUMMYFUNCTION("""COMPUTED_VALUE"""),27003.0)</f>
        <v>27003</v>
      </c>
      <c r="N42" s="189">
        <f>IFERROR(__xludf.DUMMYFUNCTION("""COMPUTED_VALUE"""),26641.0)</f>
        <v>26641</v>
      </c>
      <c r="O42" s="189">
        <f>IFERROR(__xludf.DUMMYFUNCTION("""COMPUTED_VALUE"""),27275.0)</f>
        <v>27275</v>
      </c>
      <c r="P42" s="189">
        <f>IFERROR(__xludf.DUMMYFUNCTION("""COMPUTED_VALUE"""),27222.0)</f>
        <v>27222</v>
      </c>
      <c r="Q42" s="189">
        <f>IFERROR(__xludf.DUMMYFUNCTION("""COMPUTED_VALUE"""),27528.0)</f>
        <v>27528</v>
      </c>
      <c r="R42" s="189">
        <f>IFERROR(__xludf.DUMMYFUNCTION("""COMPUTED_VALUE"""),27778.0)</f>
        <v>27778</v>
      </c>
      <c r="S42" s="189">
        <f>IFERROR(__xludf.DUMMYFUNCTION("""COMPUTED_VALUE"""),28287.0)</f>
        <v>28287</v>
      </c>
    </row>
    <row r="43">
      <c r="A43" s="186" t="str">
        <f>IFERROR(__xludf.DUMMYFUNCTION("""COMPUTED_VALUE"""),"NORDICS")</f>
        <v>NORDICS</v>
      </c>
      <c r="B43" s="186" t="str">
        <f>IFERROR(__xludf.DUMMYFUNCTION("""COMPUTED_VALUE"""),"W47")</f>
        <v>W47</v>
      </c>
      <c r="C43" s="186">
        <f>IFERROR(__xludf.DUMMYFUNCTION("""COMPUTED_VALUE"""),301.0)</f>
        <v>301</v>
      </c>
      <c r="D43" s="186" t="str">
        <f>IFERROR(__xludf.DUMMYFUNCTION("""COMPUTED_VALUE"""),"CON-00-147877-2")</f>
        <v>CON-00-147877-2</v>
      </c>
      <c r="E43" s="186" t="str">
        <f>IFERROR(__xludf.DUMMYFUNCTION("""COMPUTED_VALUE"""),"Creamy basil risotto with chicken")</f>
        <v>Creamy basil risotto with chicken</v>
      </c>
      <c r="F43" s="186" t="str">
        <f>IFERROR(__xludf.DUMMYFUNCTION("""COMPUTED_VALUE"""),"Cremet basilikumrisotto med kylling")</f>
        <v>Cremet basilikumrisotto med kylling</v>
      </c>
      <c r="G43" s="186" t="str">
        <f>IFERROR(__xludf.DUMMYFUNCTION("""COMPUTED_VALUE"""),"FE4014B")</f>
        <v>FE4014B</v>
      </c>
      <c r="H43" s="186">
        <f>IFERROR(__xludf.DUMMYFUNCTION("""COMPUTED_VALUE"""),565122.0)</f>
        <v>565122</v>
      </c>
      <c r="I43" s="186"/>
      <c r="J43" s="189">
        <f>IFERROR(__xludf.DUMMYFUNCTION("""COMPUTED_VALUE"""),4224.0)</f>
        <v>4224</v>
      </c>
      <c r="K43" s="189">
        <f>IFERROR(__xludf.DUMMYFUNCTION("""COMPUTED_VALUE"""),4224.0)</f>
        <v>4224</v>
      </c>
      <c r="L43" s="189">
        <f>IFERROR(__xludf.DUMMYFUNCTION("""COMPUTED_VALUE"""),3735.0)</f>
        <v>3735</v>
      </c>
      <c r="M43" s="189">
        <f>IFERROR(__xludf.DUMMYFUNCTION("""COMPUTED_VALUE"""),3742.0)</f>
        <v>3742</v>
      </c>
      <c r="N43" s="189">
        <f>IFERROR(__xludf.DUMMYFUNCTION("""COMPUTED_VALUE"""),3691.0)</f>
        <v>3691</v>
      </c>
      <c r="O43" s="189">
        <f>IFERROR(__xludf.DUMMYFUNCTION("""COMPUTED_VALUE"""),3723.0)</f>
        <v>3723</v>
      </c>
      <c r="P43" s="189">
        <f>IFERROR(__xludf.DUMMYFUNCTION("""COMPUTED_VALUE"""),3658.0)</f>
        <v>3658</v>
      </c>
      <c r="Q43" s="189">
        <f>IFERROR(__xludf.DUMMYFUNCTION("""COMPUTED_VALUE"""),3722.0)</f>
        <v>3722</v>
      </c>
      <c r="R43" s="189">
        <f>IFERROR(__xludf.DUMMYFUNCTION("""COMPUTED_VALUE"""),3651.0)</f>
        <v>3651</v>
      </c>
      <c r="S43" s="189">
        <f>IFERROR(__xludf.DUMMYFUNCTION("""COMPUTED_VALUE"""),3452.0)</f>
        <v>3452</v>
      </c>
    </row>
    <row r="44">
      <c r="A44" s="186" t="str">
        <f>IFERROR(__xludf.DUMMYFUNCTION("""COMPUTED_VALUE"""),"NORDICS")</f>
        <v>NORDICS</v>
      </c>
      <c r="B44" s="186" t="str">
        <f>IFERROR(__xludf.DUMMYFUNCTION("""COMPUTED_VALUE"""),"W47")</f>
        <v>W47</v>
      </c>
      <c r="C44" s="186">
        <f>IFERROR(__xludf.DUMMYFUNCTION("""COMPUTED_VALUE"""),302.0)</f>
        <v>302</v>
      </c>
      <c r="D44" s="186" t="str">
        <f>IFERROR(__xludf.DUMMYFUNCTION("""COMPUTED_VALUE"""),"CON-00-147878-2")</f>
        <v>CON-00-147878-2</v>
      </c>
      <c r="E44" s="186" t="str">
        <f>IFERROR(__xludf.DUMMYFUNCTION("""COMPUTED_VALUE"""),"Grilled chicken and ratatouille")</f>
        <v>Grilled chicken and ratatouille</v>
      </c>
      <c r="F44" s="186" t="str">
        <f>IFERROR(__xludf.DUMMYFUNCTION("""COMPUTED_VALUE"""),"Grillet kylling og ratatouille")</f>
        <v>Grillet kylling og ratatouille</v>
      </c>
      <c r="G44" s="186" t="str">
        <f>IFERROR(__xludf.DUMMYFUNCTION("""COMPUTED_VALUE"""),"FE4015A")</f>
        <v>FE4015A</v>
      </c>
      <c r="H44" s="186">
        <f>IFERROR(__xludf.DUMMYFUNCTION("""COMPUTED_VALUE"""),565072.0)</f>
        <v>565072</v>
      </c>
      <c r="I44" s="186" t="str">
        <f>IFERROR(__xludf.DUMMYFUNCTION("""COMPUTED_VALUE"""),"HF Gegrilde kipfilet en ratatouille 429g")</f>
        <v>HF Gegrilde kipfilet en ratatouille 429g</v>
      </c>
      <c r="J44" s="189">
        <f>IFERROR(__xludf.DUMMYFUNCTION("""COMPUTED_VALUE"""),2575.0)</f>
        <v>2575</v>
      </c>
      <c r="K44" s="189">
        <f>IFERROR(__xludf.DUMMYFUNCTION("""COMPUTED_VALUE"""),2575.0)</f>
        <v>2575</v>
      </c>
      <c r="L44" s="189">
        <f>IFERROR(__xludf.DUMMYFUNCTION("""COMPUTED_VALUE"""),2528.0)</f>
        <v>2528</v>
      </c>
      <c r="M44" s="189">
        <f>IFERROR(__xludf.DUMMYFUNCTION("""COMPUTED_VALUE"""),2577.0)</f>
        <v>2577</v>
      </c>
      <c r="N44" s="189">
        <f>IFERROR(__xludf.DUMMYFUNCTION("""COMPUTED_VALUE"""),2548.0)</f>
        <v>2548</v>
      </c>
      <c r="O44" s="189">
        <f>IFERROR(__xludf.DUMMYFUNCTION("""COMPUTED_VALUE"""),2543.0)</f>
        <v>2543</v>
      </c>
      <c r="P44" s="189">
        <f>IFERROR(__xludf.DUMMYFUNCTION("""COMPUTED_VALUE"""),2459.0)</f>
        <v>2459</v>
      </c>
      <c r="Q44" s="189">
        <f>IFERROR(__xludf.DUMMYFUNCTION("""COMPUTED_VALUE"""),2461.0)</f>
        <v>2461</v>
      </c>
      <c r="R44" s="189">
        <f>IFERROR(__xludf.DUMMYFUNCTION("""COMPUTED_VALUE"""),2384.0)</f>
        <v>2384</v>
      </c>
      <c r="S44" s="189">
        <f>IFERROR(__xludf.DUMMYFUNCTION("""COMPUTED_VALUE"""),2259.0)</f>
        <v>2259</v>
      </c>
    </row>
    <row r="45">
      <c r="A45" s="186" t="str">
        <f>IFERROR(__xludf.DUMMYFUNCTION("""COMPUTED_VALUE"""),"NORDICS")</f>
        <v>NORDICS</v>
      </c>
      <c r="B45" s="186" t="str">
        <f>IFERROR(__xludf.DUMMYFUNCTION("""COMPUTED_VALUE"""),"W47")</f>
        <v>W47</v>
      </c>
      <c r="C45" s="186">
        <f>IFERROR(__xludf.DUMMYFUNCTION("""COMPUTED_VALUE"""),303.0)</f>
        <v>303</v>
      </c>
      <c r="D45" s="186" t="str">
        <f>IFERROR(__xludf.DUMMYFUNCTION("""COMPUTED_VALUE"""),"CON-00-147857-2")</f>
        <v>CON-00-147857-2</v>
      </c>
      <c r="E45" s="186" t="str">
        <f>IFERROR(__xludf.DUMMYFUNCTION("""COMPUTED_VALUE"""),"Spicy ground beef with jalapenos")</f>
        <v>Spicy ground beef with jalapenos</v>
      </c>
      <c r="F45" s="186" t="str">
        <f>IFERROR(__xludf.DUMMYFUNCTION("""COMPUTED_VALUE"""),"Krydret hakket oksekød med jalapenos")</f>
        <v>Krydret hakket oksekød med jalapenos</v>
      </c>
      <c r="G45" s="186" t="str">
        <f>IFERROR(__xludf.DUMMYFUNCTION("""COMPUTED_VALUE"""),"FE0746A")</f>
        <v>FE0746A</v>
      </c>
      <c r="H45" s="186">
        <f>IFERROR(__xludf.DUMMYFUNCTION("""COMPUTED_VALUE"""),565091.0)</f>
        <v>565091</v>
      </c>
      <c r="I45" s="186" t="str">
        <f>IFERROR(__xludf.DUMMYFUNCTION("""COMPUTED_VALUE"""),"HF Beef burrito bowl")</f>
        <v>HF Beef burrito bowl</v>
      </c>
      <c r="J45" s="189">
        <f>IFERROR(__xludf.DUMMYFUNCTION("""COMPUTED_VALUE"""),2614.0)</f>
        <v>2614</v>
      </c>
      <c r="K45" s="189">
        <f>IFERROR(__xludf.DUMMYFUNCTION("""COMPUTED_VALUE"""),2614.0)</f>
        <v>2614</v>
      </c>
      <c r="L45" s="189">
        <f>IFERROR(__xludf.DUMMYFUNCTION("""COMPUTED_VALUE"""),2064.0)</f>
        <v>2064</v>
      </c>
      <c r="M45" s="189">
        <f>IFERROR(__xludf.DUMMYFUNCTION("""COMPUTED_VALUE"""),2054.0)</f>
        <v>2054</v>
      </c>
      <c r="N45" s="189">
        <f>IFERROR(__xludf.DUMMYFUNCTION("""COMPUTED_VALUE"""),2054.0)</f>
        <v>2054</v>
      </c>
      <c r="O45" s="189">
        <f>IFERROR(__xludf.DUMMYFUNCTION("""COMPUTED_VALUE"""),2089.0)</f>
        <v>2089</v>
      </c>
      <c r="P45" s="189">
        <f>IFERROR(__xludf.DUMMYFUNCTION("""COMPUTED_VALUE"""),2058.0)</f>
        <v>2058</v>
      </c>
      <c r="Q45" s="189">
        <f>IFERROR(__xludf.DUMMYFUNCTION("""COMPUTED_VALUE"""),2094.0)</f>
        <v>2094</v>
      </c>
      <c r="R45" s="189">
        <f>IFERROR(__xludf.DUMMYFUNCTION("""COMPUTED_VALUE"""),2030.0)</f>
        <v>2030</v>
      </c>
      <c r="S45" s="189">
        <f>IFERROR(__xludf.DUMMYFUNCTION("""COMPUTED_VALUE"""),1920.0)</f>
        <v>1920</v>
      </c>
    </row>
    <row r="46">
      <c r="A46" s="186" t="str">
        <f>IFERROR(__xludf.DUMMYFUNCTION("""COMPUTED_VALUE"""),"NORDICS")</f>
        <v>NORDICS</v>
      </c>
      <c r="B46" s="186" t="str">
        <f>IFERROR(__xludf.DUMMYFUNCTION("""COMPUTED_VALUE"""),"W47")</f>
        <v>W47</v>
      </c>
      <c r="C46" s="186">
        <f>IFERROR(__xludf.DUMMYFUNCTION("""COMPUTED_VALUE"""),304.0)</f>
        <v>304</v>
      </c>
      <c r="D46" s="186" t="str">
        <f>IFERROR(__xludf.DUMMYFUNCTION("""COMPUTED_VALUE"""),"CON-00-147894-2")</f>
        <v>CON-00-147894-2</v>
      </c>
      <c r="E46" s="186" t="str">
        <f>IFERROR(__xludf.DUMMYFUNCTION("""COMPUTED_VALUE"""),"Chicken in mushroom sauce")</f>
        <v>Chicken in mushroom sauce</v>
      </c>
      <c r="F46" s="186" t="str">
        <f>IFERROR(__xludf.DUMMYFUNCTION("""COMPUTED_VALUE"""),"Kylling i svampesauce     ")</f>
        <v>Kylling i svampesauce     </v>
      </c>
      <c r="G46" s="186" t="str">
        <f>IFERROR(__xludf.DUMMYFUNCTION("""COMPUTED_VALUE"""),"FE4038B")</f>
        <v>FE4038B</v>
      </c>
      <c r="H46" s="186">
        <f>IFERROR(__xludf.DUMMYFUNCTION("""COMPUTED_VALUE"""),565160.0)</f>
        <v>565160</v>
      </c>
      <c r="I46" s="186"/>
      <c r="J46" s="189">
        <f>IFERROR(__xludf.DUMMYFUNCTION("""COMPUTED_VALUE"""),3843.0)</f>
        <v>3843</v>
      </c>
      <c r="K46" s="189">
        <f>IFERROR(__xludf.DUMMYFUNCTION("""COMPUTED_VALUE"""),3843.0)</f>
        <v>3843</v>
      </c>
      <c r="L46" s="189">
        <f>IFERROR(__xludf.DUMMYFUNCTION("""COMPUTED_VALUE"""),3476.0)</f>
        <v>3476</v>
      </c>
      <c r="M46" s="189">
        <f>IFERROR(__xludf.DUMMYFUNCTION("""COMPUTED_VALUE"""),3606.0)</f>
        <v>3606</v>
      </c>
      <c r="N46" s="189">
        <f>IFERROR(__xludf.DUMMYFUNCTION("""COMPUTED_VALUE"""),3540.0)</f>
        <v>3540</v>
      </c>
      <c r="O46" s="189">
        <f>IFERROR(__xludf.DUMMYFUNCTION("""COMPUTED_VALUE"""),3555.0)</f>
        <v>3555</v>
      </c>
      <c r="P46" s="189">
        <f>IFERROR(__xludf.DUMMYFUNCTION("""COMPUTED_VALUE"""),3466.0)</f>
        <v>3466</v>
      </c>
      <c r="Q46" s="189">
        <f>IFERROR(__xludf.DUMMYFUNCTION("""COMPUTED_VALUE"""),3541.0)</f>
        <v>3541</v>
      </c>
      <c r="R46" s="189">
        <f>IFERROR(__xludf.DUMMYFUNCTION("""COMPUTED_VALUE"""),3427.0)</f>
        <v>3427</v>
      </c>
      <c r="S46" s="189">
        <f>IFERROR(__xludf.DUMMYFUNCTION("""COMPUTED_VALUE"""),3248.0)</f>
        <v>3248</v>
      </c>
    </row>
    <row r="47">
      <c r="A47" s="186" t="str">
        <f>IFERROR(__xludf.DUMMYFUNCTION("""COMPUTED_VALUE"""),"NORDICS")</f>
        <v>NORDICS</v>
      </c>
      <c r="B47" s="186" t="str">
        <f>IFERROR(__xludf.DUMMYFUNCTION("""COMPUTED_VALUE"""),"W47")</f>
        <v>W47</v>
      </c>
      <c r="C47" s="186">
        <f>IFERROR(__xludf.DUMMYFUNCTION("""COMPUTED_VALUE"""),305.0)</f>
        <v>305</v>
      </c>
      <c r="D47" s="186" t="str">
        <f>IFERROR(__xludf.DUMMYFUNCTION("""COMPUTED_VALUE"""),"CON-00-147827-2")</f>
        <v>CON-00-147827-2</v>
      </c>
      <c r="E47" s="186" t="str">
        <f>IFERROR(__xludf.DUMMYFUNCTION("""COMPUTED_VALUE"""),"Chicken à la Florentine")</f>
        <v>Chicken à la Florentine</v>
      </c>
      <c r="F47" s="186" t="str">
        <f>IFERROR(__xludf.DUMMYFUNCTION("""COMPUTED_VALUE"""),"Kylling à la Florentine")</f>
        <v>Kylling à la Florentine</v>
      </c>
      <c r="G47" s="186" t="str">
        <f>IFERROR(__xludf.DUMMYFUNCTION("""COMPUTED_VALUE"""),"FE0224C")</f>
        <v>FE0224C</v>
      </c>
      <c r="H47" s="186">
        <f>IFERROR(__xludf.DUMMYFUNCTION("""COMPUTED_VALUE"""),565047.0)</f>
        <v>565047</v>
      </c>
      <c r="I47" s="186" t="str">
        <f>IFERROR(__xludf.DUMMYFUNCTION("""COMPUTED_VALUE"""),"HF Kip Florentine 404g")</f>
        <v>HF Kip Florentine 404g</v>
      </c>
      <c r="J47" s="189">
        <f>IFERROR(__xludf.DUMMYFUNCTION("""COMPUTED_VALUE"""),3159.0)</f>
        <v>3159</v>
      </c>
      <c r="K47" s="189">
        <f>IFERROR(__xludf.DUMMYFUNCTION("""COMPUTED_VALUE"""),3159.0)</f>
        <v>3159</v>
      </c>
      <c r="L47" s="189">
        <f>IFERROR(__xludf.DUMMYFUNCTION("""COMPUTED_VALUE"""),3101.0)</f>
        <v>3101</v>
      </c>
      <c r="M47" s="189">
        <f>IFERROR(__xludf.DUMMYFUNCTION("""COMPUTED_VALUE"""),3170.0)</f>
        <v>3170</v>
      </c>
      <c r="N47" s="189">
        <f>IFERROR(__xludf.DUMMYFUNCTION("""COMPUTED_VALUE"""),3160.0)</f>
        <v>3160</v>
      </c>
      <c r="O47" s="189">
        <f>IFERROR(__xludf.DUMMYFUNCTION("""COMPUTED_VALUE"""),3209.0)</f>
        <v>3209</v>
      </c>
      <c r="P47" s="189">
        <f>IFERROR(__xludf.DUMMYFUNCTION("""COMPUTED_VALUE"""),3078.0)</f>
        <v>3078</v>
      </c>
      <c r="Q47" s="189">
        <f>IFERROR(__xludf.DUMMYFUNCTION("""COMPUTED_VALUE"""),3146.0)</f>
        <v>3146</v>
      </c>
      <c r="R47" s="189">
        <f>IFERROR(__xludf.DUMMYFUNCTION("""COMPUTED_VALUE"""),2998.0)</f>
        <v>2998</v>
      </c>
      <c r="S47" s="189">
        <f>IFERROR(__xludf.DUMMYFUNCTION("""COMPUTED_VALUE"""),2841.0)</f>
        <v>2841</v>
      </c>
    </row>
    <row r="48">
      <c r="A48" s="186" t="str">
        <f>IFERROR(__xludf.DUMMYFUNCTION("""COMPUTED_VALUE"""),"NORDICS")</f>
        <v>NORDICS</v>
      </c>
      <c r="B48" s="186" t="str">
        <f>IFERROR(__xludf.DUMMYFUNCTION("""COMPUTED_VALUE"""),"W47")</f>
        <v>W47</v>
      </c>
      <c r="C48" s="186">
        <f>IFERROR(__xludf.DUMMYFUNCTION("""COMPUTED_VALUE"""),306.0)</f>
        <v>306</v>
      </c>
      <c r="D48" s="186" t="str">
        <f>IFERROR(__xludf.DUMMYFUNCTION("""COMPUTED_VALUE"""),"CON-00-147811-2")</f>
        <v>CON-00-147811-2</v>
      </c>
      <c r="E48" s="186" t="str">
        <f>IFERROR(__xludf.DUMMYFUNCTION("""COMPUTED_VALUE"""),"Chicken in lemon-capers sauce")</f>
        <v>Chicken in lemon-capers sauce</v>
      </c>
      <c r="F48" s="186" t="str">
        <f>IFERROR(__xludf.DUMMYFUNCTION("""COMPUTED_VALUE"""),"Kylling i citron- og kaperssauce")</f>
        <v>Kylling i citron- og kaperssauce</v>
      </c>
      <c r="G48" s="186" t="str">
        <f>IFERROR(__xludf.DUMMYFUNCTION("""COMPUTED_VALUE"""),"FE0025M")</f>
        <v>FE0025M</v>
      </c>
      <c r="H48" s="186">
        <f>IFERROR(__xludf.DUMMYFUNCTION("""COMPUTED_VALUE"""),565149.0)</f>
        <v>565149</v>
      </c>
      <c r="I48" s="186" t="str">
        <f>IFERROR(__xludf.DUMMYFUNCTION("""COMPUTED_VALUE"""),"HF Kip Piccata met broccoli")</f>
        <v>HF Kip Piccata met broccoli</v>
      </c>
      <c r="J48" s="189">
        <f>IFERROR(__xludf.DUMMYFUNCTION("""COMPUTED_VALUE"""),2043.0)</f>
        <v>2043</v>
      </c>
      <c r="K48" s="189">
        <f>IFERROR(__xludf.DUMMYFUNCTION("""COMPUTED_VALUE"""),2043.0)</f>
        <v>2043</v>
      </c>
      <c r="L48" s="189">
        <f>IFERROR(__xludf.DUMMYFUNCTION("""COMPUTED_VALUE"""),1587.0)</f>
        <v>1587</v>
      </c>
      <c r="M48" s="189">
        <f>IFERROR(__xludf.DUMMYFUNCTION("""COMPUTED_VALUE"""),1738.0)</f>
        <v>1738</v>
      </c>
      <c r="N48" s="189">
        <f>IFERROR(__xludf.DUMMYFUNCTION("""COMPUTED_VALUE"""),1735.0)</f>
        <v>1735</v>
      </c>
      <c r="O48" s="189">
        <f>IFERROR(__xludf.DUMMYFUNCTION("""COMPUTED_VALUE"""),1731.0)</f>
        <v>1731</v>
      </c>
      <c r="P48" s="189">
        <f>IFERROR(__xludf.DUMMYFUNCTION("""COMPUTED_VALUE"""),1713.0)</f>
        <v>1713</v>
      </c>
      <c r="Q48" s="189">
        <f>IFERROR(__xludf.DUMMYFUNCTION("""COMPUTED_VALUE"""),1714.0)</f>
        <v>1714</v>
      </c>
      <c r="R48" s="189">
        <f>IFERROR(__xludf.DUMMYFUNCTION("""COMPUTED_VALUE"""),1590.0)</f>
        <v>1590</v>
      </c>
      <c r="S48" s="189">
        <f>IFERROR(__xludf.DUMMYFUNCTION("""COMPUTED_VALUE"""),1499.0)</f>
        <v>1499</v>
      </c>
    </row>
    <row r="49">
      <c r="A49" s="186" t="str">
        <f>IFERROR(__xludf.DUMMYFUNCTION("""COMPUTED_VALUE"""),"NORDICS")</f>
        <v>NORDICS</v>
      </c>
      <c r="B49" s="186" t="str">
        <f>IFERROR(__xludf.DUMMYFUNCTION("""COMPUTED_VALUE"""),"W47")</f>
        <v>W47</v>
      </c>
      <c r="C49" s="186">
        <f>IFERROR(__xludf.DUMMYFUNCTION("""COMPUTED_VALUE"""),307.0)</f>
        <v>307</v>
      </c>
      <c r="D49" s="186" t="str">
        <f>IFERROR(__xludf.DUMMYFUNCTION("""COMPUTED_VALUE"""),"CON-00-147881-2")</f>
        <v>CON-00-147881-2</v>
      </c>
      <c r="E49" s="186" t="str">
        <f>IFERROR(__xludf.DUMMYFUNCTION("""COMPUTED_VALUE"""),"Grilled pork tenderloin with broccoli in peppersauce")</f>
        <v>Grilled pork tenderloin with broccoli in peppersauce</v>
      </c>
      <c r="F49" s="186" t="str">
        <f>IFERROR(__xludf.DUMMYFUNCTION("""COMPUTED_VALUE"""),"Grillet svinemørbrad med broccoli i pebersauce")</f>
        <v>Grillet svinemørbrad med broccoli i pebersauce</v>
      </c>
      <c r="G49" s="186" t="str">
        <f>IFERROR(__xludf.DUMMYFUNCTION("""COMPUTED_VALUE"""),"FE4020A")</f>
        <v>FE4020A</v>
      </c>
      <c r="H49" s="186">
        <f>IFERROR(__xludf.DUMMYFUNCTION("""COMPUTED_VALUE"""),565071.0)</f>
        <v>565071</v>
      </c>
      <c r="I49" s="186" t="str">
        <f>IFERROR(__xludf.DUMMYFUNCTION("""COMPUTED_VALUE"""),"HF Gegrilde varkenshaas met broccoli in paprikasaus")</f>
        <v>HF Gegrilde varkenshaas met broccoli in paprikasaus</v>
      </c>
      <c r="J49" s="189">
        <f>IFERROR(__xludf.DUMMYFUNCTION("""COMPUTED_VALUE"""),1463.0)</f>
        <v>1463</v>
      </c>
      <c r="K49" s="189">
        <f>IFERROR(__xludf.DUMMYFUNCTION("""COMPUTED_VALUE"""),1463.0)</f>
        <v>1463</v>
      </c>
      <c r="L49" s="189">
        <f>IFERROR(__xludf.DUMMYFUNCTION("""COMPUTED_VALUE"""),1400.0)</f>
        <v>1400</v>
      </c>
      <c r="M49" s="189">
        <f>IFERROR(__xludf.DUMMYFUNCTION("""COMPUTED_VALUE"""),1479.0)</f>
        <v>1479</v>
      </c>
      <c r="N49" s="189">
        <f>IFERROR(__xludf.DUMMYFUNCTION("""COMPUTED_VALUE"""),1527.0)</f>
        <v>1527</v>
      </c>
      <c r="O49" s="189">
        <f>IFERROR(__xludf.DUMMYFUNCTION("""COMPUTED_VALUE"""),1567.0)</f>
        <v>1567</v>
      </c>
      <c r="P49" s="189">
        <f>IFERROR(__xludf.DUMMYFUNCTION("""COMPUTED_VALUE"""),1524.0)</f>
        <v>1524</v>
      </c>
      <c r="Q49" s="189">
        <f>IFERROR(__xludf.DUMMYFUNCTION("""COMPUTED_VALUE"""),1543.0)</f>
        <v>1543</v>
      </c>
      <c r="R49" s="189">
        <f>IFERROR(__xludf.DUMMYFUNCTION("""COMPUTED_VALUE"""),1457.0)</f>
        <v>1457</v>
      </c>
      <c r="S49" s="189">
        <f>IFERROR(__xludf.DUMMYFUNCTION("""COMPUTED_VALUE"""),1398.0)</f>
        <v>1398</v>
      </c>
    </row>
    <row r="50">
      <c r="A50" s="186" t="str">
        <f>IFERROR(__xludf.DUMMYFUNCTION("""COMPUTED_VALUE"""),"NORDICS")</f>
        <v>NORDICS</v>
      </c>
      <c r="B50" s="186" t="str">
        <f>IFERROR(__xludf.DUMMYFUNCTION("""COMPUTED_VALUE"""),"W47")</f>
        <v>W47</v>
      </c>
      <c r="C50" s="186">
        <f>IFERROR(__xludf.DUMMYFUNCTION("""COMPUTED_VALUE"""),308.0)</f>
        <v>308</v>
      </c>
      <c r="D50" s="186"/>
      <c r="E50" s="186"/>
      <c r="F50" s="186"/>
      <c r="G50" s="186" t="str">
        <f>IFERROR(__xludf.DUMMYFUNCTION("""COMPUTED_VALUE"""),"FE0035E")</f>
        <v>FE0035E</v>
      </c>
      <c r="H50" s="186" t="str">
        <f>IFERROR(__xludf.DUMMYFUNCTION("""COMPUTED_VALUE"""),"NO565022")</f>
        <v>NO565022</v>
      </c>
      <c r="I50" s="186" t="str">
        <f>IFERROR(__xludf.DUMMYFUNCTION("""COMPUTED_VALUE"""),"HF Zalm met pesto 361g")</f>
        <v>HF Zalm met pesto 361g</v>
      </c>
      <c r="J50" s="189">
        <f>IFERROR(__xludf.DUMMYFUNCTION("""COMPUTED_VALUE"""),2037.0)</f>
        <v>2037</v>
      </c>
      <c r="K50" s="189">
        <f>IFERROR(__xludf.DUMMYFUNCTION("""COMPUTED_VALUE"""),2037.0)</f>
        <v>2037</v>
      </c>
      <c r="L50" s="189">
        <f>IFERROR(__xludf.DUMMYFUNCTION("""COMPUTED_VALUE"""),1302.0)</f>
        <v>1302</v>
      </c>
      <c r="M50" s="189">
        <f>IFERROR(__xludf.DUMMYFUNCTION("""COMPUTED_VALUE"""),1469.0)</f>
        <v>1469</v>
      </c>
      <c r="N50" s="189">
        <f>IFERROR(__xludf.DUMMYFUNCTION("""COMPUTED_VALUE"""),1417.0)</f>
        <v>1417</v>
      </c>
      <c r="O50" s="189">
        <f>IFERROR(__xludf.DUMMYFUNCTION("""COMPUTED_VALUE"""),1423.0)</f>
        <v>1423</v>
      </c>
      <c r="P50" s="189">
        <f>IFERROR(__xludf.DUMMYFUNCTION("""COMPUTED_VALUE"""),1393.0)</f>
        <v>1393</v>
      </c>
      <c r="Q50" s="189">
        <f>IFERROR(__xludf.DUMMYFUNCTION("""COMPUTED_VALUE"""),1449.0)</f>
        <v>1449</v>
      </c>
      <c r="R50" s="189">
        <f>IFERROR(__xludf.DUMMYFUNCTION("""COMPUTED_VALUE"""),1360.0)</f>
        <v>1360</v>
      </c>
      <c r="S50" s="189">
        <f>IFERROR(__xludf.DUMMYFUNCTION("""COMPUTED_VALUE"""),1310.0)</f>
        <v>1310</v>
      </c>
    </row>
    <row r="51">
      <c r="A51" s="186" t="str">
        <f>IFERROR(__xludf.DUMMYFUNCTION("""COMPUTED_VALUE"""),"NORDICS")</f>
        <v>NORDICS</v>
      </c>
      <c r="B51" s="186" t="str">
        <f>IFERROR(__xludf.DUMMYFUNCTION("""COMPUTED_VALUE"""),"W47")</f>
        <v>W47</v>
      </c>
      <c r="C51" s="186">
        <f>IFERROR(__xludf.DUMMYFUNCTION("""COMPUTED_VALUE"""),309.0)</f>
        <v>309</v>
      </c>
      <c r="D51" s="186" t="str">
        <f>IFERROR(__xludf.DUMMYFUNCTION("""COMPUTED_VALUE"""),"CON-00-147817-2")</f>
        <v>CON-00-147817-2</v>
      </c>
      <c r="E51" s="186" t="str">
        <f>IFERROR(__xludf.DUMMYFUNCTION("""COMPUTED_VALUE"""),"Ratatouille of zucchini and pepper")</f>
        <v>Ratatouille of zucchini and pepper</v>
      </c>
      <c r="F51" s="186" t="str">
        <f>IFERROR(__xludf.DUMMYFUNCTION("""COMPUTED_VALUE"""),"Squash- og peberfrugtsratatouille")</f>
        <v>Squash- og peberfrugtsratatouille</v>
      </c>
      <c r="G51" s="186" t="str">
        <f>IFERROR(__xludf.DUMMYFUNCTION("""COMPUTED_VALUE"""),"FE0090C")</f>
        <v>FE0090C</v>
      </c>
      <c r="H51" s="186">
        <f>IFERROR(__xludf.DUMMYFUNCTION("""COMPUTED_VALUE"""),565141.0)</f>
        <v>565141</v>
      </c>
      <c r="I51" s="186"/>
      <c r="J51" s="186">
        <f>IFERROR(__xludf.DUMMYFUNCTION("""COMPUTED_VALUE"""),379.0)</f>
        <v>379</v>
      </c>
      <c r="K51" s="186">
        <f>IFERROR(__xludf.DUMMYFUNCTION("""COMPUTED_VALUE"""),379.0)</f>
        <v>379</v>
      </c>
      <c r="L51" s="186">
        <f>IFERROR(__xludf.DUMMYFUNCTION("""COMPUTED_VALUE"""),399.0)</f>
        <v>399</v>
      </c>
      <c r="M51" s="186">
        <f>IFERROR(__xludf.DUMMYFUNCTION("""COMPUTED_VALUE"""),305.0)</f>
        <v>305</v>
      </c>
      <c r="N51" s="186">
        <f>IFERROR(__xludf.DUMMYFUNCTION("""COMPUTED_VALUE"""),279.0)</f>
        <v>279</v>
      </c>
      <c r="O51" s="186">
        <f>IFERROR(__xludf.DUMMYFUNCTION("""COMPUTED_VALUE"""),274.0)</f>
        <v>274</v>
      </c>
      <c r="P51" s="186">
        <f>IFERROR(__xludf.DUMMYFUNCTION("""COMPUTED_VALUE"""),259.0)</f>
        <v>259</v>
      </c>
      <c r="Q51" s="186">
        <f>IFERROR(__xludf.DUMMYFUNCTION("""COMPUTED_VALUE"""),275.0)</f>
        <v>275</v>
      </c>
      <c r="R51" s="186">
        <f>IFERROR(__xludf.DUMMYFUNCTION("""COMPUTED_VALUE"""),259.0)</f>
        <v>259</v>
      </c>
      <c r="S51" s="189">
        <f>IFERROR(__xludf.DUMMYFUNCTION("""COMPUTED_VALUE"""),255.0)</f>
        <v>255</v>
      </c>
    </row>
    <row r="52">
      <c r="A52" s="186" t="str">
        <f>IFERROR(__xludf.DUMMYFUNCTION("""COMPUTED_VALUE"""),"NORDICS")</f>
        <v>NORDICS</v>
      </c>
      <c r="B52" s="186" t="str">
        <f>IFERROR(__xludf.DUMMYFUNCTION("""COMPUTED_VALUE"""),"W47")</f>
        <v>W47</v>
      </c>
      <c r="C52" s="186">
        <f>IFERROR(__xludf.DUMMYFUNCTION("""COMPUTED_VALUE"""),310.0)</f>
        <v>310</v>
      </c>
      <c r="D52" s="186" t="str">
        <f>IFERROR(__xludf.DUMMYFUNCTION("""COMPUTED_VALUE"""),"CON-00-147863-2")</f>
        <v>CON-00-147863-2</v>
      </c>
      <c r="E52" s="186" t="str">
        <f>IFERROR(__xludf.DUMMYFUNCTION("""COMPUTED_VALUE"""),"Vegetarian stew with white beans")</f>
        <v>Vegetarian stew with white beans</v>
      </c>
      <c r="F52" s="186" t="str">
        <f>IFERROR(__xludf.DUMMYFUNCTION("""COMPUTED_VALUE"""),"Vegetarisk gryderet med hvide bønner")</f>
        <v>Vegetarisk gryderet med hvide bønner</v>
      </c>
      <c r="G52" s="186" t="str">
        <f>IFERROR(__xludf.DUMMYFUNCTION("""COMPUTED_VALUE"""),"FE0935A")</f>
        <v>FE0935A</v>
      </c>
      <c r="H52" s="186">
        <f>IFERROR(__xludf.DUMMYFUNCTION("""COMPUTED_VALUE"""),565065.0)</f>
        <v>565065</v>
      </c>
      <c r="I52" s="186" t="str">
        <f>IFERROR(__xludf.DUMMYFUNCTION("""COMPUTED_VALUE"""),"HF Vegetarische stoof met witte bonen 404g")</f>
        <v>HF Vegetarische stoof met witte bonen 404g</v>
      </c>
      <c r="J52" s="186">
        <f>IFERROR(__xludf.DUMMYFUNCTION("""COMPUTED_VALUE"""),396.0)</f>
        <v>396</v>
      </c>
      <c r="K52" s="186">
        <f>IFERROR(__xludf.DUMMYFUNCTION("""COMPUTED_VALUE"""),396.0)</f>
        <v>396</v>
      </c>
      <c r="L52" s="186">
        <f>IFERROR(__xludf.DUMMYFUNCTION("""COMPUTED_VALUE"""),522.0)</f>
        <v>522</v>
      </c>
      <c r="M52" s="186">
        <f>IFERROR(__xludf.DUMMYFUNCTION("""COMPUTED_VALUE"""),390.0)</f>
        <v>390</v>
      </c>
      <c r="N52" s="186">
        <f>IFERROR(__xludf.DUMMYFUNCTION("""COMPUTED_VALUE"""),349.0)</f>
        <v>349</v>
      </c>
      <c r="O52" s="186">
        <f>IFERROR(__xludf.DUMMYFUNCTION("""COMPUTED_VALUE"""),385.0)</f>
        <v>385</v>
      </c>
      <c r="P52" s="186">
        <f>IFERROR(__xludf.DUMMYFUNCTION("""COMPUTED_VALUE"""),366.0)</f>
        <v>366</v>
      </c>
      <c r="Q52" s="186">
        <f>IFERROR(__xludf.DUMMYFUNCTION("""COMPUTED_VALUE"""),361.0)</f>
        <v>361</v>
      </c>
      <c r="R52" s="186">
        <f>IFERROR(__xludf.DUMMYFUNCTION("""COMPUTED_VALUE"""),351.0)</f>
        <v>351</v>
      </c>
      <c r="S52" s="186">
        <f>IFERROR(__xludf.DUMMYFUNCTION("""COMPUTED_VALUE"""),349.0)</f>
        <v>349</v>
      </c>
    </row>
    <row r="53">
      <c r="A53" s="186" t="str">
        <f>IFERROR(__xludf.DUMMYFUNCTION("""COMPUTED_VALUE"""),"NORDICS")</f>
        <v>NORDICS</v>
      </c>
      <c r="B53" s="186" t="str">
        <f>IFERROR(__xludf.DUMMYFUNCTION("""COMPUTED_VALUE"""),"W47")</f>
        <v>W47</v>
      </c>
      <c r="C53" s="186">
        <f>IFERROR(__xludf.DUMMYFUNCTION("""COMPUTED_VALUE"""),311.0)</f>
        <v>311</v>
      </c>
      <c r="D53" s="186" t="str">
        <f>IFERROR(__xludf.DUMMYFUNCTION("""COMPUTED_VALUE"""),"CON-00-147903-2")</f>
        <v>CON-00-147903-2</v>
      </c>
      <c r="E53" s="186" t="str">
        <f>IFERROR(__xludf.DUMMYFUNCTION("""COMPUTED_VALUE"""),"Beef &amp; black bean bowl")</f>
        <v>Beef &amp; black bean bowl</v>
      </c>
      <c r="F53" s="186" t="str">
        <f>IFERROR(__xludf.DUMMYFUNCTION("""COMPUTED_VALUE"""),"Bowl med oksekød og sorte bønner")</f>
        <v>Bowl med oksekød og sorte bønner</v>
      </c>
      <c r="G53" s="186" t="str">
        <f>IFERROR(__xludf.DUMMYFUNCTION("""COMPUTED_VALUE"""),"FE4050A")</f>
        <v>FE4050A</v>
      </c>
      <c r="H53" s="186">
        <f>IFERROR(__xludf.DUMMYFUNCTION("""COMPUTED_VALUE"""),565125.0)</f>
        <v>565125</v>
      </c>
      <c r="I53" s="186" t="str">
        <f>IFERROR(__xludf.DUMMYFUNCTION("""COMPUTED_VALUE"""),"HF Gehakt en zwarte bonen bowl")</f>
        <v>HF Gehakt en zwarte bonen bowl</v>
      </c>
      <c r="J53" s="189">
        <f>IFERROR(__xludf.DUMMYFUNCTION("""COMPUTED_VALUE"""),845.0)</f>
        <v>845</v>
      </c>
      <c r="K53" s="189">
        <f>IFERROR(__xludf.DUMMYFUNCTION("""COMPUTED_VALUE"""),845.0)</f>
        <v>845</v>
      </c>
      <c r="L53" s="186">
        <f>IFERROR(__xludf.DUMMYFUNCTION("""COMPUTED_VALUE"""),611.0)</f>
        <v>611</v>
      </c>
      <c r="M53" s="189">
        <f>IFERROR(__xludf.DUMMYFUNCTION("""COMPUTED_VALUE"""),533.0)</f>
        <v>533</v>
      </c>
      <c r="N53" s="189">
        <f>IFERROR(__xludf.DUMMYFUNCTION("""COMPUTED_VALUE"""),541.0)</f>
        <v>541</v>
      </c>
      <c r="O53" s="186">
        <f>IFERROR(__xludf.DUMMYFUNCTION("""COMPUTED_VALUE"""),593.0)</f>
        <v>593</v>
      </c>
      <c r="P53" s="186">
        <f>IFERROR(__xludf.DUMMYFUNCTION("""COMPUTED_VALUE"""),603.0)</f>
        <v>603</v>
      </c>
      <c r="Q53" s="186">
        <f>IFERROR(__xludf.DUMMYFUNCTION("""COMPUTED_VALUE"""),609.0)</f>
        <v>609</v>
      </c>
      <c r="R53" s="186">
        <f>IFERROR(__xludf.DUMMYFUNCTION("""COMPUTED_VALUE"""),586.0)</f>
        <v>586</v>
      </c>
      <c r="S53" s="189">
        <f>IFERROR(__xludf.DUMMYFUNCTION("""COMPUTED_VALUE"""),578.0)</f>
        <v>578</v>
      </c>
    </row>
    <row r="54">
      <c r="A54" s="186" t="str">
        <f>IFERROR(__xludf.DUMMYFUNCTION("""COMPUTED_VALUE"""),"NORDICS")</f>
        <v>NORDICS</v>
      </c>
      <c r="B54" s="186" t="str">
        <f>IFERROR(__xludf.DUMMYFUNCTION("""COMPUTED_VALUE"""),"W47")</f>
        <v>W47</v>
      </c>
      <c r="C54" s="186">
        <f>IFERROR(__xludf.DUMMYFUNCTION("""COMPUTED_VALUE"""),312.0)</f>
        <v>312</v>
      </c>
      <c r="D54" s="186" t="str">
        <f>IFERROR(__xludf.DUMMYFUNCTION("""COMPUTED_VALUE"""),"CON-00-151098-2")</f>
        <v>CON-00-151098-2</v>
      </c>
      <c r="E54" s="186" t="str">
        <f>IFERROR(__xludf.DUMMYFUNCTION("""COMPUTED_VALUE"""),"Roasted Salmon &amp; Dill Yogurt")</f>
        <v>Roasted Salmon &amp; Dill Yogurt</v>
      </c>
      <c r="F54" s="186" t="str">
        <f>IFERROR(__xludf.DUMMYFUNCTION("""COMPUTED_VALUE"""),"Ovnbagt laks med dild-yoghurtsauce")</f>
        <v>Ovnbagt laks med dild-yoghurtsauce</v>
      </c>
      <c r="G54" s="186" t="str">
        <f>IFERROR(__xludf.DUMMYFUNCTION("""COMPUTED_VALUE"""),"FE1145B")</f>
        <v>FE1145B</v>
      </c>
      <c r="H54" s="186">
        <f>IFERROR(__xludf.DUMMYFUNCTION("""COMPUTED_VALUE"""),565206.0)</f>
        <v>565206</v>
      </c>
      <c r="I54" s="186" t="str">
        <f>IFERROR(__xludf.DUMMYFUNCTION("""COMPUTED_VALUE"""),"#N/A")</f>
        <v>#N/A</v>
      </c>
      <c r="J54" s="189">
        <f>IFERROR(__xludf.DUMMYFUNCTION("""COMPUTED_VALUE"""),1553.0)</f>
        <v>1553</v>
      </c>
      <c r="K54" s="189">
        <f>IFERROR(__xludf.DUMMYFUNCTION("""COMPUTED_VALUE"""),1553.0)</f>
        <v>1553</v>
      </c>
      <c r="L54" s="189">
        <f>IFERROR(__xludf.DUMMYFUNCTION("""COMPUTED_VALUE"""),1597.0)</f>
        <v>1597</v>
      </c>
      <c r="M54" s="189">
        <f>IFERROR(__xludf.DUMMYFUNCTION("""COMPUTED_VALUE"""),1494.0)</f>
        <v>1494</v>
      </c>
      <c r="N54" s="189">
        <f>IFERROR(__xludf.DUMMYFUNCTION("""COMPUTED_VALUE"""),1454.0)</f>
        <v>1454</v>
      </c>
      <c r="O54" s="189">
        <f>IFERROR(__xludf.DUMMYFUNCTION("""COMPUTED_VALUE"""),1518.0)</f>
        <v>1518</v>
      </c>
      <c r="P54" s="189">
        <f>IFERROR(__xludf.DUMMYFUNCTION("""COMPUTED_VALUE"""),1503.0)</f>
        <v>1503</v>
      </c>
      <c r="Q54" s="189">
        <f>IFERROR(__xludf.DUMMYFUNCTION("""COMPUTED_VALUE"""),1534.0)</f>
        <v>1534</v>
      </c>
      <c r="R54" s="189">
        <f>IFERROR(__xludf.DUMMYFUNCTION("""COMPUTED_VALUE"""),1487.0)</f>
        <v>1487</v>
      </c>
      <c r="S54" s="189">
        <f>IFERROR(__xludf.DUMMYFUNCTION("""COMPUTED_VALUE"""),1435.0)</f>
        <v>1435</v>
      </c>
    </row>
    <row r="55">
      <c r="A55" s="186" t="str">
        <f>IFERROR(__xludf.DUMMYFUNCTION("""COMPUTED_VALUE"""),"NORDICS")</f>
        <v>NORDICS</v>
      </c>
      <c r="B55" s="186" t="str">
        <f>IFERROR(__xludf.DUMMYFUNCTION("""COMPUTED_VALUE"""),"W47")</f>
        <v>W47</v>
      </c>
      <c r="C55" s="186">
        <f>IFERROR(__xludf.DUMMYFUNCTION("""COMPUTED_VALUE"""),313.0)</f>
        <v>313</v>
      </c>
      <c r="D55" s="186" t="str">
        <f>IFERROR(__xludf.DUMMYFUNCTION("""COMPUTED_VALUE"""),"CON-00-149990-2")</f>
        <v>CON-00-149990-2</v>
      </c>
      <c r="E55" s="186" t="str">
        <f>IFERROR(__xludf.DUMMYFUNCTION("""COMPUTED_VALUE"""),"Tex-Mex Style Chicken Thigh Tinga")</f>
        <v>Tex-Mex Style Chicken Thigh Tinga</v>
      </c>
      <c r="F55" s="186" t="str">
        <f>IFERROR(__xludf.DUMMYFUNCTION("""COMPUTED_VALUE"""),"Tinga-style Tex-Mex-kyllingelår")</f>
        <v>Tinga-style Tex-Mex-kyllingelår</v>
      </c>
      <c r="G55" s="186" t="str">
        <f>IFERROR(__xludf.DUMMYFUNCTION("""COMPUTED_VALUE"""),"FE1131D")</f>
        <v>FE1131D</v>
      </c>
      <c r="H55" s="186">
        <f>IFERROR(__xludf.DUMMYFUNCTION("""COMPUTED_VALUE"""),565166.0)</f>
        <v>565166</v>
      </c>
      <c r="I55" s="186" t="str">
        <f>IFERROR(__xludf.DUMMYFUNCTION("""COMPUTED_VALUE"""),"HF Tex Mex style pulled chicke")</f>
        <v>HF Tex Mex style pulled chicke</v>
      </c>
      <c r="J55" s="189">
        <f>IFERROR(__xludf.DUMMYFUNCTION("""COMPUTED_VALUE"""),1834.0)</f>
        <v>1834</v>
      </c>
      <c r="K55" s="189">
        <f>IFERROR(__xludf.DUMMYFUNCTION("""COMPUTED_VALUE"""),1834.0)</f>
        <v>1834</v>
      </c>
      <c r="L55" s="189">
        <f>IFERROR(__xludf.DUMMYFUNCTION("""COMPUTED_VALUE"""),1596.0)</f>
        <v>1596</v>
      </c>
      <c r="M55" s="189">
        <f>IFERROR(__xludf.DUMMYFUNCTION("""COMPUTED_VALUE"""),1495.0)</f>
        <v>1495</v>
      </c>
      <c r="N55" s="189">
        <f>IFERROR(__xludf.DUMMYFUNCTION("""COMPUTED_VALUE"""),1445.0)</f>
        <v>1445</v>
      </c>
      <c r="O55" s="189">
        <f>IFERROR(__xludf.DUMMYFUNCTION("""COMPUTED_VALUE"""),1432.0)</f>
        <v>1432</v>
      </c>
      <c r="P55" s="189">
        <f>IFERROR(__xludf.DUMMYFUNCTION("""COMPUTED_VALUE"""),1414.0)</f>
        <v>1414</v>
      </c>
      <c r="Q55" s="189">
        <f>IFERROR(__xludf.DUMMYFUNCTION("""COMPUTED_VALUE"""),1398.0)</f>
        <v>1398</v>
      </c>
      <c r="R55" s="189">
        <f>IFERROR(__xludf.DUMMYFUNCTION("""COMPUTED_VALUE"""),1392.0)</f>
        <v>1392</v>
      </c>
      <c r="S55" s="189">
        <f>IFERROR(__xludf.DUMMYFUNCTION("""COMPUTED_VALUE"""),1325.0)</f>
        <v>1325</v>
      </c>
    </row>
    <row r="56">
      <c r="A56" s="186" t="str">
        <f>IFERROR(__xludf.DUMMYFUNCTION("""COMPUTED_VALUE"""),"NORDICS")</f>
        <v>NORDICS</v>
      </c>
      <c r="B56" s="186" t="str">
        <f>IFERROR(__xludf.DUMMYFUNCTION("""COMPUTED_VALUE"""),"W47")</f>
        <v>W47</v>
      </c>
      <c r="C56" s="186">
        <f>IFERROR(__xludf.DUMMYFUNCTION("""COMPUTED_VALUE"""),314.0)</f>
        <v>314</v>
      </c>
      <c r="D56" s="186" t="str">
        <f>IFERROR(__xludf.DUMMYFUNCTION("""COMPUTED_VALUE"""),"CON-00-150541-2")</f>
        <v>CON-00-150541-2</v>
      </c>
      <c r="E56" s="186" t="str">
        <f>IFERROR(__xludf.DUMMYFUNCTION("""COMPUTED_VALUE"""),"Tabbouleh Rice &amp; Grilled Chicken")</f>
        <v>Tabbouleh Rice &amp; Grilled Chicken</v>
      </c>
      <c r="F56" s="186" t="str">
        <f>IFERROR(__xludf.DUMMYFUNCTION("""COMPUTED_VALUE"""),"Tabbouleh-ris &amp; grillet kylling")</f>
        <v>Tabbouleh-ris &amp; grillet kylling</v>
      </c>
      <c r="G56" s="186" t="str">
        <f>IFERROR(__xludf.DUMMYFUNCTION("""COMPUTED_VALUE"""),"FE0833F")</f>
        <v>FE0833F</v>
      </c>
      <c r="H56" s="186">
        <f>IFERROR(__xludf.DUMMYFUNCTION("""COMPUTED_VALUE"""),565169.0)</f>
        <v>565169</v>
      </c>
      <c r="I56" s="186" t="str">
        <f>IFERROR(__xludf.DUMMYFUNCTION("""COMPUTED_VALUE"""),"HF Kip tabouleh met tzatziki")</f>
        <v>HF Kip tabouleh met tzatziki</v>
      </c>
      <c r="J56" s="189">
        <f>IFERROR(__xludf.DUMMYFUNCTION("""COMPUTED_VALUE"""),1485.0)</f>
        <v>1485</v>
      </c>
      <c r="K56" s="189">
        <f>IFERROR(__xludf.DUMMYFUNCTION("""COMPUTED_VALUE"""),1485.0)</f>
        <v>1485</v>
      </c>
      <c r="L56" s="189">
        <f>IFERROR(__xludf.DUMMYFUNCTION("""COMPUTED_VALUE"""),1128.0)</f>
        <v>1128</v>
      </c>
      <c r="M56" s="189">
        <f>IFERROR(__xludf.DUMMYFUNCTION("""COMPUTED_VALUE"""),1046.0)</f>
        <v>1046</v>
      </c>
      <c r="N56" s="189">
        <f>IFERROR(__xludf.DUMMYFUNCTION("""COMPUTED_VALUE"""),1024.0)</f>
        <v>1024</v>
      </c>
      <c r="O56" s="189">
        <f>IFERROR(__xludf.DUMMYFUNCTION("""COMPUTED_VALUE"""),1052.0)</f>
        <v>1052</v>
      </c>
      <c r="P56" s="189">
        <f>IFERROR(__xludf.DUMMYFUNCTION("""COMPUTED_VALUE"""),1048.0)</f>
        <v>1048</v>
      </c>
      <c r="Q56" s="189">
        <f>IFERROR(__xludf.DUMMYFUNCTION("""COMPUTED_VALUE"""),1014.0)</f>
        <v>1014</v>
      </c>
      <c r="R56" s="189">
        <f>IFERROR(__xludf.DUMMYFUNCTION("""COMPUTED_VALUE"""),947.0)</f>
        <v>947</v>
      </c>
      <c r="S56" s="189">
        <f>IFERROR(__xludf.DUMMYFUNCTION("""COMPUTED_VALUE"""),919.0)</f>
        <v>919</v>
      </c>
    </row>
    <row r="57">
      <c r="A57" s="186" t="str">
        <f>IFERROR(__xludf.DUMMYFUNCTION("""COMPUTED_VALUE"""),"NORDICS")</f>
        <v>NORDICS</v>
      </c>
      <c r="B57" s="186" t="str">
        <f>IFERROR(__xludf.DUMMYFUNCTION("""COMPUTED_VALUE"""),"W47")</f>
        <v>W47</v>
      </c>
      <c r="C57" s="186">
        <f>IFERROR(__xludf.DUMMYFUNCTION("""COMPUTED_VALUE"""),315.0)</f>
        <v>315</v>
      </c>
      <c r="D57" s="186" t="str">
        <f>IFERROR(__xludf.DUMMYFUNCTION("""COMPUTED_VALUE"""),"CON-00-147823-2")</f>
        <v>CON-00-147823-2</v>
      </c>
      <c r="E57" s="186" t="str">
        <f>IFERROR(__xludf.DUMMYFUNCTION("""COMPUTED_VALUE"""),"Beef Shepherd's Pie")</f>
        <v>Beef Shepherd's Pie</v>
      </c>
      <c r="F57" s="186" t="str">
        <f>IFERROR(__xludf.DUMMYFUNCTION("""COMPUTED_VALUE"""),"Shepherd's Pie med oksekød ")</f>
        <v>Shepherd's Pie med oksekød </v>
      </c>
      <c r="G57" s="186" t="str">
        <f>IFERROR(__xludf.DUMMYFUNCTION("""COMPUTED_VALUE"""),"FE0160C")</f>
        <v>FE0160C</v>
      </c>
      <c r="H57" s="186">
        <f>IFERROR(__xludf.DUMMYFUNCTION("""COMPUTED_VALUE"""),565153.0)</f>
        <v>565153</v>
      </c>
      <c r="I57" s="186" t="str">
        <f>IFERROR(__xludf.DUMMYFUNCTION("""COMPUTED_VALUE"""),"HF Beef Shephards Pie")</f>
        <v>HF Beef Shephards Pie</v>
      </c>
      <c r="J57" s="189">
        <f>IFERROR(__xludf.DUMMYFUNCTION("""COMPUTED_VALUE"""),940.0)</f>
        <v>940</v>
      </c>
      <c r="K57" s="189">
        <f>IFERROR(__xludf.DUMMYFUNCTION("""COMPUTED_VALUE"""),940.0)</f>
        <v>940</v>
      </c>
      <c r="L57" s="189">
        <f>IFERROR(__xludf.DUMMYFUNCTION("""COMPUTED_VALUE"""),1221.0)</f>
        <v>1221</v>
      </c>
      <c r="M57" s="189">
        <f>IFERROR(__xludf.DUMMYFUNCTION("""COMPUTED_VALUE"""),1109.0)</f>
        <v>1109</v>
      </c>
      <c r="N57" s="189">
        <f>IFERROR(__xludf.DUMMYFUNCTION("""COMPUTED_VALUE"""),1083.0)</f>
        <v>1083</v>
      </c>
      <c r="O57" s="189">
        <f>IFERROR(__xludf.DUMMYFUNCTION("""COMPUTED_VALUE"""),1145.0)</f>
        <v>1145</v>
      </c>
      <c r="P57" s="189">
        <f>IFERROR(__xludf.DUMMYFUNCTION("""COMPUTED_VALUE"""),1122.0)</f>
        <v>1122</v>
      </c>
      <c r="Q57" s="189">
        <f>IFERROR(__xludf.DUMMYFUNCTION("""COMPUTED_VALUE"""),1123.0)</f>
        <v>1123</v>
      </c>
      <c r="R57" s="189">
        <f>IFERROR(__xludf.DUMMYFUNCTION("""COMPUTED_VALUE"""),1051.0)</f>
        <v>1051</v>
      </c>
      <c r="S57" s="189">
        <f>IFERROR(__xludf.DUMMYFUNCTION("""COMPUTED_VALUE"""),1042.0)</f>
        <v>1042</v>
      </c>
    </row>
    <row r="58">
      <c r="A58" s="186" t="str">
        <f>IFERROR(__xludf.DUMMYFUNCTION("""COMPUTED_VALUE"""),"NORDICS")</f>
        <v>NORDICS</v>
      </c>
      <c r="B58" s="186" t="str">
        <f>IFERROR(__xludf.DUMMYFUNCTION("""COMPUTED_VALUE"""),"W47")</f>
        <v>W47</v>
      </c>
      <c r="C58" s="186">
        <f>IFERROR(__xludf.DUMMYFUNCTION("""COMPUTED_VALUE"""),316.0)</f>
        <v>316</v>
      </c>
      <c r="D58" s="186" t="str">
        <f>IFERROR(__xludf.DUMMYFUNCTION("""COMPUTED_VALUE"""),"CON-00-147844-2")</f>
        <v>CON-00-147844-2</v>
      </c>
      <c r="E58" s="186" t="str">
        <f>IFERROR(__xludf.DUMMYFUNCTION("""COMPUTED_VALUE"""),"Indian style butter chicken")</f>
        <v>Indian style butter chicken</v>
      </c>
      <c r="F58" s="186" t="str">
        <f>IFERROR(__xludf.DUMMYFUNCTION("""COMPUTED_VALUE"""),"Indisk-inspireret butter chicken")</f>
        <v>Indisk-inspireret butter chicken</v>
      </c>
      <c r="G58" s="186" t="str">
        <f>IFERROR(__xludf.DUMMYFUNCTION("""COMPUTED_VALUE"""),"FE0472B")</f>
        <v>FE0472B</v>
      </c>
      <c r="H58" s="186">
        <f>IFERROR(__xludf.DUMMYFUNCTION("""COMPUTED_VALUE"""),565145.0)</f>
        <v>565145</v>
      </c>
      <c r="I58" s="186" t="str">
        <f>IFERROR(__xludf.DUMMYFUNCTION("""COMPUTED_VALUE"""),"HF RW Butter Chicken")</f>
        <v>HF RW Butter Chicken</v>
      </c>
      <c r="J58" s="189">
        <f>IFERROR(__xludf.DUMMYFUNCTION("""COMPUTED_VALUE"""),689.0)</f>
        <v>689</v>
      </c>
      <c r="K58" s="189">
        <f>IFERROR(__xludf.DUMMYFUNCTION("""COMPUTED_VALUE"""),689.0)</f>
        <v>689</v>
      </c>
      <c r="L58" s="186">
        <f>IFERROR(__xludf.DUMMYFUNCTION("""COMPUTED_VALUE"""),943.0)</f>
        <v>943</v>
      </c>
      <c r="M58" s="186">
        <f>IFERROR(__xludf.DUMMYFUNCTION("""COMPUTED_VALUE"""),821.0)</f>
        <v>821</v>
      </c>
      <c r="N58" s="186">
        <f>IFERROR(__xludf.DUMMYFUNCTION("""COMPUTED_VALUE"""),837.0)</f>
        <v>837</v>
      </c>
      <c r="O58" s="186">
        <f>IFERROR(__xludf.DUMMYFUNCTION("""COMPUTED_VALUE"""),852.0)</f>
        <v>852</v>
      </c>
      <c r="P58" s="186">
        <f>IFERROR(__xludf.DUMMYFUNCTION("""COMPUTED_VALUE"""),859.0)</f>
        <v>859</v>
      </c>
      <c r="Q58" s="186">
        <f>IFERROR(__xludf.DUMMYFUNCTION("""COMPUTED_VALUE"""),829.0)</f>
        <v>829</v>
      </c>
      <c r="R58" s="186">
        <f>IFERROR(__xludf.DUMMYFUNCTION("""COMPUTED_VALUE"""),759.0)</f>
        <v>759</v>
      </c>
      <c r="S58" s="189">
        <f>IFERROR(__xludf.DUMMYFUNCTION("""COMPUTED_VALUE"""),749.0)</f>
        <v>749</v>
      </c>
    </row>
    <row r="59">
      <c r="A59" s="186" t="str">
        <f>IFERROR(__xludf.DUMMYFUNCTION("""COMPUTED_VALUE"""),"NORDICS")</f>
        <v>NORDICS</v>
      </c>
      <c r="B59" s="186" t="str">
        <f>IFERROR(__xludf.DUMMYFUNCTION("""COMPUTED_VALUE"""),"W47")</f>
        <v>W47</v>
      </c>
      <c r="C59" s="186">
        <f>IFERROR(__xludf.DUMMYFUNCTION("""COMPUTED_VALUE"""),317.0)</f>
        <v>317</v>
      </c>
      <c r="D59" s="186" t="str">
        <f>IFERROR(__xludf.DUMMYFUNCTION("""COMPUTED_VALUE"""),"CON-00-147848-2")</f>
        <v>CON-00-147848-2</v>
      </c>
      <c r="E59" s="186" t="str">
        <f>IFERROR(__xludf.DUMMYFUNCTION("""COMPUTED_VALUE"""),"Pork tenderloin in red pepper sauce")</f>
        <v>Pork tenderloin in red pepper sauce</v>
      </c>
      <c r="F59" s="186" t="str">
        <f>IFERROR(__xludf.DUMMYFUNCTION("""COMPUTED_VALUE"""),"Svinemørbrad i rød peberfrugtsauce")</f>
        <v>Svinemørbrad i rød peberfrugtsauce</v>
      </c>
      <c r="G59" s="186" t="str">
        <f>IFERROR(__xludf.DUMMYFUNCTION("""COMPUTED_VALUE"""),"FE0430E")</f>
        <v>FE0430E</v>
      </c>
      <c r="H59" s="186">
        <f>IFERROR(__xludf.DUMMYFUNCTION("""COMPUTED_VALUE"""),565140.0)</f>
        <v>565140</v>
      </c>
      <c r="I59" s="186"/>
      <c r="J59" s="189">
        <f>IFERROR(__xludf.DUMMYFUNCTION("""COMPUTED_VALUE"""),589.0)</f>
        <v>589</v>
      </c>
      <c r="K59" s="189">
        <f>IFERROR(__xludf.DUMMYFUNCTION("""COMPUTED_VALUE"""),589.0)</f>
        <v>589</v>
      </c>
      <c r="L59" s="189">
        <f>IFERROR(__xludf.DUMMYFUNCTION("""COMPUTED_VALUE"""),854.0)</f>
        <v>854</v>
      </c>
      <c r="M59" s="189">
        <f>IFERROR(__xludf.DUMMYFUNCTION("""COMPUTED_VALUE"""),740.0)</f>
        <v>740</v>
      </c>
      <c r="N59" s="189">
        <f>IFERROR(__xludf.DUMMYFUNCTION("""COMPUTED_VALUE"""),750.0)</f>
        <v>750</v>
      </c>
      <c r="O59" s="189">
        <f>IFERROR(__xludf.DUMMYFUNCTION("""COMPUTED_VALUE"""),838.0)</f>
        <v>838</v>
      </c>
      <c r="P59" s="189">
        <f>IFERROR(__xludf.DUMMYFUNCTION("""COMPUTED_VALUE"""),805.0)</f>
        <v>805</v>
      </c>
      <c r="Q59" s="189">
        <f>IFERROR(__xludf.DUMMYFUNCTION("""COMPUTED_VALUE"""),852.0)</f>
        <v>852</v>
      </c>
      <c r="R59" s="189">
        <f>IFERROR(__xludf.DUMMYFUNCTION("""COMPUTED_VALUE"""),759.0)</f>
        <v>759</v>
      </c>
      <c r="S59" s="189">
        <f>IFERROR(__xludf.DUMMYFUNCTION("""COMPUTED_VALUE"""),753.0)</f>
        <v>753</v>
      </c>
    </row>
    <row r="60">
      <c r="A60" s="186" t="str">
        <f>IFERROR(__xludf.DUMMYFUNCTION("""COMPUTED_VALUE"""),"NORDICS")</f>
        <v>NORDICS</v>
      </c>
      <c r="B60" s="186" t="str">
        <f>IFERROR(__xludf.DUMMYFUNCTION("""COMPUTED_VALUE"""),"W47")</f>
        <v>W47</v>
      </c>
      <c r="C60" s="186">
        <f>IFERROR(__xludf.DUMMYFUNCTION("""COMPUTED_VALUE"""),318.0)</f>
        <v>318</v>
      </c>
      <c r="D60" s="186" t="str">
        <f>IFERROR(__xludf.DUMMYFUNCTION("""COMPUTED_VALUE"""),"CON-00-147861-2")</f>
        <v>CON-00-147861-2</v>
      </c>
      <c r="E60" s="186" t="str">
        <f>IFERROR(__xludf.DUMMYFUNCTION("""COMPUTED_VALUE"""),"Pork tenderloin with apple-mustard sauce")</f>
        <v>Pork tenderloin with apple-mustard sauce</v>
      </c>
      <c r="F60" s="186" t="str">
        <f>IFERROR(__xludf.DUMMYFUNCTION("""COMPUTED_VALUE"""),"Svinemørbrad med æble-sennepssauce ")</f>
        <v>Svinemørbrad med æble-sennepssauce </v>
      </c>
      <c r="G60" s="186" t="str">
        <f>IFERROR(__xludf.DUMMYFUNCTION("""COMPUTED_VALUE"""),"FE0890B")</f>
        <v>FE0890B</v>
      </c>
      <c r="H60" s="186">
        <f>IFERROR(__xludf.DUMMYFUNCTION("""COMPUTED_VALUE"""),565117.0)</f>
        <v>565117</v>
      </c>
      <c r="I60" s="186"/>
      <c r="J60" s="186">
        <f>IFERROR(__xludf.DUMMYFUNCTION("""COMPUTED_VALUE"""),828.0)</f>
        <v>828</v>
      </c>
      <c r="K60" s="186">
        <f>IFERROR(__xludf.DUMMYFUNCTION("""COMPUTED_VALUE"""),828.0)</f>
        <v>828</v>
      </c>
      <c r="L60" s="186">
        <f>IFERROR(__xludf.DUMMYFUNCTION("""COMPUTED_VALUE"""),734.0)</f>
        <v>734</v>
      </c>
      <c r="M60" s="186">
        <f>IFERROR(__xludf.DUMMYFUNCTION("""COMPUTED_VALUE"""),564.0)</f>
        <v>564</v>
      </c>
      <c r="N60" s="186">
        <f>IFERROR(__xludf.DUMMYFUNCTION("""COMPUTED_VALUE"""),544.0)</f>
        <v>544</v>
      </c>
      <c r="O60" s="186">
        <f>IFERROR(__xludf.DUMMYFUNCTION("""COMPUTED_VALUE"""),593.0)</f>
        <v>593</v>
      </c>
      <c r="P60" s="186">
        <f>IFERROR(__xludf.DUMMYFUNCTION("""COMPUTED_VALUE"""),571.0)</f>
        <v>571</v>
      </c>
      <c r="Q60" s="186">
        <f>IFERROR(__xludf.DUMMYFUNCTION("""COMPUTED_VALUE"""),574.0)</f>
        <v>574</v>
      </c>
      <c r="R60" s="186">
        <f>IFERROR(__xludf.DUMMYFUNCTION("""COMPUTED_VALUE"""),548.0)</f>
        <v>548</v>
      </c>
      <c r="S60" s="189">
        <f>IFERROR(__xludf.DUMMYFUNCTION("""COMPUTED_VALUE"""),545.0)</f>
        <v>545</v>
      </c>
    </row>
    <row r="61">
      <c r="A61" s="186" t="str">
        <f>IFERROR(__xludf.DUMMYFUNCTION("""COMPUTED_VALUE"""),"NORDICS")</f>
        <v>NORDICS</v>
      </c>
      <c r="B61" s="186" t="str">
        <f>IFERROR(__xludf.DUMMYFUNCTION("""COMPUTED_VALUE"""),"W47")</f>
        <v>W47</v>
      </c>
      <c r="C61" s="186">
        <f>IFERROR(__xludf.DUMMYFUNCTION("""COMPUTED_VALUE"""),806.0)</f>
        <v>806</v>
      </c>
      <c r="D61" s="186" t="str">
        <f>IFERROR(__xludf.DUMMYFUNCTION("""COMPUTED_VALUE"""),"PTN-00-148223-2")</f>
        <v>PTN-00-148223-2</v>
      </c>
      <c r="E61" s="186" t="str">
        <f>IFERROR(__xludf.DUMMYFUNCTION("""COMPUTED_VALUE"""),"Garlic Herb Grilled Chicken")</f>
        <v>Garlic Herb Grilled Chicken</v>
      </c>
      <c r="F61" s="186" t="str">
        <f>IFERROR(__xludf.DUMMYFUNCTION("""COMPUTED_VALUE"""),"Grillet kylling med hvidlød og urter")</f>
        <v>Grillet kylling med hvidlød og urter</v>
      </c>
      <c r="G61" s="186" t="str">
        <f>IFERROR(__xludf.DUMMYFUNCTION("""COMPUTED_VALUE"""),"FEA006A")</f>
        <v>FEA006A</v>
      </c>
      <c r="H61" s="186">
        <f>IFERROR(__xludf.DUMMYFUNCTION("""COMPUTED_VALUE"""),565119.0)</f>
        <v>565119</v>
      </c>
      <c r="I61" s="186"/>
      <c r="J61" s="186">
        <f>IFERROR(__xludf.DUMMYFUNCTION("""COMPUTED_VALUE"""),48.0)</f>
        <v>48</v>
      </c>
      <c r="K61" s="186">
        <f>IFERROR(__xludf.DUMMYFUNCTION("""COMPUTED_VALUE"""),48.0)</f>
        <v>48</v>
      </c>
      <c r="L61" s="186">
        <f>IFERROR(__xludf.DUMMYFUNCTION("""COMPUTED_VALUE"""),48.0)</f>
        <v>48</v>
      </c>
      <c r="M61" s="186">
        <f>IFERROR(__xludf.DUMMYFUNCTION("""COMPUTED_VALUE"""),48.0)</f>
        <v>48</v>
      </c>
      <c r="N61" s="186">
        <f>IFERROR(__xludf.DUMMYFUNCTION("""COMPUTED_VALUE"""),48.0)</f>
        <v>48</v>
      </c>
      <c r="O61" s="186">
        <f>IFERROR(__xludf.DUMMYFUNCTION("""COMPUTED_VALUE"""),48.0)</f>
        <v>48</v>
      </c>
      <c r="P61" s="186">
        <f>IFERROR(__xludf.DUMMYFUNCTION("""COMPUTED_VALUE"""),48.0)</f>
        <v>48</v>
      </c>
      <c r="Q61" s="186">
        <f>IFERROR(__xludf.DUMMYFUNCTION("""COMPUTED_VALUE"""),48.0)</f>
        <v>48</v>
      </c>
      <c r="R61" s="186">
        <f>IFERROR(__xludf.DUMMYFUNCTION("""COMPUTED_VALUE"""),70.0)</f>
        <v>70</v>
      </c>
      <c r="S61" s="189">
        <f>IFERROR(__xludf.DUMMYFUNCTION("""COMPUTED_VALUE"""),67.0)</f>
        <v>67</v>
      </c>
    </row>
    <row r="62">
      <c r="A62" s="186" t="str">
        <f>IFERROR(__xludf.DUMMYFUNCTION("""COMPUTED_VALUE"""),"NORDICS")</f>
        <v>NORDICS</v>
      </c>
      <c r="B62" s="186" t="str">
        <f>IFERROR(__xludf.DUMMYFUNCTION("""COMPUTED_VALUE"""),"W47")</f>
        <v>W47</v>
      </c>
      <c r="C62" s="186"/>
      <c r="D62" s="186"/>
      <c r="E62" s="186"/>
      <c r="F62" s="186"/>
      <c r="G62" s="186"/>
      <c r="H62" s="186"/>
      <c r="I62" s="186"/>
      <c r="J62" s="189">
        <f>IFERROR(__xludf.DUMMYFUNCTION("""COMPUTED_VALUE"""),31544.0)</f>
        <v>31544</v>
      </c>
      <c r="K62" s="189">
        <f>IFERROR(__xludf.DUMMYFUNCTION("""COMPUTED_VALUE"""),31496.0)</f>
        <v>31496</v>
      </c>
      <c r="L62" s="189">
        <f>IFERROR(__xludf.DUMMYFUNCTION("""COMPUTED_VALUE"""),28798.0)</f>
        <v>28798</v>
      </c>
      <c r="M62" s="189">
        <f>IFERROR(__xludf.DUMMYFUNCTION("""COMPUTED_VALUE"""),28332.0)</f>
        <v>28332</v>
      </c>
      <c r="N62" s="189">
        <f>IFERROR(__xludf.DUMMYFUNCTION("""COMPUTED_VALUE"""),27978.0)</f>
        <v>27978</v>
      </c>
      <c r="O62" s="189">
        <f>IFERROR(__xludf.DUMMYFUNCTION("""COMPUTED_VALUE"""),28522.0)</f>
        <v>28522</v>
      </c>
      <c r="P62" s="189">
        <f>IFERROR(__xludf.DUMMYFUNCTION("""COMPUTED_VALUE"""),27899.0)</f>
        <v>27899</v>
      </c>
      <c r="Q62" s="189">
        <f>IFERROR(__xludf.DUMMYFUNCTION("""COMPUTED_VALUE"""),28239.0)</f>
        <v>28239</v>
      </c>
      <c r="R62" s="189">
        <f>IFERROR(__xludf.DUMMYFUNCTION("""COMPUTED_VALUE"""),27036.0)</f>
        <v>27036</v>
      </c>
      <c r="S62" s="189">
        <f>IFERROR(__xludf.DUMMYFUNCTION("""COMPUTED_VALUE"""),25877.0)</f>
        <v>25877</v>
      </c>
    </row>
    <row r="63">
      <c r="A63" s="186" t="str">
        <f>IFERROR(__xludf.DUMMYFUNCTION("""COMPUTED_VALUE"""),"DE")</f>
        <v>DE</v>
      </c>
      <c r="B63" s="186" t="str">
        <f>IFERROR(__xludf.DUMMYFUNCTION("""COMPUTED_VALUE"""),"W47")</f>
        <v>W47</v>
      </c>
      <c r="C63" s="186">
        <f>IFERROR(__xludf.DUMMYFUNCTION("""COMPUTED_VALUE"""),301.0)</f>
        <v>301</v>
      </c>
      <c r="D63" s="186" t="str">
        <f>IFERROR(__xludf.DUMMYFUNCTION("""COMPUTED_VALUE"""),"CON-00-136675-3")</f>
        <v>CON-00-136675-3</v>
      </c>
      <c r="E63" s="186" t="str">
        <f>IFERROR(__xludf.DUMMYFUNCTION("""COMPUTED_VALUE"""),"Creamy basil risotto with chicken")</f>
        <v>Creamy basil risotto with chicken</v>
      </c>
      <c r="F63" s="186" t="str">
        <f>IFERROR(__xludf.DUMMYFUNCTION("""COMPUTED_VALUE"""),"Cremiges Basilikum-Risotto")</f>
        <v>Cremiges Basilikum-Risotto</v>
      </c>
      <c r="G63" s="186" t="str">
        <f>IFERROR(__xludf.DUMMYFUNCTION("""COMPUTED_VALUE"""),"FE4014B")</f>
        <v>FE4014B</v>
      </c>
      <c r="H63" s="186">
        <f>IFERROR(__xludf.DUMMYFUNCTION("""COMPUTED_VALUE"""),565122.0)</f>
        <v>565122</v>
      </c>
      <c r="I63" s="186"/>
      <c r="J63" s="189">
        <f>IFERROR(__xludf.DUMMYFUNCTION("""COMPUTED_VALUE"""),3496.0)</f>
        <v>3496</v>
      </c>
      <c r="K63" s="189">
        <f>IFERROR(__xludf.DUMMYFUNCTION("""COMPUTED_VALUE"""),3170.0)</f>
        <v>3170</v>
      </c>
      <c r="L63" s="189">
        <f>IFERROR(__xludf.DUMMYFUNCTION("""COMPUTED_VALUE"""),3178.0)</f>
        <v>3178</v>
      </c>
      <c r="M63" s="189">
        <f>IFERROR(__xludf.DUMMYFUNCTION("""COMPUTED_VALUE"""),3109.0)</f>
        <v>3109</v>
      </c>
      <c r="N63" s="189">
        <f>IFERROR(__xludf.DUMMYFUNCTION("""COMPUTED_VALUE"""),3189.0)</f>
        <v>3189</v>
      </c>
      <c r="O63" s="189">
        <f>IFERROR(__xludf.DUMMYFUNCTION("""COMPUTED_VALUE"""),3157.0)</f>
        <v>3157</v>
      </c>
      <c r="P63" s="189">
        <f>IFERROR(__xludf.DUMMYFUNCTION("""COMPUTED_VALUE"""),3154.0)</f>
        <v>3154</v>
      </c>
      <c r="Q63" s="189">
        <f>IFERROR(__xludf.DUMMYFUNCTION("""COMPUTED_VALUE"""),3173.0)</f>
        <v>3173</v>
      </c>
      <c r="R63" s="189">
        <f>IFERROR(__xludf.DUMMYFUNCTION("""COMPUTED_VALUE"""),2953.0)</f>
        <v>2953</v>
      </c>
      <c r="S63" s="189">
        <f>IFERROR(__xludf.DUMMYFUNCTION("""COMPUTED_VALUE"""),2978.0)</f>
        <v>2978</v>
      </c>
    </row>
    <row r="64">
      <c r="A64" s="186" t="str">
        <f>IFERROR(__xludf.DUMMYFUNCTION("""COMPUTED_VALUE"""),"DE")</f>
        <v>DE</v>
      </c>
      <c r="B64" s="186" t="str">
        <f>IFERROR(__xludf.DUMMYFUNCTION("""COMPUTED_VALUE"""),"W47")</f>
        <v>W47</v>
      </c>
      <c r="C64" s="186">
        <f>IFERROR(__xludf.DUMMYFUNCTION("""COMPUTED_VALUE"""),302.0)</f>
        <v>302</v>
      </c>
      <c r="D64" s="186" t="str">
        <f>IFERROR(__xludf.DUMMYFUNCTION("""COMPUTED_VALUE"""),"CON-00-136674-3")</f>
        <v>CON-00-136674-3</v>
      </c>
      <c r="E64" s="186" t="str">
        <f>IFERROR(__xludf.DUMMYFUNCTION("""COMPUTED_VALUE"""),"Grilled chicken and ratatouille")</f>
        <v>Grilled chicken and ratatouille</v>
      </c>
      <c r="F64" s="186" t="str">
        <f>IFERROR(__xludf.DUMMYFUNCTION("""COMPUTED_VALUE"""),"Grillhähnchen und Ratatouille")</f>
        <v>Grillhähnchen und Ratatouille</v>
      </c>
      <c r="G64" s="186" t="str">
        <f>IFERROR(__xludf.DUMMYFUNCTION("""COMPUTED_VALUE"""),"FE4015A")</f>
        <v>FE4015A</v>
      </c>
      <c r="H64" s="186">
        <f>IFERROR(__xludf.DUMMYFUNCTION("""COMPUTED_VALUE"""),565072.0)</f>
        <v>565072</v>
      </c>
      <c r="I64" s="186" t="str">
        <f>IFERROR(__xludf.DUMMYFUNCTION("""COMPUTED_VALUE"""),"HF Gegrilde kipfilet en ratatouille 429g")</f>
        <v>HF Gegrilde kipfilet en ratatouille 429g</v>
      </c>
      <c r="J64" s="189">
        <f>IFERROR(__xludf.DUMMYFUNCTION("""COMPUTED_VALUE"""),2147.0)</f>
        <v>2147</v>
      </c>
      <c r="K64" s="189">
        <f>IFERROR(__xludf.DUMMYFUNCTION("""COMPUTED_VALUE"""),2126.0)</f>
        <v>2126</v>
      </c>
      <c r="L64" s="189">
        <f>IFERROR(__xludf.DUMMYFUNCTION("""COMPUTED_VALUE"""),2005.0)</f>
        <v>2005</v>
      </c>
      <c r="M64" s="189">
        <f>IFERROR(__xludf.DUMMYFUNCTION("""COMPUTED_VALUE"""),2089.0)</f>
        <v>2089</v>
      </c>
      <c r="N64" s="189">
        <f>IFERROR(__xludf.DUMMYFUNCTION("""COMPUTED_VALUE"""),2194.0)</f>
        <v>2194</v>
      </c>
      <c r="O64" s="189">
        <f>IFERROR(__xludf.DUMMYFUNCTION("""COMPUTED_VALUE"""),2180.0)</f>
        <v>2180</v>
      </c>
      <c r="P64" s="189">
        <f>IFERROR(__xludf.DUMMYFUNCTION("""COMPUTED_VALUE"""),2185.0)</f>
        <v>2185</v>
      </c>
      <c r="Q64" s="189">
        <f>IFERROR(__xludf.DUMMYFUNCTION("""COMPUTED_VALUE"""),2212.0)</f>
        <v>2212</v>
      </c>
      <c r="R64" s="189">
        <f>IFERROR(__xludf.DUMMYFUNCTION("""COMPUTED_VALUE"""),2056.0)</f>
        <v>2056</v>
      </c>
      <c r="S64" s="189">
        <f>IFERROR(__xludf.DUMMYFUNCTION("""COMPUTED_VALUE"""),2087.0)</f>
        <v>2087</v>
      </c>
    </row>
    <row r="65">
      <c r="A65" s="186" t="str">
        <f>IFERROR(__xludf.DUMMYFUNCTION("""COMPUTED_VALUE"""),"DE")</f>
        <v>DE</v>
      </c>
      <c r="B65" s="186" t="str">
        <f>IFERROR(__xludf.DUMMYFUNCTION("""COMPUTED_VALUE"""),"W47")</f>
        <v>W47</v>
      </c>
      <c r="C65" s="186">
        <f>IFERROR(__xludf.DUMMYFUNCTION("""COMPUTED_VALUE"""),303.0)</f>
        <v>303</v>
      </c>
      <c r="D65" s="186" t="str">
        <f>IFERROR(__xludf.DUMMYFUNCTION("""COMPUTED_VALUE"""),"CON-00-136694-3")</f>
        <v>CON-00-136694-3</v>
      </c>
      <c r="E65" s="186" t="str">
        <f>IFERROR(__xludf.DUMMYFUNCTION("""COMPUTED_VALUE"""),"Spicy ground beef with jalapenos")</f>
        <v>Spicy ground beef with jalapenos</v>
      </c>
      <c r="F65" s="186" t="str">
        <f>IFERROR(__xludf.DUMMYFUNCTION("""COMPUTED_VALUE"""),"Scharfes Rinderhack mit Jalapeños")</f>
        <v>Scharfes Rinderhack mit Jalapeños</v>
      </c>
      <c r="G65" s="186" t="str">
        <f>IFERROR(__xludf.DUMMYFUNCTION("""COMPUTED_VALUE"""),"FE0746A")</f>
        <v>FE0746A</v>
      </c>
      <c r="H65" s="186">
        <f>IFERROR(__xludf.DUMMYFUNCTION("""COMPUTED_VALUE"""),565091.0)</f>
        <v>565091</v>
      </c>
      <c r="I65" s="186" t="str">
        <f>IFERROR(__xludf.DUMMYFUNCTION("""COMPUTED_VALUE"""),"HF Beef burrito bowl")</f>
        <v>HF Beef burrito bowl</v>
      </c>
      <c r="J65" s="189">
        <f>IFERROR(__xludf.DUMMYFUNCTION("""COMPUTED_VALUE"""),2424.0)</f>
        <v>2424</v>
      </c>
      <c r="K65" s="189">
        <f>IFERROR(__xludf.DUMMYFUNCTION("""COMPUTED_VALUE"""),2334.0)</f>
        <v>2334</v>
      </c>
      <c r="L65" s="189">
        <f>IFERROR(__xludf.DUMMYFUNCTION("""COMPUTED_VALUE"""),1721.0)</f>
        <v>1721</v>
      </c>
      <c r="M65" s="189">
        <f>IFERROR(__xludf.DUMMYFUNCTION("""COMPUTED_VALUE"""),1828.0)</f>
        <v>1828</v>
      </c>
      <c r="N65" s="189">
        <f>IFERROR(__xludf.DUMMYFUNCTION("""COMPUTED_VALUE"""),1924.0)</f>
        <v>1924</v>
      </c>
      <c r="O65" s="189">
        <f>IFERROR(__xludf.DUMMYFUNCTION("""COMPUTED_VALUE"""),1957.0)</f>
        <v>1957</v>
      </c>
      <c r="P65" s="189">
        <f>IFERROR(__xludf.DUMMYFUNCTION("""COMPUTED_VALUE"""),1987.0)</f>
        <v>1987</v>
      </c>
      <c r="Q65" s="189">
        <f>IFERROR(__xludf.DUMMYFUNCTION("""COMPUTED_VALUE"""),1949.0)</f>
        <v>1949</v>
      </c>
      <c r="R65" s="189">
        <f>IFERROR(__xludf.DUMMYFUNCTION("""COMPUTED_VALUE"""),1915.0)</f>
        <v>1915</v>
      </c>
      <c r="S65" s="189">
        <f>IFERROR(__xludf.DUMMYFUNCTION("""COMPUTED_VALUE"""),1892.0)</f>
        <v>1892</v>
      </c>
    </row>
    <row r="66">
      <c r="A66" s="186" t="str">
        <f>IFERROR(__xludf.DUMMYFUNCTION("""COMPUTED_VALUE"""),"DE")</f>
        <v>DE</v>
      </c>
      <c r="B66" s="186" t="str">
        <f>IFERROR(__xludf.DUMMYFUNCTION("""COMPUTED_VALUE"""),"W47")</f>
        <v>W47</v>
      </c>
      <c r="C66" s="186">
        <f>IFERROR(__xludf.DUMMYFUNCTION("""COMPUTED_VALUE"""),304.0)</f>
        <v>304</v>
      </c>
      <c r="D66" s="186" t="str">
        <f>IFERROR(__xludf.DUMMYFUNCTION("""COMPUTED_VALUE"""),"CON-00-136711-3")</f>
        <v>CON-00-136711-3</v>
      </c>
      <c r="E66" s="186" t="str">
        <f>IFERROR(__xludf.DUMMYFUNCTION("""COMPUTED_VALUE"""),"Chicken in mushroom sauce")</f>
        <v>Chicken in mushroom sauce</v>
      </c>
      <c r="F66" s="186" t="str">
        <f>IFERROR(__xludf.DUMMYFUNCTION("""COMPUTED_VALUE"""),"Hähnchen in Pilzsauce")</f>
        <v>Hähnchen in Pilzsauce</v>
      </c>
      <c r="G66" s="186" t="str">
        <f>IFERROR(__xludf.DUMMYFUNCTION("""COMPUTED_VALUE"""),"FE4038B")</f>
        <v>FE4038B</v>
      </c>
      <c r="H66" s="186">
        <f>IFERROR(__xludf.DUMMYFUNCTION("""COMPUTED_VALUE"""),565160.0)</f>
        <v>565160</v>
      </c>
      <c r="I66" s="186"/>
      <c r="J66" s="189">
        <f>IFERROR(__xludf.DUMMYFUNCTION("""COMPUTED_VALUE"""),3416.0)</f>
        <v>3416</v>
      </c>
      <c r="K66" s="189">
        <f>IFERROR(__xludf.DUMMYFUNCTION("""COMPUTED_VALUE"""),3059.0)</f>
        <v>3059</v>
      </c>
      <c r="L66" s="189">
        <f>IFERROR(__xludf.DUMMYFUNCTION("""COMPUTED_VALUE"""),3066.0)</f>
        <v>3066</v>
      </c>
      <c r="M66" s="189">
        <f>IFERROR(__xludf.DUMMYFUNCTION("""COMPUTED_VALUE"""),3273.0)</f>
        <v>3273</v>
      </c>
      <c r="N66" s="189">
        <f>IFERROR(__xludf.DUMMYFUNCTION("""COMPUTED_VALUE"""),3302.0)</f>
        <v>3302</v>
      </c>
      <c r="O66" s="189">
        <f>IFERROR(__xludf.DUMMYFUNCTION("""COMPUTED_VALUE"""),3308.0)</f>
        <v>3308</v>
      </c>
      <c r="P66" s="189">
        <f>IFERROR(__xludf.DUMMYFUNCTION("""COMPUTED_VALUE"""),3317.0)</f>
        <v>3317</v>
      </c>
      <c r="Q66" s="189">
        <f>IFERROR(__xludf.DUMMYFUNCTION("""COMPUTED_VALUE"""),3311.0)</f>
        <v>3311</v>
      </c>
      <c r="R66" s="189">
        <f>IFERROR(__xludf.DUMMYFUNCTION("""COMPUTED_VALUE"""),3082.0)</f>
        <v>3082</v>
      </c>
      <c r="S66" s="189">
        <f>IFERROR(__xludf.DUMMYFUNCTION("""COMPUTED_VALUE"""),3132.0)</f>
        <v>3132</v>
      </c>
    </row>
    <row r="67">
      <c r="A67" s="186" t="str">
        <f>IFERROR(__xludf.DUMMYFUNCTION("""COMPUTED_VALUE"""),"DE")</f>
        <v>DE</v>
      </c>
      <c r="B67" s="186" t="str">
        <f>IFERROR(__xludf.DUMMYFUNCTION("""COMPUTED_VALUE"""),"W47")</f>
        <v>W47</v>
      </c>
      <c r="C67" s="186">
        <f>IFERROR(__xludf.DUMMYFUNCTION("""COMPUTED_VALUE"""),305.0)</f>
        <v>305</v>
      </c>
      <c r="D67" s="186" t="str">
        <f>IFERROR(__xludf.DUMMYFUNCTION("""COMPUTED_VALUE"""),"CON-00-136620-3")</f>
        <v>CON-00-136620-3</v>
      </c>
      <c r="E67" s="186" t="str">
        <f>IFERROR(__xludf.DUMMYFUNCTION("""COMPUTED_VALUE"""),"Chicken à la Florentine")</f>
        <v>Chicken à la Florentine</v>
      </c>
      <c r="F67" s="186" t="str">
        <f>IFERROR(__xludf.DUMMYFUNCTION("""COMPUTED_VALUE"""),"Hähnchen à la Florentine")</f>
        <v>Hähnchen à la Florentine</v>
      </c>
      <c r="G67" s="186" t="str">
        <f>IFERROR(__xludf.DUMMYFUNCTION("""COMPUTED_VALUE"""),"FE0224C")</f>
        <v>FE0224C</v>
      </c>
      <c r="H67" s="186">
        <f>IFERROR(__xludf.DUMMYFUNCTION("""COMPUTED_VALUE"""),565047.0)</f>
        <v>565047</v>
      </c>
      <c r="I67" s="186" t="str">
        <f>IFERROR(__xludf.DUMMYFUNCTION("""COMPUTED_VALUE"""),"HF Kip Florentine 404g")</f>
        <v>HF Kip Florentine 404g</v>
      </c>
      <c r="J67" s="189">
        <f>IFERROR(__xludf.DUMMYFUNCTION("""COMPUTED_VALUE"""),2956.0)</f>
        <v>2956</v>
      </c>
      <c r="K67" s="189">
        <f>IFERROR(__xludf.DUMMYFUNCTION("""COMPUTED_VALUE"""),2719.0)</f>
        <v>2719</v>
      </c>
      <c r="L67" s="189">
        <f>IFERROR(__xludf.DUMMYFUNCTION("""COMPUTED_VALUE"""),2892.0)</f>
        <v>2892</v>
      </c>
      <c r="M67" s="189">
        <f>IFERROR(__xludf.DUMMYFUNCTION("""COMPUTED_VALUE"""),2893.0)</f>
        <v>2893</v>
      </c>
      <c r="N67" s="189">
        <f>IFERROR(__xludf.DUMMYFUNCTION("""COMPUTED_VALUE"""),2994.0)</f>
        <v>2994</v>
      </c>
      <c r="O67" s="189">
        <f>IFERROR(__xludf.DUMMYFUNCTION("""COMPUTED_VALUE"""),2940.0)</f>
        <v>2940</v>
      </c>
      <c r="P67" s="189">
        <f>IFERROR(__xludf.DUMMYFUNCTION("""COMPUTED_VALUE"""),2963.0)</f>
        <v>2963</v>
      </c>
      <c r="Q67" s="189">
        <f>IFERROR(__xludf.DUMMYFUNCTION("""COMPUTED_VALUE"""),2953.0)</f>
        <v>2953</v>
      </c>
      <c r="R67" s="189">
        <f>IFERROR(__xludf.DUMMYFUNCTION("""COMPUTED_VALUE"""),2711.0)</f>
        <v>2711</v>
      </c>
      <c r="S67" s="189">
        <f>IFERROR(__xludf.DUMMYFUNCTION("""COMPUTED_VALUE"""),2766.0)</f>
        <v>2766</v>
      </c>
    </row>
    <row r="68">
      <c r="A68" s="186" t="str">
        <f>IFERROR(__xludf.DUMMYFUNCTION("""COMPUTED_VALUE"""),"DE")</f>
        <v>DE</v>
      </c>
      <c r="B68" s="186" t="str">
        <f>IFERROR(__xludf.DUMMYFUNCTION("""COMPUTED_VALUE"""),"W47")</f>
        <v>W47</v>
      </c>
      <c r="C68" s="186">
        <f>IFERROR(__xludf.DUMMYFUNCTION("""COMPUTED_VALUE"""),306.0)</f>
        <v>306</v>
      </c>
      <c r="D68" s="186" t="str">
        <f>IFERROR(__xludf.DUMMYFUNCTION("""COMPUTED_VALUE"""),"CON-00-136695-3")</f>
        <v>CON-00-136695-3</v>
      </c>
      <c r="E68" s="186" t="str">
        <f>IFERROR(__xludf.DUMMYFUNCTION("""COMPUTED_VALUE"""),"Chicken in lemon-capers sauce")</f>
        <v>Chicken in lemon-capers sauce</v>
      </c>
      <c r="F68" s="186" t="str">
        <f>IFERROR(__xludf.DUMMYFUNCTION("""COMPUTED_VALUE"""),"Hähnchen in Zitronen-Kapern-Sauce")</f>
        <v>Hähnchen in Zitronen-Kapern-Sauce</v>
      </c>
      <c r="G68" s="186" t="str">
        <f>IFERROR(__xludf.DUMMYFUNCTION("""COMPUTED_VALUE"""),"FE0025M")</f>
        <v>FE0025M</v>
      </c>
      <c r="H68" s="186">
        <f>IFERROR(__xludf.DUMMYFUNCTION("""COMPUTED_VALUE"""),565149.0)</f>
        <v>565149</v>
      </c>
      <c r="I68" s="186" t="str">
        <f>IFERROR(__xludf.DUMMYFUNCTION("""COMPUTED_VALUE"""),"HF Kip Piccata met broccoli")</f>
        <v>HF Kip Piccata met broccoli</v>
      </c>
      <c r="J68" s="189">
        <f>IFERROR(__xludf.DUMMYFUNCTION("""COMPUTED_VALUE"""),2250.0)</f>
        <v>2250</v>
      </c>
      <c r="K68" s="189">
        <f>IFERROR(__xludf.DUMMYFUNCTION("""COMPUTED_VALUE"""),2282.0)</f>
        <v>2282</v>
      </c>
      <c r="L68" s="189">
        <f>IFERROR(__xludf.DUMMYFUNCTION("""COMPUTED_VALUE"""),2085.0)</f>
        <v>2085</v>
      </c>
      <c r="M68" s="189">
        <f>IFERROR(__xludf.DUMMYFUNCTION("""COMPUTED_VALUE"""),1939.0)</f>
        <v>1939</v>
      </c>
      <c r="N68" s="189">
        <f>IFERROR(__xludf.DUMMYFUNCTION("""COMPUTED_VALUE"""),1982.0)</f>
        <v>1982</v>
      </c>
      <c r="O68" s="189">
        <f>IFERROR(__xludf.DUMMYFUNCTION("""COMPUTED_VALUE"""),2018.0)</f>
        <v>2018</v>
      </c>
      <c r="P68" s="189">
        <f>IFERROR(__xludf.DUMMYFUNCTION("""COMPUTED_VALUE"""),2027.0)</f>
        <v>2027</v>
      </c>
      <c r="Q68" s="189">
        <f>IFERROR(__xludf.DUMMYFUNCTION("""COMPUTED_VALUE"""),2017.0)</f>
        <v>2017</v>
      </c>
      <c r="R68" s="189">
        <f>IFERROR(__xludf.DUMMYFUNCTION("""COMPUTED_VALUE"""),1914.0)</f>
        <v>1914</v>
      </c>
      <c r="S68" s="189">
        <f>IFERROR(__xludf.DUMMYFUNCTION("""COMPUTED_VALUE"""),1925.0)</f>
        <v>1925</v>
      </c>
    </row>
    <row r="69">
      <c r="A69" s="186" t="str">
        <f>IFERROR(__xludf.DUMMYFUNCTION("""COMPUTED_VALUE"""),"DE")</f>
        <v>DE</v>
      </c>
      <c r="B69" s="186" t="str">
        <f>IFERROR(__xludf.DUMMYFUNCTION("""COMPUTED_VALUE"""),"W47")</f>
        <v>W47</v>
      </c>
      <c r="C69" s="186">
        <f>IFERROR(__xludf.DUMMYFUNCTION("""COMPUTED_VALUE"""),307.0)</f>
        <v>307</v>
      </c>
      <c r="D69" s="186" t="str">
        <f>IFERROR(__xludf.DUMMYFUNCTION("""COMPUTED_VALUE"""),"CON-00-136679-3")</f>
        <v>CON-00-136679-3</v>
      </c>
      <c r="E69" s="186" t="str">
        <f>IFERROR(__xludf.DUMMYFUNCTION("""COMPUTED_VALUE"""),"Grilled pork tenderloin with broccoli in peppersauce")</f>
        <v>Grilled pork tenderloin with broccoli in peppersauce</v>
      </c>
      <c r="F69" s="186" t="str">
        <f>IFERROR(__xludf.DUMMYFUNCTION("""COMPUTED_VALUE"""),"Gegrilltes Schweinefilet mit Brokkoli in Paprikasauce")</f>
        <v>Gegrilltes Schweinefilet mit Brokkoli in Paprikasauce</v>
      </c>
      <c r="G69" s="186" t="str">
        <f>IFERROR(__xludf.DUMMYFUNCTION("""COMPUTED_VALUE"""),"FE4020A")</f>
        <v>FE4020A</v>
      </c>
      <c r="H69" s="186">
        <f>IFERROR(__xludf.DUMMYFUNCTION("""COMPUTED_VALUE"""),565071.0)</f>
        <v>565071</v>
      </c>
      <c r="I69" s="186" t="str">
        <f>IFERROR(__xludf.DUMMYFUNCTION("""COMPUTED_VALUE"""),"HF Gegrilde varkenshaas met broccoli in paprikasaus")</f>
        <v>HF Gegrilde varkenshaas met broccoli in paprikasaus</v>
      </c>
      <c r="J69" s="189">
        <f>IFERROR(__xludf.DUMMYFUNCTION("""COMPUTED_VALUE"""),1413.0)</f>
        <v>1413</v>
      </c>
      <c r="K69" s="189">
        <f>IFERROR(__xludf.DUMMYFUNCTION("""COMPUTED_VALUE"""),1335.0)</f>
        <v>1335</v>
      </c>
      <c r="L69" s="189">
        <f>IFERROR(__xludf.DUMMYFUNCTION("""COMPUTED_VALUE"""),1386.0)</f>
        <v>1386</v>
      </c>
      <c r="M69" s="189">
        <f>IFERROR(__xludf.DUMMYFUNCTION("""COMPUTED_VALUE"""),1386.0)</f>
        <v>1386</v>
      </c>
      <c r="N69" s="189">
        <f>IFERROR(__xludf.DUMMYFUNCTION("""COMPUTED_VALUE"""),1434.0)</f>
        <v>1434</v>
      </c>
      <c r="O69" s="189">
        <f>IFERROR(__xludf.DUMMYFUNCTION("""COMPUTED_VALUE"""),1445.0)</f>
        <v>1445</v>
      </c>
      <c r="P69" s="189">
        <f>IFERROR(__xludf.DUMMYFUNCTION("""COMPUTED_VALUE"""),1491.0)</f>
        <v>1491</v>
      </c>
      <c r="Q69" s="189">
        <f>IFERROR(__xludf.DUMMYFUNCTION("""COMPUTED_VALUE"""),1467.0)</f>
        <v>1467</v>
      </c>
      <c r="R69" s="189">
        <f>IFERROR(__xludf.DUMMYFUNCTION("""COMPUTED_VALUE"""),1380.0)</f>
        <v>1380</v>
      </c>
      <c r="S69" s="189">
        <f>IFERROR(__xludf.DUMMYFUNCTION("""COMPUTED_VALUE"""),1440.0)</f>
        <v>1440</v>
      </c>
    </row>
    <row r="70">
      <c r="A70" s="186" t="str">
        <f>IFERROR(__xludf.DUMMYFUNCTION("""COMPUTED_VALUE"""),"DE")</f>
        <v>DE</v>
      </c>
      <c r="B70" s="186" t="str">
        <f>IFERROR(__xludf.DUMMYFUNCTION("""COMPUTED_VALUE"""),"W47")</f>
        <v>W47</v>
      </c>
      <c r="C70" s="186">
        <f>IFERROR(__xludf.DUMMYFUNCTION("""COMPUTED_VALUE"""),308.0)</f>
        <v>308</v>
      </c>
      <c r="D70" s="186"/>
      <c r="E70" s="186"/>
      <c r="F70" s="186"/>
      <c r="G70" s="186" t="str">
        <f>IFERROR(__xludf.DUMMYFUNCTION("""COMPUTED_VALUE"""),"FE0035E")</f>
        <v>FE0035E</v>
      </c>
      <c r="H70" s="186"/>
      <c r="I70" s="186"/>
      <c r="J70" s="189">
        <f>IFERROR(__xludf.DUMMYFUNCTION("""COMPUTED_VALUE"""),2148.0)</f>
        <v>2148</v>
      </c>
      <c r="K70" s="189">
        <f>IFERROR(__xludf.DUMMYFUNCTION("""COMPUTED_VALUE"""),1938.0)</f>
        <v>1938</v>
      </c>
      <c r="L70" s="189">
        <f>IFERROR(__xludf.DUMMYFUNCTION("""COMPUTED_VALUE"""),1571.0)</f>
        <v>1571</v>
      </c>
      <c r="M70" s="189">
        <f>IFERROR(__xludf.DUMMYFUNCTION("""COMPUTED_VALUE"""),1601.0)</f>
        <v>1601</v>
      </c>
      <c r="N70" s="189">
        <f>IFERROR(__xludf.DUMMYFUNCTION("""COMPUTED_VALUE"""),1630.0)</f>
        <v>1630</v>
      </c>
      <c r="O70" s="189">
        <f>IFERROR(__xludf.DUMMYFUNCTION("""COMPUTED_VALUE"""),1696.0)</f>
        <v>1696</v>
      </c>
      <c r="P70" s="189">
        <f>IFERROR(__xludf.DUMMYFUNCTION("""COMPUTED_VALUE"""),1733.0)</f>
        <v>1733</v>
      </c>
      <c r="Q70" s="189">
        <f>IFERROR(__xludf.DUMMYFUNCTION("""COMPUTED_VALUE"""),1762.0)</f>
        <v>1762</v>
      </c>
      <c r="R70" s="189">
        <f>IFERROR(__xludf.DUMMYFUNCTION("""COMPUTED_VALUE"""),1687.0)</f>
        <v>1687</v>
      </c>
      <c r="S70" s="189">
        <f>IFERROR(__xludf.DUMMYFUNCTION("""COMPUTED_VALUE"""),1731.0)</f>
        <v>1731</v>
      </c>
    </row>
    <row r="71">
      <c r="A71" s="186" t="str">
        <f>IFERROR(__xludf.DUMMYFUNCTION("""COMPUTED_VALUE"""),"DE")</f>
        <v>DE</v>
      </c>
      <c r="B71" s="186" t="str">
        <f>IFERROR(__xludf.DUMMYFUNCTION("""COMPUTED_VALUE"""),"W47")</f>
        <v>W47</v>
      </c>
      <c r="C71" s="186">
        <f>IFERROR(__xludf.DUMMYFUNCTION("""COMPUTED_VALUE"""),309.0)</f>
        <v>309</v>
      </c>
      <c r="D71" s="186" t="str">
        <f>IFERROR(__xludf.DUMMYFUNCTION("""COMPUTED_VALUE"""),"CON-00-136634-3")</f>
        <v>CON-00-136634-3</v>
      </c>
      <c r="E71" s="186" t="str">
        <f>IFERROR(__xludf.DUMMYFUNCTION("""COMPUTED_VALUE"""),"Ratatouille of zucchini and pepper")</f>
        <v>Ratatouille of zucchini and pepper</v>
      </c>
      <c r="F71" s="186" t="str">
        <f>IFERROR(__xludf.DUMMYFUNCTION("""COMPUTED_VALUE"""),"Zucchini-Paprika-Ratatouille")</f>
        <v>Zucchini-Paprika-Ratatouille</v>
      </c>
      <c r="G71" s="186" t="str">
        <f>IFERROR(__xludf.DUMMYFUNCTION("""COMPUTED_VALUE"""),"FE0090C")</f>
        <v>FE0090C</v>
      </c>
      <c r="H71" s="186">
        <f>IFERROR(__xludf.DUMMYFUNCTION("""COMPUTED_VALUE"""),565141.0)</f>
        <v>565141</v>
      </c>
      <c r="I71" s="186"/>
      <c r="J71" s="186">
        <f>IFERROR(__xludf.DUMMYFUNCTION("""COMPUTED_VALUE"""),441.0)</f>
        <v>441</v>
      </c>
      <c r="K71" s="186">
        <f>IFERROR(__xludf.DUMMYFUNCTION("""COMPUTED_VALUE"""),439.0)</f>
        <v>439</v>
      </c>
      <c r="L71" s="186">
        <f>IFERROR(__xludf.DUMMYFUNCTION("""COMPUTED_VALUE"""),370.0)</f>
        <v>370</v>
      </c>
      <c r="M71" s="186">
        <f>IFERROR(__xludf.DUMMYFUNCTION("""COMPUTED_VALUE"""),373.0)</f>
        <v>373</v>
      </c>
      <c r="N71" s="186">
        <f>IFERROR(__xludf.DUMMYFUNCTION("""COMPUTED_VALUE"""),379.0)</f>
        <v>379</v>
      </c>
      <c r="O71" s="186">
        <f>IFERROR(__xludf.DUMMYFUNCTION("""COMPUTED_VALUE"""),393.0)</f>
        <v>393</v>
      </c>
      <c r="P71" s="186">
        <f>IFERROR(__xludf.DUMMYFUNCTION("""COMPUTED_VALUE"""),389.0)</f>
        <v>389</v>
      </c>
      <c r="Q71" s="186">
        <f>IFERROR(__xludf.DUMMYFUNCTION("""COMPUTED_VALUE"""),385.0)</f>
        <v>385</v>
      </c>
      <c r="R71" s="186">
        <f>IFERROR(__xludf.DUMMYFUNCTION("""COMPUTED_VALUE"""),366.0)</f>
        <v>366</v>
      </c>
      <c r="S71" s="189">
        <f>IFERROR(__xludf.DUMMYFUNCTION("""COMPUTED_VALUE"""),359.0)</f>
        <v>359</v>
      </c>
    </row>
    <row r="72">
      <c r="A72" s="186" t="str">
        <f>IFERROR(__xludf.DUMMYFUNCTION("""COMPUTED_VALUE"""),"DE")</f>
        <v>DE</v>
      </c>
      <c r="B72" s="186" t="str">
        <f>IFERROR(__xludf.DUMMYFUNCTION("""COMPUTED_VALUE"""),"W47")</f>
        <v>W47</v>
      </c>
      <c r="C72" s="186">
        <f>IFERROR(__xludf.DUMMYFUNCTION("""COMPUTED_VALUE"""),310.0)</f>
        <v>310</v>
      </c>
      <c r="D72" s="186" t="str">
        <f>IFERROR(__xludf.DUMMYFUNCTION("""COMPUTED_VALUE"""),"CON-00-136660-3")</f>
        <v>CON-00-136660-3</v>
      </c>
      <c r="E72" s="186" t="str">
        <f>IFERROR(__xludf.DUMMYFUNCTION("""COMPUTED_VALUE"""),"Vegetarian stew with white beans")</f>
        <v>Vegetarian stew with white beans</v>
      </c>
      <c r="F72" s="186" t="str">
        <f>IFERROR(__xludf.DUMMYFUNCTION("""COMPUTED_VALUE"""),"Vegetarischer Bohnen-Eintopf")</f>
        <v>Vegetarischer Bohnen-Eintopf</v>
      </c>
      <c r="G72" s="186" t="str">
        <f>IFERROR(__xludf.DUMMYFUNCTION("""COMPUTED_VALUE"""),"FE0935A")</f>
        <v>FE0935A</v>
      </c>
      <c r="H72" s="186">
        <f>IFERROR(__xludf.DUMMYFUNCTION("""COMPUTED_VALUE"""),565065.0)</f>
        <v>565065</v>
      </c>
      <c r="I72" s="186" t="str">
        <f>IFERROR(__xludf.DUMMYFUNCTION("""COMPUTED_VALUE"""),"HF Vegetarische stoof met witte bonen 404g")</f>
        <v>HF Vegetarische stoof met witte bonen 404g</v>
      </c>
      <c r="J72" s="186">
        <f>IFERROR(__xludf.DUMMYFUNCTION("""COMPUTED_VALUE"""),451.0)</f>
        <v>451</v>
      </c>
      <c r="K72" s="186">
        <f>IFERROR(__xludf.DUMMYFUNCTION("""COMPUTED_VALUE"""),478.0)</f>
        <v>478</v>
      </c>
      <c r="L72" s="186">
        <f>IFERROR(__xludf.DUMMYFUNCTION("""COMPUTED_VALUE"""),639.0)</f>
        <v>639</v>
      </c>
      <c r="M72" s="186">
        <f>IFERROR(__xludf.DUMMYFUNCTION("""COMPUTED_VALUE"""),559.0)</f>
        <v>559</v>
      </c>
      <c r="N72" s="186">
        <f>IFERROR(__xludf.DUMMYFUNCTION("""COMPUTED_VALUE"""),571.0)</f>
        <v>571</v>
      </c>
      <c r="O72" s="186">
        <f>IFERROR(__xludf.DUMMYFUNCTION("""COMPUTED_VALUE"""),540.0)</f>
        <v>540</v>
      </c>
      <c r="P72" s="186">
        <f>IFERROR(__xludf.DUMMYFUNCTION("""COMPUTED_VALUE"""),539.0)</f>
        <v>539</v>
      </c>
      <c r="Q72" s="186">
        <f>IFERROR(__xludf.DUMMYFUNCTION("""COMPUTED_VALUE"""),522.0)</f>
        <v>522</v>
      </c>
      <c r="R72" s="186">
        <f>IFERROR(__xludf.DUMMYFUNCTION("""COMPUTED_VALUE"""),448.0)</f>
        <v>448</v>
      </c>
      <c r="S72" s="186">
        <f>IFERROR(__xludf.DUMMYFUNCTION("""COMPUTED_VALUE"""),477.0)</f>
        <v>477</v>
      </c>
    </row>
    <row r="73">
      <c r="A73" s="186" t="str">
        <f>IFERROR(__xludf.DUMMYFUNCTION("""COMPUTED_VALUE"""),"DE")</f>
        <v>DE</v>
      </c>
      <c r="B73" s="186" t="str">
        <f>IFERROR(__xludf.DUMMYFUNCTION("""COMPUTED_VALUE"""),"W47")</f>
        <v>W47</v>
      </c>
      <c r="C73" s="186">
        <f>IFERROR(__xludf.DUMMYFUNCTION("""COMPUTED_VALUE"""),311.0)</f>
        <v>311</v>
      </c>
      <c r="D73" s="186" t="str">
        <f>IFERROR(__xludf.DUMMYFUNCTION("""COMPUTED_VALUE"""),"CON-00-137312-2")</f>
        <v>CON-00-137312-2</v>
      </c>
      <c r="E73" s="186" t="str">
        <f>IFERROR(__xludf.DUMMYFUNCTION("""COMPUTED_VALUE"""),"Beef &amp; black bean bowl")</f>
        <v>Beef &amp; black bean bowl</v>
      </c>
      <c r="F73" s="186" t="str">
        <f>IFERROR(__xludf.DUMMYFUNCTION("""COMPUTED_VALUE"""),"Rindfleisch-Bohnen-Bowl")</f>
        <v>Rindfleisch-Bohnen-Bowl</v>
      </c>
      <c r="G73" s="186" t="str">
        <f>IFERROR(__xludf.DUMMYFUNCTION("""COMPUTED_VALUE"""),"FE4050A")</f>
        <v>FE4050A</v>
      </c>
      <c r="H73" s="186">
        <f>IFERROR(__xludf.DUMMYFUNCTION("""COMPUTED_VALUE"""),565125.0)</f>
        <v>565125</v>
      </c>
      <c r="I73" s="186" t="str">
        <f>IFERROR(__xludf.DUMMYFUNCTION("""COMPUTED_VALUE"""),"HF Gehakt en zwarte bonen bowl")</f>
        <v>HF Gehakt en zwarte bonen bowl</v>
      </c>
      <c r="J73" s="186">
        <f>IFERROR(__xludf.DUMMYFUNCTION("""COMPUTED_VALUE"""),883.0)</f>
        <v>883</v>
      </c>
      <c r="K73" s="186">
        <f>IFERROR(__xludf.DUMMYFUNCTION("""COMPUTED_VALUE"""),791.0)</f>
        <v>791</v>
      </c>
      <c r="L73" s="186">
        <f>IFERROR(__xludf.DUMMYFUNCTION("""COMPUTED_VALUE"""),576.0)</f>
        <v>576</v>
      </c>
      <c r="M73" s="186">
        <f>IFERROR(__xludf.DUMMYFUNCTION("""COMPUTED_VALUE"""),585.0)</f>
        <v>585</v>
      </c>
      <c r="N73" s="186">
        <f>IFERROR(__xludf.DUMMYFUNCTION("""COMPUTED_VALUE"""),608.0)</f>
        <v>608</v>
      </c>
      <c r="O73" s="186">
        <f>IFERROR(__xludf.DUMMYFUNCTION("""COMPUTED_VALUE"""),597.0)</f>
        <v>597</v>
      </c>
      <c r="P73" s="186">
        <f>IFERROR(__xludf.DUMMYFUNCTION("""COMPUTED_VALUE"""),586.0)</f>
        <v>586</v>
      </c>
      <c r="Q73" s="186">
        <f>IFERROR(__xludf.DUMMYFUNCTION("""COMPUTED_VALUE"""),558.0)</f>
        <v>558</v>
      </c>
      <c r="R73" s="186">
        <f>IFERROR(__xludf.DUMMYFUNCTION("""COMPUTED_VALUE"""),580.0)</f>
        <v>580</v>
      </c>
      <c r="S73" s="189">
        <f>IFERROR(__xludf.DUMMYFUNCTION("""COMPUTED_VALUE"""),582.0)</f>
        <v>582</v>
      </c>
    </row>
    <row r="74">
      <c r="A74" s="186" t="str">
        <f>IFERROR(__xludf.DUMMYFUNCTION("""COMPUTED_VALUE"""),"DE")</f>
        <v>DE</v>
      </c>
      <c r="B74" s="186" t="str">
        <f>IFERROR(__xludf.DUMMYFUNCTION("""COMPUTED_VALUE"""),"W47")</f>
        <v>W47</v>
      </c>
      <c r="C74" s="186">
        <f>IFERROR(__xludf.DUMMYFUNCTION("""COMPUTED_VALUE"""),312.0)</f>
        <v>312</v>
      </c>
      <c r="D74" s="186" t="str">
        <f>IFERROR(__xludf.DUMMYFUNCTION("""COMPUTED_VALUE"""),"CON-00-151097-2")</f>
        <v>CON-00-151097-2</v>
      </c>
      <c r="E74" s="186" t="str">
        <f>IFERROR(__xludf.DUMMYFUNCTION("""COMPUTED_VALUE"""),"Roasted Salmon &amp; Dill Yogurt")</f>
        <v>Roasted Salmon &amp; Dill Yogurt</v>
      </c>
      <c r="F74" s="186" t="str">
        <f>IFERROR(__xludf.DUMMYFUNCTION("""COMPUTED_VALUE"""),"Ofengerösteter Lachs &amp; Dill-Joghurt")</f>
        <v>Ofengerösteter Lachs &amp; Dill-Joghurt</v>
      </c>
      <c r="G74" s="186" t="str">
        <f>IFERROR(__xludf.DUMMYFUNCTION("""COMPUTED_VALUE"""),"FE1145B")</f>
        <v>FE1145B</v>
      </c>
      <c r="H74" s="186">
        <f>IFERROR(__xludf.DUMMYFUNCTION("""COMPUTED_VALUE"""),565206.0)</f>
        <v>565206</v>
      </c>
      <c r="I74" s="186" t="str">
        <f>IFERROR(__xludf.DUMMYFUNCTION("""COMPUTED_VALUE"""),"HF Zalm citroen dille yoghurt")</f>
        <v>HF Zalm citroen dille yoghurt</v>
      </c>
      <c r="J74" s="189">
        <f>IFERROR(__xludf.DUMMYFUNCTION("""COMPUTED_VALUE"""),1518.0)</f>
        <v>1518</v>
      </c>
      <c r="K74" s="189">
        <f>IFERROR(__xludf.DUMMYFUNCTION("""COMPUTED_VALUE"""),1562.0)</f>
        <v>1562</v>
      </c>
      <c r="L74" s="189">
        <f>IFERROR(__xludf.DUMMYFUNCTION("""COMPUTED_VALUE"""),1597.0)</f>
        <v>1597</v>
      </c>
      <c r="M74" s="189">
        <f>IFERROR(__xludf.DUMMYFUNCTION("""COMPUTED_VALUE"""),1681.0)</f>
        <v>1681</v>
      </c>
      <c r="N74" s="189">
        <f>IFERROR(__xludf.DUMMYFUNCTION("""COMPUTED_VALUE"""),1655.0)</f>
        <v>1655</v>
      </c>
      <c r="O74" s="189">
        <f>IFERROR(__xludf.DUMMYFUNCTION("""COMPUTED_VALUE"""),1604.0)</f>
        <v>1604</v>
      </c>
      <c r="P74" s="189">
        <f>IFERROR(__xludf.DUMMYFUNCTION("""COMPUTED_VALUE"""),1580.0)</f>
        <v>1580</v>
      </c>
      <c r="Q74" s="189">
        <f>IFERROR(__xludf.DUMMYFUNCTION("""COMPUTED_VALUE"""),1546.0)</f>
        <v>1546</v>
      </c>
      <c r="R74" s="189">
        <f>IFERROR(__xludf.DUMMYFUNCTION("""COMPUTED_VALUE"""),1470.0)</f>
        <v>1470</v>
      </c>
      <c r="S74" s="189">
        <f>IFERROR(__xludf.DUMMYFUNCTION("""COMPUTED_VALUE"""),1474.0)</f>
        <v>1474</v>
      </c>
    </row>
    <row r="75">
      <c r="A75" s="186" t="str">
        <f>IFERROR(__xludf.DUMMYFUNCTION("""COMPUTED_VALUE"""),"DE")</f>
        <v>DE</v>
      </c>
      <c r="B75" s="186" t="str">
        <f>IFERROR(__xludf.DUMMYFUNCTION("""COMPUTED_VALUE"""),"W47")</f>
        <v>W47</v>
      </c>
      <c r="C75" s="186">
        <f>IFERROR(__xludf.DUMMYFUNCTION("""COMPUTED_VALUE"""),313.0)</f>
        <v>313</v>
      </c>
      <c r="D75" s="186" t="str">
        <f>IFERROR(__xludf.DUMMYFUNCTION("""COMPUTED_VALUE"""),"CON-00-149989-2")</f>
        <v>CON-00-149989-2</v>
      </c>
      <c r="E75" s="186" t="str">
        <f>IFERROR(__xludf.DUMMYFUNCTION("""COMPUTED_VALUE"""),"Tex-Mex Style Chicken Thigh Tinga")</f>
        <v>Tex-Mex Style Chicken Thigh Tinga</v>
      </c>
      <c r="F75" s="186" t="str">
        <f>IFERROR(__xludf.DUMMYFUNCTION("""COMPUTED_VALUE"""),"Tex-Mex Hähnchen-Tinga")</f>
        <v>Tex-Mex Hähnchen-Tinga</v>
      </c>
      <c r="G75" s="186" t="str">
        <f>IFERROR(__xludf.DUMMYFUNCTION("""COMPUTED_VALUE"""),"FE1131D")</f>
        <v>FE1131D</v>
      </c>
      <c r="H75" s="186">
        <f>IFERROR(__xludf.DUMMYFUNCTION("""COMPUTED_VALUE"""),565166.0)</f>
        <v>565166</v>
      </c>
      <c r="I75" s="186" t="str">
        <f>IFERROR(__xludf.DUMMYFUNCTION("""COMPUTED_VALUE"""),"HF Tex Mex style pulled chicke")</f>
        <v>HF Tex Mex style pulled chicke</v>
      </c>
      <c r="J75" s="189">
        <f>IFERROR(__xludf.DUMMYFUNCTION("""COMPUTED_VALUE"""),1656.0)</f>
        <v>1656</v>
      </c>
      <c r="K75" s="189">
        <f>IFERROR(__xludf.DUMMYFUNCTION("""COMPUTED_VALUE"""),1611.0)</f>
        <v>1611</v>
      </c>
      <c r="L75" s="189">
        <f>IFERROR(__xludf.DUMMYFUNCTION("""COMPUTED_VALUE"""),1442.0)</f>
        <v>1442</v>
      </c>
      <c r="M75" s="189">
        <f>IFERROR(__xludf.DUMMYFUNCTION("""COMPUTED_VALUE"""),1483.0)</f>
        <v>1483</v>
      </c>
      <c r="N75" s="189">
        <f>IFERROR(__xludf.DUMMYFUNCTION("""COMPUTED_VALUE"""),1513.0)</f>
        <v>1513</v>
      </c>
      <c r="O75" s="189">
        <f>IFERROR(__xludf.DUMMYFUNCTION("""COMPUTED_VALUE"""),1488.0)</f>
        <v>1488</v>
      </c>
      <c r="P75" s="189">
        <f>IFERROR(__xludf.DUMMYFUNCTION("""COMPUTED_VALUE"""),1479.0)</f>
        <v>1479</v>
      </c>
      <c r="Q75" s="189">
        <f>IFERROR(__xludf.DUMMYFUNCTION("""COMPUTED_VALUE"""),1417.0)</f>
        <v>1417</v>
      </c>
      <c r="R75" s="189">
        <f>IFERROR(__xludf.DUMMYFUNCTION("""COMPUTED_VALUE"""),1301.0)</f>
        <v>1301</v>
      </c>
      <c r="S75" s="189">
        <f>IFERROR(__xludf.DUMMYFUNCTION("""COMPUTED_VALUE"""),1327.0)</f>
        <v>1327</v>
      </c>
    </row>
    <row r="76">
      <c r="A76" s="186" t="str">
        <f>IFERROR(__xludf.DUMMYFUNCTION("""COMPUTED_VALUE"""),"DE")</f>
        <v>DE</v>
      </c>
      <c r="B76" s="186" t="str">
        <f>IFERROR(__xludf.DUMMYFUNCTION("""COMPUTED_VALUE"""),"W47")</f>
        <v>W47</v>
      </c>
      <c r="C76" s="186">
        <f>IFERROR(__xludf.DUMMYFUNCTION("""COMPUTED_VALUE"""),314.0)</f>
        <v>314</v>
      </c>
      <c r="D76" s="186" t="str">
        <f>IFERROR(__xludf.DUMMYFUNCTION("""COMPUTED_VALUE"""),"CON-00-150540-2")</f>
        <v>CON-00-150540-2</v>
      </c>
      <c r="E76" s="186" t="str">
        <f>IFERROR(__xludf.DUMMYFUNCTION("""COMPUTED_VALUE"""),"Tabbouleh Rice &amp; Grilled Chicken")</f>
        <v>Tabbouleh Rice &amp; Grilled Chicken</v>
      </c>
      <c r="F76" s="186" t="str">
        <f>IFERROR(__xludf.DUMMYFUNCTION("""COMPUTED_VALUE"""),"Tabbouleh-Reis &amp; Gegrilltes Hähnchen")</f>
        <v>Tabbouleh-Reis &amp; Gegrilltes Hähnchen</v>
      </c>
      <c r="G76" s="186" t="str">
        <f>IFERROR(__xludf.DUMMYFUNCTION("""COMPUTED_VALUE"""),"FE0833F")</f>
        <v>FE0833F</v>
      </c>
      <c r="H76" s="186">
        <f>IFERROR(__xludf.DUMMYFUNCTION("""COMPUTED_VALUE"""),565169.0)</f>
        <v>565169</v>
      </c>
      <c r="I76" s="186" t="str">
        <f>IFERROR(__xludf.DUMMYFUNCTION("""COMPUTED_VALUE"""),"HF Kip tabouleh met tzatziki")</f>
        <v>HF Kip tabouleh met tzatziki</v>
      </c>
      <c r="J76" s="186">
        <f>IFERROR(__xludf.DUMMYFUNCTION("""COMPUTED_VALUE"""),1080.0)</f>
        <v>1080</v>
      </c>
      <c r="K76" s="186">
        <f>IFERROR(__xludf.DUMMYFUNCTION("""COMPUTED_VALUE"""),1007.0)</f>
        <v>1007</v>
      </c>
      <c r="L76" s="189">
        <f>IFERROR(__xludf.DUMMYFUNCTION("""COMPUTED_VALUE"""),1130.0)</f>
        <v>1130</v>
      </c>
      <c r="M76" s="189">
        <f>IFERROR(__xludf.DUMMYFUNCTION("""COMPUTED_VALUE"""),1071.0)</f>
        <v>1071</v>
      </c>
      <c r="N76" s="189">
        <f>IFERROR(__xludf.DUMMYFUNCTION("""COMPUTED_VALUE"""),1042.0)</f>
        <v>1042</v>
      </c>
      <c r="O76" s="189">
        <f>IFERROR(__xludf.DUMMYFUNCTION("""COMPUTED_VALUE"""),994.0)</f>
        <v>994</v>
      </c>
      <c r="P76" s="186">
        <f>IFERROR(__xludf.DUMMYFUNCTION("""COMPUTED_VALUE"""),995.0)</f>
        <v>995</v>
      </c>
      <c r="Q76" s="186">
        <f>IFERROR(__xludf.DUMMYFUNCTION("""COMPUTED_VALUE"""),956.0)</f>
        <v>956</v>
      </c>
      <c r="R76" s="186">
        <f>IFERROR(__xludf.DUMMYFUNCTION("""COMPUTED_VALUE"""),923.0)</f>
        <v>923</v>
      </c>
      <c r="S76" s="189">
        <f>IFERROR(__xludf.DUMMYFUNCTION("""COMPUTED_VALUE"""),912.0)</f>
        <v>912</v>
      </c>
    </row>
    <row r="77">
      <c r="A77" s="186" t="str">
        <f>IFERROR(__xludf.DUMMYFUNCTION("""COMPUTED_VALUE"""),"DE")</f>
        <v>DE</v>
      </c>
      <c r="B77" s="186" t="str">
        <f>IFERROR(__xludf.DUMMYFUNCTION("""COMPUTED_VALUE"""),"W47")</f>
        <v>W47</v>
      </c>
      <c r="C77" s="186">
        <f>IFERROR(__xludf.DUMMYFUNCTION("""COMPUTED_VALUE"""),315.0)</f>
        <v>315</v>
      </c>
      <c r="D77" s="186" t="str">
        <f>IFERROR(__xludf.DUMMYFUNCTION("""COMPUTED_VALUE"""),"CON-00-137164-3")</f>
        <v>CON-00-137164-3</v>
      </c>
      <c r="E77" s="186" t="str">
        <f>IFERROR(__xludf.DUMMYFUNCTION("""COMPUTED_VALUE"""),"Beef Shepherd's Pie")</f>
        <v>Beef Shepherd's Pie</v>
      </c>
      <c r="F77" s="186" t="str">
        <f>IFERROR(__xludf.DUMMYFUNCTION("""COMPUTED_VALUE"""),"Shepherd’s Pie mit Rindfleisch")</f>
        <v>Shepherd’s Pie mit Rindfleisch</v>
      </c>
      <c r="G77" s="186" t="str">
        <f>IFERROR(__xludf.DUMMYFUNCTION("""COMPUTED_VALUE"""),"FE0160C")</f>
        <v>FE0160C</v>
      </c>
      <c r="H77" s="186">
        <f>IFERROR(__xludf.DUMMYFUNCTION("""COMPUTED_VALUE"""),565153.0)</f>
        <v>565153</v>
      </c>
      <c r="I77" s="186" t="str">
        <f>IFERROR(__xludf.DUMMYFUNCTION("""COMPUTED_VALUE"""),"HF Beef Shephards Pie")</f>
        <v>HF Beef Shephards Pie</v>
      </c>
      <c r="J77" s="186">
        <f>IFERROR(__xludf.DUMMYFUNCTION("""COMPUTED_VALUE"""),870.0)</f>
        <v>870</v>
      </c>
      <c r="K77" s="186">
        <f>IFERROR(__xludf.DUMMYFUNCTION("""COMPUTED_VALUE"""),733.0)</f>
        <v>733</v>
      </c>
      <c r="L77" s="189">
        <f>IFERROR(__xludf.DUMMYFUNCTION("""COMPUTED_VALUE"""),1106.0)</f>
        <v>1106</v>
      </c>
      <c r="M77" s="189">
        <f>IFERROR(__xludf.DUMMYFUNCTION("""COMPUTED_VALUE"""),1134.0)</f>
        <v>1134</v>
      </c>
      <c r="N77" s="189">
        <f>IFERROR(__xludf.DUMMYFUNCTION("""COMPUTED_VALUE"""),1139.0)</f>
        <v>1139</v>
      </c>
      <c r="O77" s="189">
        <f>IFERROR(__xludf.DUMMYFUNCTION("""COMPUTED_VALUE"""),1112.0)</f>
        <v>1112</v>
      </c>
      <c r="P77" s="189">
        <f>IFERROR(__xludf.DUMMYFUNCTION("""COMPUTED_VALUE"""),1114.0)</f>
        <v>1114</v>
      </c>
      <c r="Q77" s="189">
        <f>IFERROR(__xludf.DUMMYFUNCTION("""COMPUTED_VALUE"""),1075.0)</f>
        <v>1075</v>
      </c>
      <c r="R77" s="189">
        <f>IFERROR(__xludf.DUMMYFUNCTION("""COMPUTED_VALUE"""),1063.0)</f>
        <v>1063</v>
      </c>
      <c r="S77" s="189">
        <f>IFERROR(__xludf.DUMMYFUNCTION("""COMPUTED_VALUE"""),1064.0)</f>
        <v>1064</v>
      </c>
    </row>
    <row r="78">
      <c r="A78" s="186" t="str">
        <f>IFERROR(__xludf.DUMMYFUNCTION("""COMPUTED_VALUE"""),"DE")</f>
        <v>DE</v>
      </c>
      <c r="B78" s="186" t="str">
        <f>IFERROR(__xludf.DUMMYFUNCTION("""COMPUTED_VALUE"""),"W47")</f>
        <v>W47</v>
      </c>
      <c r="C78" s="186">
        <f>IFERROR(__xludf.DUMMYFUNCTION("""COMPUTED_VALUE"""),316.0)</f>
        <v>316</v>
      </c>
      <c r="D78" s="186" t="str">
        <f>IFERROR(__xludf.DUMMYFUNCTION("""COMPUTED_VALUE"""),"CON-00-136623-3")</f>
        <v>CON-00-136623-3</v>
      </c>
      <c r="E78" s="186" t="str">
        <f>IFERROR(__xludf.DUMMYFUNCTION("""COMPUTED_VALUE"""),"Indian style butter chicken")</f>
        <v>Indian style butter chicken</v>
      </c>
      <c r="F78" s="186" t="str">
        <f>IFERROR(__xludf.DUMMYFUNCTION("""COMPUTED_VALUE"""),"Indisches Butterhuhn")</f>
        <v>Indisches Butterhuhn</v>
      </c>
      <c r="G78" s="186" t="str">
        <f>IFERROR(__xludf.DUMMYFUNCTION("""COMPUTED_VALUE"""),"FE0472B")</f>
        <v>FE0472B</v>
      </c>
      <c r="H78" s="186">
        <f>IFERROR(__xludf.DUMMYFUNCTION("""COMPUTED_VALUE"""),565145.0)</f>
        <v>565145</v>
      </c>
      <c r="I78" s="186" t="str">
        <f>IFERROR(__xludf.DUMMYFUNCTION("""COMPUTED_VALUE"""),"HF RW Butter Chicken")</f>
        <v>HF RW Butter Chicken</v>
      </c>
      <c r="J78" s="186">
        <f>IFERROR(__xludf.DUMMYFUNCTION("""COMPUTED_VALUE"""),762.0)</f>
        <v>762</v>
      </c>
      <c r="K78" s="186">
        <f>IFERROR(__xludf.DUMMYFUNCTION("""COMPUTED_VALUE"""),842.0)</f>
        <v>842</v>
      </c>
      <c r="L78" s="189">
        <f>IFERROR(__xludf.DUMMYFUNCTION("""COMPUTED_VALUE"""),1180.0)</f>
        <v>1180</v>
      </c>
      <c r="M78" s="189">
        <f>IFERROR(__xludf.DUMMYFUNCTION("""COMPUTED_VALUE"""),1164.0)</f>
        <v>1164</v>
      </c>
      <c r="N78" s="189">
        <f>IFERROR(__xludf.DUMMYFUNCTION("""COMPUTED_VALUE"""),1130.0)</f>
        <v>1130</v>
      </c>
      <c r="O78" s="189">
        <f>IFERROR(__xludf.DUMMYFUNCTION("""COMPUTED_VALUE"""),1113.0)</f>
        <v>1113</v>
      </c>
      <c r="P78" s="189">
        <f>IFERROR(__xludf.DUMMYFUNCTION("""COMPUTED_VALUE"""),1114.0)</f>
        <v>1114</v>
      </c>
      <c r="Q78" s="189">
        <f>IFERROR(__xludf.DUMMYFUNCTION("""COMPUTED_VALUE"""),1066.0)</f>
        <v>1066</v>
      </c>
      <c r="R78" s="189">
        <f>IFERROR(__xludf.DUMMYFUNCTION("""COMPUTED_VALUE"""),1016.0)</f>
        <v>1016</v>
      </c>
      <c r="S78" s="189">
        <f>IFERROR(__xludf.DUMMYFUNCTION("""COMPUTED_VALUE"""),1020.0)</f>
        <v>1020</v>
      </c>
    </row>
    <row r="79">
      <c r="A79" s="186" t="str">
        <f>IFERROR(__xludf.DUMMYFUNCTION("""COMPUTED_VALUE"""),"DE")</f>
        <v>DE</v>
      </c>
      <c r="B79" s="186" t="str">
        <f>IFERROR(__xludf.DUMMYFUNCTION("""COMPUTED_VALUE"""),"W47")</f>
        <v>W47</v>
      </c>
      <c r="C79" s="186">
        <f>IFERROR(__xludf.DUMMYFUNCTION("""COMPUTED_VALUE"""),317.0)</f>
        <v>317</v>
      </c>
      <c r="D79" s="186" t="str">
        <f>IFERROR(__xludf.DUMMYFUNCTION("""COMPUTED_VALUE"""),"CON-00-136639-3")</f>
        <v>CON-00-136639-3</v>
      </c>
      <c r="E79" s="186" t="str">
        <f>IFERROR(__xludf.DUMMYFUNCTION("""COMPUTED_VALUE"""),"Pork tenderloin in red pepper sauce")</f>
        <v>Pork tenderloin in red pepper sauce</v>
      </c>
      <c r="F79" s="186" t="str">
        <f>IFERROR(__xludf.DUMMYFUNCTION("""COMPUTED_VALUE"""),"Schweinefilet in Paprikasauce")</f>
        <v>Schweinefilet in Paprikasauce</v>
      </c>
      <c r="G79" s="186" t="str">
        <f>IFERROR(__xludf.DUMMYFUNCTION("""COMPUTED_VALUE"""),"FE0430E")</f>
        <v>FE0430E</v>
      </c>
      <c r="H79" s="186">
        <f>IFERROR(__xludf.DUMMYFUNCTION("""COMPUTED_VALUE"""),565140.0)</f>
        <v>565140</v>
      </c>
      <c r="I79" s="186"/>
      <c r="J79" s="186">
        <f>IFERROR(__xludf.DUMMYFUNCTION("""COMPUTED_VALUE"""),503.0)</f>
        <v>503</v>
      </c>
      <c r="K79" s="186">
        <f>IFERROR(__xludf.DUMMYFUNCTION("""COMPUTED_VALUE"""),554.0)</f>
        <v>554</v>
      </c>
      <c r="L79" s="186">
        <f>IFERROR(__xludf.DUMMYFUNCTION("""COMPUTED_VALUE"""),560.0)</f>
        <v>560</v>
      </c>
      <c r="M79" s="186">
        <f>IFERROR(__xludf.DUMMYFUNCTION("""COMPUTED_VALUE"""),651.0)</f>
        <v>651</v>
      </c>
      <c r="N79" s="186">
        <f>IFERROR(__xludf.DUMMYFUNCTION("""COMPUTED_VALUE"""),664.0)</f>
        <v>664</v>
      </c>
      <c r="O79" s="186">
        <f>IFERROR(__xludf.DUMMYFUNCTION("""COMPUTED_VALUE"""),640.0)</f>
        <v>640</v>
      </c>
      <c r="P79" s="186">
        <f>IFERROR(__xludf.DUMMYFUNCTION("""COMPUTED_VALUE"""),652.0)</f>
        <v>652</v>
      </c>
      <c r="Q79" s="186">
        <f>IFERROR(__xludf.DUMMYFUNCTION("""COMPUTED_VALUE"""),648.0)</f>
        <v>648</v>
      </c>
      <c r="R79" s="186">
        <f>IFERROR(__xludf.DUMMYFUNCTION("""COMPUTED_VALUE"""),609.0)</f>
        <v>609</v>
      </c>
      <c r="S79" s="189">
        <f>IFERROR(__xludf.DUMMYFUNCTION("""COMPUTED_VALUE"""),643.0)</f>
        <v>643</v>
      </c>
    </row>
    <row r="80">
      <c r="A80" s="186" t="str">
        <f>IFERROR(__xludf.DUMMYFUNCTION("""COMPUTED_VALUE"""),"DE")</f>
        <v>DE</v>
      </c>
      <c r="B80" s="186" t="str">
        <f>IFERROR(__xludf.DUMMYFUNCTION("""COMPUTED_VALUE"""),"W47")</f>
        <v>W47</v>
      </c>
      <c r="C80" s="186">
        <f>IFERROR(__xludf.DUMMYFUNCTION("""COMPUTED_VALUE"""),318.0)</f>
        <v>318</v>
      </c>
      <c r="D80" s="186" t="str">
        <f>IFERROR(__xludf.DUMMYFUNCTION("""COMPUTED_VALUE"""),"CON-00-136726-3")</f>
        <v>CON-00-136726-3</v>
      </c>
      <c r="E80" s="186" t="str">
        <f>IFERROR(__xludf.DUMMYFUNCTION("""COMPUTED_VALUE"""),"Pork tenderloin with apple-mustard sauce")</f>
        <v>Pork tenderloin with apple-mustard sauce</v>
      </c>
      <c r="F80" s="186" t="str">
        <f>IFERROR(__xludf.DUMMYFUNCTION("""COMPUTED_VALUE"""),"Schweinefilet mit Apfel-Senf-Soße")</f>
        <v>Schweinefilet mit Apfel-Senf-Soße</v>
      </c>
      <c r="G80" s="186" t="str">
        <f>IFERROR(__xludf.DUMMYFUNCTION("""COMPUTED_VALUE"""),"FE0890B")</f>
        <v>FE0890B</v>
      </c>
      <c r="H80" s="186">
        <f>IFERROR(__xludf.DUMMYFUNCTION("""COMPUTED_VALUE"""),565117.0)</f>
        <v>565117</v>
      </c>
      <c r="I80" s="186"/>
      <c r="J80" s="186">
        <f>IFERROR(__xludf.DUMMYFUNCTION("""COMPUTED_VALUE"""),553.0)</f>
        <v>553</v>
      </c>
      <c r="K80" s="186">
        <f>IFERROR(__xludf.DUMMYFUNCTION("""COMPUTED_VALUE"""),587.0)</f>
        <v>587</v>
      </c>
      <c r="L80" s="186">
        <f>IFERROR(__xludf.DUMMYFUNCTION("""COMPUTED_VALUE"""),601.0)</f>
        <v>601</v>
      </c>
      <c r="M80" s="186">
        <f>IFERROR(__xludf.DUMMYFUNCTION("""COMPUTED_VALUE"""),619.0)</f>
        <v>619</v>
      </c>
      <c r="N80" s="186">
        <f>IFERROR(__xludf.DUMMYFUNCTION("""COMPUTED_VALUE"""),638.0)</f>
        <v>638</v>
      </c>
      <c r="O80" s="186">
        <f>IFERROR(__xludf.DUMMYFUNCTION("""COMPUTED_VALUE"""),631.0)</f>
        <v>631</v>
      </c>
      <c r="P80" s="186">
        <f>IFERROR(__xludf.DUMMYFUNCTION("""COMPUTED_VALUE"""),617.0)</f>
        <v>617</v>
      </c>
      <c r="Q80" s="186">
        <f>IFERROR(__xludf.DUMMYFUNCTION("""COMPUTED_VALUE"""),602.0)</f>
        <v>602</v>
      </c>
      <c r="R80" s="186">
        <f>IFERROR(__xludf.DUMMYFUNCTION("""COMPUTED_VALUE"""),581.0)</f>
        <v>581</v>
      </c>
      <c r="S80" s="189">
        <f>IFERROR(__xludf.DUMMYFUNCTION("""COMPUTED_VALUE"""),578.0)</f>
        <v>578</v>
      </c>
    </row>
    <row r="81">
      <c r="A81" s="186" t="str">
        <f>IFERROR(__xludf.DUMMYFUNCTION("""COMPUTED_VALUE"""),"DE")</f>
        <v>DE</v>
      </c>
      <c r="B81" s="186" t="str">
        <f>IFERROR(__xludf.DUMMYFUNCTION("""COMPUTED_VALUE"""),"W47")</f>
        <v>W47</v>
      </c>
      <c r="C81" s="186">
        <f>IFERROR(__xludf.DUMMYFUNCTION("""COMPUTED_VALUE"""),806.0)</f>
        <v>806</v>
      </c>
      <c r="D81" s="186" t="str">
        <f>IFERROR(__xludf.DUMMYFUNCTION("""COMPUTED_VALUE"""),"PTN-00-136930-3")</f>
        <v>PTN-00-136930-3</v>
      </c>
      <c r="E81" s="186" t="str">
        <f>IFERROR(__xludf.DUMMYFUNCTION("""COMPUTED_VALUE"""),"Garlic Herb Grilled Chicken")</f>
        <v>Garlic Herb Grilled Chicken</v>
      </c>
      <c r="F81" s="186" t="str">
        <f>IFERROR(__xludf.DUMMYFUNCTION("""COMPUTED_VALUE"""),"Gegrilltes Hähnchen mit Knoblauch-Kräutern")</f>
        <v>Gegrilltes Hähnchen mit Knoblauch-Kräutern</v>
      </c>
      <c r="G81" s="186" t="str">
        <f>IFERROR(__xludf.DUMMYFUNCTION("""COMPUTED_VALUE"""),"FEA006A")</f>
        <v>FEA006A</v>
      </c>
      <c r="H81" s="186">
        <f>IFERROR(__xludf.DUMMYFUNCTION("""COMPUTED_VALUE"""),565119.0)</f>
        <v>565119</v>
      </c>
      <c r="I81" s="186"/>
      <c r="J81" s="186">
        <f>IFERROR(__xludf.DUMMYFUNCTION("""COMPUTED_VALUE"""),79.0)</f>
        <v>79</v>
      </c>
      <c r="K81" s="186">
        <f>IFERROR(__xludf.DUMMYFUNCTION("""COMPUTED_VALUE"""),79.0)</f>
        <v>79</v>
      </c>
      <c r="L81" s="186">
        <f>IFERROR(__xludf.DUMMYFUNCTION("""COMPUTED_VALUE"""),79.0)</f>
        <v>79</v>
      </c>
      <c r="M81" s="186">
        <f>IFERROR(__xludf.DUMMYFUNCTION("""COMPUTED_VALUE"""),79.0)</f>
        <v>79</v>
      </c>
      <c r="N81" s="186">
        <f>IFERROR(__xludf.DUMMYFUNCTION("""COMPUTED_VALUE"""),79.0)</f>
        <v>79</v>
      </c>
      <c r="O81" s="186">
        <f>IFERROR(__xludf.DUMMYFUNCTION("""COMPUTED_VALUE"""),79.0)</f>
        <v>79</v>
      </c>
      <c r="P81" s="186">
        <f>IFERROR(__xludf.DUMMYFUNCTION("""COMPUTED_VALUE"""),79.0)</f>
        <v>79</v>
      </c>
      <c r="Q81" s="186">
        <f>IFERROR(__xludf.DUMMYFUNCTION("""COMPUTED_VALUE"""),79.0)</f>
        <v>79</v>
      </c>
      <c r="R81" s="186">
        <f>IFERROR(__xludf.DUMMYFUNCTION("""COMPUTED_VALUE"""),48.0)</f>
        <v>48</v>
      </c>
      <c r="S81" s="189">
        <f>IFERROR(__xludf.DUMMYFUNCTION("""COMPUTED_VALUE"""),79.0)</f>
        <v>79</v>
      </c>
    </row>
    <row r="82">
      <c r="A82" s="186" t="str">
        <f>IFERROR(__xludf.DUMMYFUNCTION("""COMPUTED_VALUE"""),"DE")</f>
        <v>DE</v>
      </c>
      <c r="B82" s="186" t="str">
        <f>IFERROR(__xludf.DUMMYFUNCTION("""COMPUTED_VALUE"""),"W47")</f>
        <v>W47</v>
      </c>
      <c r="C82" s="186"/>
      <c r="D82" s="186"/>
      <c r="E82" s="186"/>
      <c r="F82" s="186"/>
      <c r="G82" s="186"/>
      <c r="H82" s="186"/>
      <c r="I82" s="186"/>
      <c r="J82" s="189">
        <f>IFERROR(__xludf.DUMMYFUNCTION("""COMPUTED_VALUE"""),29046.0)</f>
        <v>29046</v>
      </c>
      <c r="K82" s="189">
        <f>IFERROR(__xludf.DUMMYFUNCTION("""COMPUTED_VALUE"""),27646.0)</f>
        <v>27646</v>
      </c>
      <c r="L82" s="189">
        <f>IFERROR(__xludf.DUMMYFUNCTION("""COMPUTED_VALUE"""),27184.0)</f>
        <v>27184</v>
      </c>
      <c r="M82" s="189">
        <f>IFERROR(__xludf.DUMMYFUNCTION("""COMPUTED_VALUE"""),27517.0)</f>
        <v>27517</v>
      </c>
      <c r="N82" s="189">
        <f>IFERROR(__xludf.DUMMYFUNCTION("""COMPUTED_VALUE"""),28067.0)</f>
        <v>28067</v>
      </c>
      <c r="O82" s="189">
        <f>IFERROR(__xludf.DUMMYFUNCTION("""COMPUTED_VALUE"""),27892.0)</f>
        <v>27892</v>
      </c>
      <c r="P82" s="189">
        <f>IFERROR(__xludf.DUMMYFUNCTION("""COMPUTED_VALUE"""),28001.0)</f>
        <v>28001</v>
      </c>
      <c r="Q82" s="189">
        <f>IFERROR(__xludf.DUMMYFUNCTION("""COMPUTED_VALUE"""),27698.0)</f>
        <v>27698</v>
      </c>
      <c r="R82" s="189">
        <f>IFERROR(__xludf.DUMMYFUNCTION("""COMPUTED_VALUE"""),26103.0)</f>
        <v>26103</v>
      </c>
      <c r="S82" s="189">
        <f>IFERROR(__xludf.DUMMYFUNCTION("""COMPUTED_VALUE"""),26466.0)</f>
        <v>26466</v>
      </c>
    </row>
    <row r="83">
      <c r="A83" s="186" t="str">
        <f>IFERROR(__xludf.DUMMYFUNCTION("""COMPUTED_VALUE"""),"NORDICS")</f>
        <v>NORDICS</v>
      </c>
      <c r="B83" s="186" t="str">
        <f>IFERROR(__xludf.DUMMYFUNCTION("""COMPUTED_VALUE"""),"W48")</f>
        <v>W48</v>
      </c>
      <c r="C83" s="186">
        <f>IFERROR(__xludf.DUMMYFUNCTION("""COMPUTED_VALUE"""),301.0)</f>
        <v>301</v>
      </c>
      <c r="D83" s="186"/>
      <c r="E83" s="186"/>
      <c r="F83" s="186"/>
      <c r="G83" s="186" t="str">
        <f>IFERROR(__xludf.DUMMYFUNCTION("""COMPUTED_VALUE"""),"FE0628B")</f>
        <v>FE0628B</v>
      </c>
      <c r="H83" s="186"/>
      <c r="I83" s="186"/>
      <c r="J83" s="189">
        <f>IFERROR(__xludf.DUMMYFUNCTION("""COMPUTED_VALUE"""),3687.0)</f>
        <v>3687</v>
      </c>
      <c r="K83" s="189">
        <f>IFERROR(__xludf.DUMMYFUNCTION("""COMPUTED_VALUE"""),3643.0)</f>
        <v>3643</v>
      </c>
      <c r="L83" s="189">
        <f>IFERROR(__xludf.DUMMYFUNCTION("""COMPUTED_VALUE"""),3477.0)</f>
        <v>3477</v>
      </c>
      <c r="M83" s="189">
        <f>IFERROR(__xludf.DUMMYFUNCTION("""COMPUTED_VALUE"""),3322.0)</f>
        <v>3322</v>
      </c>
      <c r="N83" s="189">
        <f>IFERROR(__xludf.DUMMYFUNCTION("""COMPUTED_VALUE"""),3330.0)</f>
        <v>3330</v>
      </c>
      <c r="O83" s="189">
        <f>IFERROR(__xludf.DUMMYFUNCTION("""COMPUTED_VALUE"""),3216.0)</f>
        <v>3216</v>
      </c>
      <c r="P83" s="189">
        <f>IFERROR(__xludf.DUMMYFUNCTION("""COMPUTED_VALUE"""),3098.0)</f>
        <v>3098</v>
      </c>
      <c r="Q83" s="189">
        <f>IFERROR(__xludf.DUMMYFUNCTION("""COMPUTED_VALUE"""),3052.0)</f>
        <v>3052</v>
      </c>
      <c r="R83" s="189">
        <f>IFERROR(__xludf.DUMMYFUNCTION("""COMPUTED_VALUE"""),3053.0)</f>
        <v>3053</v>
      </c>
      <c r="S83" s="189">
        <f>IFERROR(__xludf.DUMMYFUNCTION("""COMPUTED_VALUE"""),2835.0)</f>
        <v>2835</v>
      </c>
    </row>
    <row r="84">
      <c r="A84" s="186" t="str">
        <f>IFERROR(__xludf.DUMMYFUNCTION("""COMPUTED_VALUE"""),"NORDICS")</f>
        <v>NORDICS</v>
      </c>
      <c r="B84" s="186" t="str">
        <f>IFERROR(__xludf.DUMMYFUNCTION("""COMPUTED_VALUE"""),"W48")</f>
        <v>W48</v>
      </c>
      <c r="C84" s="186">
        <f>IFERROR(__xludf.DUMMYFUNCTION("""COMPUTED_VALUE"""),302.0)</f>
        <v>302</v>
      </c>
      <c r="D84" s="186" t="str">
        <f>IFERROR(__xludf.DUMMYFUNCTION("""COMPUTED_VALUE"""),"CON-00-147840-2")</f>
        <v>CON-00-147840-2</v>
      </c>
      <c r="E84" s="186" t="str">
        <f>IFERROR(__xludf.DUMMYFUNCTION("""COMPUTED_VALUE"""),"Grilled chicken fillet and potato leek mash")</f>
        <v>Grilled chicken fillet and potato leek mash</v>
      </c>
      <c r="F84" s="186" t="str">
        <f>IFERROR(__xludf.DUMMYFUNCTION("""COMPUTED_VALUE"""),"Grillet kyllingefilet og kartoffel-porremos")</f>
        <v>Grillet kyllingefilet og kartoffel-porremos</v>
      </c>
      <c r="G84" s="186" t="str">
        <f>IFERROR(__xludf.DUMMYFUNCTION("""COMPUTED_VALUE"""),"FE0426B")</f>
        <v>FE0426B</v>
      </c>
      <c r="H84" s="186">
        <f>IFERROR(__xludf.DUMMYFUNCTION("""COMPUTED_VALUE"""),565035.0)</f>
        <v>565035</v>
      </c>
      <c r="I84" s="186" t="str">
        <f>IFERROR(__xludf.DUMMYFUNCTION("""COMPUTED_VALUE"""),"HF Puree van aardappel en prei met gegrilde kip 416g")</f>
        <v>HF Puree van aardappel en prei met gegrilde kip 416g</v>
      </c>
      <c r="J84" s="189">
        <f>IFERROR(__xludf.DUMMYFUNCTION("""COMPUTED_VALUE"""),2448.0)</f>
        <v>2448</v>
      </c>
      <c r="K84" s="189">
        <f>IFERROR(__xludf.DUMMYFUNCTION("""COMPUTED_VALUE"""),2459.0)</f>
        <v>2459</v>
      </c>
      <c r="L84" s="189">
        <f>IFERROR(__xludf.DUMMYFUNCTION("""COMPUTED_VALUE"""),2987.0)</f>
        <v>2987</v>
      </c>
      <c r="M84" s="189">
        <f>IFERROR(__xludf.DUMMYFUNCTION("""COMPUTED_VALUE"""),2673.0)</f>
        <v>2673</v>
      </c>
      <c r="N84" s="189">
        <f>IFERROR(__xludf.DUMMYFUNCTION("""COMPUTED_VALUE"""),2609.0)</f>
        <v>2609</v>
      </c>
      <c r="O84" s="189">
        <f>IFERROR(__xludf.DUMMYFUNCTION("""COMPUTED_VALUE"""),2552.0)</f>
        <v>2552</v>
      </c>
      <c r="P84" s="189">
        <f>IFERROR(__xludf.DUMMYFUNCTION("""COMPUTED_VALUE"""),2470.0)</f>
        <v>2470</v>
      </c>
      <c r="Q84" s="189">
        <f>IFERROR(__xludf.DUMMYFUNCTION("""COMPUTED_VALUE"""),2426.0)</f>
        <v>2426</v>
      </c>
      <c r="R84" s="189">
        <f>IFERROR(__xludf.DUMMYFUNCTION("""COMPUTED_VALUE"""),2375.0)</f>
        <v>2375</v>
      </c>
      <c r="S84" s="189">
        <f>IFERROR(__xludf.DUMMYFUNCTION("""COMPUTED_VALUE"""),2234.0)</f>
        <v>2234</v>
      </c>
    </row>
    <row r="85">
      <c r="A85" s="186" t="str">
        <f>IFERROR(__xludf.DUMMYFUNCTION("""COMPUTED_VALUE"""),"NORDICS")</f>
        <v>NORDICS</v>
      </c>
      <c r="B85" s="186" t="str">
        <f>IFERROR(__xludf.DUMMYFUNCTION("""COMPUTED_VALUE"""),"W48")</f>
        <v>W48</v>
      </c>
      <c r="C85" s="186">
        <f>IFERROR(__xludf.DUMMYFUNCTION("""COMPUTED_VALUE"""),303.0)</f>
        <v>303</v>
      </c>
      <c r="D85" s="186"/>
      <c r="E85" s="186"/>
      <c r="F85" s="186"/>
      <c r="G85" s="186" t="str">
        <f>IFERROR(__xludf.DUMMYFUNCTION("""COMPUTED_VALUE"""),"FE0713A")</f>
        <v>FE0713A</v>
      </c>
      <c r="H85" s="186"/>
      <c r="I85" s="186"/>
      <c r="J85" s="189">
        <f>IFERROR(__xludf.DUMMYFUNCTION("""COMPUTED_VALUE"""),2354.0)</f>
        <v>2354</v>
      </c>
      <c r="K85" s="189">
        <f>IFERROR(__xludf.DUMMYFUNCTION("""COMPUTED_VALUE"""),2423.0)</f>
        <v>2423</v>
      </c>
      <c r="L85" s="189">
        <f>IFERROR(__xludf.DUMMYFUNCTION("""COMPUTED_VALUE"""),2305.0)</f>
        <v>2305</v>
      </c>
      <c r="M85" s="189">
        <f>IFERROR(__xludf.DUMMYFUNCTION("""COMPUTED_VALUE"""),2254.0)</f>
        <v>2254</v>
      </c>
      <c r="N85" s="189">
        <f>IFERROR(__xludf.DUMMYFUNCTION("""COMPUTED_VALUE"""),2260.0)</f>
        <v>2260</v>
      </c>
      <c r="O85" s="189">
        <f>IFERROR(__xludf.DUMMYFUNCTION("""COMPUTED_VALUE"""),2226.0)</f>
        <v>2226</v>
      </c>
      <c r="P85" s="189">
        <f>IFERROR(__xludf.DUMMYFUNCTION("""COMPUTED_VALUE"""),2193.0)</f>
        <v>2193</v>
      </c>
      <c r="Q85" s="189">
        <f>IFERROR(__xludf.DUMMYFUNCTION("""COMPUTED_VALUE"""),2174.0)</f>
        <v>2174</v>
      </c>
      <c r="R85" s="189">
        <f>IFERROR(__xludf.DUMMYFUNCTION("""COMPUTED_VALUE"""),2126.0)</f>
        <v>2126</v>
      </c>
      <c r="S85" s="189">
        <f>IFERROR(__xludf.DUMMYFUNCTION("""COMPUTED_VALUE"""),2009.0)</f>
        <v>2009</v>
      </c>
    </row>
    <row r="86">
      <c r="A86" s="186" t="str">
        <f>IFERROR(__xludf.DUMMYFUNCTION("""COMPUTED_VALUE"""),"NORDICS")</f>
        <v>NORDICS</v>
      </c>
      <c r="B86" s="186" t="str">
        <f>IFERROR(__xludf.DUMMYFUNCTION("""COMPUTED_VALUE"""),"W48")</f>
        <v>W48</v>
      </c>
      <c r="C86" s="186">
        <f>IFERROR(__xludf.DUMMYFUNCTION("""COMPUTED_VALUE"""),304.0)</f>
        <v>304</v>
      </c>
      <c r="D86" s="186" t="str">
        <f>IFERROR(__xludf.DUMMYFUNCTION("""COMPUTED_VALUE"""),"CON-00-147896-2")</f>
        <v>CON-00-147896-2</v>
      </c>
      <c r="E86" s="186" t="str">
        <f>IFERROR(__xludf.DUMMYFUNCTION("""COMPUTED_VALUE"""),"Chicken in creamy basil sauce")</f>
        <v>Chicken in creamy basil sauce</v>
      </c>
      <c r="F86" s="186" t="str">
        <f>IFERROR(__xludf.DUMMYFUNCTION("""COMPUTED_VALUE"""),"Kylling i cremet basilikumssauce")</f>
        <v>Kylling i cremet basilikumssauce</v>
      </c>
      <c r="G86" s="186" t="str">
        <f>IFERROR(__xludf.DUMMYFUNCTION("""COMPUTED_VALUE"""),"FE4040B")</f>
        <v>FE4040B</v>
      </c>
      <c r="H86" s="186">
        <f>IFERROR(__xludf.DUMMYFUNCTION("""COMPUTED_VALUE"""),565172.0)</f>
        <v>565172</v>
      </c>
      <c r="I86" s="186"/>
      <c r="J86" s="189">
        <f>IFERROR(__xludf.DUMMYFUNCTION("""COMPUTED_VALUE"""),3458.0)</f>
        <v>3458</v>
      </c>
      <c r="K86" s="189">
        <f>IFERROR(__xludf.DUMMYFUNCTION("""COMPUTED_VALUE"""),3407.0)</f>
        <v>3407</v>
      </c>
      <c r="L86" s="189">
        <f>IFERROR(__xludf.DUMMYFUNCTION("""COMPUTED_VALUE"""),3173.0)</f>
        <v>3173</v>
      </c>
      <c r="M86" s="189">
        <f>IFERROR(__xludf.DUMMYFUNCTION("""COMPUTED_VALUE"""),3365.0)</f>
        <v>3365</v>
      </c>
      <c r="N86" s="189">
        <f>IFERROR(__xludf.DUMMYFUNCTION("""COMPUTED_VALUE"""),3303.0)</f>
        <v>3303</v>
      </c>
      <c r="O86" s="189">
        <f>IFERROR(__xludf.DUMMYFUNCTION("""COMPUTED_VALUE"""),3196.0)</f>
        <v>3196</v>
      </c>
      <c r="P86" s="189">
        <f>IFERROR(__xludf.DUMMYFUNCTION("""COMPUTED_VALUE"""),3127.0)</f>
        <v>3127</v>
      </c>
      <c r="Q86" s="189">
        <f>IFERROR(__xludf.DUMMYFUNCTION("""COMPUTED_VALUE"""),3105.0)</f>
        <v>3105</v>
      </c>
      <c r="R86" s="189">
        <f>IFERROR(__xludf.DUMMYFUNCTION("""COMPUTED_VALUE"""),3070.0)</f>
        <v>3070</v>
      </c>
      <c r="S86" s="189">
        <f>IFERROR(__xludf.DUMMYFUNCTION("""COMPUTED_VALUE"""),2888.0)</f>
        <v>2888</v>
      </c>
    </row>
    <row r="87">
      <c r="A87" s="186" t="str">
        <f>IFERROR(__xludf.DUMMYFUNCTION("""COMPUTED_VALUE"""),"NORDICS")</f>
        <v>NORDICS</v>
      </c>
      <c r="B87" s="186" t="str">
        <f>IFERROR(__xludf.DUMMYFUNCTION("""COMPUTED_VALUE"""),"W48")</f>
        <v>W48</v>
      </c>
      <c r="C87" s="186">
        <f>IFERROR(__xludf.DUMMYFUNCTION("""COMPUTED_VALUE"""),305.0)</f>
        <v>305</v>
      </c>
      <c r="D87" s="186"/>
      <c r="E87" s="186"/>
      <c r="F87" s="186"/>
      <c r="G87" s="186" t="str">
        <f>IFERROR(__xludf.DUMMYFUNCTION("""COMPUTED_VALUE"""),"FE4001B")</f>
        <v>FE4001B</v>
      </c>
      <c r="H87" s="186"/>
      <c r="I87" s="186"/>
      <c r="J87" s="189">
        <f>IFERROR(__xludf.DUMMYFUNCTION("""COMPUTED_VALUE"""),2785.0)</f>
        <v>2785</v>
      </c>
      <c r="K87" s="189">
        <f>IFERROR(__xludf.DUMMYFUNCTION("""COMPUTED_VALUE"""),2815.0)</f>
        <v>2815</v>
      </c>
      <c r="L87" s="189">
        <f>IFERROR(__xludf.DUMMYFUNCTION("""COMPUTED_VALUE"""),2655.0)</f>
        <v>2655</v>
      </c>
      <c r="M87" s="189">
        <f>IFERROR(__xludf.DUMMYFUNCTION("""COMPUTED_VALUE"""),2724.0)</f>
        <v>2724</v>
      </c>
      <c r="N87" s="189">
        <f>IFERROR(__xludf.DUMMYFUNCTION("""COMPUTED_VALUE"""),2713.0)</f>
        <v>2713</v>
      </c>
      <c r="O87" s="189">
        <f>IFERROR(__xludf.DUMMYFUNCTION("""COMPUTED_VALUE"""),2596.0)</f>
        <v>2596</v>
      </c>
      <c r="P87" s="189">
        <f>IFERROR(__xludf.DUMMYFUNCTION("""COMPUTED_VALUE"""),2519.0)</f>
        <v>2519</v>
      </c>
      <c r="Q87" s="189">
        <f>IFERROR(__xludf.DUMMYFUNCTION("""COMPUTED_VALUE"""),2462.0)</f>
        <v>2462</v>
      </c>
      <c r="R87" s="189">
        <f>IFERROR(__xludf.DUMMYFUNCTION("""COMPUTED_VALUE"""),2437.0)</f>
        <v>2437</v>
      </c>
      <c r="S87" s="189">
        <f>IFERROR(__xludf.DUMMYFUNCTION("""COMPUTED_VALUE"""),2271.0)</f>
        <v>2271</v>
      </c>
    </row>
    <row r="88">
      <c r="A88" s="186" t="str">
        <f>IFERROR(__xludf.DUMMYFUNCTION("""COMPUTED_VALUE"""),"NORDICS")</f>
        <v>NORDICS</v>
      </c>
      <c r="B88" s="186" t="str">
        <f>IFERROR(__xludf.DUMMYFUNCTION("""COMPUTED_VALUE"""),"W48")</f>
        <v>W48</v>
      </c>
      <c r="C88" s="186">
        <f>IFERROR(__xludf.DUMMYFUNCTION("""COMPUTED_VALUE"""),306.0)</f>
        <v>306</v>
      </c>
      <c r="D88" s="186"/>
      <c r="E88" s="186"/>
      <c r="F88" s="186"/>
      <c r="G88" s="186" t="str">
        <f>IFERROR(__xludf.DUMMYFUNCTION("""COMPUTED_VALUE"""),"FE0198C")</f>
        <v>FE0198C</v>
      </c>
      <c r="H88" s="186"/>
      <c r="I88" s="186"/>
      <c r="J88" s="189">
        <f>IFERROR(__xludf.DUMMYFUNCTION("""COMPUTED_VALUE"""),2064.0)</f>
        <v>2064</v>
      </c>
      <c r="K88" s="189">
        <f>IFERROR(__xludf.DUMMYFUNCTION("""COMPUTED_VALUE"""),2067.0)</f>
        <v>2067</v>
      </c>
      <c r="L88" s="189">
        <f>IFERROR(__xludf.DUMMYFUNCTION("""COMPUTED_VALUE"""),1642.0)</f>
        <v>1642</v>
      </c>
      <c r="M88" s="189">
        <f>IFERROR(__xludf.DUMMYFUNCTION("""COMPUTED_VALUE"""),1698.0)</f>
        <v>1698</v>
      </c>
      <c r="N88" s="189">
        <f>IFERROR(__xludf.DUMMYFUNCTION("""COMPUTED_VALUE"""),1619.0)</f>
        <v>1619</v>
      </c>
      <c r="O88" s="189">
        <f>IFERROR(__xludf.DUMMYFUNCTION("""COMPUTED_VALUE"""),1580.0)</f>
        <v>1580</v>
      </c>
      <c r="P88" s="189">
        <f>IFERROR(__xludf.DUMMYFUNCTION("""COMPUTED_VALUE"""),1533.0)</f>
        <v>1533</v>
      </c>
      <c r="Q88" s="189">
        <f>IFERROR(__xludf.DUMMYFUNCTION("""COMPUTED_VALUE"""),1505.0)</f>
        <v>1505</v>
      </c>
      <c r="R88" s="189">
        <f>IFERROR(__xludf.DUMMYFUNCTION("""COMPUTED_VALUE"""),1441.0)</f>
        <v>1441</v>
      </c>
      <c r="S88" s="189">
        <f>IFERROR(__xludf.DUMMYFUNCTION("""COMPUTED_VALUE"""),1349.0)</f>
        <v>1349</v>
      </c>
    </row>
    <row r="89">
      <c r="A89" s="186" t="str">
        <f>IFERROR(__xludf.DUMMYFUNCTION("""COMPUTED_VALUE"""),"NORDICS")</f>
        <v>NORDICS</v>
      </c>
      <c r="B89" s="186" t="str">
        <f>IFERROR(__xludf.DUMMYFUNCTION("""COMPUTED_VALUE"""),"W48")</f>
        <v>W48</v>
      </c>
      <c r="C89" s="186">
        <f>IFERROR(__xludf.DUMMYFUNCTION("""COMPUTED_VALUE"""),307.0)</f>
        <v>307</v>
      </c>
      <c r="D89" s="186" t="str">
        <f>IFERROR(__xludf.DUMMYFUNCTION("""COMPUTED_VALUE"""),"CON-00-147883-2")</f>
        <v>CON-00-147883-2</v>
      </c>
      <c r="E89" s="186" t="str">
        <f>IFERROR(__xludf.DUMMYFUNCTION("""COMPUTED_VALUE"""),"Pork tenderloin with black pepper and sage")</f>
        <v>Pork tenderloin with black pepper and sage</v>
      </c>
      <c r="F89" s="186" t="str">
        <f>IFERROR(__xludf.DUMMYFUNCTION("""COMPUTED_VALUE"""),"Svinemørbrad med sort peber og salvie")</f>
        <v>Svinemørbrad med sort peber og salvie</v>
      </c>
      <c r="G89" s="186" t="str">
        <f>IFERROR(__xludf.DUMMYFUNCTION("""COMPUTED_VALUE"""),"FE4022B")</f>
        <v>FE4022B</v>
      </c>
      <c r="H89" s="186">
        <f>IFERROR(__xludf.DUMMYFUNCTION("""COMPUTED_VALUE"""),565146.0)</f>
        <v>565146</v>
      </c>
      <c r="I89" s="186" t="str">
        <f>IFERROR(__xludf.DUMMYFUNCTION("""COMPUTED_VALUE"""),"HF RW Varkenshaas zwpeper sali")</f>
        <v>HF RW Varkenshaas zwpeper sali</v>
      </c>
      <c r="J89" s="189">
        <f>IFERROR(__xludf.DUMMYFUNCTION("""COMPUTED_VALUE"""),1336.0)</f>
        <v>1336</v>
      </c>
      <c r="K89" s="189">
        <f>IFERROR(__xludf.DUMMYFUNCTION("""COMPUTED_VALUE"""),1330.0)</f>
        <v>1330</v>
      </c>
      <c r="L89" s="189">
        <f>IFERROR(__xludf.DUMMYFUNCTION("""COMPUTED_VALUE"""),1226.0)</f>
        <v>1226</v>
      </c>
      <c r="M89" s="189">
        <f>IFERROR(__xludf.DUMMYFUNCTION("""COMPUTED_VALUE"""),1242.0)</f>
        <v>1242</v>
      </c>
      <c r="N89" s="189">
        <f>IFERROR(__xludf.DUMMYFUNCTION("""COMPUTED_VALUE"""),1239.0)</f>
        <v>1239</v>
      </c>
      <c r="O89" s="189">
        <f>IFERROR(__xludf.DUMMYFUNCTION("""COMPUTED_VALUE"""),1211.0)</f>
        <v>1211</v>
      </c>
      <c r="P89" s="189">
        <f>IFERROR(__xludf.DUMMYFUNCTION("""COMPUTED_VALUE"""),1194.0)</f>
        <v>1194</v>
      </c>
      <c r="Q89" s="189">
        <f>IFERROR(__xludf.DUMMYFUNCTION("""COMPUTED_VALUE"""),1194.0)</f>
        <v>1194</v>
      </c>
      <c r="R89" s="189">
        <f>IFERROR(__xludf.DUMMYFUNCTION("""COMPUTED_VALUE"""),1139.0)</f>
        <v>1139</v>
      </c>
      <c r="S89" s="189">
        <f>IFERROR(__xludf.DUMMYFUNCTION("""COMPUTED_VALUE"""),1087.0)</f>
        <v>1087</v>
      </c>
    </row>
    <row r="90">
      <c r="A90" s="186" t="str">
        <f>IFERROR(__xludf.DUMMYFUNCTION("""COMPUTED_VALUE"""),"NORDICS")</f>
        <v>NORDICS</v>
      </c>
      <c r="B90" s="186" t="str">
        <f>IFERROR(__xludf.DUMMYFUNCTION("""COMPUTED_VALUE"""),"W48")</f>
        <v>W48</v>
      </c>
      <c r="C90" s="186">
        <f>IFERROR(__xludf.DUMMYFUNCTION("""COMPUTED_VALUE"""),308.0)</f>
        <v>308</v>
      </c>
      <c r="D90" s="186" t="str">
        <f>IFERROR(__xludf.DUMMYFUNCTION("""COMPUTED_VALUE"""),"CON-00-147893-2")</f>
        <v>CON-00-147893-2</v>
      </c>
      <c r="E90" s="186" t="str">
        <f>IFERROR(__xludf.DUMMYFUNCTION("""COMPUTED_VALUE"""),"Salmon in creamy gochugaru sauce")</f>
        <v>Salmon in creamy gochugaru sauce</v>
      </c>
      <c r="F90" s="186" t="str">
        <f>IFERROR(__xludf.DUMMYFUNCTION("""COMPUTED_VALUE"""),"Laks i cremet gochugaru sauce")</f>
        <v>Laks i cremet gochugaru sauce</v>
      </c>
      <c r="G90" s="186" t="str">
        <f>IFERROR(__xludf.DUMMYFUNCTION("""COMPUTED_VALUE"""),"FE4039C")</f>
        <v>FE4039C</v>
      </c>
      <c r="H90" s="186" t="str">
        <f>IFERROR(__xludf.DUMMYFUNCTION("""COMPUTED_VALUE"""),"NO565102")</f>
        <v>NO565102</v>
      </c>
      <c r="I90" s="186" t="str">
        <f>IFERROR(__xludf.DUMMYFUNCTION("""COMPUTED_VALUE"""),"HF Zalm in romige gochugaru saus 415g")</f>
        <v>HF Zalm in romige gochugaru saus 415g</v>
      </c>
      <c r="J90" s="189">
        <f>IFERROR(__xludf.DUMMYFUNCTION("""COMPUTED_VALUE"""),1790.0)</f>
        <v>1790</v>
      </c>
      <c r="K90" s="189">
        <f>IFERROR(__xludf.DUMMYFUNCTION("""COMPUTED_VALUE"""),1762.0)</f>
        <v>1762</v>
      </c>
      <c r="L90" s="189">
        <f>IFERROR(__xludf.DUMMYFUNCTION("""COMPUTED_VALUE"""),1698.0)</f>
        <v>1698</v>
      </c>
      <c r="M90" s="189">
        <f>IFERROR(__xludf.DUMMYFUNCTION("""COMPUTED_VALUE"""),1606.0)</f>
        <v>1606</v>
      </c>
      <c r="N90" s="189">
        <f>IFERROR(__xludf.DUMMYFUNCTION("""COMPUTED_VALUE"""),1566.0)</f>
        <v>1566</v>
      </c>
      <c r="O90" s="189">
        <f>IFERROR(__xludf.DUMMYFUNCTION("""COMPUTED_VALUE"""),1646.0)</f>
        <v>1646</v>
      </c>
      <c r="P90" s="189">
        <f>IFERROR(__xludf.DUMMYFUNCTION("""COMPUTED_VALUE"""),1619.0)</f>
        <v>1619</v>
      </c>
      <c r="Q90" s="189">
        <f>IFERROR(__xludf.DUMMYFUNCTION("""COMPUTED_VALUE"""),1597.0)</f>
        <v>1597</v>
      </c>
      <c r="R90" s="189">
        <f>IFERROR(__xludf.DUMMYFUNCTION("""COMPUTED_VALUE"""),1507.0)</f>
        <v>1507</v>
      </c>
      <c r="S90" s="189">
        <f>IFERROR(__xludf.DUMMYFUNCTION("""COMPUTED_VALUE"""),1457.0)</f>
        <v>1457</v>
      </c>
    </row>
    <row r="91">
      <c r="A91" s="186" t="str">
        <f>IFERROR(__xludf.DUMMYFUNCTION("""COMPUTED_VALUE"""),"NORDICS")</f>
        <v>NORDICS</v>
      </c>
      <c r="B91" s="186" t="str">
        <f>IFERROR(__xludf.DUMMYFUNCTION("""COMPUTED_VALUE"""),"W48")</f>
        <v>W48</v>
      </c>
      <c r="C91" s="186">
        <f>IFERROR(__xludf.DUMMYFUNCTION("""COMPUTED_VALUE"""),309.0)</f>
        <v>309</v>
      </c>
      <c r="D91" s="186"/>
      <c r="E91" s="186"/>
      <c r="F91" s="186"/>
      <c r="G91" s="186" t="str">
        <f>IFERROR(__xludf.DUMMYFUNCTION("""COMPUTED_VALUE"""),"FE0425C")</f>
        <v>FE0425C</v>
      </c>
      <c r="H91" s="186"/>
      <c r="I91" s="186"/>
      <c r="J91" s="186">
        <f>IFERROR(__xludf.DUMMYFUNCTION("""COMPUTED_VALUE"""),318.0)</f>
        <v>318</v>
      </c>
      <c r="K91" s="186">
        <f>IFERROR(__xludf.DUMMYFUNCTION("""COMPUTED_VALUE"""),318.0)</f>
        <v>318</v>
      </c>
      <c r="L91" s="189">
        <f>IFERROR(__xludf.DUMMYFUNCTION("""COMPUTED_VALUE"""),350.0)</f>
        <v>350</v>
      </c>
      <c r="M91" s="186">
        <f>IFERROR(__xludf.DUMMYFUNCTION("""COMPUTED_VALUE"""),348.0)</f>
        <v>348</v>
      </c>
      <c r="N91" s="186">
        <f>IFERROR(__xludf.DUMMYFUNCTION("""COMPUTED_VALUE"""),343.0)</f>
        <v>343</v>
      </c>
      <c r="O91" s="186">
        <f>IFERROR(__xludf.DUMMYFUNCTION("""COMPUTED_VALUE"""),304.0)</f>
        <v>304</v>
      </c>
      <c r="P91" s="186">
        <f>IFERROR(__xludf.DUMMYFUNCTION("""COMPUTED_VALUE"""),321.0)</f>
        <v>321</v>
      </c>
      <c r="Q91" s="186">
        <f>IFERROR(__xludf.DUMMYFUNCTION("""COMPUTED_VALUE"""),316.0)</f>
        <v>316</v>
      </c>
      <c r="R91" s="186">
        <f>IFERROR(__xludf.DUMMYFUNCTION("""COMPUTED_VALUE"""),306.0)</f>
        <v>306</v>
      </c>
      <c r="S91" s="189">
        <f>IFERROR(__xludf.DUMMYFUNCTION("""COMPUTED_VALUE"""),299.0)</f>
        <v>299</v>
      </c>
    </row>
    <row r="92">
      <c r="A92" s="186" t="str">
        <f>IFERROR(__xludf.DUMMYFUNCTION("""COMPUTED_VALUE"""),"NORDICS")</f>
        <v>NORDICS</v>
      </c>
      <c r="B92" s="186" t="str">
        <f>IFERROR(__xludf.DUMMYFUNCTION("""COMPUTED_VALUE"""),"W48")</f>
        <v>W48</v>
      </c>
      <c r="C92" s="186">
        <f>IFERROR(__xludf.DUMMYFUNCTION("""COMPUTED_VALUE"""),310.0)</f>
        <v>310</v>
      </c>
      <c r="D92" s="186" t="str">
        <f>IFERROR(__xludf.DUMMYFUNCTION("""COMPUTED_VALUE"""),"CON-00-147846-2")</f>
        <v>CON-00-147846-2</v>
      </c>
      <c r="E92" s="186" t="str">
        <f>IFERROR(__xludf.DUMMYFUNCTION("""COMPUTED_VALUE"""),"Sun-dried tomato trottole")</f>
        <v>Sun-dried tomato trottole</v>
      </c>
      <c r="F92" s="186" t="str">
        <f>IFERROR(__xludf.DUMMYFUNCTION("""COMPUTED_VALUE"""),"Trottole i soltørret tomatsauce ")</f>
        <v>Trottole i soltørret tomatsauce </v>
      </c>
      <c r="G92" s="186" t="str">
        <f>IFERROR(__xludf.DUMMYFUNCTION("""COMPUTED_VALUE"""),"FE0516A")</f>
        <v>FE0516A</v>
      </c>
      <c r="H92" s="186">
        <f>IFERROR(__xludf.DUMMYFUNCTION("""COMPUTED_VALUE"""),565111.0)</f>
        <v>565111</v>
      </c>
      <c r="I92" s="186"/>
      <c r="J92" s="186">
        <f>IFERROR(__xludf.DUMMYFUNCTION("""COMPUTED_VALUE"""),375.0)</f>
        <v>375</v>
      </c>
      <c r="K92" s="186">
        <f>IFERROR(__xludf.DUMMYFUNCTION("""COMPUTED_VALUE"""),352.0)</f>
        <v>352</v>
      </c>
      <c r="L92" s="189">
        <f>IFERROR(__xludf.DUMMYFUNCTION("""COMPUTED_VALUE"""),581.0)</f>
        <v>581</v>
      </c>
      <c r="M92" s="189">
        <f>IFERROR(__xludf.DUMMYFUNCTION("""COMPUTED_VALUE"""),453.0)</f>
        <v>453</v>
      </c>
      <c r="N92" s="189">
        <f>IFERROR(__xludf.DUMMYFUNCTION("""COMPUTED_VALUE"""),409.0)</f>
        <v>409</v>
      </c>
      <c r="O92" s="189">
        <f>IFERROR(__xludf.DUMMYFUNCTION("""COMPUTED_VALUE"""),421.0)</f>
        <v>421</v>
      </c>
      <c r="P92" s="189">
        <f>IFERROR(__xludf.DUMMYFUNCTION("""COMPUTED_VALUE"""),421.0)</f>
        <v>421</v>
      </c>
      <c r="Q92" s="189">
        <f>IFERROR(__xludf.DUMMYFUNCTION("""COMPUTED_VALUE"""),430.0)</f>
        <v>430</v>
      </c>
      <c r="R92" s="189">
        <f>IFERROR(__xludf.DUMMYFUNCTION("""COMPUTED_VALUE"""),404.0)</f>
        <v>404</v>
      </c>
      <c r="S92" s="186">
        <f>IFERROR(__xludf.DUMMYFUNCTION("""COMPUTED_VALUE"""),397.0)</f>
        <v>397</v>
      </c>
    </row>
    <row r="93">
      <c r="A93" s="186" t="str">
        <f>IFERROR(__xludf.DUMMYFUNCTION("""COMPUTED_VALUE"""),"NORDICS")</f>
        <v>NORDICS</v>
      </c>
      <c r="B93" s="186" t="str">
        <f>IFERROR(__xludf.DUMMYFUNCTION("""COMPUTED_VALUE"""),"W48")</f>
        <v>W48</v>
      </c>
      <c r="C93" s="186">
        <f>IFERROR(__xludf.DUMMYFUNCTION("""COMPUTED_VALUE"""),311.0)</f>
        <v>311</v>
      </c>
      <c r="D93" s="186" t="str">
        <f>IFERROR(__xludf.DUMMYFUNCTION("""COMPUTED_VALUE"""),"CON-00-147815-2")</f>
        <v>CON-00-147815-2</v>
      </c>
      <c r="E93" s="186" t="str">
        <f>IFERROR(__xludf.DUMMYFUNCTION("""COMPUTED_VALUE"""),"Beef &amp; pepper casserole")</f>
        <v>Beef &amp; pepper casserole</v>
      </c>
      <c r="F93" s="186" t="str">
        <f>IFERROR(__xludf.DUMMYFUNCTION("""COMPUTED_VALUE"""),"Oksekøds- og pebergryde ")</f>
        <v>Oksekøds- og pebergryde </v>
      </c>
      <c r="G93" s="186" t="str">
        <f>IFERROR(__xludf.DUMMYFUNCTION("""COMPUTED_VALUE"""),"FE0047G")</f>
        <v>FE0047G</v>
      </c>
      <c r="H93" s="186">
        <f>IFERROR(__xludf.DUMMYFUNCTION("""COMPUTED_VALUE"""),565113.0)</f>
        <v>565113</v>
      </c>
      <c r="I93" s="186"/>
      <c r="J93" s="189">
        <f>IFERROR(__xludf.DUMMYFUNCTION("""COMPUTED_VALUE"""),727.0)</f>
        <v>727</v>
      </c>
      <c r="K93" s="189">
        <f>IFERROR(__xludf.DUMMYFUNCTION("""COMPUTED_VALUE"""),734.0)</f>
        <v>734</v>
      </c>
      <c r="L93" s="189">
        <f>IFERROR(__xludf.DUMMYFUNCTION("""COMPUTED_VALUE"""),548.0)</f>
        <v>548</v>
      </c>
      <c r="M93" s="186">
        <f>IFERROR(__xludf.DUMMYFUNCTION("""COMPUTED_VALUE"""),618.0)</f>
        <v>618</v>
      </c>
      <c r="N93" s="186">
        <f>IFERROR(__xludf.DUMMYFUNCTION("""COMPUTED_VALUE"""),655.0)</f>
        <v>655</v>
      </c>
      <c r="O93" s="186">
        <f>IFERROR(__xludf.DUMMYFUNCTION("""COMPUTED_VALUE"""),639.0)</f>
        <v>639</v>
      </c>
      <c r="P93" s="186">
        <f>IFERROR(__xludf.DUMMYFUNCTION("""COMPUTED_VALUE"""),657.0)</f>
        <v>657</v>
      </c>
      <c r="Q93" s="186">
        <f>IFERROR(__xludf.DUMMYFUNCTION("""COMPUTED_VALUE"""),670.0)</f>
        <v>670</v>
      </c>
      <c r="R93" s="186">
        <f>IFERROR(__xludf.DUMMYFUNCTION("""COMPUTED_VALUE"""),579.0)</f>
        <v>579</v>
      </c>
      <c r="S93" s="189">
        <f>IFERROR(__xludf.DUMMYFUNCTION("""COMPUTED_VALUE"""),577.0)</f>
        <v>577</v>
      </c>
    </row>
    <row r="94">
      <c r="A94" s="186" t="str">
        <f>IFERROR(__xludf.DUMMYFUNCTION("""COMPUTED_VALUE"""),"NORDICS")</f>
        <v>NORDICS</v>
      </c>
      <c r="B94" s="186" t="str">
        <f>IFERROR(__xludf.DUMMYFUNCTION("""COMPUTED_VALUE"""),"W48")</f>
        <v>W48</v>
      </c>
      <c r="C94" s="186">
        <f>IFERROR(__xludf.DUMMYFUNCTION("""COMPUTED_VALUE"""),312.0)</f>
        <v>312</v>
      </c>
      <c r="D94" s="186" t="str">
        <f>IFERROR(__xludf.DUMMYFUNCTION("""COMPUTED_VALUE"""),"CON-00-151279-2")</f>
        <v>CON-00-151279-2</v>
      </c>
      <c r="E94" s="186" t="str">
        <f>IFERROR(__xludf.DUMMYFUNCTION("""COMPUTED_VALUE"""),"Ají Verde Salmon")</f>
        <v>Ají Verde Salmon</v>
      </c>
      <c r="F94" s="186" t="str">
        <f>IFERROR(__xludf.DUMMYFUNCTION("""COMPUTED_VALUE"""),"Laks med aji verde")</f>
        <v>Laks med aji verde</v>
      </c>
      <c r="G94" s="186" t="str">
        <f>IFERROR(__xludf.DUMMYFUNCTION("""COMPUTED_VALUE"""),"FE1320C")</f>
        <v>FE1320C</v>
      </c>
      <c r="H94" s="186">
        <f>IFERROR(__xludf.DUMMYFUNCTION("""COMPUTED_VALUE"""),565196.0)</f>
        <v>565196</v>
      </c>
      <c r="I94" s="186" t="str">
        <f>IFERROR(__xludf.DUMMYFUNCTION("""COMPUTED_VALUE"""),"#N/A")</f>
        <v>#N/A</v>
      </c>
      <c r="J94" s="189">
        <f>IFERROR(__xludf.DUMMYFUNCTION("""COMPUTED_VALUE"""),1505.0)</f>
        <v>1505</v>
      </c>
      <c r="K94" s="189">
        <f>IFERROR(__xludf.DUMMYFUNCTION("""COMPUTED_VALUE"""),1503.0)</f>
        <v>1503</v>
      </c>
      <c r="L94" s="189">
        <f>IFERROR(__xludf.DUMMYFUNCTION("""COMPUTED_VALUE"""),1887.0)</f>
        <v>1887</v>
      </c>
      <c r="M94" s="189">
        <f>IFERROR(__xludf.DUMMYFUNCTION("""COMPUTED_VALUE"""),1496.0)</f>
        <v>1496</v>
      </c>
      <c r="N94" s="189">
        <f>IFERROR(__xludf.DUMMYFUNCTION("""COMPUTED_VALUE"""),1463.0)</f>
        <v>1463</v>
      </c>
      <c r="O94" s="189">
        <f>IFERROR(__xludf.DUMMYFUNCTION("""COMPUTED_VALUE"""),1472.0)</f>
        <v>1472</v>
      </c>
      <c r="P94" s="189">
        <f>IFERROR(__xludf.DUMMYFUNCTION("""COMPUTED_VALUE"""),1443.0)</f>
        <v>1443</v>
      </c>
      <c r="Q94" s="189">
        <f>IFERROR(__xludf.DUMMYFUNCTION("""COMPUTED_VALUE"""),1426.0)</f>
        <v>1426</v>
      </c>
      <c r="R94" s="189">
        <f>IFERROR(__xludf.DUMMYFUNCTION("""COMPUTED_VALUE"""),1383.0)</f>
        <v>1383</v>
      </c>
      <c r="S94" s="189">
        <f>IFERROR(__xludf.DUMMYFUNCTION("""COMPUTED_VALUE"""),1338.0)</f>
        <v>1338</v>
      </c>
    </row>
    <row r="95">
      <c r="A95" s="186" t="str">
        <f>IFERROR(__xludf.DUMMYFUNCTION("""COMPUTED_VALUE"""),"NORDICS")</f>
        <v>NORDICS</v>
      </c>
      <c r="B95" s="186" t="str">
        <f>IFERROR(__xludf.DUMMYFUNCTION("""COMPUTED_VALUE"""),"W48")</f>
        <v>W48</v>
      </c>
      <c r="C95" s="186">
        <f>IFERROR(__xludf.DUMMYFUNCTION("""COMPUTED_VALUE"""),313.0)</f>
        <v>313</v>
      </c>
      <c r="D95" s="186" t="str">
        <f>IFERROR(__xludf.DUMMYFUNCTION("""COMPUTED_VALUE"""),"CON-00-149481-2")</f>
        <v>CON-00-149481-2</v>
      </c>
      <c r="E95" s="186" t="str">
        <f>IFERROR(__xludf.DUMMYFUNCTION("""COMPUTED_VALUE"""),"Sour Cream &amp; Chive Chicken")</f>
        <v>Sour Cream &amp; Chive Chicken</v>
      </c>
      <c r="F95" s="186" t="str">
        <f>IFERROR(__xludf.DUMMYFUNCTION("""COMPUTED_VALUE"""),"Kylling med syrnet fløde og purløg")</f>
        <v>Kylling med syrnet fløde og purløg</v>
      </c>
      <c r="G95" s="186" t="str">
        <f>IFERROR(__xludf.DUMMYFUNCTION("""COMPUTED_VALUE"""),"FE0322O")</f>
        <v>FE0322O</v>
      </c>
      <c r="H95" s="186">
        <f>IFERROR(__xludf.DUMMYFUNCTION("""COMPUTED_VALUE"""),565163.0)</f>
        <v>565163</v>
      </c>
      <c r="I95" s="186" t="str">
        <f>IFERROR(__xludf.DUMMYFUNCTION("""COMPUTED_VALUE"""),"HF Kip bieslook aardappel pure")</f>
        <v>HF Kip bieslook aardappel pure</v>
      </c>
      <c r="J95" s="189">
        <f>IFERROR(__xludf.DUMMYFUNCTION("""COMPUTED_VALUE"""),1815.0)</f>
        <v>1815</v>
      </c>
      <c r="K95" s="189">
        <f>IFERROR(__xludf.DUMMYFUNCTION("""COMPUTED_VALUE"""),1903.0)</f>
        <v>1903</v>
      </c>
      <c r="L95" s="189">
        <f>IFERROR(__xludf.DUMMYFUNCTION("""COMPUTED_VALUE"""),1522.0)</f>
        <v>1522</v>
      </c>
      <c r="M95" s="189">
        <f>IFERROR(__xludf.DUMMYFUNCTION("""COMPUTED_VALUE"""),1463.0)</f>
        <v>1463</v>
      </c>
      <c r="N95" s="189">
        <f>IFERROR(__xludf.DUMMYFUNCTION("""COMPUTED_VALUE"""),1406.0)</f>
        <v>1406</v>
      </c>
      <c r="O95" s="189">
        <f>IFERROR(__xludf.DUMMYFUNCTION("""COMPUTED_VALUE"""),1359.0)</f>
        <v>1359</v>
      </c>
      <c r="P95" s="189">
        <f>IFERROR(__xludf.DUMMYFUNCTION("""COMPUTED_VALUE"""),1321.0)</f>
        <v>1321</v>
      </c>
      <c r="Q95" s="189">
        <f>IFERROR(__xludf.DUMMYFUNCTION("""COMPUTED_VALUE"""),1302.0)</f>
        <v>1302</v>
      </c>
      <c r="R95" s="189">
        <f>IFERROR(__xludf.DUMMYFUNCTION("""COMPUTED_VALUE"""),1268.0)</f>
        <v>1268</v>
      </c>
      <c r="S95" s="189">
        <f>IFERROR(__xludf.DUMMYFUNCTION("""COMPUTED_VALUE"""),1203.0)</f>
        <v>1203</v>
      </c>
    </row>
    <row r="96">
      <c r="A96" s="186" t="str">
        <f>IFERROR(__xludf.DUMMYFUNCTION("""COMPUTED_VALUE"""),"NORDICS")</f>
        <v>NORDICS</v>
      </c>
      <c r="B96" s="186" t="str">
        <f>IFERROR(__xludf.DUMMYFUNCTION("""COMPUTED_VALUE"""),"W48")</f>
        <v>W48</v>
      </c>
      <c r="C96" s="186">
        <f>IFERROR(__xludf.DUMMYFUNCTION("""COMPUTED_VALUE"""),314.0)</f>
        <v>314</v>
      </c>
      <c r="D96" s="186" t="str">
        <f>IFERROR(__xludf.DUMMYFUNCTION("""COMPUTED_VALUE"""),"CON-00-151280-2")</f>
        <v>CON-00-151280-2</v>
      </c>
      <c r="E96" s="186" t="str">
        <f>IFERROR(__xludf.DUMMYFUNCTION("""COMPUTED_VALUE"""),"Cheddar &amp; Red Pepper Chicken Thigh Pasta")</f>
        <v>Cheddar &amp; Red Pepper Chicken Thigh Pasta</v>
      </c>
      <c r="F96" s="186" t="str">
        <f>IFERROR(__xludf.DUMMYFUNCTION("""COMPUTED_VALUE"""),"Pulled chicken med pasta, cheddar og rød peberfrugt")</f>
        <v>Pulled chicken med pasta, cheddar og rød peberfrugt</v>
      </c>
      <c r="G96" s="186" t="str">
        <f>IFERROR(__xludf.DUMMYFUNCTION("""COMPUTED_VALUE"""),"FE1351C")</f>
        <v>FE1351C</v>
      </c>
      <c r="H96" s="186">
        <f>IFERROR(__xludf.DUMMYFUNCTION("""COMPUTED_VALUE"""),565185.0)</f>
        <v>565185</v>
      </c>
      <c r="I96" s="186" t="str">
        <f>IFERROR(__xludf.DUMMYFUNCTION("""COMPUTED_VALUE"""),"HF Pasta paprika cheddar saus")</f>
        <v>HF Pasta paprika cheddar saus</v>
      </c>
      <c r="J96" s="189">
        <f>IFERROR(__xludf.DUMMYFUNCTION("""COMPUTED_VALUE"""),1291.0)</f>
        <v>1291</v>
      </c>
      <c r="K96" s="189">
        <f>IFERROR(__xludf.DUMMYFUNCTION("""COMPUTED_VALUE"""),1202.0)</f>
        <v>1202</v>
      </c>
      <c r="L96" s="189">
        <f>IFERROR(__xludf.DUMMYFUNCTION("""COMPUTED_VALUE"""),1500.0)</f>
        <v>1500</v>
      </c>
      <c r="M96" s="189">
        <f>IFERROR(__xludf.DUMMYFUNCTION("""COMPUTED_VALUE"""),1416.0)</f>
        <v>1416</v>
      </c>
      <c r="N96" s="189">
        <f>IFERROR(__xludf.DUMMYFUNCTION("""COMPUTED_VALUE"""),1413.0)</f>
        <v>1413</v>
      </c>
      <c r="O96" s="189">
        <f>IFERROR(__xludf.DUMMYFUNCTION("""COMPUTED_VALUE"""),1335.0)</f>
        <v>1335</v>
      </c>
      <c r="P96" s="189">
        <f>IFERROR(__xludf.DUMMYFUNCTION("""COMPUTED_VALUE"""),1319.0)</f>
        <v>1319</v>
      </c>
      <c r="Q96" s="189">
        <f>IFERROR(__xludf.DUMMYFUNCTION("""COMPUTED_VALUE"""),1295.0)</f>
        <v>1295</v>
      </c>
      <c r="R96" s="189">
        <f>IFERROR(__xludf.DUMMYFUNCTION("""COMPUTED_VALUE"""),1193.0)</f>
        <v>1193</v>
      </c>
      <c r="S96" s="189">
        <f>IFERROR(__xludf.DUMMYFUNCTION("""COMPUTED_VALUE"""),1158.0)</f>
        <v>1158</v>
      </c>
    </row>
    <row r="97">
      <c r="A97" s="186" t="str">
        <f>IFERROR(__xludf.DUMMYFUNCTION("""COMPUTED_VALUE"""),"NORDICS")</f>
        <v>NORDICS</v>
      </c>
      <c r="B97" s="186" t="str">
        <f>IFERROR(__xludf.DUMMYFUNCTION("""COMPUTED_VALUE"""),"W48")</f>
        <v>W48</v>
      </c>
      <c r="C97" s="186">
        <f>IFERROR(__xludf.DUMMYFUNCTION("""COMPUTED_VALUE"""),315.0)</f>
        <v>315</v>
      </c>
      <c r="D97" s="186" t="str">
        <f>IFERROR(__xludf.DUMMYFUNCTION("""COMPUTED_VALUE"""),"CON-00-150389-2")</f>
        <v>CON-00-150389-2</v>
      </c>
      <c r="E97" s="186" t="str">
        <f>IFERROR(__xludf.DUMMYFUNCTION("""COMPUTED_VALUE"""),"Parmesan &amp; Garlic Cream Pulled Beef")</f>
        <v>Parmesan &amp; Garlic Cream Pulled Beef</v>
      </c>
      <c r="F97" s="186" t="str">
        <f>IFERROR(__xludf.DUMMYFUNCTION("""COMPUTED_VALUE"""),"Pulled beef med cremet parmesan og hvidløg")</f>
        <v>Pulled beef med cremet parmesan og hvidløg</v>
      </c>
      <c r="G97" s="186" t="str">
        <f>IFERROR(__xludf.DUMMYFUNCTION("""COMPUTED_VALUE"""),"FE1346B")</f>
        <v>FE1346B</v>
      </c>
      <c r="H97" s="186">
        <f>IFERROR(__xludf.DUMMYFUNCTION("""COMPUTED_VALUE"""),565184.0)</f>
        <v>565184</v>
      </c>
      <c r="I97" s="186" t="str">
        <f>IFERROR(__xludf.DUMMYFUNCTION("""COMPUTED_VALUE"""),"HF Pulled beef &amp; knoflook room")</f>
        <v>HF Pulled beef &amp; knoflook room</v>
      </c>
      <c r="J97" s="189">
        <f>IFERROR(__xludf.DUMMYFUNCTION("""COMPUTED_VALUE"""),767.0)</f>
        <v>767</v>
      </c>
      <c r="K97" s="189">
        <f>IFERROR(__xludf.DUMMYFUNCTION("""COMPUTED_VALUE"""),727.0)</f>
        <v>727</v>
      </c>
      <c r="L97" s="189">
        <f>IFERROR(__xludf.DUMMYFUNCTION("""COMPUTED_VALUE"""),1391.0)</f>
        <v>1391</v>
      </c>
      <c r="M97" s="189">
        <f>IFERROR(__xludf.DUMMYFUNCTION("""COMPUTED_VALUE"""),1414.0)</f>
        <v>1414</v>
      </c>
      <c r="N97" s="189">
        <f>IFERROR(__xludf.DUMMYFUNCTION("""COMPUTED_VALUE"""),1414.0)</f>
        <v>1414</v>
      </c>
      <c r="O97" s="189">
        <f>IFERROR(__xludf.DUMMYFUNCTION("""COMPUTED_VALUE"""),1445.0)</f>
        <v>1445</v>
      </c>
      <c r="P97" s="189">
        <f>IFERROR(__xludf.DUMMYFUNCTION("""COMPUTED_VALUE"""),1427.0)</f>
        <v>1427</v>
      </c>
      <c r="Q97" s="189">
        <f>IFERROR(__xludf.DUMMYFUNCTION("""COMPUTED_VALUE"""),1413.0)</f>
        <v>1413</v>
      </c>
      <c r="R97" s="189">
        <f>IFERROR(__xludf.DUMMYFUNCTION("""COMPUTED_VALUE"""),1291.0)</f>
        <v>1291</v>
      </c>
      <c r="S97" s="189">
        <f>IFERROR(__xludf.DUMMYFUNCTION("""COMPUTED_VALUE"""),1285.0)</f>
        <v>1285</v>
      </c>
    </row>
    <row r="98">
      <c r="A98" s="186" t="str">
        <f>IFERROR(__xludf.DUMMYFUNCTION("""COMPUTED_VALUE"""),"NORDICS")</f>
        <v>NORDICS</v>
      </c>
      <c r="B98" s="186" t="str">
        <f>IFERROR(__xludf.DUMMYFUNCTION("""COMPUTED_VALUE"""),"W48")</f>
        <v>W48</v>
      </c>
      <c r="C98" s="186">
        <f>IFERROR(__xludf.DUMMYFUNCTION("""COMPUTED_VALUE"""),316.0)</f>
        <v>316</v>
      </c>
      <c r="D98" s="186" t="str">
        <f>IFERROR(__xludf.DUMMYFUNCTION("""COMPUTED_VALUE"""),"CON-00-148196-2")</f>
        <v>CON-00-148196-2</v>
      </c>
      <c r="E98" s="186" t="str">
        <f>IFERROR(__xludf.DUMMYFUNCTION("""COMPUTED_VALUE"""),"Caramelized Onion &amp; Emmental Fondue Chicken")</f>
        <v>Caramelized Onion &amp; Emmental Fondue Chicken</v>
      </c>
      <c r="F98" s="186" t="str">
        <f>IFERROR(__xludf.DUMMYFUNCTION("""COMPUTED_VALUE"""),"Kylling i Emmental-fondue med karamelliseret løg")</f>
        <v>Kylling i Emmental-fondue med karamelliseret løg</v>
      </c>
      <c r="G98" s="186" t="str">
        <f>IFERROR(__xludf.DUMMYFUNCTION("""COMPUTED_VALUE"""),"FE0970B")</f>
        <v>FE0970B</v>
      </c>
      <c r="H98" s="186">
        <f>IFERROR(__xludf.DUMMYFUNCTION("""COMPUTED_VALUE"""),565164.0)</f>
        <v>565164</v>
      </c>
      <c r="I98" s="186"/>
      <c r="J98" s="189">
        <f>IFERROR(__xludf.DUMMYFUNCTION("""COMPUTED_VALUE"""),727.0)</f>
        <v>727</v>
      </c>
      <c r="K98" s="189">
        <f>IFERROR(__xludf.DUMMYFUNCTION("""COMPUTED_VALUE"""),681.0)</f>
        <v>681</v>
      </c>
      <c r="L98" s="189">
        <f>IFERROR(__xludf.DUMMYFUNCTION("""COMPUTED_VALUE"""),592.0)</f>
        <v>592</v>
      </c>
      <c r="M98" s="189">
        <f>IFERROR(__xludf.DUMMYFUNCTION("""COMPUTED_VALUE"""),621.0)</f>
        <v>621</v>
      </c>
      <c r="N98" s="186">
        <f>IFERROR(__xludf.DUMMYFUNCTION("""COMPUTED_VALUE"""),620.0)</f>
        <v>620</v>
      </c>
      <c r="O98" s="186">
        <f>IFERROR(__xludf.DUMMYFUNCTION("""COMPUTED_VALUE"""),627.0)</f>
        <v>627</v>
      </c>
      <c r="P98" s="186">
        <f>IFERROR(__xludf.DUMMYFUNCTION("""COMPUTED_VALUE"""),613.0)</f>
        <v>613</v>
      </c>
      <c r="Q98" s="186">
        <f>IFERROR(__xludf.DUMMYFUNCTION("""COMPUTED_VALUE"""),640.0)</f>
        <v>640</v>
      </c>
      <c r="R98" s="186">
        <f>IFERROR(__xludf.DUMMYFUNCTION("""COMPUTED_VALUE"""),547.0)</f>
        <v>547</v>
      </c>
      <c r="S98" s="189">
        <f>IFERROR(__xludf.DUMMYFUNCTION("""COMPUTED_VALUE"""),544.0)</f>
        <v>544</v>
      </c>
    </row>
    <row r="99">
      <c r="A99" s="186" t="str">
        <f>IFERROR(__xludf.DUMMYFUNCTION("""COMPUTED_VALUE"""),"NORDICS")</f>
        <v>NORDICS</v>
      </c>
      <c r="B99" s="186" t="str">
        <f>IFERROR(__xludf.DUMMYFUNCTION("""COMPUTED_VALUE"""),"W48")</f>
        <v>W48</v>
      </c>
      <c r="C99" s="186">
        <f>IFERROR(__xludf.DUMMYFUNCTION("""COMPUTED_VALUE"""),317.0)</f>
        <v>317</v>
      </c>
      <c r="D99" s="186" t="str">
        <f>IFERROR(__xludf.DUMMYFUNCTION("""COMPUTED_VALUE"""),"CON-00-147907-2")</f>
        <v>CON-00-147907-2</v>
      </c>
      <c r="E99" s="186" t="str">
        <f>IFERROR(__xludf.DUMMYFUNCTION("""COMPUTED_VALUE"""),"Artichoke &amp; Spinach Pork tenderloin")</f>
        <v>Artichoke &amp; Spinach Pork tenderloin</v>
      </c>
      <c r="F99" s="186" t="str">
        <f>IFERROR(__xludf.DUMMYFUNCTION("""COMPUTED_VALUE"""),"Svinemørbrad med artiskok og spinat ")</f>
        <v>Svinemørbrad med artiskok og spinat </v>
      </c>
      <c r="G99" s="186" t="str">
        <f>IFERROR(__xludf.DUMMYFUNCTION("""COMPUTED_VALUE"""),"FE4060A")</f>
        <v>FE4060A</v>
      </c>
      <c r="H99" s="186">
        <f>IFERROR(__xludf.DUMMYFUNCTION("""COMPUTED_VALUE"""),565134.0)</f>
        <v>565134</v>
      </c>
      <c r="I99" s="186"/>
      <c r="J99" s="189">
        <f>IFERROR(__xludf.DUMMYFUNCTION("""COMPUTED_VALUE"""),575.0)</f>
        <v>575</v>
      </c>
      <c r="K99" s="189">
        <f>IFERROR(__xludf.DUMMYFUNCTION("""COMPUTED_VALUE"""),604.0)</f>
        <v>604</v>
      </c>
      <c r="L99" s="189">
        <f>IFERROR(__xludf.DUMMYFUNCTION("""COMPUTED_VALUE"""),479.0)</f>
        <v>479</v>
      </c>
      <c r="M99" s="189">
        <f>IFERROR(__xludf.DUMMYFUNCTION("""COMPUTED_VALUE"""),490.0)</f>
        <v>490</v>
      </c>
      <c r="N99" s="189">
        <f>IFERROR(__xludf.DUMMYFUNCTION("""COMPUTED_VALUE"""),505.0)</f>
        <v>505</v>
      </c>
      <c r="O99" s="189">
        <f>IFERROR(__xludf.DUMMYFUNCTION("""COMPUTED_VALUE"""),523.0)</f>
        <v>523</v>
      </c>
      <c r="P99" s="189">
        <f>IFERROR(__xludf.DUMMYFUNCTION("""COMPUTED_VALUE"""),529.0)</f>
        <v>529</v>
      </c>
      <c r="Q99" s="189">
        <f>IFERROR(__xludf.DUMMYFUNCTION("""COMPUTED_VALUE"""),534.0)</f>
        <v>534</v>
      </c>
      <c r="R99" s="189">
        <f>IFERROR(__xludf.DUMMYFUNCTION("""COMPUTED_VALUE"""),444.0)</f>
        <v>444</v>
      </c>
      <c r="S99" s="189">
        <f>IFERROR(__xludf.DUMMYFUNCTION("""COMPUTED_VALUE"""),442.0)</f>
        <v>442</v>
      </c>
    </row>
    <row r="100">
      <c r="A100" s="186" t="str">
        <f>IFERROR(__xludf.DUMMYFUNCTION("""COMPUTED_VALUE"""),"NORDICS")</f>
        <v>NORDICS</v>
      </c>
      <c r="B100" s="186" t="str">
        <f>IFERROR(__xludf.DUMMYFUNCTION("""COMPUTED_VALUE"""),"W48")</f>
        <v>W48</v>
      </c>
      <c r="C100" s="186">
        <f>IFERROR(__xludf.DUMMYFUNCTION("""COMPUTED_VALUE"""),318.0)</f>
        <v>318</v>
      </c>
      <c r="D100" s="186"/>
      <c r="E100" s="186"/>
      <c r="F100" s="186"/>
      <c r="G100" s="186" t="str">
        <f>IFERROR(__xludf.DUMMYFUNCTION("""COMPUTED_VALUE"""),"FE1072A")</f>
        <v>FE1072A</v>
      </c>
      <c r="H100" s="186"/>
      <c r="I100" s="186"/>
      <c r="J100" s="186">
        <f>IFERROR(__xludf.DUMMYFUNCTION("""COMPUTED_VALUE"""),732.0)</f>
        <v>732</v>
      </c>
      <c r="K100" s="186">
        <f>IFERROR(__xludf.DUMMYFUNCTION("""COMPUTED_VALUE"""),678.0)</f>
        <v>678</v>
      </c>
      <c r="L100" s="186">
        <f>IFERROR(__xludf.DUMMYFUNCTION("""COMPUTED_VALUE"""),429.0)</f>
        <v>429</v>
      </c>
      <c r="M100" s="186">
        <f>IFERROR(__xludf.DUMMYFUNCTION("""COMPUTED_VALUE"""),553.0)</f>
        <v>553</v>
      </c>
      <c r="N100" s="186">
        <f>IFERROR(__xludf.DUMMYFUNCTION("""COMPUTED_VALUE"""),567.0)</f>
        <v>567</v>
      </c>
      <c r="O100" s="186">
        <f>IFERROR(__xludf.DUMMYFUNCTION("""COMPUTED_VALUE"""),563.0)</f>
        <v>563</v>
      </c>
      <c r="P100" s="186">
        <f>IFERROR(__xludf.DUMMYFUNCTION("""COMPUTED_VALUE"""),584.0)</f>
        <v>584</v>
      </c>
      <c r="Q100" s="186">
        <f>IFERROR(__xludf.DUMMYFUNCTION("""COMPUTED_VALUE"""),567.0)</f>
        <v>567</v>
      </c>
      <c r="R100" s="186">
        <f>IFERROR(__xludf.DUMMYFUNCTION("""COMPUTED_VALUE"""),522.0)</f>
        <v>522</v>
      </c>
      <c r="S100" s="189">
        <f>IFERROR(__xludf.DUMMYFUNCTION("""COMPUTED_VALUE"""),516.0)</f>
        <v>516</v>
      </c>
    </row>
    <row r="101">
      <c r="A101" s="186" t="str">
        <f>IFERROR(__xludf.DUMMYFUNCTION("""COMPUTED_VALUE"""),"NORDICS")</f>
        <v>NORDICS</v>
      </c>
      <c r="B101" s="186" t="str">
        <f>IFERROR(__xludf.DUMMYFUNCTION("""COMPUTED_VALUE"""),"W48")</f>
        <v>W48</v>
      </c>
      <c r="C101" s="186">
        <f>IFERROR(__xludf.DUMMYFUNCTION("""COMPUTED_VALUE"""),806.0)</f>
        <v>806</v>
      </c>
      <c r="D101" s="186" t="str">
        <f>IFERROR(__xludf.DUMMYFUNCTION("""COMPUTED_VALUE"""),"PTN-00-148223-2")</f>
        <v>PTN-00-148223-2</v>
      </c>
      <c r="E101" s="186" t="str">
        <f>IFERROR(__xludf.DUMMYFUNCTION("""COMPUTED_VALUE"""),"Garlic Herb Grilled Chicken")</f>
        <v>Garlic Herb Grilled Chicken</v>
      </c>
      <c r="F101" s="186" t="str">
        <f>IFERROR(__xludf.DUMMYFUNCTION("""COMPUTED_VALUE"""),"Grillet kylling med hvidlød og urter")</f>
        <v>Grillet kylling med hvidlød og urter</v>
      </c>
      <c r="G101" s="186" t="str">
        <f>IFERROR(__xludf.DUMMYFUNCTION("""COMPUTED_VALUE"""),"FEA006A")</f>
        <v>FEA006A</v>
      </c>
      <c r="H101" s="186">
        <f>IFERROR(__xludf.DUMMYFUNCTION("""COMPUTED_VALUE"""),565119.0)</f>
        <v>565119</v>
      </c>
      <c r="I101" s="186"/>
      <c r="J101" s="186">
        <f>IFERROR(__xludf.DUMMYFUNCTION("""COMPUTED_VALUE"""),48.0)</f>
        <v>48</v>
      </c>
      <c r="K101" s="186">
        <f>IFERROR(__xludf.DUMMYFUNCTION("""COMPUTED_VALUE"""),48.0)</f>
        <v>48</v>
      </c>
      <c r="L101" s="186">
        <f>IFERROR(__xludf.DUMMYFUNCTION("""COMPUTED_VALUE"""),48.0)</f>
        <v>48</v>
      </c>
      <c r="M101" s="186">
        <f>IFERROR(__xludf.DUMMYFUNCTION("""COMPUTED_VALUE"""),48.0)</f>
        <v>48</v>
      </c>
      <c r="N101" s="186">
        <f>IFERROR(__xludf.DUMMYFUNCTION("""COMPUTED_VALUE"""),48.0)</f>
        <v>48</v>
      </c>
      <c r="O101" s="186">
        <f>IFERROR(__xludf.DUMMYFUNCTION("""COMPUTED_VALUE"""),48.0)</f>
        <v>48</v>
      </c>
      <c r="P101" s="186">
        <f>IFERROR(__xludf.DUMMYFUNCTION("""COMPUTED_VALUE"""),48.0)</f>
        <v>48</v>
      </c>
      <c r="Q101" s="186">
        <f>IFERROR(__xludf.DUMMYFUNCTION("""COMPUTED_VALUE"""),48.0)</f>
        <v>48</v>
      </c>
      <c r="R101" s="186">
        <f>IFERROR(__xludf.DUMMYFUNCTION("""COMPUTED_VALUE"""),63.0)</f>
        <v>63</v>
      </c>
      <c r="S101" s="189">
        <f>IFERROR(__xludf.DUMMYFUNCTION("""COMPUTED_VALUE"""),62.0)</f>
        <v>62</v>
      </c>
    </row>
    <row r="102">
      <c r="A102" s="186" t="str">
        <f>IFERROR(__xludf.DUMMYFUNCTION("""COMPUTED_VALUE"""),"NORDICS")</f>
        <v>NORDICS</v>
      </c>
      <c r="B102" s="186" t="str">
        <f>IFERROR(__xludf.DUMMYFUNCTION("""COMPUTED_VALUE"""),"W48")</f>
        <v>W48</v>
      </c>
      <c r="C102" s="186"/>
      <c r="D102" s="186"/>
      <c r="E102" s="186"/>
      <c r="F102" s="186"/>
      <c r="G102" s="186"/>
      <c r="H102" s="186"/>
      <c r="I102" s="186"/>
      <c r="J102" s="189">
        <f>IFERROR(__xludf.DUMMYFUNCTION("""COMPUTED_VALUE"""),28802.0)</f>
        <v>28802</v>
      </c>
      <c r="K102" s="189">
        <f>IFERROR(__xludf.DUMMYFUNCTION("""COMPUTED_VALUE"""),28608.0)</f>
        <v>28608</v>
      </c>
      <c r="L102" s="189">
        <f>IFERROR(__xludf.DUMMYFUNCTION("""COMPUTED_VALUE"""),28442.0)</f>
        <v>28442</v>
      </c>
      <c r="M102" s="189">
        <f>IFERROR(__xludf.DUMMYFUNCTION("""COMPUTED_VALUE"""),27756.0)</f>
        <v>27756</v>
      </c>
      <c r="N102" s="189">
        <f>IFERROR(__xludf.DUMMYFUNCTION("""COMPUTED_VALUE"""),27434.0)</f>
        <v>27434</v>
      </c>
      <c r="O102" s="189">
        <f>IFERROR(__xludf.DUMMYFUNCTION("""COMPUTED_VALUE"""),26911.0)</f>
        <v>26911</v>
      </c>
      <c r="P102" s="189">
        <f>IFERROR(__xludf.DUMMYFUNCTION("""COMPUTED_VALUE"""),26388.0)</f>
        <v>26388</v>
      </c>
      <c r="Q102" s="189">
        <f>IFERROR(__xludf.DUMMYFUNCTION("""COMPUTED_VALUE"""),26108.0)</f>
        <v>26108</v>
      </c>
      <c r="R102" s="189">
        <f>IFERROR(__xludf.DUMMYFUNCTION("""COMPUTED_VALUE"""),25085.0)</f>
        <v>25085</v>
      </c>
      <c r="S102" s="189">
        <f>IFERROR(__xludf.DUMMYFUNCTION("""COMPUTED_VALUE"""),23889.0)</f>
        <v>23889</v>
      </c>
    </row>
    <row r="103">
      <c r="A103" s="186" t="str">
        <f>IFERROR(__xludf.DUMMYFUNCTION("""COMPUTED_VALUE"""),"DE")</f>
        <v>DE</v>
      </c>
      <c r="B103" s="186" t="str">
        <f>IFERROR(__xludf.DUMMYFUNCTION("""COMPUTED_VALUE"""),"W48")</f>
        <v>W48</v>
      </c>
      <c r="C103" s="186">
        <f>IFERROR(__xludf.DUMMYFUNCTION("""COMPUTED_VALUE"""),301.0)</f>
        <v>301</v>
      </c>
      <c r="D103" s="186"/>
      <c r="E103" s="186"/>
      <c r="F103" s="186"/>
      <c r="G103" s="186" t="str">
        <f>IFERROR(__xludf.DUMMYFUNCTION("""COMPUTED_VALUE"""),"FE0628B")</f>
        <v>FE0628B</v>
      </c>
      <c r="H103" s="186"/>
      <c r="I103" s="186"/>
      <c r="J103" s="189">
        <f>IFERROR(__xludf.DUMMYFUNCTION("""COMPUTED_VALUE"""),3216.0)</f>
        <v>3216</v>
      </c>
      <c r="K103" s="189">
        <f>IFERROR(__xludf.DUMMYFUNCTION("""COMPUTED_VALUE"""),3205.0)</f>
        <v>3205</v>
      </c>
      <c r="L103" s="189">
        <f>IFERROR(__xludf.DUMMYFUNCTION("""COMPUTED_VALUE"""),3065.0)</f>
        <v>3065</v>
      </c>
      <c r="M103" s="189">
        <f>IFERROR(__xludf.DUMMYFUNCTION("""COMPUTED_VALUE"""),2986.0)</f>
        <v>2986</v>
      </c>
      <c r="N103" s="189">
        <f>IFERROR(__xludf.DUMMYFUNCTION("""COMPUTED_VALUE"""),2983.0)</f>
        <v>2983</v>
      </c>
      <c r="O103" s="189">
        <f>IFERROR(__xludf.DUMMYFUNCTION("""COMPUTED_VALUE"""),3055.0)</f>
        <v>3055</v>
      </c>
      <c r="P103" s="189">
        <f>IFERROR(__xludf.DUMMYFUNCTION("""COMPUTED_VALUE"""),2958.0)</f>
        <v>2958</v>
      </c>
      <c r="Q103" s="189">
        <f>IFERROR(__xludf.DUMMYFUNCTION("""COMPUTED_VALUE"""),2919.0)</f>
        <v>2919</v>
      </c>
      <c r="R103" s="189">
        <f>IFERROR(__xludf.DUMMYFUNCTION("""COMPUTED_VALUE"""),2786.0)</f>
        <v>2786</v>
      </c>
      <c r="S103" s="189">
        <f>IFERROR(__xludf.DUMMYFUNCTION("""COMPUTED_VALUE"""),2766.0)</f>
        <v>2766</v>
      </c>
    </row>
    <row r="104">
      <c r="A104" s="186" t="str">
        <f>IFERROR(__xludf.DUMMYFUNCTION("""COMPUTED_VALUE"""),"DE")</f>
        <v>DE</v>
      </c>
      <c r="B104" s="186" t="str">
        <f>IFERROR(__xludf.DUMMYFUNCTION("""COMPUTED_VALUE"""),"W48")</f>
        <v>W48</v>
      </c>
      <c r="C104" s="186">
        <f>IFERROR(__xludf.DUMMYFUNCTION("""COMPUTED_VALUE"""),302.0)</f>
        <v>302</v>
      </c>
      <c r="D104" s="186" t="str">
        <f>IFERROR(__xludf.DUMMYFUNCTION("""COMPUTED_VALUE"""),"CON-00-136649-3")</f>
        <v>CON-00-136649-3</v>
      </c>
      <c r="E104" s="186" t="str">
        <f>IFERROR(__xludf.DUMMYFUNCTION("""COMPUTED_VALUE"""),"Grilled chicken fillet and potato leek mash")</f>
        <v>Grilled chicken fillet and potato leek mash</v>
      </c>
      <c r="F104" s="186" t="str">
        <f>IFERROR(__xludf.DUMMYFUNCTION("""COMPUTED_VALUE"""),"Gegrilltes Hähnchenfilet mit Kartoffel-Lauch-Püree")</f>
        <v>Gegrilltes Hähnchenfilet mit Kartoffel-Lauch-Püree</v>
      </c>
      <c r="G104" s="186" t="str">
        <f>IFERROR(__xludf.DUMMYFUNCTION("""COMPUTED_VALUE"""),"FE0426B")</f>
        <v>FE0426B</v>
      </c>
      <c r="H104" s="186">
        <f>IFERROR(__xludf.DUMMYFUNCTION("""COMPUTED_VALUE"""),565035.0)</f>
        <v>565035</v>
      </c>
      <c r="I104" s="186" t="str">
        <f>IFERROR(__xludf.DUMMYFUNCTION("""COMPUTED_VALUE"""),"HF Puree van aardappel en prei met gegrilde kip 416g")</f>
        <v>HF Puree van aardappel en prei met gegrilde kip 416g</v>
      </c>
      <c r="J104" s="189">
        <f>IFERROR(__xludf.DUMMYFUNCTION("""COMPUTED_VALUE"""),2157.0)</f>
        <v>2157</v>
      </c>
      <c r="K104" s="189">
        <f>IFERROR(__xludf.DUMMYFUNCTION("""COMPUTED_VALUE"""),2096.0)</f>
        <v>2096</v>
      </c>
      <c r="L104" s="189">
        <f>IFERROR(__xludf.DUMMYFUNCTION("""COMPUTED_VALUE"""),2198.0)</f>
        <v>2198</v>
      </c>
      <c r="M104" s="189">
        <f>IFERROR(__xludf.DUMMYFUNCTION("""COMPUTED_VALUE"""),2289.0)</f>
        <v>2289</v>
      </c>
      <c r="N104" s="189">
        <f>IFERROR(__xludf.DUMMYFUNCTION("""COMPUTED_VALUE"""),2237.0)</f>
        <v>2237</v>
      </c>
      <c r="O104" s="189">
        <f>IFERROR(__xludf.DUMMYFUNCTION("""COMPUTED_VALUE"""),2227.0)</f>
        <v>2227</v>
      </c>
      <c r="P104" s="189">
        <f>IFERROR(__xludf.DUMMYFUNCTION("""COMPUTED_VALUE"""),2183.0)</f>
        <v>2183</v>
      </c>
      <c r="Q104" s="189">
        <f>IFERROR(__xludf.DUMMYFUNCTION("""COMPUTED_VALUE"""),2177.0)</f>
        <v>2177</v>
      </c>
      <c r="R104" s="189">
        <f>IFERROR(__xludf.DUMMYFUNCTION("""COMPUTED_VALUE"""),1985.0)</f>
        <v>1985</v>
      </c>
      <c r="S104" s="189">
        <f>IFERROR(__xludf.DUMMYFUNCTION("""COMPUTED_VALUE"""),1981.0)</f>
        <v>1981</v>
      </c>
    </row>
    <row r="105">
      <c r="A105" s="186" t="str">
        <f>IFERROR(__xludf.DUMMYFUNCTION("""COMPUTED_VALUE"""),"DE")</f>
        <v>DE</v>
      </c>
      <c r="B105" s="186" t="str">
        <f>IFERROR(__xludf.DUMMYFUNCTION("""COMPUTED_VALUE"""),"W48")</f>
        <v>W48</v>
      </c>
      <c r="C105" s="186">
        <f>IFERROR(__xludf.DUMMYFUNCTION("""COMPUTED_VALUE"""),303.0)</f>
        <v>303</v>
      </c>
      <c r="D105" s="186"/>
      <c r="E105" s="186"/>
      <c r="F105" s="186"/>
      <c r="G105" s="186" t="str">
        <f>IFERROR(__xludf.DUMMYFUNCTION("""COMPUTED_VALUE"""),"FE0713A")</f>
        <v>FE0713A</v>
      </c>
      <c r="H105" s="186"/>
      <c r="I105" s="186"/>
      <c r="J105" s="189">
        <f>IFERROR(__xludf.DUMMYFUNCTION("""COMPUTED_VALUE"""),2369.0)</f>
        <v>2369</v>
      </c>
      <c r="K105" s="189">
        <f>IFERROR(__xludf.DUMMYFUNCTION("""COMPUTED_VALUE"""),2357.0)</f>
        <v>2357</v>
      </c>
      <c r="L105" s="189">
        <f>IFERROR(__xludf.DUMMYFUNCTION("""COMPUTED_VALUE"""),2341.0)</f>
        <v>2341</v>
      </c>
      <c r="M105" s="189">
        <f>IFERROR(__xludf.DUMMYFUNCTION("""COMPUTED_VALUE"""),2407.0)</f>
        <v>2407</v>
      </c>
      <c r="N105" s="189">
        <f>IFERROR(__xludf.DUMMYFUNCTION("""COMPUTED_VALUE"""),2289.0)</f>
        <v>2289</v>
      </c>
      <c r="O105" s="189">
        <f>IFERROR(__xludf.DUMMYFUNCTION("""COMPUTED_VALUE"""),2311.0)</f>
        <v>2311</v>
      </c>
      <c r="P105" s="189">
        <f>IFERROR(__xludf.DUMMYFUNCTION("""COMPUTED_VALUE"""),2309.0)</f>
        <v>2309</v>
      </c>
      <c r="Q105" s="189">
        <f>IFERROR(__xludf.DUMMYFUNCTION("""COMPUTED_VALUE"""),2308.0)</f>
        <v>2308</v>
      </c>
      <c r="R105" s="189">
        <f>IFERROR(__xludf.DUMMYFUNCTION("""COMPUTED_VALUE"""),2199.0)</f>
        <v>2199</v>
      </c>
      <c r="S105" s="189">
        <f>IFERROR(__xludf.DUMMYFUNCTION("""COMPUTED_VALUE"""),2166.0)</f>
        <v>2166</v>
      </c>
    </row>
    <row r="106">
      <c r="A106" s="186" t="str">
        <f>IFERROR(__xludf.DUMMYFUNCTION("""COMPUTED_VALUE"""),"DE")</f>
        <v>DE</v>
      </c>
      <c r="B106" s="186" t="str">
        <f>IFERROR(__xludf.DUMMYFUNCTION("""COMPUTED_VALUE"""),"W48")</f>
        <v>W48</v>
      </c>
      <c r="C106" s="186">
        <f>IFERROR(__xludf.DUMMYFUNCTION("""COMPUTED_VALUE"""),304.0)</f>
        <v>304</v>
      </c>
      <c r="D106" s="186" t="str">
        <f>IFERROR(__xludf.DUMMYFUNCTION("""COMPUTED_VALUE"""),"CON-00-136714-3")</f>
        <v>CON-00-136714-3</v>
      </c>
      <c r="E106" s="186" t="str">
        <f>IFERROR(__xludf.DUMMYFUNCTION("""COMPUTED_VALUE"""),"Chicken in creamy basil sauce")</f>
        <v>Chicken in creamy basil sauce</v>
      </c>
      <c r="F106" s="186" t="str">
        <f>IFERROR(__xludf.DUMMYFUNCTION("""COMPUTED_VALUE"""),"Hähnchen in cremiger Basilikumsauce")</f>
        <v>Hähnchen in cremiger Basilikumsauce</v>
      </c>
      <c r="G106" s="186" t="str">
        <f>IFERROR(__xludf.DUMMYFUNCTION("""COMPUTED_VALUE"""),"FE4040B")</f>
        <v>FE4040B</v>
      </c>
      <c r="H106" s="186">
        <f>IFERROR(__xludf.DUMMYFUNCTION("""COMPUTED_VALUE"""),565172.0)</f>
        <v>565172</v>
      </c>
      <c r="I106" s="186"/>
      <c r="J106" s="189">
        <f>IFERROR(__xludf.DUMMYFUNCTION("""COMPUTED_VALUE"""),3106.0)</f>
        <v>3106</v>
      </c>
      <c r="K106" s="189">
        <f>IFERROR(__xludf.DUMMYFUNCTION("""COMPUTED_VALUE"""),3143.0)</f>
        <v>3143</v>
      </c>
      <c r="L106" s="189">
        <f>IFERROR(__xludf.DUMMYFUNCTION("""COMPUTED_VALUE"""),3282.0)</f>
        <v>3282</v>
      </c>
      <c r="M106" s="189">
        <f>IFERROR(__xludf.DUMMYFUNCTION("""COMPUTED_VALUE"""),3296.0)</f>
        <v>3296</v>
      </c>
      <c r="N106" s="189">
        <f>IFERROR(__xludf.DUMMYFUNCTION("""COMPUTED_VALUE"""),3150.0)</f>
        <v>3150</v>
      </c>
      <c r="O106" s="189">
        <f>IFERROR(__xludf.DUMMYFUNCTION("""COMPUTED_VALUE"""),3170.0)</f>
        <v>3170</v>
      </c>
      <c r="P106" s="189">
        <f>IFERROR(__xludf.DUMMYFUNCTION("""COMPUTED_VALUE"""),3134.0)</f>
        <v>3134</v>
      </c>
      <c r="Q106" s="189">
        <f>IFERROR(__xludf.DUMMYFUNCTION("""COMPUTED_VALUE"""),3110.0)</f>
        <v>3110</v>
      </c>
      <c r="R106" s="189">
        <f>IFERROR(__xludf.DUMMYFUNCTION("""COMPUTED_VALUE"""),2980.0)</f>
        <v>2980</v>
      </c>
      <c r="S106" s="189">
        <f>IFERROR(__xludf.DUMMYFUNCTION("""COMPUTED_VALUE"""),2946.0)</f>
        <v>2946</v>
      </c>
    </row>
    <row r="107">
      <c r="A107" s="186" t="str">
        <f>IFERROR(__xludf.DUMMYFUNCTION("""COMPUTED_VALUE"""),"DE")</f>
        <v>DE</v>
      </c>
      <c r="B107" s="186" t="str">
        <f>IFERROR(__xludf.DUMMYFUNCTION("""COMPUTED_VALUE"""),"W48")</f>
        <v>W48</v>
      </c>
      <c r="C107" s="186">
        <f>IFERROR(__xludf.DUMMYFUNCTION("""COMPUTED_VALUE"""),305.0)</f>
        <v>305</v>
      </c>
      <c r="D107" s="186"/>
      <c r="E107" s="186"/>
      <c r="F107" s="186"/>
      <c r="G107" s="186" t="str">
        <f>IFERROR(__xludf.DUMMYFUNCTION("""COMPUTED_VALUE"""),"FE4001B")</f>
        <v>FE4001B</v>
      </c>
      <c r="H107" s="186"/>
      <c r="I107" s="186"/>
      <c r="J107" s="189">
        <f>IFERROR(__xludf.DUMMYFUNCTION("""COMPUTED_VALUE"""),2760.0)</f>
        <v>2760</v>
      </c>
      <c r="K107" s="189">
        <f>IFERROR(__xludf.DUMMYFUNCTION("""COMPUTED_VALUE"""),2671.0)</f>
        <v>2671</v>
      </c>
      <c r="L107" s="189">
        <f>IFERROR(__xludf.DUMMYFUNCTION("""COMPUTED_VALUE"""),2475.0)</f>
        <v>2475</v>
      </c>
      <c r="M107" s="189">
        <f>IFERROR(__xludf.DUMMYFUNCTION("""COMPUTED_VALUE"""),2538.0)</f>
        <v>2538</v>
      </c>
      <c r="N107" s="189">
        <f>IFERROR(__xludf.DUMMYFUNCTION("""COMPUTED_VALUE"""),2536.0)</f>
        <v>2536</v>
      </c>
      <c r="O107" s="189">
        <f>IFERROR(__xludf.DUMMYFUNCTION("""COMPUTED_VALUE"""),2603.0)</f>
        <v>2603</v>
      </c>
      <c r="P107" s="189">
        <f>IFERROR(__xludf.DUMMYFUNCTION("""COMPUTED_VALUE"""),2559.0)</f>
        <v>2559</v>
      </c>
      <c r="Q107" s="189">
        <f>IFERROR(__xludf.DUMMYFUNCTION("""COMPUTED_VALUE"""),2535.0)</f>
        <v>2535</v>
      </c>
      <c r="R107" s="189">
        <f>IFERROR(__xludf.DUMMYFUNCTION("""COMPUTED_VALUE"""),2420.0)</f>
        <v>2420</v>
      </c>
      <c r="S107" s="189">
        <f>IFERROR(__xludf.DUMMYFUNCTION("""COMPUTED_VALUE"""),2422.0)</f>
        <v>2422</v>
      </c>
    </row>
    <row r="108">
      <c r="A108" s="186" t="str">
        <f>IFERROR(__xludf.DUMMYFUNCTION("""COMPUTED_VALUE"""),"DE")</f>
        <v>DE</v>
      </c>
      <c r="B108" s="186" t="str">
        <f>IFERROR(__xludf.DUMMYFUNCTION("""COMPUTED_VALUE"""),"W48")</f>
        <v>W48</v>
      </c>
      <c r="C108" s="186">
        <f>IFERROR(__xludf.DUMMYFUNCTION("""COMPUTED_VALUE"""),306.0)</f>
        <v>306</v>
      </c>
      <c r="D108" s="186"/>
      <c r="E108" s="186"/>
      <c r="F108" s="186"/>
      <c r="G108" s="186" t="str">
        <f>IFERROR(__xludf.DUMMYFUNCTION("""COMPUTED_VALUE"""),"FE0198C")</f>
        <v>FE0198C</v>
      </c>
      <c r="H108" s="186"/>
      <c r="I108" s="186"/>
      <c r="J108" s="189">
        <f>IFERROR(__xludf.DUMMYFUNCTION("""COMPUTED_VALUE"""),2319.0)</f>
        <v>2319</v>
      </c>
      <c r="K108" s="189">
        <f>IFERROR(__xludf.DUMMYFUNCTION("""COMPUTED_VALUE"""),2286.0)</f>
        <v>2286</v>
      </c>
      <c r="L108" s="189">
        <f>IFERROR(__xludf.DUMMYFUNCTION("""COMPUTED_VALUE"""),1951.0)</f>
        <v>1951</v>
      </c>
      <c r="M108" s="189">
        <f>IFERROR(__xludf.DUMMYFUNCTION("""COMPUTED_VALUE"""),1947.0)</f>
        <v>1947</v>
      </c>
      <c r="N108" s="189">
        <f>IFERROR(__xludf.DUMMYFUNCTION("""COMPUTED_VALUE"""),1902.0)</f>
        <v>1902</v>
      </c>
      <c r="O108" s="189">
        <f>IFERROR(__xludf.DUMMYFUNCTION("""COMPUTED_VALUE"""),1948.0)</f>
        <v>1948</v>
      </c>
      <c r="P108" s="189">
        <f>IFERROR(__xludf.DUMMYFUNCTION("""COMPUTED_VALUE"""),1947.0)</f>
        <v>1947</v>
      </c>
      <c r="Q108" s="189">
        <f>IFERROR(__xludf.DUMMYFUNCTION("""COMPUTED_VALUE"""),1957.0)</f>
        <v>1957</v>
      </c>
      <c r="R108" s="189">
        <f>IFERROR(__xludf.DUMMYFUNCTION("""COMPUTED_VALUE"""),1841.0)</f>
        <v>1841</v>
      </c>
      <c r="S108" s="189">
        <f>IFERROR(__xludf.DUMMYFUNCTION("""COMPUTED_VALUE"""),1812.0)</f>
        <v>1812</v>
      </c>
    </row>
    <row r="109">
      <c r="A109" s="186" t="str">
        <f>IFERROR(__xludf.DUMMYFUNCTION("""COMPUTED_VALUE"""),"DE")</f>
        <v>DE</v>
      </c>
      <c r="B109" s="186" t="str">
        <f>IFERROR(__xludf.DUMMYFUNCTION("""COMPUTED_VALUE"""),"W48")</f>
        <v>W48</v>
      </c>
      <c r="C109" s="186">
        <f>IFERROR(__xludf.DUMMYFUNCTION("""COMPUTED_VALUE"""),307.0)</f>
        <v>307</v>
      </c>
      <c r="D109" s="186" t="str">
        <f>IFERROR(__xludf.DUMMYFUNCTION("""COMPUTED_VALUE"""),"CON-00-136684-3")</f>
        <v>CON-00-136684-3</v>
      </c>
      <c r="E109" s="186" t="str">
        <f>IFERROR(__xludf.DUMMYFUNCTION("""COMPUTED_VALUE"""),"Pork tenderloin with black pepper and sage")</f>
        <v>Pork tenderloin with black pepper and sage</v>
      </c>
      <c r="F109" s="186" t="str">
        <f>IFERROR(__xludf.DUMMYFUNCTION("""COMPUTED_VALUE"""),"Schweinefilet mit schwarzem Pfeffer und Salbei")</f>
        <v>Schweinefilet mit schwarzem Pfeffer und Salbei</v>
      </c>
      <c r="G109" s="186" t="str">
        <f>IFERROR(__xludf.DUMMYFUNCTION("""COMPUTED_VALUE"""),"FE4022B")</f>
        <v>FE4022B</v>
      </c>
      <c r="H109" s="186">
        <f>IFERROR(__xludf.DUMMYFUNCTION("""COMPUTED_VALUE"""),565146.0)</f>
        <v>565146</v>
      </c>
      <c r="I109" s="186" t="str">
        <f>IFERROR(__xludf.DUMMYFUNCTION("""COMPUTED_VALUE"""),"HF RW Varkenshaas zwpeper sali")</f>
        <v>HF RW Varkenshaas zwpeper sali</v>
      </c>
      <c r="J109" s="189">
        <f>IFERROR(__xludf.DUMMYFUNCTION("""COMPUTED_VALUE"""),1357.0)</f>
        <v>1357</v>
      </c>
      <c r="K109" s="189">
        <f>IFERROR(__xludf.DUMMYFUNCTION("""COMPUTED_VALUE"""),1278.0)</f>
        <v>1278</v>
      </c>
      <c r="L109" s="189">
        <f>IFERROR(__xludf.DUMMYFUNCTION("""COMPUTED_VALUE"""),1403.0)</f>
        <v>1403</v>
      </c>
      <c r="M109" s="189">
        <f>IFERROR(__xludf.DUMMYFUNCTION("""COMPUTED_VALUE"""),1415.0)</f>
        <v>1415</v>
      </c>
      <c r="N109" s="189">
        <f>IFERROR(__xludf.DUMMYFUNCTION("""COMPUTED_VALUE"""),1361.0)</f>
        <v>1361</v>
      </c>
      <c r="O109" s="189">
        <f>IFERROR(__xludf.DUMMYFUNCTION("""COMPUTED_VALUE"""),1383.0)</f>
        <v>1383</v>
      </c>
      <c r="P109" s="189">
        <f>IFERROR(__xludf.DUMMYFUNCTION("""COMPUTED_VALUE"""),1374.0)</f>
        <v>1374</v>
      </c>
      <c r="Q109" s="189">
        <f>IFERROR(__xludf.DUMMYFUNCTION("""COMPUTED_VALUE"""),1355.0)</f>
        <v>1355</v>
      </c>
      <c r="R109" s="189">
        <f>IFERROR(__xludf.DUMMYFUNCTION("""COMPUTED_VALUE"""),1219.0)</f>
        <v>1219</v>
      </c>
      <c r="S109" s="189">
        <f>IFERROR(__xludf.DUMMYFUNCTION("""COMPUTED_VALUE"""),1267.0)</f>
        <v>1267</v>
      </c>
    </row>
    <row r="110">
      <c r="A110" s="186" t="str">
        <f>IFERROR(__xludf.DUMMYFUNCTION("""COMPUTED_VALUE"""),"DE")</f>
        <v>DE</v>
      </c>
      <c r="B110" s="186" t="str">
        <f>IFERROR(__xludf.DUMMYFUNCTION("""COMPUTED_VALUE"""),"W48")</f>
        <v>W48</v>
      </c>
      <c r="C110" s="186">
        <f>IFERROR(__xludf.DUMMYFUNCTION("""COMPUTED_VALUE"""),308.0)</f>
        <v>308</v>
      </c>
      <c r="D110" s="186" t="str">
        <f>IFERROR(__xludf.DUMMYFUNCTION("""COMPUTED_VALUE"""),"CON-00-137744-2")</f>
        <v>CON-00-137744-2</v>
      </c>
      <c r="E110" s="186" t="str">
        <f>IFERROR(__xludf.DUMMYFUNCTION("""COMPUTED_VALUE"""),"Salmon in creamy gochugaru sauce")</f>
        <v>Salmon in creamy gochugaru sauce</v>
      </c>
      <c r="F110" s="186" t="str">
        <f>IFERROR(__xludf.DUMMYFUNCTION("""COMPUTED_VALUE"""),"Lachs in cremiger Gochugaru-Sauce")</f>
        <v>Lachs in cremiger Gochugaru-Sauce</v>
      </c>
      <c r="G110" s="186" t="str">
        <f>IFERROR(__xludf.DUMMYFUNCTION("""COMPUTED_VALUE"""),"FE4039C")</f>
        <v>FE4039C</v>
      </c>
      <c r="H110" s="186">
        <f>IFERROR(__xludf.DUMMYFUNCTION("""COMPUTED_VALUE"""),565102.0)</f>
        <v>565102</v>
      </c>
      <c r="I110" s="186" t="str">
        <f>IFERROR(__xludf.DUMMYFUNCTION("""COMPUTED_VALUE"""),"HF Zalm romige gochugaru sa")</f>
        <v>HF Zalm romige gochugaru sa</v>
      </c>
      <c r="J110" s="189">
        <f>IFERROR(__xludf.DUMMYFUNCTION("""COMPUTED_VALUE"""),1968.0)</f>
        <v>1968</v>
      </c>
      <c r="K110" s="189">
        <f>IFERROR(__xludf.DUMMYFUNCTION("""COMPUTED_VALUE"""),1885.0)</f>
        <v>1885</v>
      </c>
      <c r="L110" s="189">
        <f>IFERROR(__xludf.DUMMYFUNCTION("""COMPUTED_VALUE"""),1802.0)</f>
        <v>1802</v>
      </c>
      <c r="M110" s="189">
        <f>IFERROR(__xludf.DUMMYFUNCTION("""COMPUTED_VALUE"""),1938.0)</f>
        <v>1938</v>
      </c>
      <c r="N110" s="189">
        <f>IFERROR(__xludf.DUMMYFUNCTION("""COMPUTED_VALUE"""),1944.0)</f>
        <v>1944</v>
      </c>
      <c r="O110" s="189">
        <f>IFERROR(__xludf.DUMMYFUNCTION("""COMPUTED_VALUE"""),1930.0)</f>
        <v>1930</v>
      </c>
      <c r="P110" s="189">
        <f>IFERROR(__xludf.DUMMYFUNCTION("""COMPUTED_VALUE"""),1949.0)</f>
        <v>1949</v>
      </c>
      <c r="Q110" s="189">
        <f>IFERROR(__xludf.DUMMYFUNCTION("""COMPUTED_VALUE"""),1974.0)</f>
        <v>1974</v>
      </c>
      <c r="R110" s="189">
        <f>IFERROR(__xludf.DUMMYFUNCTION("""COMPUTED_VALUE"""),1800.0)</f>
        <v>1800</v>
      </c>
      <c r="S110" s="189">
        <f>IFERROR(__xludf.DUMMYFUNCTION("""COMPUTED_VALUE"""),1830.0)</f>
        <v>1830</v>
      </c>
    </row>
    <row r="111">
      <c r="A111" s="186" t="str">
        <f>IFERROR(__xludf.DUMMYFUNCTION("""COMPUTED_VALUE"""),"DE")</f>
        <v>DE</v>
      </c>
      <c r="B111" s="186" t="str">
        <f>IFERROR(__xludf.DUMMYFUNCTION("""COMPUTED_VALUE"""),"W48")</f>
        <v>W48</v>
      </c>
      <c r="C111" s="186">
        <f>IFERROR(__xludf.DUMMYFUNCTION("""COMPUTED_VALUE"""),309.0)</f>
        <v>309</v>
      </c>
      <c r="D111" s="186"/>
      <c r="E111" s="186"/>
      <c r="F111" s="186"/>
      <c r="G111" s="186" t="str">
        <f>IFERROR(__xludf.DUMMYFUNCTION("""COMPUTED_VALUE"""),"FE0425C")</f>
        <v>FE0425C</v>
      </c>
      <c r="H111" s="186"/>
      <c r="I111" s="186"/>
      <c r="J111" s="186">
        <f>IFERROR(__xludf.DUMMYFUNCTION("""COMPUTED_VALUE"""),444.0)</f>
        <v>444</v>
      </c>
      <c r="K111" s="186">
        <f>IFERROR(__xludf.DUMMYFUNCTION("""COMPUTED_VALUE"""),447.0)</f>
        <v>447</v>
      </c>
      <c r="L111" s="186">
        <f>IFERROR(__xludf.DUMMYFUNCTION("""COMPUTED_VALUE"""),429.0)</f>
        <v>429</v>
      </c>
      <c r="M111" s="186">
        <f>IFERROR(__xludf.DUMMYFUNCTION("""COMPUTED_VALUE"""),519.0)</f>
        <v>519</v>
      </c>
      <c r="N111" s="186">
        <f>IFERROR(__xludf.DUMMYFUNCTION("""COMPUTED_VALUE"""),461.0)</f>
        <v>461</v>
      </c>
      <c r="O111" s="186">
        <f>IFERROR(__xludf.DUMMYFUNCTION("""COMPUTED_VALUE"""),470.0)</f>
        <v>470</v>
      </c>
      <c r="P111" s="186">
        <f>IFERROR(__xludf.DUMMYFUNCTION("""COMPUTED_VALUE"""),474.0)</f>
        <v>474</v>
      </c>
      <c r="Q111" s="186">
        <f>IFERROR(__xludf.DUMMYFUNCTION("""COMPUTED_VALUE"""),471.0)</f>
        <v>471</v>
      </c>
      <c r="R111" s="186">
        <f>IFERROR(__xludf.DUMMYFUNCTION("""COMPUTED_VALUE"""),407.0)</f>
        <v>407</v>
      </c>
      <c r="S111" s="189">
        <f>IFERROR(__xludf.DUMMYFUNCTION("""COMPUTED_VALUE"""),421.0)</f>
        <v>421</v>
      </c>
    </row>
    <row r="112">
      <c r="A112" s="186" t="str">
        <f>IFERROR(__xludf.DUMMYFUNCTION("""COMPUTED_VALUE"""),"DE")</f>
        <v>DE</v>
      </c>
      <c r="B112" s="186" t="str">
        <f>IFERROR(__xludf.DUMMYFUNCTION("""COMPUTED_VALUE"""),"W48")</f>
        <v>W48</v>
      </c>
      <c r="C112" s="186">
        <f>IFERROR(__xludf.DUMMYFUNCTION("""COMPUTED_VALUE"""),310.0)</f>
        <v>310</v>
      </c>
      <c r="D112" s="186" t="str">
        <f>IFERROR(__xludf.DUMMYFUNCTION("""COMPUTED_VALUE"""),"CON-00-136721-3")</f>
        <v>CON-00-136721-3</v>
      </c>
      <c r="E112" s="186" t="str">
        <f>IFERROR(__xludf.DUMMYFUNCTION("""COMPUTED_VALUE"""),"Sun-dried tomato trottole")</f>
        <v>Sun-dried tomato trottole</v>
      </c>
      <c r="F112" s="186" t="str">
        <f>IFERROR(__xludf.DUMMYFUNCTION("""COMPUTED_VALUE"""),"Trottole mit getrockneten Tomaten")</f>
        <v>Trottole mit getrockneten Tomaten</v>
      </c>
      <c r="G112" s="186" t="str">
        <f>IFERROR(__xludf.DUMMYFUNCTION("""COMPUTED_VALUE"""),"FE0516A")</f>
        <v>FE0516A</v>
      </c>
      <c r="H112" s="186">
        <f>IFERROR(__xludf.DUMMYFUNCTION("""COMPUTED_VALUE"""),565111.0)</f>
        <v>565111</v>
      </c>
      <c r="I112" s="186"/>
      <c r="J112" s="186">
        <f>IFERROR(__xludf.DUMMYFUNCTION("""COMPUTED_VALUE"""),486.0)</f>
        <v>486</v>
      </c>
      <c r="K112" s="186">
        <f>IFERROR(__xludf.DUMMYFUNCTION("""COMPUTED_VALUE"""),464.0)</f>
        <v>464</v>
      </c>
      <c r="L112" s="186">
        <f>IFERROR(__xludf.DUMMYFUNCTION("""COMPUTED_VALUE"""),551.0)</f>
        <v>551</v>
      </c>
      <c r="M112" s="186">
        <f>IFERROR(__xludf.DUMMYFUNCTION("""COMPUTED_VALUE"""),641.0)</f>
        <v>641</v>
      </c>
      <c r="N112" s="186">
        <f>IFERROR(__xludf.DUMMYFUNCTION("""COMPUTED_VALUE"""),572.0)</f>
        <v>572</v>
      </c>
      <c r="O112" s="186">
        <f>IFERROR(__xludf.DUMMYFUNCTION("""COMPUTED_VALUE"""),586.0)</f>
        <v>586</v>
      </c>
      <c r="P112" s="186">
        <f>IFERROR(__xludf.DUMMYFUNCTION("""COMPUTED_VALUE"""),567.0)</f>
        <v>567</v>
      </c>
      <c r="Q112" s="186">
        <f>IFERROR(__xludf.DUMMYFUNCTION("""COMPUTED_VALUE"""),569.0)</f>
        <v>569</v>
      </c>
      <c r="R112" s="186">
        <f>IFERROR(__xludf.DUMMYFUNCTION("""COMPUTED_VALUE"""),508.0)</f>
        <v>508</v>
      </c>
      <c r="S112" s="186">
        <f>IFERROR(__xludf.DUMMYFUNCTION("""COMPUTED_VALUE"""),489.0)</f>
        <v>489</v>
      </c>
    </row>
    <row r="113">
      <c r="A113" s="186" t="str">
        <f>IFERROR(__xludf.DUMMYFUNCTION("""COMPUTED_VALUE"""),"DE")</f>
        <v>DE</v>
      </c>
      <c r="B113" s="186" t="str">
        <f>IFERROR(__xludf.DUMMYFUNCTION("""COMPUTED_VALUE"""),"W48")</f>
        <v>W48</v>
      </c>
      <c r="C113" s="186">
        <f>IFERROR(__xludf.DUMMYFUNCTION("""COMPUTED_VALUE"""),311.0)</f>
        <v>311</v>
      </c>
      <c r="D113" s="186" t="str">
        <f>IFERROR(__xludf.DUMMYFUNCTION("""COMPUTED_VALUE"""),"CON-00-136723-3")</f>
        <v>CON-00-136723-3</v>
      </c>
      <c r="E113" s="186" t="str">
        <f>IFERROR(__xludf.DUMMYFUNCTION("""COMPUTED_VALUE"""),"Beef &amp; pepper casserole")</f>
        <v>Beef &amp; pepper casserole</v>
      </c>
      <c r="F113" s="186" t="str">
        <f>IFERROR(__xludf.DUMMYFUNCTION("""COMPUTED_VALUE"""),"Rindfleisch-Paprika-Auflauf ")</f>
        <v>Rindfleisch-Paprika-Auflauf </v>
      </c>
      <c r="G113" s="186" t="str">
        <f>IFERROR(__xludf.DUMMYFUNCTION("""COMPUTED_VALUE"""),"FE0047G")</f>
        <v>FE0047G</v>
      </c>
      <c r="H113" s="186">
        <f>IFERROR(__xludf.DUMMYFUNCTION("""COMPUTED_VALUE"""),565113.0)</f>
        <v>565113</v>
      </c>
      <c r="I113" s="186"/>
      <c r="J113" s="186">
        <f>IFERROR(__xludf.DUMMYFUNCTION("""COMPUTED_VALUE"""),803.0)</f>
        <v>803</v>
      </c>
      <c r="K113" s="186">
        <f>IFERROR(__xludf.DUMMYFUNCTION("""COMPUTED_VALUE"""),746.0)</f>
        <v>746</v>
      </c>
      <c r="L113" s="186">
        <f>IFERROR(__xludf.DUMMYFUNCTION("""COMPUTED_VALUE"""),500.0)</f>
        <v>500</v>
      </c>
      <c r="M113" s="186">
        <f>IFERROR(__xludf.DUMMYFUNCTION("""COMPUTED_VALUE"""),586.0)</f>
        <v>586</v>
      </c>
      <c r="N113" s="186">
        <f>IFERROR(__xludf.DUMMYFUNCTION("""COMPUTED_VALUE"""),610.0)</f>
        <v>610</v>
      </c>
      <c r="O113" s="186">
        <f>IFERROR(__xludf.DUMMYFUNCTION("""COMPUTED_VALUE"""),619.0)</f>
        <v>619</v>
      </c>
      <c r="P113" s="186">
        <f>IFERROR(__xludf.DUMMYFUNCTION("""COMPUTED_VALUE"""),621.0)</f>
        <v>621</v>
      </c>
      <c r="Q113" s="186">
        <f>IFERROR(__xludf.DUMMYFUNCTION("""COMPUTED_VALUE"""),621.0)</f>
        <v>621</v>
      </c>
      <c r="R113" s="186">
        <f>IFERROR(__xludf.DUMMYFUNCTION("""COMPUTED_VALUE"""),598.0)</f>
        <v>598</v>
      </c>
      <c r="S113" s="189">
        <f>IFERROR(__xludf.DUMMYFUNCTION("""COMPUTED_VALUE"""),591.0)</f>
        <v>591</v>
      </c>
    </row>
    <row r="114">
      <c r="A114" s="186" t="str">
        <f>IFERROR(__xludf.DUMMYFUNCTION("""COMPUTED_VALUE"""),"DE")</f>
        <v>DE</v>
      </c>
      <c r="B114" s="186" t="str">
        <f>IFERROR(__xludf.DUMMYFUNCTION("""COMPUTED_VALUE"""),"W48")</f>
        <v>W48</v>
      </c>
      <c r="C114" s="186">
        <f>IFERROR(__xludf.DUMMYFUNCTION("""COMPUTED_VALUE"""),312.0)</f>
        <v>312</v>
      </c>
      <c r="D114" s="186" t="str">
        <f>IFERROR(__xludf.DUMMYFUNCTION("""COMPUTED_VALUE"""),"CON-00-151278-2")</f>
        <v>CON-00-151278-2</v>
      </c>
      <c r="E114" s="186" t="str">
        <f>IFERROR(__xludf.DUMMYFUNCTION("""COMPUTED_VALUE"""),"Ají Verde Salmon")</f>
        <v>Ají Verde Salmon</v>
      </c>
      <c r="F114" s="186" t="str">
        <f>IFERROR(__xludf.DUMMYFUNCTION("""COMPUTED_VALUE"""),"Ají Verde Lachs")</f>
        <v>Ají Verde Lachs</v>
      </c>
      <c r="G114" s="186" t="str">
        <f>IFERROR(__xludf.DUMMYFUNCTION("""COMPUTED_VALUE"""),"FE1320C")</f>
        <v>FE1320C</v>
      </c>
      <c r="H114" s="186">
        <f>IFERROR(__xludf.DUMMYFUNCTION("""COMPUTED_VALUE"""),565196.0)</f>
        <v>565196</v>
      </c>
      <c r="I114" s="186" t="str">
        <f>IFERROR(__xludf.DUMMYFUNCTION("""COMPUTED_VALUE"""),"HF Aji verde zalm")</f>
        <v>HF Aji verde zalm</v>
      </c>
      <c r="J114" s="189">
        <f>IFERROR(__xludf.DUMMYFUNCTION("""COMPUTED_VALUE"""),1586.0)</f>
        <v>1586</v>
      </c>
      <c r="K114" s="189">
        <f>IFERROR(__xludf.DUMMYFUNCTION("""COMPUTED_VALUE"""),1576.0)</f>
        <v>1576</v>
      </c>
      <c r="L114" s="189">
        <f>IFERROR(__xludf.DUMMYFUNCTION("""COMPUTED_VALUE"""),1510.0)</f>
        <v>1510</v>
      </c>
      <c r="M114" s="189">
        <f>IFERROR(__xludf.DUMMYFUNCTION("""COMPUTED_VALUE"""),1530.0)</f>
        <v>1530</v>
      </c>
      <c r="N114" s="189">
        <f>IFERROR(__xludf.DUMMYFUNCTION("""COMPUTED_VALUE"""),1487.0)</f>
        <v>1487</v>
      </c>
      <c r="O114" s="189">
        <f>IFERROR(__xludf.DUMMYFUNCTION("""COMPUTED_VALUE"""),1502.0)</f>
        <v>1502</v>
      </c>
      <c r="P114" s="189">
        <f>IFERROR(__xludf.DUMMYFUNCTION("""COMPUTED_VALUE"""),1491.0)</f>
        <v>1491</v>
      </c>
      <c r="Q114" s="189">
        <f>IFERROR(__xludf.DUMMYFUNCTION("""COMPUTED_VALUE"""),1499.0)</f>
        <v>1499</v>
      </c>
      <c r="R114" s="189">
        <f>IFERROR(__xludf.DUMMYFUNCTION("""COMPUTED_VALUE"""),1456.0)</f>
        <v>1456</v>
      </c>
      <c r="S114" s="189">
        <f>IFERROR(__xludf.DUMMYFUNCTION("""COMPUTED_VALUE"""),1424.0)</f>
        <v>1424</v>
      </c>
    </row>
    <row r="115">
      <c r="A115" s="186" t="str">
        <f>IFERROR(__xludf.DUMMYFUNCTION("""COMPUTED_VALUE"""),"DE")</f>
        <v>DE</v>
      </c>
      <c r="B115" s="186" t="str">
        <f>IFERROR(__xludf.DUMMYFUNCTION("""COMPUTED_VALUE"""),"W48")</f>
        <v>W48</v>
      </c>
      <c r="C115" s="186">
        <f>IFERROR(__xludf.DUMMYFUNCTION("""COMPUTED_VALUE"""),313.0)</f>
        <v>313</v>
      </c>
      <c r="D115" s="186" t="str">
        <f>IFERROR(__xludf.DUMMYFUNCTION("""COMPUTED_VALUE"""),"CON-00-149480-2")</f>
        <v>CON-00-149480-2</v>
      </c>
      <c r="E115" s="186" t="str">
        <f>IFERROR(__xludf.DUMMYFUNCTION("""COMPUTED_VALUE"""),"Sour Cream &amp; Chive Chicken")</f>
        <v>Sour Cream &amp; Chive Chicken</v>
      </c>
      <c r="F115" s="186" t="str">
        <f>IFERROR(__xludf.DUMMYFUNCTION("""COMPUTED_VALUE"""),"Hähnchen mit Sauerrahm und Schnittlauch")</f>
        <v>Hähnchen mit Sauerrahm und Schnittlauch</v>
      </c>
      <c r="G115" s="186" t="str">
        <f>IFERROR(__xludf.DUMMYFUNCTION("""COMPUTED_VALUE"""),"FE0322O")</f>
        <v>FE0322O</v>
      </c>
      <c r="H115" s="186">
        <f>IFERROR(__xludf.DUMMYFUNCTION("""COMPUTED_VALUE"""),565163.0)</f>
        <v>565163</v>
      </c>
      <c r="I115" s="186" t="str">
        <f>IFERROR(__xludf.DUMMYFUNCTION("""COMPUTED_VALUE"""),"HF Kip bieslook aardappel pure")</f>
        <v>HF Kip bieslook aardappel pure</v>
      </c>
      <c r="J115" s="189">
        <f>IFERROR(__xludf.DUMMYFUNCTION("""COMPUTED_VALUE"""),1637.0)</f>
        <v>1637</v>
      </c>
      <c r="K115" s="189">
        <f>IFERROR(__xludf.DUMMYFUNCTION("""COMPUTED_VALUE"""),1703.0)</f>
        <v>1703</v>
      </c>
      <c r="L115" s="189">
        <f>IFERROR(__xludf.DUMMYFUNCTION("""COMPUTED_VALUE"""),1228.0)</f>
        <v>1228</v>
      </c>
      <c r="M115" s="189">
        <f>IFERROR(__xludf.DUMMYFUNCTION("""COMPUTED_VALUE"""),1252.0)</f>
        <v>1252</v>
      </c>
      <c r="N115" s="189">
        <f>IFERROR(__xludf.DUMMYFUNCTION("""COMPUTED_VALUE"""),1238.0)</f>
        <v>1238</v>
      </c>
      <c r="O115" s="189">
        <f>IFERROR(__xludf.DUMMYFUNCTION("""COMPUTED_VALUE"""),1259.0)</f>
        <v>1259</v>
      </c>
      <c r="P115" s="189">
        <f>IFERROR(__xludf.DUMMYFUNCTION("""COMPUTED_VALUE"""),1217.0)</f>
        <v>1217</v>
      </c>
      <c r="Q115" s="189">
        <f>IFERROR(__xludf.DUMMYFUNCTION("""COMPUTED_VALUE"""),1215.0)</f>
        <v>1215</v>
      </c>
      <c r="R115" s="189">
        <f>IFERROR(__xludf.DUMMYFUNCTION("""COMPUTED_VALUE"""),1200.0)</f>
        <v>1200</v>
      </c>
      <c r="S115" s="189">
        <f>IFERROR(__xludf.DUMMYFUNCTION("""COMPUTED_VALUE"""),1164.0)</f>
        <v>1164</v>
      </c>
    </row>
    <row r="116">
      <c r="A116" s="186" t="str">
        <f>IFERROR(__xludf.DUMMYFUNCTION("""COMPUTED_VALUE"""),"DE")</f>
        <v>DE</v>
      </c>
      <c r="B116" s="186" t="str">
        <f>IFERROR(__xludf.DUMMYFUNCTION("""COMPUTED_VALUE"""),"W48")</f>
        <v>W48</v>
      </c>
      <c r="C116" s="186">
        <f>IFERROR(__xludf.DUMMYFUNCTION("""COMPUTED_VALUE"""),314.0)</f>
        <v>314</v>
      </c>
      <c r="D116" s="186" t="str">
        <f>IFERROR(__xludf.DUMMYFUNCTION("""COMPUTED_VALUE"""),"CON-00-151281-2")</f>
        <v>CON-00-151281-2</v>
      </c>
      <c r="E116" s="186" t="str">
        <f>IFERROR(__xludf.DUMMYFUNCTION("""COMPUTED_VALUE"""),"Cheddar &amp; Red Pepper Chicken Thigh Pasta")</f>
        <v>Cheddar &amp; Red Pepper Chicken Thigh Pasta</v>
      </c>
      <c r="F116" s="186" t="str">
        <f>IFERROR(__xludf.DUMMYFUNCTION("""COMPUTED_VALUE"""),"Pasta mit Hähnchen, Cheddar und roter Paprika")</f>
        <v>Pasta mit Hähnchen, Cheddar und roter Paprika</v>
      </c>
      <c r="G116" s="186" t="str">
        <f>IFERROR(__xludf.DUMMYFUNCTION("""COMPUTED_VALUE"""),"FE1351C")</f>
        <v>FE1351C</v>
      </c>
      <c r="H116" s="186">
        <f>IFERROR(__xludf.DUMMYFUNCTION("""COMPUTED_VALUE"""),565185.0)</f>
        <v>565185</v>
      </c>
      <c r="I116" s="186" t="str">
        <f>IFERROR(__xludf.DUMMYFUNCTION("""COMPUTED_VALUE"""),"HF Pasta paprika cheddar saus")</f>
        <v>HF Pasta paprika cheddar saus</v>
      </c>
      <c r="J116" s="186">
        <f>IFERROR(__xludf.DUMMYFUNCTION("""COMPUTED_VALUE"""),1024.0)</f>
        <v>1024</v>
      </c>
      <c r="K116" s="186">
        <f>IFERROR(__xludf.DUMMYFUNCTION("""COMPUTED_VALUE"""),979.0)</f>
        <v>979</v>
      </c>
      <c r="L116" s="189">
        <f>IFERROR(__xludf.DUMMYFUNCTION("""COMPUTED_VALUE"""),1222.0)</f>
        <v>1222</v>
      </c>
      <c r="M116" s="189">
        <f>IFERROR(__xludf.DUMMYFUNCTION("""COMPUTED_VALUE"""),1190.0)</f>
        <v>1190</v>
      </c>
      <c r="N116" s="189">
        <f>IFERROR(__xludf.DUMMYFUNCTION("""COMPUTED_VALUE"""),1150.0)</f>
        <v>1150</v>
      </c>
      <c r="O116" s="189">
        <f>IFERROR(__xludf.DUMMYFUNCTION("""COMPUTED_VALUE"""),1158.0)</f>
        <v>1158</v>
      </c>
      <c r="P116" s="189">
        <f>IFERROR(__xludf.DUMMYFUNCTION("""COMPUTED_VALUE"""),1161.0)</f>
        <v>1161</v>
      </c>
      <c r="Q116" s="189">
        <f>IFERROR(__xludf.DUMMYFUNCTION("""COMPUTED_VALUE"""),1187.0)</f>
        <v>1187</v>
      </c>
      <c r="R116" s="189">
        <f>IFERROR(__xludf.DUMMYFUNCTION("""COMPUTED_VALUE"""),1108.0)</f>
        <v>1108</v>
      </c>
      <c r="S116" s="189">
        <f>IFERROR(__xludf.DUMMYFUNCTION("""COMPUTED_VALUE"""),1089.0)</f>
        <v>1089</v>
      </c>
    </row>
    <row r="117">
      <c r="A117" s="186" t="str">
        <f>IFERROR(__xludf.DUMMYFUNCTION("""COMPUTED_VALUE"""),"DE")</f>
        <v>DE</v>
      </c>
      <c r="B117" s="186" t="str">
        <f>IFERROR(__xludf.DUMMYFUNCTION("""COMPUTED_VALUE"""),"W48")</f>
        <v>W48</v>
      </c>
      <c r="C117" s="186">
        <f>IFERROR(__xludf.DUMMYFUNCTION("""COMPUTED_VALUE"""),315.0)</f>
        <v>315</v>
      </c>
      <c r="D117" s="186" t="str">
        <f>IFERROR(__xludf.DUMMYFUNCTION("""COMPUTED_VALUE"""),"CON-00-150388-2")</f>
        <v>CON-00-150388-2</v>
      </c>
      <c r="E117" s="186" t="str">
        <f>IFERROR(__xludf.DUMMYFUNCTION("""COMPUTED_VALUE"""),"Parmesan &amp; Garlic Cream Pulled Beef")</f>
        <v>Parmesan &amp; Garlic Cream Pulled Beef</v>
      </c>
      <c r="F117" s="186" t="str">
        <f>IFERROR(__xludf.DUMMYFUNCTION("""COMPUTED_VALUE"""),"Pulled Beef in Parmesan-Knoblauch-Creme")</f>
        <v>Pulled Beef in Parmesan-Knoblauch-Creme</v>
      </c>
      <c r="G117" s="186" t="str">
        <f>IFERROR(__xludf.DUMMYFUNCTION("""COMPUTED_VALUE"""),"FE1346B")</f>
        <v>FE1346B</v>
      </c>
      <c r="H117" s="186">
        <f>IFERROR(__xludf.DUMMYFUNCTION("""COMPUTED_VALUE"""),565184.0)</f>
        <v>565184</v>
      </c>
      <c r="I117" s="186" t="str">
        <f>IFERROR(__xludf.DUMMYFUNCTION("""COMPUTED_VALUE"""),"HF Pulled beef &amp; knoflook room")</f>
        <v>HF Pulled beef &amp; knoflook room</v>
      </c>
      <c r="J117" s="186">
        <f>IFERROR(__xludf.DUMMYFUNCTION("""COMPUTED_VALUE"""),746.0)</f>
        <v>746</v>
      </c>
      <c r="K117" s="186">
        <f>IFERROR(__xludf.DUMMYFUNCTION("""COMPUTED_VALUE"""),665.0)</f>
        <v>665</v>
      </c>
      <c r="L117" s="189">
        <f>IFERROR(__xludf.DUMMYFUNCTION("""COMPUTED_VALUE"""),1565.0)</f>
        <v>1565</v>
      </c>
      <c r="M117" s="189">
        <f>IFERROR(__xludf.DUMMYFUNCTION("""COMPUTED_VALUE"""),1376.0)</f>
        <v>1376</v>
      </c>
      <c r="N117" s="189">
        <f>IFERROR(__xludf.DUMMYFUNCTION("""COMPUTED_VALUE"""),1359.0)</f>
        <v>1359</v>
      </c>
      <c r="O117" s="189">
        <f>IFERROR(__xludf.DUMMYFUNCTION("""COMPUTED_VALUE"""),1377.0)</f>
        <v>1377</v>
      </c>
      <c r="P117" s="189">
        <f>IFERROR(__xludf.DUMMYFUNCTION("""COMPUTED_VALUE"""),1366.0)</f>
        <v>1366</v>
      </c>
      <c r="Q117" s="189">
        <f>IFERROR(__xludf.DUMMYFUNCTION("""COMPUTED_VALUE"""),1362.0)</f>
        <v>1362</v>
      </c>
      <c r="R117" s="189">
        <f>IFERROR(__xludf.DUMMYFUNCTION("""COMPUTED_VALUE"""),1315.0)</f>
        <v>1315</v>
      </c>
      <c r="S117" s="189">
        <f>IFERROR(__xludf.DUMMYFUNCTION("""COMPUTED_VALUE"""),1272.0)</f>
        <v>1272</v>
      </c>
    </row>
    <row r="118">
      <c r="A118" s="186" t="str">
        <f>IFERROR(__xludf.DUMMYFUNCTION("""COMPUTED_VALUE"""),"DE")</f>
        <v>DE</v>
      </c>
      <c r="B118" s="186" t="str">
        <f>IFERROR(__xludf.DUMMYFUNCTION("""COMPUTED_VALUE"""),"W48")</f>
        <v>W48</v>
      </c>
      <c r="C118" s="186">
        <f>IFERROR(__xludf.DUMMYFUNCTION("""COMPUTED_VALUE"""),316.0)</f>
        <v>316</v>
      </c>
      <c r="D118" s="186" t="str">
        <f>IFERROR(__xludf.DUMMYFUNCTION("""COMPUTED_VALUE"""),"CON-00-148220-2")</f>
        <v>CON-00-148220-2</v>
      </c>
      <c r="E118" s="186" t="str">
        <f>IFERROR(__xludf.DUMMYFUNCTION("""COMPUTED_VALUE"""),"Caramelized Onion &amp; Emmental Fondue Chicken")</f>
        <v>Caramelized Onion &amp; Emmental Fondue Chicken</v>
      </c>
      <c r="F118" s="186" t="str">
        <f>IFERROR(__xludf.DUMMYFUNCTION("""COMPUTED_VALUE"""),"Hähnchen mit karamellisierten Zwiebeln &amp; Emmentaler-Fondue")</f>
        <v>Hähnchen mit karamellisierten Zwiebeln &amp; Emmentaler-Fondue</v>
      </c>
      <c r="G118" s="186" t="str">
        <f>IFERROR(__xludf.DUMMYFUNCTION("""COMPUTED_VALUE"""),"FE0970B")</f>
        <v>FE0970B</v>
      </c>
      <c r="H118" s="186">
        <f>IFERROR(__xludf.DUMMYFUNCTION("""COMPUTED_VALUE"""),565164.0)</f>
        <v>565164</v>
      </c>
      <c r="I118" s="186"/>
      <c r="J118" s="186">
        <f>IFERROR(__xludf.DUMMYFUNCTION("""COMPUTED_VALUE"""),856.0)</f>
        <v>856</v>
      </c>
      <c r="K118" s="186">
        <f>IFERROR(__xludf.DUMMYFUNCTION("""COMPUTED_VALUE"""),813.0)</f>
        <v>813</v>
      </c>
      <c r="L118" s="189">
        <f>IFERROR(__xludf.DUMMYFUNCTION("""COMPUTED_VALUE"""),1112.0)</f>
        <v>1112</v>
      </c>
      <c r="M118" s="189">
        <f>IFERROR(__xludf.DUMMYFUNCTION("""COMPUTED_VALUE"""),1002.0)</f>
        <v>1002</v>
      </c>
      <c r="N118" s="186">
        <f>IFERROR(__xludf.DUMMYFUNCTION("""COMPUTED_VALUE"""),962.0)</f>
        <v>962</v>
      </c>
      <c r="O118" s="186">
        <f>IFERROR(__xludf.DUMMYFUNCTION("""COMPUTED_VALUE"""),946.0)</f>
        <v>946</v>
      </c>
      <c r="P118" s="186">
        <f>IFERROR(__xludf.DUMMYFUNCTION("""COMPUTED_VALUE"""),921.0)</f>
        <v>921</v>
      </c>
      <c r="Q118" s="186">
        <f>IFERROR(__xludf.DUMMYFUNCTION("""COMPUTED_VALUE"""),933.0)</f>
        <v>933</v>
      </c>
      <c r="R118" s="186">
        <f>IFERROR(__xludf.DUMMYFUNCTION("""COMPUTED_VALUE"""),824.0)</f>
        <v>824</v>
      </c>
      <c r="S118" s="189">
        <f>IFERROR(__xludf.DUMMYFUNCTION("""COMPUTED_VALUE"""),823.0)</f>
        <v>823</v>
      </c>
    </row>
    <row r="119">
      <c r="A119" s="186" t="str">
        <f>IFERROR(__xludf.DUMMYFUNCTION("""COMPUTED_VALUE"""),"DE")</f>
        <v>DE</v>
      </c>
      <c r="B119" s="186" t="str">
        <f>IFERROR(__xludf.DUMMYFUNCTION("""COMPUTED_VALUE"""),"W48")</f>
        <v>W48</v>
      </c>
      <c r="C119" s="186">
        <f>IFERROR(__xludf.DUMMYFUNCTION("""COMPUTED_VALUE"""),317.0)</f>
        <v>317</v>
      </c>
      <c r="D119" s="186" t="str">
        <f>IFERROR(__xludf.DUMMYFUNCTION("""COMPUTED_VALUE"""),"CON-00-139494-2")</f>
        <v>CON-00-139494-2</v>
      </c>
      <c r="E119" s="186" t="str">
        <f>IFERROR(__xludf.DUMMYFUNCTION("""COMPUTED_VALUE"""),"Artichoke &amp; Spinach Pork tenderloin")</f>
        <v>Artichoke &amp; Spinach Pork tenderloin</v>
      </c>
      <c r="F119" s="186" t="str">
        <f>IFERROR(__xludf.DUMMYFUNCTION("""COMPUTED_VALUE"""),"Schweinefilet mit Artischocken und Spinat")</f>
        <v>Schweinefilet mit Artischocken und Spinat</v>
      </c>
      <c r="G119" s="186" t="str">
        <f>IFERROR(__xludf.DUMMYFUNCTION("""COMPUTED_VALUE"""),"FE4060A")</f>
        <v>FE4060A</v>
      </c>
      <c r="H119" s="186">
        <f>IFERROR(__xludf.DUMMYFUNCTION("""COMPUTED_VALUE"""),565134.0)</f>
        <v>565134</v>
      </c>
      <c r="I119" s="186"/>
      <c r="J119" s="186">
        <f>IFERROR(__xludf.DUMMYFUNCTION("""COMPUTED_VALUE"""),564.0)</f>
        <v>564</v>
      </c>
      <c r="K119" s="186">
        <f>IFERROR(__xludf.DUMMYFUNCTION("""COMPUTED_VALUE"""),557.0)</f>
        <v>557</v>
      </c>
      <c r="L119" s="189">
        <f>IFERROR(__xludf.DUMMYFUNCTION("""COMPUTED_VALUE"""),548.0)</f>
        <v>548</v>
      </c>
      <c r="M119" s="189">
        <f>IFERROR(__xludf.DUMMYFUNCTION("""COMPUTED_VALUE"""),438.0)</f>
        <v>438</v>
      </c>
      <c r="N119" s="189">
        <f>IFERROR(__xludf.DUMMYFUNCTION("""COMPUTED_VALUE"""),422.0)</f>
        <v>422</v>
      </c>
      <c r="O119" s="189">
        <f>IFERROR(__xludf.DUMMYFUNCTION("""COMPUTED_VALUE"""),434.0)</f>
        <v>434</v>
      </c>
      <c r="P119" s="189">
        <f>IFERROR(__xludf.DUMMYFUNCTION("""COMPUTED_VALUE"""),434.0)</f>
        <v>434</v>
      </c>
      <c r="Q119" s="189">
        <f>IFERROR(__xludf.DUMMYFUNCTION("""COMPUTED_VALUE"""),439.0)</f>
        <v>439</v>
      </c>
      <c r="R119" s="189">
        <f>IFERROR(__xludf.DUMMYFUNCTION("""COMPUTED_VALUE"""),395.0)</f>
        <v>395</v>
      </c>
      <c r="S119" s="189">
        <f>IFERROR(__xludf.DUMMYFUNCTION("""COMPUTED_VALUE"""),402.0)</f>
        <v>402</v>
      </c>
    </row>
    <row r="120">
      <c r="A120" s="186" t="str">
        <f>IFERROR(__xludf.DUMMYFUNCTION("""COMPUTED_VALUE"""),"DE")</f>
        <v>DE</v>
      </c>
      <c r="B120" s="186" t="str">
        <f>IFERROR(__xludf.DUMMYFUNCTION("""COMPUTED_VALUE"""),"W48")</f>
        <v>W48</v>
      </c>
      <c r="C120" s="186">
        <f>IFERROR(__xludf.DUMMYFUNCTION("""COMPUTED_VALUE"""),318.0)</f>
        <v>318</v>
      </c>
      <c r="D120" s="186"/>
      <c r="E120" s="186"/>
      <c r="F120" s="186"/>
      <c r="G120" s="186" t="str">
        <f>IFERROR(__xludf.DUMMYFUNCTION("""COMPUTED_VALUE"""),"FE1072A")</f>
        <v>FE1072A</v>
      </c>
      <c r="H120" s="186"/>
      <c r="I120" s="186"/>
      <c r="J120" s="186">
        <f>IFERROR(__xludf.DUMMYFUNCTION("""COMPUTED_VALUE"""),597.0)</f>
        <v>597</v>
      </c>
      <c r="K120" s="186">
        <f>IFERROR(__xludf.DUMMYFUNCTION("""COMPUTED_VALUE"""),561.0)</f>
        <v>561</v>
      </c>
      <c r="L120" s="186">
        <f>IFERROR(__xludf.DUMMYFUNCTION("""COMPUTED_VALUE"""),571.0)</f>
        <v>571</v>
      </c>
      <c r="M120" s="186">
        <f>IFERROR(__xludf.DUMMYFUNCTION("""COMPUTED_VALUE"""),472.0)</f>
        <v>472</v>
      </c>
      <c r="N120" s="186">
        <f>IFERROR(__xludf.DUMMYFUNCTION("""COMPUTED_VALUE"""),466.0)</f>
        <v>466</v>
      </c>
      <c r="O120" s="186">
        <f>IFERROR(__xludf.DUMMYFUNCTION("""COMPUTED_VALUE"""),482.0)</f>
        <v>482</v>
      </c>
      <c r="P120" s="186">
        <f>IFERROR(__xludf.DUMMYFUNCTION("""COMPUTED_VALUE"""),483.0)</f>
        <v>483</v>
      </c>
      <c r="Q120" s="186">
        <f>IFERROR(__xludf.DUMMYFUNCTION("""COMPUTED_VALUE"""),489.0)</f>
        <v>489</v>
      </c>
      <c r="R120" s="186">
        <f>IFERROR(__xludf.DUMMYFUNCTION("""COMPUTED_VALUE"""),451.0)</f>
        <v>451</v>
      </c>
      <c r="S120" s="189">
        <f>IFERROR(__xludf.DUMMYFUNCTION("""COMPUTED_VALUE"""),443.0)</f>
        <v>443</v>
      </c>
    </row>
    <row r="121">
      <c r="A121" s="186" t="str">
        <f>IFERROR(__xludf.DUMMYFUNCTION("""COMPUTED_VALUE"""),"DE")</f>
        <v>DE</v>
      </c>
      <c r="B121" s="186" t="str">
        <f>IFERROR(__xludf.DUMMYFUNCTION("""COMPUTED_VALUE"""),"W48")</f>
        <v>W48</v>
      </c>
      <c r="C121" s="186">
        <f>IFERROR(__xludf.DUMMYFUNCTION("""COMPUTED_VALUE"""),806.0)</f>
        <v>806</v>
      </c>
      <c r="D121" s="186" t="str">
        <f>IFERROR(__xludf.DUMMYFUNCTION("""COMPUTED_VALUE"""),"PTN-00-136930-3")</f>
        <v>PTN-00-136930-3</v>
      </c>
      <c r="E121" s="186" t="str">
        <f>IFERROR(__xludf.DUMMYFUNCTION("""COMPUTED_VALUE"""),"Garlic Herb Grilled Chicken")</f>
        <v>Garlic Herb Grilled Chicken</v>
      </c>
      <c r="F121" s="186" t="str">
        <f>IFERROR(__xludf.DUMMYFUNCTION("""COMPUTED_VALUE"""),"Gegrilltes Hähnchen mit Knoblauch-Kräutern")</f>
        <v>Gegrilltes Hähnchen mit Knoblauch-Kräutern</v>
      </c>
      <c r="G121" s="186" t="str">
        <f>IFERROR(__xludf.DUMMYFUNCTION("""COMPUTED_VALUE"""),"FEA006A")</f>
        <v>FEA006A</v>
      </c>
      <c r="H121" s="186">
        <f>IFERROR(__xludf.DUMMYFUNCTION("""COMPUTED_VALUE"""),565119.0)</f>
        <v>565119</v>
      </c>
      <c r="I121" s="186"/>
      <c r="J121" s="186">
        <f>IFERROR(__xludf.DUMMYFUNCTION("""COMPUTED_VALUE"""),79.0)</f>
        <v>79</v>
      </c>
      <c r="K121" s="186">
        <f>IFERROR(__xludf.DUMMYFUNCTION("""COMPUTED_VALUE"""),79.0)</f>
        <v>79</v>
      </c>
      <c r="L121" s="186">
        <f>IFERROR(__xludf.DUMMYFUNCTION("""COMPUTED_VALUE"""),79.0)</f>
        <v>79</v>
      </c>
      <c r="M121" s="186">
        <f>IFERROR(__xludf.DUMMYFUNCTION("""COMPUTED_VALUE"""),79.0)</f>
        <v>79</v>
      </c>
      <c r="N121" s="186">
        <f>IFERROR(__xludf.DUMMYFUNCTION("""COMPUTED_VALUE"""),79.0)</f>
        <v>79</v>
      </c>
      <c r="O121" s="186">
        <f>IFERROR(__xludf.DUMMYFUNCTION("""COMPUTED_VALUE"""),79.0)</f>
        <v>79</v>
      </c>
      <c r="P121" s="186">
        <f>IFERROR(__xludf.DUMMYFUNCTION("""COMPUTED_VALUE"""),79.0)</f>
        <v>79</v>
      </c>
      <c r="Q121" s="186">
        <f>IFERROR(__xludf.DUMMYFUNCTION("""COMPUTED_VALUE"""),79.0)</f>
        <v>79</v>
      </c>
      <c r="R121" s="186">
        <f>IFERROR(__xludf.DUMMYFUNCTION("""COMPUTED_VALUE"""),33.0)</f>
        <v>33</v>
      </c>
      <c r="S121" s="189">
        <f>IFERROR(__xludf.DUMMYFUNCTION("""COMPUTED_VALUE"""),32.0)</f>
        <v>32</v>
      </c>
    </row>
    <row r="122">
      <c r="A122" s="186" t="str">
        <f>IFERROR(__xludf.DUMMYFUNCTION("""COMPUTED_VALUE"""),"DE")</f>
        <v>DE</v>
      </c>
      <c r="B122" s="186" t="str">
        <f>IFERROR(__xludf.DUMMYFUNCTION("""COMPUTED_VALUE"""),"W48")</f>
        <v>W48</v>
      </c>
      <c r="C122" s="186"/>
      <c r="D122" s="186"/>
      <c r="E122" s="186"/>
      <c r="F122" s="186"/>
      <c r="G122" s="186"/>
      <c r="H122" s="186"/>
      <c r="I122" s="186"/>
      <c r="J122" s="189">
        <f>IFERROR(__xludf.DUMMYFUNCTION("""COMPUTED_VALUE"""),28074.0)</f>
        <v>28074</v>
      </c>
      <c r="K122" s="189">
        <f>IFERROR(__xludf.DUMMYFUNCTION("""COMPUTED_VALUE"""),27511.0)</f>
        <v>27511</v>
      </c>
      <c r="L122" s="189">
        <f>IFERROR(__xludf.DUMMYFUNCTION("""COMPUTED_VALUE"""),27832.0)</f>
        <v>27832</v>
      </c>
      <c r="M122" s="189">
        <f>IFERROR(__xludf.DUMMYFUNCTION("""COMPUTED_VALUE"""),27901.0)</f>
        <v>27901</v>
      </c>
      <c r="N122" s="189">
        <f>IFERROR(__xludf.DUMMYFUNCTION("""COMPUTED_VALUE"""),27208.0)</f>
        <v>27208</v>
      </c>
      <c r="O122" s="189">
        <f>IFERROR(__xludf.DUMMYFUNCTION("""COMPUTED_VALUE"""),27539.0)</f>
        <v>27539</v>
      </c>
      <c r="P122" s="189">
        <f>IFERROR(__xludf.DUMMYFUNCTION("""COMPUTED_VALUE"""),27227.0)</f>
        <v>27227</v>
      </c>
      <c r="Q122" s="189">
        <f>IFERROR(__xludf.DUMMYFUNCTION("""COMPUTED_VALUE"""),27199.0)</f>
        <v>27199</v>
      </c>
      <c r="R122" s="189">
        <f>IFERROR(__xludf.DUMMYFUNCTION("""COMPUTED_VALUE"""),25525.0)</f>
        <v>25525</v>
      </c>
      <c r="S122" s="189">
        <f>IFERROR(__xludf.DUMMYFUNCTION("""COMPUTED_VALUE"""),25340.0)</f>
        <v>25340</v>
      </c>
    </row>
    <row r="123">
      <c r="A123" s="186" t="str">
        <f>IFERROR(__xludf.DUMMYFUNCTION("""COMPUTED_VALUE"""),"NORDICS")</f>
        <v>NORDICS</v>
      </c>
      <c r="B123" s="186" t="str">
        <f>IFERROR(__xludf.DUMMYFUNCTION("""COMPUTED_VALUE"""),"W49")</f>
        <v>W49</v>
      </c>
      <c r="C123" s="186">
        <f>IFERROR(__xludf.DUMMYFUNCTION("""COMPUTED_VALUE"""),301.0)</f>
        <v>301</v>
      </c>
      <c r="D123" s="186" t="str">
        <f>IFERROR(__xludf.DUMMYFUNCTION("""COMPUTED_VALUE"""),"CON-00-147827-2")</f>
        <v>CON-00-147827-2</v>
      </c>
      <c r="E123" s="186" t="str">
        <f>IFERROR(__xludf.DUMMYFUNCTION("""COMPUTED_VALUE"""),"Chicken à la Florentine")</f>
        <v>Chicken à la Florentine</v>
      </c>
      <c r="F123" s="186" t="str">
        <f>IFERROR(__xludf.DUMMYFUNCTION("""COMPUTED_VALUE"""),"Kylling à la Florentine")</f>
        <v>Kylling à la Florentine</v>
      </c>
      <c r="G123" s="186" t="str">
        <f>IFERROR(__xludf.DUMMYFUNCTION("""COMPUTED_VALUE"""),"FE0224C")</f>
        <v>FE0224C</v>
      </c>
      <c r="H123" s="186">
        <f>IFERROR(__xludf.DUMMYFUNCTION("""COMPUTED_VALUE"""),565047.0)</f>
        <v>565047</v>
      </c>
      <c r="I123" s="186" t="str">
        <f>IFERROR(__xludf.DUMMYFUNCTION("""COMPUTED_VALUE"""),"HF Kip Florentine 404g")</f>
        <v>HF Kip Florentine 404g</v>
      </c>
      <c r="J123" s="189">
        <f>IFERROR(__xludf.DUMMYFUNCTION("""COMPUTED_VALUE"""),3533.0)</f>
        <v>3533</v>
      </c>
      <c r="K123" s="189">
        <f>IFERROR(__xludf.DUMMYFUNCTION("""COMPUTED_VALUE"""),3377.0)</f>
        <v>3377</v>
      </c>
      <c r="L123" s="189">
        <f>IFERROR(__xludf.DUMMYFUNCTION("""COMPUTED_VALUE"""),3922.0)</f>
        <v>3922</v>
      </c>
      <c r="M123" s="189">
        <f>IFERROR(__xludf.DUMMYFUNCTION("""COMPUTED_VALUE"""),3469.0)</f>
        <v>3469</v>
      </c>
      <c r="N123" s="189">
        <f>IFERROR(__xludf.DUMMYFUNCTION("""COMPUTED_VALUE"""),3235.0)</f>
        <v>3235</v>
      </c>
      <c r="O123" s="189">
        <f>IFERROR(__xludf.DUMMYFUNCTION("""COMPUTED_VALUE"""),2483.0)</f>
        <v>2483</v>
      </c>
      <c r="P123" s="189">
        <f>IFERROR(__xludf.DUMMYFUNCTION("""COMPUTED_VALUE"""),3386.0)</f>
        <v>3386</v>
      </c>
      <c r="Q123" s="189">
        <f>IFERROR(__xludf.DUMMYFUNCTION("""COMPUTED_VALUE"""),3294.0)</f>
        <v>3294</v>
      </c>
      <c r="R123" s="189">
        <f>IFERROR(__xludf.DUMMYFUNCTION("""COMPUTED_VALUE"""),3368.0)</f>
        <v>3368</v>
      </c>
      <c r="S123" s="189">
        <f>IFERROR(__xludf.DUMMYFUNCTION("""COMPUTED_VALUE"""),3168.0)</f>
        <v>3168</v>
      </c>
    </row>
    <row r="124">
      <c r="A124" s="186" t="str">
        <f>IFERROR(__xludf.DUMMYFUNCTION("""COMPUTED_VALUE"""),"NORDICS")</f>
        <v>NORDICS</v>
      </c>
      <c r="B124" s="186" t="str">
        <f>IFERROR(__xludf.DUMMYFUNCTION("""COMPUTED_VALUE"""),"W49")</f>
        <v>W49</v>
      </c>
      <c r="C124" s="186">
        <f>IFERROR(__xludf.DUMMYFUNCTION("""COMPUTED_VALUE"""),302.0)</f>
        <v>302</v>
      </c>
      <c r="D124" s="186" t="str">
        <f>IFERROR(__xludf.DUMMYFUNCTION("""COMPUTED_VALUE"""),"CON-00-147878-2")</f>
        <v>CON-00-147878-2</v>
      </c>
      <c r="E124" s="186" t="str">
        <f>IFERROR(__xludf.DUMMYFUNCTION("""COMPUTED_VALUE"""),"Grilled chicken and ratatouille")</f>
        <v>Grilled chicken and ratatouille</v>
      </c>
      <c r="F124" s="186" t="str">
        <f>IFERROR(__xludf.DUMMYFUNCTION("""COMPUTED_VALUE"""),"Grillet kylling og ratatouille")</f>
        <v>Grillet kylling og ratatouille</v>
      </c>
      <c r="G124" s="186" t="str">
        <f>IFERROR(__xludf.DUMMYFUNCTION("""COMPUTED_VALUE"""),"FE4015A")</f>
        <v>FE4015A</v>
      </c>
      <c r="H124" s="186">
        <f>IFERROR(__xludf.DUMMYFUNCTION("""COMPUTED_VALUE"""),565072.0)</f>
        <v>565072</v>
      </c>
      <c r="I124" s="186" t="str">
        <f>IFERROR(__xludf.DUMMYFUNCTION("""COMPUTED_VALUE"""),"HF Gegrilde kipfilet en ratatouille 429g")</f>
        <v>HF Gegrilde kipfilet en ratatouille 429g</v>
      </c>
      <c r="J124" s="189">
        <f>IFERROR(__xludf.DUMMYFUNCTION("""COMPUTED_VALUE"""),2389.0)</f>
        <v>2389</v>
      </c>
      <c r="K124" s="189">
        <f>IFERROR(__xludf.DUMMYFUNCTION("""COMPUTED_VALUE"""),2475.0)</f>
        <v>2475</v>
      </c>
      <c r="L124" s="189">
        <f>IFERROR(__xludf.DUMMYFUNCTION("""COMPUTED_VALUE"""),2346.0)</f>
        <v>2346</v>
      </c>
      <c r="M124" s="189">
        <f>IFERROR(__xludf.DUMMYFUNCTION("""COMPUTED_VALUE"""),2360.0)</f>
        <v>2360</v>
      </c>
      <c r="N124" s="189">
        <f>IFERROR(__xludf.DUMMYFUNCTION("""COMPUTED_VALUE"""),2190.0)</f>
        <v>2190</v>
      </c>
      <c r="O124" s="189">
        <f>IFERROR(__xludf.DUMMYFUNCTION("""COMPUTED_VALUE"""),1779.0)</f>
        <v>1779</v>
      </c>
      <c r="P124" s="189">
        <f>IFERROR(__xludf.DUMMYFUNCTION("""COMPUTED_VALUE"""),2193.0)</f>
        <v>2193</v>
      </c>
      <c r="Q124" s="189">
        <f>IFERROR(__xludf.DUMMYFUNCTION("""COMPUTED_VALUE"""),2178.0)</f>
        <v>2178</v>
      </c>
      <c r="R124" s="189">
        <f>IFERROR(__xludf.DUMMYFUNCTION("""COMPUTED_VALUE"""),2193.0)</f>
        <v>2193</v>
      </c>
      <c r="S124" s="189">
        <f>IFERROR(__xludf.DUMMYFUNCTION("""COMPUTED_VALUE"""),2069.0)</f>
        <v>2069</v>
      </c>
    </row>
    <row r="125">
      <c r="A125" s="186" t="str">
        <f>IFERROR(__xludf.DUMMYFUNCTION("""COMPUTED_VALUE"""),"NORDICS")</f>
        <v>NORDICS</v>
      </c>
      <c r="B125" s="186" t="str">
        <f>IFERROR(__xludf.DUMMYFUNCTION("""COMPUTED_VALUE"""),"W49")</f>
        <v>W49</v>
      </c>
      <c r="C125" s="186">
        <f>IFERROR(__xludf.DUMMYFUNCTION("""COMPUTED_VALUE"""),303.0)</f>
        <v>303</v>
      </c>
      <c r="D125" s="186" t="str">
        <f>IFERROR(__xludf.DUMMYFUNCTION("""COMPUTED_VALUE"""),"CON-00-147860-2")</f>
        <v>CON-00-147860-2</v>
      </c>
      <c r="E125" s="186" t="str">
        <f>IFERROR(__xludf.DUMMYFUNCTION("""COMPUTED_VALUE"""),"Courgette-spaghetti bolognese")</f>
        <v>Courgette-spaghetti bolognese</v>
      </c>
      <c r="F125" s="186" t="str">
        <f>IFERROR(__xludf.DUMMYFUNCTION("""COMPUTED_VALUE"""),"Squash-spaghetti bolognese")</f>
        <v>Squash-spaghetti bolognese</v>
      </c>
      <c r="G125" s="186" t="str">
        <f>IFERROR(__xludf.DUMMYFUNCTION("""COMPUTED_VALUE"""),"FE0849A")</f>
        <v>FE0849A</v>
      </c>
      <c r="H125" s="186">
        <f>IFERROR(__xludf.DUMMYFUNCTION("""COMPUTED_VALUE"""),565060.0)</f>
        <v>565060</v>
      </c>
      <c r="I125" s="186" t="str">
        <f>IFERROR(__xludf.DUMMYFUNCTION("""COMPUTED_VALUE"""),"HF Courgette-spaghetti bolognese 352g")</f>
        <v>HF Courgette-spaghetti bolognese 352g</v>
      </c>
      <c r="J125" s="189">
        <f>IFERROR(__xludf.DUMMYFUNCTION("""COMPUTED_VALUE"""),2352.0)</f>
        <v>2352</v>
      </c>
      <c r="K125" s="189">
        <f>IFERROR(__xludf.DUMMYFUNCTION("""COMPUTED_VALUE"""),2385.0)</f>
        <v>2385</v>
      </c>
      <c r="L125" s="189">
        <f>IFERROR(__xludf.DUMMYFUNCTION("""COMPUTED_VALUE"""),2375.0)</f>
        <v>2375</v>
      </c>
      <c r="M125" s="189">
        <f>IFERROR(__xludf.DUMMYFUNCTION("""COMPUTED_VALUE"""),2212.0)</f>
        <v>2212</v>
      </c>
      <c r="N125" s="189">
        <f>IFERROR(__xludf.DUMMYFUNCTION("""COMPUTED_VALUE"""),2105.0)</f>
        <v>2105</v>
      </c>
      <c r="O125" s="189">
        <f>IFERROR(__xludf.DUMMYFUNCTION("""COMPUTED_VALUE"""),1963.0)</f>
        <v>1963</v>
      </c>
      <c r="P125" s="189">
        <f>IFERROR(__xludf.DUMMYFUNCTION("""COMPUTED_VALUE"""),2150.0)</f>
        <v>2150</v>
      </c>
      <c r="Q125" s="189">
        <f>IFERROR(__xludf.DUMMYFUNCTION("""COMPUTED_VALUE"""),2134.0)</f>
        <v>2134</v>
      </c>
      <c r="R125" s="189">
        <f>IFERROR(__xludf.DUMMYFUNCTION("""COMPUTED_VALUE"""),2141.0)</f>
        <v>2141</v>
      </c>
      <c r="S125" s="189">
        <f>IFERROR(__xludf.DUMMYFUNCTION("""COMPUTED_VALUE"""),2036.0)</f>
        <v>2036</v>
      </c>
    </row>
    <row r="126">
      <c r="A126" s="186" t="str">
        <f>IFERROR(__xludf.DUMMYFUNCTION("""COMPUTED_VALUE"""),"NORDICS")</f>
        <v>NORDICS</v>
      </c>
      <c r="B126" s="186" t="str">
        <f>IFERROR(__xludf.DUMMYFUNCTION("""COMPUTED_VALUE"""),"W49")</f>
        <v>W49</v>
      </c>
      <c r="C126" s="186">
        <f>IFERROR(__xludf.DUMMYFUNCTION("""COMPUTED_VALUE"""),304.0)</f>
        <v>304</v>
      </c>
      <c r="D126" s="186"/>
      <c r="E126" s="186"/>
      <c r="F126" s="186"/>
      <c r="G126" s="186" t="str">
        <f>IFERROR(__xludf.DUMMYFUNCTION("""COMPUTED_VALUE"""),"FE4053A")</f>
        <v>FE4053A</v>
      </c>
      <c r="H126" s="186"/>
      <c r="I126" s="186"/>
      <c r="J126" s="189">
        <f>IFERROR(__xludf.DUMMYFUNCTION("""COMPUTED_VALUE"""),3306.0)</f>
        <v>3306</v>
      </c>
      <c r="K126" s="189">
        <f>IFERROR(__xludf.DUMMYFUNCTION("""COMPUTED_VALUE"""),3374.0)</f>
        <v>3374</v>
      </c>
      <c r="L126" s="189">
        <f>IFERROR(__xludf.DUMMYFUNCTION("""COMPUTED_VALUE"""),3143.0)</f>
        <v>3143</v>
      </c>
      <c r="M126" s="189">
        <f>IFERROR(__xludf.DUMMYFUNCTION("""COMPUTED_VALUE"""),3249.0)</f>
        <v>3249</v>
      </c>
      <c r="N126" s="189">
        <f>IFERROR(__xludf.DUMMYFUNCTION("""COMPUTED_VALUE"""),3075.0)</f>
        <v>3075</v>
      </c>
      <c r="O126" s="189">
        <f>IFERROR(__xludf.DUMMYFUNCTION("""COMPUTED_VALUE"""),2667.0)</f>
        <v>2667</v>
      </c>
      <c r="P126" s="189">
        <f>IFERROR(__xludf.DUMMYFUNCTION("""COMPUTED_VALUE"""),3155.0)</f>
        <v>3155</v>
      </c>
      <c r="Q126" s="189">
        <f>IFERROR(__xludf.DUMMYFUNCTION("""COMPUTED_VALUE"""),3111.0)</f>
        <v>3111</v>
      </c>
      <c r="R126" s="189">
        <f>IFERROR(__xludf.DUMMYFUNCTION("""COMPUTED_VALUE"""),3129.0)</f>
        <v>3129</v>
      </c>
      <c r="S126" s="189">
        <f>IFERROR(__xludf.DUMMYFUNCTION("""COMPUTED_VALUE"""),2965.0)</f>
        <v>2965</v>
      </c>
    </row>
    <row r="127">
      <c r="A127" s="186" t="str">
        <f>IFERROR(__xludf.DUMMYFUNCTION("""COMPUTED_VALUE"""),"NORDICS")</f>
        <v>NORDICS</v>
      </c>
      <c r="B127" s="186" t="str">
        <f>IFERROR(__xludf.DUMMYFUNCTION("""COMPUTED_VALUE"""),"W49")</f>
        <v>W49</v>
      </c>
      <c r="C127" s="186">
        <f>IFERROR(__xludf.DUMMYFUNCTION("""COMPUTED_VALUE"""),305.0)</f>
        <v>305</v>
      </c>
      <c r="D127" s="186" t="str">
        <f>IFERROR(__xludf.DUMMYFUNCTION("""COMPUTED_VALUE"""),"CON-00-147831-2")</f>
        <v>CON-00-147831-2</v>
      </c>
      <c r="E127" s="186" t="str">
        <f>IFERROR(__xludf.DUMMYFUNCTION("""COMPUTED_VALUE"""),"Cranberry Chicken ")</f>
        <v>Cranberry Chicken </v>
      </c>
      <c r="F127" s="186" t="str">
        <f>IFERROR(__xludf.DUMMYFUNCTION("""COMPUTED_VALUE"""),"Kylling i tranebærsauce")</f>
        <v>Kylling i tranebærsauce</v>
      </c>
      <c r="G127" s="186" t="str">
        <f>IFERROR(__xludf.DUMMYFUNCTION("""COMPUTED_VALUE"""),"FE0271B")</f>
        <v>FE0271B</v>
      </c>
      <c r="H127" s="186">
        <f>IFERROR(__xludf.DUMMYFUNCTION("""COMPUTED_VALUE"""),565132.0)</f>
        <v>565132</v>
      </c>
      <c r="I127" s="186"/>
      <c r="J127" s="189">
        <f>IFERROR(__xludf.DUMMYFUNCTION("""COMPUTED_VALUE"""),2733.0)</f>
        <v>2733</v>
      </c>
      <c r="K127" s="189">
        <f>IFERROR(__xludf.DUMMYFUNCTION("""COMPUTED_VALUE"""),2820.0)</f>
        <v>2820</v>
      </c>
      <c r="L127" s="189">
        <f>IFERROR(__xludf.DUMMYFUNCTION("""COMPUTED_VALUE"""),2491.0)</f>
        <v>2491</v>
      </c>
      <c r="M127" s="189">
        <f>IFERROR(__xludf.DUMMYFUNCTION("""COMPUTED_VALUE"""),2285.0)</f>
        <v>2285</v>
      </c>
      <c r="N127" s="189">
        <f>IFERROR(__xludf.DUMMYFUNCTION("""COMPUTED_VALUE"""),2098.0)</f>
        <v>2098</v>
      </c>
      <c r="O127" s="189">
        <f>IFERROR(__xludf.DUMMYFUNCTION("""COMPUTED_VALUE"""),1475.0)</f>
        <v>1475</v>
      </c>
      <c r="P127" s="189">
        <f>IFERROR(__xludf.DUMMYFUNCTION("""COMPUTED_VALUE"""),2116.0)</f>
        <v>2116</v>
      </c>
      <c r="Q127" s="189">
        <f>IFERROR(__xludf.DUMMYFUNCTION("""COMPUTED_VALUE"""),2077.0)</f>
        <v>2077</v>
      </c>
      <c r="R127" s="189">
        <f>IFERROR(__xludf.DUMMYFUNCTION("""COMPUTED_VALUE"""),2136.0)</f>
        <v>2136</v>
      </c>
      <c r="S127" s="189">
        <f>IFERROR(__xludf.DUMMYFUNCTION("""COMPUTED_VALUE"""),1982.0)</f>
        <v>1982</v>
      </c>
    </row>
    <row r="128">
      <c r="A128" s="186" t="str">
        <f>IFERROR(__xludf.DUMMYFUNCTION("""COMPUTED_VALUE"""),"NORDICS")</f>
        <v>NORDICS</v>
      </c>
      <c r="B128" s="186" t="str">
        <f>IFERROR(__xludf.DUMMYFUNCTION("""COMPUTED_VALUE"""),"W49")</f>
        <v>W49</v>
      </c>
      <c r="C128" s="186">
        <f>IFERROR(__xludf.DUMMYFUNCTION("""COMPUTED_VALUE"""),306.0)</f>
        <v>306</v>
      </c>
      <c r="D128" s="186" t="str">
        <f>IFERROR(__xludf.DUMMYFUNCTION("""COMPUTED_VALUE"""),"CON-00-147819-2")</f>
        <v>CON-00-147819-2</v>
      </c>
      <c r="E128" s="186" t="str">
        <f>IFERROR(__xludf.DUMMYFUNCTION("""COMPUTED_VALUE"""),"Peruvian style chicken breast")</f>
        <v>Peruvian style chicken breast</v>
      </c>
      <c r="F128" s="186" t="str">
        <f>IFERROR(__xludf.DUMMYFUNCTION("""COMPUTED_VALUE"""),"Peruviansk inspireret kyllingebryst")</f>
        <v>Peruviansk inspireret kyllingebryst</v>
      </c>
      <c r="G128" s="186" t="str">
        <f>IFERROR(__xludf.DUMMYFUNCTION("""COMPUTED_VALUE"""),"FE0129G")</f>
        <v>FE0129G</v>
      </c>
      <c r="H128" s="186">
        <f>IFERROR(__xludf.DUMMYFUNCTION("""COMPUTED_VALUE"""),565193.0)</f>
        <v>565193</v>
      </c>
      <c r="I128" s="186" t="str">
        <f>IFERROR(__xludf.DUMMYFUNCTION("""COMPUTED_VALUE"""),"HF RW Peruaanse stijl kipfilet")</f>
        <v>HF RW Peruaanse stijl kipfilet</v>
      </c>
      <c r="J128" s="189">
        <f>IFERROR(__xludf.DUMMYFUNCTION("""COMPUTED_VALUE"""),2011.0)</f>
        <v>2011</v>
      </c>
      <c r="K128" s="189">
        <f>IFERROR(__xludf.DUMMYFUNCTION("""COMPUTED_VALUE"""),1993.0)</f>
        <v>1993</v>
      </c>
      <c r="L128" s="189">
        <f>IFERROR(__xludf.DUMMYFUNCTION("""COMPUTED_VALUE"""),1630.0)</f>
        <v>1630</v>
      </c>
      <c r="M128" s="189">
        <f>IFERROR(__xludf.DUMMYFUNCTION("""COMPUTED_VALUE"""),1486.0)</f>
        <v>1486</v>
      </c>
      <c r="N128" s="189">
        <f>IFERROR(__xludf.DUMMYFUNCTION("""COMPUTED_VALUE"""),1444.0)</f>
        <v>1444</v>
      </c>
      <c r="O128" s="189">
        <f>IFERROR(__xludf.DUMMYFUNCTION("""COMPUTED_VALUE"""),1319.0)</f>
        <v>1319</v>
      </c>
      <c r="P128" s="189">
        <f>IFERROR(__xludf.DUMMYFUNCTION("""COMPUTED_VALUE"""),1528.0)</f>
        <v>1528</v>
      </c>
      <c r="Q128" s="189">
        <f>IFERROR(__xludf.DUMMYFUNCTION("""COMPUTED_VALUE"""),1513.0)</f>
        <v>1513</v>
      </c>
      <c r="R128" s="189">
        <f>IFERROR(__xludf.DUMMYFUNCTION("""COMPUTED_VALUE"""),1505.0)</f>
        <v>1505</v>
      </c>
      <c r="S128" s="189">
        <f>IFERROR(__xludf.DUMMYFUNCTION("""COMPUTED_VALUE"""),1426.0)</f>
        <v>1426</v>
      </c>
    </row>
    <row r="129">
      <c r="A129" s="186" t="str">
        <f>IFERROR(__xludf.DUMMYFUNCTION("""COMPUTED_VALUE"""),"NORDICS")</f>
        <v>NORDICS</v>
      </c>
      <c r="B129" s="186" t="str">
        <f>IFERROR(__xludf.DUMMYFUNCTION("""COMPUTED_VALUE"""),"W49")</f>
        <v>W49</v>
      </c>
      <c r="C129" s="186">
        <f>IFERROR(__xludf.DUMMYFUNCTION("""COMPUTED_VALUE"""),307.0)</f>
        <v>307</v>
      </c>
      <c r="D129" s="186" t="str">
        <f>IFERROR(__xludf.DUMMYFUNCTION("""COMPUTED_VALUE"""),"CON-00-147907-2")</f>
        <v>CON-00-147907-2</v>
      </c>
      <c r="E129" s="186" t="str">
        <f>IFERROR(__xludf.DUMMYFUNCTION("""COMPUTED_VALUE"""),"Artichoke &amp; Spinach Pork tenderloin")</f>
        <v>Artichoke &amp; Spinach Pork tenderloin</v>
      </c>
      <c r="F129" s="186" t="str">
        <f>IFERROR(__xludf.DUMMYFUNCTION("""COMPUTED_VALUE"""),"Svinemørbrad med artiskok og spinat ")</f>
        <v>Svinemørbrad med artiskok og spinat </v>
      </c>
      <c r="G129" s="186" t="str">
        <f>IFERROR(__xludf.DUMMYFUNCTION("""COMPUTED_VALUE"""),"FE4060A")</f>
        <v>FE4060A</v>
      </c>
      <c r="H129" s="186">
        <f>IFERROR(__xludf.DUMMYFUNCTION("""COMPUTED_VALUE"""),565134.0)</f>
        <v>565134</v>
      </c>
      <c r="I129" s="186"/>
      <c r="J129" s="189">
        <f>IFERROR(__xludf.DUMMYFUNCTION("""COMPUTED_VALUE"""),1295.0)</f>
        <v>1295</v>
      </c>
      <c r="K129" s="189">
        <f>IFERROR(__xludf.DUMMYFUNCTION("""COMPUTED_VALUE"""),1255.0)</f>
        <v>1255</v>
      </c>
      <c r="L129" s="189">
        <f>IFERROR(__xludf.DUMMYFUNCTION("""COMPUTED_VALUE"""),970.0)</f>
        <v>970</v>
      </c>
      <c r="M129" s="189">
        <f>IFERROR(__xludf.DUMMYFUNCTION("""COMPUTED_VALUE"""),922.0)</f>
        <v>922</v>
      </c>
      <c r="N129" s="189">
        <f>IFERROR(__xludf.DUMMYFUNCTION("""COMPUTED_VALUE"""),933.0)</f>
        <v>933</v>
      </c>
      <c r="O129" s="189">
        <f>IFERROR(__xludf.DUMMYFUNCTION("""COMPUTED_VALUE"""),853.0)</f>
        <v>853</v>
      </c>
      <c r="P129" s="189">
        <f>IFERROR(__xludf.DUMMYFUNCTION("""COMPUTED_VALUE"""),978.0)</f>
        <v>978</v>
      </c>
      <c r="Q129" s="189">
        <f>IFERROR(__xludf.DUMMYFUNCTION("""COMPUTED_VALUE"""),977.0)</f>
        <v>977</v>
      </c>
      <c r="R129" s="189">
        <f>IFERROR(__xludf.DUMMYFUNCTION("""COMPUTED_VALUE"""),953.0)</f>
        <v>953</v>
      </c>
      <c r="S129" s="189">
        <f>IFERROR(__xludf.DUMMYFUNCTION("""COMPUTED_VALUE"""),895.0)</f>
        <v>895</v>
      </c>
    </row>
    <row r="130">
      <c r="A130" s="186" t="str">
        <f>IFERROR(__xludf.DUMMYFUNCTION("""COMPUTED_VALUE"""),"NORDICS")</f>
        <v>NORDICS</v>
      </c>
      <c r="B130" s="186" t="str">
        <f>IFERROR(__xludf.DUMMYFUNCTION("""COMPUTED_VALUE"""),"W49")</f>
        <v>W49</v>
      </c>
      <c r="C130" s="186">
        <f>IFERROR(__xludf.DUMMYFUNCTION("""COMPUTED_VALUE"""),308.0)</f>
        <v>308</v>
      </c>
      <c r="D130" s="186" t="str">
        <f>IFERROR(__xludf.DUMMYFUNCTION("""COMPUTED_VALUE"""),"CON-00-152023-2")</f>
        <v>CON-00-152023-2</v>
      </c>
      <c r="E130" s="186" t="str">
        <f>IFERROR(__xludf.DUMMYFUNCTION("""COMPUTED_VALUE"""),"Salmon Piccata")</f>
        <v>Salmon Piccata</v>
      </c>
      <c r="F130" s="186" t="str">
        <f>IFERROR(__xludf.DUMMYFUNCTION("""COMPUTED_VALUE"""),"Laks Piccata ")</f>
        <v>Laks Piccata </v>
      </c>
      <c r="G130" s="186" t="str">
        <f>IFERROR(__xludf.DUMMYFUNCTION("""COMPUTED_VALUE"""),"FE0972B")</f>
        <v>FE0972B</v>
      </c>
      <c r="H130" s="186" t="str">
        <f>IFERROR(__xludf.DUMMYFUNCTION("""COMPUTED_VALUE"""),"NO565189")</f>
        <v>NO565189</v>
      </c>
      <c r="I130" s="186" t="str">
        <f>IFERROR(__xludf.DUMMYFUNCTION("""COMPUTED_VALUE"""),"#N/A")</f>
        <v>#N/A</v>
      </c>
      <c r="J130" s="189">
        <f>IFERROR(__xludf.DUMMYFUNCTION("""COMPUTED_VALUE"""),1716.0)</f>
        <v>1716</v>
      </c>
      <c r="K130" s="189">
        <f>IFERROR(__xludf.DUMMYFUNCTION("""COMPUTED_VALUE"""),1558.0)</f>
        <v>1558</v>
      </c>
      <c r="L130" s="189">
        <f>IFERROR(__xludf.DUMMYFUNCTION("""COMPUTED_VALUE"""),1662.0)</f>
        <v>1662</v>
      </c>
      <c r="M130" s="189">
        <f>IFERROR(__xludf.DUMMYFUNCTION("""COMPUTED_VALUE"""),1592.0)</f>
        <v>1592</v>
      </c>
      <c r="N130" s="189">
        <f>IFERROR(__xludf.DUMMYFUNCTION("""COMPUTED_VALUE"""),1545.0)</f>
        <v>1545</v>
      </c>
      <c r="O130" s="189">
        <f>IFERROR(__xludf.DUMMYFUNCTION("""COMPUTED_VALUE"""),1874.0)</f>
        <v>1874</v>
      </c>
      <c r="P130" s="189">
        <f>IFERROR(__xludf.DUMMYFUNCTION("""COMPUTED_VALUE"""),1517.0)</f>
        <v>1517</v>
      </c>
      <c r="Q130" s="189">
        <f>IFERROR(__xludf.DUMMYFUNCTION("""COMPUTED_VALUE"""),1496.0)</f>
        <v>1496</v>
      </c>
      <c r="R130" s="189">
        <f>IFERROR(__xludf.DUMMYFUNCTION("""COMPUTED_VALUE"""),1503.0)</f>
        <v>1503</v>
      </c>
      <c r="S130" s="189">
        <f>IFERROR(__xludf.DUMMYFUNCTION("""COMPUTED_VALUE"""),1453.0)</f>
        <v>1453</v>
      </c>
    </row>
    <row r="131">
      <c r="A131" s="186" t="str">
        <f>IFERROR(__xludf.DUMMYFUNCTION("""COMPUTED_VALUE"""),"NORDICS")</f>
        <v>NORDICS</v>
      </c>
      <c r="B131" s="186" t="str">
        <f>IFERROR(__xludf.DUMMYFUNCTION("""COMPUTED_VALUE"""),"W49")</f>
        <v>W49</v>
      </c>
      <c r="C131" s="186">
        <f>IFERROR(__xludf.DUMMYFUNCTION("""COMPUTED_VALUE"""),309.0)</f>
        <v>309</v>
      </c>
      <c r="D131" s="186" t="str">
        <f>IFERROR(__xludf.DUMMYFUNCTION("""COMPUTED_VALUE"""),"CON-00-147817-2")</f>
        <v>CON-00-147817-2</v>
      </c>
      <c r="E131" s="186" t="str">
        <f>IFERROR(__xludf.DUMMYFUNCTION("""COMPUTED_VALUE"""),"Ratatouille of zucchini and pepper")</f>
        <v>Ratatouille of zucchini and pepper</v>
      </c>
      <c r="F131" s="186" t="str">
        <f>IFERROR(__xludf.DUMMYFUNCTION("""COMPUTED_VALUE"""),"Squash- og peberfrugtsratatouille")</f>
        <v>Squash- og peberfrugtsratatouille</v>
      </c>
      <c r="G131" s="186" t="str">
        <f>IFERROR(__xludf.DUMMYFUNCTION("""COMPUTED_VALUE"""),"FE0090C")</f>
        <v>FE0090C</v>
      </c>
      <c r="H131" s="186">
        <f>IFERROR(__xludf.DUMMYFUNCTION("""COMPUTED_VALUE"""),565141.0)</f>
        <v>565141</v>
      </c>
      <c r="I131" s="186"/>
      <c r="J131" s="186">
        <f>IFERROR(__xludf.DUMMYFUNCTION("""COMPUTED_VALUE"""),312.0)</f>
        <v>312</v>
      </c>
      <c r="K131" s="186">
        <f>IFERROR(__xludf.DUMMYFUNCTION("""COMPUTED_VALUE"""),315.0)</f>
        <v>315</v>
      </c>
      <c r="L131" s="189">
        <f>IFERROR(__xludf.DUMMYFUNCTION("""COMPUTED_VALUE"""),213.0)</f>
        <v>213</v>
      </c>
      <c r="M131" s="186">
        <f>IFERROR(__xludf.DUMMYFUNCTION("""COMPUTED_VALUE"""),297.0)</f>
        <v>297</v>
      </c>
      <c r="N131" s="186">
        <f>IFERROR(__xludf.DUMMYFUNCTION("""COMPUTED_VALUE"""),288.0)</f>
        <v>288</v>
      </c>
      <c r="O131" s="186">
        <f>IFERROR(__xludf.DUMMYFUNCTION("""COMPUTED_VALUE"""),345.0)</f>
        <v>345</v>
      </c>
      <c r="P131" s="186">
        <f>IFERROR(__xludf.DUMMYFUNCTION("""COMPUTED_VALUE"""),249.0)</f>
        <v>249</v>
      </c>
      <c r="Q131" s="186">
        <f>IFERROR(__xludf.DUMMYFUNCTION("""COMPUTED_VALUE"""),230.0)</f>
        <v>230</v>
      </c>
      <c r="R131" s="186">
        <f>IFERROR(__xludf.DUMMYFUNCTION("""COMPUTED_VALUE"""),228.0)</f>
        <v>228</v>
      </c>
      <c r="S131" s="189">
        <f>IFERROR(__xludf.DUMMYFUNCTION("""COMPUTED_VALUE"""),217.0)</f>
        <v>217</v>
      </c>
    </row>
    <row r="132">
      <c r="A132" s="186" t="str">
        <f>IFERROR(__xludf.DUMMYFUNCTION("""COMPUTED_VALUE"""),"NORDICS")</f>
        <v>NORDICS</v>
      </c>
      <c r="B132" s="186" t="str">
        <f>IFERROR(__xludf.DUMMYFUNCTION("""COMPUTED_VALUE"""),"W49")</f>
        <v>W49</v>
      </c>
      <c r="C132" s="186">
        <f>IFERROR(__xludf.DUMMYFUNCTION("""COMPUTED_VALUE"""),310.0)</f>
        <v>310</v>
      </c>
      <c r="D132" s="186"/>
      <c r="E132" s="186"/>
      <c r="F132" s="186"/>
      <c r="G132" s="186" t="str">
        <f>IFERROR(__xludf.DUMMYFUNCTION("""COMPUTED_VALUE"""),"FE0031B")</f>
        <v>FE0031B</v>
      </c>
      <c r="H132" s="186"/>
      <c r="I132" s="186"/>
      <c r="J132" s="186">
        <f>IFERROR(__xludf.DUMMYFUNCTION("""COMPUTED_VALUE"""),345.0)</f>
        <v>345</v>
      </c>
      <c r="K132" s="186">
        <f>IFERROR(__xludf.DUMMYFUNCTION("""COMPUTED_VALUE"""),345.0)</f>
        <v>345</v>
      </c>
      <c r="L132" s="189">
        <f>IFERROR(__xludf.DUMMYFUNCTION("""COMPUTED_VALUE"""),457.0)</f>
        <v>457</v>
      </c>
      <c r="M132" s="189">
        <f>IFERROR(__xludf.DUMMYFUNCTION("""COMPUTED_VALUE"""),314.0)</f>
        <v>314</v>
      </c>
      <c r="N132" s="189">
        <f>IFERROR(__xludf.DUMMYFUNCTION("""COMPUTED_VALUE"""),285.0)</f>
        <v>285</v>
      </c>
      <c r="O132" s="189">
        <f>IFERROR(__xludf.DUMMYFUNCTION("""COMPUTED_VALUE"""),359.0)</f>
        <v>359</v>
      </c>
      <c r="P132" s="189">
        <f>IFERROR(__xludf.DUMMYFUNCTION("""COMPUTED_VALUE"""),302.0)</f>
        <v>302</v>
      </c>
      <c r="Q132" s="189">
        <f>IFERROR(__xludf.DUMMYFUNCTION("""COMPUTED_VALUE"""),288.0)</f>
        <v>288</v>
      </c>
      <c r="R132" s="189">
        <f>IFERROR(__xludf.DUMMYFUNCTION("""COMPUTED_VALUE"""),279.0)</f>
        <v>279</v>
      </c>
      <c r="S132" s="186">
        <f>IFERROR(__xludf.DUMMYFUNCTION("""COMPUTED_VALUE"""),266.0)</f>
        <v>266</v>
      </c>
    </row>
    <row r="133">
      <c r="A133" s="186" t="str">
        <f>IFERROR(__xludf.DUMMYFUNCTION("""COMPUTED_VALUE"""),"NORDICS")</f>
        <v>NORDICS</v>
      </c>
      <c r="B133" s="186" t="str">
        <f>IFERROR(__xludf.DUMMYFUNCTION("""COMPUTED_VALUE"""),"W49")</f>
        <v>W49</v>
      </c>
      <c r="C133" s="186">
        <f>IFERROR(__xludf.DUMMYFUNCTION("""COMPUTED_VALUE"""),311.0)</f>
        <v>311</v>
      </c>
      <c r="D133" s="186" t="str">
        <f>IFERROR(__xludf.DUMMYFUNCTION("""COMPUTED_VALUE"""),"CON-00-148371-2")</f>
        <v>CON-00-148371-2</v>
      </c>
      <c r="E133" s="186" t="str">
        <f>IFERROR(__xludf.DUMMYFUNCTION("""COMPUTED_VALUE"""),"Pulled beef &amp; pasta in cheese sauce")</f>
        <v>Pulled beef &amp; pasta in cheese sauce</v>
      </c>
      <c r="F133" s="186" t="str">
        <f>IFERROR(__xludf.DUMMYFUNCTION("""COMPUTED_VALUE"""),"Pulled beef &amp; pasta i ostesauce")</f>
        <v>Pulled beef &amp; pasta i ostesauce</v>
      </c>
      <c r="G133" s="186" t="str">
        <f>IFERROR(__xludf.DUMMYFUNCTION("""COMPUTED_VALUE"""),"FE1345A")</f>
        <v>FE1345A</v>
      </c>
      <c r="H133" s="186">
        <f>IFERROR(__xludf.DUMMYFUNCTION("""COMPUTED_VALUE"""),565158.0)</f>
        <v>565158</v>
      </c>
      <c r="I133" s="186"/>
      <c r="J133" s="189">
        <f>IFERROR(__xludf.DUMMYFUNCTION("""COMPUTED_VALUE"""),718.0)</f>
        <v>718</v>
      </c>
      <c r="K133" s="189">
        <f>IFERROR(__xludf.DUMMYFUNCTION("""COMPUTED_VALUE"""),677.0)</f>
        <v>677</v>
      </c>
      <c r="L133" s="189">
        <f>IFERROR(__xludf.DUMMYFUNCTION("""COMPUTED_VALUE"""),1069.0)</f>
        <v>1069</v>
      </c>
      <c r="M133" s="189">
        <f>IFERROR(__xludf.DUMMYFUNCTION("""COMPUTED_VALUE"""),1092.0)</f>
        <v>1092</v>
      </c>
      <c r="N133" s="189">
        <f>IFERROR(__xludf.DUMMYFUNCTION("""COMPUTED_VALUE"""),1009.0)</f>
        <v>1009</v>
      </c>
      <c r="O133" s="189">
        <f>IFERROR(__xludf.DUMMYFUNCTION("""COMPUTED_VALUE"""),1506.0)</f>
        <v>1506</v>
      </c>
      <c r="P133" s="186">
        <f>IFERROR(__xludf.DUMMYFUNCTION("""COMPUTED_VALUE"""),974.0)</f>
        <v>974</v>
      </c>
      <c r="Q133" s="186">
        <f>IFERROR(__xludf.DUMMYFUNCTION("""COMPUTED_VALUE"""),990.0)</f>
        <v>990</v>
      </c>
      <c r="R133" s="186">
        <f>IFERROR(__xludf.DUMMYFUNCTION("""COMPUTED_VALUE"""),956.0)</f>
        <v>956</v>
      </c>
      <c r="S133" s="189">
        <f>IFERROR(__xludf.DUMMYFUNCTION("""COMPUTED_VALUE"""),950.0)</f>
        <v>950</v>
      </c>
    </row>
    <row r="134">
      <c r="A134" s="186" t="str">
        <f>IFERROR(__xludf.DUMMYFUNCTION("""COMPUTED_VALUE"""),"NORDICS")</f>
        <v>NORDICS</v>
      </c>
      <c r="B134" s="186" t="str">
        <f>IFERROR(__xludf.DUMMYFUNCTION("""COMPUTED_VALUE"""),"W49")</f>
        <v>W49</v>
      </c>
      <c r="C134" s="186">
        <f>IFERROR(__xludf.DUMMYFUNCTION("""COMPUTED_VALUE"""),312.0)</f>
        <v>312</v>
      </c>
      <c r="D134" s="186" t="str">
        <f>IFERROR(__xludf.DUMMYFUNCTION("""COMPUTED_VALUE"""),"CON-00-147898-2")</f>
        <v>CON-00-147898-2</v>
      </c>
      <c r="E134" s="186" t="str">
        <f>IFERROR(__xludf.DUMMYFUNCTION("""COMPUTED_VALUE"""),"Salmon on tomato risotto")</f>
        <v>Salmon on tomato risotto</v>
      </c>
      <c r="F134" s="186" t="str">
        <f>IFERROR(__xludf.DUMMYFUNCTION("""COMPUTED_VALUE"""),"Laks på tomatrisotto")</f>
        <v>Laks på tomatrisotto</v>
      </c>
      <c r="G134" s="186" t="str">
        <f>IFERROR(__xludf.DUMMYFUNCTION("""COMPUTED_VALUE"""),"FE4044C")</f>
        <v>FE4044C</v>
      </c>
      <c r="H134" s="186" t="str">
        <f>IFERROR(__xludf.DUMMYFUNCTION("""COMPUTED_VALUE"""),"NO565104")</f>
        <v>NO565104</v>
      </c>
      <c r="I134" s="186" t="str">
        <f>IFERROR(__xludf.DUMMYFUNCTION("""COMPUTED_VALUE"""),"HF Zalm op tomatenrisotto 449g")</f>
        <v>HF Zalm op tomatenrisotto 449g</v>
      </c>
      <c r="J134" s="189">
        <f>IFERROR(__xludf.DUMMYFUNCTION("""COMPUTED_VALUE"""),1464.0)</f>
        <v>1464</v>
      </c>
      <c r="K134" s="189">
        <f>IFERROR(__xludf.DUMMYFUNCTION("""COMPUTED_VALUE"""),1603.0)</f>
        <v>1603</v>
      </c>
      <c r="L134" s="189">
        <f>IFERROR(__xludf.DUMMYFUNCTION("""COMPUTED_VALUE"""),1321.0)</f>
        <v>1321</v>
      </c>
      <c r="M134" s="189">
        <f>IFERROR(__xludf.DUMMYFUNCTION("""COMPUTED_VALUE"""),1288.0)</f>
        <v>1288</v>
      </c>
      <c r="N134" s="189">
        <f>IFERROR(__xludf.DUMMYFUNCTION("""COMPUTED_VALUE"""),1293.0)</f>
        <v>1293</v>
      </c>
      <c r="O134" s="189">
        <f>IFERROR(__xludf.DUMMYFUNCTION("""COMPUTED_VALUE"""),1543.0)</f>
        <v>1543</v>
      </c>
      <c r="P134" s="189">
        <f>IFERROR(__xludf.DUMMYFUNCTION("""COMPUTED_VALUE"""),1337.0)</f>
        <v>1337</v>
      </c>
      <c r="Q134" s="189">
        <f>IFERROR(__xludf.DUMMYFUNCTION("""COMPUTED_VALUE"""),1340.0)</f>
        <v>1340</v>
      </c>
      <c r="R134" s="189">
        <f>IFERROR(__xludf.DUMMYFUNCTION("""COMPUTED_VALUE"""),1360.0)</f>
        <v>1360</v>
      </c>
      <c r="S134" s="189">
        <f>IFERROR(__xludf.DUMMYFUNCTION("""COMPUTED_VALUE"""),1315.0)</f>
        <v>1315</v>
      </c>
    </row>
    <row r="135">
      <c r="A135" s="186" t="str">
        <f>IFERROR(__xludf.DUMMYFUNCTION("""COMPUTED_VALUE"""),"NORDICS")</f>
        <v>NORDICS</v>
      </c>
      <c r="B135" s="186" t="str">
        <f>IFERROR(__xludf.DUMMYFUNCTION("""COMPUTED_VALUE"""),"W49")</f>
        <v>W49</v>
      </c>
      <c r="C135" s="186">
        <f>IFERROR(__xludf.DUMMYFUNCTION("""COMPUTED_VALUE"""),313.0)</f>
        <v>313</v>
      </c>
      <c r="D135" s="186" t="str">
        <f>IFERROR(__xludf.DUMMYFUNCTION("""COMPUTED_VALUE"""),"CON-00-152026-2")</f>
        <v>CON-00-152026-2</v>
      </c>
      <c r="E135" s="186" t="str">
        <f>IFERROR(__xludf.DUMMYFUNCTION("""COMPUTED_VALUE"""),"Ginger Garlic Grilled Chicken")</f>
        <v>Ginger Garlic Grilled Chicken</v>
      </c>
      <c r="F135" s="186" t="str">
        <f>IFERROR(__xludf.DUMMYFUNCTION("""COMPUTED_VALUE"""),"Grillet kylling med ingefær og hvidløg")</f>
        <v>Grillet kylling med ingefær og hvidløg</v>
      </c>
      <c r="G135" s="186" t="str">
        <f>IFERROR(__xludf.DUMMYFUNCTION("""COMPUTED_VALUE"""),"FE4064A")</f>
        <v>FE4064A</v>
      </c>
      <c r="H135" s="186">
        <f>IFERROR(__xludf.DUMMYFUNCTION("""COMPUTED_VALUE"""),565211.0)</f>
        <v>565211</v>
      </c>
      <c r="I135" s="186" t="str">
        <f>IFERROR(__xludf.DUMMYFUNCTION("""COMPUTED_VALUE"""),"HF Gember knoflook kip")</f>
        <v>HF Gember knoflook kip</v>
      </c>
      <c r="J135" s="189">
        <f>IFERROR(__xludf.DUMMYFUNCTION("""COMPUTED_VALUE"""),1849.0)</f>
        <v>1849</v>
      </c>
      <c r="K135" s="189">
        <f>IFERROR(__xludf.DUMMYFUNCTION("""COMPUTED_VALUE"""),1744.0)</f>
        <v>1744</v>
      </c>
      <c r="L135" s="189">
        <f>IFERROR(__xludf.DUMMYFUNCTION("""COMPUTED_VALUE"""),1643.0)</f>
        <v>1643</v>
      </c>
      <c r="M135" s="189">
        <f>IFERROR(__xludf.DUMMYFUNCTION("""COMPUTED_VALUE"""),1607.0)</f>
        <v>1607</v>
      </c>
      <c r="N135" s="189">
        <f>IFERROR(__xludf.DUMMYFUNCTION("""COMPUTED_VALUE"""),1589.0)</f>
        <v>1589</v>
      </c>
      <c r="O135" s="189">
        <f>IFERROR(__xludf.DUMMYFUNCTION("""COMPUTED_VALUE"""),1636.0)</f>
        <v>1636</v>
      </c>
      <c r="P135" s="189">
        <f>IFERROR(__xludf.DUMMYFUNCTION("""COMPUTED_VALUE"""),1523.0)</f>
        <v>1523</v>
      </c>
      <c r="Q135" s="189">
        <f>IFERROR(__xludf.DUMMYFUNCTION("""COMPUTED_VALUE"""),1500.0)</f>
        <v>1500</v>
      </c>
      <c r="R135" s="189">
        <f>IFERROR(__xludf.DUMMYFUNCTION("""COMPUTED_VALUE"""),1516.0)</f>
        <v>1516</v>
      </c>
      <c r="S135" s="189">
        <f>IFERROR(__xludf.DUMMYFUNCTION("""COMPUTED_VALUE"""),1450.0)</f>
        <v>1450</v>
      </c>
    </row>
    <row r="136">
      <c r="A136" s="186" t="str">
        <f>IFERROR(__xludf.DUMMYFUNCTION("""COMPUTED_VALUE"""),"NORDICS")</f>
        <v>NORDICS</v>
      </c>
      <c r="B136" s="186" t="str">
        <f>IFERROR(__xludf.DUMMYFUNCTION("""COMPUTED_VALUE"""),"W49")</f>
        <v>W49</v>
      </c>
      <c r="C136" s="186">
        <f>IFERROR(__xludf.DUMMYFUNCTION("""COMPUTED_VALUE"""),314.0)</f>
        <v>314</v>
      </c>
      <c r="D136" s="186" t="str">
        <f>IFERROR(__xludf.DUMMYFUNCTION("""COMPUTED_VALUE"""),"CON-00-150964-2")</f>
        <v>CON-00-150964-2</v>
      </c>
      <c r="E136" s="186" t="str">
        <f>IFERROR(__xludf.DUMMYFUNCTION("""COMPUTED_VALUE"""),"Bulgogi Shredded Beef Bowl")</f>
        <v>Bulgogi Shredded Beef Bowl</v>
      </c>
      <c r="F136" s="186" t="str">
        <f>IFERROR(__xludf.DUMMYFUNCTION("""COMPUTED_VALUE"""),"Bulgogi bowl med strimlet oksekød")</f>
        <v>Bulgogi bowl med strimlet oksekød</v>
      </c>
      <c r="G136" s="186" t="str">
        <f>IFERROR(__xludf.DUMMYFUNCTION("""COMPUTED_VALUE"""),"FE1404A")</f>
        <v>FE1404A</v>
      </c>
      <c r="H136" s="186">
        <f>IFERROR(__xludf.DUMMYFUNCTION("""COMPUTED_VALUE"""),565190.0)</f>
        <v>565190</v>
      </c>
      <c r="I136" s="186" t="str">
        <f>IFERROR(__xludf.DUMMYFUNCTION("""COMPUTED_VALUE"""),"HF Bulgogi pulled beef")</f>
        <v>HF Bulgogi pulled beef</v>
      </c>
      <c r="J136" s="189">
        <f>IFERROR(__xludf.DUMMYFUNCTION("""COMPUTED_VALUE"""),1172.0)</f>
        <v>1172</v>
      </c>
      <c r="K136" s="189">
        <f>IFERROR(__xludf.DUMMYFUNCTION("""COMPUTED_VALUE"""),1148.0)</f>
        <v>1148</v>
      </c>
      <c r="L136" s="189">
        <f>IFERROR(__xludf.DUMMYFUNCTION("""COMPUTED_VALUE"""),1318.0)</f>
        <v>1318</v>
      </c>
      <c r="M136" s="189">
        <f>IFERROR(__xludf.DUMMYFUNCTION("""COMPUTED_VALUE"""),1113.0)</f>
        <v>1113</v>
      </c>
      <c r="N136" s="189">
        <f>IFERROR(__xludf.DUMMYFUNCTION("""COMPUTED_VALUE"""),1061.0)</f>
        <v>1061</v>
      </c>
      <c r="O136" s="189">
        <f>IFERROR(__xludf.DUMMYFUNCTION("""COMPUTED_VALUE"""),1265.0)</f>
        <v>1265</v>
      </c>
      <c r="P136" s="189">
        <f>IFERROR(__xludf.DUMMYFUNCTION("""COMPUTED_VALUE"""),1000.0)</f>
        <v>1000</v>
      </c>
      <c r="Q136" s="189">
        <f>IFERROR(__xludf.DUMMYFUNCTION("""COMPUTED_VALUE"""),976.0)</f>
        <v>976</v>
      </c>
      <c r="R136" s="189">
        <f>IFERROR(__xludf.DUMMYFUNCTION("""COMPUTED_VALUE"""),944.0)</f>
        <v>944</v>
      </c>
      <c r="S136" s="189">
        <f>IFERROR(__xludf.DUMMYFUNCTION("""COMPUTED_VALUE"""),907.0)</f>
        <v>907</v>
      </c>
    </row>
    <row r="137">
      <c r="A137" s="186" t="str">
        <f>IFERROR(__xludf.DUMMYFUNCTION("""COMPUTED_VALUE"""),"NORDICS")</f>
        <v>NORDICS</v>
      </c>
      <c r="B137" s="186" t="str">
        <f>IFERROR(__xludf.DUMMYFUNCTION("""COMPUTED_VALUE"""),"W49")</f>
        <v>W49</v>
      </c>
      <c r="C137" s="186">
        <f>IFERROR(__xludf.DUMMYFUNCTION("""COMPUTED_VALUE"""),315.0)</f>
        <v>315</v>
      </c>
      <c r="D137" s="186" t="str">
        <f>IFERROR(__xludf.DUMMYFUNCTION("""COMPUTED_VALUE"""),"CON-00-150602-2")</f>
        <v>CON-00-150602-2</v>
      </c>
      <c r="E137" s="186" t="str">
        <f>IFERROR(__xludf.DUMMYFUNCTION("""COMPUTED_VALUE"""),"Fajita-Style Shredded Beef &amp; Queso")</f>
        <v>Fajita-Style Shredded Beef &amp; Queso</v>
      </c>
      <c r="F137" s="186" t="str">
        <f>IFERROR(__xludf.DUMMYFUNCTION("""COMPUTED_VALUE"""),"Fajita-inspireret pulled beef &amp; queso")</f>
        <v>Fajita-inspireret pulled beef &amp; queso</v>
      </c>
      <c r="G137" s="186" t="str">
        <f>IFERROR(__xludf.DUMMYFUNCTION("""COMPUTED_VALUE"""),"FE1506A")</f>
        <v>FE1506A</v>
      </c>
      <c r="H137" s="186">
        <f>IFERROR(__xludf.DUMMYFUNCTION("""COMPUTED_VALUE"""),565176.0)</f>
        <v>565176</v>
      </c>
      <c r="I137" s="186" t="str">
        <f>IFERROR(__xludf.DUMMYFUNCTION("""COMPUTED_VALUE"""),"HF Fajita style pulled beef")</f>
        <v>HF Fajita style pulled beef</v>
      </c>
      <c r="J137" s="189">
        <f>IFERROR(__xludf.DUMMYFUNCTION("""COMPUTED_VALUE"""),707.0)</f>
        <v>707</v>
      </c>
      <c r="K137" s="189">
        <f>IFERROR(__xludf.DUMMYFUNCTION("""COMPUTED_VALUE"""),752.0)</f>
        <v>752</v>
      </c>
      <c r="L137" s="189">
        <f>IFERROR(__xludf.DUMMYFUNCTION("""COMPUTED_VALUE"""),996.0)</f>
        <v>996</v>
      </c>
      <c r="M137" s="189">
        <f>IFERROR(__xludf.DUMMYFUNCTION("""COMPUTED_VALUE"""),709.0)</f>
        <v>709</v>
      </c>
      <c r="N137" s="189">
        <f>IFERROR(__xludf.DUMMYFUNCTION("""COMPUTED_VALUE"""),633.0)</f>
        <v>633</v>
      </c>
      <c r="O137" s="189">
        <f>IFERROR(__xludf.DUMMYFUNCTION("""COMPUTED_VALUE"""),938.0)</f>
        <v>938</v>
      </c>
      <c r="P137" s="189">
        <f>IFERROR(__xludf.DUMMYFUNCTION("""COMPUTED_VALUE"""),575.0)</f>
        <v>575</v>
      </c>
      <c r="Q137" s="189">
        <f>IFERROR(__xludf.DUMMYFUNCTION("""COMPUTED_VALUE"""),566.0)</f>
        <v>566</v>
      </c>
      <c r="R137" s="189">
        <f>IFERROR(__xludf.DUMMYFUNCTION("""COMPUTED_VALUE"""),542.0)</f>
        <v>542</v>
      </c>
      <c r="S137" s="189">
        <f>IFERROR(__xludf.DUMMYFUNCTION("""COMPUTED_VALUE"""),540.0)</f>
        <v>540</v>
      </c>
    </row>
    <row r="138">
      <c r="A138" s="186" t="str">
        <f>IFERROR(__xludf.DUMMYFUNCTION("""COMPUTED_VALUE"""),"NORDICS")</f>
        <v>NORDICS</v>
      </c>
      <c r="B138" s="186" t="str">
        <f>IFERROR(__xludf.DUMMYFUNCTION("""COMPUTED_VALUE"""),"W49")</f>
        <v>W49</v>
      </c>
      <c r="C138" s="186">
        <f>IFERROR(__xludf.DUMMYFUNCTION("""COMPUTED_VALUE"""),316.0)</f>
        <v>316</v>
      </c>
      <c r="D138" s="186" t="str">
        <f>IFERROR(__xludf.DUMMYFUNCTION("""COMPUTED_VALUE"""),"CON-00-147812-2")</f>
        <v>CON-00-147812-2</v>
      </c>
      <c r="E138" s="186" t="str">
        <f>IFERROR(__xludf.DUMMYFUNCTION("""COMPUTED_VALUE"""),"Chicken in tomato cream sauce")</f>
        <v>Chicken in tomato cream sauce</v>
      </c>
      <c r="F138" s="186" t="str">
        <f>IFERROR(__xludf.DUMMYFUNCTION("""COMPUTED_VALUE"""),"Kylling i cremet tomatsauce")</f>
        <v>Kylling i cremet tomatsauce</v>
      </c>
      <c r="G138" s="186" t="str">
        <f>IFERROR(__xludf.DUMMYFUNCTION("""COMPUTED_VALUE"""),"FE0024E")</f>
        <v>FE0024E</v>
      </c>
      <c r="H138" s="186">
        <f>IFERROR(__xludf.DUMMYFUNCTION("""COMPUTED_VALUE"""),565150.0)</f>
        <v>565150</v>
      </c>
      <c r="I138" s="186" t="str">
        <f>IFERROR(__xludf.DUMMYFUNCTION("""COMPUTED_VALUE"""),"HF RW Kipfilet in tom-roomsaus")</f>
        <v>HF RW Kipfilet in tom-roomsaus</v>
      </c>
      <c r="J138" s="189">
        <f>IFERROR(__xludf.DUMMYFUNCTION("""COMPUTED_VALUE"""),666.0)</f>
        <v>666</v>
      </c>
      <c r="K138" s="189">
        <f>IFERROR(__xludf.DUMMYFUNCTION("""COMPUTED_VALUE"""),665.0)</f>
        <v>665</v>
      </c>
      <c r="L138" s="189">
        <f>IFERROR(__xludf.DUMMYFUNCTION("""COMPUTED_VALUE"""),739.0)</f>
        <v>739</v>
      </c>
      <c r="M138" s="186">
        <f>IFERROR(__xludf.DUMMYFUNCTION("""COMPUTED_VALUE"""),815.0)</f>
        <v>815</v>
      </c>
      <c r="N138" s="186">
        <f>IFERROR(__xludf.DUMMYFUNCTION("""COMPUTED_VALUE"""),810.0)</f>
        <v>810</v>
      </c>
      <c r="O138" s="189">
        <f>IFERROR(__xludf.DUMMYFUNCTION("""COMPUTED_VALUE"""),1221.0)</f>
        <v>1221</v>
      </c>
      <c r="P138" s="186">
        <f>IFERROR(__xludf.DUMMYFUNCTION("""COMPUTED_VALUE"""),774.0)</f>
        <v>774</v>
      </c>
      <c r="Q138" s="186">
        <f>IFERROR(__xludf.DUMMYFUNCTION("""COMPUTED_VALUE"""),792.0)</f>
        <v>792</v>
      </c>
      <c r="R138" s="186">
        <f>IFERROR(__xludf.DUMMYFUNCTION("""COMPUTED_VALUE"""),754.0)</f>
        <v>754</v>
      </c>
      <c r="S138" s="189">
        <f>IFERROR(__xludf.DUMMYFUNCTION("""COMPUTED_VALUE"""),748.0)</f>
        <v>748</v>
      </c>
    </row>
    <row r="139">
      <c r="A139" s="186" t="str">
        <f>IFERROR(__xludf.DUMMYFUNCTION("""COMPUTED_VALUE"""),"NORDICS")</f>
        <v>NORDICS</v>
      </c>
      <c r="B139" s="186" t="str">
        <f>IFERROR(__xludf.DUMMYFUNCTION("""COMPUTED_VALUE"""),"W49")</f>
        <v>W49</v>
      </c>
      <c r="C139" s="186">
        <f>IFERROR(__xludf.DUMMYFUNCTION("""COMPUTED_VALUE"""),317.0)</f>
        <v>317</v>
      </c>
      <c r="D139" s="186" t="str">
        <f>IFERROR(__xludf.DUMMYFUNCTION("""COMPUTED_VALUE"""),"CON-00-147824-2")</f>
        <v>CON-00-147824-2</v>
      </c>
      <c r="E139" s="186" t="str">
        <f>IFERROR(__xludf.DUMMYFUNCTION("""COMPUTED_VALUE"""),"Pork tenderloin in creamy garlic-mustard sauce")</f>
        <v>Pork tenderloin in creamy garlic-mustard sauce</v>
      </c>
      <c r="F139" s="186" t="str">
        <f>IFERROR(__xludf.DUMMYFUNCTION("""COMPUTED_VALUE"""),"Svinemørbrad i cremet hvidløg-sennepssauce")</f>
        <v>Svinemørbrad i cremet hvidløg-sennepssauce</v>
      </c>
      <c r="G139" s="186" t="str">
        <f>IFERROR(__xludf.DUMMYFUNCTION("""COMPUTED_VALUE"""),"FE0169H")</f>
        <v>FE0169H</v>
      </c>
      <c r="H139" s="186">
        <f>IFERROR(__xludf.DUMMYFUNCTION("""COMPUTED_VALUE"""),565143.0)</f>
        <v>565143</v>
      </c>
      <c r="I139" s="186" t="str">
        <f>IFERROR(__xludf.DUMMYFUNCTION("""COMPUTED_VALUE"""),"Varkenshaas in romige knoflook-mosterdsaus")</f>
        <v>Varkenshaas in romige knoflook-mosterdsaus</v>
      </c>
      <c r="J139" s="189">
        <f>IFERROR(__xludf.DUMMYFUNCTION("""COMPUTED_VALUE"""),588.0)</f>
        <v>588</v>
      </c>
      <c r="K139" s="189">
        <f>IFERROR(__xludf.DUMMYFUNCTION("""COMPUTED_VALUE"""),607.0)</f>
        <v>607</v>
      </c>
      <c r="L139" s="189">
        <f>IFERROR(__xludf.DUMMYFUNCTION("""COMPUTED_VALUE"""),471.0)</f>
        <v>471</v>
      </c>
      <c r="M139" s="189">
        <f>IFERROR(__xludf.DUMMYFUNCTION("""COMPUTED_VALUE"""),492.0)</f>
        <v>492</v>
      </c>
      <c r="N139" s="189">
        <f>IFERROR(__xludf.DUMMYFUNCTION("""COMPUTED_VALUE"""),520.0)</f>
        <v>520</v>
      </c>
      <c r="O139" s="189">
        <f>IFERROR(__xludf.DUMMYFUNCTION("""COMPUTED_VALUE"""),852.0)</f>
        <v>852</v>
      </c>
      <c r="P139" s="189">
        <f>IFERROR(__xludf.DUMMYFUNCTION("""COMPUTED_VALUE"""),546.0)</f>
        <v>546</v>
      </c>
      <c r="Q139" s="189">
        <f>IFERROR(__xludf.DUMMYFUNCTION("""COMPUTED_VALUE"""),533.0)</f>
        <v>533</v>
      </c>
      <c r="R139" s="189">
        <f>IFERROR(__xludf.DUMMYFUNCTION("""COMPUTED_VALUE"""),519.0)</f>
        <v>519</v>
      </c>
      <c r="S139" s="189">
        <f>IFERROR(__xludf.DUMMYFUNCTION("""COMPUTED_VALUE"""),512.0)</f>
        <v>512</v>
      </c>
    </row>
    <row r="140">
      <c r="A140" s="186" t="str">
        <f>IFERROR(__xludf.DUMMYFUNCTION("""COMPUTED_VALUE"""),"NORDICS")</f>
        <v>NORDICS</v>
      </c>
      <c r="B140" s="186" t="str">
        <f>IFERROR(__xludf.DUMMYFUNCTION("""COMPUTED_VALUE"""),"W49")</f>
        <v>W49</v>
      </c>
      <c r="C140" s="186">
        <f>IFERROR(__xludf.DUMMYFUNCTION("""COMPUTED_VALUE"""),318.0)</f>
        <v>318</v>
      </c>
      <c r="D140" s="186"/>
      <c r="E140" s="186"/>
      <c r="F140" s="186"/>
      <c r="G140" s="186" t="str">
        <f>IFERROR(__xludf.DUMMYFUNCTION("""COMPUTED_VALUE"""),"FE4048A")</f>
        <v>FE4048A</v>
      </c>
      <c r="H140" s="186"/>
      <c r="I140" s="186"/>
      <c r="J140" s="186">
        <f>IFERROR(__xludf.DUMMYFUNCTION("""COMPUTED_VALUE"""),660.0)</f>
        <v>660</v>
      </c>
      <c r="K140" s="186">
        <f>IFERROR(__xludf.DUMMYFUNCTION("""COMPUTED_VALUE"""),644.0)</f>
        <v>644</v>
      </c>
      <c r="L140" s="186">
        <f>IFERROR(__xludf.DUMMYFUNCTION("""COMPUTED_VALUE"""),544.0)</f>
        <v>544</v>
      </c>
      <c r="M140" s="186">
        <f>IFERROR(__xludf.DUMMYFUNCTION("""COMPUTED_VALUE"""),493.0)</f>
        <v>493</v>
      </c>
      <c r="N140" s="186">
        <f>IFERROR(__xludf.DUMMYFUNCTION("""COMPUTED_VALUE"""),479.0)</f>
        <v>479</v>
      </c>
      <c r="O140" s="186">
        <f>IFERROR(__xludf.DUMMYFUNCTION("""COMPUTED_VALUE"""),816.0)</f>
        <v>816</v>
      </c>
      <c r="P140" s="186">
        <f>IFERROR(__xludf.DUMMYFUNCTION("""COMPUTED_VALUE"""),586.0)</f>
        <v>586</v>
      </c>
      <c r="Q140" s="186">
        <f>IFERROR(__xludf.DUMMYFUNCTION("""COMPUTED_VALUE"""),596.0)</f>
        <v>596</v>
      </c>
      <c r="R140" s="186">
        <f>IFERROR(__xludf.DUMMYFUNCTION("""COMPUTED_VALUE"""),581.0)</f>
        <v>581</v>
      </c>
      <c r="S140" s="189">
        <f>IFERROR(__xludf.DUMMYFUNCTION("""COMPUTED_VALUE"""),569.0)</f>
        <v>569</v>
      </c>
    </row>
    <row r="141">
      <c r="A141" s="186" t="str">
        <f>IFERROR(__xludf.DUMMYFUNCTION("""COMPUTED_VALUE"""),"NORDICS")</f>
        <v>NORDICS</v>
      </c>
      <c r="B141" s="186" t="str">
        <f>IFERROR(__xludf.DUMMYFUNCTION("""COMPUTED_VALUE"""),"W49")</f>
        <v>W49</v>
      </c>
      <c r="C141" s="186">
        <f>IFERROR(__xludf.DUMMYFUNCTION("""COMPUTED_VALUE"""),806.0)</f>
        <v>806</v>
      </c>
      <c r="D141" s="186" t="str">
        <f>IFERROR(__xludf.DUMMYFUNCTION("""COMPUTED_VALUE"""),"PTN-00-148223-2")</f>
        <v>PTN-00-148223-2</v>
      </c>
      <c r="E141" s="186" t="str">
        <f>IFERROR(__xludf.DUMMYFUNCTION("""COMPUTED_VALUE"""),"Garlic Herb Grilled Chicken")</f>
        <v>Garlic Herb Grilled Chicken</v>
      </c>
      <c r="F141" s="186" t="str">
        <f>IFERROR(__xludf.DUMMYFUNCTION("""COMPUTED_VALUE"""),"Grillet kylling med hvidlød og urter")</f>
        <v>Grillet kylling med hvidlød og urter</v>
      </c>
      <c r="G141" s="186" t="str">
        <f>IFERROR(__xludf.DUMMYFUNCTION("""COMPUTED_VALUE"""),"FEA006A")</f>
        <v>FEA006A</v>
      </c>
      <c r="H141" s="186">
        <f>IFERROR(__xludf.DUMMYFUNCTION("""COMPUTED_VALUE"""),565119.0)</f>
        <v>565119</v>
      </c>
      <c r="I141" s="186"/>
      <c r="J141" s="186">
        <f>IFERROR(__xludf.DUMMYFUNCTION("""COMPUTED_VALUE"""),48.0)</f>
        <v>48</v>
      </c>
      <c r="K141" s="186">
        <f>IFERROR(__xludf.DUMMYFUNCTION("""COMPUTED_VALUE"""),48.0)</f>
        <v>48</v>
      </c>
      <c r="L141" s="186">
        <f>IFERROR(__xludf.DUMMYFUNCTION("""COMPUTED_VALUE"""),48.0)</f>
        <v>48</v>
      </c>
      <c r="M141" s="186">
        <f>IFERROR(__xludf.DUMMYFUNCTION("""COMPUTED_VALUE"""),48.0)</f>
        <v>48</v>
      </c>
      <c r="N141" s="186">
        <f>IFERROR(__xludf.DUMMYFUNCTION("""COMPUTED_VALUE"""),48.0)</f>
        <v>48</v>
      </c>
      <c r="O141" s="186">
        <f>IFERROR(__xludf.DUMMYFUNCTION("""COMPUTED_VALUE"""),48.0)</f>
        <v>48</v>
      </c>
      <c r="P141" s="186">
        <f>IFERROR(__xludf.DUMMYFUNCTION("""COMPUTED_VALUE"""),48.0)</f>
        <v>48</v>
      </c>
      <c r="Q141" s="186">
        <f>IFERROR(__xludf.DUMMYFUNCTION("""COMPUTED_VALUE"""),48.0)</f>
        <v>48</v>
      </c>
      <c r="R141" s="186">
        <f>IFERROR(__xludf.DUMMYFUNCTION("""COMPUTED_VALUE"""),55.0)</f>
        <v>55</v>
      </c>
      <c r="S141" s="189">
        <f>IFERROR(__xludf.DUMMYFUNCTION("""COMPUTED_VALUE"""),54.0)</f>
        <v>54</v>
      </c>
    </row>
    <row r="142">
      <c r="A142" s="186" t="str">
        <f>IFERROR(__xludf.DUMMYFUNCTION("""COMPUTED_VALUE"""),"NORDICS")</f>
        <v>NORDICS</v>
      </c>
      <c r="B142" s="186" t="str">
        <f>IFERROR(__xludf.DUMMYFUNCTION("""COMPUTED_VALUE"""),"W49")</f>
        <v>W49</v>
      </c>
      <c r="C142" s="186"/>
      <c r="D142" s="186"/>
      <c r="E142" s="186"/>
      <c r="F142" s="186"/>
      <c r="G142" s="186"/>
      <c r="H142" s="186"/>
      <c r="I142" s="186"/>
      <c r="J142" s="189">
        <f>IFERROR(__xludf.DUMMYFUNCTION("""COMPUTED_VALUE"""),27864.0)</f>
        <v>27864</v>
      </c>
      <c r="K142" s="189">
        <f>IFERROR(__xludf.DUMMYFUNCTION("""COMPUTED_VALUE"""),27737.0)</f>
        <v>27737</v>
      </c>
      <c r="L142" s="189">
        <f>IFERROR(__xludf.DUMMYFUNCTION("""COMPUTED_VALUE"""),27310.0)</f>
        <v>27310</v>
      </c>
      <c r="M142" s="189">
        <f>IFERROR(__xludf.DUMMYFUNCTION("""COMPUTED_VALUE"""),25795.0)</f>
        <v>25795</v>
      </c>
      <c r="N142" s="189">
        <f>IFERROR(__xludf.DUMMYFUNCTION("""COMPUTED_VALUE"""),24592.0)</f>
        <v>24592</v>
      </c>
      <c r="O142" s="189">
        <f>IFERROR(__xludf.DUMMYFUNCTION("""COMPUTED_VALUE"""),24894.0)</f>
        <v>24894</v>
      </c>
      <c r="P142" s="189">
        <f>IFERROR(__xludf.DUMMYFUNCTION("""COMPUTED_VALUE"""),24889.0)</f>
        <v>24889</v>
      </c>
      <c r="Q142" s="189">
        <f>IFERROR(__xludf.DUMMYFUNCTION("""COMPUTED_VALUE"""),24591.0)</f>
        <v>24591</v>
      </c>
      <c r="R142" s="189">
        <f>IFERROR(__xludf.DUMMYFUNCTION("""COMPUTED_VALUE"""),24607.0)</f>
        <v>24607</v>
      </c>
      <c r="S142" s="189">
        <f>IFERROR(__xludf.DUMMYFUNCTION("""COMPUTED_VALUE"""),23468.0)</f>
        <v>23468</v>
      </c>
    </row>
    <row r="143">
      <c r="A143" s="186" t="str">
        <f>IFERROR(__xludf.DUMMYFUNCTION("""COMPUTED_VALUE"""),"DE")</f>
        <v>DE</v>
      </c>
      <c r="B143" s="186" t="str">
        <f>IFERROR(__xludf.DUMMYFUNCTION("""COMPUTED_VALUE"""),"W49")</f>
        <v>W49</v>
      </c>
      <c r="C143" s="186">
        <f>IFERROR(__xludf.DUMMYFUNCTION("""COMPUTED_VALUE"""),301.0)</f>
        <v>301</v>
      </c>
      <c r="D143" s="186" t="str">
        <f>IFERROR(__xludf.DUMMYFUNCTION("""COMPUTED_VALUE"""),"CON-00-136620-3")</f>
        <v>CON-00-136620-3</v>
      </c>
      <c r="E143" s="186" t="str">
        <f>IFERROR(__xludf.DUMMYFUNCTION("""COMPUTED_VALUE"""),"Chicken à la Florentine")</f>
        <v>Chicken à la Florentine</v>
      </c>
      <c r="F143" s="186" t="str">
        <f>IFERROR(__xludf.DUMMYFUNCTION("""COMPUTED_VALUE"""),"Hähnchen à la Florentine")</f>
        <v>Hähnchen à la Florentine</v>
      </c>
      <c r="G143" s="186" t="str">
        <f>IFERROR(__xludf.DUMMYFUNCTION("""COMPUTED_VALUE"""),"FE0224C")</f>
        <v>FE0224C</v>
      </c>
      <c r="H143" s="186">
        <f>IFERROR(__xludf.DUMMYFUNCTION("""COMPUTED_VALUE"""),565047.0)</f>
        <v>565047</v>
      </c>
      <c r="I143" s="186" t="str">
        <f>IFERROR(__xludf.DUMMYFUNCTION("""COMPUTED_VALUE"""),"HF Kip Florentine 404g")</f>
        <v>HF Kip Florentine 404g</v>
      </c>
      <c r="J143" s="189">
        <f>IFERROR(__xludf.DUMMYFUNCTION("""COMPUTED_VALUE"""),3231.0)</f>
        <v>3231</v>
      </c>
      <c r="K143" s="189">
        <f>IFERROR(__xludf.DUMMYFUNCTION("""COMPUTED_VALUE"""),3176.0)</f>
        <v>3176</v>
      </c>
      <c r="L143" s="189">
        <f>IFERROR(__xludf.DUMMYFUNCTION("""COMPUTED_VALUE"""),3194.0)</f>
        <v>3194</v>
      </c>
      <c r="M143" s="189">
        <f>IFERROR(__xludf.DUMMYFUNCTION("""COMPUTED_VALUE"""),3015.0)</f>
        <v>3015</v>
      </c>
      <c r="N143" s="189">
        <f>IFERROR(__xludf.DUMMYFUNCTION("""COMPUTED_VALUE"""),2940.0)</f>
        <v>2940</v>
      </c>
      <c r="O143" s="189">
        <f>IFERROR(__xludf.DUMMYFUNCTION("""COMPUTED_VALUE"""),2249.0)</f>
        <v>2249</v>
      </c>
      <c r="P143" s="189">
        <f>IFERROR(__xludf.DUMMYFUNCTION("""COMPUTED_VALUE"""),3013.0)</f>
        <v>3013</v>
      </c>
      <c r="Q143" s="189">
        <f>IFERROR(__xludf.DUMMYFUNCTION("""COMPUTED_VALUE"""),3014.0)</f>
        <v>3014</v>
      </c>
      <c r="R143" s="189">
        <f>IFERROR(__xludf.DUMMYFUNCTION("""COMPUTED_VALUE"""),2963.0)</f>
        <v>2963</v>
      </c>
      <c r="S143" s="189">
        <f>IFERROR(__xludf.DUMMYFUNCTION("""COMPUTED_VALUE"""),2924.0)</f>
        <v>2924</v>
      </c>
    </row>
    <row r="144">
      <c r="A144" s="186" t="str">
        <f>IFERROR(__xludf.DUMMYFUNCTION("""COMPUTED_VALUE"""),"DE")</f>
        <v>DE</v>
      </c>
      <c r="B144" s="186" t="str">
        <f>IFERROR(__xludf.DUMMYFUNCTION("""COMPUTED_VALUE"""),"W49")</f>
        <v>W49</v>
      </c>
      <c r="C144" s="186">
        <f>IFERROR(__xludf.DUMMYFUNCTION("""COMPUTED_VALUE"""),302.0)</f>
        <v>302</v>
      </c>
      <c r="D144" s="186" t="str">
        <f>IFERROR(__xludf.DUMMYFUNCTION("""COMPUTED_VALUE"""),"CON-00-136674-3")</f>
        <v>CON-00-136674-3</v>
      </c>
      <c r="E144" s="186" t="str">
        <f>IFERROR(__xludf.DUMMYFUNCTION("""COMPUTED_VALUE"""),"Grilled chicken and ratatouille")</f>
        <v>Grilled chicken and ratatouille</v>
      </c>
      <c r="F144" s="186" t="str">
        <f>IFERROR(__xludf.DUMMYFUNCTION("""COMPUTED_VALUE"""),"Grillhähnchen und Ratatouille")</f>
        <v>Grillhähnchen und Ratatouille</v>
      </c>
      <c r="G144" s="186" t="str">
        <f>IFERROR(__xludf.DUMMYFUNCTION("""COMPUTED_VALUE"""),"FE4015A")</f>
        <v>FE4015A</v>
      </c>
      <c r="H144" s="186">
        <f>IFERROR(__xludf.DUMMYFUNCTION("""COMPUTED_VALUE"""),565072.0)</f>
        <v>565072</v>
      </c>
      <c r="I144" s="186" t="str">
        <f>IFERROR(__xludf.DUMMYFUNCTION("""COMPUTED_VALUE"""),"HF Gegrilde kipfilet en ratatouille 429g")</f>
        <v>HF Gegrilde kipfilet en ratatouille 429g</v>
      </c>
      <c r="J144" s="189">
        <f>IFERROR(__xludf.DUMMYFUNCTION("""COMPUTED_VALUE"""),2113.0)</f>
        <v>2113</v>
      </c>
      <c r="K144" s="189">
        <f>IFERROR(__xludf.DUMMYFUNCTION("""COMPUTED_VALUE"""),2217.0)</f>
        <v>2217</v>
      </c>
      <c r="L144" s="189">
        <f>IFERROR(__xludf.DUMMYFUNCTION("""COMPUTED_VALUE"""),2312.0)</f>
        <v>2312</v>
      </c>
      <c r="M144" s="189">
        <f>IFERROR(__xludf.DUMMYFUNCTION("""COMPUTED_VALUE"""),1978.0)</f>
        <v>1978</v>
      </c>
      <c r="N144" s="189">
        <f>IFERROR(__xludf.DUMMYFUNCTION("""COMPUTED_VALUE"""),1934.0)</f>
        <v>1934</v>
      </c>
      <c r="O144" s="189">
        <f>IFERROR(__xludf.DUMMYFUNCTION("""COMPUTED_VALUE"""),1807.0)</f>
        <v>1807</v>
      </c>
      <c r="P144" s="189">
        <f>IFERROR(__xludf.DUMMYFUNCTION("""COMPUTED_VALUE"""),2037.0)</f>
        <v>2037</v>
      </c>
      <c r="Q144" s="189">
        <f>IFERROR(__xludf.DUMMYFUNCTION("""COMPUTED_VALUE"""),2037.0)</f>
        <v>2037</v>
      </c>
      <c r="R144" s="189">
        <f>IFERROR(__xludf.DUMMYFUNCTION("""COMPUTED_VALUE"""),2009.0)</f>
        <v>2009</v>
      </c>
      <c r="S144" s="189">
        <f>IFERROR(__xludf.DUMMYFUNCTION("""COMPUTED_VALUE"""),1987.0)</f>
        <v>1987</v>
      </c>
    </row>
    <row r="145">
      <c r="A145" s="186" t="str">
        <f>IFERROR(__xludf.DUMMYFUNCTION("""COMPUTED_VALUE"""),"DE")</f>
        <v>DE</v>
      </c>
      <c r="B145" s="186" t="str">
        <f>IFERROR(__xludf.DUMMYFUNCTION("""COMPUTED_VALUE"""),"W49")</f>
        <v>W49</v>
      </c>
      <c r="C145" s="186">
        <f>IFERROR(__xludf.DUMMYFUNCTION("""COMPUTED_VALUE"""),303.0)</f>
        <v>303</v>
      </c>
      <c r="D145" s="186" t="str">
        <f>IFERROR(__xludf.DUMMYFUNCTION("""COMPUTED_VALUE"""),"CON-00-136657-3")</f>
        <v>CON-00-136657-3</v>
      </c>
      <c r="E145" s="186" t="str">
        <f>IFERROR(__xludf.DUMMYFUNCTION("""COMPUTED_VALUE"""),"Courgette-spaghetti bolognese")</f>
        <v>Courgette-spaghetti bolognese</v>
      </c>
      <c r="F145" s="186" t="str">
        <f>IFERROR(__xludf.DUMMYFUNCTION("""COMPUTED_VALUE"""),"Zucchini-Spaghetti Bolognese")</f>
        <v>Zucchini-Spaghetti Bolognese</v>
      </c>
      <c r="G145" s="186" t="str">
        <f>IFERROR(__xludf.DUMMYFUNCTION("""COMPUTED_VALUE"""),"FE0849A")</f>
        <v>FE0849A</v>
      </c>
      <c r="H145" s="186">
        <f>IFERROR(__xludf.DUMMYFUNCTION("""COMPUTED_VALUE"""),565060.0)</f>
        <v>565060</v>
      </c>
      <c r="I145" s="186" t="str">
        <f>IFERROR(__xludf.DUMMYFUNCTION("""COMPUTED_VALUE"""),"HF Courgette-spaghetti bolognese 352g")</f>
        <v>HF Courgette-spaghetti bolognese 352g</v>
      </c>
      <c r="J145" s="189">
        <f>IFERROR(__xludf.DUMMYFUNCTION("""COMPUTED_VALUE"""),2376.0)</f>
        <v>2376</v>
      </c>
      <c r="K145" s="189">
        <f>IFERROR(__xludf.DUMMYFUNCTION("""COMPUTED_VALUE"""),2431.0)</f>
        <v>2431</v>
      </c>
      <c r="L145" s="189">
        <f>IFERROR(__xludf.DUMMYFUNCTION("""COMPUTED_VALUE"""),2192.0)</f>
        <v>2192</v>
      </c>
      <c r="M145" s="189">
        <f>IFERROR(__xludf.DUMMYFUNCTION("""COMPUTED_VALUE"""),2224.0)</f>
        <v>2224</v>
      </c>
      <c r="N145" s="189">
        <f>IFERROR(__xludf.DUMMYFUNCTION("""COMPUTED_VALUE"""),2167.0)</f>
        <v>2167</v>
      </c>
      <c r="O145" s="189">
        <f>IFERROR(__xludf.DUMMYFUNCTION("""COMPUTED_VALUE"""),1855.0)</f>
        <v>1855</v>
      </c>
      <c r="P145" s="189">
        <f>IFERROR(__xludf.DUMMYFUNCTION("""COMPUTED_VALUE"""),2160.0)</f>
        <v>2160</v>
      </c>
      <c r="Q145" s="189">
        <f>IFERROR(__xludf.DUMMYFUNCTION("""COMPUTED_VALUE"""),2118.0)</f>
        <v>2118</v>
      </c>
      <c r="R145" s="189">
        <f>IFERROR(__xludf.DUMMYFUNCTION("""COMPUTED_VALUE"""),2073.0)</f>
        <v>2073</v>
      </c>
      <c r="S145" s="189">
        <f>IFERROR(__xludf.DUMMYFUNCTION("""COMPUTED_VALUE"""),2008.0)</f>
        <v>2008</v>
      </c>
    </row>
    <row r="146">
      <c r="A146" s="186" t="str">
        <f>IFERROR(__xludf.DUMMYFUNCTION("""COMPUTED_VALUE"""),"DE")</f>
        <v>DE</v>
      </c>
      <c r="B146" s="186" t="str">
        <f>IFERROR(__xludf.DUMMYFUNCTION("""COMPUTED_VALUE"""),"W49")</f>
        <v>W49</v>
      </c>
      <c r="C146" s="186">
        <f>IFERROR(__xludf.DUMMYFUNCTION("""COMPUTED_VALUE"""),304.0)</f>
        <v>304</v>
      </c>
      <c r="D146" s="186"/>
      <c r="E146" s="186"/>
      <c r="F146" s="186"/>
      <c r="G146" s="186" t="str">
        <f>IFERROR(__xludf.DUMMYFUNCTION("""COMPUTED_VALUE"""),"FE4053A")</f>
        <v>FE4053A</v>
      </c>
      <c r="H146" s="186"/>
      <c r="I146" s="186"/>
      <c r="J146" s="189">
        <f>IFERROR(__xludf.DUMMYFUNCTION("""COMPUTED_VALUE"""),3170.0)</f>
        <v>3170</v>
      </c>
      <c r="K146" s="189">
        <f>IFERROR(__xludf.DUMMYFUNCTION("""COMPUTED_VALUE"""),3141.0)</f>
        <v>3141</v>
      </c>
      <c r="L146" s="189">
        <f>IFERROR(__xludf.DUMMYFUNCTION("""COMPUTED_VALUE"""),3003.0)</f>
        <v>3003</v>
      </c>
      <c r="M146" s="189">
        <f>IFERROR(__xludf.DUMMYFUNCTION("""COMPUTED_VALUE"""),2898.0)</f>
        <v>2898</v>
      </c>
      <c r="N146" s="189">
        <f>IFERROR(__xludf.DUMMYFUNCTION("""COMPUTED_VALUE"""),2852.0)</f>
        <v>2852</v>
      </c>
      <c r="O146" s="189">
        <f>IFERROR(__xludf.DUMMYFUNCTION("""COMPUTED_VALUE"""),2445.0)</f>
        <v>2445</v>
      </c>
      <c r="P146" s="189">
        <f>IFERROR(__xludf.DUMMYFUNCTION("""COMPUTED_VALUE"""),2896.0)</f>
        <v>2896</v>
      </c>
      <c r="Q146" s="189">
        <f>IFERROR(__xludf.DUMMYFUNCTION("""COMPUTED_VALUE"""),2853.0)</f>
        <v>2853</v>
      </c>
      <c r="R146" s="189">
        <f>IFERROR(__xludf.DUMMYFUNCTION("""COMPUTED_VALUE"""),2862.0)</f>
        <v>2862</v>
      </c>
      <c r="S146" s="189">
        <f>IFERROR(__xludf.DUMMYFUNCTION("""COMPUTED_VALUE"""),2804.0)</f>
        <v>2804</v>
      </c>
    </row>
    <row r="147">
      <c r="A147" s="186" t="str">
        <f>IFERROR(__xludf.DUMMYFUNCTION("""COMPUTED_VALUE"""),"DE")</f>
        <v>DE</v>
      </c>
      <c r="B147" s="186" t="str">
        <f>IFERROR(__xludf.DUMMYFUNCTION("""COMPUTED_VALUE"""),"W49")</f>
        <v>W49</v>
      </c>
      <c r="C147" s="186">
        <f>IFERROR(__xludf.DUMMYFUNCTION("""COMPUTED_VALUE"""),305.0)</f>
        <v>305</v>
      </c>
      <c r="D147" s="186" t="str">
        <f>IFERROR(__xludf.DUMMYFUNCTION("""COMPUTED_VALUE"""),"CON-00-136669-3")</f>
        <v>CON-00-136669-3</v>
      </c>
      <c r="E147" s="186" t="str">
        <f>IFERROR(__xludf.DUMMYFUNCTION("""COMPUTED_VALUE"""),"Cranberry Chicken ")</f>
        <v>Cranberry Chicken </v>
      </c>
      <c r="F147" s="186" t="str">
        <f>IFERROR(__xludf.DUMMYFUNCTION("""COMPUTED_VALUE"""),"Cranberry-Hähnchen")</f>
        <v>Cranberry-Hähnchen</v>
      </c>
      <c r="G147" s="186" t="str">
        <f>IFERROR(__xludf.DUMMYFUNCTION("""COMPUTED_VALUE"""),"FE0271B")</f>
        <v>FE0271B</v>
      </c>
      <c r="H147" s="186">
        <f>IFERROR(__xludf.DUMMYFUNCTION("""COMPUTED_VALUE"""),565132.0)</f>
        <v>565132</v>
      </c>
      <c r="I147" s="186"/>
      <c r="J147" s="189">
        <f>IFERROR(__xludf.DUMMYFUNCTION("""COMPUTED_VALUE"""),2692.0)</f>
        <v>2692</v>
      </c>
      <c r="K147" s="189">
        <f>IFERROR(__xludf.DUMMYFUNCTION("""COMPUTED_VALUE"""),2707.0)</f>
        <v>2707</v>
      </c>
      <c r="L147" s="189">
        <f>IFERROR(__xludf.DUMMYFUNCTION("""COMPUTED_VALUE"""),2846.0)</f>
        <v>2846</v>
      </c>
      <c r="M147" s="189">
        <f>IFERROR(__xludf.DUMMYFUNCTION("""COMPUTED_VALUE"""),2619.0)</f>
        <v>2619</v>
      </c>
      <c r="N147" s="189">
        <f>IFERROR(__xludf.DUMMYFUNCTION("""COMPUTED_VALUE"""),2493.0)</f>
        <v>2493</v>
      </c>
      <c r="O147" s="189">
        <f>IFERROR(__xludf.DUMMYFUNCTION("""COMPUTED_VALUE"""),2066.0)</f>
        <v>2066</v>
      </c>
      <c r="P147" s="189">
        <f>IFERROR(__xludf.DUMMYFUNCTION("""COMPUTED_VALUE"""),2505.0)</f>
        <v>2505</v>
      </c>
      <c r="Q147" s="189">
        <f>IFERROR(__xludf.DUMMYFUNCTION("""COMPUTED_VALUE"""),2491.0)</f>
        <v>2491</v>
      </c>
      <c r="R147" s="189">
        <f>IFERROR(__xludf.DUMMYFUNCTION("""COMPUTED_VALUE"""),2406.0)</f>
        <v>2406</v>
      </c>
      <c r="S147" s="189">
        <f>IFERROR(__xludf.DUMMYFUNCTION("""COMPUTED_VALUE"""),2377.0)</f>
        <v>2377</v>
      </c>
    </row>
    <row r="148">
      <c r="A148" s="186" t="str">
        <f>IFERROR(__xludf.DUMMYFUNCTION("""COMPUTED_VALUE"""),"DE")</f>
        <v>DE</v>
      </c>
      <c r="B148" s="186" t="str">
        <f>IFERROR(__xludf.DUMMYFUNCTION("""COMPUTED_VALUE"""),"W49")</f>
        <v>W49</v>
      </c>
      <c r="C148" s="186">
        <f>IFERROR(__xludf.DUMMYFUNCTION("""COMPUTED_VALUE"""),306.0)</f>
        <v>306</v>
      </c>
      <c r="D148" s="186" t="str">
        <f>IFERROR(__xludf.DUMMYFUNCTION("""COMPUTED_VALUE"""),"CON-00-136727-3")</f>
        <v>CON-00-136727-3</v>
      </c>
      <c r="E148" s="186" t="str">
        <f>IFERROR(__xludf.DUMMYFUNCTION("""COMPUTED_VALUE"""),"Peruvian style chicken breast")</f>
        <v>Peruvian style chicken breast</v>
      </c>
      <c r="F148" s="186" t="str">
        <f>IFERROR(__xludf.DUMMYFUNCTION("""COMPUTED_VALUE"""),"Hähnchenbrust nach peruanischer Art")</f>
        <v>Hähnchenbrust nach peruanischer Art</v>
      </c>
      <c r="G148" s="186" t="str">
        <f>IFERROR(__xludf.DUMMYFUNCTION("""COMPUTED_VALUE"""),"FE0129G")</f>
        <v>FE0129G</v>
      </c>
      <c r="H148" s="186">
        <f>IFERROR(__xludf.DUMMYFUNCTION("""COMPUTED_VALUE"""),565193.0)</f>
        <v>565193</v>
      </c>
      <c r="I148" s="186" t="str">
        <f>IFERROR(__xludf.DUMMYFUNCTION("""COMPUTED_VALUE"""),"HF RW Peruaanse stijl kipfilet")</f>
        <v>HF RW Peruaanse stijl kipfilet</v>
      </c>
      <c r="J148" s="189">
        <f>IFERROR(__xludf.DUMMYFUNCTION("""COMPUTED_VALUE"""),2303.0)</f>
        <v>2303</v>
      </c>
      <c r="K148" s="189">
        <f>IFERROR(__xludf.DUMMYFUNCTION("""COMPUTED_VALUE"""),2295.0)</f>
        <v>2295</v>
      </c>
      <c r="L148" s="189">
        <f>IFERROR(__xludf.DUMMYFUNCTION("""COMPUTED_VALUE"""),2160.0)</f>
        <v>2160</v>
      </c>
      <c r="M148" s="189">
        <f>IFERROR(__xludf.DUMMYFUNCTION("""COMPUTED_VALUE"""),1889.0)</f>
        <v>1889</v>
      </c>
      <c r="N148" s="189">
        <f>IFERROR(__xludf.DUMMYFUNCTION("""COMPUTED_VALUE"""),1853.0)</f>
        <v>1853</v>
      </c>
      <c r="O148" s="189">
        <f>IFERROR(__xludf.DUMMYFUNCTION("""COMPUTED_VALUE"""),1688.0)</f>
        <v>1688</v>
      </c>
      <c r="P148" s="189">
        <f>IFERROR(__xludf.DUMMYFUNCTION("""COMPUTED_VALUE"""),1964.0)</f>
        <v>1964</v>
      </c>
      <c r="Q148" s="189">
        <f>IFERROR(__xludf.DUMMYFUNCTION("""COMPUTED_VALUE"""),1941.0)</f>
        <v>1941</v>
      </c>
      <c r="R148" s="189">
        <f>IFERROR(__xludf.DUMMYFUNCTION("""COMPUTED_VALUE"""),1947.0)</f>
        <v>1947</v>
      </c>
      <c r="S148" s="189">
        <f>IFERROR(__xludf.DUMMYFUNCTION("""COMPUTED_VALUE"""),1905.0)</f>
        <v>1905</v>
      </c>
    </row>
    <row r="149">
      <c r="A149" s="186" t="str">
        <f>IFERROR(__xludf.DUMMYFUNCTION("""COMPUTED_VALUE"""),"DE")</f>
        <v>DE</v>
      </c>
      <c r="B149" s="186" t="str">
        <f>IFERROR(__xludf.DUMMYFUNCTION("""COMPUTED_VALUE"""),"W49")</f>
        <v>W49</v>
      </c>
      <c r="C149" s="186">
        <f>IFERROR(__xludf.DUMMYFUNCTION("""COMPUTED_VALUE"""),307.0)</f>
        <v>307</v>
      </c>
      <c r="D149" s="186" t="str">
        <f>IFERROR(__xludf.DUMMYFUNCTION("""COMPUTED_VALUE"""),"CON-00-139494-2")</f>
        <v>CON-00-139494-2</v>
      </c>
      <c r="E149" s="186" t="str">
        <f>IFERROR(__xludf.DUMMYFUNCTION("""COMPUTED_VALUE"""),"Artichoke &amp; Spinach Pork tenderloin")</f>
        <v>Artichoke &amp; Spinach Pork tenderloin</v>
      </c>
      <c r="F149" s="186" t="str">
        <f>IFERROR(__xludf.DUMMYFUNCTION("""COMPUTED_VALUE"""),"Schweinefilet mit Artischocken und Spinat")</f>
        <v>Schweinefilet mit Artischocken und Spinat</v>
      </c>
      <c r="G149" s="186" t="str">
        <f>IFERROR(__xludf.DUMMYFUNCTION("""COMPUTED_VALUE"""),"FE4060A")</f>
        <v>FE4060A</v>
      </c>
      <c r="H149" s="186">
        <f>IFERROR(__xludf.DUMMYFUNCTION("""COMPUTED_VALUE"""),565134.0)</f>
        <v>565134</v>
      </c>
      <c r="I149" s="186"/>
      <c r="J149" s="189">
        <f>IFERROR(__xludf.DUMMYFUNCTION("""COMPUTED_VALUE"""),1288.0)</f>
        <v>1288</v>
      </c>
      <c r="K149" s="189">
        <f>IFERROR(__xludf.DUMMYFUNCTION("""COMPUTED_VALUE"""),1217.0)</f>
        <v>1217</v>
      </c>
      <c r="L149" s="189">
        <f>IFERROR(__xludf.DUMMYFUNCTION("""COMPUTED_VALUE"""),1077.0)</f>
        <v>1077</v>
      </c>
      <c r="M149" s="189">
        <f>IFERROR(__xludf.DUMMYFUNCTION("""COMPUTED_VALUE"""),1023.0)</f>
        <v>1023</v>
      </c>
      <c r="N149" s="189">
        <f>IFERROR(__xludf.DUMMYFUNCTION("""COMPUTED_VALUE"""),944.0)</f>
        <v>944</v>
      </c>
      <c r="O149" s="189">
        <f>IFERROR(__xludf.DUMMYFUNCTION("""COMPUTED_VALUE"""),820.0)</f>
        <v>820</v>
      </c>
      <c r="P149" s="189">
        <f>IFERROR(__xludf.DUMMYFUNCTION("""COMPUTED_VALUE"""),1006.0)</f>
        <v>1006</v>
      </c>
      <c r="Q149" s="189">
        <f>IFERROR(__xludf.DUMMYFUNCTION("""COMPUTED_VALUE"""),980.0)</f>
        <v>980</v>
      </c>
      <c r="R149" s="189">
        <f>IFERROR(__xludf.DUMMYFUNCTION("""COMPUTED_VALUE"""),974.0)</f>
        <v>974</v>
      </c>
      <c r="S149" s="189">
        <f>IFERROR(__xludf.DUMMYFUNCTION("""COMPUTED_VALUE"""),947.0)</f>
        <v>947</v>
      </c>
    </row>
    <row r="150">
      <c r="A150" s="186" t="str">
        <f>IFERROR(__xludf.DUMMYFUNCTION("""COMPUTED_VALUE"""),"DE")</f>
        <v>DE</v>
      </c>
      <c r="B150" s="186" t="str">
        <f>IFERROR(__xludf.DUMMYFUNCTION("""COMPUTED_VALUE"""),"W49")</f>
        <v>W49</v>
      </c>
      <c r="C150" s="186">
        <f>IFERROR(__xludf.DUMMYFUNCTION("""COMPUTED_VALUE"""),308.0)</f>
        <v>308</v>
      </c>
      <c r="D150" s="186" t="str">
        <f>IFERROR(__xludf.DUMMYFUNCTION("""COMPUTED_VALUE"""),"CON-00-152025-2")</f>
        <v>CON-00-152025-2</v>
      </c>
      <c r="E150" s="186" t="str">
        <f>IFERROR(__xludf.DUMMYFUNCTION("""COMPUTED_VALUE"""),"Salmon Piccata")</f>
        <v>Salmon Piccata</v>
      </c>
      <c r="F150" s="186" t="str">
        <f>IFERROR(__xludf.DUMMYFUNCTION("""COMPUTED_VALUE"""),"Lachs Piccata")</f>
        <v>Lachs Piccata</v>
      </c>
      <c r="G150" s="186" t="str">
        <f>IFERROR(__xludf.DUMMYFUNCTION("""COMPUTED_VALUE"""),"FE0972B")</f>
        <v>FE0972B</v>
      </c>
      <c r="H150" s="186">
        <f>IFERROR(__xludf.DUMMYFUNCTION("""COMPUTED_VALUE"""),565189.0)</f>
        <v>565189</v>
      </c>
      <c r="I150" s="186" t="str">
        <f>IFERROR(__xludf.DUMMYFUNCTION("""COMPUTED_VALUE"""),"HF Zalm met piccata saus")</f>
        <v>HF Zalm met piccata saus</v>
      </c>
      <c r="J150" s="189">
        <f>IFERROR(__xludf.DUMMYFUNCTION("""COMPUTED_VALUE"""),1905.0)</f>
        <v>1905</v>
      </c>
      <c r="K150" s="189">
        <f>IFERROR(__xludf.DUMMYFUNCTION("""COMPUTED_VALUE"""),1784.0)</f>
        <v>1784</v>
      </c>
      <c r="L150" s="189">
        <f>IFERROR(__xludf.DUMMYFUNCTION("""COMPUTED_VALUE"""),1987.0)</f>
        <v>1987</v>
      </c>
      <c r="M150" s="189">
        <f>IFERROR(__xludf.DUMMYFUNCTION("""COMPUTED_VALUE"""),1858.0)</f>
        <v>1858</v>
      </c>
      <c r="N150" s="189">
        <f>IFERROR(__xludf.DUMMYFUNCTION("""COMPUTED_VALUE"""),1804.0)</f>
        <v>1804</v>
      </c>
      <c r="O150" s="189">
        <f>IFERROR(__xludf.DUMMYFUNCTION("""COMPUTED_VALUE"""),2055.0)</f>
        <v>2055</v>
      </c>
      <c r="P150" s="189">
        <f>IFERROR(__xludf.DUMMYFUNCTION("""COMPUTED_VALUE"""),1827.0)</f>
        <v>1827</v>
      </c>
      <c r="Q150" s="189">
        <f>IFERROR(__xludf.DUMMYFUNCTION("""COMPUTED_VALUE"""),1830.0)</f>
        <v>1830</v>
      </c>
      <c r="R150" s="189">
        <f>IFERROR(__xludf.DUMMYFUNCTION("""COMPUTED_VALUE"""),1781.0)</f>
        <v>1781</v>
      </c>
      <c r="S150" s="189">
        <f>IFERROR(__xludf.DUMMYFUNCTION("""COMPUTED_VALUE"""),1760.0)</f>
        <v>1760</v>
      </c>
    </row>
    <row r="151">
      <c r="A151" s="186" t="str">
        <f>IFERROR(__xludf.DUMMYFUNCTION("""COMPUTED_VALUE"""),"DE")</f>
        <v>DE</v>
      </c>
      <c r="B151" s="186" t="str">
        <f>IFERROR(__xludf.DUMMYFUNCTION("""COMPUTED_VALUE"""),"W49")</f>
        <v>W49</v>
      </c>
      <c r="C151" s="186">
        <f>IFERROR(__xludf.DUMMYFUNCTION("""COMPUTED_VALUE"""),309.0)</f>
        <v>309</v>
      </c>
      <c r="D151" s="186" t="str">
        <f>IFERROR(__xludf.DUMMYFUNCTION("""COMPUTED_VALUE"""),"CON-00-136634-3")</f>
        <v>CON-00-136634-3</v>
      </c>
      <c r="E151" s="186" t="str">
        <f>IFERROR(__xludf.DUMMYFUNCTION("""COMPUTED_VALUE"""),"Ratatouille of zucchini and pepper")</f>
        <v>Ratatouille of zucchini and pepper</v>
      </c>
      <c r="F151" s="186" t="str">
        <f>IFERROR(__xludf.DUMMYFUNCTION("""COMPUTED_VALUE"""),"Zucchini-Paprika-Ratatouille")</f>
        <v>Zucchini-Paprika-Ratatouille</v>
      </c>
      <c r="G151" s="186" t="str">
        <f>IFERROR(__xludf.DUMMYFUNCTION("""COMPUTED_VALUE"""),"FE0090C")</f>
        <v>FE0090C</v>
      </c>
      <c r="H151" s="186">
        <f>IFERROR(__xludf.DUMMYFUNCTION("""COMPUTED_VALUE"""),565141.0)</f>
        <v>565141</v>
      </c>
      <c r="I151" s="186"/>
      <c r="J151" s="186">
        <f>IFERROR(__xludf.DUMMYFUNCTION("""COMPUTED_VALUE"""),455.0)</f>
        <v>455</v>
      </c>
      <c r="K151" s="186">
        <f>IFERROR(__xludf.DUMMYFUNCTION("""COMPUTED_VALUE"""),437.0)</f>
        <v>437</v>
      </c>
      <c r="L151" s="186">
        <f>IFERROR(__xludf.DUMMYFUNCTION("""COMPUTED_VALUE"""),433.0)</f>
        <v>433</v>
      </c>
      <c r="M151" s="186">
        <f>IFERROR(__xludf.DUMMYFUNCTION("""COMPUTED_VALUE"""),425.0)</f>
        <v>425</v>
      </c>
      <c r="N151" s="186">
        <f>IFERROR(__xludf.DUMMYFUNCTION("""COMPUTED_VALUE"""),390.0)</f>
        <v>390</v>
      </c>
      <c r="O151" s="186">
        <f>IFERROR(__xludf.DUMMYFUNCTION("""COMPUTED_VALUE"""),421.0)</f>
        <v>421</v>
      </c>
      <c r="P151" s="186">
        <f>IFERROR(__xludf.DUMMYFUNCTION("""COMPUTED_VALUE"""),369.0)</f>
        <v>369</v>
      </c>
      <c r="Q151" s="186">
        <f>IFERROR(__xludf.DUMMYFUNCTION("""COMPUTED_VALUE"""),376.0)</f>
        <v>376</v>
      </c>
      <c r="R151" s="186">
        <f>IFERROR(__xludf.DUMMYFUNCTION("""COMPUTED_VALUE"""),356.0)</f>
        <v>356</v>
      </c>
      <c r="S151" s="189">
        <f>IFERROR(__xludf.DUMMYFUNCTION("""COMPUTED_VALUE"""),337.0)</f>
        <v>337</v>
      </c>
    </row>
    <row r="152">
      <c r="A152" s="186" t="str">
        <f>IFERROR(__xludf.DUMMYFUNCTION("""COMPUTED_VALUE"""),"DE")</f>
        <v>DE</v>
      </c>
      <c r="B152" s="186" t="str">
        <f>IFERROR(__xludf.DUMMYFUNCTION("""COMPUTED_VALUE"""),"W49")</f>
        <v>W49</v>
      </c>
      <c r="C152" s="186">
        <f>IFERROR(__xludf.DUMMYFUNCTION("""COMPUTED_VALUE"""),310.0)</f>
        <v>310</v>
      </c>
      <c r="D152" s="186"/>
      <c r="E152" s="186"/>
      <c r="F152" s="186"/>
      <c r="G152" s="186" t="str">
        <f>IFERROR(__xludf.DUMMYFUNCTION("""COMPUTED_VALUE"""),"FE0031B")</f>
        <v>FE0031B</v>
      </c>
      <c r="H152" s="186"/>
      <c r="I152" s="186"/>
      <c r="J152" s="186">
        <f>IFERROR(__xludf.DUMMYFUNCTION("""COMPUTED_VALUE"""),471.0)</f>
        <v>471</v>
      </c>
      <c r="K152" s="186">
        <f>IFERROR(__xludf.DUMMYFUNCTION("""COMPUTED_VALUE"""),490.0)</f>
        <v>490</v>
      </c>
      <c r="L152" s="186">
        <f>IFERROR(__xludf.DUMMYFUNCTION("""COMPUTED_VALUE"""),454.0)</f>
        <v>454</v>
      </c>
      <c r="M152" s="186">
        <f>IFERROR(__xludf.DUMMYFUNCTION("""COMPUTED_VALUE"""),350.0)</f>
        <v>350</v>
      </c>
      <c r="N152" s="186">
        <f>IFERROR(__xludf.DUMMYFUNCTION("""COMPUTED_VALUE"""),333.0)</f>
        <v>333</v>
      </c>
      <c r="O152" s="186">
        <f>IFERROR(__xludf.DUMMYFUNCTION("""COMPUTED_VALUE"""),392.0)</f>
        <v>392</v>
      </c>
      <c r="P152" s="186">
        <f>IFERROR(__xludf.DUMMYFUNCTION("""COMPUTED_VALUE"""),374.0)</f>
        <v>374</v>
      </c>
      <c r="Q152" s="186">
        <f>IFERROR(__xludf.DUMMYFUNCTION("""COMPUTED_VALUE"""),369.0)</f>
        <v>369</v>
      </c>
      <c r="R152" s="186">
        <f>IFERROR(__xludf.DUMMYFUNCTION("""COMPUTED_VALUE"""),385.0)</f>
        <v>385</v>
      </c>
      <c r="S152" s="186">
        <f>IFERROR(__xludf.DUMMYFUNCTION("""COMPUTED_VALUE"""),370.0)</f>
        <v>370</v>
      </c>
    </row>
    <row r="153">
      <c r="A153" s="186" t="str">
        <f>IFERROR(__xludf.DUMMYFUNCTION("""COMPUTED_VALUE"""),"DE")</f>
        <v>DE</v>
      </c>
      <c r="B153" s="186" t="str">
        <f>IFERROR(__xludf.DUMMYFUNCTION("""COMPUTED_VALUE"""),"W49")</f>
        <v>W49</v>
      </c>
      <c r="C153" s="186">
        <f>IFERROR(__xludf.DUMMYFUNCTION("""COMPUTED_VALUE"""),311.0)</f>
        <v>311</v>
      </c>
      <c r="D153" s="186" t="str">
        <f>IFERROR(__xludf.DUMMYFUNCTION("""COMPUTED_VALUE"""),"CON-00-148373-2")</f>
        <v>CON-00-148373-2</v>
      </c>
      <c r="E153" s="186" t="str">
        <f>IFERROR(__xludf.DUMMYFUNCTION("""COMPUTED_VALUE"""),"Pulled beef &amp; pasta in cheese sauce")</f>
        <v>Pulled beef &amp; pasta in cheese sauce</v>
      </c>
      <c r="F153" s="186" t="str">
        <f>IFERROR(__xludf.DUMMYFUNCTION("""COMPUTED_VALUE"""),"Pulled Beef und Pasta in Käsesauce")</f>
        <v>Pulled Beef und Pasta in Käsesauce</v>
      </c>
      <c r="G153" s="186" t="str">
        <f>IFERROR(__xludf.DUMMYFUNCTION("""COMPUTED_VALUE"""),"FE1345A")</f>
        <v>FE1345A</v>
      </c>
      <c r="H153" s="186">
        <f>IFERROR(__xludf.DUMMYFUNCTION("""COMPUTED_VALUE"""),565158.0)</f>
        <v>565158</v>
      </c>
      <c r="I153" s="186"/>
      <c r="J153" s="186">
        <f>IFERROR(__xludf.DUMMYFUNCTION("""COMPUTED_VALUE"""),754.0)</f>
        <v>754</v>
      </c>
      <c r="K153" s="186">
        <f>IFERROR(__xludf.DUMMYFUNCTION("""COMPUTED_VALUE"""),755.0)</f>
        <v>755</v>
      </c>
      <c r="L153" s="189">
        <f>IFERROR(__xludf.DUMMYFUNCTION("""COMPUTED_VALUE"""),1209.0)</f>
        <v>1209</v>
      </c>
      <c r="M153" s="189">
        <f>IFERROR(__xludf.DUMMYFUNCTION("""COMPUTED_VALUE"""),1146.0)</f>
        <v>1146</v>
      </c>
      <c r="N153" s="189">
        <f>IFERROR(__xludf.DUMMYFUNCTION("""COMPUTED_VALUE"""),1174.0)</f>
        <v>1174</v>
      </c>
      <c r="O153" s="189">
        <f>IFERROR(__xludf.DUMMYFUNCTION("""COMPUTED_VALUE"""),1704.0)</f>
        <v>1704</v>
      </c>
      <c r="P153" s="189">
        <f>IFERROR(__xludf.DUMMYFUNCTION("""COMPUTED_VALUE"""),1124.0)</f>
        <v>1124</v>
      </c>
      <c r="Q153" s="189">
        <f>IFERROR(__xludf.DUMMYFUNCTION("""COMPUTED_VALUE"""),1136.0)</f>
        <v>1136</v>
      </c>
      <c r="R153" s="189">
        <f>IFERROR(__xludf.DUMMYFUNCTION("""COMPUTED_VALUE"""),1115.0)</f>
        <v>1115</v>
      </c>
      <c r="S153" s="189">
        <f>IFERROR(__xludf.DUMMYFUNCTION("""COMPUTED_VALUE"""),1116.0)</f>
        <v>1116</v>
      </c>
    </row>
    <row r="154">
      <c r="A154" s="186" t="str">
        <f>IFERROR(__xludf.DUMMYFUNCTION("""COMPUTED_VALUE"""),"DE")</f>
        <v>DE</v>
      </c>
      <c r="B154" s="186" t="str">
        <f>IFERROR(__xludf.DUMMYFUNCTION("""COMPUTED_VALUE"""),"W49")</f>
        <v>W49</v>
      </c>
      <c r="C154" s="186">
        <f>IFERROR(__xludf.DUMMYFUNCTION("""COMPUTED_VALUE"""),312.0)</f>
        <v>312</v>
      </c>
      <c r="D154" s="186" t="str">
        <f>IFERROR(__xludf.DUMMYFUNCTION("""COMPUTED_VALUE"""),"CON-00-136719-3")</f>
        <v>CON-00-136719-3</v>
      </c>
      <c r="E154" s="186" t="str">
        <f>IFERROR(__xludf.DUMMYFUNCTION("""COMPUTED_VALUE"""),"Salmon on tomato risotto")</f>
        <v>Salmon on tomato risotto</v>
      </c>
      <c r="F154" s="186" t="str">
        <f>IFERROR(__xludf.DUMMYFUNCTION("""COMPUTED_VALUE"""),"Lachs auf Tomatenrisotto")</f>
        <v>Lachs auf Tomatenrisotto</v>
      </c>
      <c r="G154" s="186" t="str">
        <f>IFERROR(__xludf.DUMMYFUNCTION("""COMPUTED_VALUE"""),"FE4044C")</f>
        <v>FE4044C</v>
      </c>
      <c r="H154" s="186">
        <f>IFERROR(__xludf.DUMMYFUNCTION("""COMPUTED_VALUE"""),565104.0)</f>
        <v>565104</v>
      </c>
      <c r="I154" s="186" t="str">
        <f>IFERROR(__xludf.DUMMYFUNCTION("""COMPUTED_VALUE"""),"HF Zalm op tomatenrisotto")</f>
        <v>HF Zalm op tomatenrisotto</v>
      </c>
      <c r="J154" s="189">
        <f>IFERROR(__xludf.DUMMYFUNCTION("""COMPUTED_VALUE"""),1590.0)</f>
        <v>1590</v>
      </c>
      <c r="K154" s="189">
        <f>IFERROR(__xludf.DUMMYFUNCTION("""COMPUTED_VALUE"""),1733.0)</f>
        <v>1733</v>
      </c>
      <c r="L154" s="189">
        <f>IFERROR(__xludf.DUMMYFUNCTION("""COMPUTED_VALUE"""),1528.0)</f>
        <v>1528</v>
      </c>
      <c r="M154" s="189">
        <f>IFERROR(__xludf.DUMMYFUNCTION("""COMPUTED_VALUE"""),1391.0)</f>
        <v>1391</v>
      </c>
      <c r="N154" s="189">
        <f>IFERROR(__xludf.DUMMYFUNCTION("""COMPUTED_VALUE"""),1341.0)</f>
        <v>1341</v>
      </c>
      <c r="O154" s="189">
        <f>IFERROR(__xludf.DUMMYFUNCTION("""COMPUTED_VALUE"""),1436.0)</f>
        <v>1436</v>
      </c>
      <c r="P154" s="189">
        <f>IFERROR(__xludf.DUMMYFUNCTION("""COMPUTED_VALUE"""),1413.0)</f>
        <v>1413</v>
      </c>
      <c r="Q154" s="189">
        <f>IFERROR(__xludf.DUMMYFUNCTION("""COMPUTED_VALUE"""),1412.0)</f>
        <v>1412</v>
      </c>
      <c r="R154" s="189">
        <f>IFERROR(__xludf.DUMMYFUNCTION("""COMPUTED_VALUE"""),1380.0)</f>
        <v>1380</v>
      </c>
      <c r="S154" s="189">
        <f>IFERROR(__xludf.DUMMYFUNCTION("""COMPUTED_VALUE"""),1364.0)</f>
        <v>1364</v>
      </c>
    </row>
    <row r="155">
      <c r="A155" s="186" t="str">
        <f>IFERROR(__xludf.DUMMYFUNCTION("""COMPUTED_VALUE"""),"DE")</f>
        <v>DE</v>
      </c>
      <c r="B155" s="186" t="str">
        <f>IFERROR(__xludf.DUMMYFUNCTION("""COMPUTED_VALUE"""),"W49")</f>
        <v>W49</v>
      </c>
      <c r="C155" s="186">
        <f>IFERROR(__xludf.DUMMYFUNCTION("""COMPUTED_VALUE"""),313.0)</f>
        <v>313</v>
      </c>
      <c r="D155" s="186" t="str">
        <f>IFERROR(__xludf.DUMMYFUNCTION("""COMPUTED_VALUE"""),"CON-00-152024-2")</f>
        <v>CON-00-152024-2</v>
      </c>
      <c r="E155" s="186" t="str">
        <f>IFERROR(__xludf.DUMMYFUNCTION("""COMPUTED_VALUE"""),"Ginger Garlic Grilled Chicken")</f>
        <v>Ginger Garlic Grilled Chicken</v>
      </c>
      <c r="F155" s="186" t="str">
        <f>IFERROR(__xludf.DUMMYFUNCTION("""COMPUTED_VALUE"""),"Gegrilltes Hähnchen in Ingwer-Knoblauch-Marinade")</f>
        <v>Gegrilltes Hähnchen in Ingwer-Knoblauch-Marinade</v>
      </c>
      <c r="G155" s="186" t="str">
        <f>IFERROR(__xludf.DUMMYFUNCTION("""COMPUTED_VALUE"""),"FE4064A")</f>
        <v>FE4064A</v>
      </c>
      <c r="H155" s="186">
        <f>IFERROR(__xludf.DUMMYFUNCTION("""COMPUTED_VALUE"""),565211.0)</f>
        <v>565211</v>
      </c>
      <c r="I155" s="186" t="str">
        <f>IFERROR(__xludf.DUMMYFUNCTION("""COMPUTED_VALUE"""),"HF Gember knoflook kip")</f>
        <v>HF Gember knoflook kip</v>
      </c>
      <c r="J155" s="189">
        <f>IFERROR(__xludf.DUMMYFUNCTION("""COMPUTED_VALUE"""),1718.0)</f>
        <v>1718</v>
      </c>
      <c r="K155" s="189">
        <f>IFERROR(__xludf.DUMMYFUNCTION("""COMPUTED_VALUE"""),1745.0)</f>
        <v>1745</v>
      </c>
      <c r="L155" s="189">
        <f>IFERROR(__xludf.DUMMYFUNCTION("""COMPUTED_VALUE"""),1598.0)</f>
        <v>1598</v>
      </c>
      <c r="M155" s="189">
        <f>IFERROR(__xludf.DUMMYFUNCTION("""COMPUTED_VALUE"""),1674.0)</f>
        <v>1674</v>
      </c>
      <c r="N155" s="189">
        <f>IFERROR(__xludf.DUMMYFUNCTION("""COMPUTED_VALUE"""),1616.0)</f>
        <v>1616</v>
      </c>
      <c r="O155" s="189">
        <f>IFERROR(__xludf.DUMMYFUNCTION("""COMPUTED_VALUE"""),1839.0)</f>
        <v>1839</v>
      </c>
      <c r="P155" s="189">
        <f>IFERROR(__xludf.DUMMYFUNCTION("""COMPUTED_VALUE"""),1598.0)</f>
        <v>1598</v>
      </c>
      <c r="Q155" s="189">
        <f>IFERROR(__xludf.DUMMYFUNCTION("""COMPUTED_VALUE"""),1570.0)</f>
        <v>1570</v>
      </c>
      <c r="R155" s="189">
        <f>IFERROR(__xludf.DUMMYFUNCTION("""COMPUTED_VALUE"""),1549.0)</f>
        <v>1549</v>
      </c>
      <c r="S155" s="189">
        <f>IFERROR(__xludf.DUMMYFUNCTION("""COMPUTED_VALUE"""),1554.0)</f>
        <v>1554</v>
      </c>
    </row>
    <row r="156">
      <c r="A156" s="186" t="str">
        <f>IFERROR(__xludf.DUMMYFUNCTION("""COMPUTED_VALUE"""),"DE")</f>
        <v>DE</v>
      </c>
      <c r="B156" s="186" t="str">
        <f>IFERROR(__xludf.DUMMYFUNCTION("""COMPUTED_VALUE"""),"W49")</f>
        <v>W49</v>
      </c>
      <c r="C156" s="186">
        <f>IFERROR(__xludf.DUMMYFUNCTION("""COMPUTED_VALUE"""),314.0)</f>
        <v>314</v>
      </c>
      <c r="D156" s="186" t="str">
        <f>IFERROR(__xludf.DUMMYFUNCTION("""COMPUTED_VALUE"""),"CON-00-150963-2")</f>
        <v>CON-00-150963-2</v>
      </c>
      <c r="E156" s="186" t="str">
        <f>IFERROR(__xludf.DUMMYFUNCTION("""COMPUTED_VALUE"""),"Bulgogi Shredded Beef Bowl")</f>
        <v>Bulgogi Shredded Beef Bowl</v>
      </c>
      <c r="F156" s="186" t="str">
        <f>IFERROR(__xludf.DUMMYFUNCTION("""COMPUTED_VALUE"""),"Bulgogi-Bowl mit geschmortem Rindfleisch")</f>
        <v>Bulgogi-Bowl mit geschmortem Rindfleisch</v>
      </c>
      <c r="G156" s="186" t="str">
        <f>IFERROR(__xludf.DUMMYFUNCTION("""COMPUTED_VALUE"""),"FE1404A")</f>
        <v>FE1404A</v>
      </c>
      <c r="H156" s="186">
        <f>IFERROR(__xludf.DUMMYFUNCTION("""COMPUTED_VALUE"""),565190.0)</f>
        <v>565190</v>
      </c>
      <c r="I156" s="186" t="str">
        <f>IFERROR(__xludf.DUMMYFUNCTION("""COMPUTED_VALUE"""),"HF Bulgogi pulled beef")</f>
        <v>HF Bulgogi pulled beef</v>
      </c>
      <c r="J156" s="186">
        <f>IFERROR(__xludf.DUMMYFUNCTION("""COMPUTED_VALUE"""),991.0)</f>
        <v>991</v>
      </c>
      <c r="K156" s="186">
        <f>IFERROR(__xludf.DUMMYFUNCTION("""COMPUTED_VALUE"""),985.0)</f>
        <v>985</v>
      </c>
      <c r="L156" s="189">
        <f>IFERROR(__xludf.DUMMYFUNCTION("""COMPUTED_VALUE"""),1038.0)</f>
        <v>1038</v>
      </c>
      <c r="M156" s="189">
        <f>IFERROR(__xludf.DUMMYFUNCTION("""COMPUTED_VALUE"""),937.0)</f>
        <v>937</v>
      </c>
      <c r="N156" s="189">
        <f>IFERROR(__xludf.DUMMYFUNCTION("""COMPUTED_VALUE"""),944.0)</f>
        <v>944</v>
      </c>
      <c r="O156" s="189">
        <f>IFERROR(__xludf.DUMMYFUNCTION("""COMPUTED_VALUE"""),1167.0)</f>
        <v>1167</v>
      </c>
      <c r="P156" s="189">
        <f>IFERROR(__xludf.DUMMYFUNCTION("""COMPUTED_VALUE"""),798.0)</f>
        <v>798</v>
      </c>
      <c r="Q156" s="189">
        <f>IFERROR(__xludf.DUMMYFUNCTION("""COMPUTED_VALUE"""),794.0)</f>
        <v>794</v>
      </c>
      <c r="R156" s="189">
        <f>IFERROR(__xludf.DUMMYFUNCTION("""COMPUTED_VALUE"""),808.0)</f>
        <v>808</v>
      </c>
      <c r="S156" s="189">
        <f>IFERROR(__xludf.DUMMYFUNCTION("""COMPUTED_VALUE"""),783.0)</f>
        <v>783</v>
      </c>
    </row>
    <row r="157">
      <c r="A157" s="186" t="str">
        <f>IFERROR(__xludf.DUMMYFUNCTION("""COMPUTED_VALUE"""),"DE")</f>
        <v>DE</v>
      </c>
      <c r="B157" s="186" t="str">
        <f>IFERROR(__xludf.DUMMYFUNCTION("""COMPUTED_VALUE"""),"W49")</f>
        <v>W49</v>
      </c>
      <c r="C157" s="186">
        <f>IFERROR(__xludf.DUMMYFUNCTION("""COMPUTED_VALUE"""),315.0)</f>
        <v>315</v>
      </c>
      <c r="D157" s="186" t="str">
        <f>IFERROR(__xludf.DUMMYFUNCTION("""COMPUTED_VALUE"""),"CON-00-150601-2")</f>
        <v>CON-00-150601-2</v>
      </c>
      <c r="E157" s="186" t="str">
        <f>IFERROR(__xludf.DUMMYFUNCTION("""COMPUTED_VALUE"""),"Fajita-Style Shredded Beef &amp; Queso")</f>
        <v>Fajita-Style Shredded Beef &amp; Queso</v>
      </c>
      <c r="F157" s="186" t="str">
        <f>IFERROR(__xludf.DUMMYFUNCTION("""COMPUTED_VALUE"""),"Fajita-Rindfleischstreifen mit Käse-Sauce")</f>
        <v>Fajita-Rindfleischstreifen mit Käse-Sauce</v>
      </c>
      <c r="G157" s="186" t="str">
        <f>IFERROR(__xludf.DUMMYFUNCTION("""COMPUTED_VALUE"""),"FE1506A")</f>
        <v>FE1506A</v>
      </c>
      <c r="H157" s="186">
        <f>IFERROR(__xludf.DUMMYFUNCTION("""COMPUTED_VALUE"""),565176.0)</f>
        <v>565176</v>
      </c>
      <c r="I157" s="186" t="str">
        <f>IFERROR(__xludf.DUMMYFUNCTION("""COMPUTED_VALUE"""),"HF Fajita style pulled beef")</f>
        <v>HF Fajita style pulled beef</v>
      </c>
      <c r="J157" s="186">
        <f>IFERROR(__xludf.DUMMYFUNCTION("""COMPUTED_VALUE"""),672.0)</f>
        <v>672</v>
      </c>
      <c r="K157" s="186">
        <f>IFERROR(__xludf.DUMMYFUNCTION("""COMPUTED_VALUE"""),730.0)</f>
        <v>730</v>
      </c>
      <c r="L157" s="186">
        <f>IFERROR(__xludf.DUMMYFUNCTION("""COMPUTED_VALUE"""),864.0)</f>
        <v>864</v>
      </c>
      <c r="M157" s="186">
        <f>IFERROR(__xludf.DUMMYFUNCTION("""COMPUTED_VALUE"""),695.0)</f>
        <v>695</v>
      </c>
      <c r="N157" s="186">
        <f>IFERROR(__xludf.DUMMYFUNCTION("""COMPUTED_VALUE"""),714.0)</f>
        <v>714</v>
      </c>
      <c r="O157" s="189">
        <f>IFERROR(__xludf.DUMMYFUNCTION("""COMPUTED_VALUE"""),1015.0)</f>
        <v>1015</v>
      </c>
      <c r="P157" s="186">
        <f>IFERROR(__xludf.DUMMYFUNCTION("""COMPUTED_VALUE"""),661.0)</f>
        <v>661</v>
      </c>
      <c r="Q157" s="186">
        <f>IFERROR(__xludf.DUMMYFUNCTION("""COMPUTED_VALUE"""),659.0)</f>
        <v>659</v>
      </c>
      <c r="R157" s="186">
        <f>IFERROR(__xludf.DUMMYFUNCTION("""COMPUTED_VALUE"""),651.0)</f>
        <v>651</v>
      </c>
      <c r="S157" s="189">
        <f>IFERROR(__xludf.DUMMYFUNCTION("""COMPUTED_VALUE"""),635.0)</f>
        <v>635</v>
      </c>
    </row>
    <row r="158">
      <c r="A158" s="186" t="str">
        <f>IFERROR(__xludf.DUMMYFUNCTION("""COMPUTED_VALUE"""),"DE")</f>
        <v>DE</v>
      </c>
      <c r="B158" s="186" t="str">
        <f>IFERROR(__xludf.DUMMYFUNCTION("""COMPUTED_VALUE"""),"W49")</f>
        <v>W49</v>
      </c>
      <c r="C158" s="186">
        <f>IFERROR(__xludf.DUMMYFUNCTION("""COMPUTED_VALUE"""),316.0)</f>
        <v>316</v>
      </c>
      <c r="D158" s="186" t="str">
        <f>IFERROR(__xludf.DUMMYFUNCTION("""COMPUTED_VALUE"""),"CON-00-136673-3")</f>
        <v>CON-00-136673-3</v>
      </c>
      <c r="E158" s="186" t="str">
        <f>IFERROR(__xludf.DUMMYFUNCTION("""COMPUTED_VALUE"""),"Chicken in tomato cream sauce")</f>
        <v>Chicken in tomato cream sauce</v>
      </c>
      <c r="F158" s="186" t="str">
        <f>IFERROR(__xludf.DUMMYFUNCTION("""COMPUTED_VALUE"""),"Hähnchen in Tomatencreme")</f>
        <v>Hähnchen in Tomatencreme</v>
      </c>
      <c r="G158" s="186" t="str">
        <f>IFERROR(__xludf.DUMMYFUNCTION("""COMPUTED_VALUE"""),"FE0024E")</f>
        <v>FE0024E</v>
      </c>
      <c r="H158" s="186">
        <f>IFERROR(__xludf.DUMMYFUNCTION("""COMPUTED_VALUE"""),565150.0)</f>
        <v>565150</v>
      </c>
      <c r="I158" s="186" t="str">
        <f>IFERROR(__xludf.DUMMYFUNCTION("""COMPUTED_VALUE"""),"HF RW Kipfilet in tom-roomsaus")</f>
        <v>HF RW Kipfilet in tom-roomsaus</v>
      </c>
      <c r="J158" s="186">
        <f>IFERROR(__xludf.DUMMYFUNCTION("""COMPUTED_VALUE"""),822.0)</f>
        <v>822</v>
      </c>
      <c r="K158" s="186">
        <f>IFERROR(__xludf.DUMMYFUNCTION("""COMPUTED_VALUE"""),801.0)</f>
        <v>801</v>
      </c>
      <c r="L158" s="186">
        <f>IFERROR(__xludf.DUMMYFUNCTION("""COMPUTED_VALUE"""),819.0)</f>
        <v>819</v>
      </c>
      <c r="M158" s="186">
        <f>IFERROR(__xludf.DUMMYFUNCTION("""COMPUTED_VALUE"""),963.0)</f>
        <v>963</v>
      </c>
      <c r="N158" s="186">
        <f>IFERROR(__xludf.DUMMYFUNCTION("""COMPUTED_VALUE"""),920.0)</f>
        <v>920</v>
      </c>
      <c r="O158" s="189">
        <f>IFERROR(__xludf.DUMMYFUNCTION("""COMPUTED_VALUE"""),1298.0)</f>
        <v>1298</v>
      </c>
      <c r="P158" s="186">
        <f>IFERROR(__xludf.DUMMYFUNCTION("""COMPUTED_VALUE"""),863.0)</f>
        <v>863</v>
      </c>
      <c r="Q158" s="186">
        <f>IFERROR(__xludf.DUMMYFUNCTION("""COMPUTED_VALUE"""),847.0)</f>
        <v>847</v>
      </c>
      <c r="R158" s="186">
        <f>IFERROR(__xludf.DUMMYFUNCTION("""COMPUTED_VALUE"""),808.0)</f>
        <v>808</v>
      </c>
      <c r="S158" s="189">
        <f>IFERROR(__xludf.DUMMYFUNCTION("""COMPUTED_VALUE"""),809.0)</f>
        <v>809</v>
      </c>
    </row>
    <row r="159">
      <c r="A159" s="186" t="str">
        <f>IFERROR(__xludf.DUMMYFUNCTION("""COMPUTED_VALUE"""),"DE")</f>
        <v>DE</v>
      </c>
      <c r="B159" s="186" t="str">
        <f>IFERROR(__xludf.DUMMYFUNCTION("""COMPUTED_VALUE"""),"W49")</f>
        <v>W49</v>
      </c>
      <c r="C159" s="186">
        <f>IFERROR(__xludf.DUMMYFUNCTION("""COMPUTED_VALUE"""),317.0)</f>
        <v>317</v>
      </c>
      <c r="D159" s="186" t="str">
        <f>IFERROR(__xludf.DUMMYFUNCTION("""COMPUTED_VALUE"""),"CON-00-136637-3")</f>
        <v>CON-00-136637-3</v>
      </c>
      <c r="E159" s="186" t="str">
        <f>IFERROR(__xludf.DUMMYFUNCTION("""COMPUTED_VALUE"""),"Pork tenderloin in creamy garlic-mustard sauce")</f>
        <v>Pork tenderloin in creamy garlic-mustard sauce</v>
      </c>
      <c r="F159" s="186" t="str">
        <f>IFERROR(__xludf.DUMMYFUNCTION("""COMPUTED_VALUE"""),"Schweinefilet in cremiger Knoblauch-Senf-Sauce")</f>
        <v>Schweinefilet in cremiger Knoblauch-Senf-Sauce</v>
      </c>
      <c r="G159" s="186" t="str">
        <f>IFERROR(__xludf.DUMMYFUNCTION("""COMPUTED_VALUE"""),"FE0169H")</f>
        <v>FE0169H</v>
      </c>
      <c r="H159" s="186">
        <f>IFERROR(__xludf.DUMMYFUNCTION("""COMPUTED_VALUE"""),565143.0)</f>
        <v>565143</v>
      </c>
      <c r="I159" s="186" t="str">
        <f>IFERROR(__xludf.DUMMYFUNCTION("""COMPUTED_VALUE"""),"Varkenshaas in romige knoflook-mosterdsaus")</f>
        <v>Varkenshaas in romige knoflook-mosterdsaus</v>
      </c>
      <c r="J159" s="186">
        <f>IFERROR(__xludf.DUMMYFUNCTION("""COMPUTED_VALUE"""),562.0)</f>
        <v>562</v>
      </c>
      <c r="K159" s="186">
        <f>IFERROR(__xludf.DUMMYFUNCTION("""COMPUTED_VALUE"""),610.0)</f>
        <v>610</v>
      </c>
      <c r="L159" s="189">
        <f>IFERROR(__xludf.DUMMYFUNCTION("""COMPUTED_VALUE"""),552.0)</f>
        <v>552</v>
      </c>
      <c r="M159" s="189">
        <f>IFERROR(__xludf.DUMMYFUNCTION("""COMPUTED_VALUE"""),457.0)</f>
        <v>457</v>
      </c>
      <c r="N159" s="189">
        <f>IFERROR(__xludf.DUMMYFUNCTION("""COMPUTED_VALUE"""),450.0)</f>
        <v>450</v>
      </c>
      <c r="O159" s="189">
        <f>IFERROR(__xludf.DUMMYFUNCTION("""COMPUTED_VALUE"""),745.0)</f>
        <v>745</v>
      </c>
      <c r="P159" s="189">
        <f>IFERROR(__xludf.DUMMYFUNCTION("""COMPUTED_VALUE"""),518.0)</f>
        <v>518</v>
      </c>
      <c r="Q159" s="189">
        <f>IFERROR(__xludf.DUMMYFUNCTION("""COMPUTED_VALUE"""),526.0)</f>
        <v>526</v>
      </c>
      <c r="R159" s="189">
        <f>IFERROR(__xludf.DUMMYFUNCTION("""COMPUTED_VALUE"""),510.0)</f>
        <v>510</v>
      </c>
      <c r="S159" s="189">
        <f>IFERROR(__xludf.DUMMYFUNCTION("""COMPUTED_VALUE"""),513.0)</f>
        <v>513</v>
      </c>
    </row>
    <row r="160">
      <c r="A160" s="186" t="str">
        <f>IFERROR(__xludf.DUMMYFUNCTION("""COMPUTED_VALUE"""),"DE")</f>
        <v>DE</v>
      </c>
      <c r="B160" s="186" t="str">
        <f>IFERROR(__xludf.DUMMYFUNCTION("""COMPUTED_VALUE"""),"W49")</f>
        <v>W49</v>
      </c>
      <c r="C160" s="186">
        <f>IFERROR(__xludf.DUMMYFUNCTION("""COMPUTED_VALUE"""),318.0)</f>
        <v>318</v>
      </c>
      <c r="D160" s="186"/>
      <c r="E160" s="186"/>
      <c r="F160" s="186"/>
      <c r="G160" s="186" t="str">
        <f>IFERROR(__xludf.DUMMYFUNCTION("""COMPUTED_VALUE"""),"FE4048A")</f>
        <v>FE4048A</v>
      </c>
      <c r="H160" s="186"/>
      <c r="I160" s="186"/>
      <c r="J160" s="186">
        <f>IFERROR(__xludf.DUMMYFUNCTION("""COMPUTED_VALUE"""),570.0)</f>
        <v>570</v>
      </c>
      <c r="K160" s="186">
        <f>IFERROR(__xludf.DUMMYFUNCTION("""COMPUTED_VALUE"""),584.0)</f>
        <v>584</v>
      </c>
      <c r="L160" s="186">
        <f>IFERROR(__xludf.DUMMYFUNCTION("""COMPUTED_VALUE"""),443.0)</f>
        <v>443</v>
      </c>
      <c r="M160" s="186">
        <f>IFERROR(__xludf.DUMMYFUNCTION("""COMPUTED_VALUE"""),524.0)</f>
        <v>524</v>
      </c>
      <c r="N160" s="186">
        <f>IFERROR(__xludf.DUMMYFUNCTION("""COMPUTED_VALUE"""),478.0)</f>
        <v>478</v>
      </c>
      <c r="O160" s="186">
        <f>IFERROR(__xludf.DUMMYFUNCTION("""COMPUTED_VALUE"""),683.0)</f>
        <v>683</v>
      </c>
      <c r="P160" s="186">
        <f>IFERROR(__xludf.DUMMYFUNCTION("""COMPUTED_VALUE"""),478.0)</f>
        <v>478</v>
      </c>
      <c r="Q160" s="186">
        <f>IFERROR(__xludf.DUMMYFUNCTION("""COMPUTED_VALUE"""),464.0)</f>
        <v>464</v>
      </c>
      <c r="R160" s="186">
        <f>IFERROR(__xludf.DUMMYFUNCTION("""COMPUTED_VALUE"""),452.0)</f>
        <v>452</v>
      </c>
      <c r="S160" s="189">
        <f>IFERROR(__xludf.DUMMYFUNCTION("""COMPUTED_VALUE"""),444.0)</f>
        <v>444</v>
      </c>
    </row>
    <row r="161">
      <c r="A161" s="186" t="str">
        <f>IFERROR(__xludf.DUMMYFUNCTION("""COMPUTED_VALUE"""),"DE")</f>
        <v>DE</v>
      </c>
      <c r="B161" s="186" t="str">
        <f>IFERROR(__xludf.DUMMYFUNCTION("""COMPUTED_VALUE"""),"W49")</f>
        <v>W49</v>
      </c>
      <c r="C161" s="186">
        <f>IFERROR(__xludf.DUMMYFUNCTION("""COMPUTED_VALUE"""),806.0)</f>
        <v>806</v>
      </c>
      <c r="D161" s="186" t="str">
        <f>IFERROR(__xludf.DUMMYFUNCTION("""COMPUTED_VALUE"""),"PTN-00-136930-3")</f>
        <v>PTN-00-136930-3</v>
      </c>
      <c r="E161" s="186" t="str">
        <f>IFERROR(__xludf.DUMMYFUNCTION("""COMPUTED_VALUE"""),"Garlic Herb Grilled Chicken")</f>
        <v>Garlic Herb Grilled Chicken</v>
      </c>
      <c r="F161" s="186" t="str">
        <f>IFERROR(__xludf.DUMMYFUNCTION("""COMPUTED_VALUE"""),"Gegrilltes Hähnchen mit Knoblauch-Kräutern")</f>
        <v>Gegrilltes Hähnchen mit Knoblauch-Kräutern</v>
      </c>
      <c r="G161" s="186" t="str">
        <f>IFERROR(__xludf.DUMMYFUNCTION("""COMPUTED_VALUE"""),"FEA006A")</f>
        <v>FEA006A</v>
      </c>
      <c r="H161" s="186">
        <f>IFERROR(__xludf.DUMMYFUNCTION("""COMPUTED_VALUE"""),565119.0)</f>
        <v>565119</v>
      </c>
      <c r="I161" s="186"/>
      <c r="J161" s="186">
        <f>IFERROR(__xludf.DUMMYFUNCTION("""COMPUTED_VALUE"""),79.0)</f>
        <v>79</v>
      </c>
      <c r="K161" s="186">
        <f>IFERROR(__xludf.DUMMYFUNCTION("""COMPUTED_VALUE"""),79.0)</f>
        <v>79</v>
      </c>
      <c r="L161" s="186">
        <f>IFERROR(__xludf.DUMMYFUNCTION("""COMPUTED_VALUE"""),79.0)</f>
        <v>79</v>
      </c>
      <c r="M161" s="186">
        <f>IFERROR(__xludf.DUMMYFUNCTION("""COMPUTED_VALUE"""),79.0)</f>
        <v>79</v>
      </c>
      <c r="N161" s="186">
        <f>IFERROR(__xludf.DUMMYFUNCTION("""COMPUTED_VALUE"""),79.0)</f>
        <v>79</v>
      </c>
      <c r="O161" s="186">
        <f>IFERROR(__xludf.DUMMYFUNCTION("""COMPUTED_VALUE"""),79.0)</f>
        <v>79</v>
      </c>
      <c r="P161" s="186">
        <f>IFERROR(__xludf.DUMMYFUNCTION("""COMPUTED_VALUE"""),79.0)</f>
        <v>79</v>
      </c>
      <c r="Q161" s="186">
        <f>IFERROR(__xludf.DUMMYFUNCTION("""COMPUTED_VALUE"""),79.0)</f>
        <v>79</v>
      </c>
      <c r="R161" s="186">
        <f>IFERROR(__xludf.DUMMYFUNCTION("""COMPUTED_VALUE"""),50.0)</f>
        <v>50</v>
      </c>
      <c r="S161" s="189">
        <f>IFERROR(__xludf.DUMMYFUNCTION("""COMPUTED_VALUE"""),43.0)</f>
        <v>43</v>
      </c>
    </row>
    <row r="162">
      <c r="A162" s="186" t="str">
        <f>IFERROR(__xludf.DUMMYFUNCTION("""COMPUTED_VALUE"""),"DE")</f>
        <v>DE</v>
      </c>
      <c r="B162" s="186" t="str">
        <f>IFERROR(__xludf.DUMMYFUNCTION("""COMPUTED_VALUE"""),"W49")</f>
        <v>W49</v>
      </c>
      <c r="C162" s="186"/>
      <c r="D162" s="186"/>
      <c r="E162" s="186"/>
      <c r="F162" s="186"/>
      <c r="G162" s="186"/>
      <c r="H162" s="186"/>
      <c r="I162" s="186"/>
      <c r="J162" s="189">
        <f>IFERROR(__xludf.DUMMYFUNCTION("""COMPUTED_VALUE"""),27762.0)</f>
        <v>27762</v>
      </c>
      <c r="K162" s="189">
        <f>IFERROR(__xludf.DUMMYFUNCTION("""COMPUTED_VALUE"""),27917.0)</f>
        <v>27917</v>
      </c>
      <c r="L162" s="189">
        <f>IFERROR(__xludf.DUMMYFUNCTION("""COMPUTED_VALUE"""),27788.0)</f>
        <v>27788</v>
      </c>
      <c r="M162" s="189">
        <f>IFERROR(__xludf.DUMMYFUNCTION("""COMPUTED_VALUE"""),26145.0)</f>
        <v>26145</v>
      </c>
      <c r="N162" s="189">
        <f>IFERROR(__xludf.DUMMYFUNCTION("""COMPUTED_VALUE"""),25426.0)</f>
        <v>25426</v>
      </c>
      <c r="O162" s="189">
        <f>IFERROR(__xludf.DUMMYFUNCTION("""COMPUTED_VALUE"""),25764.0)</f>
        <v>25764</v>
      </c>
      <c r="P162" s="189">
        <f>IFERROR(__xludf.DUMMYFUNCTION("""COMPUTED_VALUE"""),25683.0)</f>
        <v>25683</v>
      </c>
      <c r="Q162" s="189">
        <f>IFERROR(__xludf.DUMMYFUNCTION("""COMPUTED_VALUE"""),25496.0)</f>
        <v>25496</v>
      </c>
      <c r="R162" s="189">
        <f>IFERROR(__xludf.DUMMYFUNCTION("""COMPUTED_VALUE"""),25079.0)</f>
        <v>25079</v>
      </c>
      <c r="S162" s="189">
        <f>IFERROR(__xludf.DUMMYFUNCTION("""COMPUTED_VALUE"""),24680.0)</f>
        <v>24680</v>
      </c>
    </row>
    <row r="163">
      <c r="A163" s="186" t="str">
        <f>IFERROR(__xludf.DUMMYFUNCTION("""COMPUTED_VALUE"""),"NORDICS")</f>
        <v>NORDICS</v>
      </c>
      <c r="B163" s="186" t="str">
        <f>IFERROR(__xludf.DUMMYFUNCTION("""COMPUTED_VALUE"""),"W50")</f>
        <v>W50</v>
      </c>
      <c r="C163" s="186">
        <f>IFERROR(__xludf.DUMMYFUNCTION("""COMPUTED_VALUE"""),301.0)</f>
        <v>301</v>
      </c>
      <c r="D163" s="186" t="str">
        <f>IFERROR(__xludf.DUMMYFUNCTION("""COMPUTED_VALUE"""),"CON-00-147840-2")</f>
        <v>CON-00-147840-2</v>
      </c>
      <c r="E163" s="186" t="str">
        <f>IFERROR(__xludf.DUMMYFUNCTION("""COMPUTED_VALUE"""),"Grilled chicken fillet and potato leek mash")</f>
        <v>Grilled chicken fillet and potato leek mash</v>
      </c>
      <c r="F163" s="186" t="str">
        <f>IFERROR(__xludf.DUMMYFUNCTION("""COMPUTED_VALUE"""),"Grillet kyllingefilet og kartoffel-porremos")</f>
        <v>Grillet kyllingefilet og kartoffel-porremos</v>
      </c>
      <c r="G163" s="186" t="str">
        <f>IFERROR(__xludf.DUMMYFUNCTION("""COMPUTED_VALUE"""),"FE0426B")</f>
        <v>FE0426B</v>
      </c>
      <c r="H163" s="186">
        <f>IFERROR(__xludf.DUMMYFUNCTION("""COMPUTED_VALUE"""),565035.0)</f>
        <v>565035</v>
      </c>
      <c r="I163" s="186" t="str">
        <f>IFERROR(__xludf.DUMMYFUNCTION("""COMPUTED_VALUE"""),"HF Puree van aardappel en prei met gegrilde kip 416g")</f>
        <v>HF Puree van aardappel en prei met gegrilde kip 416g</v>
      </c>
      <c r="J163" s="189">
        <f>IFERROR(__xludf.DUMMYFUNCTION("""COMPUTED_VALUE"""),3229.0)</f>
        <v>3229</v>
      </c>
      <c r="K163" s="189">
        <f>IFERROR(__xludf.DUMMYFUNCTION("""COMPUTED_VALUE"""),3322.0)</f>
        <v>3322</v>
      </c>
      <c r="L163" s="189">
        <f>IFERROR(__xludf.DUMMYFUNCTION("""COMPUTED_VALUE"""),3271.0)</f>
        <v>3271</v>
      </c>
      <c r="M163" s="189">
        <f>IFERROR(__xludf.DUMMYFUNCTION("""COMPUTED_VALUE"""),3564.0)</f>
        <v>3564</v>
      </c>
      <c r="N163" s="189">
        <f>IFERROR(__xludf.DUMMYFUNCTION("""COMPUTED_VALUE"""),3434.0)</f>
        <v>3434</v>
      </c>
      <c r="O163" s="189">
        <f>IFERROR(__xludf.DUMMYFUNCTION("""COMPUTED_VALUE"""),3377.0)</f>
        <v>3377</v>
      </c>
      <c r="P163" s="189">
        <f>IFERROR(__xludf.DUMMYFUNCTION("""COMPUTED_VALUE"""),3305.0)</f>
        <v>3305</v>
      </c>
      <c r="Q163" s="189">
        <f>IFERROR(__xludf.DUMMYFUNCTION("""COMPUTED_VALUE"""),3280.0)</f>
        <v>3280</v>
      </c>
      <c r="R163" s="189">
        <f>IFERROR(__xludf.DUMMYFUNCTION("""COMPUTED_VALUE"""),3286.0)</f>
        <v>3286</v>
      </c>
      <c r="S163" s="189">
        <f>IFERROR(__xludf.DUMMYFUNCTION("""COMPUTED_VALUE"""),3144.0)</f>
        <v>3144</v>
      </c>
    </row>
    <row r="164">
      <c r="A164" s="186" t="str">
        <f>IFERROR(__xludf.DUMMYFUNCTION("""COMPUTED_VALUE"""),"NORDICS")</f>
        <v>NORDICS</v>
      </c>
      <c r="B164" s="186" t="str">
        <f>IFERROR(__xludf.DUMMYFUNCTION("""COMPUTED_VALUE"""),"W50")</f>
        <v>W50</v>
      </c>
      <c r="C164" s="186">
        <f>IFERROR(__xludf.DUMMYFUNCTION("""COMPUTED_VALUE"""),302.0)</f>
        <v>302</v>
      </c>
      <c r="D164" s="186"/>
      <c r="E164" s="186"/>
      <c r="F164" s="186"/>
      <c r="G164" s="186" t="str">
        <f>IFERROR(__xludf.DUMMYFUNCTION("""COMPUTED_VALUE"""),"FE4001B")</f>
        <v>FE4001B</v>
      </c>
      <c r="H164" s="186"/>
      <c r="I164" s="186"/>
      <c r="J164" s="189">
        <f>IFERROR(__xludf.DUMMYFUNCTION("""COMPUTED_VALUE"""),2365.0)</f>
        <v>2365</v>
      </c>
      <c r="K164" s="189">
        <f>IFERROR(__xludf.DUMMYFUNCTION("""COMPUTED_VALUE"""),2280.0)</f>
        <v>2280</v>
      </c>
      <c r="L164" s="189">
        <f>IFERROR(__xludf.DUMMYFUNCTION("""COMPUTED_VALUE"""),2442.0)</f>
        <v>2442</v>
      </c>
      <c r="M164" s="189">
        <f>IFERROR(__xludf.DUMMYFUNCTION("""COMPUTED_VALUE"""),1965.0)</f>
        <v>1965</v>
      </c>
      <c r="N164" s="189">
        <f>IFERROR(__xludf.DUMMYFUNCTION("""COMPUTED_VALUE"""),1936.0)</f>
        <v>1936</v>
      </c>
      <c r="O164" s="189">
        <f>IFERROR(__xludf.DUMMYFUNCTION("""COMPUTED_VALUE"""),1930.0)</f>
        <v>1930</v>
      </c>
      <c r="P164" s="189">
        <f>IFERROR(__xludf.DUMMYFUNCTION("""COMPUTED_VALUE"""),1897.0)</f>
        <v>1897</v>
      </c>
      <c r="Q164" s="189">
        <f>IFERROR(__xludf.DUMMYFUNCTION("""COMPUTED_VALUE"""),1895.0)</f>
        <v>1895</v>
      </c>
      <c r="R164" s="189">
        <f>IFERROR(__xludf.DUMMYFUNCTION("""COMPUTED_VALUE"""),1864.0)</f>
        <v>1864</v>
      </c>
      <c r="S164" s="189">
        <f>IFERROR(__xludf.DUMMYFUNCTION("""COMPUTED_VALUE"""),1766.0)</f>
        <v>1766</v>
      </c>
    </row>
    <row r="165">
      <c r="A165" s="186" t="str">
        <f>IFERROR(__xludf.DUMMYFUNCTION("""COMPUTED_VALUE"""),"NORDICS")</f>
        <v>NORDICS</v>
      </c>
      <c r="B165" s="186" t="str">
        <f>IFERROR(__xludf.DUMMYFUNCTION("""COMPUTED_VALUE"""),"W50")</f>
        <v>W50</v>
      </c>
      <c r="C165" s="186">
        <f>IFERROR(__xludf.DUMMYFUNCTION("""COMPUTED_VALUE"""),303.0)</f>
        <v>303</v>
      </c>
      <c r="D165" s="186" t="str">
        <f>IFERROR(__xludf.DUMMYFUNCTION("""COMPUTED_VALUE"""),"CON-00-147857-2")</f>
        <v>CON-00-147857-2</v>
      </c>
      <c r="E165" s="186" t="str">
        <f>IFERROR(__xludf.DUMMYFUNCTION("""COMPUTED_VALUE"""),"Spicy ground beef with jalapenos")</f>
        <v>Spicy ground beef with jalapenos</v>
      </c>
      <c r="F165" s="186" t="str">
        <f>IFERROR(__xludf.DUMMYFUNCTION("""COMPUTED_VALUE"""),"Krydret hakket oksekød med jalapenos")</f>
        <v>Krydret hakket oksekød med jalapenos</v>
      </c>
      <c r="G165" s="186" t="str">
        <f>IFERROR(__xludf.DUMMYFUNCTION("""COMPUTED_VALUE"""),"FE0746A")</f>
        <v>FE0746A</v>
      </c>
      <c r="H165" s="186">
        <f>IFERROR(__xludf.DUMMYFUNCTION("""COMPUTED_VALUE"""),565091.0)</f>
        <v>565091</v>
      </c>
      <c r="I165" s="186" t="str">
        <f>IFERROR(__xludf.DUMMYFUNCTION("""COMPUTED_VALUE"""),"HF Beef burrito bowl")</f>
        <v>HF Beef burrito bowl</v>
      </c>
      <c r="J165" s="189">
        <f>IFERROR(__xludf.DUMMYFUNCTION("""COMPUTED_VALUE"""),2274.0)</f>
        <v>2274</v>
      </c>
      <c r="K165" s="189">
        <f>IFERROR(__xludf.DUMMYFUNCTION("""COMPUTED_VALUE"""),2246.0)</f>
        <v>2246</v>
      </c>
      <c r="L165" s="189">
        <f>IFERROR(__xludf.DUMMYFUNCTION("""COMPUTED_VALUE"""),2101.0)</f>
        <v>2101</v>
      </c>
      <c r="M165" s="189">
        <f>IFERROR(__xludf.DUMMYFUNCTION("""COMPUTED_VALUE"""),1841.0)</f>
        <v>1841</v>
      </c>
      <c r="N165" s="189">
        <f>IFERROR(__xludf.DUMMYFUNCTION("""COMPUTED_VALUE"""),1862.0)</f>
        <v>1862</v>
      </c>
      <c r="O165" s="189">
        <f>IFERROR(__xludf.DUMMYFUNCTION("""COMPUTED_VALUE"""),1875.0)</f>
        <v>1875</v>
      </c>
      <c r="P165" s="189">
        <f>IFERROR(__xludf.DUMMYFUNCTION("""COMPUTED_VALUE"""),1833.0)</f>
        <v>1833</v>
      </c>
      <c r="Q165" s="189">
        <f>IFERROR(__xludf.DUMMYFUNCTION("""COMPUTED_VALUE"""),1833.0)</f>
        <v>1833</v>
      </c>
      <c r="R165" s="189">
        <f>IFERROR(__xludf.DUMMYFUNCTION("""COMPUTED_VALUE"""),1797.0)</f>
        <v>1797</v>
      </c>
      <c r="S165" s="189">
        <f>IFERROR(__xludf.DUMMYFUNCTION("""COMPUTED_VALUE"""),1712.0)</f>
        <v>1712</v>
      </c>
    </row>
    <row r="166">
      <c r="A166" s="186" t="str">
        <f>IFERROR(__xludf.DUMMYFUNCTION("""COMPUTED_VALUE"""),"NORDICS")</f>
        <v>NORDICS</v>
      </c>
      <c r="B166" s="186" t="str">
        <f>IFERROR(__xludf.DUMMYFUNCTION("""COMPUTED_VALUE"""),"W50")</f>
        <v>W50</v>
      </c>
      <c r="C166" s="186">
        <f>IFERROR(__xludf.DUMMYFUNCTION("""COMPUTED_VALUE"""),304.0)</f>
        <v>304</v>
      </c>
      <c r="D166" s="186" t="str">
        <f>IFERROR(__xludf.DUMMYFUNCTION("""COMPUTED_VALUE"""),"CON-00-147884-2")</f>
        <v>CON-00-147884-2</v>
      </c>
      <c r="E166" s="186" t="str">
        <f>IFERROR(__xludf.DUMMYFUNCTION("""COMPUTED_VALUE"""),"Chicken in chive cream sauce")</f>
        <v>Chicken in chive cream sauce</v>
      </c>
      <c r="F166" s="186" t="str">
        <f>IFERROR(__xludf.DUMMYFUNCTION("""COMPUTED_VALUE"""),"Kylling i purløg-flødesauce")</f>
        <v>Kylling i purløg-flødesauce</v>
      </c>
      <c r="G166" s="186" t="str">
        <f>IFERROR(__xludf.DUMMYFUNCTION("""COMPUTED_VALUE"""),"FE4023B")</f>
        <v>FE4023B</v>
      </c>
      <c r="H166" s="186">
        <f>IFERROR(__xludf.DUMMYFUNCTION("""COMPUTED_VALUE"""),565161.0)</f>
        <v>565161</v>
      </c>
      <c r="I166" s="186" t="str">
        <f>IFERROR(__xludf.DUMMYFUNCTION("""COMPUTED_VALUE"""),"HF RW Kipf in bieslookroomsaus")</f>
        <v>HF RW Kipf in bieslookroomsaus</v>
      </c>
      <c r="J166" s="189">
        <f>IFERROR(__xludf.DUMMYFUNCTION("""COMPUTED_VALUE"""),3220.0)</f>
        <v>3220</v>
      </c>
      <c r="K166" s="189">
        <f>IFERROR(__xludf.DUMMYFUNCTION("""COMPUTED_VALUE"""),3243.0)</f>
        <v>3243</v>
      </c>
      <c r="L166" s="189">
        <f>IFERROR(__xludf.DUMMYFUNCTION("""COMPUTED_VALUE"""),2676.0)</f>
        <v>2676</v>
      </c>
      <c r="M166" s="189">
        <f>IFERROR(__xludf.DUMMYFUNCTION("""COMPUTED_VALUE"""),2792.0)</f>
        <v>2792</v>
      </c>
      <c r="N166" s="189">
        <f>IFERROR(__xludf.DUMMYFUNCTION("""COMPUTED_VALUE"""),2748.0)</f>
        <v>2748</v>
      </c>
      <c r="O166" s="189">
        <f>IFERROR(__xludf.DUMMYFUNCTION("""COMPUTED_VALUE"""),2759.0)</f>
        <v>2759</v>
      </c>
      <c r="P166" s="189">
        <f>IFERROR(__xludf.DUMMYFUNCTION("""COMPUTED_VALUE"""),2722.0)</f>
        <v>2722</v>
      </c>
      <c r="Q166" s="189">
        <f>IFERROR(__xludf.DUMMYFUNCTION("""COMPUTED_VALUE"""),2721.0)</f>
        <v>2721</v>
      </c>
      <c r="R166" s="189">
        <f>IFERROR(__xludf.DUMMYFUNCTION("""COMPUTED_VALUE"""),2630.0)</f>
        <v>2630</v>
      </c>
      <c r="S166" s="189">
        <f>IFERROR(__xludf.DUMMYFUNCTION("""COMPUTED_VALUE"""),2506.0)</f>
        <v>2506</v>
      </c>
    </row>
    <row r="167">
      <c r="A167" s="186" t="str">
        <f>IFERROR(__xludf.DUMMYFUNCTION("""COMPUTED_VALUE"""),"NORDICS")</f>
        <v>NORDICS</v>
      </c>
      <c r="B167" s="186" t="str">
        <f>IFERROR(__xludf.DUMMYFUNCTION("""COMPUTED_VALUE"""),"W50")</f>
        <v>W50</v>
      </c>
      <c r="C167" s="186">
        <f>IFERROR(__xludf.DUMMYFUNCTION("""COMPUTED_VALUE"""),305.0)</f>
        <v>305</v>
      </c>
      <c r="D167" s="186" t="str">
        <f>IFERROR(__xludf.DUMMYFUNCTION("""COMPUTED_VALUE"""),"CON-00-147877-2")</f>
        <v>CON-00-147877-2</v>
      </c>
      <c r="E167" s="186" t="str">
        <f>IFERROR(__xludf.DUMMYFUNCTION("""COMPUTED_VALUE"""),"Creamy basil risotto with chicken")</f>
        <v>Creamy basil risotto with chicken</v>
      </c>
      <c r="F167" s="186" t="str">
        <f>IFERROR(__xludf.DUMMYFUNCTION("""COMPUTED_VALUE"""),"Cremet basilikumrisotto med kylling")</f>
        <v>Cremet basilikumrisotto med kylling</v>
      </c>
      <c r="G167" s="186" t="str">
        <f>IFERROR(__xludf.DUMMYFUNCTION("""COMPUTED_VALUE"""),"FE4014B")</f>
        <v>FE4014B</v>
      </c>
      <c r="H167" s="186">
        <f>IFERROR(__xludf.DUMMYFUNCTION("""COMPUTED_VALUE"""),565122.0)</f>
        <v>565122</v>
      </c>
      <c r="I167" s="186"/>
      <c r="J167" s="189">
        <f>IFERROR(__xludf.DUMMYFUNCTION("""COMPUTED_VALUE"""),2705.0)</f>
        <v>2705</v>
      </c>
      <c r="K167" s="189">
        <f>IFERROR(__xludf.DUMMYFUNCTION("""COMPUTED_VALUE"""),2722.0)</f>
        <v>2722</v>
      </c>
      <c r="L167" s="189">
        <f>IFERROR(__xludf.DUMMYFUNCTION("""COMPUTED_VALUE"""),2929.0)</f>
        <v>2929</v>
      </c>
      <c r="M167" s="189">
        <f>IFERROR(__xludf.DUMMYFUNCTION("""COMPUTED_VALUE"""),2715.0)</f>
        <v>2715</v>
      </c>
      <c r="N167" s="189">
        <f>IFERROR(__xludf.DUMMYFUNCTION("""COMPUTED_VALUE"""),2582.0)</f>
        <v>2582</v>
      </c>
      <c r="O167" s="189">
        <f>IFERROR(__xludf.DUMMYFUNCTION("""COMPUTED_VALUE"""),2546.0)</f>
        <v>2546</v>
      </c>
      <c r="P167" s="189">
        <f>IFERROR(__xludf.DUMMYFUNCTION("""COMPUTED_VALUE"""),2517.0)</f>
        <v>2517</v>
      </c>
      <c r="Q167" s="189">
        <f>IFERROR(__xludf.DUMMYFUNCTION("""COMPUTED_VALUE"""),2508.0)</f>
        <v>2508</v>
      </c>
      <c r="R167" s="189">
        <f>IFERROR(__xludf.DUMMYFUNCTION("""COMPUTED_VALUE"""),2501.0)</f>
        <v>2501</v>
      </c>
      <c r="S167" s="189">
        <f>IFERROR(__xludf.DUMMYFUNCTION("""COMPUTED_VALUE"""),2388.0)</f>
        <v>2388</v>
      </c>
    </row>
    <row r="168">
      <c r="A168" s="186" t="str">
        <f>IFERROR(__xludf.DUMMYFUNCTION("""COMPUTED_VALUE"""),"NORDICS")</f>
        <v>NORDICS</v>
      </c>
      <c r="B168" s="186" t="str">
        <f>IFERROR(__xludf.DUMMYFUNCTION("""COMPUTED_VALUE"""),"W50")</f>
        <v>W50</v>
      </c>
      <c r="C168" s="186">
        <f>IFERROR(__xludf.DUMMYFUNCTION("""COMPUTED_VALUE"""),306.0)</f>
        <v>306</v>
      </c>
      <c r="D168" s="186" t="str">
        <f>IFERROR(__xludf.DUMMYFUNCTION("""COMPUTED_VALUE"""),"CON-00-147844-2")</f>
        <v>CON-00-147844-2</v>
      </c>
      <c r="E168" s="186" t="str">
        <f>IFERROR(__xludf.DUMMYFUNCTION("""COMPUTED_VALUE"""),"Indian style butter chicken")</f>
        <v>Indian style butter chicken</v>
      </c>
      <c r="F168" s="186" t="str">
        <f>IFERROR(__xludf.DUMMYFUNCTION("""COMPUTED_VALUE"""),"Indisk-inspireret butter chicken")</f>
        <v>Indisk-inspireret butter chicken</v>
      </c>
      <c r="G168" s="186" t="str">
        <f>IFERROR(__xludf.DUMMYFUNCTION("""COMPUTED_VALUE"""),"FE0472B")</f>
        <v>FE0472B</v>
      </c>
      <c r="H168" s="186">
        <f>IFERROR(__xludf.DUMMYFUNCTION("""COMPUTED_VALUE"""),565145.0)</f>
        <v>565145</v>
      </c>
      <c r="I168" s="186" t="str">
        <f>IFERROR(__xludf.DUMMYFUNCTION("""COMPUTED_VALUE"""),"HF RW Butter Chicken")</f>
        <v>HF RW Butter Chicken</v>
      </c>
      <c r="J168" s="189">
        <f>IFERROR(__xludf.DUMMYFUNCTION("""COMPUTED_VALUE"""),1907.0)</f>
        <v>1907</v>
      </c>
      <c r="K168" s="189">
        <f>IFERROR(__xludf.DUMMYFUNCTION("""COMPUTED_VALUE"""),1836.0)</f>
        <v>1836</v>
      </c>
      <c r="L168" s="189">
        <f>IFERROR(__xludf.DUMMYFUNCTION("""COMPUTED_VALUE"""),1464.0)</f>
        <v>1464</v>
      </c>
      <c r="M168" s="189">
        <f>IFERROR(__xludf.DUMMYFUNCTION("""COMPUTED_VALUE"""),1851.0)</f>
        <v>1851</v>
      </c>
      <c r="N168" s="189">
        <f>IFERROR(__xludf.DUMMYFUNCTION("""COMPUTED_VALUE"""),1796.0)</f>
        <v>1796</v>
      </c>
      <c r="O168" s="189">
        <f>IFERROR(__xludf.DUMMYFUNCTION("""COMPUTED_VALUE"""),1804.0)</f>
        <v>1804</v>
      </c>
      <c r="P168" s="189">
        <f>IFERROR(__xludf.DUMMYFUNCTION("""COMPUTED_VALUE"""),1819.0)</f>
        <v>1819</v>
      </c>
      <c r="Q168" s="189">
        <f>IFERROR(__xludf.DUMMYFUNCTION("""COMPUTED_VALUE"""),1800.0)</f>
        <v>1800</v>
      </c>
      <c r="R168" s="189">
        <f>IFERROR(__xludf.DUMMYFUNCTION("""COMPUTED_VALUE"""),1729.0)</f>
        <v>1729</v>
      </c>
      <c r="S168" s="189">
        <f>IFERROR(__xludf.DUMMYFUNCTION("""COMPUTED_VALUE"""),1661.0)</f>
        <v>1661</v>
      </c>
    </row>
    <row r="169">
      <c r="A169" s="186" t="str">
        <f>IFERROR(__xludf.DUMMYFUNCTION("""COMPUTED_VALUE"""),"NORDICS")</f>
        <v>NORDICS</v>
      </c>
      <c r="B169" s="186" t="str">
        <f>IFERROR(__xludf.DUMMYFUNCTION("""COMPUTED_VALUE"""),"W50")</f>
        <v>W50</v>
      </c>
      <c r="C169" s="186">
        <f>IFERROR(__xludf.DUMMYFUNCTION("""COMPUTED_VALUE"""),307.0)</f>
        <v>307</v>
      </c>
      <c r="D169" s="186" t="str">
        <f>IFERROR(__xludf.DUMMYFUNCTION("""COMPUTED_VALUE"""),"CON-00-147870-2")</f>
        <v>CON-00-147870-2</v>
      </c>
      <c r="E169" s="186" t="str">
        <f>IFERROR(__xludf.DUMMYFUNCTION("""COMPUTED_VALUE"""),"Pork tenderloin in sundried tomato sauce")</f>
        <v>Pork tenderloin in sundried tomato sauce</v>
      </c>
      <c r="F169" s="186" t="str">
        <f>IFERROR(__xludf.DUMMYFUNCTION("""COMPUTED_VALUE"""),"Svinemørbrad i soltørret tomatsauce")</f>
        <v>Svinemørbrad i soltørret tomatsauce</v>
      </c>
      <c r="G169" s="186" t="str">
        <f>IFERROR(__xludf.DUMMYFUNCTION("""COMPUTED_VALUE"""),"FE4006A")</f>
        <v>FE4006A</v>
      </c>
      <c r="H169" s="186">
        <f>IFERROR(__xludf.DUMMYFUNCTION("""COMPUTED_VALUE"""),565063.0)</f>
        <v>565063</v>
      </c>
      <c r="I169" s="186" t="str">
        <f>IFERROR(__xludf.DUMMYFUNCTION("""COMPUTED_VALUE"""),"HF Varkenshaas met tomatensaus 384g")</f>
        <v>HF Varkenshaas met tomatensaus 384g</v>
      </c>
      <c r="J169" s="189">
        <f>IFERROR(__xludf.DUMMYFUNCTION("""COMPUTED_VALUE"""),1200.0)</f>
        <v>1200</v>
      </c>
      <c r="K169" s="189">
        <f>IFERROR(__xludf.DUMMYFUNCTION("""COMPUTED_VALUE"""),1242.0)</f>
        <v>1242</v>
      </c>
      <c r="L169" s="189">
        <f>IFERROR(__xludf.DUMMYFUNCTION("""COMPUTED_VALUE"""),958.0)</f>
        <v>958</v>
      </c>
      <c r="M169" s="189">
        <f>IFERROR(__xludf.DUMMYFUNCTION("""COMPUTED_VALUE"""),1075.0)</f>
        <v>1075</v>
      </c>
      <c r="N169" s="189">
        <f>IFERROR(__xludf.DUMMYFUNCTION("""COMPUTED_VALUE"""),1063.0)</f>
        <v>1063</v>
      </c>
      <c r="O169" s="189">
        <f>IFERROR(__xludf.DUMMYFUNCTION("""COMPUTED_VALUE"""),1123.0)</f>
        <v>1123</v>
      </c>
      <c r="P169" s="189">
        <f>IFERROR(__xludf.DUMMYFUNCTION("""COMPUTED_VALUE"""),1140.0)</f>
        <v>1140</v>
      </c>
      <c r="Q169" s="189">
        <f>IFERROR(__xludf.DUMMYFUNCTION("""COMPUTED_VALUE"""),1132.0)</f>
        <v>1132</v>
      </c>
      <c r="R169" s="189">
        <f>IFERROR(__xludf.DUMMYFUNCTION("""COMPUTED_VALUE"""),1110.0)</f>
        <v>1110</v>
      </c>
      <c r="S169" s="189">
        <f>IFERROR(__xludf.DUMMYFUNCTION("""COMPUTED_VALUE"""),1068.0)</f>
        <v>1068</v>
      </c>
    </row>
    <row r="170">
      <c r="A170" s="186" t="str">
        <f>IFERROR(__xludf.DUMMYFUNCTION("""COMPUTED_VALUE"""),"NORDICS")</f>
        <v>NORDICS</v>
      </c>
      <c r="B170" s="186" t="str">
        <f>IFERROR(__xludf.DUMMYFUNCTION("""COMPUTED_VALUE"""),"W50")</f>
        <v>W50</v>
      </c>
      <c r="C170" s="186">
        <f>IFERROR(__xludf.DUMMYFUNCTION("""COMPUTED_VALUE"""),308.0)</f>
        <v>308</v>
      </c>
      <c r="D170" s="186" t="str">
        <f>IFERROR(__xludf.DUMMYFUNCTION("""COMPUTED_VALUE"""),"CON-00-152030-2")</f>
        <v>CON-00-152030-2</v>
      </c>
      <c r="E170" s="186" t="str">
        <f>IFERROR(__xludf.DUMMYFUNCTION("""COMPUTED_VALUE"""),"Salmon Dijonnaise")</f>
        <v>Salmon Dijonnaise</v>
      </c>
      <c r="F170" s="186" t="str">
        <f>IFERROR(__xludf.DUMMYFUNCTION("""COMPUTED_VALUE"""),"Laks med dijonnaise")</f>
        <v>Laks med dijonnaise</v>
      </c>
      <c r="G170" s="186" t="str">
        <f>IFERROR(__xludf.DUMMYFUNCTION("""COMPUTED_VALUE"""),"FE1031A")</f>
        <v>FE1031A</v>
      </c>
      <c r="H170" s="186">
        <f>IFERROR(__xludf.DUMMYFUNCTION("""COMPUTED_VALUE"""),565207.0)</f>
        <v>565207</v>
      </c>
      <c r="I170" s="186" t="str">
        <f>IFERROR(__xludf.DUMMYFUNCTION("""COMPUTED_VALUE"""),"#N/A")</f>
        <v>#N/A</v>
      </c>
      <c r="J170" s="189">
        <f>IFERROR(__xludf.DUMMYFUNCTION("""COMPUTED_VALUE"""),1494.0)</f>
        <v>1494</v>
      </c>
      <c r="K170" s="189">
        <f>IFERROR(__xludf.DUMMYFUNCTION("""COMPUTED_VALUE"""),1464.0)</f>
        <v>1464</v>
      </c>
      <c r="L170" s="189">
        <f>IFERROR(__xludf.DUMMYFUNCTION("""COMPUTED_VALUE"""),1318.0)</f>
        <v>1318</v>
      </c>
      <c r="M170" s="189">
        <f>IFERROR(__xludf.DUMMYFUNCTION("""COMPUTED_VALUE"""),1475.0)</f>
        <v>1475</v>
      </c>
      <c r="N170" s="189">
        <f>IFERROR(__xludf.DUMMYFUNCTION("""COMPUTED_VALUE"""),1487.0)</f>
        <v>1487</v>
      </c>
      <c r="O170" s="189">
        <f>IFERROR(__xludf.DUMMYFUNCTION("""COMPUTED_VALUE"""),1553.0)</f>
        <v>1553</v>
      </c>
      <c r="P170" s="189">
        <f>IFERROR(__xludf.DUMMYFUNCTION("""COMPUTED_VALUE"""),1555.0)</f>
        <v>1555</v>
      </c>
      <c r="Q170" s="189">
        <f>IFERROR(__xludf.DUMMYFUNCTION("""COMPUTED_VALUE"""),1546.0)</f>
        <v>1546</v>
      </c>
      <c r="R170" s="189">
        <f>IFERROR(__xludf.DUMMYFUNCTION("""COMPUTED_VALUE"""),1492.0)</f>
        <v>1492</v>
      </c>
      <c r="S170" s="189">
        <f>IFERROR(__xludf.DUMMYFUNCTION("""COMPUTED_VALUE"""),1450.0)</f>
        <v>1450</v>
      </c>
    </row>
    <row r="171">
      <c r="A171" s="186" t="str">
        <f>IFERROR(__xludf.DUMMYFUNCTION("""COMPUTED_VALUE"""),"NORDICS")</f>
        <v>NORDICS</v>
      </c>
      <c r="B171" s="186" t="str">
        <f>IFERROR(__xludf.DUMMYFUNCTION("""COMPUTED_VALUE"""),"W50")</f>
        <v>W50</v>
      </c>
      <c r="C171" s="186">
        <f>IFERROR(__xludf.DUMMYFUNCTION("""COMPUTED_VALUE"""),309.0)</f>
        <v>309</v>
      </c>
      <c r="D171" s="186"/>
      <c r="E171" s="186"/>
      <c r="F171" s="186"/>
      <c r="G171" s="186" t="str">
        <f>IFERROR(__xludf.DUMMYFUNCTION("""COMPUTED_VALUE"""),"FE0121B")</f>
        <v>FE0121B</v>
      </c>
      <c r="H171" s="186"/>
      <c r="I171" s="186"/>
      <c r="J171" s="186">
        <f>IFERROR(__xludf.DUMMYFUNCTION("""COMPUTED_VALUE"""),302.0)</f>
        <v>302</v>
      </c>
      <c r="K171" s="186">
        <f>IFERROR(__xludf.DUMMYFUNCTION("""COMPUTED_VALUE"""),332.0)</f>
        <v>332</v>
      </c>
      <c r="L171" s="189">
        <f>IFERROR(__xludf.DUMMYFUNCTION("""COMPUTED_VALUE"""),405.0)</f>
        <v>405</v>
      </c>
      <c r="M171" s="186">
        <f>IFERROR(__xludf.DUMMYFUNCTION("""COMPUTED_VALUE"""),352.0)</f>
        <v>352</v>
      </c>
      <c r="N171" s="186">
        <f>IFERROR(__xludf.DUMMYFUNCTION("""COMPUTED_VALUE"""),312.0)</f>
        <v>312</v>
      </c>
      <c r="O171" s="186">
        <f>IFERROR(__xludf.DUMMYFUNCTION("""COMPUTED_VALUE"""),313.0)</f>
        <v>313</v>
      </c>
      <c r="P171" s="186">
        <f>IFERROR(__xludf.DUMMYFUNCTION("""COMPUTED_VALUE"""),318.0)</f>
        <v>318</v>
      </c>
      <c r="Q171" s="186">
        <f>IFERROR(__xludf.DUMMYFUNCTION("""COMPUTED_VALUE"""),325.0)</f>
        <v>325</v>
      </c>
      <c r="R171" s="186">
        <f>IFERROR(__xludf.DUMMYFUNCTION("""COMPUTED_VALUE"""),306.0)</f>
        <v>306</v>
      </c>
      <c r="S171" s="189">
        <f>IFERROR(__xludf.DUMMYFUNCTION("""COMPUTED_VALUE"""),302.0)</f>
        <v>302</v>
      </c>
    </row>
    <row r="172">
      <c r="A172" s="186" t="str">
        <f>IFERROR(__xludf.DUMMYFUNCTION("""COMPUTED_VALUE"""),"NORDICS")</f>
        <v>NORDICS</v>
      </c>
      <c r="B172" s="186" t="str">
        <f>IFERROR(__xludf.DUMMYFUNCTION("""COMPUTED_VALUE"""),"W50")</f>
        <v>W50</v>
      </c>
      <c r="C172" s="186">
        <f>IFERROR(__xludf.DUMMYFUNCTION("""COMPUTED_VALUE"""),310.0)</f>
        <v>310</v>
      </c>
      <c r="D172" s="186" t="str">
        <f>IFERROR(__xludf.DUMMYFUNCTION("""COMPUTED_VALUE"""),"CON-00-147817-2")</f>
        <v>CON-00-147817-2</v>
      </c>
      <c r="E172" s="186" t="str">
        <f>IFERROR(__xludf.DUMMYFUNCTION("""COMPUTED_VALUE"""),"Ratatouille of zucchini and pepper")</f>
        <v>Ratatouille of zucchini and pepper</v>
      </c>
      <c r="F172" s="186" t="str">
        <f>IFERROR(__xludf.DUMMYFUNCTION("""COMPUTED_VALUE"""),"Squash- og peberfrugtsratatouille")</f>
        <v>Squash- og peberfrugtsratatouille</v>
      </c>
      <c r="G172" s="186" t="str">
        <f>IFERROR(__xludf.DUMMYFUNCTION("""COMPUTED_VALUE"""),"FE0090C")</f>
        <v>FE0090C</v>
      </c>
      <c r="H172" s="186">
        <f>IFERROR(__xludf.DUMMYFUNCTION("""COMPUTED_VALUE"""),565141.0)</f>
        <v>565141</v>
      </c>
      <c r="I172" s="186"/>
      <c r="J172" s="186">
        <f>IFERROR(__xludf.DUMMYFUNCTION("""COMPUTED_VALUE"""),332.0)</f>
        <v>332</v>
      </c>
      <c r="K172" s="186">
        <f>IFERROR(__xludf.DUMMYFUNCTION("""COMPUTED_VALUE"""),372.0)</f>
        <v>372</v>
      </c>
      <c r="L172" s="189">
        <f>IFERROR(__xludf.DUMMYFUNCTION("""COMPUTED_VALUE"""),304.0)</f>
        <v>304</v>
      </c>
      <c r="M172" s="189">
        <f>IFERROR(__xludf.DUMMYFUNCTION("""COMPUTED_VALUE"""),262.0)</f>
        <v>262</v>
      </c>
      <c r="N172" s="189">
        <f>IFERROR(__xludf.DUMMYFUNCTION("""COMPUTED_VALUE"""),237.0)</f>
        <v>237</v>
      </c>
      <c r="O172" s="189">
        <f>IFERROR(__xludf.DUMMYFUNCTION("""COMPUTED_VALUE"""),238.0)</f>
        <v>238</v>
      </c>
      <c r="P172" s="189">
        <f>IFERROR(__xludf.DUMMYFUNCTION("""COMPUTED_VALUE"""),249.0)</f>
        <v>249</v>
      </c>
      <c r="Q172" s="189">
        <f>IFERROR(__xludf.DUMMYFUNCTION("""COMPUTED_VALUE"""),268.0)</f>
        <v>268</v>
      </c>
      <c r="R172" s="189">
        <f>IFERROR(__xludf.DUMMYFUNCTION("""COMPUTED_VALUE"""),235.0)</f>
        <v>235</v>
      </c>
      <c r="S172" s="186">
        <f>IFERROR(__xludf.DUMMYFUNCTION("""COMPUTED_VALUE"""),231.0)</f>
        <v>231</v>
      </c>
    </row>
    <row r="173">
      <c r="A173" s="186" t="str">
        <f>IFERROR(__xludf.DUMMYFUNCTION("""COMPUTED_VALUE"""),"NORDICS")</f>
        <v>NORDICS</v>
      </c>
      <c r="B173" s="186" t="str">
        <f>IFERROR(__xludf.DUMMYFUNCTION("""COMPUTED_VALUE"""),"W50")</f>
        <v>W50</v>
      </c>
      <c r="C173" s="186">
        <f>IFERROR(__xludf.DUMMYFUNCTION("""COMPUTED_VALUE"""),311.0)</f>
        <v>311</v>
      </c>
      <c r="D173" s="186" t="str">
        <f>IFERROR(__xludf.DUMMYFUNCTION("""COMPUTED_VALUE"""),"CON-00-152032-2")</f>
        <v>CON-00-152032-2</v>
      </c>
      <c r="E173" s="186" t="str">
        <f>IFERROR(__xludf.DUMMYFUNCTION("""COMPUTED_VALUE"""),"Spicy Beef &amp; Black Bean Chili")</f>
        <v>Spicy Beef &amp; Black Bean Chili</v>
      </c>
      <c r="F173" s="186" t="str">
        <f>IFERROR(__xludf.DUMMYFUNCTION("""COMPUTED_VALUE"""),"Chili med oksekød og sorte bønner")</f>
        <v>Chili med oksekød og sorte bønner</v>
      </c>
      <c r="G173" s="186" t="str">
        <f>IFERROR(__xludf.DUMMYFUNCTION("""COMPUTED_VALUE"""),"FE4065A")</f>
        <v>FE4065A</v>
      </c>
      <c r="H173" s="186">
        <f>IFERROR(__xludf.DUMMYFUNCTION("""COMPUTED_VALUE"""),565214.0)</f>
        <v>565214</v>
      </c>
      <c r="I173" s="186" t="str">
        <f>IFERROR(__xludf.DUMMYFUNCTION("""COMPUTED_VALUE"""),"HF Pittige runder chili")</f>
        <v>HF Pittige runder chili</v>
      </c>
      <c r="J173" s="189">
        <f>IFERROR(__xludf.DUMMYFUNCTION("""COMPUTED_VALUE"""),652.0)</f>
        <v>652</v>
      </c>
      <c r="K173" s="189">
        <f>IFERROR(__xludf.DUMMYFUNCTION("""COMPUTED_VALUE"""),700.0)</f>
        <v>700</v>
      </c>
      <c r="L173" s="189">
        <f>IFERROR(__xludf.DUMMYFUNCTION("""COMPUTED_VALUE"""),614.0)</f>
        <v>614</v>
      </c>
      <c r="M173" s="186">
        <f>IFERROR(__xludf.DUMMYFUNCTION("""COMPUTED_VALUE"""),657.0)</f>
        <v>657</v>
      </c>
      <c r="N173" s="186">
        <f>IFERROR(__xludf.DUMMYFUNCTION("""COMPUTED_VALUE"""),639.0)</f>
        <v>639</v>
      </c>
      <c r="O173" s="186">
        <f>IFERROR(__xludf.DUMMYFUNCTION("""COMPUTED_VALUE"""),676.0)</f>
        <v>676</v>
      </c>
      <c r="P173" s="186">
        <f>IFERROR(__xludf.DUMMYFUNCTION("""COMPUTED_VALUE"""),676.0)</f>
        <v>676</v>
      </c>
      <c r="Q173" s="186">
        <f>IFERROR(__xludf.DUMMYFUNCTION("""COMPUTED_VALUE"""),684.0)</f>
        <v>684</v>
      </c>
      <c r="R173" s="186">
        <f>IFERROR(__xludf.DUMMYFUNCTION("""COMPUTED_VALUE"""),643.0)</f>
        <v>643</v>
      </c>
      <c r="S173" s="189">
        <f>IFERROR(__xludf.DUMMYFUNCTION("""COMPUTED_VALUE"""),641.0)</f>
        <v>641</v>
      </c>
    </row>
    <row r="174">
      <c r="A174" s="186" t="str">
        <f>IFERROR(__xludf.DUMMYFUNCTION("""COMPUTED_VALUE"""),"NORDICS")</f>
        <v>NORDICS</v>
      </c>
      <c r="B174" s="186" t="str">
        <f>IFERROR(__xludf.DUMMYFUNCTION("""COMPUTED_VALUE"""),"W50")</f>
        <v>W50</v>
      </c>
      <c r="C174" s="186">
        <f>IFERROR(__xludf.DUMMYFUNCTION("""COMPUTED_VALUE"""),312.0)</f>
        <v>312</v>
      </c>
      <c r="D174" s="186" t="str">
        <f>IFERROR(__xludf.DUMMYFUNCTION("""COMPUTED_VALUE"""),"CON-00-152037-2")</f>
        <v>CON-00-152037-2</v>
      </c>
      <c r="E174" s="186" t="str">
        <f>IFERROR(__xludf.DUMMYFUNCTION("""COMPUTED_VALUE"""),"Caribbean Mango Salsa Salmon")</f>
        <v>Caribbean Mango Salsa Salmon</v>
      </c>
      <c r="F174" s="186" t="str">
        <f>IFERROR(__xludf.DUMMYFUNCTION("""COMPUTED_VALUE"""),"Laks med mangosalsa i caribisk stil")</f>
        <v>Laks med mangosalsa i caribisk stil</v>
      </c>
      <c r="G174" s="186" t="str">
        <f>IFERROR(__xludf.DUMMYFUNCTION("""COMPUTED_VALUE"""),"FE1465A")</f>
        <v>FE1465A</v>
      </c>
      <c r="H174" s="186">
        <f>IFERROR(__xludf.DUMMYFUNCTION("""COMPUTED_VALUE"""),565198.0)</f>
        <v>565198</v>
      </c>
      <c r="I174" s="186" t="str">
        <f>IFERROR(__xludf.DUMMYFUNCTION("""COMPUTED_VALUE"""),"#N/A")</f>
        <v>#N/A</v>
      </c>
      <c r="J174" s="189">
        <f>IFERROR(__xludf.DUMMYFUNCTION("""COMPUTED_VALUE"""),1538.0)</f>
        <v>1538</v>
      </c>
      <c r="K174" s="189">
        <f>IFERROR(__xludf.DUMMYFUNCTION("""COMPUTED_VALUE"""),1549.0)</f>
        <v>1549</v>
      </c>
      <c r="L174" s="189">
        <f>IFERROR(__xludf.DUMMYFUNCTION("""COMPUTED_VALUE"""),1750.0)</f>
        <v>1750</v>
      </c>
      <c r="M174" s="189">
        <f>IFERROR(__xludf.DUMMYFUNCTION("""COMPUTED_VALUE"""),1470.0)</f>
        <v>1470</v>
      </c>
      <c r="N174" s="189">
        <f>IFERROR(__xludf.DUMMYFUNCTION("""COMPUTED_VALUE"""),1379.0)</f>
        <v>1379</v>
      </c>
      <c r="O174" s="189">
        <f>IFERROR(__xludf.DUMMYFUNCTION("""COMPUTED_VALUE"""),1369.0)</f>
        <v>1369</v>
      </c>
      <c r="P174" s="189">
        <f>IFERROR(__xludf.DUMMYFUNCTION("""COMPUTED_VALUE"""),1355.0)</f>
        <v>1355</v>
      </c>
      <c r="Q174" s="189">
        <f>IFERROR(__xludf.DUMMYFUNCTION("""COMPUTED_VALUE"""),1341.0)</f>
        <v>1341</v>
      </c>
      <c r="R174" s="189">
        <f>IFERROR(__xludf.DUMMYFUNCTION("""COMPUTED_VALUE"""),1298.0)</f>
        <v>1298</v>
      </c>
      <c r="S174" s="189">
        <f>IFERROR(__xludf.DUMMYFUNCTION("""COMPUTED_VALUE"""),1269.0)</f>
        <v>1269</v>
      </c>
    </row>
    <row r="175">
      <c r="A175" s="186" t="str">
        <f>IFERROR(__xludf.DUMMYFUNCTION("""COMPUTED_VALUE"""),"NORDICS")</f>
        <v>NORDICS</v>
      </c>
      <c r="B175" s="186" t="str">
        <f>IFERROR(__xludf.DUMMYFUNCTION("""COMPUTED_VALUE"""),"W50")</f>
        <v>W50</v>
      </c>
      <c r="C175" s="186">
        <f>IFERROR(__xludf.DUMMYFUNCTION("""COMPUTED_VALUE"""),313.0)</f>
        <v>313</v>
      </c>
      <c r="D175" s="186" t="str">
        <f>IFERROR(__xludf.DUMMYFUNCTION("""COMPUTED_VALUE"""),"CON-00-151055-2")</f>
        <v>CON-00-151055-2</v>
      </c>
      <c r="E175" s="186" t="str">
        <f>IFERROR(__xludf.DUMMYFUNCTION("""COMPUTED_VALUE"""),"Thai style chicken and peanut sauce")</f>
        <v>Thai style chicken and peanut sauce</v>
      </c>
      <c r="F175" s="186" t="str">
        <f>IFERROR(__xludf.DUMMYFUNCTION("""COMPUTED_VALUE"""),"Thai-inspireret kylling med peanutsauce")</f>
        <v>Thai-inspireret kylling med peanutsauce</v>
      </c>
      <c r="G175" s="186" t="str">
        <f>IFERROR(__xludf.DUMMYFUNCTION("""COMPUTED_VALUE"""),"FE0673B")</f>
        <v>FE0673B</v>
      </c>
      <c r="H175" s="186">
        <f>IFERROR(__xludf.DUMMYFUNCTION("""COMPUTED_VALUE"""),565058.0)</f>
        <v>565058</v>
      </c>
      <c r="I175" s="186" t="str">
        <f>IFERROR(__xludf.DUMMYFUNCTION("""COMPUTED_VALUE"""),"HF Kip Kokosrijst Pindasaus")</f>
        <v>HF Kip Kokosrijst Pindasaus</v>
      </c>
      <c r="J175" s="189">
        <f>IFERROR(__xludf.DUMMYFUNCTION("""COMPUTED_VALUE"""),1670.0)</f>
        <v>1670</v>
      </c>
      <c r="K175" s="189">
        <f>IFERROR(__xludf.DUMMYFUNCTION("""COMPUTED_VALUE"""),1630.0)</f>
        <v>1630</v>
      </c>
      <c r="L175" s="189">
        <f>IFERROR(__xludf.DUMMYFUNCTION("""COMPUTED_VALUE"""),1644.0)</f>
        <v>1644</v>
      </c>
      <c r="M175" s="189">
        <f>IFERROR(__xludf.DUMMYFUNCTION("""COMPUTED_VALUE"""),1741.0)</f>
        <v>1741</v>
      </c>
      <c r="N175" s="189">
        <f>IFERROR(__xludf.DUMMYFUNCTION("""COMPUTED_VALUE"""),1710.0)</f>
        <v>1710</v>
      </c>
      <c r="O175" s="189">
        <f>IFERROR(__xludf.DUMMYFUNCTION("""COMPUTED_VALUE"""),1722.0)</f>
        <v>1722</v>
      </c>
      <c r="P175" s="189">
        <f>IFERROR(__xludf.DUMMYFUNCTION("""COMPUTED_VALUE"""),1711.0)</f>
        <v>1711</v>
      </c>
      <c r="Q175" s="189">
        <f>IFERROR(__xludf.DUMMYFUNCTION("""COMPUTED_VALUE"""),1705.0)</f>
        <v>1705</v>
      </c>
      <c r="R175" s="189">
        <f>IFERROR(__xludf.DUMMYFUNCTION("""COMPUTED_VALUE"""),1637.0)</f>
        <v>1637</v>
      </c>
      <c r="S175" s="189">
        <f>IFERROR(__xludf.DUMMYFUNCTION("""COMPUTED_VALUE"""),1594.0)</f>
        <v>1594</v>
      </c>
    </row>
    <row r="176">
      <c r="A176" s="186" t="str">
        <f>IFERROR(__xludf.DUMMYFUNCTION("""COMPUTED_VALUE"""),"NORDICS")</f>
        <v>NORDICS</v>
      </c>
      <c r="B176" s="186" t="str">
        <f>IFERROR(__xludf.DUMMYFUNCTION("""COMPUTED_VALUE"""),"W50")</f>
        <v>W50</v>
      </c>
      <c r="C176" s="186">
        <f>IFERROR(__xludf.DUMMYFUNCTION("""COMPUTED_VALUE"""),314.0)</f>
        <v>314</v>
      </c>
      <c r="D176" s="186" t="str">
        <f>IFERROR(__xludf.DUMMYFUNCTION("""COMPUTED_VALUE"""),"CON-00-150749-2")</f>
        <v>CON-00-150749-2</v>
      </c>
      <c r="E176" s="186" t="str">
        <f>IFERROR(__xludf.DUMMYFUNCTION("""COMPUTED_VALUE"""),"West African Style Chicken Peanut Curry")</f>
        <v>West African Style Chicken Peanut Curry</v>
      </c>
      <c r="F176" s="186" t="str">
        <f>IFERROR(__xludf.DUMMYFUNCTION("""COMPUTED_VALUE"""),"Vestfrikansk-inspireret peanut-kyllingecurry")</f>
        <v>Vestfrikansk-inspireret peanut-kyllingecurry</v>
      </c>
      <c r="G176" s="186" t="str">
        <f>IFERROR(__xludf.DUMMYFUNCTION("""COMPUTED_VALUE"""),"FE1451A")</f>
        <v>FE1451A</v>
      </c>
      <c r="H176" s="186">
        <f>IFERROR(__xludf.DUMMYFUNCTION("""COMPUTED_VALUE"""),565178.0)</f>
        <v>565178</v>
      </c>
      <c r="I176" s="186" t="str">
        <f>IFERROR(__xludf.DUMMYFUNCTION("""COMPUTED_VALUE"""),"HF Kruidige pinda curry")</f>
        <v>HF Kruidige pinda curry</v>
      </c>
      <c r="J176" s="189">
        <f>IFERROR(__xludf.DUMMYFUNCTION("""COMPUTED_VALUE"""),1102.0)</f>
        <v>1102</v>
      </c>
      <c r="K176" s="189">
        <f>IFERROR(__xludf.DUMMYFUNCTION("""COMPUTED_VALUE"""),1121.0)</f>
        <v>1121</v>
      </c>
      <c r="L176" s="189">
        <f>IFERROR(__xludf.DUMMYFUNCTION("""COMPUTED_VALUE"""),1234.0)</f>
        <v>1234</v>
      </c>
      <c r="M176" s="189">
        <f>IFERROR(__xludf.DUMMYFUNCTION("""COMPUTED_VALUE"""),1181.0)</f>
        <v>1181</v>
      </c>
      <c r="N176" s="189">
        <f>IFERROR(__xludf.DUMMYFUNCTION("""COMPUTED_VALUE"""),1163.0)</f>
        <v>1163</v>
      </c>
      <c r="O176" s="189">
        <f>IFERROR(__xludf.DUMMYFUNCTION("""COMPUTED_VALUE"""),1129.0)</f>
        <v>1129</v>
      </c>
      <c r="P176" s="189">
        <f>IFERROR(__xludf.DUMMYFUNCTION("""COMPUTED_VALUE"""),1116.0)</f>
        <v>1116</v>
      </c>
      <c r="Q176" s="189">
        <f>IFERROR(__xludf.DUMMYFUNCTION("""COMPUTED_VALUE"""),1102.0)</f>
        <v>1102</v>
      </c>
      <c r="R176" s="189">
        <f>IFERROR(__xludf.DUMMYFUNCTION("""COMPUTED_VALUE"""),1008.0)</f>
        <v>1008</v>
      </c>
      <c r="S176" s="189">
        <f>IFERROR(__xludf.DUMMYFUNCTION("""COMPUTED_VALUE"""),982.0)</f>
        <v>982</v>
      </c>
    </row>
    <row r="177">
      <c r="A177" s="186" t="str">
        <f>IFERROR(__xludf.DUMMYFUNCTION("""COMPUTED_VALUE"""),"NORDICS")</f>
        <v>NORDICS</v>
      </c>
      <c r="B177" s="186" t="str">
        <f>IFERROR(__xludf.DUMMYFUNCTION("""COMPUTED_VALUE"""),"W50")</f>
        <v>W50</v>
      </c>
      <c r="C177" s="186">
        <f>IFERROR(__xludf.DUMMYFUNCTION("""COMPUTED_VALUE"""),315.0)</f>
        <v>315</v>
      </c>
      <c r="D177" s="186" t="str">
        <f>IFERROR(__xludf.DUMMYFUNCTION("""COMPUTED_VALUE"""),"CON-00-147906-2")</f>
        <v>CON-00-147906-2</v>
      </c>
      <c r="E177" s="186" t="str">
        <f>IFERROR(__xludf.DUMMYFUNCTION("""COMPUTED_VALUE"""),"Cheddar pulled beef")</f>
        <v>Cheddar pulled beef</v>
      </c>
      <c r="F177" s="186" t="str">
        <f>IFERROR(__xludf.DUMMYFUNCTION("""COMPUTED_VALUE"""),"Pulled beef med cheddar")</f>
        <v>Pulled beef med cheddar</v>
      </c>
      <c r="G177" s="186" t="str">
        <f>IFERROR(__xludf.DUMMYFUNCTION("""COMPUTED_VALUE"""),"FE4063A")</f>
        <v>FE4063A</v>
      </c>
      <c r="H177" s="186">
        <f>IFERROR(__xludf.DUMMYFUNCTION("""COMPUTED_VALUE"""),565136.0)</f>
        <v>565136</v>
      </c>
      <c r="I177" s="186"/>
      <c r="J177" s="189">
        <f>IFERROR(__xludf.DUMMYFUNCTION("""COMPUTED_VALUE"""),719.0)</f>
        <v>719</v>
      </c>
      <c r="K177" s="189">
        <f>IFERROR(__xludf.DUMMYFUNCTION("""COMPUTED_VALUE"""),763.0)</f>
        <v>763</v>
      </c>
      <c r="L177" s="189">
        <f>IFERROR(__xludf.DUMMYFUNCTION("""COMPUTED_VALUE"""),597.0)</f>
        <v>597</v>
      </c>
      <c r="M177" s="189">
        <f>IFERROR(__xludf.DUMMYFUNCTION("""COMPUTED_VALUE"""),597.0)</f>
        <v>597</v>
      </c>
      <c r="N177" s="189">
        <f>IFERROR(__xludf.DUMMYFUNCTION("""COMPUTED_VALUE"""),608.0)</f>
        <v>608</v>
      </c>
      <c r="O177" s="189">
        <f>IFERROR(__xludf.DUMMYFUNCTION("""COMPUTED_VALUE"""),615.0)</f>
        <v>615</v>
      </c>
      <c r="P177" s="189">
        <f>IFERROR(__xludf.DUMMYFUNCTION("""COMPUTED_VALUE"""),642.0)</f>
        <v>642</v>
      </c>
      <c r="Q177" s="189">
        <f>IFERROR(__xludf.DUMMYFUNCTION("""COMPUTED_VALUE"""),650.0)</f>
        <v>650</v>
      </c>
      <c r="R177" s="189">
        <f>IFERROR(__xludf.DUMMYFUNCTION("""COMPUTED_VALUE"""),626.0)</f>
        <v>626</v>
      </c>
      <c r="S177" s="189">
        <f>IFERROR(__xludf.DUMMYFUNCTION("""COMPUTED_VALUE"""),626.0)</f>
        <v>626</v>
      </c>
    </row>
    <row r="178">
      <c r="A178" s="186" t="str">
        <f>IFERROR(__xludf.DUMMYFUNCTION("""COMPUTED_VALUE"""),"NORDICS")</f>
        <v>NORDICS</v>
      </c>
      <c r="B178" s="186" t="str">
        <f>IFERROR(__xludf.DUMMYFUNCTION("""COMPUTED_VALUE"""),"W50")</f>
        <v>W50</v>
      </c>
      <c r="C178" s="186">
        <f>IFERROR(__xludf.DUMMYFUNCTION("""COMPUTED_VALUE"""),316.0)</f>
        <v>316</v>
      </c>
      <c r="D178" s="186" t="str">
        <f>IFERROR(__xludf.DUMMYFUNCTION("""COMPUTED_VALUE"""),"CON-00-147811-2")</f>
        <v>CON-00-147811-2</v>
      </c>
      <c r="E178" s="186" t="str">
        <f>IFERROR(__xludf.DUMMYFUNCTION("""COMPUTED_VALUE"""),"Chicken in lemon-capers sauce")</f>
        <v>Chicken in lemon-capers sauce</v>
      </c>
      <c r="F178" s="186" t="str">
        <f>IFERROR(__xludf.DUMMYFUNCTION("""COMPUTED_VALUE"""),"Kylling i citron- og kaperssauce")</f>
        <v>Kylling i citron- og kaperssauce</v>
      </c>
      <c r="G178" s="186" t="str">
        <f>IFERROR(__xludf.DUMMYFUNCTION("""COMPUTED_VALUE"""),"FE0025M")</f>
        <v>FE0025M</v>
      </c>
      <c r="H178" s="186">
        <f>IFERROR(__xludf.DUMMYFUNCTION("""COMPUTED_VALUE"""),565149.0)</f>
        <v>565149</v>
      </c>
      <c r="I178" s="186" t="str">
        <f>IFERROR(__xludf.DUMMYFUNCTION("""COMPUTED_VALUE"""),"HF Kip Piccata met broccoli")</f>
        <v>HF Kip Piccata met broccoli</v>
      </c>
      <c r="J178" s="189">
        <f>IFERROR(__xludf.DUMMYFUNCTION("""COMPUTED_VALUE"""),639.0)</f>
        <v>639</v>
      </c>
      <c r="K178" s="189">
        <f>IFERROR(__xludf.DUMMYFUNCTION("""COMPUTED_VALUE"""),628.0)</f>
        <v>628</v>
      </c>
      <c r="L178" s="189">
        <f>IFERROR(__xludf.DUMMYFUNCTION("""COMPUTED_VALUE"""),389.0)</f>
        <v>389</v>
      </c>
      <c r="M178" s="186">
        <f>IFERROR(__xludf.DUMMYFUNCTION("""COMPUTED_VALUE"""),333.0)</f>
        <v>333</v>
      </c>
      <c r="N178" s="186">
        <f>IFERROR(__xludf.DUMMYFUNCTION("""COMPUTED_VALUE"""),316.0)</f>
        <v>316</v>
      </c>
      <c r="O178" s="186">
        <f>IFERROR(__xludf.DUMMYFUNCTION("""COMPUTED_VALUE"""),337.0)</f>
        <v>337</v>
      </c>
      <c r="P178" s="186">
        <f>IFERROR(__xludf.DUMMYFUNCTION("""COMPUTED_VALUE"""),352.0)</f>
        <v>352</v>
      </c>
      <c r="Q178" s="186">
        <f>IFERROR(__xludf.DUMMYFUNCTION("""COMPUTED_VALUE"""),357.0)</f>
        <v>357</v>
      </c>
      <c r="R178" s="186">
        <f>IFERROR(__xludf.DUMMYFUNCTION("""COMPUTED_VALUE"""),317.0)</f>
        <v>317</v>
      </c>
      <c r="S178" s="189">
        <f>IFERROR(__xludf.DUMMYFUNCTION("""COMPUTED_VALUE"""),317.0)</f>
        <v>317</v>
      </c>
    </row>
    <row r="179">
      <c r="A179" s="186" t="str">
        <f>IFERROR(__xludf.DUMMYFUNCTION("""COMPUTED_VALUE"""),"NORDICS")</f>
        <v>NORDICS</v>
      </c>
      <c r="B179" s="186" t="str">
        <f>IFERROR(__xludf.DUMMYFUNCTION("""COMPUTED_VALUE"""),"W50")</f>
        <v>W50</v>
      </c>
      <c r="C179" s="186">
        <f>IFERROR(__xludf.DUMMYFUNCTION("""COMPUTED_VALUE"""),317.0)</f>
        <v>317</v>
      </c>
      <c r="D179" s="186" t="str">
        <f>IFERROR(__xludf.DUMMYFUNCTION("""COMPUTED_VALUE"""),"CON-00-147881-2")</f>
        <v>CON-00-147881-2</v>
      </c>
      <c r="E179" s="186" t="str">
        <f>IFERROR(__xludf.DUMMYFUNCTION("""COMPUTED_VALUE"""),"Grilled pork tenderloin with broccoli in peppersauce")</f>
        <v>Grilled pork tenderloin with broccoli in peppersauce</v>
      </c>
      <c r="F179" s="186" t="str">
        <f>IFERROR(__xludf.DUMMYFUNCTION("""COMPUTED_VALUE"""),"Grillet svinemørbrad med broccoli i pebersauce")</f>
        <v>Grillet svinemørbrad med broccoli i pebersauce</v>
      </c>
      <c r="G179" s="186" t="str">
        <f>IFERROR(__xludf.DUMMYFUNCTION("""COMPUTED_VALUE"""),"FE4020A")</f>
        <v>FE4020A</v>
      </c>
      <c r="H179" s="186">
        <f>IFERROR(__xludf.DUMMYFUNCTION("""COMPUTED_VALUE"""),565071.0)</f>
        <v>565071</v>
      </c>
      <c r="I179" s="186" t="str">
        <f>IFERROR(__xludf.DUMMYFUNCTION("""COMPUTED_VALUE"""),"HF Gegrilde varkenshaas met broccoli in paprikasaus")</f>
        <v>HF Gegrilde varkenshaas met broccoli in paprikasaus</v>
      </c>
      <c r="J179" s="189">
        <f>IFERROR(__xludf.DUMMYFUNCTION("""COMPUTED_VALUE"""),583.0)</f>
        <v>583</v>
      </c>
      <c r="K179" s="189">
        <f>IFERROR(__xludf.DUMMYFUNCTION("""COMPUTED_VALUE"""),569.0)</f>
        <v>569</v>
      </c>
      <c r="L179" s="189">
        <f>IFERROR(__xludf.DUMMYFUNCTION("""COMPUTED_VALUE"""),472.0)</f>
        <v>472</v>
      </c>
      <c r="M179" s="189">
        <f>IFERROR(__xludf.DUMMYFUNCTION("""COMPUTED_VALUE"""),474.0)</f>
        <v>474</v>
      </c>
      <c r="N179" s="189">
        <f>IFERROR(__xludf.DUMMYFUNCTION("""COMPUTED_VALUE"""),440.0)</f>
        <v>440</v>
      </c>
      <c r="O179" s="189">
        <f>IFERROR(__xludf.DUMMYFUNCTION("""COMPUTED_VALUE"""),492.0)</f>
        <v>492</v>
      </c>
      <c r="P179" s="189">
        <f>IFERROR(__xludf.DUMMYFUNCTION("""COMPUTED_VALUE"""),543.0)</f>
        <v>543</v>
      </c>
      <c r="Q179" s="189">
        <f>IFERROR(__xludf.DUMMYFUNCTION("""COMPUTED_VALUE"""),554.0)</f>
        <v>554</v>
      </c>
      <c r="R179" s="189">
        <f>IFERROR(__xludf.DUMMYFUNCTION("""COMPUTED_VALUE"""),536.0)</f>
        <v>536</v>
      </c>
      <c r="S179" s="189">
        <f>IFERROR(__xludf.DUMMYFUNCTION("""COMPUTED_VALUE"""),535.0)</f>
        <v>535</v>
      </c>
    </row>
    <row r="180">
      <c r="A180" s="186" t="str">
        <f>IFERROR(__xludf.DUMMYFUNCTION("""COMPUTED_VALUE"""),"NORDICS")</f>
        <v>NORDICS</v>
      </c>
      <c r="B180" s="186" t="str">
        <f>IFERROR(__xludf.DUMMYFUNCTION("""COMPUTED_VALUE"""),"W50")</f>
        <v>W50</v>
      </c>
      <c r="C180" s="186">
        <f>IFERROR(__xludf.DUMMYFUNCTION("""COMPUTED_VALUE"""),318.0)</f>
        <v>318</v>
      </c>
      <c r="D180" s="186" t="str">
        <f>IFERROR(__xludf.DUMMYFUNCTION("""COMPUTED_VALUE"""),"CON-00-147861-2")</f>
        <v>CON-00-147861-2</v>
      </c>
      <c r="E180" s="186" t="str">
        <f>IFERROR(__xludf.DUMMYFUNCTION("""COMPUTED_VALUE"""),"Pork tenderloin with apple-mustard sauce")</f>
        <v>Pork tenderloin with apple-mustard sauce</v>
      </c>
      <c r="F180" s="186" t="str">
        <f>IFERROR(__xludf.DUMMYFUNCTION("""COMPUTED_VALUE"""),"Svinemørbrad med æble-sennepssauce ")</f>
        <v>Svinemørbrad med æble-sennepssauce </v>
      </c>
      <c r="G180" s="186" t="str">
        <f>IFERROR(__xludf.DUMMYFUNCTION("""COMPUTED_VALUE"""),"FE0890B")</f>
        <v>FE0890B</v>
      </c>
      <c r="H180" s="186">
        <f>IFERROR(__xludf.DUMMYFUNCTION("""COMPUTED_VALUE"""),565117.0)</f>
        <v>565117</v>
      </c>
      <c r="I180" s="186"/>
      <c r="J180" s="186">
        <f>IFERROR(__xludf.DUMMYFUNCTION("""COMPUTED_VALUE"""),618.0)</f>
        <v>618</v>
      </c>
      <c r="K180" s="186">
        <f>IFERROR(__xludf.DUMMYFUNCTION("""COMPUTED_VALUE"""),637.0)</f>
        <v>637</v>
      </c>
      <c r="L180" s="186">
        <f>IFERROR(__xludf.DUMMYFUNCTION("""COMPUTED_VALUE"""),416.0)</f>
        <v>416</v>
      </c>
      <c r="M180" s="186">
        <f>IFERROR(__xludf.DUMMYFUNCTION("""COMPUTED_VALUE"""),443.0)</f>
        <v>443</v>
      </c>
      <c r="N180" s="186">
        <f>IFERROR(__xludf.DUMMYFUNCTION("""COMPUTED_VALUE"""),449.0)</f>
        <v>449</v>
      </c>
      <c r="O180" s="186">
        <f>IFERROR(__xludf.DUMMYFUNCTION("""COMPUTED_VALUE"""),457.0)</f>
        <v>457</v>
      </c>
      <c r="P180" s="186">
        <f>IFERROR(__xludf.DUMMYFUNCTION("""COMPUTED_VALUE"""),442.0)</f>
        <v>442</v>
      </c>
      <c r="Q180" s="186">
        <f>IFERROR(__xludf.DUMMYFUNCTION("""COMPUTED_VALUE"""),453.0)</f>
        <v>453</v>
      </c>
      <c r="R180" s="186">
        <f>IFERROR(__xludf.DUMMYFUNCTION("""COMPUTED_VALUE"""),411.0)</f>
        <v>411</v>
      </c>
      <c r="S180" s="189">
        <f>IFERROR(__xludf.DUMMYFUNCTION("""COMPUTED_VALUE"""),407.0)</f>
        <v>407</v>
      </c>
    </row>
    <row r="181">
      <c r="A181" s="186" t="str">
        <f>IFERROR(__xludf.DUMMYFUNCTION("""COMPUTED_VALUE"""),"NORDICS")</f>
        <v>NORDICS</v>
      </c>
      <c r="B181" s="186" t="str">
        <f>IFERROR(__xludf.DUMMYFUNCTION("""COMPUTED_VALUE"""),"W50")</f>
        <v>W50</v>
      </c>
      <c r="C181" s="186">
        <f>IFERROR(__xludf.DUMMYFUNCTION("""COMPUTED_VALUE"""),806.0)</f>
        <v>806</v>
      </c>
      <c r="D181" s="186" t="str">
        <f>IFERROR(__xludf.DUMMYFUNCTION("""COMPUTED_VALUE"""),"PTN-00-148223-2")</f>
        <v>PTN-00-148223-2</v>
      </c>
      <c r="E181" s="186" t="str">
        <f>IFERROR(__xludf.DUMMYFUNCTION("""COMPUTED_VALUE"""),"Garlic Herb Grilled Chicken")</f>
        <v>Garlic Herb Grilled Chicken</v>
      </c>
      <c r="F181" s="186" t="str">
        <f>IFERROR(__xludf.DUMMYFUNCTION("""COMPUTED_VALUE"""),"Grillet kylling med hvidlød og urter")</f>
        <v>Grillet kylling med hvidlød og urter</v>
      </c>
      <c r="G181" s="186" t="str">
        <f>IFERROR(__xludf.DUMMYFUNCTION("""COMPUTED_VALUE"""),"FEA006A")</f>
        <v>FEA006A</v>
      </c>
      <c r="H181" s="186">
        <f>IFERROR(__xludf.DUMMYFUNCTION("""COMPUTED_VALUE"""),565119.0)</f>
        <v>565119</v>
      </c>
      <c r="I181" s="186"/>
      <c r="J181" s="186">
        <f>IFERROR(__xludf.DUMMYFUNCTION("""COMPUTED_VALUE"""),48.0)</f>
        <v>48</v>
      </c>
      <c r="K181" s="186">
        <f>IFERROR(__xludf.DUMMYFUNCTION("""COMPUTED_VALUE"""),48.0)</f>
        <v>48</v>
      </c>
      <c r="L181" s="186">
        <f>IFERROR(__xludf.DUMMYFUNCTION("""COMPUTED_VALUE"""),48.0)</f>
        <v>48</v>
      </c>
      <c r="M181" s="186">
        <f>IFERROR(__xludf.DUMMYFUNCTION("""COMPUTED_VALUE"""),48.0)</f>
        <v>48</v>
      </c>
      <c r="N181" s="186">
        <f>IFERROR(__xludf.DUMMYFUNCTION("""COMPUTED_VALUE"""),48.0)</f>
        <v>48</v>
      </c>
      <c r="O181" s="186">
        <f>IFERROR(__xludf.DUMMYFUNCTION("""COMPUTED_VALUE"""),48.0)</f>
        <v>48</v>
      </c>
      <c r="P181" s="186">
        <f>IFERROR(__xludf.DUMMYFUNCTION("""COMPUTED_VALUE"""),48.0)</f>
        <v>48</v>
      </c>
      <c r="Q181" s="186">
        <f>IFERROR(__xludf.DUMMYFUNCTION("""COMPUTED_VALUE"""),48.0)</f>
        <v>48</v>
      </c>
      <c r="R181" s="186">
        <f>IFERROR(__xludf.DUMMYFUNCTION("""COMPUTED_VALUE"""),47.0)</f>
        <v>47</v>
      </c>
      <c r="S181" s="189">
        <f>IFERROR(__xludf.DUMMYFUNCTION("""COMPUTED_VALUE"""),47.0)</f>
        <v>47</v>
      </c>
    </row>
    <row r="182">
      <c r="A182" s="186" t="str">
        <f>IFERROR(__xludf.DUMMYFUNCTION("""COMPUTED_VALUE"""),"NORDICS")</f>
        <v>NORDICS</v>
      </c>
      <c r="B182" s="186" t="str">
        <f>IFERROR(__xludf.DUMMYFUNCTION("""COMPUTED_VALUE"""),"W50")</f>
        <v>W50</v>
      </c>
      <c r="C182" s="186"/>
      <c r="D182" s="186"/>
      <c r="E182" s="186"/>
      <c r="F182" s="186"/>
      <c r="G182" s="186"/>
      <c r="H182" s="186"/>
      <c r="I182" s="186"/>
      <c r="J182" s="189">
        <f>IFERROR(__xludf.DUMMYFUNCTION("""COMPUTED_VALUE"""),26597.0)</f>
        <v>26597</v>
      </c>
      <c r="K182" s="189">
        <f>IFERROR(__xludf.DUMMYFUNCTION("""COMPUTED_VALUE"""),26656.0)</f>
        <v>26656</v>
      </c>
      <c r="L182" s="189">
        <f>IFERROR(__xludf.DUMMYFUNCTION("""COMPUTED_VALUE"""),24984.0)</f>
        <v>24984</v>
      </c>
      <c r="M182" s="189">
        <f>IFERROR(__xludf.DUMMYFUNCTION("""COMPUTED_VALUE"""),24788.0)</f>
        <v>24788</v>
      </c>
      <c r="N182" s="189">
        <f>IFERROR(__xludf.DUMMYFUNCTION("""COMPUTED_VALUE"""),24161.0)</f>
        <v>24161</v>
      </c>
      <c r="O182" s="189">
        <f>IFERROR(__xludf.DUMMYFUNCTION("""COMPUTED_VALUE"""),24315.0)</f>
        <v>24315</v>
      </c>
      <c r="P182" s="189">
        <f>IFERROR(__xludf.DUMMYFUNCTION("""COMPUTED_VALUE"""),24192.0)</f>
        <v>24192</v>
      </c>
      <c r="Q182" s="189">
        <f>IFERROR(__xludf.DUMMYFUNCTION("""COMPUTED_VALUE"""),24154.0)</f>
        <v>24154</v>
      </c>
      <c r="R182" s="189">
        <f>IFERROR(__xludf.DUMMYFUNCTION("""COMPUTED_VALUE"""),23426.0)</f>
        <v>23426</v>
      </c>
      <c r="S182" s="189">
        <f>IFERROR(__xludf.DUMMYFUNCTION("""COMPUTED_VALUE"""),22599.0)</f>
        <v>22599</v>
      </c>
    </row>
    <row r="183">
      <c r="A183" s="186" t="str">
        <f>IFERROR(__xludf.DUMMYFUNCTION("""COMPUTED_VALUE"""),"DE")</f>
        <v>DE</v>
      </c>
      <c r="B183" s="186" t="str">
        <f>IFERROR(__xludf.DUMMYFUNCTION("""COMPUTED_VALUE"""),"W50")</f>
        <v>W50</v>
      </c>
      <c r="C183" s="186">
        <f>IFERROR(__xludf.DUMMYFUNCTION("""COMPUTED_VALUE"""),301.0)</f>
        <v>301</v>
      </c>
      <c r="D183" s="186" t="str">
        <f>IFERROR(__xludf.DUMMYFUNCTION("""COMPUTED_VALUE"""),"CON-00-136649-3")</f>
        <v>CON-00-136649-3</v>
      </c>
      <c r="E183" s="186" t="str">
        <f>IFERROR(__xludf.DUMMYFUNCTION("""COMPUTED_VALUE"""),"Grilled chicken fillet and potato leek mash")</f>
        <v>Grilled chicken fillet and potato leek mash</v>
      </c>
      <c r="F183" s="186" t="str">
        <f>IFERROR(__xludf.DUMMYFUNCTION("""COMPUTED_VALUE"""),"Gegrilltes Hähnchenfilet mit Kartoffel-Lauch-Püree")</f>
        <v>Gegrilltes Hähnchenfilet mit Kartoffel-Lauch-Püree</v>
      </c>
      <c r="G183" s="186" t="str">
        <f>IFERROR(__xludf.DUMMYFUNCTION("""COMPUTED_VALUE"""),"FE0426B")</f>
        <v>FE0426B</v>
      </c>
      <c r="H183" s="186">
        <f>IFERROR(__xludf.DUMMYFUNCTION("""COMPUTED_VALUE"""),565035.0)</f>
        <v>565035</v>
      </c>
      <c r="I183" s="186" t="str">
        <f>IFERROR(__xludf.DUMMYFUNCTION("""COMPUTED_VALUE"""),"HF Puree van aardappel en prei met gegrilde kip 416g")</f>
        <v>HF Puree van aardappel en prei met gegrilde kip 416g</v>
      </c>
      <c r="J183" s="189">
        <f>IFERROR(__xludf.DUMMYFUNCTION("""COMPUTED_VALUE"""),3194.0)</f>
        <v>3194</v>
      </c>
      <c r="K183" s="189">
        <f>IFERROR(__xludf.DUMMYFUNCTION("""COMPUTED_VALUE"""),3246.0)</f>
        <v>3246</v>
      </c>
      <c r="L183" s="189">
        <f>IFERROR(__xludf.DUMMYFUNCTION("""COMPUTED_VALUE"""),3147.0)</f>
        <v>3147</v>
      </c>
      <c r="M183" s="189">
        <f>IFERROR(__xludf.DUMMYFUNCTION("""COMPUTED_VALUE"""),2788.0)</f>
        <v>2788</v>
      </c>
      <c r="N183" s="189">
        <f>IFERROR(__xludf.DUMMYFUNCTION("""COMPUTED_VALUE"""),2748.0)</f>
        <v>2748</v>
      </c>
      <c r="O183" s="189">
        <f>IFERROR(__xludf.DUMMYFUNCTION("""COMPUTED_VALUE"""),2784.0)</f>
        <v>2784</v>
      </c>
      <c r="P183" s="189">
        <f>IFERROR(__xludf.DUMMYFUNCTION("""COMPUTED_VALUE"""),2766.0)</f>
        <v>2766</v>
      </c>
      <c r="Q183" s="189">
        <f>IFERROR(__xludf.DUMMYFUNCTION("""COMPUTED_VALUE"""),2776.0)</f>
        <v>2776</v>
      </c>
      <c r="R183" s="189">
        <f>IFERROR(__xludf.DUMMYFUNCTION("""COMPUTED_VALUE"""),2728.0)</f>
        <v>2728</v>
      </c>
      <c r="S183" s="189">
        <f>IFERROR(__xludf.DUMMYFUNCTION("""COMPUTED_VALUE"""),2717.0)</f>
        <v>2717</v>
      </c>
    </row>
    <row r="184">
      <c r="A184" s="186" t="str">
        <f>IFERROR(__xludf.DUMMYFUNCTION("""COMPUTED_VALUE"""),"DE")</f>
        <v>DE</v>
      </c>
      <c r="B184" s="186" t="str">
        <f>IFERROR(__xludf.DUMMYFUNCTION("""COMPUTED_VALUE"""),"W50")</f>
        <v>W50</v>
      </c>
      <c r="C184" s="186">
        <f>IFERROR(__xludf.DUMMYFUNCTION("""COMPUTED_VALUE"""),302.0)</f>
        <v>302</v>
      </c>
      <c r="D184" s="186"/>
      <c r="E184" s="186"/>
      <c r="F184" s="186"/>
      <c r="G184" s="186" t="str">
        <f>IFERROR(__xludf.DUMMYFUNCTION("""COMPUTED_VALUE"""),"FE4001B")</f>
        <v>FE4001B</v>
      </c>
      <c r="H184" s="186"/>
      <c r="I184" s="186"/>
      <c r="J184" s="189">
        <f>IFERROR(__xludf.DUMMYFUNCTION("""COMPUTED_VALUE"""),2229.0)</f>
        <v>2229</v>
      </c>
      <c r="K184" s="189">
        <f>IFERROR(__xludf.DUMMYFUNCTION("""COMPUTED_VALUE"""),2133.0)</f>
        <v>2133</v>
      </c>
      <c r="L184" s="189">
        <f>IFERROR(__xludf.DUMMYFUNCTION("""COMPUTED_VALUE"""),1688.0)</f>
        <v>1688</v>
      </c>
      <c r="M184" s="189">
        <f>IFERROR(__xludf.DUMMYFUNCTION("""COMPUTED_VALUE"""),1644.0)</f>
        <v>1644</v>
      </c>
      <c r="N184" s="189">
        <f>IFERROR(__xludf.DUMMYFUNCTION("""COMPUTED_VALUE"""),1616.0)</f>
        <v>1616</v>
      </c>
      <c r="O184" s="189">
        <f>IFERROR(__xludf.DUMMYFUNCTION("""COMPUTED_VALUE"""),1665.0)</f>
        <v>1665</v>
      </c>
      <c r="P184" s="189">
        <f>IFERROR(__xludf.DUMMYFUNCTION("""COMPUTED_VALUE"""),1649.0)</f>
        <v>1649</v>
      </c>
      <c r="Q184" s="189">
        <f>IFERROR(__xludf.DUMMYFUNCTION("""COMPUTED_VALUE"""),1662.0)</f>
        <v>1662</v>
      </c>
      <c r="R184" s="189">
        <f>IFERROR(__xludf.DUMMYFUNCTION("""COMPUTED_VALUE"""),1636.0)</f>
        <v>1636</v>
      </c>
      <c r="S184" s="189">
        <f>IFERROR(__xludf.DUMMYFUNCTION("""COMPUTED_VALUE"""),1619.0)</f>
        <v>1619</v>
      </c>
    </row>
    <row r="185">
      <c r="A185" s="186" t="str">
        <f>IFERROR(__xludf.DUMMYFUNCTION("""COMPUTED_VALUE"""),"DE")</f>
        <v>DE</v>
      </c>
      <c r="B185" s="186" t="str">
        <f>IFERROR(__xludf.DUMMYFUNCTION("""COMPUTED_VALUE"""),"W50")</f>
        <v>W50</v>
      </c>
      <c r="C185" s="186">
        <f>IFERROR(__xludf.DUMMYFUNCTION("""COMPUTED_VALUE"""),303.0)</f>
        <v>303</v>
      </c>
      <c r="D185" s="186" t="str">
        <f>IFERROR(__xludf.DUMMYFUNCTION("""COMPUTED_VALUE"""),"CON-00-136694-3")</f>
        <v>CON-00-136694-3</v>
      </c>
      <c r="E185" s="186" t="str">
        <f>IFERROR(__xludf.DUMMYFUNCTION("""COMPUTED_VALUE"""),"Spicy ground beef with jalapenos")</f>
        <v>Spicy ground beef with jalapenos</v>
      </c>
      <c r="F185" s="186" t="str">
        <f>IFERROR(__xludf.DUMMYFUNCTION("""COMPUTED_VALUE"""),"Scharfes Rinderhack mit Jalapeños")</f>
        <v>Scharfes Rinderhack mit Jalapeños</v>
      </c>
      <c r="G185" s="186" t="str">
        <f>IFERROR(__xludf.DUMMYFUNCTION("""COMPUTED_VALUE"""),"FE0746A")</f>
        <v>FE0746A</v>
      </c>
      <c r="H185" s="186">
        <f>IFERROR(__xludf.DUMMYFUNCTION("""COMPUTED_VALUE"""),565091.0)</f>
        <v>565091</v>
      </c>
      <c r="I185" s="186" t="str">
        <f>IFERROR(__xludf.DUMMYFUNCTION("""COMPUTED_VALUE"""),"HF Beef burrito bowl")</f>
        <v>HF Beef burrito bowl</v>
      </c>
      <c r="J185" s="189">
        <f>IFERROR(__xludf.DUMMYFUNCTION("""COMPUTED_VALUE"""),2445.0)</f>
        <v>2445</v>
      </c>
      <c r="K185" s="189">
        <f>IFERROR(__xludf.DUMMYFUNCTION("""COMPUTED_VALUE"""),2373.0)</f>
        <v>2373</v>
      </c>
      <c r="L185" s="189">
        <f>IFERROR(__xludf.DUMMYFUNCTION("""COMPUTED_VALUE"""),1807.0)</f>
        <v>1807</v>
      </c>
      <c r="M185" s="189">
        <f>IFERROR(__xludf.DUMMYFUNCTION("""COMPUTED_VALUE"""),1719.0)</f>
        <v>1719</v>
      </c>
      <c r="N185" s="189">
        <f>IFERROR(__xludf.DUMMYFUNCTION("""COMPUTED_VALUE"""),1665.0)</f>
        <v>1665</v>
      </c>
      <c r="O185" s="189">
        <f>IFERROR(__xludf.DUMMYFUNCTION("""COMPUTED_VALUE"""),1643.0)</f>
        <v>1643</v>
      </c>
      <c r="P185" s="189">
        <f>IFERROR(__xludf.DUMMYFUNCTION("""COMPUTED_VALUE"""),1658.0)</f>
        <v>1658</v>
      </c>
      <c r="Q185" s="189">
        <f>IFERROR(__xludf.DUMMYFUNCTION("""COMPUTED_VALUE"""),1659.0)</f>
        <v>1659</v>
      </c>
      <c r="R185" s="189">
        <f>IFERROR(__xludf.DUMMYFUNCTION("""COMPUTED_VALUE"""),1673.0)</f>
        <v>1673</v>
      </c>
      <c r="S185" s="189">
        <f>IFERROR(__xludf.DUMMYFUNCTION("""COMPUTED_VALUE"""),1623.0)</f>
        <v>1623</v>
      </c>
    </row>
    <row r="186">
      <c r="A186" s="186" t="str">
        <f>IFERROR(__xludf.DUMMYFUNCTION("""COMPUTED_VALUE"""),"DE")</f>
        <v>DE</v>
      </c>
      <c r="B186" s="186" t="str">
        <f>IFERROR(__xludf.DUMMYFUNCTION("""COMPUTED_VALUE"""),"W50")</f>
        <v>W50</v>
      </c>
      <c r="C186" s="186">
        <f>IFERROR(__xludf.DUMMYFUNCTION("""COMPUTED_VALUE"""),304.0)</f>
        <v>304</v>
      </c>
      <c r="D186" s="186" t="str">
        <f>IFERROR(__xludf.DUMMYFUNCTION("""COMPUTED_VALUE"""),"CON-00-136687-3")</f>
        <v>CON-00-136687-3</v>
      </c>
      <c r="E186" s="186" t="str">
        <f>IFERROR(__xludf.DUMMYFUNCTION("""COMPUTED_VALUE"""),"Chicken in chive cream sauce")</f>
        <v>Chicken in chive cream sauce</v>
      </c>
      <c r="F186" s="186" t="str">
        <f>IFERROR(__xludf.DUMMYFUNCTION("""COMPUTED_VALUE"""),"Hähnchen in Schnittlauchcreme")</f>
        <v>Hähnchen in Schnittlauchcreme</v>
      </c>
      <c r="G186" s="186" t="str">
        <f>IFERROR(__xludf.DUMMYFUNCTION("""COMPUTED_VALUE"""),"FE4023B")</f>
        <v>FE4023B</v>
      </c>
      <c r="H186" s="186">
        <f>IFERROR(__xludf.DUMMYFUNCTION("""COMPUTED_VALUE"""),565161.0)</f>
        <v>565161</v>
      </c>
      <c r="I186" s="186" t="str">
        <f>IFERROR(__xludf.DUMMYFUNCTION("""COMPUTED_VALUE"""),"HF RW Kipf in bieslookroomsaus")</f>
        <v>HF RW Kipf in bieslookroomsaus</v>
      </c>
      <c r="J186" s="189">
        <f>IFERROR(__xludf.DUMMYFUNCTION("""COMPUTED_VALUE"""),3160.0)</f>
        <v>3160</v>
      </c>
      <c r="K186" s="189">
        <f>IFERROR(__xludf.DUMMYFUNCTION("""COMPUTED_VALUE"""),3200.0)</f>
        <v>3200</v>
      </c>
      <c r="L186" s="189">
        <f>IFERROR(__xludf.DUMMYFUNCTION("""COMPUTED_VALUE"""),2675.0)</f>
        <v>2675</v>
      </c>
      <c r="M186" s="189">
        <f>IFERROR(__xludf.DUMMYFUNCTION("""COMPUTED_VALUE"""),2576.0)</f>
        <v>2576</v>
      </c>
      <c r="N186" s="189">
        <f>IFERROR(__xludf.DUMMYFUNCTION("""COMPUTED_VALUE"""),2476.0)</f>
        <v>2476</v>
      </c>
      <c r="O186" s="189">
        <f>IFERROR(__xludf.DUMMYFUNCTION("""COMPUTED_VALUE"""),2461.0)</f>
        <v>2461</v>
      </c>
      <c r="P186" s="189">
        <f>IFERROR(__xludf.DUMMYFUNCTION("""COMPUTED_VALUE"""),2459.0)</f>
        <v>2459</v>
      </c>
      <c r="Q186" s="189">
        <f>IFERROR(__xludf.DUMMYFUNCTION("""COMPUTED_VALUE"""),2448.0)</f>
        <v>2448</v>
      </c>
      <c r="R186" s="189">
        <f>IFERROR(__xludf.DUMMYFUNCTION("""COMPUTED_VALUE"""),2459.0)</f>
        <v>2459</v>
      </c>
      <c r="S186" s="189">
        <f>IFERROR(__xludf.DUMMYFUNCTION("""COMPUTED_VALUE"""),2411.0)</f>
        <v>2411</v>
      </c>
    </row>
    <row r="187">
      <c r="A187" s="186" t="str">
        <f>IFERROR(__xludf.DUMMYFUNCTION("""COMPUTED_VALUE"""),"DE")</f>
        <v>DE</v>
      </c>
      <c r="B187" s="186" t="str">
        <f>IFERROR(__xludf.DUMMYFUNCTION("""COMPUTED_VALUE"""),"W50")</f>
        <v>W50</v>
      </c>
      <c r="C187" s="186">
        <f>IFERROR(__xludf.DUMMYFUNCTION("""COMPUTED_VALUE"""),305.0)</f>
        <v>305</v>
      </c>
      <c r="D187" s="186" t="str">
        <f>IFERROR(__xludf.DUMMYFUNCTION("""COMPUTED_VALUE"""),"CON-00-136675-3")</f>
        <v>CON-00-136675-3</v>
      </c>
      <c r="E187" s="186" t="str">
        <f>IFERROR(__xludf.DUMMYFUNCTION("""COMPUTED_VALUE"""),"Creamy basil risotto with chicken")</f>
        <v>Creamy basil risotto with chicken</v>
      </c>
      <c r="F187" s="186" t="str">
        <f>IFERROR(__xludf.DUMMYFUNCTION("""COMPUTED_VALUE"""),"Cremiges Basilikum-Risotto")</f>
        <v>Cremiges Basilikum-Risotto</v>
      </c>
      <c r="G187" s="186" t="str">
        <f>IFERROR(__xludf.DUMMYFUNCTION("""COMPUTED_VALUE"""),"FE4014B")</f>
        <v>FE4014B</v>
      </c>
      <c r="H187" s="186">
        <f>IFERROR(__xludf.DUMMYFUNCTION("""COMPUTED_VALUE"""),565122.0)</f>
        <v>565122</v>
      </c>
      <c r="I187" s="186"/>
      <c r="J187" s="189">
        <f>IFERROR(__xludf.DUMMYFUNCTION("""COMPUTED_VALUE"""),2721.0)</f>
        <v>2721</v>
      </c>
      <c r="K187" s="189">
        <f>IFERROR(__xludf.DUMMYFUNCTION("""COMPUTED_VALUE"""),2820.0)</f>
        <v>2820</v>
      </c>
      <c r="L187" s="189">
        <f>IFERROR(__xludf.DUMMYFUNCTION("""COMPUTED_VALUE"""),2414.0)</f>
        <v>2414</v>
      </c>
      <c r="M187" s="189">
        <f>IFERROR(__xludf.DUMMYFUNCTION("""COMPUTED_VALUE"""),2291.0)</f>
        <v>2291</v>
      </c>
      <c r="N187" s="189">
        <f>IFERROR(__xludf.DUMMYFUNCTION("""COMPUTED_VALUE"""),2219.0)</f>
        <v>2219</v>
      </c>
      <c r="O187" s="189">
        <f>IFERROR(__xludf.DUMMYFUNCTION("""COMPUTED_VALUE"""),2259.0)</f>
        <v>2259</v>
      </c>
      <c r="P187" s="189">
        <f>IFERROR(__xludf.DUMMYFUNCTION("""COMPUTED_VALUE"""),2258.0)</f>
        <v>2258</v>
      </c>
      <c r="Q187" s="189">
        <f>IFERROR(__xludf.DUMMYFUNCTION("""COMPUTED_VALUE"""),2260.0)</f>
        <v>2260</v>
      </c>
      <c r="R187" s="189">
        <f>IFERROR(__xludf.DUMMYFUNCTION("""COMPUTED_VALUE"""),2261.0)</f>
        <v>2261</v>
      </c>
      <c r="S187" s="189">
        <f>IFERROR(__xludf.DUMMYFUNCTION("""COMPUTED_VALUE"""),2271.0)</f>
        <v>2271</v>
      </c>
    </row>
    <row r="188">
      <c r="A188" s="186" t="str">
        <f>IFERROR(__xludf.DUMMYFUNCTION("""COMPUTED_VALUE"""),"DE")</f>
        <v>DE</v>
      </c>
      <c r="B188" s="186" t="str">
        <f>IFERROR(__xludf.DUMMYFUNCTION("""COMPUTED_VALUE"""),"W50")</f>
        <v>W50</v>
      </c>
      <c r="C188" s="186">
        <f>IFERROR(__xludf.DUMMYFUNCTION("""COMPUTED_VALUE"""),306.0)</f>
        <v>306</v>
      </c>
      <c r="D188" s="186" t="str">
        <f>IFERROR(__xludf.DUMMYFUNCTION("""COMPUTED_VALUE"""),"CON-00-136623-3")</f>
        <v>CON-00-136623-3</v>
      </c>
      <c r="E188" s="186" t="str">
        <f>IFERROR(__xludf.DUMMYFUNCTION("""COMPUTED_VALUE"""),"Indian style butter chicken")</f>
        <v>Indian style butter chicken</v>
      </c>
      <c r="F188" s="186" t="str">
        <f>IFERROR(__xludf.DUMMYFUNCTION("""COMPUTED_VALUE"""),"Indisches Butterhuhn")</f>
        <v>Indisches Butterhuhn</v>
      </c>
      <c r="G188" s="186" t="str">
        <f>IFERROR(__xludf.DUMMYFUNCTION("""COMPUTED_VALUE"""),"FE0472B")</f>
        <v>FE0472B</v>
      </c>
      <c r="H188" s="186">
        <f>IFERROR(__xludf.DUMMYFUNCTION("""COMPUTED_VALUE"""),565145.0)</f>
        <v>565145</v>
      </c>
      <c r="I188" s="186" t="str">
        <f>IFERROR(__xludf.DUMMYFUNCTION("""COMPUTED_VALUE"""),"HF RW Butter Chicken")</f>
        <v>HF RW Butter Chicken</v>
      </c>
      <c r="J188" s="189">
        <f>IFERROR(__xludf.DUMMYFUNCTION("""COMPUTED_VALUE"""),2304.0)</f>
        <v>2304</v>
      </c>
      <c r="K188" s="189">
        <f>IFERROR(__xludf.DUMMYFUNCTION("""COMPUTED_VALUE"""),2274.0)</f>
        <v>2274</v>
      </c>
      <c r="L188" s="189">
        <f>IFERROR(__xludf.DUMMYFUNCTION("""COMPUTED_VALUE"""),2273.0)</f>
        <v>2273</v>
      </c>
      <c r="M188" s="189">
        <f>IFERROR(__xludf.DUMMYFUNCTION("""COMPUTED_VALUE"""),2158.0)</f>
        <v>2158</v>
      </c>
      <c r="N188" s="189">
        <f>IFERROR(__xludf.DUMMYFUNCTION("""COMPUTED_VALUE"""),2010.0)</f>
        <v>2010</v>
      </c>
      <c r="O188" s="189">
        <f>IFERROR(__xludf.DUMMYFUNCTION("""COMPUTED_VALUE"""),2025.0)</f>
        <v>2025</v>
      </c>
      <c r="P188" s="189">
        <f>IFERROR(__xludf.DUMMYFUNCTION("""COMPUTED_VALUE"""),1990.0)</f>
        <v>1990</v>
      </c>
      <c r="Q188" s="189">
        <f>IFERROR(__xludf.DUMMYFUNCTION("""COMPUTED_VALUE"""),1982.0)</f>
        <v>1982</v>
      </c>
      <c r="R188" s="189">
        <f>IFERROR(__xludf.DUMMYFUNCTION("""COMPUTED_VALUE"""),1967.0)</f>
        <v>1967</v>
      </c>
      <c r="S188" s="189">
        <f>IFERROR(__xludf.DUMMYFUNCTION("""COMPUTED_VALUE"""),1981.0)</f>
        <v>1981</v>
      </c>
    </row>
    <row r="189">
      <c r="A189" s="186" t="str">
        <f>IFERROR(__xludf.DUMMYFUNCTION("""COMPUTED_VALUE"""),"DE")</f>
        <v>DE</v>
      </c>
      <c r="B189" s="186" t="str">
        <f>IFERROR(__xludf.DUMMYFUNCTION("""COMPUTED_VALUE"""),"W50")</f>
        <v>W50</v>
      </c>
      <c r="C189" s="186">
        <f>IFERROR(__xludf.DUMMYFUNCTION("""COMPUTED_VALUE"""),307.0)</f>
        <v>307</v>
      </c>
      <c r="D189" s="186" t="str">
        <f>IFERROR(__xludf.DUMMYFUNCTION("""COMPUTED_VALUE"""),"CON-00-136664-3")</f>
        <v>CON-00-136664-3</v>
      </c>
      <c r="E189" s="186" t="str">
        <f>IFERROR(__xludf.DUMMYFUNCTION("""COMPUTED_VALUE"""),"Pork tenderloin in sundried tomato sauce")</f>
        <v>Pork tenderloin in sundried tomato sauce</v>
      </c>
      <c r="F189" s="186" t="str">
        <f>IFERROR(__xludf.DUMMYFUNCTION("""COMPUTED_VALUE"""),"Schweinefilet in Sonnentomaten-Sauce")</f>
        <v>Schweinefilet in Sonnentomaten-Sauce</v>
      </c>
      <c r="G189" s="186" t="str">
        <f>IFERROR(__xludf.DUMMYFUNCTION("""COMPUTED_VALUE"""),"FE4006A")</f>
        <v>FE4006A</v>
      </c>
      <c r="H189" s="186">
        <f>IFERROR(__xludf.DUMMYFUNCTION("""COMPUTED_VALUE"""),565063.0)</f>
        <v>565063</v>
      </c>
      <c r="I189" s="186" t="str">
        <f>IFERROR(__xludf.DUMMYFUNCTION("""COMPUTED_VALUE"""),"HF Varkenshaas met tomatensaus 384g")</f>
        <v>HF Varkenshaas met tomatensaus 384g</v>
      </c>
      <c r="J189" s="189">
        <f>IFERROR(__xludf.DUMMYFUNCTION("""COMPUTED_VALUE"""),1225.0)</f>
        <v>1225</v>
      </c>
      <c r="K189" s="189">
        <f>IFERROR(__xludf.DUMMYFUNCTION("""COMPUTED_VALUE"""),1219.0)</f>
        <v>1219</v>
      </c>
      <c r="L189" s="189">
        <f>IFERROR(__xludf.DUMMYFUNCTION("""COMPUTED_VALUE"""),1023.0)</f>
        <v>1023</v>
      </c>
      <c r="M189" s="189">
        <f>IFERROR(__xludf.DUMMYFUNCTION("""COMPUTED_VALUE"""),1113.0)</f>
        <v>1113</v>
      </c>
      <c r="N189" s="189">
        <f>IFERROR(__xludf.DUMMYFUNCTION("""COMPUTED_VALUE"""),1124.0)</f>
        <v>1124</v>
      </c>
      <c r="O189" s="189">
        <f>IFERROR(__xludf.DUMMYFUNCTION("""COMPUTED_VALUE"""),1085.0)</f>
        <v>1085</v>
      </c>
      <c r="P189" s="189">
        <f>IFERROR(__xludf.DUMMYFUNCTION("""COMPUTED_VALUE"""),1112.0)</f>
        <v>1112</v>
      </c>
      <c r="Q189" s="189">
        <f>IFERROR(__xludf.DUMMYFUNCTION("""COMPUTED_VALUE"""),1143.0)</f>
        <v>1143</v>
      </c>
      <c r="R189" s="189">
        <f>IFERROR(__xludf.DUMMYFUNCTION("""COMPUTED_VALUE"""),1118.0)</f>
        <v>1118</v>
      </c>
      <c r="S189" s="189">
        <f>IFERROR(__xludf.DUMMYFUNCTION("""COMPUTED_VALUE"""),1136.0)</f>
        <v>1136</v>
      </c>
    </row>
    <row r="190">
      <c r="A190" s="186" t="str">
        <f>IFERROR(__xludf.DUMMYFUNCTION("""COMPUTED_VALUE"""),"DE")</f>
        <v>DE</v>
      </c>
      <c r="B190" s="186" t="str">
        <f>IFERROR(__xludf.DUMMYFUNCTION("""COMPUTED_VALUE"""),"W50")</f>
        <v>W50</v>
      </c>
      <c r="C190" s="186">
        <f>IFERROR(__xludf.DUMMYFUNCTION("""COMPUTED_VALUE"""),308.0)</f>
        <v>308</v>
      </c>
      <c r="D190" s="186" t="str">
        <f>IFERROR(__xludf.DUMMYFUNCTION("""COMPUTED_VALUE"""),"CON-00-152029-2")</f>
        <v>CON-00-152029-2</v>
      </c>
      <c r="E190" s="186" t="str">
        <f>IFERROR(__xludf.DUMMYFUNCTION("""COMPUTED_VALUE"""),"Salmon Dijonnaise")</f>
        <v>Salmon Dijonnaise</v>
      </c>
      <c r="F190" s="186" t="str">
        <f>IFERROR(__xludf.DUMMYFUNCTION("""COMPUTED_VALUE"""),"Lachs Dijonnaise")</f>
        <v>Lachs Dijonnaise</v>
      </c>
      <c r="G190" s="186" t="str">
        <f>IFERROR(__xludf.DUMMYFUNCTION("""COMPUTED_VALUE"""),"FE1031A")</f>
        <v>FE1031A</v>
      </c>
      <c r="H190" s="186">
        <f>IFERROR(__xludf.DUMMYFUNCTION("""COMPUTED_VALUE"""),565207.0)</f>
        <v>565207</v>
      </c>
      <c r="I190" s="186" t="str">
        <f>IFERROR(__xludf.DUMMYFUNCTION("""COMPUTED_VALUE"""),"HF Zalm dijonnaise")</f>
        <v>HF Zalm dijonnaise</v>
      </c>
      <c r="J190" s="189">
        <f>IFERROR(__xludf.DUMMYFUNCTION("""COMPUTED_VALUE"""),1796.0)</f>
        <v>1796</v>
      </c>
      <c r="K190" s="189">
        <f>IFERROR(__xludf.DUMMYFUNCTION("""COMPUTED_VALUE"""),1717.0)</f>
        <v>1717</v>
      </c>
      <c r="L190" s="189">
        <f>IFERROR(__xludf.DUMMYFUNCTION("""COMPUTED_VALUE"""),1606.0)</f>
        <v>1606</v>
      </c>
      <c r="M190" s="189">
        <f>IFERROR(__xludf.DUMMYFUNCTION("""COMPUTED_VALUE"""),1788.0)</f>
        <v>1788</v>
      </c>
      <c r="N190" s="189">
        <f>IFERROR(__xludf.DUMMYFUNCTION("""COMPUTED_VALUE"""),1715.0)</f>
        <v>1715</v>
      </c>
      <c r="O190" s="189">
        <f>IFERROR(__xludf.DUMMYFUNCTION("""COMPUTED_VALUE"""),1714.0)</f>
        <v>1714</v>
      </c>
      <c r="P190" s="189">
        <f>IFERROR(__xludf.DUMMYFUNCTION("""COMPUTED_VALUE"""),1721.0)</f>
        <v>1721</v>
      </c>
      <c r="Q190" s="189">
        <f>IFERROR(__xludf.DUMMYFUNCTION("""COMPUTED_VALUE"""),1734.0)</f>
        <v>1734</v>
      </c>
      <c r="R190" s="189">
        <f>IFERROR(__xludf.DUMMYFUNCTION("""COMPUTED_VALUE"""),1765.0)</f>
        <v>1765</v>
      </c>
      <c r="S190" s="189">
        <f>IFERROR(__xludf.DUMMYFUNCTION("""COMPUTED_VALUE"""),1769.0)</f>
        <v>1769</v>
      </c>
    </row>
    <row r="191">
      <c r="A191" s="186" t="str">
        <f>IFERROR(__xludf.DUMMYFUNCTION("""COMPUTED_VALUE"""),"DE")</f>
        <v>DE</v>
      </c>
      <c r="B191" s="186" t="str">
        <f>IFERROR(__xludf.DUMMYFUNCTION("""COMPUTED_VALUE"""),"W50")</f>
        <v>W50</v>
      </c>
      <c r="C191" s="186">
        <f>IFERROR(__xludf.DUMMYFUNCTION("""COMPUTED_VALUE"""),309.0)</f>
        <v>309</v>
      </c>
      <c r="D191" s="186"/>
      <c r="E191" s="186"/>
      <c r="F191" s="186"/>
      <c r="G191" s="186" t="str">
        <f>IFERROR(__xludf.DUMMYFUNCTION("""COMPUTED_VALUE"""),"FE0121B")</f>
        <v>FE0121B</v>
      </c>
      <c r="H191" s="186"/>
      <c r="I191" s="186"/>
      <c r="J191" s="186">
        <f>IFERROR(__xludf.DUMMYFUNCTION("""COMPUTED_VALUE"""),442.0)</f>
        <v>442</v>
      </c>
      <c r="K191" s="186">
        <f>IFERROR(__xludf.DUMMYFUNCTION("""COMPUTED_VALUE"""),447.0)</f>
        <v>447</v>
      </c>
      <c r="L191" s="186">
        <f>IFERROR(__xludf.DUMMYFUNCTION("""COMPUTED_VALUE"""),364.0)</f>
        <v>364</v>
      </c>
      <c r="M191" s="186">
        <f>IFERROR(__xludf.DUMMYFUNCTION("""COMPUTED_VALUE"""),322.0)</f>
        <v>322</v>
      </c>
      <c r="N191" s="186">
        <f>IFERROR(__xludf.DUMMYFUNCTION("""COMPUTED_VALUE"""),322.0)</f>
        <v>322</v>
      </c>
      <c r="O191" s="186">
        <f>IFERROR(__xludf.DUMMYFUNCTION("""COMPUTED_VALUE"""),379.0)</f>
        <v>379</v>
      </c>
      <c r="P191" s="186">
        <f>IFERROR(__xludf.DUMMYFUNCTION("""COMPUTED_VALUE"""),373.0)</f>
        <v>373</v>
      </c>
      <c r="Q191" s="186">
        <f>IFERROR(__xludf.DUMMYFUNCTION("""COMPUTED_VALUE"""),383.0)</f>
        <v>383</v>
      </c>
      <c r="R191" s="186">
        <f>IFERROR(__xludf.DUMMYFUNCTION("""COMPUTED_VALUE"""),408.0)</f>
        <v>408</v>
      </c>
      <c r="S191" s="189">
        <f>IFERROR(__xludf.DUMMYFUNCTION("""COMPUTED_VALUE"""),391.0)</f>
        <v>391</v>
      </c>
    </row>
    <row r="192">
      <c r="A192" s="186" t="str">
        <f>IFERROR(__xludf.DUMMYFUNCTION("""COMPUTED_VALUE"""),"DE")</f>
        <v>DE</v>
      </c>
      <c r="B192" s="186" t="str">
        <f>IFERROR(__xludf.DUMMYFUNCTION("""COMPUTED_VALUE"""),"W50")</f>
        <v>W50</v>
      </c>
      <c r="C192" s="186">
        <f>IFERROR(__xludf.DUMMYFUNCTION("""COMPUTED_VALUE"""),310.0)</f>
        <v>310</v>
      </c>
      <c r="D192" s="186" t="str">
        <f>IFERROR(__xludf.DUMMYFUNCTION("""COMPUTED_VALUE"""),"CON-00-136634-3")</f>
        <v>CON-00-136634-3</v>
      </c>
      <c r="E192" s="186" t="str">
        <f>IFERROR(__xludf.DUMMYFUNCTION("""COMPUTED_VALUE"""),"Ratatouille of zucchini and pepper")</f>
        <v>Ratatouille of zucchini and pepper</v>
      </c>
      <c r="F192" s="186" t="str">
        <f>IFERROR(__xludf.DUMMYFUNCTION("""COMPUTED_VALUE"""),"Zucchini-Paprika-Ratatouille")</f>
        <v>Zucchini-Paprika-Ratatouille</v>
      </c>
      <c r="G192" s="186" t="str">
        <f>IFERROR(__xludf.DUMMYFUNCTION("""COMPUTED_VALUE"""),"FE0090C")</f>
        <v>FE0090C</v>
      </c>
      <c r="H192" s="186">
        <f>IFERROR(__xludf.DUMMYFUNCTION("""COMPUTED_VALUE"""),565141.0)</f>
        <v>565141</v>
      </c>
      <c r="I192" s="186"/>
      <c r="J192" s="186">
        <f>IFERROR(__xludf.DUMMYFUNCTION("""COMPUTED_VALUE"""),495.0)</f>
        <v>495</v>
      </c>
      <c r="K192" s="186">
        <f>IFERROR(__xludf.DUMMYFUNCTION("""COMPUTED_VALUE"""),513.0)</f>
        <v>513</v>
      </c>
      <c r="L192" s="186">
        <f>IFERROR(__xludf.DUMMYFUNCTION("""COMPUTED_VALUE"""),504.0)</f>
        <v>504</v>
      </c>
      <c r="M192" s="186">
        <f>IFERROR(__xludf.DUMMYFUNCTION("""COMPUTED_VALUE"""),346.0)</f>
        <v>346</v>
      </c>
      <c r="N192" s="186">
        <f>IFERROR(__xludf.DUMMYFUNCTION("""COMPUTED_VALUE"""),315.0)</f>
        <v>315</v>
      </c>
      <c r="O192" s="186">
        <f>IFERROR(__xludf.DUMMYFUNCTION("""COMPUTED_VALUE"""),343.0)</f>
        <v>343</v>
      </c>
      <c r="P192" s="186">
        <f>IFERROR(__xludf.DUMMYFUNCTION("""COMPUTED_VALUE"""),332.0)</f>
        <v>332</v>
      </c>
      <c r="Q192" s="186">
        <f>IFERROR(__xludf.DUMMYFUNCTION("""COMPUTED_VALUE"""),340.0)</f>
        <v>340</v>
      </c>
      <c r="R192" s="186">
        <f>IFERROR(__xludf.DUMMYFUNCTION("""COMPUTED_VALUE"""),349.0)</f>
        <v>349</v>
      </c>
      <c r="S192" s="186">
        <f>IFERROR(__xludf.DUMMYFUNCTION("""COMPUTED_VALUE"""),336.0)</f>
        <v>336</v>
      </c>
    </row>
    <row r="193">
      <c r="A193" s="186" t="str">
        <f>IFERROR(__xludf.DUMMYFUNCTION("""COMPUTED_VALUE"""),"DE")</f>
        <v>DE</v>
      </c>
      <c r="B193" s="186" t="str">
        <f>IFERROR(__xludf.DUMMYFUNCTION("""COMPUTED_VALUE"""),"W50")</f>
        <v>W50</v>
      </c>
      <c r="C193" s="186">
        <f>IFERROR(__xludf.DUMMYFUNCTION("""COMPUTED_VALUE"""),311.0)</f>
        <v>311</v>
      </c>
      <c r="D193" s="186" t="str">
        <f>IFERROR(__xludf.DUMMYFUNCTION("""COMPUTED_VALUE"""),"CON-00-152031-2")</f>
        <v>CON-00-152031-2</v>
      </c>
      <c r="E193" s="186" t="str">
        <f>IFERROR(__xludf.DUMMYFUNCTION("""COMPUTED_VALUE"""),"Spicy Beef &amp; Black Bean Chili")</f>
        <v>Spicy Beef &amp; Black Bean Chili</v>
      </c>
      <c r="F193" s="186" t="str">
        <f>IFERROR(__xludf.DUMMYFUNCTION("""COMPUTED_VALUE"""),"Würziges Rindfleisch-Bohnen-Chili")</f>
        <v>Würziges Rindfleisch-Bohnen-Chili</v>
      </c>
      <c r="G193" s="186" t="str">
        <f>IFERROR(__xludf.DUMMYFUNCTION("""COMPUTED_VALUE"""),"FE4065A")</f>
        <v>FE4065A</v>
      </c>
      <c r="H193" s="186">
        <f>IFERROR(__xludf.DUMMYFUNCTION("""COMPUTED_VALUE"""),565214.0)</f>
        <v>565214</v>
      </c>
      <c r="I193" s="186" t="str">
        <f>IFERROR(__xludf.DUMMYFUNCTION("""COMPUTED_VALUE"""),"HF Pittige runder chili")</f>
        <v>HF Pittige runder chili</v>
      </c>
      <c r="J193" s="186">
        <f>IFERROR(__xludf.DUMMYFUNCTION("""COMPUTED_VALUE"""),756.0)</f>
        <v>756</v>
      </c>
      <c r="K193" s="186">
        <f>IFERROR(__xludf.DUMMYFUNCTION("""COMPUTED_VALUE"""),772.0)</f>
        <v>772</v>
      </c>
      <c r="L193" s="186">
        <f>IFERROR(__xludf.DUMMYFUNCTION("""COMPUTED_VALUE"""),676.0)</f>
        <v>676</v>
      </c>
      <c r="M193" s="186">
        <f>IFERROR(__xludf.DUMMYFUNCTION("""COMPUTED_VALUE"""),680.0)</f>
        <v>680</v>
      </c>
      <c r="N193" s="186">
        <f>IFERROR(__xludf.DUMMYFUNCTION("""COMPUTED_VALUE"""),637.0)</f>
        <v>637</v>
      </c>
      <c r="O193" s="186">
        <f>IFERROR(__xludf.DUMMYFUNCTION("""COMPUTED_VALUE"""),604.0)</f>
        <v>604</v>
      </c>
      <c r="P193" s="186">
        <f>IFERROR(__xludf.DUMMYFUNCTION("""COMPUTED_VALUE"""),604.0)</f>
        <v>604</v>
      </c>
      <c r="Q193" s="186">
        <f>IFERROR(__xludf.DUMMYFUNCTION("""COMPUTED_VALUE"""),624.0)</f>
        <v>624</v>
      </c>
      <c r="R193" s="186">
        <f>IFERROR(__xludf.DUMMYFUNCTION("""COMPUTED_VALUE"""),668.0)</f>
        <v>668</v>
      </c>
      <c r="S193" s="189">
        <f>IFERROR(__xludf.DUMMYFUNCTION("""COMPUTED_VALUE"""),669.0)</f>
        <v>669</v>
      </c>
    </row>
    <row r="194">
      <c r="A194" s="186" t="str">
        <f>IFERROR(__xludf.DUMMYFUNCTION("""COMPUTED_VALUE"""),"DE")</f>
        <v>DE</v>
      </c>
      <c r="B194" s="186" t="str">
        <f>IFERROR(__xludf.DUMMYFUNCTION("""COMPUTED_VALUE"""),"W50")</f>
        <v>W50</v>
      </c>
      <c r="C194" s="186">
        <f>IFERROR(__xludf.DUMMYFUNCTION("""COMPUTED_VALUE"""),312.0)</f>
        <v>312</v>
      </c>
      <c r="D194" s="186" t="str">
        <f>IFERROR(__xludf.DUMMYFUNCTION("""COMPUTED_VALUE"""),"CON-00-152036-2")</f>
        <v>CON-00-152036-2</v>
      </c>
      <c r="E194" s="186" t="str">
        <f>IFERROR(__xludf.DUMMYFUNCTION("""COMPUTED_VALUE"""),"Caribbean Mango Salsa Salmon")</f>
        <v>Caribbean Mango Salsa Salmon</v>
      </c>
      <c r="F194" s="186" t="str">
        <f>IFERROR(__xludf.DUMMYFUNCTION("""COMPUTED_VALUE"""),"Karibischer Lachs mit Mangosalsa")</f>
        <v>Karibischer Lachs mit Mangosalsa</v>
      </c>
      <c r="G194" s="186" t="str">
        <f>IFERROR(__xludf.DUMMYFUNCTION("""COMPUTED_VALUE"""),"FE1465A")</f>
        <v>FE1465A</v>
      </c>
      <c r="H194" s="186">
        <f>IFERROR(__xludf.DUMMYFUNCTION("""COMPUTED_VALUE"""),565198.0)</f>
        <v>565198</v>
      </c>
      <c r="I194" s="186" t="str">
        <f>IFERROR(__xludf.DUMMYFUNCTION("""COMPUTED_VALUE"""),"HF Mango salsa zalm")</f>
        <v>HF Mango salsa zalm</v>
      </c>
      <c r="J194" s="189">
        <f>IFERROR(__xludf.DUMMYFUNCTION("""COMPUTED_VALUE"""),1743.0)</f>
        <v>1743</v>
      </c>
      <c r="K194" s="189">
        <f>IFERROR(__xludf.DUMMYFUNCTION("""COMPUTED_VALUE"""),1783.0)</f>
        <v>1783</v>
      </c>
      <c r="L194" s="189">
        <f>IFERROR(__xludf.DUMMYFUNCTION("""COMPUTED_VALUE"""),2079.0)</f>
        <v>2079</v>
      </c>
      <c r="M194" s="189">
        <f>IFERROR(__xludf.DUMMYFUNCTION("""COMPUTED_VALUE"""),1523.0)</f>
        <v>1523</v>
      </c>
      <c r="N194" s="189">
        <f>IFERROR(__xludf.DUMMYFUNCTION("""COMPUTED_VALUE"""),1476.0)</f>
        <v>1476</v>
      </c>
      <c r="O194" s="189">
        <f>IFERROR(__xludf.DUMMYFUNCTION("""COMPUTED_VALUE"""),1499.0)</f>
        <v>1499</v>
      </c>
      <c r="P194" s="189">
        <f>IFERROR(__xludf.DUMMYFUNCTION("""COMPUTED_VALUE"""),1506.0)</f>
        <v>1506</v>
      </c>
      <c r="Q194" s="189">
        <f>IFERROR(__xludf.DUMMYFUNCTION("""COMPUTED_VALUE"""),1520.0)</f>
        <v>1520</v>
      </c>
      <c r="R194" s="189">
        <f>IFERROR(__xludf.DUMMYFUNCTION("""COMPUTED_VALUE"""),1584.0)</f>
        <v>1584</v>
      </c>
      <c r="S194" s="189">
        <f>IFERROR(__xludf.DUMMYFUNCTION("""COMPUTED_VALUE"""),1587.0)</f>
        <v>1587</v>
      </c>
    </row>
    <row r="195">
      <c r="A195" s="186" t="str">
        <f>IFERROR(__xludf.DUMMYFUNCTION("""COMPUTED_VALUE"""),"DE")</f>
        <v>DE</v>
      </c>
      <c r="B195" s="186" t="str">
        <f>IFERROR(__xludf.DUMMYFUNCTION("""COMPUTED_VALUE"""),"W50")</f>
        <v>W50</v>
      </c>
      <c r="C195" s="186">
        <f>IFERROR(__xludf.DUMMYFUNCTION("""COMPUTED_VALUE"""),313.0)</f>
        <v>313</v>
      </c>
      <c r="D195" s="186" t="str">
        <f>IFERROR(__xludf.DUMMYFUNCTION("""COMPUTED_VALUE"""),"CON-00-136656-3")</f>
        <v>CON-00-136656-3</v>
      </c>
      <c r="E195" s="186" t="str">
        <f>IFERROR(__xludf.DUMMYFUNCTION("""COMPUTED_VALUE"""),"Thai style chicken and peanut sauce")</f>
        <v>Thai style chicken and peanut sauce</v>
      </c>
      <c r="F195" s="186" t="str">
        <f>IFERROR(__xludf.DUMMYFUNCTION("""COMPUTED_VALUE"""),"Thai-Style Hähnchen in Erdnusssauce")</f>
        <v>Thai-Style Hähnchen in Erdnusssauce</v>
      </c>
      <c r="G195" s="186" t="str">
        <f>IFERROR(__xludf.DUMMYFUNCTION("""COMPUTED_VALUE"""),"FE0673B")</f>
        <v>FE0673B</v>
      </c>
      <c r="H195" s="186">
        <f>IFERROR(__xludf.DUMMYFUNCTION("""COMPUTED_VALUE"""),565058.0)</f>
        <v>565058</v>
      </c>
      <c r="I195" s="186" t="str">
        <f>IFERROR(__xludf.DUMMYFUNCTION("""COMPUTED_VALUE"""),"HF Kip Kokosrijst Pindasaus")</f>
        <v>HF Kip Kokosrijst Pindasaus</v>
      </c>
      <c r="J195" s="189">
        <f>IFERROR(__xludf.DUMMYFUNCTION("""COMPUTED_VALUE"""),1753.0)</f>
        <v>1753</v>
      </c>
      <c r="K195" s="189">
        <f>IFERROR(__xludf.DUMMYFUNCTION("""COMPUTED_VALUE"""),1640.0)</f>
        <v>1640</v>
      </c>
      <c r="L195" s="189">
        <f>IFERROR(__xludf.DUMMYFUNCTION("""COMPUTED_VALUE"""),1690.0)</f>
        <v>1690</v>
      </c>
      <c r="M195" s="189">
        <f>IFERROR(__xludf.DUMMYFUNCTION("""COMPUTED_VALUE"""),1594.0)</f>
        <v>1594</v>
      </c>
      <c r="N195" s="189">
        <f>IFERROR(__xludf.DUMMYFUNCTION("""COMPUTED_VALUE"""),1517.0)</f>
        <v>1517</v>
      </c>
      <c r="O195" s="189">
        <f>IFERROR(__xludf.DUMMYFUNCTION("""COMPUTED_VALUE"""),1479.0)</f>
        <v>1479</v>
      </c>
      <c r="P195" s="189">
        <f>IFERROR(__xludf.DUMMYFUNCTION("""COMPUTED_VALUE"""),1505.0)</f>
        <v>1505</v>
      </c>
      <c r="Q195" s="189">
        <f>IFERROR(__xludf.DUMMYFUNCTION("""COMPUTED_VALUE"""),1509.0)</f>
        <v>1509</v>
      </c>
      <c r="R195" s="189">
        <f>IFERROR(__xludf.DUMMYFUNCTION("""COMPUTED_VALUE"""),1517.0)</f>
        <v>1517</v>
      </c>
      <c r="S195" s="189">
        <f>IFERROR(__xludf.DUMMYFUNCTION("""COMPUTED_VALUE"""),1531.0)</f>
        <v>1531</v>
      </c>
    </row>
    <row r="196">
      <c r="A196" s="186" t="str">
        <f>IFERROR(__xludf.DUMMYFUNCTION("""COMPUTED_VALUE"""),"DE")</f>
        <v>DE</v>
      </c>
      <c r="B196" s="186" t="str">
        <f>IFERROR(__xludf.DUMMYFUNCTION("""COMPUTED_VALUE"""),"W50")</f>
        <v>W50</v>
      </c>
      <c r="C196" s="186">
        <f>IFERROR(__xludf.DUMMYFUNCTION("""COMPUTED_VALUE"""),314.0)</f>
        <v>314</v>
      </c>
      <c r="D196" s="186" t="str">
        <f>IFERROR(__xludf.DUMMYFUNCTION("""COMPUTED_VALUE"""),"CON-00-150748-2")</f>
        <v>CON-00-150748-2</v>
      </c>
      <c r="E196" s="186" t="str">
        <f>IFERROR(__xludf.DUMMYFUNCTION("""COMPUTED_VALUE"""),"West African Style Chicken Peanut Curry")</f>
        <v>West African Style Chicken Peanut Curry</v>
      </c>
      <c r="F196" s="186" t="str">
        <f>IFERROR(__xludf.DUMMYFUNCTION("""COMPUTED_VALUE"""),"Westafrikanisches Hähnchen-Erdnuss-Curry")</f>
        <v>Westafrikanisches Hähnchen-Erdnuss-Curry</v>
      </c>
      <c r="G196" s="186" t="str">
        <f>IFERROR(__xludf.DUMMYFUNCTION("""COMPUTED_VALUE"""),"FE1451A")</f>
        <v>FE1451A</v>
      </c>
      <c r="H196" s="186">
        <f>IFERROR(__xludf.DUMMYFUNCTION("""COMPUTED_VALUE"""),565178.0)</f>
        <v>565178</v>
      </c>
      <c r="I196" s="186" t="str">
        <f>IFERROR(__xludf.DUMMYFUNCTION("""COMPUTED_VALUE"""),"HF Kruidige pinda curry")</f>
        <v>HF Kruidige pinda curry</v>
      </c>
      <c r="J196" s="186">
        <f>IFERROR(__xludf.DUMMYFUNCTION("""COMPUTED_VALUE"""),988.0)</f>
        <v>988</v>
      </c>
      <c r="K196" s="189">
        <f>IFERROR(__xludf.DUMMYFUNCTION("""COMPUTED_VALUE"""),1030.0)</f>
        <v>1030</v>
      </c>
      <c r="L196" s="189">
        <f>IFERROR(__xludf.DUMMYFUNCTION("""COMPUTED_VALUE"""),1389.0)</f>
        <v>1389</v>
      </c>
      <c r="M196" s="189">
        <f>IFERROR(__xludf.DUMMYFUNCTION("""COMPUTED_VALUE"""),1103.0)</f>
        <v>1103</v>
      </c>
      <c r="N196" s="189">
        <f>IFERROR(__xludf.DUMMYFUNCTION("""COMPUTED_VALUE"""),1022.0)</f>
        <v>1022</v>
      </c>
      <c r="O196" s="189">
        <f>IFERROR(__xludf.DUMMYFUNCTION("""COMPUTED_VALUE"""),980.0)</f>
        <v>980</v>
      </c>
      <c r="P196" s="189">
        <f>IFERROR(__xludf.DUMMYFUNCTION("""COMPUTED_VALUE"""),979.0)</f>
        <v>979</v>
      </c>
      <c r="Q196" s="189">
        <f>IFERROR(__xludf.DUMMYFUNCTION("""COMPUTED_VALUE"""),970.0)</f>
        <v>970</v>
      </c>
      <c r="R196" s="189">
        <f>IFERROR(__xludf.DUMMYFUNCTION("""COMPUTED_VALUE"""),978.0)</f>
        <v>978</v>
      </c>
      <c r="S196" s="189">
        <f>IFERROR(__xludf.DUMMYFUNCTION("""COMPUTED_VALUE"""),958.0)</f>
        <v>958</v>
      </c>
    </row>
    <row r="197">
      <c r="A197" s="186" t="str">
        <f>IFERROR(__xludf.DUMMYFUNCTION("""COMPUTED_VALUE"""),"DE")</f>
        <v>DE</v>
      </c>
      <c r="B197" s="186" t="str">
        <f>IFERROR(__xludf.DUMMYFUNCTION("""COMPUTED_VALUE"""),"W50")</f>
        <v>W50</v>
      </c>
      <c r="C197" s="186">
        <f>IFERROR(__xludf.DUMMYFUNCTION("""COMPUTED_VALUE"""),315.0)</f>
        <v>315</v>
      </c>
      <c r="D197" s="186" t="str">
        <f>IFERROR(__xludf.DUMMYFUNCTION("""COMPUTED_VALUE"""),"CON-00-138996-2")</f>
        <v>CON-00-138996-2</v>
      </c>
      <c r="E197" s="186" t="str">
        <f>IFERROR(__xludf.DUMMYFUNCTION("""COMPUTED_VALUE"""),"Cheddar pulled beef")</f>
        <v>Cheddar pulled beef</v>
      </c>
      <c r="F197" s="186" t="str">
        <f>IFERROR(__xludf.DUMMYFUNCTION("""COMPUTED_VALUE"""),"Cheddar Pulled Beef")</f>
        <v>Cheddar Pulled Beef</v>
      </c>
      <c r="G197" s="186" t="str">
        <f>IFERROR(__xludf.DUMMYFUNCTION("""COMPUTED_VALUE"""),"FE4063A")</f>
        <v>FE4063A</v>
      </c>
      <c r="H197" s="186">
        <f>IFERROR(__xludf.DUMMYFUNCTION("""COMPUTED_VALUE"""),565136.0)</f>
        <v>565136</v>
      </c>
      <c r="I197" s="186"/>
      <c r="J197" s="186">
        <f>IFERROR(__xludf.DUMMYFUNCTION("""COMPUTED_VALUE"""),733.0)</f>
        <v>733</v>
      </c>
      <c r="K197" s="189">
        <f>IFERROR(__xludf.DUMMYFUNCTION("""COMPUTED_VALUE"""),788.0)</f>
        <v>788</v>
      </c>
      <c r="L197" s="189">
        <f>IFERROR(__xludf.DUMMYFUNCTION("""COMPUTED_VALUE"""),590.0)</f>
        <v>590</v>
      </c>
      <c r="M197" s="189">
        <f>IFERROR(__xludf.DUMMYFUNCTION("""COMPUTED_VALUE"""),773.0)</f>
        <v>773</v>
      </c>
      <c r="N197" s="186">
        <f>IFERROR(__xludf.DUMMYFUNCTION("""COMPUTED_VALUE"""),727.0)</f>
        <v>727</v>
      </c>
      <c r="O197" s="186">
        <f>IFERROR(__xludf.DUMMYFUNCTION("""COMPUTED_VALUE"""),726.0)</f>
        <v>726</v>
      </c>
      <c r="P197" s="186">
        <f>IFERROR(__xludf.DUMMYFUNCTION("""COMPUTED_VALUE"""),733.0)</f>
        <v>733</v>
      </c>
      <c r="Q197" s="186">
        <f>IFERROR(__xludf.DUMMYFUNCTION("""COMPUTED_VALUE"""),762.0)</f>
        <v>762</v>
      </c>
      <c r="R197" s="186">
        <f>IFERROR(__xludf.DUMMYFUNCTION("""COMPUTED_VALUE"""),803.0)</f>
        <v>803</v>
      </c>
      <c r="S197" s="189">
        <f>IFERROR(__xludf.DUMMYFUNCTION("""COMPUTED_VALUE"""),775.0)</f>
        <v>775</v>
      </c>
    </row>
    <row r="198">
      <c r="A198" s="186" t="str">
        <f>IFERROR(__xludf.DUMMYFUNCTION("""COMPUTED_VALUE"""),"DE")</f>
        <v>DE</v>
      </c>
      <c r="B198" s="186" t="str">
        <f>IFERROR(__xludf.DUMMYFUNCTION("""COMPUTED_VALUE"""),"W50")</f>
        <v>W50</v>
      </c>
      <c r="C198" s="186">
        <f>IFERROR(__xludf.DUMMYFUNCTION("""COMPUTED_VALUE"""),316.0)</f>
        <v>316</v>
      </c>
      <c r="D198" s="186" t="str">
        <f>IFERROR(__xludf.DUMMYFUNCTION("""COMPUTED_VALUE"""),"CON-00-136695-3")</f>
        <v>CON-00-136695-3</v>
      </c>
      <c r="E198" s="186" t="str">
        <f>IFERROR(__xludf.DUMMYFUNCTION("""COMPUTED_VALUE"""),"Chicken in lemon-capers sauce")</f>
        <v>Chicken in lemon-capers sauce</v>
      </c>
      <c r="F198" s="186" t="str">
        <f>IFERROR(__xludf.DUMMYFUNCTION("""COMPUTED_VALUE"""),"Hähnchen in Zitronen-Kapern-Sauce")</f>
        <v>Hähnchen in Zitronen-Kapern-Sauce</v>
      </c>
      <c r="G198" s="186" t="str">
        <f>IFERROR(__xludf.DUMMYFUNCTION("""COMPUTED_VALUE"""),"FE0025M")</f>
        <v>FE0025M</v>
      </c>
      <c r="H198" s="186">
        <f>IFERROR(__xludf.DUMMYFUNCTION("""COMPUTED_VALUE"""),565149.0)</f>
        <v>565149</v>
      </c>
      <c r="I198" s="186" t="str">
        <f>IFERROR(__xludf.DUMMYFUNCTION("""COMPUTED_VALUE"""),"HF Kip Piccata met broccoli")</f>
        <v>HF Kip Piccata met broccoli</v>
      </c>
      <c r="J198" s="186">
        <f>IFERROR(__xludf.DUMMYFUNCTION("""COMPUTED_VALUE"""),804.0)</f>
        <v>804</v>
      </c>
      <c r="K198" s="189">
        <f>IFERROR(__xludf.DUMMYFUNCTION("""COMPUTED_VALUE"""),767.0)</f>
        <v>767</v>
      </c>
      <c r="L198" s="189">
        <f>IFERROR(__xludf.DUMMYFUNCTION("""COMPUTED_VALUE"""),436.0)</f>
        <v>436</v>
      </c>
      <c r="M198" s="189">
        <f>IFERROR(__xludf.DUMMYFUNCTION("""COMPUTED_VALUE"""),515.0)</f>
        <v>515</v>
      </c>
      <c r="N198" s="186">
        <f>IFERROR(__xludf.DUMMYFUNCTION("""COMPUTED_VALUE"""),478.0)</f>
        <v>478</v>
      </c>
      <c r="O198" s="186">
        <f>IFERROR(__xludf.DUMMYFUNCTION("""COMPUTED_VALUE"""),452.0)</f>
        <v>452</v>
      </c>
      <c r="P198" s="186">
        <f>IFERROR(__xludf.DUMMYFUNCTION("""COMPUTED_VALUE"""),451.0)</f>
        <v>451</v>
      </c>
      <c r="Q198" s="186">
        <f>IFERROR(__xludf.DUMMYFUNCTION("""COMPUTED_VALUE"""),456.0)</f>
        <v>456</v>
      </c>
      <c r="R198" s="186">
        <f>IFERROR(__xludf.DUMMYFUNCTION("""COMPUTED_VALUE"""),487.0)</f>
        <v>487</v>
      </c>
      <c r="S198" s="189">
        <f>IFERROR(__xludf.DUMMYFUNCTION("""COMPUTED_VALUE"""),487.0)</f>
        <v>487</v>
      </c>
    </row>
    <row r="199">
      <c r="A199" s="186" t="str">
        <f>IFERROR(__xludf.DUMMYFUNCTION("""COMPUTED_VALUE"""),"DE")</f>
        <v>DE</v>
      </c>
      <c r="B199" s="186" t="str">
        <f>IFERROR(__xludf.DUMMYFUNCTION("""COMPUTED_VALUE"""),"W50")</f>
        <v>W50</v>
      </c>
      <c r="C199" s="186">
        <f>IFERROR(__xludf.DUMMYFUNCTION("""COMPUTED_VALUE"""),317.0)</f>
        <v>317</v>
      </c>
      <c r="D199" s="186" t="str">
        <f>IFERROR(__xludf.DUMMYFUNCTION("""COMPUTED_VALUE"""),"CON-00-136679-3")</f>
        <v>CON-00-136679-3</v>
      </c>
      <c r="E199" s="186" t="str">
        <f>IFERROR(__xludf.DUMMYFUNCTION("""COMPUTED_VALUE"""),"Grilled pork tenderloin with broccoli in peppersauce")</f>
        <v>Grilled pork tenderloin with broccoli in peppersauce</v>
      </c>
      <c r="F199" s="186" t="str">
        <f>IFERROR(__xludf.DUMMYFUNCTION("""COMPUTED_VALUE"""),"Gegrilltes Schweinefilet mit Brokkoli in Paprikasauce")</f>
        <v>Gegrilltes Schweinefilet mit Brokkoli in Paprikasauce</v>
      </c>
      <c r="G199" s="186" t="str">
        <f>IFERROR(__xludf.DUMMYFUNCTION("""COMPUTED_VALUE"""),"FE4020A")</f>
        <v>FE4020A</v>
      </c>
      <c r="H199" s="186">
        <f>IFERROR(__xludf.DUMMYFUNCTION("""COMPUTED_VALUE"""),565071.0)</f>
        <v>565071</v>
      </c>
      <c r="I199" s="186" t="str">
        <f>IFERROR(__xludf.DUMMYFUNCTION("""COMPUTED_VALUE"""),"HF Gegrilde varkenshaas met broccoli in paprikasaus")</f>
        <v>HF Gegrilde varkenshaas met broccoli in paprikasaus</v>
      </c>
      <c r="J199" s="186">
        <f>IFERROR(__xludf.DUMMYFUNCTION("""COMPUTED_VALUE"""),615.0)</f>
        <v>615</v>
      </c>
      <c r="K199" s="189">
        <f>IFERROR(__xludf.DUMMYFUNCTION("""COMPUTED_VALUE"""),605.0)</f>
        <v>605</v>
      </c>
      <c r="L199" s="189">
        <f>IFERROR(__xludf.DUMMYFUNCTION("""COMPUTED_VALUE"""),486.0)</f>
        <v>486</v>
      </c>
      <c r="M199" s="189">
        <f>IFERROR(__xludf.DUMMYFUNCTION("""COMPUTED_VALUE"""),560.0)</f>
        <v>560</v>
      </c>
      <c r="N199" s="189">
        <f>IFERROR(__xludf.DUMMYFUNCTION("""COMPUTED_VALUE"""),586.0)</f>
        <v>586</v>
      </c>
      <c r="O199" s="189">
        <f>IFERROR(__xludf.DUMMYFUNCTION("""COMPUTED_VALUE"""),536.0)</f>
        <v>536</v>
      </c>
      <c r="P199" s="189">
        <f>IFERROR(__xludf.DUMMYFUNCTION("""COMPUTED_VALUE"""),506.0)</f>
        <v>506</v>
      </c>
      <c r="Q199" s="189">
        <f>IFERROR(__xludf.DUMMYFUNCTION("""COMPUTED_VALUE"""),509.0)</f>
        <v>509</v>
      </c>
      <c r="R199" s="189">
        <f>IFERROR(__xludf.DUMMYFUNCTION("""COMPUTED_VALUE"""),517.0)</f>
        <v>517</v>
      </c>
      <c r="S199" s="189">
        <f>IFERROR(__xludf.DUMMYFUNCTION("""COMPUTED_VALUE"""),522.0)</f>
        <v>522</v>
      </c>
    </row>
    <row r="200">
      <c r="A200" s="186" t="str">
        <f>IFERROR(__xludf.DUMMYFUNCTION("""COMPUTED_VALUE"""),"DE")</f>
        <v>DE</v>
      </c>
      <c r="B200" s="186" t="str">
        <f>IFERROR(__xludf.DUMMYFUNCTION("""COMPUTED_VALUE"""),"W50")</f>
        <v>W50</v>
      </c>
      <c r="C200" s="186">
        <f>IFERROR(__xludf.DUMMYFUNCTION("""COMPUTED_VALUE"""),318.0)</f>
        <v>318</v>
      </c>
      <c r="D200" s="186" t="str">
        <f>IFERROR(__xludf.DUMMYFUNCTION("""COMPUTED_VALUE"""),"CON-00-136726-3")</f>
        <v>CON-00-136726-3</v>
      </c>
      <c r="E200" s="186" t="str">
        <f>IFERROR(__xludf.DUMMYFUNCTION("""COMPUTED_VALUE"""),"Pork tenderloin with apple-mustard sauce")</f>
        <v>Pork tenderloin with apple-mustard sauce</v>
      </c>
      <c r="F200" s="186" t="str">
        <f>IFERROR(__xludf.DUMMYFUNCTION("""COMPUTED_VALUE"""),"Schweinefilet mit Apfel-Senf-Soße")</f>
        <v>Schweinefilet mit Apfel-Senf-Soße</v>
      </c>
      <c r="G200" s="186" t="str">
        <f>IFERROR(__xludf.DUMMYFUNCTION("""COMPUTED_VALUE"""),"FE0890B")</f>
        <v>FE0890B</v>
      </c>
      <c r="H200" s="186">
        <f>IFERROR(__xludf.DUMMYFUNCTION("""COMPUTED_VALUE"""),565117.0)</f>
        <v>565117</v>
      </c>
      <c r="I200" s="186"/>
      <c r="J200" s="186">
        <f>IFERROR(__xludf.DUMMYFUNCTION("""COMPUTED_VALUE"""),585.0)</f>
        <v>585</v>
      </c>
      <c r="K200" s="186">
        <f>IFERROR(__xludf.DUMMYFUNCTION("""COMPUTED_VALUE"""),574.0)</f>
        <v>574</v>
      </c>
      <c r="L200" s="186">
        <f>IFERROR(__xludf.DUMMYFUNCTION("""COMPUTED_VALUE"""),493.0)</f>
        <v>493</v>
      </c>
      <c r="M200" s="186">
        <f>IFERROR(__xludf.DUMMYFUNCTION("""COMPUTED_VALUE"""),485.0)</f>
        <v>485</v>
      </c>
      <c r="N200" s="186">
        <f>IFERROR(__xludf.DUMMYFUNCTION("""COMPUTED_VALUE"""),500.0)</f>
        <v>500</v>
      </c>
      <c r="O200" s="186">
        <f>IFERROR(__xludf.DUMMYFUNCTION("""COMPUTED_VALUE"""),478.0)</f>
        <v>478</v>
      </c>
      <c r="P200" s="186">
        <f>IFERROR(__xludf.DUMMYFUNCTION("""COMPUTED_VALUE"""),476.0)</f>
        <v>476</v>
      </c>
      <c r="Q200" s="186">
        <f>IFERROR(__xludf.DUMMYFUNCTION("""COMPUTED_VALUE"""),485.0)</f>
        <v>485</v>
      </c>
      <c r="R200" s="186">
        <f>IFERROR(__xludf.DUMMYFUNCTION("""COMPUTED_VALUE"""),513.0)</f>
        <v>513</v>
      </c>
      <c r="S200" s="189">
        <f>IFERROR(__xludf.DUMMYFUNCTION("""COMPUTED_VALUE"""),510.0)</f>
        <v>510</v>
      </c>
    </row>
    <row r="201">
      <c r="A201" s="186" t="str">
        <f>IFERROR(__xludf.DUMMYFUNCTION("""COMPUTED_VALUE"""),"DE")</f>
        <v>DE</v>
      </c>
      <c r="B201" s="186" t="str">
        <f>IFERROR(__xludf.DUMMYFUNCTION("""COMPUTED_VALUE"""),"W50")</f>
        <v>W50</v>
      </c>
      <c r="C201" s="186">
        <f>IFERROR(__xludf.DUMMYFUNCTION("""COMPUTED_VALUE"""),806.0)</f>
        <v>806</v>
      </c>
      <c r="D201" s="186" t="str">
        <f>IFERROR(__xludf.DUMMYFUNCTION("""COMPUTED_VALUE"""),"PTN-00-136930-3")</f>
        <v>PTN-00-136930-3</v>
      </c>
      <c r="E201" s="186" t="str">
        <f>IFERROR(__xludf.DUMMYFUNCTION("""COMPUTED_VALUE"""),"Garlic Herb Grilled Chicken")</f>
        <v>Garlic Herb Grilled Chicken</v>
      </c>
      <c r="F201" s="186" t="str">
        <f>IFERROR(__xludf.DUMMYFUNCTION("""COMPUTED_VALUE"""),"Gegrilltes Hähnchen mit Knoblauch-Kräutern")</f>
        <v>Gegrilltes Hähnchen mit Knoblauch-Kräutern</v>
      </c>
      <c r="G201" s="186" t="str">
        <f>IFERROR(__xludf.DUMMYFUNCTION("""COMPUTED_VALUE"""),"FEA006A")</f>
        <v>FEA006A</v>
      </c>
      <c r="H201" s="186">
        <f>IFERROR(__xludf.DUMMYFUNCTION("""COMPUTED_VALUE"""),565119.0)</f>
        <v>565119</v>
      </c>
      <c r="I201" s="186"/>
      <c r="J201" s="186">
        <f>IFERROR(__xludf.DUMMYFUNCTION("""COMPUTED_VALUE"""),79.0)</f>
        <v>79</v>
      </c>
      <c r="K201" s="186">
        <f>IFERROR(__xludf.DUMMYFUNCTION("""COMPUTED_VALUE"""),79.0)</f>
        <v>79</v>
      </c>
      <c r="L201" s="186">
        <f>IFERROR(__xludf.DUMMYFUNCTION("""COMPUTED_VALUE"""),79.0)</f>
        <v>79</v>
      </c>
      <c r="M201" s="186">
        <f>IFERROR(__xludf.DUMMYFUNCTION("""COMPUTED_VALUE"""),79.0)</f>
        <v>79</v>
      </c>
      <c r="N201" s="186">
        <f>IFERROR(__xludf.DUMMYFUNCTION("""COMPUTED_VALUE"""),79.0)</f>
        <v>79</v>
      </c>
      <c r="O201" s="186">
        <f>IFERROR(__xludf.DUMMYFUNCTION("""COMPUTED_VALUE"""),79.0)</f>
        <v>79</v>
      </c>
      <c r="P201" s="186">
        <f>IFERROR(__xludf.DUMMYFUNCTION("""COMPUTED_VALUE"""),79.0)</f>
        <v>79</v>
      </c>
      <c r="Q201" s="186">
        <f>IFERROR(__xludf.DUMMYFUNCTION("""COMPUTED_VALUE"""),79.0)</f>
        <v>79</v>
      </c>
      <c r="R201" s="186">
        <f>IFERROR(__xludf.DUMMYFUNCTION("""COMPUTED_VALUE"""),51.0)</f>
        <v>51</v>
      </c>
      <c r="S201" s="189">
        <f>IFERROR(__xludf.DUMMYFUNCTION("""COMPUTED_VALUE"""),55.0)</f>
        <v>55</v>
      </c>
    </row>
    <row r="202">
      <c r="A202" s="186" t="str">
        <f>IFERROR(__xludf.DUMMYFUNCTION("""COMPUTED_VALUE"""),"DE")</f>
        <v>DE</v>
      </c>
      <c r="B202" s="186" t="str">
        <f>IFERROR(__xludf.DUMMYFUNCTION("""COMPUTED_VALUE"""),"W50")</f>
        <v>W50</v>
      </c>
      <c r="C202" s="186"/>
      <c r="D202" s="186"/>
      <c r="E202" s="186"/>
      <c r="F202" s="186"/>
      <c r="G202" s="186"/>
      <c r="H202" s="186"/>
      <c r="I202" s="186"/>
      <c r="J202" s="189">
        <f>IFERROR(__xludf.DUMMYFUNCTION("""COMPUTED_VALUE"""),28067.0)</f>
        <v>28067</v>
      </c>
      <c r="K202" s="189">
        <f>IFERROR(__xludf.DUMMYFUNCTION("""COMPUTED_VALUE"""),27980.0)</f>
        <v>27980</v>
      </c>
      <c r="L202" s="189">
        <f>IFERROR(__xludf.DUMMYFUNCTION("""COMPUTED_VALUE"""),25419.0)</f>
        <v>25419</v>
      </c>
      <c r="M202" s="189">
        <f>IFERROR(__xludf.DUMMYFUNCTION("""COMPUTED_VALUE"""),24057.0)</f>
        <v>24057</v>
      </c>
      <c r="N202" s="189">
        <f>IFERROR(__xludf.DUMMYFUNCTION("""COMPUTED_VALUE"""),23232.0)</f>
        <v>23232</v>
      </c>
      <c r="O202" s="189">
        <f>IFERROR(__xludf.DUMMYFUNCTION("""COMPUTED_VALUE"""),23191.0)</f>
        <v>23191</v>
      </c>
      <c r="P202" s="189">
        <f>IFERROR(__xludf.DUMMYFUNCTION("""COMPUTED_VALUE"""),23157.0)</f>
        <v>23157</v>
      </c>
      <c r="Q202" s="189">
        <f>IFERROR(__xludf.DUMMYFUNCTION("""COMPUTED_VALUE"""),23301.0)</f>
        <v>23301</v>
      </c>
      <c r="R202" s="189">
        <f>IFERROR(__xludf.DUMMYFUNCTION("""COMPUTED_VALUE"""),23482.0)</f>
        <v>23482</v>
      </c>
      <c r="S202" s="189">
        <f>IFERROR(__xludf.DUMMYFUNCTION("""COMPUTED_VALUE"""),23348.0)</f>
        <v>23348</v>
      </c>
    </row>
    <row r="203">
      <c r="A203" s="186" t="str">
        <f>IFERROR(__xludf.DUMMYFUNCTION("""COMPUTED_VALUE"""),"NORDICS")</f>
        <v>NORDICS</v>
      </c>
      <c r="B203" s="186" t="str">
        <f>IFERROR(__xludf.DUMMYFUNCTION("""COMPUTED_VALUE"""),"W51")</f>
        <v>W51</v>
      </c>
      <c r="C203" s="186">
        <f>IFERROR(__xludf.DUMMYFUNCTION("""COMPUTED_VALUE"""),301.0)</f>
        <v>301</v>
      </c>
      <c r="D203" s="186" t="str">
        <f>IFERROR(__xludf.DUMMYFUNCTION("""COMPUTED_VALUE"""),"CON-00-149481-2")</f>
        <v>CON-00-149481-2</v>
      </c>
      <c r="E203" s="186" t="str">
        <f>IFERROR(__xludf.DUMMYFUNCTION("""COMPUTED_VALUE"""),"Sour Cream &amp; Chive Chicken")</f>
        <v>Sour Cream &amp; Chive Chicken</v>
      </c>
      <c r="F203" s="186" t="str">
        <f>IFERROR(__xludf.DUMMYFUNCTION("""COMPUTED_VALUE"""),"Kylling med syrnet fløde og purløg")</f>
        <v>Kylling med syrnet fløde og purløg</v>
      </c>
      <c r="G203" s="186" t="str">
        <f>IFERROR(__xludf.DUMMYFUNCTION("""COMPUTED_VALUE"""),"FE0322O")</f>
        <v>FE0322O</v>
      </c>
      <c r="H203" s="186">
        <f>IFERROR(__xludf.DUMMYFUNCTION("""COMPUTED_VALUE"""),565163.0)</f>
        <v>565163</v>
      </c>
      <c r="I203" s="186" t="str">
        <f>IFERROR(__xludf.DUMMYFUNCTION("""COMPUTED_VALUE"""),"HF Kip bieslook aardappel pure")</f>
        <v>HF Kip bieslook aardappel pure</v>
      </c>
      <c r="J203" s="189">
        <f>IFERROR(__xludf.DUMMYFUNCTION("""COMPUTED_VALUE"""),3139.0)</f>
        <v>3139</v>
      </c>
      <c r="K203" s="189">
        <f>IFERROR(__xludf.DUMMYFUNCTION("""COMPUTED_VALUE"""),3080.0)</f>
        <v>3080</v>
      </c>
      <c r="L203" s="189">
        <f>IFERROR(__xludf.DUMMYFUNCTION("""COMPUTED_VALUE"""),3115.0)</f>
        <v>3115</v>
      </c>
      <c r="M203" s="189">
        <f>IFERROR(__xludf.DUMMYFUNCTION("""COMPUTED_VALUE"""),2969.0)</f>
        <v>2969</v>
      </c>
      <c r="N203" s="189">
        <f>IFERROR(__xludf.DUMMYFUNCTION("""COMPUTED_VALUE"""),2853.0)</f>
        <v>2853</v>
      </c>
      <c r="O203" s="189">
        <f>IFERROR(__xludf.DUMMYFUNCTION("""COMPUTED_VALUE"""),2914.0)</f>
        <v>2914</v>
      </c>
      <c r="P203" s="189">
        <f>IFERROR(__xludf.DUMMYFUNCTION("""COMPUTED_VALUE"""),2891.0)</f>
        <v>2891</v>
      </c>
      <c r="Q203" s="189">
        <f>IFERROR(__xludf.DUMMYFUNCTION("""COMPUTED_VALUE"""),2802.0)</f>
        <v>2802</v>
      </c>
      <c r="R203" s="189">
        <f>IFERROR(__xludf.DUMMYFUNCTION("""COMPUTED_VALUE"""),2631.0)</f>
        <v>2631</v>
      </c>
      <c r="S203" s="189">
        <f>IFERROR(__xludf.DUMMYFUNCTION("""COMPUTED_VALUE"""),2499.0)</f>
        <v>2499</v>
      </c>
    </row>
    <row r="204">
      <c r="A204" s="186" t="str">
        <f>IFERROR(__xludf.DUMMYFUNCTION("""COMPUTED_VALUE"""),"NORDICS")</f>
        <v>NORDICS</v>
      </c>
      <c r="B204" s="186" t="str">
        <f>IFERROR(__xludf.DUMMYFUNCTION("""COMPUTED_VALUE"""),"W51")</f>
        <v>W51</v>
      </c>
      <c r="C204" s="186">
        <f>IFERROR(__xludf.DUMMYFUNCTION("""COMPUTED_VALUE"""),302.0)</f>
        <v>302</v>
      </c>
      <c r="D204" s="186" t="str">
        <f>IFERROR(__xludf.DUMMYFUNCTION("""COMPUTED_VALUE"""),"CON-00-147878-2")</f>
        <v>CON-00-147878-2</v>
      </c>
      <c r="E204" s="186" t="str">
        <f>IFERROR(__xludf.DUMMYFUNCTION("""COMPUTED_VALUE"""),"Grilled chicken and ratatouille")</f>
        <v>Grilled chicken and ratatouille</v>
      </c>
      <c r="F204" s="186" t="str">
        <f>IFERROR(__xludf.DUMMYFUNCTION("""COMPUTED_VALUE"""),"Grillet kylling og ratatouille")</f>
        <v>Grillet kylling og ratatouille</v>
      </c>
      <c r="G204" s="186" t="str">
        <f>IFERROR(__xludf.DUMMYFUNCTION("""COMPUTED_VALUE"""),"FE4015A")</f>
        <v>FE4015A</v>
      </c>
      <c r="H204" s="186">
        <f>IFERROR(__xludf.DUMMYFUNCTION("""COMPUTED_VALUE"""),565072.0)</f>
        <v>565072</v>
      </c>
      <c r="I204" s="186" t="str">
        <f>IFERROR(__xludf.DUMMYFUNCTION("""COMPUTED_VALUE"""),"HF Gegrilde kipfilet en ratatouille 429g")</f>
        <v>HF Gegrilde kipfilet en ratatouille 429g</v>
      </c>
      <c r="J204" s="189">
        <f>IFERROR(__xludf.DUMMYFUNCTION("""COMPUTED_VALUE"""),2151.0)</f>
        <v>2151</v>
      </c>
      <c r="K204" s="189">
        <f>IFERROR(__xludf.DUMMYFUNCTION("""COMPUTED_VALUE"""),2015.0)</f>
        <v>2015</v>
      </c>
      <c r="L204" s="189">
        <f>IFERROR(__xludf.DUMMYFUNCTION("""COMPUTED_VALUE"""),2027.0)</f>
        <v>2027</v>
      </c>
      <c r="M204" s="189">
        <f>IFERROR(__xludf.DUMMYFUNCTION("""COMPUTED_VALUE"""),2012.0)</f>
        <v>2012</v>
      </c>
      <c r="N204" s="189">
        <f>IFERROR(__xludf.DUMMYFUNCTION("""COMPUTED_VALUE"""),1907.0)</f>
        <v>1907</v>
      </c>
      <c r="O204" s="189">
        <f>IFERROR(__xludf.DUMMYFUNCTION("""COMPUTED_VALUE"""),1893.0)</f>
        <v>1893</v>
      </c>
      <c r="P204" s="189">
        <f>IFERROR(__xludf.DUMMYFUNCTION("""COMPUTED_VALUE"""),1873.0)</f>
        <v>1873</v>
      </c>
      <c r="Q204" s="189">
        <f>IFERROR(__xludf.DUMMYFUNCTION("""COMPUTED_VALUE"""),1807.0)</f>
        <v>1807</v>
      </c>
      <c r="R204" s="189">
        <f>IFERROR(__xludf.DUMMYFUNCTION("""COMPUTED_VALUE"""),1676.0)</f>
        <v>1676</v>
      </c>
      <c r="S204" s="189">
        <f>IFERROR(__xludf.DUMMYFUNCTION("""COMPUTED_VALUE"""),1599.0)</f>
        <v>1599</v>
      </c>
    </row>
    <row r="205">
      <c r="A205" s="186" t="str">
        <f>IFERROR(__xludf.DUMMYFUNCTION("""COMPUTED_VALUE"""),"NORDICS")</f>
        <v>NORDICS</v>
      </c>
      <c r="B205" s="186" t="str">
        <f>IFERROR(__xludf.DUMMYFUNCTION("""COMPUTED_VALUE"""),"W51")</f>
        <v>W51</v>
      </c>
      <c r="C205" s="186">
        <f>IFERROR(__xludf.DUMMYFUNCTION("""COMPUTED_VALUE"""),303.0)</f>
        <v>303</v>
      </c>
      <c r="D205" s="186" t="str">
        <f>IFERROR(__xludf.DUMMYFUNCTION("""COMPUTED_VALUE"""),"CON-00-147855-2")</f>
        <v>CON-00-147855-2</v>
      </c>
      <c r="E205" s="186" t="str">
        <f>IFERROR(__xludf.DUMMYFUNCTION("""COMPUTED_VALUE"""),"Beef with cauliflower mash")</f>
        <v>Beef with cauliflower mash</v>
      </c>
      <c r="F205" s="186" t="str">
        <f>IFERROR(__xludf.DUMMYFUNCTION("""COMPUTED_VALUE"""),"Oksekød med blomkålsmos")</f>
        <v>Oksekød med blomkålsmos</v>
      </c>
      <c r="G205" s="186" t="str">
        <f>IFERROR(__xludf.DUMMYFUNCTION("""COMPUTED_VALUE"""),"FE0745B")</f>
        <v>FE0745B</v>
      </c>
      <c r="H205" s="186">
        <f>IFERROR(__xludf.DUMMYFUNCTION("""COMPUTED_VALUE"""),565139.0)</f>
        <v>565139</v>
      </c>
      <c r="I205" s="186" t="str">
        <f>IFERROR(__xludf.DUMMYFUNCTION("""COMPUTED_VALUE"""),"HF Pulled beef met peccorino")</f>
        <v>HF Pulled beef met peccorino</v>
      </c>
      <c r="J205" s="189">
        <f>IFERROR(__xludf.DUMMYFUNCTION("""COMPUTED_VALUE"""),2123.0)</f>
        <v>2123</v>
      </c>
      <c r="K205" s="189">
        <f>IFERROR(__xludf.DUMMYFUNCTION("""COMPUTED_VALUE"""),1985.0)</f>
        <v>1985</v>
      </c>
      <c r="L205" s="189">
        <f>IFERROR(__xludf.DUMMYFUNCTION("""COMPUTED_VALUE"""),2068.0)</f>
        <v>2068</v>
      </c>
      <c r="M205" s="189">
        <f>IFERROR(__xludf.DUMMYFUNCTION("""COMPUTED_VALUE"""),2161.0)</f>
        <v>2161</v>
      </c>
      <c r="N205" s="189">
        <f>IFERROR(__xludf.DUMMYFUNCTION("""COMPUTED_VALUE"""),2047.0)</f>
        <v>2047</v>
      </c>
      <c r="O205" s="189">
        <f>IFERROR(__xludf.DUMMYFUNCTION("""COMPUTED_VALUE"""),2055.0)</f>
        <v>2055</v>
      </c>
      <c r="P205" s="189">
        <f>IFERROR(__xludf.DUMMYFUNCTION("""COMPUTED_VALUE"""),2022.0)</f>
        <v>2022</v>
      </c>
      <c r="Q205" s="189">
        <f>IFERROR(__xludf.DUMMYFUNCTION("""COMPUTED_VALUE"""),1962.0)</f>
        <v>1962</v>
      </c>
      <c r="R205" s="189">
        <f>IFERROR(__xludf.DUMMYFUNCTION("""COMPUTED_VALUE"""),1808.0)</f>
        <v>1808</v>
      </c>
      <c r="S205" s="189">
        <f>IFERROR(__xludf.DUMMYFUNCTION("""COMPUTED_VALUE"""),1736.0)</f>
        <v>1736</v>
      </c>
    </row>
    <row r="206">
      <c r="A206" s="186" t="str">
        <f>IFERROR(__xludf.DUMMYFUNCTION("""COMPUTED_VALUE"""),"NORDICS")</f>
        <v>NORDICS</v>
      </c>
      <c r="B206" s="186" t="str">
        <f>IFERROR(__xludf.DUMMYFUNCTION("""COMPUTED_VALUE"""),"W51")</f>
        <v>W51</v>
      </c>
      <c r="C206" s="186">
        <f>IFERROR(__xludf.DUMMYFUNCTION("""COMPUTED_VALUE"""),304.0)</f>
        <v>304</v>
      </c>
      <c r="D206" s="186" t="str">
        <f>IFERROR(__xludf.DUMMYFUNCTION("""COMPUTED_VALUE"""),"CON-00-147826-2")</f>
        <v>CON-00-147826-2</v>
      </c>
      <c r="E206" s="186" t="str">
        <f>IFERROR(__xludf.DUMMYFUNCTION("""COMPUTED_VALUE"""),"Spicy chicken with jalapeño, lime and cheddar")</f>
        <v>Spicy chicken with jalapeño, lime and cheddar</v>
      </c>
      <c r="F206" s="186" t="str">
        <f>IFERROR(__xludf.DUMMYFUNCTION("""COMPUTED_VALUE"""),"Spicy kylling med jalapeño, lime og cheddar")</f>
        <v>Spicy kylling med jalapeño, lime og cheddar</v>
      </c>
      <c r="G206" s="186" t="str">
        <f>IFERROR(__xludf.DUMMYFUNCTION("""COMPUTED_VALUE"""),"FE0198D")</f>
        <v>FE0198D</v>
      </c>
      <c r="H206" s="186">
        <f>IFERROR(__xludf.DUMMYFUNCTION("""COMPUTED_VALUE"""),565043.0)</f>
        <v>565043</v>
      </c>
      <c r="I206" s="186" t="str">
        <f>IFERROR(__xludf.DUMMYFUNCTION("""COMPUTED_VALUE"""),"HF Pitt. kipf+jalap,lim,chedda")</f>
        <v>HF Pitt. kipf+jalap,lim,chedda</v>
      </c>
      <c r="J206" s="189">
        <f>IFERROR(__xludf.DUMMYFUNCTION("""COMPUTED_VALUE"""),3066.0)</f>
        <v>3066</v>
      </c>
      <c r="K206" s="189">
        <f>IFERROR(__xludf.DUMMYFUNCTION("""COMPUTED_VALUE"""),2932.0)</f>
        <v>2932</v>
      </c>
      <c r="L206" s="189">
        <f>IFERROR(__xludf.DUMMYFUNCTION("""COMPUTED_VALUE"""),2475.0)</f>
        <v>2475</v>
      </c>
      <c r="M206" s="189">
        <f>IFERROR(__xludf.DUMMYFUNCTION("""COMPUTED_VALUE"""),2513.0)</f>
        <v>2513</v>
      </c>
      <c r="N206" s="189">
        <f>IFERROR(__xludf.DUMMYFUNCTION("""COMPUTED_VALUE"""),2349.0)</f>
        <v>2349</v>
      </c>
      <c r="O206" s="189">
        <f>IFERROR(__xludf.DUMMYFUNCTION("""COMPUTED_VALUE"""),2359.0)</f>
        <v>2359</v>
      </c>
      <c r="P206" s="189">
        <f>IFERROR(__xludf.DUMMYFUNCTION("""COMPUTED_VALUE"""),2310.0)</f>
        <v>2310</v>
      </c>
      <c r="Q206" s="189">
        <f>IFERROR(__xludf.DUMMYFUNCTION("""COMPUTED_VALUE"""),2263.0)</f>
        <v>2263</v>
      </c>
      <c r="R206" s="189">
        <f>IFERROR(__xludf.DUMMYFUNCTION("""COMPUTED_VALUE"""),2105.0)</f>
        <v>2105</v>
      </c>
      <c r="S206" s="189">
        <f>IFERROR(__xludf.DUMMYFUNCTION("""COMPUTED_VALUE"""),1993.0)</f>
        <v>1993</v>
      </c>
    </row>
    <row r="207">
      <c r="A207" s="186" t="str">
        <f>IFERROR(__xludf.DUMMYFUNCTION("""COMPUTED_VALUE"""),"NORDICS")</f>
        <v>NORDICS</v>
      </c>
      <c r="B207" s="186" t="str">
        <f>IFERROR(__xludf.DUMMYFUNCTION("""COMPUTED_VALUE"""),"W51")</f>
        <v>W51</v>
      </c>
      <c r="C207" s="186">
        <f>IFERROR(__xludf.DUMMYFUNCTION("""COMPUTED_VALUE"""),305.0)</f>
        <v>305</v>
      </c>
      <c r="D207" s="186"/>
      <c r="E207" s="186"/>
      <c r="F207" s="186"/>
      <c r="G207" s="186" t="str">
        <f>IFERROR(__xludf.DUMMYFUNCTION("""COMPUTED_VALUE"""),"FE0628B")</f>
        <v>FE0628B</v>
      </c>
      <c r="H207" s="186"/>
      <c r="I207" s="186"/>
      <c r="J207" s="189">
        <f>IFERROR(__xludf.DUMMYFUNCTION("""COMPUTED_VALUE"""),2569.0)</f>
        <v>2569</v>
      </c>
      <c r="K207" s="189">
        <f>IFERROR(__xludf.DUMMYFUNCTION("""COMPUTED_VALUE"""),2482.0)</f>
        <v>2482</v>
      </c>
      <c r="L207" s="189">
        <f>IFERROR(__xludf.DUMMYFUNCTION("""COMPUTED_VALUE"""),2253.0)</f>
        <v>2253</v>
      </c>
      <c r="M207" s="189">
        <f>IFERROR(__xludf.DUMMYFUNCTION("""COMPUTED_VALUE"""),2105.0)</f>
        <v>2105</v>
      </c>
      <c r="N207" s="189">
        <f>IFERROR(__xludf.DUMMYFUNCTION("""COMPUTED_VALUE"""),2026.0)</f>
        <v>2026</v>
      </c>
      <c r="O207" s="189">
        <f>IFERROR(__xludf.DUMMYFUNCTION("""COMPUTED_VALUE"""),2024.0)</f>
        <v>2024</v>
      </c>
      <c r="P207" s="189">
        <f>IFERROR(__xludf.DUMMYFUNCTION("""COMPUTED_VALUE"""),1992.0)</f>
        <v>1992</v>
      </c>
      <c r="Q207" s="189">
        <f>IFERROR(__xludf.DUMMYFUNCTION("""COMPUTED_VALUE"""),1922.0)</f>
        <v>1922</v>
      </c>
      <c r="R207" s="189">
        <f>IFERROR(__xludf.DUMMYFUNCTION("""COMPUTED_VALUE"""),1780.0)</f>
        <v>1780</v>
      </c>
      <c r="S207" s="189">
        <f>IFERROR(__xludf.DUMMYFUNCTION("""COMPUTED_VALUE"""),1680.0)</f>
        <v>1680</v>
      </c>
    </row>
    <row r="208">
      <c r="A208" s="186" t="str">
        <f>IFERROR(__xludf.DUMMYFUNCTION("""COMPUTED_VALUE"""),"NORDICS")</f>
        <v>NORDICS</v>
      </c>
      <c r="B208" s="186" t="str">
        <f>IFERROR(__xludf.DUMMYFUNCTION("""COMPUTED_VALUE"""),"W51")</f>
        <v>W51</v>
      </c>
      <c r="C208" s="186">
        <f>IFERROR(__xludf.DUMMYFUNCTION("""COMPUTED_VALUE"""),306.0)</f>
        <v>306</v>
      </c>
      <c r="D208" s="186" t="str">
        <f>IFERROR(__xludf.DUMMYFUNCTION("""COMPUTED_VALUE"""),"CON-00-147896-2")</f>
        <v>CON-00-147896-2</v>
      </c>
      <c r="E208" s="186" t="str">
        <f>IFERROR(__xludf.DUMMYFUNCTION("""COMPUTED_VALUE"""),"Chicken in creamy basil sauce")</f>
        <v>Chicken in creamy basil sauce</v>
      </c>
      <c r="F208" s="186" t="str">
        <f>IFERROR(__xludf.DUMMYFUNCTION("""COMPUTED_VALUE"""),"Kylling i cremet basilikumssauce")</f>
        <v>Kylling i cremet basilikumssauce</v>
      </c>
      <c r="G208" s="186" t="str">
        <f>IFERROR(__xludf.DUMMYFUNCTION("""COMPUTED_VALUE"""),"FE4040B")</f>
        <v>FE4040B</v>
      </c>
      <c r="H208" s="186">
        <f>IFERROR(__xludf.DUMMYFUNCTION("""COMPUTED_VALUE"""),565172.0)</f>
        <v>565172</v>
      </c>
      <c r="I208" s="186"/>
      <c r="J208" s="189">
        <f>IFERROR(__xludf.DUMMYFUNCTION("""COMPUTED_VALUE"""),1733.0)</f>
        <v>1733</v>
      </c>
      <c r="K208" s="189">
        <f>IFERROR(__xludf.DUMMYFUNCTION("""COMPUTED_VALUE"""),1542.0)</f>
        <v>1542</v>
      </c>
      <c r="L208" s="189">
        <f>IFERROR(__xludf.DUMMYFUNCTION("""COMPUTED_VALUE"""),1434.0)</f>
        <v>1434</v>
      </c>
      <c r="M208" s="189">
        <f>IFERROR(__xludf.DUMMYFUNCTION("""COMPUTED_VALUE"""),1535.0)</f>
        <v>1535</v>
      </c>
      <c r="N208" s="189">
        <f>IFERROR(__xludf.DUMMYFUNCTION("""COMPUTED_VALUE"""),1457.0)</f>
        <v>1457</v>
      </c>
      <c r="O208" s="189">
        <f>IFERROR(__xludf.DUMMYFUNCTION("""COMPUTED_VALUE"""),1487.0)</f>
        <v>1487</v>
      </c>
      <c r="P208" s="189">
        <f>IFERROR(__xludf.DUMMYFUNCTION("""COMPUTED_VALUE"""),1442.0)</f>
        <v>1442</v>
      </c>
      <c r="Q208" s="189">
        <f>IFERROR(__xludf.DUMMYFUNCTION("""COMPUTED_VALUE"""),1398.0)</f>
        <v>1398</v>
      </c>
      <c r="R208" s="189">
        <f>IFERROR(__xludf.DUMMYFUNCTION("""COMPUTED_VALUE"""),1268.0)</f>
        <v>1268</v>
      </c>
      <c r="S208" s="189">
        <f>IFERROR(__xludf.DUMMYFUNCTION("""COMPUTED_VALUE"""),1212.0)</f>
        <v>1212</v>
      </c>
    </row>
    <row r="209">
      <c r="A209" s="186" t="str">
        <f>IFERROR(__xludf.DUMMYFUNCTION("""COMPUTED_VALUE"""),"NORDICS")</f>
        <v>NORDICS</v>
      </c>
      <c r="B209" s="186" t="str">
        <f>IFERROR(__xludf.DUMMYFUNCTION("""COMPUTED_VALUE"""),"W51")</f>
        <v>W51</v>
      </c>
      <c r="C209" s="186">
        <f>IFERROR(__xludf.DUMMYFUNCTION("""COMPUTED_VALUE"""),307.0)</f>
        <v>307</v>
      </c>
      <c r="D209" s="186" t="str">
        <f>IFERROR(__xludf.DUMMYFUNCTION("""COMPUTED_VALUE"""),"CON-00-147874-2")</f>
        <v>CON-00-147874-2</v>
      </c>
      <c r="E209" s="186" t="str">
        <f>IFERROR(__xludf.DUMMYFUNCTION("""COMPUTED_VALUE"""),"Grilled pork tenderloin and tomato butter")</f>
        <v>Grilled pork tenderloin and tomato butter</v>
      </c>
      <c r="F209" s="186" t="str">
        <f>IFERROR(__xludf.DUMMYFUNCTION("""COMPUTED_VALUE"""),"Grillet svinemørbrad og tomatsmør")</f>
        <v>Grillet svinemørbrad og tomatsmør</v>
      </c>
      <c r="G209" s="186" t="str">
        <f>IFERROR(__xludf.DUMMYFUNCTION("""COMPUTED_VALUE"""),"FE4010B")</f>
        <v>FE4010B</v>
      </c>
      <c r="H209" s="186">
        <f>IFERROR(__xludf.DUMMYFUNCTION("""COMPUTED_VALUE"""),565138.0)</f>
        <v>565138</v>
      </c>
      <c r="I209" s="186"/>
      <c r="J209" s="189">
        <f>IFERROR(__xludf.DUMMYFUNCTION("""COMPUTED_VALUE"""),1172.0)</f>
        <v>1172</v>
      </c>
      <c r="K209" s="189">
        <f>IFERROR(__xludf.DUMMYFUNCTION("""COMPUTED_VALUE"""),1190.0)</f>
        <v>1190</v>
      </c>
      <c r="L209" s="189">
        <f>IFERROR(__xludf.DUMMYFUNCTION("""COMPUTED_VALUE"""),965.0)</f>
        <v>965</v>
      </c>
      <c r="M209" s="189">
        <f>IFERROR(__xludf.DUMMYFUNCTION("""COMPUTED_VALUE"""),1134.0)</f>
        <v>1134</v>
      </c>
      <c r="N209" s="189">
        <f>IFERROR(__xludf.DUMMYFUNCTION("""COMPUTED_VALUE"""),1094.0)</f>
        <v>1094</v>
      </c>
      <c r="O209" s="189">
        <f>IFERROR(__xludf.DUMMYFUNCTION("""COMPUTED_VALUE"""),1117.0)</f>
        <v>1117</v>
      </c>
      <c r="P209" s="189">
        <f>IFERROR(__xludf.DUMMYFUNCTION("""COMPUTED_VALUE"""),1097.0)</f>
        <v>1097</v>
      </c>
      <c r="Q209" s="189">
        <f>IFERROR(__xludf.DUMMYFUNCTION("""COMPUTED_VALUE"""),1079.0)</f>
        <v>1079</v>
      </c>
      <c r="R209" s="189">
        <f>IFERROR(__xludf.DUMMYFUNCTION("""COMPUTED_VALUE"""),1002.0)</f>
        <v>1002</v>
      </c>
      <c r="S209" s="189">
        <f>IFERROR(__xludf.DUMMYFUNCTION("""COMPUTED_VALUE"""),975.0)</f>
        <v>975</v>
      </c>
    </row>
    <row r="210">
      <c r="A210" s="186" t="str">
        <f>IFERROR(__xludf.DUMMYFUNCTION("""COMPUTED_VALUE"""),"NORDICS")</f>
        <v>NORDICS</v>
      </c>
      <c r="B210" s="186" t="str">
        <f>IFERROR(__xludf.DUMMYFUNCTION("""COMPUTED_VALUE"""),"W51")</f>
        <v>W51</v>
      </c>
      <c r="C210" s="186">
        <f>IFERROR(__xludf.DUMMYFUNCTION("""COMPUTED_VALUE"""),308.0)</f>
        <v>308</v>
      </c>
      <c r="D210" s="186" t="str">
        <f>IFERROR(__xludf.DUMMYFUNCTION("""COMPUTED_VALUE"""),"CON-00-152023-2")</f>
        <v>CON-00-152023-2</v>
      </c>
      <c r="E210" s="186" t="str">
        <f>IFERROR(__xludf.DUMMYFUNCTION("""COMPUTED_VALUE"""),"Salmon Piccata")</f>
        <v>Salmon Piccata</v>
      </c>
      <c r="F210" s="186" t="str">
        <f>IFERROR(__xludf.DUMMYFUNCTION("""COMPUTED_VALUE"""),"Laks Piccata ")</f>
        <v>Laks Piccata </v>
      </c>
      <c r="G210" s="186" t="str">
        <f>IFERROR(__xludf.DUMMYFUNCTION("""COMPUTED_VALUE"""),"FE0972B")</f>
        <v>FE0972B</v>
      </c>
      <c r="H210" s="186">
        <f>IFERROR(__xludf.DUMMYFUNCTION("""COMPUTED_VALUE"""),565189.0)</f>
        <v>565189</v>
      </c>
      <c r="I210" s="186" t="str">
        <f>IFERROR(__xludf.DUMMYFUNCTION("""COMPUTED_VALUE"""),"#N/A")</f>
        <v>#N/A</v>
      </c>
      <c r="J210" s="189">
        <f>IFERROR(__xludf.DUMMYFUNCTION("""COMPUTED_VALUE"""),1382.0)</f>
        <v>1382</v>
      </c>
      <c r="K210" s="189">
        <f>IFERROR(__xludf.DUMMYFUNCTION("""COMPUTED_VALUE"""),1333.0)</f>
        <v>1333</v>
      </c>
      <c r="L210" s="189">
        <f>IFERROR(__xludf.DUMMYFUNCTION("""COMPUTED_VALUE"""),1120.0)</f>
        <v>1120</v>
      </c>
      <c r="M210" s="189">
        <f>IFERROR(__xludf.DUMMYFUNCTION("""COMPUTED_VALUE"""),1233.0)</f>
        <v>1233</v>
      </c>
      <c r="N210" s="189">
        <f>IFERROR(__xludf.DUMMYFUNCTION("""COMPUTED_VALUE"""),1156.0)</f>
        <v>1156</v>
      </c>
      <c r="O210" s="189">
        <f>IFERROR(__xludf.DUMMYFUNCTION("""COMPUTED_VALUE"""),1203.0)</f>
        <v>1203</v>
      </c>
      <c r="P210" s="189">
        <f>IFERROR(__xludf.DUMMYFUNCTION("""COMPUTED_VALUE"""),1200.0)</f>
        <v>1200</v>
      </c>
      <c r="Q210" s="189">
        <f>IFERROR(__xludf.DUMMYFUNCTION("""COMPUTED_VALUE"""),1214.0)</f>
        <v>1214</v>
      </c>
      <c r="R210" s="189">
        <f>IFERROR(__xludf.DUMMYFUNCTION("""COMPUTED_VALUE"""),1099.0)</f>
        <v>1099</v>
      </c>
      <c r="S210" s="189">
        <f>IFERROR(__xludf.DUMMYFUNCTION("""COMPUTED_VALUE"""),1074.0)</f>
        <v>1074</v>
      </c>
    </row>
    <row r="211">
      <c r="A211" s="186" t="str">
        <f>IFERROR(__xludf.DUMMYFUNCTION("""COMPUTED_VALUE"""),"NORDICS")</f>
        <v>NORDICS</v>
      </c>
      <c r="B211" s="186" t="str">
        <f>IFERROR(__xludf.DUMMYFUNCTION("""COMPUTED_VALUE"""),"W51")</f>
        <v>W51</v>
      </c>
      <c r="C211" s="186">
        <f>IFERROR(__xludf.DUMMYFUNCTION("""COMPUTED_VALUE"""),309.0)</f>
        <v>309</v>
      </c>
      <c r="D211" s="186"/>
      <c r="E211" s="186"/>
      <c r="F211" s="186"/>
      <c r="G211" s="186" t="str">
        <f>IFERROR(__xludf.DUMMYFUNCTION("""COMPUTED_VALUE"""),"FE0425C")</f>
        <v>FE0425C</v>
      </c>
      <c r="H211" s="186"/>
      <c r="I211" s="186"/>
      <c r="J211" s="186">
        <f>IFERROR(__xludf.DUMMYFUNCTION("""COMPUTED_VALUE"""),313.0)</f>
        <v>313</v>
      </c>
      <c r="K211" s="186">
        <f>IFERROR(__xludf.DUMMYFUNCTION("""COMPUTED_VALUE"""),287.0)</f>
        <v>287</v>
      </c>
      <c r="L211" s="189">
        <f>IFERROR(__xludf.DUMMYFUNCTION("""COMPUTED_VALUE"""),288.0)</f>
        <v>288</v>
      </c>
      <c r="M211" s="186">
        <f>IFERROR(__xludf.DUMMYFUNCTION("""COMPUTED_VALUE"""),293.0)</f>
        <v>293</v>
      </c>
      <c r="N211" s="186">
        <f>IFERROR(__xludf.DUMMYFUNCTION("""COMPUTED_VALUE"""),296.0)</f>
        <v>296</v>
      </c>
      <c r="O211" s="186">
        <f>IFERROR(__xludf.DUMMYFUNCTION("""COMPUTED_VALUE"""),287.0)</f>
        <v>287</v>
      </c>
      <c r="P211" s="186">
        <f>IFERROR(__xludf.DUMMYFUNCTION("""COMPUTED_VALUE"""),296.0)</f>
        <v>296</v>
      </c>
      <c r="Q211" s="186">
        <f>IFERROR(__xludf.DUMMYFUNCTION("""COMPUTED_VALUE"""),287.0)</f>
        <v>287</v>
      </c>
      <c r="R211" s="186">
        <f>IFERROR(__xludf.DUMMYFUNCTION("""COMPUTED_VALUE"""),226.0)</f>
        <v>226</v>
      </c>
      <c r="S211" s="189">
        <f>IFERROR(__xludf.DUMMYFUNCTION("""COMPUTED_VALUE"""),237.0)</f>
        <v>237</v>
      </c>
    </row>
    <row r="212">
      <c r="A212" s="186" t="str">
        <f>IFERROR(__xludf.DUMMYFUNCTION("""COMPUTED_VALUE"""),"NORDICS")</f>
        <v>NORDICS</v>
      </c>
      <c r="B212" s="186" t="str">
        <f>IFERROR(__xludf.DUMMYFUNCTION("""COMPUTED_VALUE"""),"W51")</f>
        <v>W51</v>
      </c>
      <c r="C212" s="186">
        <f>IFERROR(__xludf.DUMMYFUNCTION("""COMPUTED_VALUE"""),310.0)</f>
        <v>310</v>
      </c>
      <c r="D212" s="186" t="str">
        <f>IFERROR(__xludf.DUMMYFUNCTION("""COMPUTED_VALUE"""),"CON-00-147846-2")</f>
        <v>CON-00-147846-2</v>
      </c>
      <c r="E212" s="186" t="str">
        <f>IFERROR(__xludf.DUMMYFUNCTION("""COMPUTED_VALUE"""),"Sun-dried tomato trottole")</f>
        <v>Sun-dried tomato trottole</v>
      </c>
      <c r="F212" s="186" t="str">
        <f>IFERROR(__xludf.DUMMYFUNCTION("""COMPUTED_VALUE"""),"Trottole i soltørret tomatsauce ")</f>
        <v>Trottole i soltørret tomatsauce </v>
      </c>
      <c r="G212" s="186" t="str">
        <f>IFERROR(__xludf.DUMMYFUNCTION("""COMPUTED_VALUE"""),"FE0516A")</f>
        <v>FE0516A</v>
      </c>
      <c r="H212" s="186">
        <f>IFERROR(__xludf.DUMMYFUNCTION("""COMPUTED_VALUE"""),565111.0)</f>
        <v>565111</v>
      </c>
      <c r="I212" s="186"/>
      <c r="J212" s="186">
        <f>IFERROR(__xludf.DUMMYFUNCTION("""COMPUTED_VALUE"""),351.0)</f>
        <v>351</v>
      </c>
      <c r="K212" s="186">
        <f>IFERROR(__xludf.DUMMYFUNCTION("""COMPUTED_VALUE"""),327.0)</f>
        <v>327</v>
      </c>
      <c r="L212" s="189">
        <f>IFERROR(__xludf.DUMMYFUNCTION("""COMPUTED_VALUE"""),373.0)</f>
        <v>373</v>
      </c>
      <c r="M212" s="189">
        <f>IFERROR(__xludf.DUMMYFUNCTION("""COMPUTED_VALUE"""),350.0)</f>
        <v>350</v>
      </c>
      <c r="N212" s="189">
        <f>IFERROR(__xludf.DUMMYFUNCTION("""COMPUTED_VALUE"""),321.0)</f>
        <v>321</v>
      </c>
      <c r="O212" s="189">
        <f>IFERROR(__xludf.DUMMYFUNCTION("""COMPUTED_VALUE"""),296.0)</f>
        <v>296</v>
      </c>
      <c r="P212" s="189">
        <f>IFERROR(__xludf.DUMMYFUNCTION("""COMPUTED_VALUE"""),320.0)</f>
        <v>320</v>
      </c>
      <c r="Q212" s="189">
        <f>IFERROR(__xludf.DUMMYFUNCTION("""COMPUTED_VALUE"""),308.0)</f>
        <v>308</v>
      </c>
      <c r="R212" s="189">
        <f>IFERROR(__xludf.DUMMYFUNCTION("""COMPUTED_VALUE"""),261.0)</f>
        <v>261</v>
      </c>
      <c r="S212" s="186">
        <f>IFERROR(__xludf.DUMMYFUNCTION("""COMPUTED_VALUE"""),273.0)</f>
        <v>273</v>
      </c>
    </row>
    <row r="213">
      <c r="A213" s="186" t="str">
        <f>IFERROR(__xludf.DUMMYFUNCTION("""COMPUTED_VALUE"""),"NORDICS")</f>
        <v>NORDICS</v>
      </c>
      <c r="B213" s="186" t="str">
        <f>IFERROR(__xludf.DUMMYFUNCTION("""COMPUTED_VALUE"""),"W51")</f>
        <v>W51</v>
      </c>
      <c r="C213" s="186">
        <f>IFERROR(__xludf.DUMMYFUNCTION("""COMPUTED_VALUE"""),311.0)</f>
        <v>311</v>
      </c>
      <c r="D213" s="186" t="str">
        <f>IFERROR(__xludf.DUMMYFUNCTION("""COMPUTED_VALUE"""),"CON-00-148371-2")</f>
        <v>CON-00-148371-2</v>
      </c>
      <c r="E213" s="186" t="str">
        <f>IFERROR(__xludf.DUMMYFUNCTION("""COMPUTED_VALUE"""),"Pulled beef &amp; pasta in cheese sauce")</f>
        <v>Pulled beef &amp; pasta in cheese sauce</v>
      </c>
      <c r="F213" s="186" t="str">
        <f>IFERROR(__xludf.DUMMYFUNCTION("""COMPUTED_VALUE"""),"Pulled beef &amp; pasta i ostesauce")</f>
        <v>Pulled beef &amp; pasta i ostesauce</v>
      </c>
      <c r="G213" s="186" t="str">
        <f>IFERROR(__xludf.DUMMYFUNCTION("""COMPUTED_VALUE"""),"FE1345A")</f>
        <v>FE1345A</v>
      </c>
      <c r="H213" s="186">
        <f>IFERROR(__xludf.DUMMYFUNCTION("""COMPUTED_VALUE"""),565158.0)</f>
        <v>565158</v>
      </c>
      <c r="I213" s="186"/>
      <c r="J213" s="189">
        <f>IFERROR(__xludf.DUMMYFUNCTION("""COMPUTED_VALUE"""),661.0)</f>
        <v>661</v>
      </c>
      <c r="K213" s="189">
        <f>IFERROR(__xludf.DUMMYFUNCTION("""COMPUTED_VALUE"""),594.0)</f>
        <v>594</v>
      </c>
      <c r="L213" s="189">
        <f>IFERROR(__xludf.DUMMYFUNCTION("""COMPUTED_VALUE"""),795.0)</f>
        <v>795</v>
      </c>
      <c r="M213" s="186">
        <f>IFERROR(__xludf.DUMMYFUNCTION("""COMPUTED_VALUE"""),764.0)</f>
        <v>764</v>
      </c>
      <c r="N213" s="186">
        <f>IFERROR(__xludf.DUMMYFUNCTION("""COMPUTED_VALUE"""),729.0)</f>
        <v>729</v>
      </c>
      <c r="O213" s="186">
        <f>IFERROR(__xludf.DUMMYFUNCTION("""COMPUTED_VALUE"""),781.0)</f>
        <v>781</v>
      </c>
      <c r="P213" s="186">
        <f>IFERROR(__xludf.DUMMYFUNCTION("""COMPUTED_VALUE"""),801.0)</f>
        <v>801</v>
      </c>
      <c r="Q213" s="186">
        <f>IFERROR(__xludf.DUMMYFUNCTION("""COMPUTED_VALUE"""),806.0)</f>
        <v>806</v>
      </c>
      <c r="R213" s="186">
        <f>IFERROR(__xludf.DUMMYFUNCTION("""COMPUTED_VALUE"""),738.0)</f>
        <v>738</v>
      </c>
      <c r="S213" s="189">
        <f>IFERROR(__xludf.DUMMYFUNCTION("""COMPUTED_VALUE"""),746.0)</f>
        <v>746</v>
      </c>
    </row>
    <row r="214">
      <c r="A214" s="186" t="str">
        <f>IFERROR(__xludf.DUMMYFUNCTION("""COMPUTED_VALUE"""),"NORDICS")</f>
        <v>NORDICS</v>
      </c>
      <c r="B214" s="186" t="str">
        <f>IFERROR(__xludf.DUMMYFUNCTION("""COMPUTED_VALUE"""),"W51")</f>
        <v>W51</v>
      </c>
      <c r="C214" s="186">
        <f>IFERROR(__xludf.DUMMYFUNCTION("""COMPUTED_VALUE"""),312.0)</f>
        <v>312</v>
      </c>
      <c r="D214" s="186" t="str">
        <f>IFERROR(__xludf.DUMMYFUNCTION("""COMPUTED_VALUE"""),"CON-00-151098-2")</f>
        <v>CON-00-151098-2</v>
      </c>
      <c r="E214" s="186" t="str">
        <f>IFERROR(__xludf.DUMMYFUNCTION("""COMPUTED_VALUE"""),"Roasted Salmon &amp; Dill Yogurt")</f>
        <v>Roasted Salmon &amp; Dill Yogurt</v>
      </c>
      <c r="F214" s="186" t="str">
        <f>IFERROR(__xludf.DUMMYFUNCTION("""COMPUTED_VALUE"""),"Ovnbagt laks med dild-yoghurtsauce")</f>
        <v>Ovnbagt laks med dild-yoghurtsauce</v>
      </c>
      <c r="G214" s="186" t="str">
        <f>IFERROR(__xludf.DUMMYFUNCTION("""COMPUTED_VALUE"""),"FE1145B")</f>
        <v>FE1145B</v>
      </c>
      <c r="H214" s="186">
        <f>IFERROR(__xludf.DUMMYFUNCTION("""COMPUTED_VALUE"""),565206.0)</f>
        <v>565206</v>
      </c>
      <c r="I214" s="186" t="str">
        <f>IFERROR(__xludf.DUMMYFUNCTION("""COMPUTED_VALUE"""),"#N/A")</f>
        <v>#N/A</v>
      </c>
      <c r="J214" s="189">
        <f>IFERROR(__xludf.DUMMYFUNCTION("""COMPUTED_VALUE"""),1463.0)</f>
        <v>1463</v>
      </c>
      <c r="K214" s="189">
        <f>IFERROR(__xludf.DUMMYFUNCTION("""COMPUTED_VALUE"""),1308.0)</f>
        <v>1308</v>
      </c>
      <c r="L214" s="189">
        <f>IFERROR(__xludf.DUMMYFUNCTION("""COMPUTED_VALUE"""),1284.0)</f>
        <v>1284</v>
      </c>
      <c r="M214" s="189">
        <f>IFERROR(__xludf.DUMMYFUNCTION("""COMPUTED_VALUE"""),1096.0)</f>
        <v>1096</v>
      </c>
      <c r="N214" s="189">
        <f>IFERROR(__xludf.DUMMYFUNCTION("""COMPUTED_VALUE"""),1060.0)</f>
        <v>1060</v>
      </c>
      <c r="O214" s="189">
        <f>IFERROR(__xludf.DUMMYFUNCTION("""COMPUTED_VALUE"""),1097.0)</f>
        <v>1097</v>
      </c>
      <c r="P214" s="189">
        <f>IFERROR(__xludf.DUMMYFUNCTION("""COMPUTED_VALUE"""),1058.0)</f>
        <v>1058</v>
      </c>
      <c r="Q214" s="189">
        <f>IFERROR(__xludf.DUMMYFUNCTION("""COMPUTED_VALUE"""),1044.0)</f>
        <v>1044</v>
      </c>
      <c r="R214" s="189">
        <f>IFERROR(__xludf.DUMMYFUNCTION("""COMPUTED_VALUE"""),978.0)</f>
        <v>978</v>
      </c>
      <c r="S214" s="186">
        <f>IFERROR(__xludf.DUMMYFUNCTION("""COMPUTED_VALUE"""),959.0)</f>
        <v>959</v>
      </c>
    </row>
    <row r="215">
      <c r="A215" s="186" t="str">
        <f>IFERROR(__xludf.DUMMYFUNCTION("""COMPUTED_VALUE"""),"NORDICS")</f>
        <v>NORDICS</v>
      </c>
      <c r="B215" s="186" t="str">
        <f>IFERROR(__xludf.DUMMYFUNCTION("""COMPUTED_VALUE"""),"W51")</f>
        <v>W51</v>
      </c>
      <c r="C215" s="186">
        <f>IFERROR(__xludf.DUMMYFUNCTION("""COMPUTED_VALUE"""),313.0)</f>
        <v>313</v>
      </c>
      <c r="D215" s="186" t="str">
        <f>IFERROR(__xludf.DUMMYFUNCTION("""COMPUTED_VALUE"""),"CON-00-152045-2")</f>
        <v>CON-00-152045-2</v>
      </c>
      <c r="E215" s="186" t="str">
        <f>IFERROR(__xludf.DUMMYFUNCTION("""COMPUTED_VALUE"""),"Honey Miso Chicken &amp; Scallion Rice")</f>
        <v>Honey Miso Chicken &amp; Scallion Rice</v>
      </c>
      <c r="F215" s="186" t="str">
        <f>IFERROR(__xludf.DUMMYFUNCTION("""COMPUTED_VALUE"""),"Honning-miso kylling med ris og forårsløg")</f>
        <v>Honning-miso kylling med ris og forårsløg</v>
      </c>
      <c r="G215" s="186" t="str">
        <f>IFERROR(__xludf.DUMMYFUNCTION("""COMPUTED_VALUE"""),"FE4067A")</f>
        <v>FE4067A</v>
      </c>
      <c r="H215" s="186">
        <f>IFERROR(__xludf.DUMMYFUNCTION("""COMPUTED_VALUE"""),565210.0)</f>
        <v>565210</v>
      </c>
      <c r="I215" s="186" t="str">
        <f>IFERROR(__xludf.DUMMYFUNCTION("""COMPUTED_VALUE"""),"HF Honing miso kip")</f>
        <v>HF Honing miso kip</v>
      </c>
      <c r="J215" s="189">
        <f>IFERROR(__xludf.DUMMYFUNCTION("""COMPUTED_VALUE"""),1541.0)</f>
        <v>1541</v>
      </c>
      <c r="K215" s="189">
        <f>IFERROR(__xludf.DUMMYFUNCTION("""COMPUTED_VALUE"""),1426.0)</f>
        <v>1426</v>
      </c>
      <c r="L215" s="189">
        <f>IFERROR(__xludf.DUMMYFUNCTION("""COMPUTED_VALUE"""),2181.0)</f>
        <v>2181</v>
      </c>
      <c r="M215" s="189">
        <f>IFERROR(__xludf.DUMMYFUNCTION("""COMPUTED_VALUE"""),2120.0)</f>
        <v>2120</v>
      </c>
      <c r="N215" s="189">
        <f>IFERROR(__xludf.DUMMYFUNCTION("""COMPUTED_VALUE"""),2013.0)</f>
        <v>2013</v>
      </c>
      <c r="O215" s="189">
        <f>IFERROR(__xludf.DUMMYFUNCTION("""COMPUTED_VALUE"""),1956.0)</f>
        <v>1956</v>
      </c>
      <c r="P215" s="189">
        <f>IFERROR(__xludf.DUMMYFUNCTION("""COMPUTED_VALUE"""),1932.0)</f>
        <v>1932</v>
      </c>
      <c r="Q215" s="189">
        <f>IFERROR(__xludf.DUMMYFUNCTION("""COMPUTED_VALUE"""),1896.0)</f>
        <v>1896</v>
      </c>
      <c r="R215" s="189">
        <f>IFERROR(__xludf.DUMMYFUNCTION("""COMPUTED_VALUE"""),1740.0)</f>
        <v>1740</v>
      </c>
      <c r="S215" s="189">
        <f>IFERROR(__xludf.DUMMYFUNCTION("""COMPUTED_VALUE"""),1703.0)</f>
        <v>1703</v>
      </c>
    </row>
    <row r="216">
      <c r="A216" s="186" t="str">
        <f>IFERROR(__xludf.DUMMYFUNCTION("""COMPUTED_VALUE"""),"NORDICS")</f>
        <v>NORDICS</v>
      </c>
      <c r="B216" s="186" t="str">
        <f>IFERROR(__xludf.DUMMYFUNCTION("""COMPUTED_VALUE"""),"W51")</f>
        <v>W51</v>
      </c>
      <c r="C216" s="186">
        <f>IFERROR(__xludf.DUMMYFUNCTION("""COMPUTED_VALUE"""),314.0)</f>
        <v>314</v>
      </c>
      <c r="D216" s="186" t="str">
        <f>IFERROR(__xludf.DUMMYFUNCTION("""COMPUTED_VALUE"""),"CON-00-152034-2")</f>
        <v>CON-00-152034-2</v>
      </c>
      <c r="E216" s="186" t="str">
        <f>IFERROR(__xludf.DUMMYFUNCTION("""COMPUTED_VALUE"""),"Moroccan-style chicken thighs &amp; tomato sauce")</f>
        <v>Moroccan-style chicken thighs &amp; tomato sauce</v>
      </c>
      <c r="F216" s="186" t="str">
        <f>IFERROR(__xludf.DUMMYFUNCTION("""COMPUTED_VALUE"""),"Marokkansk-inspirerede kyllingeoverlår i tomatsauce")</f>
        <v>Marokkansk-inspirerede kyllingeoverlår i tomatsauce</v>
      </c>
      <c r="G216" s="186" t="str">
        <f>IFERROR(__xludf.DUMMYFUNCTION("""COMPUTED_VALUE"""),"FE1068A")</f>
        <v>FE1068A</v>
      </c>
      <c r="H216" s="186">
        <f>IFERROR(__xludf.DUMMYFUNCTION("""COMPUTED_VALUE"""),565192.0)</f>
        <v>565192</v>
      </c>
      <c r="I216" s="186" t="str">
        <f>IFERROR(__xludf.DUMMYFUNCTION("""COMPUTED_VALUE"""),"HF Kip met kruidige aardappels")</f>
        <v>HF Kip met kruidige aardappels</v>
      </c>
      <c r="J216" s="189">
        <f>IFERROR(__xludf.DUMMYFUNCTION("""COMPUTED_VALUE"""),1054.0)</f>
        <v>1054</v>
      </c>
      <c r="K216" s="189">
        <f>IFERROR(__xludf.DUMMYFUNCTION("""COMPUTED_VALUE"""),874.0)</f>
        <v>874</v>
      </c>
      <c r="L216" s="189">
        <f>IFERROR(__xludf.DUMMYFUNCTION("""COMPUTED_VALUE"""),1034.0)</f>
        <v>1034</v>
      </c>
      <c r="M216" s="189">
        <f>IFERROR(__xludf.DUMMYFUNCTION("""COMPUTED_VALUE"""),993.0)</f>
        <v>993</v>
      </c>
      <c r="N216" s="189">
        <f>IFERROR(__xludf.DUMMYFUNCTION("""COMPUTED_VALUE"""),912.0)</f>
        <v>912</v>
      </c>
      <c r="O216" s="189">
        <f>IFERROR(__xludf.DUMMYFUNCTION("""COMPUTED_VALUE"""),910.0)</f>
        <v>910</v>
      </c>
      <c r="P216" s="189">
        <f>IFERROR(__xludf.DUMMYFUNCTION("""COMPUTED_VALUE"""),900.0)</f>
        <v>900</v>
      </c>
      <c r="Q216" s="189">
        <f>IFERROR(__xludf.DUMMYFUNCTION("""COMPUTED_VALUE"""),868.0)</f>
        <v>868</v>
      </c>
      <c r="R216" s="189">
        <f>IFERROR(__xludf.DUMMYFUNCTION("""COMPUTED_VALUE"""),760.0)</f>
        <v>760</v>
      </c>
      <c r="S216" s="189">
        <f>IFERROR(__xludf.DUMMYFUNCTION("""COMPUTED_VALUE"""),754.0)</f>
        <v>754</v>
      </c>
    </row>
    <row r="217">
      <c r="A217" s="186" t="str">
        <f>IFERROR(__xludf.DUMMYFUNCTION("""COMPUTED_VALUE"""),"NORDICS")</f>
        <v>NORDICS</v>
      </c>
      <c r="B217" s="186" t="str">
        <f>IFERROR(__xludf.DUMMYFUNCTION("""COMPUTED_VALUE"""),"W51")</f>
        <v>W51</v>
      </c>
      <c r="C217" s="186">
        <f>IFERROR(__xludf.DUMMYFUNCTION("""COMPUTED_VALUE"""),315.0)</f>
        <v>315</v>
      </c>
      <c r="D217" s="186" t="str">
        <f>IFERROR(__xludf.DUMMYFUNCTION("""COMPUTED_VALUE"""),"CON-00-152043-2")</f>
        <v>CON-00-152043-2</v>
      </c>
      <c r="E217" s="186" t="str">
        <f>IFERROR(__xludf.DUMMYFUNCTION("""COMPUTED_VALUE"""),"Thai Style Yellow Curry Chicken &amp; Ginger Rice")</f>
        <v>Thai Style Yellow Curry Chicken &amp; Ginger Rice</v>
      </c>
      <c r="F217" s="186" t="str">
        <f>IFERROR(__xludf.DUMMYFUNCTION("""COMPUTED_VALUE"""),"Thai-inspireret gul karry med kylling og ingefærris")</f>
        <v>Thai-inspireret gul karry med kylling og ingefærris</v>
      </c>
      <c r="G217" s="186" t="str">
        <f>IFERROR(__xludf.DUMMYFUNCTION("""COMPUTED_VALUE"""),"FE1422A")</f>
        <v>FE1422A</v>
      </c>
      <c r="H217" s="186">
        <f>IFERROR(__xludf.DUMMYFUNCTION("""COMPUTED_VALUE"""),565217.0)</f>
        <v>565217</v>
      </c>
      <c r="I217" s="186" t="str">
        <f>IFERROR(__xludf.DUMMYFUNCTION("""COMPUTED_VALUE"""),"HF Gele curry kip en gember")</f>
        <v>HF Gele curry kip en gember</v>
      </c>
      <c r="J217" s="189">
        <f>IFERROR(__xludf.DUMMYFUNCTION("""COMPUTED_VALUE"""),719.0)</f>
        <v>719</v>
      </c>
      <c r="K217" s="189">
        <f>IFERROR(__xludf.DUMMYFUNCTION("""COMPUTED_VALUE"""),747.0)</f>
        <v>747</v>
      </c>
      <c r="L217" s="189">
        <f>IFERROR(__xludf.DUMMYFUNCTION("""COMPUTED_VALUE"""),796.0)</f>
        <v>796</v>
      </c>
      <c r="M217" s="189">
        <f>IFERROR(__xludf.DUMMYFUNCTION("""COMPUTED_VALUE"""),730.0)</f>
        <v>730</v>
      </c>
      <c r="N217" s="189">
        <f>IFERROR(__xludf.DUMMYFUNCTION("""COMPUTED_VALUE"""),639.0)</f>
        <v>639</v>
      </c>
      <c r="O217" s="189">
        <f>IFERROR(__xludf.DUMMYFUNCTION("""COMPUTED_VALUE"""),626.0)</f>
        <v>626</v>
      </c>
      <c r="P217" s="189">
        <f>IFERROR(__xludf.DUMMYFUNCTION("""COMPUTED_VALUE"""),611.0)</f>
        <v>611</v>
      </c>
      <c r="Q217" s="189">
        <f>IFERROR(__xludf.DUMMYFUNCTION("""COMPUTED_VALUE"""),606.0)</f>
        <v>606</v>
      </c>
      <c r="R217" s="189">
        <f>IFERROR(__xludf.DUMMYFUNCTION("""COMPUTED_VALUE"""),556.0)</f>
        <v>556</v>
      </c>
      <c r="S217" s="189">
        <f>IFERROR(__xludf.DUMMYFUNCTION("""COMPUTED_VALUE"""),566.0)</f>
        <v>566</v>
      </c>
    </row>
    <row r="218">
      <c r="A218" s="186" t="str">
        <f>IFERROR(__xludf.DUMMYFUNCTION("""COMPUTED_VALUE"""),"NORDICS")</f>
        <v>NORDICS</v>
      </c>
      <c r="B218" s="186" t="str">
        <f>IFERROR(__xludf.DUMMYFUNCTION("""COMPUTED_VALUE"""),"W51")</f>
        <v>W51</v>
      </c>
      <c r="C218" s="186">
        <f>IFERROR(__xludf.DUMMYFUNCTION("""COMPUTED_VALUE"""),316.0)</f>
        <v>316</v>
      </c>
      <c r="D218" s="186" t="str">
        <f>IFERROR(__xludf.DUMMYFUNCTION("""COMPUTED_VALUE"""),"CON-00-147812-2")</f>
        <v>CON-00-147812-2</v>
      </c>
      <c r="E218" s="186" t="str">
        <f>IFERROR(__xludf.DUMMYFUNCTION("""COMPUTED_VALUE"""),"Chicken in tomato cream sauce")</f>
        <v>Chicken in tomato cream sauce</v>
      </c>
      <c r="F218" s="186" t="str">
        <f>IFERROR(__xludf.DUMMYFUNCTION("""COMPUTED_VALUE"""),"Kylling i cremet tomatsauce")</f>
        <v>Kylling i cremet tomatsauce</v>
      </c>
      <c r="G218" s="186" t="str">
        <f>IFERROR(__xludf.DUMMYFUNCTION("""COMPUTED_VALUE"""),"FE0024E")</f>
        <v>FE0024E</v>
      </c>
      <c r="H218" s="186">
        <f>IFERROR(__xludf.DUMMYFUNCTION("""COMPUTED_VALUE"""),565150.0)</f>
        <v>565150</v>
      </c>
      <c r="I218" s="186" t="str">
        <f>IFERROR(__xludf.DUMMYFUNCTION("""COMPUTED_VALUE"""),"HF RW Kipfilet in tom-roomsaus")</f>
        <v>HF RW Kipfilet in tom-roomsaus</v>
      </c>
      <c r="J218" s="189">
        <f>IFERROR(__xludf.DUMMYFUNCTION("""COMPUTED_VALUE"""),593.0)</f>
        <v>593</v>
      </c>
      <c r="K218" s="189">
        <f>IFERROR(__xludf.DUMMYFUNCTION("""COMPUTED_VALUE"""),577.0)</f>
        <v>577</v>
      </c>
      <c r="L218" s="189">
        <f>IFERROR(__xludf.DUMMYFUNCTION("""COMPUTED_VALUE"""),751.0)</f>
        <v>751</v>
      </c>
      <c r="M218" s="186">
        <f>IFERROR(__xludf.DUMMYFUNCTION("""COMPUTED_VALUE"""),705.0)</f>
        <v>705</v>
      </c>
      <c r="N218" s="186">
        <f>IFERROR(__xludf.DUMMYFUNCTION("""COMPUTED_VALUE"""),624.0)</f>
        <v>624</v>
      </c>
      <c r="O218" s="186">
        <f>IFERROR(__xludf.DUMMYFUNCTION("""COMPUTED_VALUE"""),645.0)</f>
        <v>645</v>
      </c>
      <c r="P218" s="186">
        <f>IFERROR(__xludf.DUMMYFUNCTION("""COMPUTED_VALUE"""),657.0)</f>
        <v>657</v>
      </c>
      <c r="Q218" s="186">
        <f>IFERROR(__xludf.DUMMYFUNCTION("""COMPUTED_VALUE"""),659.0)</f>
        <v>659</v>
      </c>
      <c r="R218" s="186">
        <f>IFERROR(__xludf.DUMMYFUNCTION("""COMPUTED_VALUE"""),574.0)</f>
        <v>574</v>
      </c>
      <c r="S218" s="189">
        <f>IFERROR(__xludf.DUMMYFUNCTION("""COMPUTED_VALUE"""),582.0)</f>
        <v>582</v>
      </c>
    </row>
    <row r="219">
      <c r="A219" s="186" t="str">
        <f>IFERROR(__xludf.DUMMYFUNCTION("""COMPUTED_VALUE"""),"NORDICS")</f>
        <v>NORDICS</v>
      </c>
      <c r="B219" s="186" t="str">
        <f>IFERROR(__xludf.DUMMYFUNCTION("""COMPUTED_VALUE"""),"W51")</f>
        <v>W51</v>
      </c>
      <c r="C219" s="186">
        <f>IFERROR(__xludf.DUMMYFUNCTION("""COMPUTED_VALUE"""),317.0)</f>
        <v>317</v>
      </c>
      <c r="D219" s="186"/>
      <c r="E219" s="186"/>
      <c r="F219" s="186"/>
      <c r="G219" s="186" t="str">
        <f>IFERROR(__xludf.DUMMYFUNCTION("""COMPUTED_VALUE"""),"FE4048A")</f>
        <v>FE4048A</v>
      </c>
      <c r="H219" s="186"/>
      <c r="I219" s="186"/>
      <c r="J219" s="189">
        <f>IFERROR(__xludf.DUMMYFUNCTION("""COMPUTED_VALUE"""),538.0)</f>
        <v>538</v>
      </c>
      <c r="K219" s="189">
        <f>IFERROR(__xludf.DUMMYFUNCTION("""COMPUTED_VALUE"""),532.0)</f>
        <v>532</v>
      </c>
      <c r="L219" s="189">
        <f>IFERROR(__xludf.DUMMYFUNCTION("""COMPUTED_VALUE"""),327.0)</f>
        <v>327</v>
      </c>
      <c r="M219" s="189">
        <f>IFERROR(__xludf.DUMMYFUNCTION("""COMPUTED_VALUE"""),387.0)</f>
        <v>387</v>
      </c>
      <c r="N219" s="189">
        <f>IFERROR(__xludf.DUMMYFUNCTION("""COMPUTED_VALUE"""),400.0)</f>
        <v>400</v>
      </c>
      <c r="O219" s="189">
        <f>IFERROR(__xludf.DUMMYFUNCTION("""COMPUTED_VALUE"""),410.0)</f>
        <v>410</v>
      </c>
      <c r="P219" s="189">
        <f>IFERROR(__xludf.DUMMYFUNCTION("""COMPUTED_VALUE"""),411.0)</f>
        <v>411</v>
      </c>
      <c r="Q219" s="189">
        <f>IFERROR(__xludf.DUMMYFUNCTION("""COMPUTED_VALUE"""),420.0)</f>
        <v>420</v>
      </c>
      <c r="R219" s="189">
        <f>IFERROR(__xludf.DUMMYFUNCTION("""COMPUTED_VALUE"""),386.0)</f>
        <v>386</v>
      </c>
      <c r="S219" s="189">
        <f>IFERROR(__xludf.DUMMYFUNCTION("""COMPUTED_VALUE"""),395.0)</f>
        <v>395</v>
      </c>
    </row>
    <row r="220">
      <c r="A220" s="186" t="str">
        <f>IFERROR(__xludf.DUMMYFUNCTION("""COMPUTED_VALUE"""),"NORDICS")</f>
        <v>NORDICS</v>
      </c>
      <c r="B220" s="186" t="str">
        <f>IFERROR(__xludf.DUMMYFUNCTION("""COMPUTED_VALUE"""),"W51")</f>
        <v>W51</v>
      </c>
      <c r="C220" s="186">
        <f>IFERROR(__xludf.DUMMYFUNCTION("""COMPUTED_VALUE"""),318.0)</f>
        <v>318</v>
      </c>
      <c r="D220" s="186"/>
      <c r="E220" s="186"/>
      <c r="F220" s="186"/>
      <c r="G220" s="186" t="str">
        <f>IFERROR(__xludf.DUMMYFUNCTION("""COMPUTED_VALUE"""),"FE1072A")</f>
        <v>FE1072A</v>
      </c>
      <c r="H220" s="186"/>
      <c r="I220" s="186"/>
      <c r="J220" s="186">
        <f>IFERROR(__xludf.DUMMYFUNCTION("""COMPUTED_VALUE"""),599.0)</f>
        <v>599</v>
      </c>
      <c r="K220" s="186">
        <f>IFERROR(__xludf.DUMMYFUNCTION("""COMPUTED_VALUE"""),540.0)</f>
        <v>540</v>
      </c>
      <c r="L220" s="186">
        <f>IFERROR(__xludf.DUMMYFUNCTION("""COMPUTED_VALUE"""),297.0)</f>
        <v>297</v>
      </c>
      <c r="M220" s="186">
        <f>IFERROR(__xludf.DUMMYFUNCTION("""COMPUTED_VALUE"""),330.0)</f>
        <v>330</v>
      </c>
      <c r="N220" s="186">
        <f>IFERROR(__xludf.DUMMYFUNCTION("""COMPUTED_VALUE"""),297.0)</f>
        <v>297</v>
      </c>
      <c r="O220" s="186">
        <f>IFERROR(__xludf.DUMMYFUNCTION("""COMPUTED_VALUE"""),316.0)</f>
        <v>316</v>
      </c>
      <c r="P220" s="186">
        <f>IFERROR(__xludf.DUMMYFUNCTION("""COMPUTED_VALUE"""),331.0)</f>
        <v>331</v>
      </c>
      <c r="Q220" s="186">
        <f>IFERROR(__xludf.DUMMYFUNCTION("""COMPUTED_VALUE"""),339.0)</f>
        <v>339</v>
      </c>
      <c r="R220" s="186">
        <f>IFERROR(__xludf.DUMMYFUNCTION("""COMPUTED_VALUE"""),324.0)</f>
        <v>324</v>
      </c>
      <c r="S220" s="189">
        <f>IFERROR(__xludf.DUMMYFUNCTION("""COMPUTED_VALUE"""),334.0)</f>
        <v>334</v>
      </c>
    </row>
    <row r="221">
      <c r="A221" s="186" t="str">
        <f>IFERROR(__xludf.DUMMYFUNCTION("""COMPUTED_VALUE"""),"NORDICS")</f>
        <v>NORDICS</v>
      </c>
      <c r="B221" s="186" t="str">
        <f>IFERROR(__xludf.DUMMYFUNCTION("""COMPUTED_VALUE"""),"W51")</f>
        <v>W51</v>
      </c>
      <c r="C221" s="186">
        <f>IFERROR(__xludf.DUMMYFUNCTION("""COMPUTED_VALUE"""),806.0)</f>
        <v>806</v>
      </c>
      <c r="D221" s="186" t="str">
        <f>IFERROR(__xludf.DUMMYFUNCTION("""COMPUTED_VALUE"""),"PTN-00-148223-2")</f>
        <v>PTN-00-148223-2</v>
      </c>
      <c r="E221" s="186" t="str">
        <f>IFERROR(__xludf.DUMMYFUNCTION("""COMPUTED_VALUE"""),"Garlic Herb Grilled Chicken")</f>
        <v>Garlic Herb Grilled Chicken</v>
      </c>
      <c r="F221" s="186" t="str">
        <f>IFERROR(__xludf.DUMMYFUNCTION("""COMPUTED_VALUE"""),"Grillet kylling med hvidlød og urter")</f>
        <v>Grillet kylling med hvidlød og urter</v>
      </c>
      <c r="G221" s="186" t="str">
        <f>IFERROR(__xludf.DUMMYFUNCTION("""COMPUTED_VALUE"""),"FEA006A")</f>
        <v>FEA006A</v>
      </c>
      <c r="H221" s="186">
        <f>IFERROR(__xludf.DUMMYFUNCTION("""COMPUTED_VALUE"""),565119.0)</f>
        <v>565119</v>
      </c>
      <c r="I221" s="186"/>
      <c r="J221" s="186">
        <f>IFERROR(__xludf.DUMMYFUNCTION("""COMPUTED_VALUE"""),48.0)</f>
        <v>48</v>
      </c>
      <c r="K221" s="186">
        <f>IFERROR(__xludf.DUMMYFUNCTION("""COMPUTED_VALUE"""),48.0)</f>
        <v>48</v>
      </c>
      <c r="L221" s="186">
        <f>IFERROR(__xludf.DUMMYFUNCTION("""COMPUTED_VALUE"""),48.0)</f>
        <v>48</v>
      </c>
      <c r="M221" s="186">
        <f>IFERROR(__xludf.DUMMYFUNCTION("""COMPUTED_VALUE"""),48.0)</f>
        <v>48</v>
      </c>
      <c r="N221" s="186">
        <f>IFERROR(__xludf.DUMMYFUNCTION("""COMPUTED_VALUE"""),48.0)</f>
        <v>48</v>
      </c>
      <c r="O221" s="186">
        <f>IFERROR(__xludf.DUMMYFUNCTION("""COMPUTED_VALUE"""),48.0)</f>
        <v>48</v>
      </c>
      <c r="P221" s="186">
        <f>IFERROR(__xludf.DUMMYFUNCTION("""COMPUTED_VALUE"""),48.0)</f>
        <v>48</v>
      </c>
      <c r="Q221" s="186">
        <f>IFERROR(__xludf.DUMMYFUNCTION("""COMPUTED_VALUE"""),48.0)</f>
        <v>48</v>
      </c>
      <c r="R221" s="186">
        <f>IFERROR(__xludf.DUMMYFUNCTION("""COMPUTED_VALUE"""),44.0)</f>
        <v>44</v>
      </c>
      <c r="S221" s="189">
        <f>IFERROR(__xludf.DUMMYFUNCTION("""COMPUTED_VALUE"""),51.0)</f>
        <v>51</v>
      </c>
    </row>
    <row r="222">
      <c r="A222" s="186" t="str">
        <f>IFERROR(__xludf.DUMMYFUNCTION("""COMPUTED_VALUE"""),"NORDICS")</f>
        <v>NORDICS</v>
      </c>
      <c r="B222" s="186" t="str">
        <f>IFERROR(__xludf.DUMMYFUNCTION("""COMPUTED_VALUE"""),"W51")</f>
        <v>W51</v>
      </c>
      <c r="C222" s="186"/>
      <c r="D222" s="186"/>
      <c r="E222" s="186"/>
      <c r="F222" s="186"/>
      <c r="G222" s="186"/>
      <c r="H222" s="186"/>
      <c r="I222" s="186"/>
      <c r="J222" s="189">
        <f>IFERROR(__xludf.DUMMYFUNCTION("""COMPUTED_VALUE"""),25215.0)</f>
        <v>25215</v>
      </c>
      <c r="K222" s="189">
        <f>IFERROR(__xludf.DUMMYFUNCTION("""COMPUTED_VALUE"""),23771.0)</f>
        <v>23771</v>
      </c>
      <c r="L222" s="189">
        <f>IFERROR(__xludf.DUMMYFUNCTION("""COMPUTED_VALUE"""),23583.0)</f>
        <v>23583</v>
      </c>
      <c r="M222" s="189">
        <f>IFERROR(__xludf.DUMMYFUNCTION("""COMPUTED_VALUE"""),23430.0)</f>
        <v>23430</v>
      </c>
      <c r="N222" s="189">
        <f>IFERROR(__xludf.DUMMYFUNCTION("""COMPUTED_VALUE"""),22180.0)</f>
        <v>22180</v>
      </c>
      <c r="O222" s="189">
        <f>IFERROR(__xludf.DUMMYFUNCTION("""COMPUTED_VALUE"""),22376.0)</f>
        <v>22376</v>
      </c>
      <c r="P222" s="189">
        <f>IFERROR(__xludf.DUMMYFUNCTION("""COMPUTED_VALUE"""),22144.0)</f>
        <v>22144</v>
      </c>
      <c r="Q222" s="189">
        <f>IFERROR(__xludf.DUMMYFUNCTION("""COMPUTED_VALUE"""),21680.0)</f>
        <v>21680</v>
      </c>
      <c r="R222" s="189">
        <f>IFERROR(__xludf.DUMMYFUNCTION("""COMPUTED_VALUE"""),19912.0)</f>
        <v>19912</v>
      </c>
      <c r="S222" s="189">
        <f>IFERROR(__xludf.DUMMYFUNCTION("""COMPUTED_VALUE"""),19317.0)</f>
        <v>19317</v>
      </c>
    </row>
    <row r="223">
      <c r="A223" s="186" t="str">
        <f>IFERROR(__xludf.DUMMYFUNCTION("""COMPUTED_VALUE"""),"DE")</f>
        <v>DE</v>
      </c>
      <c r="B223" s="186" t="str">
        <f>IFERROR(__xludf.DUMMYFUNCTION("""COMPUTED_VALUE"""),"W51")</f>
        <v>W51</v>
      </c>
      <c r="C223" s="186">
        <f>IFERROR(__xludf.DUMMYFUNCTION("""COMPUTED_VALUE"""),301.0)</f>
        <v>301</v>
      </c>
      <c r="D223" s="186" t="str">
        <f>IFERROR(__xludf.DUMMYFUNCTION("""COMPUTED_VALUE"""),"CON-00-149480-2")</f>
        <v>CON-00-149480-2</v>
      </c>
      <c r="E223" s="186" t="str">
        <f>IFERROR(__xludf.DUMMYFUNCTION("""COMPUTED_VALUE"""),"Sour Cream &amp; Chive Chicken")</f>
        <v>Sour Cream &amp; Chive Chicken</v>
      </c>
      <c r="F223" s="186" t="str">
        <f>IFERROR(__xludf.DUMMYFUNCTION("""COMPUTED_VALUE"""),"Hähnchen mit Sauerrahm und Schnittlauch")</f>
        <v>Hähnchen mit Sauerrahm und Schnittlauch</v>
      </c>
      <c r="G223" s="186" t="str">
        <f>IFERROR(__xludf.DUMMYFUNCTION("""COMPUTED_VALUE"""),"FE0322O")</f>
        <v>FE0322O</v>
      </c>
      <c r="H223" s="186">
        <f>IFERROR(__xludf.DUMMYFUNCTION("""COMPUTED_VALUE"""),565163.0)</f>
        <v>565163</v>
      </c>
      <c r="I223" s="186" t="str">
        <f>IFERROR(__xludf.DUMMYFUNCTION("""COMPUTED_VALUE"""),"HF Kip bieslook aardappel pure")</f>
        <v>HF Kip bieslook aardappel pure</v>
      </c>
      <c r="J223" s="189">
        <f>IFERROR(__xludf.DUMMYFUNCTION("""COMPUTED_VALUE"""),3245.0)</f>
        <v>3245</v>
      </c>
      <c r="K223" s="189">
        <f>IFERROR(__xludf.DUMMYFUNCTION("""COMPUTED_VALUE"""),2910.0)</f>
        <v>2910</v>
      </c>
      <c r="L223" s="189">
        <f>IFERROR(__xludf.DUMMYFUNCTION("""COMPUTED_VALUE"""),2702.0)</f>
        <v>2702</v>
      </c>
      <c r="M223" s="189">
        <f>IFERROR(__xludf.DUMMYFUNCTION("""COMPUTED_VALUE"""),2674.0)</f>
        <v>2674</v>
      </c>
      <c r="N223" s="189">
        <f>IFERROR(__xludf.DUMMYFUNCTION("""COMPUTED_VALUE"""),2474.0)</f>
        <v>2474</v>
      </c>
      <c r="O223" s="189">
        <f>IFERROR(__xludf.DUMMYFUNCTION("""COMPUTED_VALUE"""),2456.0)</f>
        <v>2456</v>
      </c>
      <c r="P223" s="189">
        <f>IFERROR(__xludf.DUMMYFUNCTION("""COMPUTED_VALUE"""),2454.0)</f>
        <v>2454</v>
      </c>
      <c r="Q223" s="189">
        <f>IFERROR(__xludf.DUMMYFUNCTION("""COMPUTED_VALUE"""),2390.0)</f>
        <v>2390</v>
      </c>
      <c r="R223" s="189">
        <f>IFERROR(__xludf.DUMMYFUNCTION("""COMPUTED_VALUE"""),2269.0)</f>
        <v>2269</v>
      </c>
      <c r="S223" s="189">
        <f>IFERROR(__xludf.DUMMYFUNCTION("""COMPUTED_VALUE"""),2219.0)</f>
        <v>2219</v>
      </c>
    </row>
    <row r="224">
      <c r="A224" s="186" t="str">
        <f>IFERROR(__xludf.DUMMYFUNCTION("""COMPUTED_VALUE"""),"DE")</f>
        <v>DE</v>
      </c>
      <c r="B224" s="186" t="str">
        <f>IFERROR(__xludf.DUMMYFUNCTION("""COMPUTED_VALUE"""),"W51")</f>
        <v>W51</v>
      </c>
      <c r="C224" s="186">
        <f>IFERROR(__xludf.DUMMYFUNCTION("""COMPUTED_VALUE"""),302.0)</f>
        <v>302</v>
      </c>
      <c r="D224" s="186" t="str">
        <f>IFERROR(__xludf.DUMMYFUNCTION("""COMPUTED_VALUE"""),"CON-00-136674-3")</f>
        <v>CON-00-136674-3</v>
      </c>
      <c r="E224" s="186" t="str">
        <f>IFERROR(__xludf.DUMMYFUNCTION("""COMPUTED_VALUE"""),"Grilled chicken and ratatouille")</f>
        <v>Grilled chicken and ratatouille</v>
      </c>
      <c r="F224" s="186" t="str">
        <f>IFERROR(__xludf.DUMMYFUNCTION("""COMPUTED_VALUE"""),"Grillhähnchen und Ratatouille")</f>
        <v>Grillhähnchen und Ratatouille</v>
      </c>
      <c r="G224" s="186" t="str">
        <f>IFERROR(__xludf.DUMMYFUNCTION("""COMPUTED_VALUE"""),"FE4015A")</f>
        <v>FE4015A</v>
      </c>
      <c r="H224" s="186">
        <f>IFERROR(__xludf.DUMMYFUNCTION("""COMPUTED_VALUE"""),565072.0)</f>
        <v>565072</v>
      </c>
      <c r="I224" s="186" t="str">
        <f>IFERROR(__xludf.DUMMYFUNCTION("""COMPUTED_VALUE"""),"HF Gegrilde kipfilet en ratatouille 429g")</f>
        <v>HF Gegrilde kipfilet en ratatouille 429g</v>
      </c>
      <c r="J224" s="189">
        <f>IFERROR(__xludf.DUMMYFUNCTION("""COMPUTED_VALUE"""),2127.0)</f>
        <v>2127</v>
      </c>
      <c r="K224" s="189">
        <f>IFERROR(__xludf.DUMMYFUNCTION("""COMPUTED_VALUE"""),1908.0)</f>
        <v>1908</v>
      </c>
      <c r="L224" s="189">
        <f>IFERROR(__xludf.DUMMYFUNCTION("""COMPUTED_VALUE"""),1791.0)</f>
        <v>1791</v>
      </c>
      <c r="M224" s="189">
        <f>IFERROR(__xludf.DUMMYFUNCTION("""COMPUTED_VALUE"""),1872.0)</f>
        <v>1872</v>
      </c>
      <c r="N224" s="189">
        <f>IFERROR(__xludf.DUMMYFUNCTION("""COMPUTED_VALUE"""),1768.0)</f>
        <v>1768</v>
      </c>
      <c r="O224" s="189">
        <f>IFERROR(__xludf.DUMMYFUNCTION("""COMPUTED_VALUE"""),1708.0)</f>
        <v>1708</v>
      </c>
      <c r="P224" s="189">
        <f>IFERROR(__xludf.DUMMYFUNCTION("""COMPUTED_VALUE"""),1684.0)</f>
        <v>1684</v>
      </c>
      <c r="Q224" s="189">
        <f>IFERROR(__xludf.DUMMYFUNCTION("""COMPUTED_VALUE"""),1636.0)</f>
        <v>1636</v>
      </c>
      <c r="R224" s="189">
        <f>IFERROR(__xludf.DUMMYFUNCTION("""COMPUTED_VALUE"""),1523.0)</f>
        <v>1523</v>
      </c>
      <c r="S224" s="189">
        <f>IFERROR(__xludf.DUMMYFUNCTION("""COMPUTED_VALUE"""),1495.0)</f>
        <v>1495</v>
      </c>
    </row>
    <row r="225">
      <c r="A225" s="186" t="str">
        <f>IFERROR(__xludf.DUMMYFUNCTION("""COMPUTED_VALUE"""),"DE")</f>
        <v>DE</v>
      </c>
      <c r="B225" s="186" t="str">
        <f>IFERROR(__xludf.DUMMYFUNCTION("""COMPUTED_VALUE"""),"W51")</f>
        <v>W51</v>
      </c>
      <c r="C225" s="186">
        <f>IFERROR(__xludf.DUMMYFUNCTION("""COMPUTED_VALUE"""),303.0)</f>
        <v>303</v>
      </c>
      <c r="D225" s="186" t="str">
        <f>IFERROR(__xludf.DUMMYFUNCTION("""COMPUTED_VALUE"""),"CON-00-136718-3")</f>
        <v>CON-00-136718-3</v>
      </c>
      <c r="E225" s="186" t="str">
        <f>IFERROR(__xludf.DUMMYFUNCTION("""COMPUTED_VALUE"""),"Beef with cauliflower mash")</f>
        <v>Beef with cauliflower mash</v>
      </c>
      <c r="F225" s="186" t="str">
        <f>IFERROR(__xludf.DUMMYFUNCTION("""COMPUTED_VALUE"""),"Rindfleisch mit Blumenkohlpüree")</f>
        <v>Rindfleisch mit Blumenkohlpüree</v>
      </c>
      <c r="G225" s="186" t="str">
        <f>IFERROR(__xludf.DUMMYFUNCTION("""COMPUTED_VALUE"""),"FE0745B")</f>
        <v>FE0745B</v>
      </c>
      <c r="H225" s="186">
        <f>IFERROR(__xludf.DUMMYFUNCTION("""COMPUTED_VALUE"""),565139.0)</f>
        <v>565139</v>
      </c>
      <c r="I225" s="186" t="str">
        <f>IFERROR(__xludf.DUMMYFUNCTION("""COMPUTED_VALUE"""),"HF Pulled beef met peccorino")</f>
        <v>HF Pulled beef met peccorino</v>
      </c>
      <c r="J225" s="189">
        <f>IFERROR(__xludf.DUMMYFUNCTION("""COMPUTED_VALUE"""),2366.0)</f>
        <v>2366</v>
      </c>
      <c r="K225" s="189">
        <f>IFERROR(__xludf.DUMMYFUNCTION("""COMPUTED_VALUE"""),2077.0)</f>
        <v>2077</v>
      </c>
      <c r="L225" s="189">
        <f>IFERROR(__xludf.DUMMYFUNCTION("""COMPUTED_VALUE"""),2144.0)</f>
        <v>2144</v>
      </c>
      <c r="M225" s="189">
        <f>IFERROR(__xludf.DUMMYFUNCTION("""COMPUTED_VALUE"""),2097.0)</f>
        <v>2097</v>
      </c>
      <c r="N225" s="189">
        <f>IFERROR(__xludf.DUMMYFUNCTION("""COMPUTED_VALUE"""),1999.0)</f>
        <v>1999</v>
      </c>
      <c r="O225" s="189">
        <f>IFERROR(__xludf.DUMMYFUNCTION("""COMPUTED_VALUE"""),1928.0)</f>
        <v>1928</v>
      </c>
      <c r="P225" s="189">
        <f>IFERROR(__xludf.DUMMYFUNCTION("""COMPUTED_VALUE"""),1950.0)</f>
        <v>1950</v>
      </c>
      <c r="Q225" s="189">
        <f>IFERROR(__xludf.DUMMYFUNCTION("""COMPUTED_VALUE"""),1890.0)</f>
        <v>1890</v>
      </c>
      <c r="R225" s="189">
        <f>IFERROR(__xludf.DUMMYFUNCTION("""COMPUTED_VALUE"""),1776.0)</f>
        <v>1776</v>
      </c>
      <c r="S225" s="189">
        <f>IFERROR(__xludf.DUMMYFUNCTION("""COMPUTED_VALUE"""),1733.0)</f>
        <v>1733</v>
      </c>
    </row>
    <row r="226">
      <c r="A226" s="186" t="str">
        <f>IFERROR(__xludf.DUMMYFUNCTION("""COMPUTED_VALUE"""),"DE")</f>
        <v>DE</v>
      </c>
      <c r="B226" s="186" t="str">
        <f>IFERROR(__xludf.DUMMYFUNCTION("""COMPUTED_VALUE"""),"W51")</f>
        <v>W51</v>
      </c>
      <c r="C226" s="186">
        <f>IFERROR(__xludf.DUMMYFUNCTION("""COMPUTED_VALUE"""),304.0)</f>
        <v>304</v>
      </c>
      <c r="D226" s="186" t="str">
        <f>IFERROR(__xludf.DUMMYFUNCTION("""COMPUTED_VALUE"""),"CON-00-136638-3")</f>
        <v>CON-00-136638-3</v>
      </c>
      <c r="E226" s="186" t="str">
        <f>IFERROR(__xludf.DUMMYFUNCTION("""COMPUTED_VALUE"""),"Spicy chicken with jalapeño, lime and cheddar")</f>
        <v>Spicy chicken with jalapeño, lime and cheddar</v>
      </c>
      <c r="F226" s="186" t="str">
        <f>IFERROR(__xludf.DUMMYFUNCTION("""COMPUTED_VALUE"""),"Würziges Hähnchen mit Jalapeño, Limette und Cheddar")</f>
        <v>Würziges Hähnchen mit Jalapeño, Limette und Cheddar</v>
      </c>
      <c r="G226" s="186" t="str">
        <f>IFERROR(__xludf.DUMMYFUNCTION("""COMPUTED_VALUE"""),"FE0198D")</f>
        <v>FE0198D</v>
      </c>
      <c r="H226" s="186">
        <f>IFERROR(__xludf.DUMMYFUNCTION("""COMPUTED_VALUE"""),565043.0)</f>
        <v>565043</v>
      </c>
      <c r="I226" s="186" t="str">
        <f>IFERROR(__xludf.DUMMYFUNCTION("""COMPUTED_VALUE"""),"HF Pitt. kipf+jalap,lim,chedda")</f>
        <v>HF Pitt. kipf+jalap,lim,chedda</v>
      </c>
      <c r="J226" s="189">
        <f>IFERROR(__xludf.DUMMYFUNCTION("""COMPUTED_VALUE"""),3196.0)</f>
        <v>3196</v>
      </c>
      <c r="K226" s="189">
        <f>IFERROR(__xludf.DUMMYFUNCTION("""COMPUTED_VALUE"""),2949.0)</f>
        <v>2949</v>
      </c>
      <c r="L226" s="189">
        <f>IFERROR(__xludf.DUMMYFUNCTION("""COMPUTED_VALUE"""),2353.0)</f>
        <v>2353</v>
      </c>
      <c r="M226" s="189">
        <f>IFERROR(__xludf.DUMMYFUNCTION("""COMPUTED_VALUE"""),2211.0)</f>
        <v>2211</v>
      </c>
      <c r="N226" s="189">
        <f>IFERROR(__xludf.DUMMYFUNCTION("""COMPUTED_VALUE"""),2108.0)</f>
        <v>2108</v>
      </c>
      <c r="O226" s="189">
        <f>IFERROR(__xludf.DUMMYFUNCTION("""COMPUTED_VALUE"""),2147.0)</f>
        <v>2147</v>
      </c>
      <c r="P226" s="189">
        <f>IFERROR(__xludf.DUMMYFUNCTION("""COMPUTED_VALUE"""),2118.0)</f>
        <v>2118</v>
      </c>
      <c r="Q226" s="189">
        <f>IFERROR(__xludf.DUMMYFUNCTION("""COMPUTED_VALUE"""),2054.0)</f>
        <v>2054</v>
      </c>
      <c r="R226" s="189">
        <f>IFERROR(__xludf.DUMMYFUNCTION("""COMPUTED_VALUE"""),1984.0)</f>
        <v>1984</v>
      </c>
      <c r="S226" s="189">
        <f>IFERROR(__xludf.DUMMYFUNCTION("""COMPUTED_VALUE"""),1915.0)</f>
        <v>1915</v>
      </c>
    </row>
    <row r="227">
      <c r="A227" s="186" t="str">
        <f>IFERROR(__xludf.DUMMYFUNCTION("""COMPUTED_VALUE"""),"DE")</f>
        <v>DE</v>
      </c>
      <c r="B227" s="186" t="str">
        <f>IFERROR(__xludf.DUMMYFUNCTION("""COMPUTED_VALUE"""),"W51")</f>
        <v>W51</v>
      </c>
      <c r="C227" s="186">
        <f>IFERROR(__xludf.DUMMYFUNCTION("""COMPUTED_VALUE"""),305.0)</f>
        <v>305</v>
      </c>
      <c r="D227" s="186"/>
      <c r="E227" s="186"/>
      <c r="F227" s="186"/>
      <c r="G227" s="186" t="str">
        <f>IFERROR(__xludf.DUMMYFUNCTION("""COMPUTED_VALUE"""),"FE0628B")</f>
        <v>FE0628B</v>
      </c>
      <c r="H227" s="186"/>
      <c r="I227" s="186"/>
      <c r="J227" s="189">
        <f>IFERROR(__xludf.DUMMYFUNCTION("""COMPUTED_VALUE"""),2817.0)</f>
        <v>2817</v>
      </c>
      <c r="K227" s="189">
        <f>IFERROR(__xludf.DUMMYFUNCTION("""COMPUTED_VALUE"""),2536.0)</f>
        <v>2536</v>
      </c>
      <c r="L227" s="189">
        <f>IFERROR(__xludf.DUMMYFUNCTION("""COMPUTED_VALUE"""),2161.0)</f>
        <v>2161</v>
      </c>
      <c r="M227" s="189">
        <f>IFERROR(__xludf.DUMMYFUNCTION("""COMPUTED_VALUE"""),2037.0)</f>
        <v>2037</v>
      </c>
      <c r="N227" s="189">
        <f>IFERROR(__xludf.DUMMYFUNCTION("""COMPUTED_VALUE"""),1912.0)</f>
        <v>1912</v>
      </c>
      <c r="O227" s="189">
        <f>IFERROR(__xludf.DUMMYFUNCTION("""COMPUTED_VALUE"""),1938.0)</f>
        <v>1938</v>
      </c>
      <c r="P227" s="189">
        <f>IFERROR(__xludf.DUMMYFUNCTION("""COMPUTED_VALUE"""),1941.0)</f>
        <v>1941</v>
      </c>
      <c r="Q227" s="189">
        <f>IFERROR(__xludf.DUMMYFUNCTION("""COMPUTED_VALUE"""),1888.0)</f>
        <v>1888</v>
      </c>
      <c r="R227" s="189">
        <f>IFERROR(__xludf.DUMMYFUNCTION("""COMPUTED_VALUE"""),1807.0)</f>
        <v>1807</v>
      </c>
      <c r="S227" s="189">
        <f>IFERROR(__xludf.DUMMYFUNCTION("""COMPUTED_VALUE"""),1762.0)</f>
        <v>1762</v>
      </c>
    </row>
    <row r="228">
      <c r="A228" s="186" t="str">
        <f>IFERROR(__xludf.DUMMYFUNCTION("""COMPUTED_VALUE"""),"DE")</f>
        <v>DE</v>
      </c>
      <c r="B228" s="186" t="str">
        <f>IFERROR(__xludf.DUMMYFUNCTION("""COMPUTED_VALUE"""),"W51")</f>
        <v>W51</v>
      </c>
      <c r="C228" s="186">
        <f>IFERROR(__xludf.DUMMYFUNCTION("""COMPUTED_VALUE"""),306.0)</f>
        <v>306</v>
      </c>
      <c r="D228" s="186" t="str">
        <f>IFERROR(__xludf.DUMMYFUNCTION("""COMPUTED_VALUE"""),"CON-00-136714-3")</f>
        <v>CON-00-136714-3</v>
      </c>
      <c r="E228" s="186" t="str">
        <f>IFERROR(__xludf.DUMMYFUNCTION("""COMPUTED_VALUE"""),"Chicken in creamy basil sauce")</f>
        <v>Chicken in creamy basil sauce</v>
      </c>
      <c r="F228" s="186" t="str">
        <f>IFERROR(__xludf.DUMMYFUNCTION("""COMPUTED_VALUE"""),"Hähnchen in cremiger Basilikumsauce")</f>
        <v>Hähnchen in cremiger Basilikumsauce</v>
      </c>
      <c r="G228" s="186" t="str">
        <f>IFERROR(__xludf.DUMMYFUNCTION("""COMPUTED_VALUE"""),"FE4040B")</f>
        <v>FE4040B</v>
      </c>
      <c r="H228" s="186">
        <f>IFERROR(__xludf.DUMMYFUNCTION("""COMPUTED_VALUE"""),565172.0)</f>
        <v>565172</v>
      </c>
      <c r="I228" s="186"/>
      <c r="J228" s="189">
        <f>IFERROR(__xludf.DUMMYFUNCTION("""COMPUTED_VALUE"""),2271.0)</f>
        <v>2271</v>
      </c>
      <c r="K228" s="189">
        <f>IFERROR(__xludf.DUMMYFUNCTION("""COMPUTED_VALUE"""),1954.0)</f>
        <v>1954</v>
      </c>
      <c r="L228" s="189">
        <f>IFERROR(__xludf.DUMMYFUNCTION("""COMPUTED_VALUE"""),1777.0)</f>
        <v>1777</v>
      </c>
      <c r="M228" s="189">
        <f>IFERROR(__xludf.DUMMYFUNCTION("""COMPUTED_VALUE"""),1821.0)</f>
        <v>1821</v>
      </c>
      <c r="N228" s="189">
        <f>IFERROR(__xludf.DUMMYFUNCTION("""COMPUTED_VALUE"""),1713.0)</f>
        <v>1713</v>
      </c>
      <c r="O228" s="189">
        <f>IFERROR(__xludf.DUMMYFUNCTION("""COMPUTED_VALUE"""),1690.0)</f>
        <v>1690</v>
      </c>
      <c r="P228" s="189">
        <f>IFERROR(__xludf.DUMMYFUNCTION("""COMPUTED_VALUE"""),1705.0)</f>
        <v>1705</v>
      </c>
      <c r="Q228" s="189">
        <f>IFERROR(__xludf.DUMMYFUNCTION("""COMPUTED_VALUE"""),1653.0)</f>
        <v>1653</v>
      </c>
      <c r="R228" s="189">
        <f>IFERROR(__xludf.DUMMYFUNCTION("""COMPUTED_VALUE"""),1530.0)</f>
        <v>1530</v>
      </c>
      <c r="S228" s="189">
        <f>IFERROR(__xludf.DUMMYFUNCTION("""COMPUTED_VALUE"""),1500.0)</f>
        <v>1500</v>
      </c>
    </row>
    <row r="229">
      <c r="A229" s="186" t="str">
        <f>IFERROR(__xludf.DUMMYFUNCTION("""COMPUTED_VALUE"""),"DE")</f>
        <v>DE</v>
      </c>
      <c r="B229" s="186" t="str">
        <f>IFERROR(__xludf.DUMMYFUNCTION("""COMPUTED_VALUE"""),"W51")</f>
        <v>W51</v>
      </c>
      <c r="C229" s="186">
        <f>IFERROR(__xludf.DUMMYFUNCTION("""COMPUTED_VALUE"""),307.0)</f>
        <v>307</v>
      </c>
      <c r="D229" s="186" t="str">
        <f>IFERROR(__xludf.DUMMYFUNCTION("""COMPUTED_VALUE"""),"CON-00-136670-3")</f>
        <v>CON-00-136670-3</v>
      </c>
      <c r="E229" s="186" t="str">
        <f>IFERROR(__xludf.DUMMYFUNCTION("""COMPUTED_VALUE"""),"Grilled pork tenderloin and tomato butter")</f>
        <v>Grilled pork tenderloin and tomato butter</v>
      </c>
      <c r="F229" s="186" t="str">
        <f>IFERROR(__xludf.DUMMYFUNCTION("""COMPUTED_VALUE"""),"Gegrilltes Schweinefilet mit Tomatenbutter")</f>
        <v>Gegrilltes Schweinefilet mit Tomatenbutter</v>
      </c>
      <c r="G229" s="186" t="str">
        <f>IFERROR(__xludf.DUMMYFUNCTION("""COMPUTED_VALUE"""),"FE4010B")</f>
        <v>FE4010B</v>
      </c>
      <c r="H229" s="186">
        <f>IFERROR(__xludf.DUMMYFUNCTION("""COMPUTED_VALUE"""),565138.0)</f>
        <v>565138</v>
      </c>
      <c r="I229" s="186"/>
      <c r="J229" s="189">
        <f>IFERROR(__xludf.DUMMYFUNCTION("""COMPUTED_VALUE"""),1216.0)</f>
        <v>1216</v>
      </c>
      <c r="K229" s="189">
        <f>IFERROR(__xludf.DUMMYFUNCTION("""COMPUTED_VALUE"""),1231.0)</f>
        <v>1231</v>
      </c>
      <c r="L229" s="189">
        <f>IFERROR(__xludf.DUMMYFUNCTION("""COMPUTED_VALUE"""),1134.0)</f>
        <v>1134</v>
      </c>
      <c r="M229" s="189">
        <f>IFERROR(__xludf.DUMMYFUNCTION("""COMPUTED_VALUE"""),1191.0)</f>
        <v>1191</v>
      </c>
      <c r="N229" s="189">
        <f>IFERROR(__xludf.DUMMYFUNCTION("""COMPUTED_VALUE"""),1059.0)</f>
        <v>1059</v>
      </c>
      <c r="O229" s="189">
        <f>IFERROR(__xludf.DUMMYFUNCTION("""COMPUTED_VALUE"""),1097.0)</f>
        <v>1097</v>
      </c>
      <c r="P229" s="189">
        <f>IFERROR(__xludf.DUMMYFUNCTION("""COMPUTED_VALUE"""),1118.0)</f>
        <v>1118</v>
      </c>
      <c r="Q229" s="189">
        <f>IFERROR(__xludf.DUMMYFUNCTION("""COMPUTED_VALUE"""),1096.0)</f>
        <v>1096</v>
      </c>
      <c r="R229" s="189">
        <f>IFERROR(__xludf.DUMMYFUNCTION("""COMPUTED_VALUE"""),1014.0)</f>
        <v>1014</v>
      </c>
      <c r="S229" s="189">
        <f>IFERROR(__xludf.DUMMYFUNCTION("""COMPUTED_VALUE"""),1027.0)</f>
        <v>1027</v>
      </c>
    </row>
    <row r="230">
      <c r="A230" s="186" t="str">
        <f>IFERROR(__xludf.DUMMYFUNCTION("""COMPUTED_VALUE"""),"DE")</f>
        <v>DE</v>
      </c>
      <c r="B230" s="186" t="str">
        <f>IFERROR(__xludf.DUMMYFUNCTION("""COMPUTED_VALUE"""),"W51")</f>
        <v>W51</v>
      </c>
      <c r="C230" s="186">
        <f>IFERROR(__xludf.DUMMYFUNCTION("""COMPUTED_VALUE"""),308.0)</f>
        <v>308</v>
      </c>
      <c r="D230" s="186" t="str">
        <f>IFERROR(__xludf.DUMMYFUNCTION("""COMPUTED_VALUE"""),"CON-00-152025-2")</f>
        <v>CON-00-152025-2</v>
      </c>
      <c r="E230" s="186" t="str">
        <f>IFERROR(__xludf.DUMMYFUNCTION("""COMPUTED_VALUE"""),"Salmon Piccata")</f>
        <v>Salmon Piccata</v>
      </c>
      <c r="F230" s="186" t="str">
        <f>IFERROR(__xludf.DUMMYFUNCTION("""COMPUTED_VALUE"""),"Lachs Piccata")</f>
        <v>Lachs Piccata</v>
      </c>
      <c r="G230" s="186" t="str">
        <f>IFERROR(__xludf.DUMMYFUNCTION("""COMPUTED_VALUE"""),"FE0972B")</f>
        <v>FE0972B</v>
      </c>
      <c r="H230" s="186">
        <f>IFERROR(__xludf.DUMMYFUNCTION("""COMPUTED_VALUE"""),565189.0)</f>
        <v>565189</v>
      </c>
      <c r="I230" s="186" t="str">
        <f>IFERROR(__xludf.DUMMYFUNCTION("""COMPUTED_VALUE"""),"HF Zalm met piccata saus")</f>
        <v>HF Zalm met piccata saus</v>
      </c>
      <c r="J230" s="189">
        <f>IFERROR(__xludf.DUMMYFUNCTION("""COMPUTED_VALUE"""),1712.0)</f>
        <v>1712</v>
      </c>
      <c r="K230" s="189">
        <f>IFERROR(__xludf.DUMMYFUNCTION("""COMPUTED_VALUE"""),1628.0)</f>
        <v>1628</v>
      </c>
      <c r="L230" s="189">
        <f>IFERROR(__xludf.DUMMYFUNCTION("""COMPUTED_VALUE"""),1411.0)</f>
        <v>1411</v>
      </c>
      <c r="M230" s="189">
        <f>IFERROR(__xludf.DUMMYFUNCTION("""COMPUTED_VALUE"""),1543.0)</f>
        <v>1543</v>
      </c>
      <c r="N230" s="189">
        <f>IFERROR(__xludf.DUMMYFUNCTION("""COMPUTED_VALUE"""),1477.0)</f>
        <v>1477</v>
      </c>
      <c r="O230" s="189">
        <f>IFERROR(__xludf.DUMMYFUNCTION("""COMPUTED_VALUE"""),1441.0)</f>
        <v>1441</v>
      </c>
      <c r="P230" s="189">
        <f>IFERROR(__xludf.DUMMYFUNCTION("""COMPUTED_VALUE"""),1443.0)</f>
        <v>1443</v>
      </c>
      <c r="Q230" s="189">
        <f>IFERROR(__xludf.DUMMYFUNCTION("""COMPUTED_VALUE"""),1417.0)</f>
        <v>1417</v>
      </c>
      <c r="R230" s="189">
        <f>IFERROR(__xludf.DUMMYFUNCTION("""COMPUTED_VALUE"""),1335.0)</f>
        <v>1335</v>
      </c>
      <c r="S230" s="189">
        <f>IFERROR(__xludf.DUMMYFUNCTION("""COMPUTED_VALUE"""),1310.0)</f>
        <v>1310</v>
      </c>
    </row>
    <row r="231">
      <c r="A231" s="186" t="str">
        <f>IFERROR(__xludf.DUMMYFUNCTION("""COMPUTED_VALUE"""),"DE")</f>
        <v>DE</v>
      </c>
      <c r="B231" s="186" t="str">
        <f>IFERROR(__xludf.DUMMYFUNCTION("""COMPUTED_VALUE"""),"W51")</f>
        <v>W51</v>
      </c>
      <c r="C231" s="186">
        <f>IFERROR(__xludf.DUMMYFUNCTION("""COMPUTED_VALUE"""),309.0)</f>
        <v>309</v>
      </c>
      <c r="D231" s="186"/>
      <c r="E231" s="186"/>
      <c r="F231" s="186"/>
      <c r="G231" s="186" t="str">
        <f>IFERROR(__xludf.DUMMYFUNCTION("""COMPUTED_VALUE"""),"FE0425C")</f>
        <v>FE0425C</v>
      </c>
      <c r="H231" s="186"/>
      <c r="I231" s="186"/>
      <c r="J231" s="186">
        <f>IFERROR(__xludf.DUMMYFUNCTION("""COMPUTED_VALUE"""),446.0)</f>
        <v>446</v>
      </c>
      <c r="K231" s="186">
        <f>IFERROR(__xludf.DUMMYFUNCTION("""COMPUTED_VALUE"""),381.0)</f>
        <v>381</v>
      </c>
      <c r="L231" s="186">
        <f>IFERROR(__xludf.DUMMYFUNCTION("""COMPUTED_VALUE"""),380.0)</f>
        <v>380</v>
      </c>
      <c r="M231" s="186">
        <f>IFERROR(__xludf.DUMMYFUNCTION("""COMPUTED_VALUE"""),342.0)</f>
        <v>342</v>
      </c>
      <c r="N231" s="186">
        <f>IFERROR(__xludf.DUMMYFUNCTION("""COMPUTED_VALUE"""),337.0)</f>
        <v>337</v>
      </c>
      <c r="O231" s="186">
        <f>IFERROR(__xludf.DUMMYFUNCTION("""COMPUTED_VALUE"""),351.0)</f>
        <v>351</v>
      </c>
      <c r="P231" s="186">
        <f>IFERROR(__xludf.DUMMYFUNCTION("""COMPUTED_VALUE"""),344.0)</f>
        <v>344</v>
      </c>
      <c r="Q231" s="186">
        <f>IFERROR(__xludf.DUMMYFUNCTION("""COMPUTED_VALUE"""),352.0)</f>
        <v>352</v>
      </c>
      <c r="R231" s="186">
        <f>IFERROR(__xludf.DUMMYFUNCTION("""COMPUTED_VALUE"""),352.0)</f>
        <v>352</v>
      </c>
      <c r="S231" s="189">
        <f>IFERROR(__xludf.DUMMYFUNCTION("""COMPUTED_VALUE"""),321.0)</f>
        <v>321</v>
      </c>
    </row>
    <row r="232">
      <c r="A232" s="186" t="str">
        <f>IFERROR(__xludf.DUMMYFUNCTION("""COMPUTED_VALUE"""),"DE")</f>
        <v>DE</v>
      </c>
      <c r="B232" s="186" t="str">
        <f>IFERROR(__xludf.DUMMYFUNCTION("""COMPUTED_VALUE"""),"W51")</f>
        <v>W51</v>
      </c>
      <c r="C232" s="186">
        <f>IFERROR(__xludf.DUMMYFUNCTION("""COMPUTED_VALUE"""),310.0)</f>
        <v>310</v>
      </c>
      <c r="D232" s="186" t="str">
        <f>IFERROR(__xludf.DUMMYFUNCTION("""COMPUTED_VALUE"""),"CON-00-136721-3")</f>
        <v>CON-00-136721-3</v>
      </c>
      <c r="E232" s="186" t="str">
        <f>IFERROR(__xludf.DUMMYFUNCTION("""COMPUTED_VALUE"""),"Sun-dried tomato trottole")</f>
        <v>Sun-dried tomato trottole</v>
      </c>
      <c r="F232" s="186" t="str">
        <f>IFERROR(__xludf.DUMMYFUNCTION("""COMPUTED_VALUE"""),"Trottole mit getrockneten Tomaten")</f>
        <v>Trottole mit getrockneten Tomaten</v>
      </c>
      <c r="G232" s="186" t="str">
        <f>IFERROR(__xludf.DUMMYFUNCTION("""COMPUTED_VALUE"""),"FE0516A")</f>
        <v>FE0516A</v>
      </c>
      <c r="H232" s="186">
        <f>IFERROR(__xludf.DUMMYFUNCTION("""COMPUTED_VALUE"""),565111.0)</f>
        <v>565111</v>
      </c>
      <c r="I232" s="186"/>
      <c r="J232" s="186">
        <f>IFERROR(__xludf.DUMMYFUNCTION("""COMPUTED_VALUE"""),513.0)</f>
        <v>513</v>
      </c>
      <c r="K232" s="186">
        <f>IFERROR(__xludf.DUMMYFUNCTION("""COMPUTED_VALUE"""),473.0)</f>
        <v>473</v>
      </c>
      <c r="L232" s="186">
        <f>IFERROR(__xludf.DUMMYFUNCTION("""COMPUTED_VALUE"""),658.0)</f>
        <v>658</v>
      </c>
      <c r="M232" s="186">
        <f>IFERROR(__xludf.DUMMYFUNCTION("""COMPUTED_VALUE"""),471.0)</f>
        <v>471</v>
      </c>
      <c r="N232" s="186">
        <f>IFERROR(__xludf.DUMMYFUNCTION("""COMPUTED_VALUE"""),459.0)</f>
        <v>459</v>
      </c>
      <c r="O232" s="186">
        <f>IFERROR(__xludf.DUMMYFUNCTION("""COMPUTED_VALUE"""),421.0)</f>
        <v>421</v>
      </c>
      <c r="P232" s="186">
        <f>IFERROR(__xludf.DUMMYFUNCTION("""COMPUTED_VALUE"""),453.0)</f>
        <v>453</v>
      </c>
      <c r="Q232" s="186">
        <f>IFERROR(__xludf.DUMMYFUNCTION("""COMPUTED_VALUE"""),447.0)</f>
        <v>447</v>
      </c>
      <c r="R232" s="186">
        <f>IFERROR(__xludf.DUMMYFUNCTION("""COMPUTED_VALUE"""),446.0)</f>
        <v>446</v>
      </c>
      <c r="S232" s="186">
        <f>IFERROR(__xludf.DUMMYFUNCTION("""COMPUTED_VALUE"""),416.0)</f>
        <v>416</v>
      </c>
    </row>
    <row r="233">
      <c r="A233" s="186" t="str">
        <f>IFERROR(__xludf.DUMMYFUNCTION("""COMPUTED_VALUE"""),"DE")</f>
        <v>DE</v>
      </c>
      <c r="B233" s="186" t="str">
        <f>IFERROR(__xludf.DUMMYFUNCTION("""COMPUTED_VALUE"""),"W51")</f>
        <v>W51</v>
      </c>
      <c r="C233" s="186">
        <f>IFERROR(__xludf.DUMMYFUNCTION("""COMPUTED_VALUE"""),311.0)</f>
        <v>311</v>
      </c>
      <c r="D233" s="186" t="str">
        <f>IFERROR(__xludf.DUMMYFUNCTION("""COMPUTED_VALUE"""),"CON-00-148373-2")</f>
        <v>CON-00-148373-2</v>
      </c>
      <c r="E233" s="186" t="str">
        <f>IFERROR(__xludf.DUMMYFUNCTION("""COMPUTED_VALUE"""),"Pulled beef &amp; pasta in cheese sauce")</f>
        <v>Pulled beef &amp; pasta in cheese sauce</v>
      </c>
      <c r="F233" s="186" t="str">
        <f>IFERROR(__xludf.DUMMYFUNCTION("""COMPUTED_VALUE"""),"Pulled Beef und Pasta in Käsesauce")</f>
        <v>Pulled Beef und Pasta in Käsesauce</v>
      </c>
      <c r="G233" s="186" t="str">
        <f>IFERROR(__xludf.DUMMYFUNCTION("""COMPUTED_VALUE"""),"FE1345A")</f>
        <v>FE1345A</v>
      </c>
      <c r="H233" s="186">
        <f>IFERROR(__xludf.DUMMYFUNCTION("""COMPUTED_VALUE"""),565158.0)</f>
        <v>565158</v>
      </c>
      <c r="I233" s="186"/>
      <c r="J233" s="186">
        <f>IFERROR(__xludf.DUMMYFUNCTION("""COMPUTED_VALUE"""),769.0)</f>
        <v>769</v>
      </c>
      <c r="K233" s="186">
        <f>IFERROR(__xludf.DUMMYFUNCTION("""COMPUTED_VALUE"""),668.0)</f>
        <v>668</v>
      </c>
      <c r="L233" s="186">
        <f>IFERROR(__xludf.DUMMYFUNCTION("""COMPUTED_VALUE"""),761.0)</f>
        <v>761</v>
      </c>
      <c r="M233" s="186">
        <f>IFERROR(__xludf.DUMMYFUNCTION("""COMPUTED_VALUE"""),810.0)</f>
        <v>810</v>
      </c>
      <c r="N233" s="186">
        <f>IFERROR(__xludf.DUMMYFUNCTION("""COMPUTED_VALUE"""),807.0)</f>
        <v>807</v>
      </c>
      <c r="O233" s="186">
        <f>IFERROR(__xludf.DUMMYFUNCTION("""COMPUTED_VALUE"""),824.0)</f>
        <v>824</v>
      </c>
      <c r="P233" s="186">
        <f>IFERROR(__xludf.DUMMYFUNCTION("""COMPUTED_VALUE"""),850.0)</f>
        <v>850</v>
      </c>
      <c r="Q233" s="186">
        <f>IFERROR(__xludf.DUMMYFUNCTION("""COMPUTED_VALUE"""),847.0)</f>
        <v>847</v>
      </c>
      <c r="R233" s="186">
        <f>IFERROR(__xludf.DUMMYFUNCTION("""COMPUTED_VALUE"""),823.0)</f>
        <v>823</v>
      </c>
      <c r="S233" s="189">
        <f>IFERROR(__xludf.DUMMYFUNCTION("""COMPUTED_VALUE"""),815.0)</f>
        <v>815</v>
      </c>
    </row>
    <row r="234">
      <c r="A234" s="186" t="str">
        <f>IFERROR(__xludf.DUMMYFUNCTION("""COMPUTED_VALUE"""),"DE")</f>
        <v>DE</v>
      </c>
      <c r="B234" s="186" t="str">
        <f>IFERROR(__xludf.DUMMYFUNCTION("""COMPUTED_VALUE"""),"W51")</f>
        <v>W51</v>
      </c>
      <c r="C234" s="186">
        <f>IFERROR(__xludf.DUMMYFUNCTION("""COMPUTED_VALUE"""),312.0)</f>
        <v>312</v>
      </c>
      <c r="D234" s="186" t="str">
        <f>IFERROR(__xludf.DUMMYFUNCTION("""COMPUTED_VALUE"""),"CON-00-151097-2")</f>
        <v>CON-00-151097-2</v>
      </c>
      <c r="E234" s="186" t="str">
        <f>IFERROR(__xludf.DUMMYFUNCTION("""COMPUTED_VALUE"""),"Roasted Salmon &amp; Dill Yogurt")</f>
        <v>Roasted Salmon &amp; Dill Yogurt</v>
      </c>
      <c r="F234" s="186" t="str">
        <f>IFERROR(__xludf.DUMMYFUNCTION("""COMPUTED_VALUE"""),"Ofengerösteter Lachs &amp; Dill-Joghurt")</f>
        <v>Ofengerösteter Lachs &amp; Dill-Joghurt</v>
      </c>
      <c r="G234" s="186" t="str">
        <f>IFERROR(__xludf.DUMMYFUNCTION("""COMPUTED_VALUE"""),"FE1145B")</f>
        <v>FE1145B</v>
      </c>
      <c r="H234" s="186">
        <f>IFERROR(__xludf.DUMMYFUNCTION("""COMPUTED_VALUE"""),565206.0)</f>
        <v>565206</v>
      </c>
      <c r="I234" s="186" t="str">
        <f>IFERROR(__xludf.DUMMYFUNCTION("""COMPUTED_VALUE"""),"HF Zalm citroen dille yoghurt")</f>
        <v>HF Zalm citroen dille yoghurt</v>
      </c>
      <c r="J234" s="189">
        <f>IFERROR(__xludf.DUMMYFUNCTION("""COMPUTED_VALUE"""),1780.0)</f>
        <v>1780</v>
      </c>
      <c r="K234" s="189">
        <f>IFERROR(__xludf.DUMMYFUNCTION("""COMPUTED_VALUE"""),1488.0)</f>
        <v>1488</v>
      </c>
      <c r="L234" s="189">
        <f>IFERROR(__xludf.DUMMYFUNCTION("""COMPUTED_VALUE"""),1279.0)</f>
        <v>1279</v>
      </c>
      <c r="M234" s="189">
        <f>IFERROR(__xludf.DUMMYFUNCTION("""COMPUTED_VALUE"""),1251.0)</f>
        <v>1251</v>
      </c>
      <c r="N234" s="189">
        <f>IFERROR(__xludf.DUMMYFUNCTION("""COMPUTED_VALUE"""),1211.0)</f>
        <v>1211</v>
      </c>
      <c r="O234" s="189">
        <f>IFERROR(__xludf.DUMMYFUNCTION("""COMPUTED_VALUE"""),1196.0)</f>
        <v>1196</v>
      </c>
      <c r="P234" s="189">
        <f>IFERROR(__xludf.DUMMYFUNCTION("""COMPUTED_VALUE"""),1196.0)</f>
        <v>1196</v>
      </c>
      <c r="Q234" s="189">
        <f>IFERROR(__xludf.DUMMYFUNCTION("""COMPUTED_VALUE"""),1195.0)</f>
        <v>1195</v>
      </c>
      <c r="R234" s="189">
        <f>IFERROR(__xludf.DUMMYFUNCTION("""COMPUTED_VALUE"""),1163.0)</f>
        <v>1163</v>
      </c>
      <c r="S234" s="189">
        <f>IFERROR(__xludf.DUMMYFUNCTION("""COMPUTED_VALUE"""),1143.0)</f>
        <v>1143</v>
      </c>
    </row>
    <row r="235">
      <c r="A235" s="186" t="str">
        <f>IFERROR(__xludf.DUMMYFUNCTION("""COMPUTED_VALUE"""),"DE")</f>
        <v>DE</v>
      </c>
      <c r="B235" s="186" t="str">
        <f>IFERROR(__xludf.DUMMYFUNCTION("""COMPUTED_VALUE"""),"W51")</f>
        <v>W51</v>
      </c>
      <c r="C235" s="186">
        <f>IFERROR(__xludf.DUMMYFUNCTION("""COMPUTED_VALUE"""),313.0)</f>
        <v>313</v>
      </c>
      <c r="D235" s="186" t="str">
        <f>IFERROR(__xludf.DUMMYFUNCTION("""COMPUTED_VALUE"""),"CON-00-152041-2")</f>
        <v>CON-00-152041-2</v>
      </c>
      <c r="E235" s="186" t="str">
        <f>IFERROR(__xludf.DUMMYFUNCTION("""COMPUTED_VALUE"""),"Honey Miso Chicken &amp; Scallion Rice")</f>
        <v>Honey Miso Chicken &amp; Scallion Rice</v>
      </c>
      <c r="F235" s="186" t="str">
        <f>IFERROR(__xludf.DUMMYFUNCTION("""COMPUTED_VALUE"""),"Honig-Miso-Hähnchen mit Frühlingszwiebelreis")</f>
        <v>Honig-Miso-Hähnchen mit Frühlingszwiebelreis</v>
      </c>
      <c r="G235" s="186" t="str">
        <f>IFERROR(__xludf.DUMMYFUNCTION("""COMPUTED_VALUE"""),"FE4067A")</f>
        <v>FE4067A</v>
      </c>
      <c r="H235" s="186">
        <f>IFERROR(__xludf.DUMMYFUNCTION("""COMPUTED_VALUE"""),565210.0)</f>
        <v>565210</v>
      </c>
      <c r="I235" s="186" t="str">
        <f>IFERROR(__xludf.DUMMYFUNCTION("""COMPUTED_VALUE"""),"HF Honing miso kip")</f>
        <v>HF Honing miso kip</v>
      </c>
      <c r="J235" s="189">
        <f>IFERROR(__xludf.DUMMYFUNCTION("""COMPUTED_VALUE"""),1637.0)</f>
        <v>1637</v>
      </c>
      <c r="K235" s="189">
        <f>IFERROR(__xludf.DUMMYFUNCTION("""COMPUTED_VALUE"""),1433.0)</f>
        <v>1433</v>
      </c>
      <c r="L235" s="189">
        <f>IFERROR(__xludf.DUMMYFUNCTION("""COMPUTED_VALUE"""),2000.0)</f>
        <v>2000</v>
      </c>
      <c r="M235" s="189">
        <f>IFERROR(__xludf.DUMMYFUNCTION("""COMPUTED_VALUE"""),1947.0)</f>
        <v>1947</v>
      </c>
      <c r="N235" s="189">
        <f>IFERROR(__xludf.DUMMYFUNCTION("""COMPUTED_VALUE"""),1815.0)</f>
        <v>1815</v>
      </c>
      <c r="O235" s="189">
        <f>IFERROR(__xludf.DUMMYFUNCTION("""COMPUTED_VALUE"""),1872.0)</f>
        <v>1872</v>
      </c>
      <c r="P235" s="189">
        <f>IFERROR(__xludf.DUMMYFUNCTION("""COMPUTED_VALUE"""),1818.0)</f>
        <v>1818</v>
      </c>
      <c r="Q235" s="189">
        <f>IFERROR(__xludf.DUMMYFUNCTION("""COMPUTED_VALUE"""),1781.0)</f>
        <v>1781</v>
      </c>
      <c r="R235" s="189">
        <f>IFERROR(__xludf.DUMMYFUNCTION("""COMPUTED_VALUE"""),1691.0)</f>
        <v>1691</v>
      </c>
      <c r="S235" s="189">
        <f>IFERROR(__xludf.DUMMYFUNCTION("""COMPUTED_VALUE"""),1720.0)</f>
        <v>1720</v>
      </c>
    </row>
    <row r="236">
      <c r="A236" s="186" t="str">
        <f>IFERROR(__xludf.DUMMYFUNCTION("""COMPUTED_VALUE"""),"DE")</f>
        <v>DE</v>
      </c>
      <c r="B236" s="186" t="str">
        <f>IFERROR(__xludf.DUMMYFUNCTION("""COMPUTED_VALUE"""),"W51")</f>
        <v>W51</v>
      </c>
      <c r="C236" s="186">
        <f>IFERROR(__xludf.DUMMYFUNCTION("""COMPUTED_VALUE"""),314.0)</f>
        <v>314</v>
      </c>
      <c r="D236" s="186" t="str">
        <f>IFERROR(__xludf.DUMMYFUNCTION("""COMPUTED_VALUE"""),"CON-00-152033-2")</f>
        <v>CON-00-152033-2</v>
      </c>
      <c r="E236" s="186" t="str">
        <f>IFERROR(__xludf.DUMMYFUNCTION("""COMPUTED_VALUE"""),"Moroccan-style chicken thighs &amp; tomato sauce")</f>
        <v>Moroccan-style chicken thighs &amp; tomato sauce</v>
      </c>
      <c r="F236" s="186" t="str">
        <f>IFERROR(__xludf.DUMMYFUNCTION("""COMPUTED_VALUE"""),"Marokkanisches Hähnchen in Tomatensauce")</f>
        <v>Marokkanisches Hähnchen in Tomatensauce</v>
      </c>
      <c r="G236" s="186" t="str">
        <f>IFERROR(__xludf.DUMMYFUNCTION("""COMPUTED_VALUE"""),"FE1068A")</f>
        <v>FE1068A</v>
      </c>
      <c r="H236" s="186">
        <f>IFERROR(__xludf.DUMMYFUNCTION("""COMPUTED_VALUE"""),565192.0)</f>
        <v>565192</v>
      </c>
      <c r="I236" s="186" t="str">
        <f>IFERROR(__xludf.DUMMYFUNCTION("""COMPUTED_VALUE"""),"HF Kip met kruidige aardappels")</f>
        <v>HF Kip met kruidige aardappels</v>
      </c>
      <c r="J236" s="189">
        <f>IFERROR(__xludf.DUMMYFUNCTION("""COMPUTED_VALUE"""),1025.0)</f>
        <v>1025</v>
      </c>
      <c r="K236" s="186">
        <f>IFERROR(__xludf.DUMMYFUNCTION("""COMPUTED_VALUE"""),836.0)</f>
        <v>836</v>
      </c>
      <c r="L236" s="189">
        <f>IFERROR(__xludf.DUMMYFUNCTION("""COMPUTED_VALUE"""),997.0)</f>
        <v>997</v>
      </c>
      <c r="M236" s="189">
        <f>IFERROR(__xludf.DUMMYFUNCTION("""COMPUTED_VALUE"""),933.0)</f>
        <v>933</v>
      </c>
      <c r="N236" s="189">
        <f>IFERROR(__xludf.DUMMYFUNCTION("""COMPUTED_VALUE"""),919.0)</f>
        <v>919</v>
      </c>
      <c r="O236" s="189">
        <f>IFERROR(__xludf.DUMMYFUNCTION("""COMPUTED_VALUE"""),897.0)</f>
        <v>897</v>
      </c>
      <c r="P236" s="189">
        <f>IFERROR(__xludf.DUMMYFUNCTION("""COMPUTED_VALUE"""),866.0)</f>
        <v>866</v>
      </c>
      <c r="Q236" s="189">
        <f>IFERROR(__xludf.DUMMYFUNCTION("""COMPUTED_VALUE"""),842.0)</f>
        <v>842</v>
      </c>
      <c r="R236" s="189">
        <f>IFERROR(__xludf.DUMMYFUNCTION("""COMPUTED_VALUE"""),813.0)</f>
        <v>813</v>
      </c>
      <c r="S236" s="189">
        <f>IFERROR(__xludf.DUMMYFUNCTION("""COMPUTED_VALUE"""),787.0)</f>
        <v>787</v>
      </c>
    </row>
    <row r="237">
      <c r="A237" s="186" t="str">
        <f>IFERROR(__xludf.DUMMYFUNCTION("""COMPUTED_VALUE"""),"DE")</f>
        <v>DE</v>
      </c>
      <c r="B237" s="186" t="str">
        <f>IFERROR(__xludf.DUMMYFUNCTION("""COMPUTED_VALUE"""),"W51")</f>
        <v>W51</v>
      </c>
      <c r="C237" s="186">
        <f>IFERROR(__xludf.DUMMYFUNCTION("""COMPUTED_VALUE"""),315.0)</f>
        <v>315</v>
      </c>
      <c r="D237" s="186" t="str">
        <f>IFERROR(__xludf.DUMMYFUNCTION("""COMPUTED_VALUE"""),"CON-00-152042-2")</f>
        <v>CON-00-152042-2</v>
      </c>
      <c r="E237" s="186" t="str">
        <f>IFERROR(__xludf.DUMMYFUNCTION("""COMPUTED_VALUE"""),"Thai Style Yellow Curry Chicken &amp; Ginger Rice")</f>
        <v>Thai Style Yellow Curry Chicken &amp; Ginger Rice</v>
      </c>
      <c r="F237" s="186" t="str">
        <f>IFERROR(__xludf.DUMMYFUNCTION("""COMPUTED_VALUE"""),"Thai-Style Curry Hähnchen mit Ingwerreis")</f>
        <v>Thai-Style Curry Hähnchen mit Ingwerreis</v>
      </c>
      <c r="G237" s="186" t="str">
        <f>IFERROR(__xludf.DUMMYFUNCTION("""COMPUTED_VALUE"""),"FE1422A")</f>
        <v>FE1422A</v>
      </c>
      <c r="H237" s="186">
        <f>IFERROR(__xludf.DUMMYFUNCTION("""COMPUTED_VALUE"""),565217.0)</f>
        <v>565217</v>
      </c>
      <c r="I237" s="186" t="str">
        <f>IFERROR(__xludf.DUMMYFUNCTION("""COMPUTED_VALUE"""),"HF Gele curry kip en gember")</f>
        <v>HF Gele curry kip en gember</v>
      </c>
      <c r="J237" s="186">
        <f>IFERROR(__xludf.DUMMYFUNCTION("""COMPUTED_VALUE"""),786.0)</f>
        <v>786</v>
      </c>
      <c r="K237" s="186">
        <f>IFERROR(__xludf.DUMMYFUNCTION("""COMPUTED_VALUE"""),826.0)</f>
        <v>826</v>
      </c>
      <c r="L237" s="186">
        <f>IFERROR(__xludf.DUMMYFUNCTION("""COMPUTED_VALUE"""),866.0)</f>
        <v>866</v>
      </c>
      <c r="M237" s="186">
        <f>IFERROR(__xludf.DUMMYFUNCTION("""COMPUTED_VALUE"""),770.0)</f>
        <v>770</v>
      </c>
      <c r="N237" s="186">
        <f>IFERROR(__xludf.DUMMYFUNCTION("""COMPUTED_VALUE"""),743.0)</f>
        <v>743</v>
      </c>
      <c r="O237" s="186">
        <f>IFERROR(__xludf.DUMMYFUNCTION("""COMPUTED_VALUE"""),775.0)</f>
        <v>775</v>
      </c>
      <c r="P237" s="186">
        <f>IFERROR(__xludf.DUMMYFUNCTION("""COMPUTED_VALUE"""),768.0)</f>
        <v>768</v>
      </c>
      <c r="Q237" s="186">
        <f>IFERROR(__xludf.DUMMYFUNCTION("""COMPUTED_VALUE"""),770.0)</f>
        <v>770</v>
      </c>
      <c r="R237" s="186">
        <f>IFERROR(__xludf.DUMMYFUNCTION("""COMPUTED_VALUE"""),793.0)</f>
        <v>793</v>
      </c>
      <c r="S237" s="189">
        <f>IFERROR(__xludf.DUMMYFUNCTION("""COMPUTED_VALUE"""),771.0)</f>
        <v>771</v>
      </c>
    </row>
    <row r="238">
      <c r="A238" s="186" t="str">
        <f>IFERROR(__xludf.DUMMYFUNCTION("""COMPUTED_VALUE"""),"DE")</f>
        <v>DE</v>
      </c>
      <c r="B238" s="186" t="str">
        <f>IFERROR(__xludf.DUMMYFUNCTION("""COMPUTED_VALUE"""),"W51")</f>
        <v>W51</v>
      </c>
      <c r="C238" s="186">
        <f>IFERROR(__xludf.DUMMYFUNCTION("""COMPUTED_VALUE"""),316.0)</f>
        <v>316</v>
      </c>
      <c r="D238" s="186" t="str">
        <f>IFERROR(__xludf.DUMMYFUNCTION("""COMPUTED_VALUE"""),"CON-00-136673-3")</f>
        <v>CON-00-136673-3</v>
      </c>
      <c r="E238" s="186" t="str">
        <f>IFERROR(__xludf.DUMMYFUNCTION("""COMPUTED_VALUE"""),"Chicken in tomato cream sauce")</f>
        <v>Chicken in tomato cream sauce</v>
      </c>
      <c r="F238" s="186" t="str">
        <f>IFERROR(__xludf.DUMMYFUNCTION("""COMPUTED_VALUE"""),"Hähnchen in Tomatencreme")</f>
        <v>Hähnchen in Tomatencreme</v>
      </c>
      <c r="G238" s="186" t="str">
        <f>IFERROR(__xludf.DUMMYFUNCTION("""COMPUTED_VALUE"""),"FE0024E")</f>
        <v>FE0024E</v>
      </c>
      <c r="H238" s="186">
        <f>IFERROR(__xludf.DUMMYFUNCTION("""COMPUTED_VALUE"""),565150.0)</f>
        <v>565150</v>
      </c>
      <c r="I238" s="186" t="str">
        <f>IFERROR(__xludf.DUMMYFUNCTION("""COMPUTED_VALUE"""),"HF RW Kipfilet in tom-roomsaus")</f>
        <v>HF RW Kipfilet in tom-roomsaus</v>
      </c>
      <c r="J238" s="186">
        <f>IFERROR(__xludf.DUMMYFUNCTION("""COMPUTED_VALUE"""),766.0)</f>
        <v>766</v>
      </c>
      <c r="K238" s="186">
        <f>IFERROR(__xludf.DUMMYFUNCTION("""COMPUTED_VALUE"""),725.0)</f>
        <v>725</v>
      </c>
      <c r="L238" s="186">
        <f>IFERROR(__xludf.DUMMYFUNCTION("""COMPUTED_VALUE"""),745.0)</f>
        <v>745</v>
      </c>
      <c r="M238" s="186">
        <f>IFERROR(__xludf.DUMMYFUNCTION("""COMPUTED_VALUE"""),779.0)</f>
        <v>779</v>
      </c>
      <c r="N238" s="186">
        <f>IFERROR(__xludf.DUMMYFUNCTION("""COMPUTED_VALUE"""),739.0)</f>
        <v>739</v>
      </c>
      <c r="O238" s="186">
        <f>IFERROR(__xludf.DUMMYFUNCTION("""COMPUTED_VALUE"""),673.0)</f>
        <v>673</v>
      </c>
      <c r="P238" s="186">
        <f>IFERROR(__xludf.DUMMYFUNCTION("""COMPUTED_VALUE"""),671.0)</f>
        <v>671</v>
      </c>
      <c r="Q238" s="186">
        <f>IFERROR(__xludf.DUMMYFUNCTION("""COMPUTED_VALUE"""),657.0)</f>
        <v>657</v>
      </c>
      <c r="R238" s="186">
        <f>IFERROR(__xludf.DUMMYFUNCTION("""COMPUTED_VALUE"""),619.0)</f>
        <v>619</v>
      </c>
      <c r="S238" s="189">
        <f>IFERROR(__xludf.DUMMYFUNCTION("""COMPUTED_VALUE"""),614.0)</f>
        <v>614</v>
      </c>
    </row>
    <row r="239">
      <c r="A239" s="186" t="str">
        <f>IFERROR(__xludf.DUMMYFUNCTION("""COMPUTED_VALUE"""),"DE")</f>
        <v>DE</v>
      </c>
      <c r="B239" s="186" t="str">
        <f>IFERROR(__xludf.DUMMYFUNCTION("""COMPUTED_VALUE"""),"W51")</f>
        <v>W51</v>
      </c>
      <c r="C239" s="186">
        <f>IFERROR(__xludf.DUMMYFUNCTION("""COMPUTED_VALUE"""),317.0)</f>
        <v>317</v>
      </c>
      <c r="D239" s="186"/>
      <c r="E239" s="186"/>
      <c r="F239" s="186"/>
      <c r="G239" s="186" t="str">
        <f>IFERROR(__xludf.DUMMYFUNCTION("""COMPUTED_VALUE"""),"FE4048A")</f>
        <v>FE4048A</v>
      </c>
      <c r="H239" s="186"/>
      <c r="I239" s="186"/>
      <c r="J239" s="186">
        <f>IFERROR(__xludf.DUMMYFUNCTION("""COMPUTED_VALUE"""),604.0)</f>
        <v>604</v>
      </c>
      <c r="K239" s="186">
        <f>IFERROR(__xludf.DUMMYFUNCTION("""COMPUTED_VALUE"""),538.0)</f>
        <v>538</v>
      </c>
      <c r="L239" s="186">
        <f>IFERROR(__xludf.DUMMYFUNCTION("""COMPUTED_VALUE"""),352.0)</f>
        <v>352</v>
      </c>
      <c r="M239" s="189">
        <f>IFERROR(__xludf.DUMMYFUNCTION("""COMPUTED_VALUE"""),330.0)</f>
        <v>330</v>
      </c>
      <c r="N239" s="189">
        <f>IFERROR(__xludf.DUMMYFUNCTION("""COMPUTED_VALUE"""),285.0)</f>
        <v>285</v>
      </c>
      <c r="O239" s="189">
        <f>IFERROR(__xludf.DUMMYFUNCTION("""COMPUTED_VALUE"""),338.0)</f>
        <v>338</v>
      </c>
      <c r="P239" s="189">
        <f>IFERROR(__xludf.DUMMYFUNCTION("""COMPUTED_VALUE"""),348.0)</f>
        <v>348</v>
      </c>
      <c r="Q239" s="189">
        <f>IFERROR(__xludf.DUMMYFUNCTION("""COMPUTED_VALUE"""),348.0)</f>
        <v>348</v>
      </c>
      <c r="R239" s="189">
        <f>IFERROR(__xludf.DUMMYFUNCTION("""COMPUTED_VALUE"""),337.0)</f>
        <v>337</v>
      </c>
      <c r="S239" s="189">
        <f>IFERROR(__xludf.DUMMYFUNCTION("""COMPUTED_VALUE"""),335.0)</f>
        <v>335</v>
      </c>
    </row>
    <row r="240">
      <c r="A240" s="186" t="str">
        <f>IFERROR(__xludf.DUMMYFUNCTION("""COMPUTED_VALUE"""),"DE")</f>
        <v>DE</v>
      </c>
      <c r="B240" s="186" t="str">
        <f>IFERROR(__xludf.DUMMYFUNCTION("""COMPUTED_VALUE"""),"W51")</f>
        <v>W51</v>
      </c>
      <c r="C240" s="186">
        <f>IFERROR(__xludf.DUMMYFUNCTION("""COMPUTED_VALUE"""),318.0)</f>
        <v>318</v>
      </c>
      <c r="D240" s="186"/>
      <c r="E240" s="186"/>
      <c r="F240" s="186"/>
      <c r="G240" s="186" t="str">
        <f>IFERROR(__xludf.DUMMYFUNCTION("""COMPUTED_VALUE"""),"FE1072A")</f>
        <v>FE1072A</v>
      </c>
      <c r="H240" s="186"/>
      <c r="I240" s="186"/>
      <c r="J240" s="186">
        <f>IFERROR(__xludf.DUMMYFUNCTION("""COMPUTED_VALUE"""),571.0)</f>
        <v>571</v>
      </c>
      <c r="K240" s="186">
        <f>IFERROR(__xludf.DUMMYFUNCTION("""COMPUTED_VALUE"""),517.0)</f>
        <v>517</v>
      </c>
      <c r="L240" s="186">
        <f>IFERROR(__xludf.DUMMYFUNCTION("""COMPUTED_VALUE"""),294.0)</f>
        <v>294</v>
      </c>
      <c r="M240" s="186">
        <f>IFERROR(__xludf.DUMMYFUNCTION("""COMPUTED_VALUE"""),320.0)</f>
        <v>320</v>
      </c>
      <c r="N240" s="186">
        <f>IFERROR(__xludf.DUMMYFUNCTION("""COMPUTED_VALUE"""),305.0)</f>
        <v>305</v>
      </c>
      <c r="O240" s="186">
        <f>IFERROR(__xludf.DUMMYFUNCTION("""COMPUTED_VALUE"""),319.0)</f>
        <v>319</v>
      </c>
      <c r="P240" s="186">
        <f>IFERROR(__xludf.DUMMYFUNCTION("""COMPUTED_VALUE"""),320.0)</f>
        <v>320</v>
      </c>
      <c r="Q240" s="186">
        <f>IFERROR(__xludf.DUMMYFUNCTION("""COMPUTED_VALUE"""),305.0)</f>
        <v>305</v>
      </c>
      <c r="R240" s="186">
        <f>IFERROR(__xludf.DUMMYFUNCTION("""COMPUTED_VALUE"""),296.0)</f>
        <v>296</v>
      </c>
      <c r="S240" s="189">
        <f>IFERROR(__xludf.DUMMYFUNCTION("""COMPUTED_VALUE"""),290.0)</f>
        <v>290</v>
      </c>
    </row>
    <row r="241">
      <c r="A241" s="186" t="str">
        <f>IFERROR(__xludf.DUMMYFUNCTION("""COMPUTED_VALUE"""),"DE")</f>
        <v>DE</v>
      </c>
      <c r="B241" s="186" t="str">
        <f>IFERROR(__xludf.DUMMYFUNCTION("""COMPUTED_VALUE"""),"W51")</f>
        <v>W51</v>
      </c>
      <c r="C241" s="186">
        <f>IFERROR(__xludf.DUMMYFUNCTION("""COMPUTED_VALUE"""),806.0)</f>
        <v>806</v>
      </c>
      <c r="D241" s="186" t="str">
        <f>IFERROR(__xludf.DUMMYFUNCTION("""COMPUTED_VALUE"""),"PTN-00-136930-3")</f>
        <v>PTN-00-136930-3</v>
      </c>
      <c r="E241" s="186" t="str">
        <f>IFERROR(__xludf.DUMMYFUNCTION("""COMPUTED_VALUE"""),"Garlic Herb Grilled Chicken")</f>
        <v>Garlic Herb Grilled Chicken</v>
      </c>
      <c r="F241" s="186" t="str">
        <f>IFERROR(__xludf.DUMMYFUNCTION("""COMPUTED_VALUE"""),"Gegrilltes Hähnchen mit Knoblauch-Kräutern")</f>
        <v>Gegrilltes Hähnchen mit Knoblauch-Kräutern</v>
      </c>
      <c r="G241" s="186" t="str">
        <f>IFERROR(__xludf.DUMMYFUNCTION("""COMPUTED_VALUE"""),"FEA006A")</f>
        <v>FEA006A</v>
      </c>
      <c r="H241" s="186">
        <f>IFERROR(__xludf.DUMMYFUNCTION("""COMPUTED_VALUE"""),565119.0)</f>
        <v>565119</v>
      </c>
      <c r="I241" s="186"/>
      <c r="J241" s="186">
        <f>IFERROR(__xludf.DUMMYFUNCTION("""COMPUTED_VALUE"""),79.0)</f>
        <v>79</v>
      </c>
      <c r="K241" s="186">
        <f>IFERROR(__xludf.DUMMYFUNCTION("""COMPUTED_VALUE"""),79.0)</f>
        <v>79</v>
      </c>
      <c r="L241" s="186">
        <f>IFERROR(__xludf.DUMMYFUNCTION("""COMPUTED_VALUE"""),79.0)</f>
        <v>79</v>
      </c>
      <c r="M241" s="186">
        <f>IFERROR(__xludf.DUMMYFUNCTION("""COMPUTED_VALUE"""),79.0)</f>
        <v>79</v>
      </c>
      <c r="N241" s="186">
        <f>IFERROR(__xludf.DUMMYFUNCTION("""COMPUTED_VALUE"""),79.0)</f>
        <v>79</v>
      </c>
      <c r="O241" s="186">
        <f>IFERROR(__xludf.DUMMYFUNCTION("""COMPUTED_VALUE"""),79.0)</f>
        <v>79</v>
      </c>
      <c r="P241" s="186">
        <f>IFERROR(__xludf.DUMMYFUNCTION("""COMPUTED_VALUE"""),79.0)</f>
        <v>79</v>
      </c>
      <c r="Q241" s="186">
        <f>IFERROR(__xludf.DUMMYFUNCTION("""COMPUTED_VALUE"""),79.0)</f>
        <v>79</v>
      </c>
      <c r="R241" s="186">
        <f>IFERROR(__xludf.DUMMYFUNCTION("""COMPUTED_VALUE"""),53.0)</f>
        <v>53</v>
      </c>
      <c r="S241" s="189">
        <f>IFERROR(__xludf.DUMMYFUNCTION("""COMPUTED_VALUE"""),55.0)</f>
        <v>55</v>
      </c>
    </row>
    <row r="242">
      <c r="A242" s="186" t="str">
        <f>IFERROR(__xludf.DUMMYFUNCTION("""COMPUTED_VALUE"""),"DE")</f>
        <v>DE</v>
      </c>
      <c r="B242" s="186" t="str">
        <f>IFERROR(__xludf.DUMMYFUNCTION("""COMPUTED_VALUE"""),"W51")</f>
        <v>W51</v>
      </c>
      <c r="C242" s="186"/>
      <c r="D242" s="186"/>
      <c r="E242" s="186"/>
      <c r="F242" s="186"/>
      <c r="G242" s="186"/>
      <c r="H242" s="186"/>
      <c r="I242" s="186"/>
      <c r="J242" s="189">
        <f>IFERROR(__xludf.DUMMYFUNCTION("""COMPUTED_VALUE"""),27926.0)</f>
        <v>27926</v>
      </c>
      <c r="K242" s="189">
        <f>IFERROR(__xludf.DUMMYFUNCTION("""COMPUTED_VALUE"""),25157.0)</f>
        <v>25157</v>
      </c>
      <c r="L242" s="189">
        <f>IFERROR(__xludf.DUMMYFUNCTION("""COMPUTED_VALUE"""),23884.0)</f>
        <v>23884</v>
      </c>
      <c r="M242" s="189">
        <f>IFERROR(__xludf.DUMMYFUNCTION("""COMPUTED_VALUE"""),23478.0)</f>
        <v>23478</v>
      </c>
      <c r="N242" s="189">
        <f>IFERROR(__xludf.DUMMYFUNCTION("""COMPUTED_VALUE"""),22209.0)</f>
        <v>22209</v>
      </c>
      <c r="O242" s="189">
        <f>IFERROR(__xludf.DUMMYFUNCTION("""COMPUTED_VALUE"""),22150.0)</f>
        <v>22150</v>
      </c>
      <c r="P242" s="189">
        <f>IFERROR(__xludf.DUMMYFUNCTION("""COMPUTED_VALUE"""),22126.0)</f>
        <v>22126</v>
      </c>
      <c r="Q242" s="189">
        <f>IFERROR(__xludf.DUMMYFUNCTION("""COMPUTED_VALUE"""),21647.0)</f>
        <v>21647</v>
      </c>
      <c r="R242" s="189">
        <f>IFERROR(__xludf.DUMMYFUNCTION("""COMPUTED_VALUE"""),20624.0)</f>
        <v>20624</v>
      </c>
      <c r="S242" s="189">
        <f>IFERROR(__xludf.DUMMYFUNCTION("""COMPUTED_VALUE"""),20228.0)</f>
        <v>20228</v>
      </c>
    </row>
    <row r="243">
      <c r="A243" s="186" t="str">
        <f>IFERROR(__xludf.DUMMYFUNCTION("""COMPUTED_VALUE"""),"NORDICS")</f>
        <v>NORDICS</v>
      </c>
      <c r="B243" s="186" t="str">
        <f>IFERROR(__xludf.DUMMYFUNCTION("""COMPUTED_VALUE"""),"W52")</f>
        <v>W52</v>
      </c>
      <c r="C243" s="186">
        <f>IFERROR(__xludf.DUMMYFUNCTION("""COMPUTED_VALUE"""),301.0)</f>
        <v>301</v>
      </c>
      <c r="D243" s="186" t="str">
        <f>IFERROR(__xludf.DUMMYFUNCTION("""COMPUTED_VALUE"""),"CON-00-147877-2")</f>
        <v>CON-00-147877-2</v>
      </c>
      <c r="E243" s="186" t="str">
        <f>IFERROR(__xludf.DUMMYFUNCTION("""COMPUTED_VALUE"""),"Creamy basil risotto with chicken")</f>
        <v>Creamy basil risotto with chicken</v>
      </c>
      <c r="F243" s="186" t="str">
        <f>IFERROR(__xludf.DUMMYFUNCTION("""COMPUTED_VALUE"""),"Cremet basilikumrisotto med kylling")</f>
        <v>Cremet basilikumrisotto med kylling</v>
      </c>
      <c r="G243" s="186" t="str">
        <f>IFERROR(__xludf.DUMMYFUNCTION("""COMPUTED_VALUE"""),"FE4014B")</f>
        <v>FE4014B</v>
      </c>
      <c r="H243" s="186">
        <f>IFERROR(__xludf.DUMMYFUNCTION("""COMPUTED_VALUE"""),565122.0)</f>
        <v>565122</v>
      </c>
      <c r="I243" s="186"/>
      <c r="J243" s="189">
        <f>IFERROR(__xludf.DUMMYFUNCTION("""COMPUTED_VALUE"""),2815.0)</f>
        <v>2815</v>
      </c>
      <c r="K243" s="189">
        <f>IFERROR(__xludf.DUMMYFUNCTION("""COMPUTED_VALUE"""),2727.0)</f>
        <v>2727</v>
      </c>
      <c r="L243" s="189">
        <f>IFERROR(__xludf.DUMMYFUNCTION("""COMPUTED_VALUE"""),2759.0)</f>
        <v>2759</v>
      </c>
      <c r="M243" s="189">
        <f>IFERROR(__xludf.DUMMYFUNCTION("""COMPUTED_VALUE"""),2857.0)</f>
        <v>2857</v>
      </c>
      <c r="N243" s="189">
        <f>IFERROR(__xludf.DUMMYFUNCTION("""COMPUTED_VALUE"""),2505.0)</f>
        <v>2505</v>
      </c>
      <c r="O243" s="189">
        <f>IFERROR(__xludf.DUMMYFUNCTION("""COMPUTED_VALUE"""),2315.0)</f>
        <v>2315</v>
      </c>
      <c r="P243" s="189">
        <f>IFERROR(__xludf.DUMMYFUNCTION("""COMPUTED_VALUE"""),2113.0)</f>
        <v>2113</v>
      </c>
      <c r="Q243" s="189">
        <f>IFERROR(__xludf.DUMMYFUNCTION("""COMPUTED_VALUE"""),2195.0)</f>
        <v>2195</v>
      </c>
      <c r="R243" s="186"/>
      <c r="S243" s="189">
        <f>IFERROR(__xludf.DUMMYFUNCTION("""COMPUTED_VALUE"""),1538.0)</f>
        <v>1538</v>
      </c>
    </row>
    <row r="244">
      <c r="A244" s="186" t="str">
        <f>IFERROR(__xludf.DUMMYFUNCTION("""COMPUTED_VALUE"""),"NORDICS")</f>
        <v>NORDICS</v>
      </c>
      <c r="B244" s="186" t="str">
        <f>IFERROR(__xludf.DUMMYFUNCTION("""COMPUTED_VALUE"""),"W52")</f>
        <v>W52</v>
      </c>
      <c r="C244" s="186">
        <f>IFERROR(__xludf.DUMMYFUNCTION("""COMPUTED_VALUE"""),302.0)</f>
        <v>302</v>
      </c>
      <c r="D244" s="186" t="str">
        <f>IFERROR(__xludf.DUMMYFUNCTION("""COMPUTED_VALUE"""),"CON-00-147827-2")</f>
        <v>CON-00-147827-2</v>
      </c>
      <c r="E244" s="186" t="str">
        <f>IFERROR(__xludf.DUMMYFUNCTION("""COMPUTED_VALUE"""),"Chicken à la Florentine")</f>
        <v>Chicken à la Florentine</v>
      </c>
      <c r="F244" s="186" t="str">
        <f>IFERROR(__xludf.DUMMYFUNCTION("""COMPUTED_VALUE"""),"Kylling à la Florentine")</f>
        <v>Kylling à la Florentine</v>
      </c>
      <c r="G244" s="186" t="str">
        <f>IFERROR(__xludf.DUMMYFUNCTION("""COMPUTED_VALUE"""),"FE0224C")</f>
        <v>FE0224C</v>
      </c>
      <c r="H244" s="186">
        <f>IFERROR(__xludf.DUMMYFUNCTION("""COMPUTED_VALUE"""),565047.0)</f>
        <v>565047</v>
      </c>
      <c r="I244" s="186" t="str">
        <f>IFERROR(__xludf.DUMMYFUNCTION("""COMPUTED_VALUE"""),"HF Kip Florentine 404g")</f>
        <v>HF Kip Florentine 404g</v>
      </c>
      <c r="J244" s="189">
        <f>IFERROR(__xludf.DUMMYFUNCTION("""COMPUTED_VALUE"""),1838.0)</f>
        <v>1838</v>
      </c>
      <c r="K244" s="189">
        <f>IFERROR(__xludf.DUMMYFUNCTION("""COMPUTED_VALUE"""),1909.0)</f>
        <v>1909</v>
      </c>
      <c r="L244" s="189">
        <f>IFERROR(__xludf.DUMMYFUNCTION("""COMPUTED_VALUE"""),1884.0)</f>
        <v>1884</v>
      </c>
      <c r="M244" s="189">
        <f>IFERROR(__xludf.DUMMYFUNCTION("""COMPUTED_VALUE"""),1971.0)</f>
        <v>1971</v>
      </c>
      <c r="N244" s="189">
        <f>IFERROR(__xludf.DUMMYFUNCTION("""COMPUTED_VALUE"""),1699.0)</f>
        <v>1699</v>
      </c>
      <c r="O244" s="189">
        <f>IFERROR(__xludf.DUMMYFUNCTION("""COMPUTED_VALUE"""),1588.0)</f>
        <v>1588</v>
      </c>
      <c r="P244" s="189">
        <f>IFERROR(__xludf.DUMMYFUNCTION("""COMPUTED_VALUE"""),1436.0)</f>
        <v>1436</v>
      </c>
      <c r="Q244" s="189">
        <f>IFERROR(__xludf.DUMMYFUNCTION("""COMPUTED_VALUE"""),1449.0)</f>
        <v>1449</v>
      </c>
      <c r="R244" s="186"/>
      <c r="S244" s="189">
        <f>IFERROR(__xludf.DUMMYFUNCTION("""COMPUTED_VALUE"""),1001.0)</f>
        <v>1001</v>
      </c>
    </row>
    <row r="245">
      <c r="A245" s="186" t="str">
        <f>IFERROR(__xludf.DUMMYFUNCTION("""COMPUTED_VALUE"""),"NORDICS")</f>
        <v>NORDICS</v>
      </c>
      <c r="B245" s="186" t="str">
        <f>IFERROR(__xludf.DUMMYFUNCTION("""COMPUTED_VALUE"""),"W52")</f>
        <v>W52</v>
      </c>
      <c r="C245" s="186">
        <f>IFERROR(__xludf.DUMMYFUNCTION("""COMPUTED_VALUE"""),303.0)</f>
        <v>303</v>
      </c>
      <c r="D245" s="186" t="str">
        <f>IFERROR(__xludf.DUMMYFUNCTION("""COMPUTED_VALUE"""),"CON-00-147857-2")</f>
        <v>CON-00-147857-2</v>
      </c>
      <c r="E245" s="186" t="str">
        <f>IFERROR(__xludf.DUMMYFUNCTION("""COMPUTED_VALUE"""),"Spicy ground beef with jalapenos")</f>
        <v>Spicy ground beef with jalapenos</v>
      </c>
      <c r="F245" s="186" t="str">
        <f>IFERROR(__xludf.DUMMYFUNCTION("""COMPUTED_VALUE"""),"Krydret hakket oksekød med jalapenos")</f>
        <v>Krydret hakket oksekød med jalapenos</v>
      </c>
      <c r="G245" s="186" t="str">
        <f>IFERROR(__xludf.DUMMYFUNCTION("""COMPUTED_VALUE"""),"FE0746A")</f>
        <v>FE0746A</v>
      </c>
      <c r="H245" s="186">
        <f>IFERROR(__xludf.DUMMYFUNCTION("""COMPUTED_VALUE"""),565091.0)</f>
        <v>565091</v>
      </c>
      <c r="I245" s="186" t="str">
        <f>IFERROR(__xludf.DUMMYFUNCTION("""COMPUTED_VALUE"""),"HF Beef burrito bowl")</f>
        <v>HF Beef burrito bowl</v>
      </c>
      <c r="J245" s="189">
        <f>IFERROR(__xludf.DUMMYFUNCTION("""COMPUTED_VALUE"""),1808.0)</f>
        <v>1808</v>
      </c>
      <c r="K245" s="189">
        <f>IFERROR(__xludf.DUMMYFUNCTION("""COMPUTED_VALUE"""),1769.0)</f>
        <v>1769</v>
      </c>
      <c r="L245" s="189">
        <f>IFERROR(__xludf.DUMMYFUNCTION("""COMPUTED_VALUE"""),1605.0)</f>
        <v>1605</v>
      </c>
      <c r="M245" s="189">
        <f>IFERROR(__xludf.DUMMYFUNCTION("""COMPUTED_VALUE"""),1703.0)</f>
        <v>1703</v>
      </c>
      <c r="N245" s="189">
        <f>IFERROR(__xludf.DUMMYFUNCTION("""COMPUTED_VALUE"""),1483.0)</f>
        <v>1483</v>
      </c>
      <c r="O245" s="189">
        <f>IFERROR(__xludf.DUMMYFUNCTION("""COMPUTED_VALUE"""),1371.0)</f>
        <v>1371</v>
      </c>
      <c r="P245" s="189">
        <f>IFERROR(__xludf.DUMMYFUNCTION("""COMPUTED_VALUE"""),1218.0)</f>
        <v>1218</v>
      </c>
      <c r="Q245" s="189">
        <f>IFERROR(__xludf.DUMMYFUNCTION("""COMPUTED_VALUE"""),1254.0)</f>
        <v>1254</v>
      </c>
      <c r="R245" s="186"/>
      <c r="S245" s="189">
        <f>IFERROR(__xludf.DUMMYFUNCTION("""COMPUTED_VALUE"""),862.0)</f>
        <v>862</v>
      </c>
    </row>
    <row r="246">
      <c r="A246" s="186" t="str">
        <f>IFERROR(__xludf.DUMMYFUNCTION("""COMPUTED_VALUE"""),"NORDICS")</f>
        <v>NORDICS</v>
      </c>
      <c r="B246" s="186" t="str">
        <f>IFERROR(__xludf.DUMMYFUNCTION("""COMPUTED_VALUE"""),"W52")</f>
        <v>W52</v>
      </c>
      <c r="C246" s="186">
        <f>IFERROR(__xludf.DUMMYFUNCTION("""COMPUTED_VALUE"""),304.0)</f>
        <v>304</v>
      </c>
      <c r="D246" s="186" t="str">
        <f>IFERROR(__xludf.DUMMYFUNCTION("""COMPUTED_VALUE"""),"CON-00-148196-2")</f>
        <v>CON-00-148196-2</v>
      </c>
      <c r="E246" s="186" t="str">
        <f>IFERROR(__xludf.DUMMYFUNCTION("""COMPUTED_VALUE"""),"Caramelized Onion &amp; Emmental Fondue Chicken")</f>
        <v>Caramelized Onion &amp; Emmental Fondue Chicken</v>
      </c>
      <c r="F246" s="186" t="str">
        <f>IFERROR(__xludf.DUMMYFUNCTION("""COMPUTED_VALUE"""),"Kylling i Emmental-fondue med karamelliseret løg")</f>
        <v>Kylling i Emmental-fondue med karamelliseret løg</v>
      </c>
      <c r="G246" s="186" t="str">
        <f>IFERROR(__xludf.DUMMYFUNCTION("""COMPUTED_VALUE"""),"FE0970B")</f>
        <v>FE0970B</v>
      </c>
      <c r="H246" s="186">
        <f>IFERROR(__xludf.DUMMYFUNCTION("""COMPUTED_VALUE"""),565164.0)</f>
        <v>565164</v>
      </c>
      <c r="I246" s="186"/>
      <c r="J246" s="189">
        <f>IFERROR(__xludf.DUMMYFUNCTION("""COMPUTED_VALUE"""),2675.0)</f>
        <v>2675</v>
      </c>
      <c r="K246" s="189">
        <f>IFERROR(__xludf.DUMMYFUNCTION("""COMPUTED_VALUE"""),2700.0)</f>
        <v>2700</v>
      </c>
      <c r="L246" s="189">
        <f>IFERROR(__xludf.DUMMYFUNCTION("""COMPUTED_VALUE"""),2427.0)</f>
        <v>2427</v>
      </c>
      <c r="M246" s="189">
        <f>IFERROR(__xludf.DUMMYFUNCTION("""COMPUTED_VALUE"""),2672.0)</f>
        <v>2672</v>
      </c>
      <c r="N246" s="189">
        <f>IFERROR(__xludf.DUMMYFUNCTION("""COMPUTED_VALUE"""),2289.0)</f>
        <v>2289</v>
      </c>
      <c r="O246" s="189">
        <f>IFERROR(__xludf.DUMMYFUNCTION("""COMPUTED_VALUE"""),2121.0)</f>
        <v>2121</v>
      </c>
      <c r="P246" s="189">
        <f>IFERROR(__xludf.DUMMYFUNCTION("""COMPUTED_VALUE"""),1921.0)</f>
        <v>1921</v>
      </c>
      <c r="Q246" s="189">
        <f>IFERROR(__xludf.DUMMYFUNCTION("""COMPUTED_VALUE"""),1972.0)</f>
        <v>1972</v>
      </c>
      <c r="R246" s="186"/>
      <c r="S246" s="189">
        <f>IFERROR(__xludf.DUMMYFUNCTION("""COMPUTED_VALUE"""),1393.0)</f>
        <v>1393</v>
      </c>
    </row>
    <row r="247">
      <c r="A247" s="186" t="str">
        <f>IFERROR(__xludf.DUMMYFUNCTION("""COMPUTED_VALUE"""),"NORDICS")</f>
        <v>NORDICS</v>
      </c>
      <c r="B247" s="186" t="str">
        <f>IFERROR(__xludf.DUMMYFUNCTION("""COMPUTED_VALUE"""),"W52")</f>
        <v>W52</v>
      </c>
      <c r="C247" s="186">
        <f>IFERROR(__xludf.DUMMYFUNCTION("""COMPUTED_VALUE"""),305.0)</f>
        <v>305</v>
      </c>
      <c r="D247" s="186" t="str">
        <f>IFERROR(__xludf.DUMMYFUNCTION("""COMPUTED_VALUE"""),"CON-00-147840-2")</f>
        <v>CON-00-147840-2</v>
      </c>
      <c r="E247" s="186" t="str">
        <f>IFERROR(__xludf.DUMMYFUNCTION("""COMPUTED_VALUE"""),"Grilled chicken fillet and potato leek mash")</f>
        <v>Grilled chicken fillet and potato leek mash</v>
      </c>
      <c r="F247" s="186" t="str">
        <f>IFERROR(__xludf.DUMMYFUNCTION("""COMPUTED_VALUE"""),"Grillet kyllingefilet og kartoffel-porremos")</f>
        <v>Grillet kyllingefilet og kartoffel-porremos</v>
      </c>
      <c r="G247" s="186" t="str">
        <f>IFERROR(__xludf.DUMMYFUNCTION("""COMPUTED_VALUE"""),"FE0426B")</f>
        <v>FE0426B</v>
      </c>
      <c r="H247" s="186">
        <f>IFERROR(__xludf.DUMMYFUNCTION("""COMPUTED_VALUE"""),565035.0)</f>
        <v>565035</v>
      </c>
      <c r="I247" s="186" t="str">
        <f>IFERROR(__xludf.DUMMYFUNCTION("""COMPUTED_VALUE"""),"HF Puree van aardappel en prei met gegrilde kip 416g")</f>
        <v>HF Puree van aardappel en prei met gegrilde kip 416g</v>
      </c>
      <c r="J247" s="189">
        <f>IFERROR(__xludf.DUMMYFUNCTION("""COMPUTED_VALUE"""),2271.0)</f>
        <v>2271</v>
      </c>
      <c r="K247" s="189">
        <f>IFERROR(__xludf.DUMMYFUNCTION("""COMPUTED_VALUE"""),2194.0)</f>
        <v>2194</v>
      </c>
      <c r="L247" s="189">
        <f>IFERROR(__xludf.DUMMYFUNCTION("""COMPUTED_VALUE"""),2119.0)</f>
        <v>2119</v>
      </c>
      <c r="M247" s="189">
        <f>IFERROR(__xludf.DUMMYFUNCTION("""COMPUTED_VALUE"""),2204.0)</f>
        <v>2204</v>
      </c>
      <c r="N247" s="189">
        <f>IFERROR(__xludf.DUMMYFUNCTION("""COMPUTED_VALUE"""),1878.0)</f>
        <v>1878</v>
      </c>
      <c r="O247" s="189">
        <f>IFERROR(__xludf.DUMMYFUNCTION("""COMPUTED_VALUE"""),1766.0)</f>
        <v>1766</v>
      </c>
      <c r="P247" s="189">
        <f>IFERROR(__xludf.DUMMYFUNCTION("""COMPUTED_VALUE"""),1626.0)</f>
        <v>1626</v>
      </c>
      <c r="Q247" s="189">
        <f>IFERROR(__xludf.DUMMYFUNCTION("""COMPUTED_VALUE"""),1666.0)</f>
        <v>1666</v>
      </c>
      <c r="R247" s="186"/>
      <c r="S247" s="189">
        <f>IFERROR(__xludf.DUMMYFUNCTION("""COMPUTED_VALUE"""),1181.0)</f>
        <v>1181</v>
      </c>
    </row>
    <row r="248">
      <c r="A248" s="186" t="str">
        <f>IFERROR(__xludf.DUMMYFUNCTION("""COMPUTED_VALUE"""),"NORDICS")</f>
        <v>NORDICS</v>
      </c>
      <c r="B248" s="186" t="str">
        <f>IFERROR(__xludf.DUMMYFUNCTION("""COMPUTED_VALUE"""),"W52")</f>
        <v>W52</v>
      </c>
      <c r="C248" s="186">
        <f>IFERROR(__xludf.DUMMYFUNCTION("""COMPUTED_VALUE"""),306.0)</f>
        <v>306</v>
      </c>
      <c r="D248" s="186" t="str">
        <f>IFERROR(__xludf.DUMMYFUNCTION("""COMPUTED_VALUE"""),"CON-00-147894-2")</f>
        <v>CON-00-147894-2</v>
      </c>
      <c r="E248" s="186" t="str">
        <f>IFERROR(__xludf.DUMMYFUNCTION("""COMPUTED_VALUE"""),"Chicken in mushroom sauce")</f>
        <v>Chicken in mushroom sauce</v>
      </c>
      <c r="F248" s="186" t="str">
        <f>IFERROR(__xludf.DUMMYFUNCTION("""COMPUTED_VALUE"""),"Kylling i svampesauce     ")</f>
        <v>Kylling i svampesauce     </v>
      </c>
      <c r="G248" s="186" t="str">
        <f>IFERROR(__xludf.DUMMYFUNCTION("""COMPUTED_VALUE"""),"FE4038B")</f>
        <v>FE4038B</v>
      </c>
      <c r="H248" s="186">
        <f>IFERROR(__xludf.DUMMYFUNCTION("""COMPUTED_VALUE"""),565160.0)</f>
        <v>565160</v>
      </c>
      <c r="I248" s="186"/>
      <c r="J248" s="189">
        <f>IFERROR(__xludf.DUMMYFUNCTION("""COMPUTED_VALUE"""),1407.0)</f>
        <v>1407</v>
      </c>
      <c r="K248" s="189">
        <f>IFERROR(__xludf.DUMMYFUNCTION("""COMPUTED_VALUE"""),1371.0)</f>
        <v>1371</v>
      </c>
      <c r="L248" s="189">
        <f>IFERROR(__xludf.DUMMYFUNCTION("""COMPUTED_VALUE"""),1628.0)</f>
        <v>1628</v>
      </c>
      <c r="M248" s="189">
        <f>IFERROR(__xludf.DUMMYFUNCTION("""COMPUTED_VALUE"""),1442.0)</f>
        <v>1442</v>
      </c>
      <c r="N248" s="189">
        <f>IFERROR(__xludf.DUMMYFUNCTION("""COMPUTED_VALUE"""),1256.0)</f>
        <v>1256</v>
      </c>
      <c r="O248" s="189">
        <f>IFERROR(__xludf.DUMMYFUNCTION("""COMPUTED_VALUE"""),1251.0)</f>
        <v>1251</v>
      </c>
      <c r="P248" s="189">
        <f>IFERROR(__xludf.DUMMYFUNCTION("""COMPUTED_VALUE"""),1145.0)</f>
        <v>1145</v>
      </c>
      <c r="Q248" s="189">
        <f>IFERROR(__xludf.DUMMYFUNCTION("""COMPUTED_VALUE"""),1126.0)</f>
        <v>1126</v>
      </c>
      <c r="R248" s="186"/>
      <c r="S248" s="189">
        <f>IFERROR(__xludf.DUMMYFUNCTION("""COMPUTED_VALUE"""),764.0)</f>
        <v>764</v>
      </c>
    </row>
    <row r="249">
      <c r="A249" s="186" t="str">
        <f>IFERROR(__xludf.DUMMYFUNCTION("""COMPUTED_VALUE"""),"NORDICS")</f>
        <v>NORDICS</v>
      </c>
      <c r="B249" s="186" t="str">
        <f>IFERROR(__xludf.DUMMYFUNCTION("""COMPUTED_VALUE"""),"W52")</f>
        <v>W52</v>
      </c>
      <c r="C249" s="186">
        <f>IFERROR(__xludf.DUMMYFUNCTION("""COMPUTED_VALUE"""),307.0)</f>
        <v>307</v>
      </c>
      <c r="D249" s="186" t="str">
        <f>IFERROR(__xludf.DUMMYFUNCTION("""COMPUTED_VALUE"""),"CON-00-147883-2")</f>
        <v>CON-00-147883-2</v>
      </c>
      <c r="E249" s="186" t="str">
        <f>IFERROR(__xludf.DUMMYFUNCTION("""COMPUTED_VALUE"""),"Pork tenderloin with black pepper and sage")</f>
        <v>Pork tenderloin with black pepper and sage</v>
      </c>
      <c r="F249" s="186" t="str">
        <f>IFERROR(__xludf.DUMMYFUNCTION("""COMPUTED_VALUE"""),"Svinemørbrad med sort peber og salvie")</f>
        <v>Svinemørbrad med sort peber og salvie</v>
      </c>
      <c r="G249" s="186" t="str">
        <f>IFERROR(__xludf.DUMMYFUNCTION("""COMPUTED_VALUE"""),"FE4022B")</f>
        <v>FE4022B</v>
      </c>
      <c r="H249" s="186">
        <f>IFERROR(__xludf.DUMMYFUNCTION("""COMPUTED_VALUE"""),565146.0)</f>
        <v>565146</v>
      </c>
      <c r="I249" s="186" t="str">
        <f>IFERROR(__xludf.DUMMYFUNCTION("""COMPUTED_VALUE"""),"HF RW Varkenshaas zwpeper sali")</f>
        <v>HF RW Varkenshaas zwpeper sali</v>
      </c>
      <c r="J249" s="189">
        <f>IFERROR(__xludf.DUMMYFUNCTION("""COMPUTED_VALUE"""),1085.0)</f>
        <v>1085</v>
      </c>
      <c r="K249" s="189">
        <f>IFERROR(__xludf.DUMMYFUNCTION("""COMPUTED_VALUE"""),1058.0)</f>
        <v>1058</v>
      </c>
      <c r="L249" s="189">
        <f>IFERROR(__xludf.DUMMYFUNCTION("""COMPUTED_VALUE"""),962.0)</f>
        <v>962</v>
      </c>
      <c r="M249" s="189">
        <f>IFERROR(__xludf.DUMMYFUNCTION("""COMPUTED_VALUE"""),989.0)</f>
        <v>989</v>
      </c>
      <c r="N249" s="189">
        <f>IFERROR(__xludf.DUMMYFUNCTION("""COMPUTED_VALUE"""),902.0)</f>
        <v>902</v>
      </c>
      <c r="O249" s="189">
        <f>IFERROR(__xludf.DUMMYFUNCTION("""COMPUTED_VALUE"""),885.0)</f>
        <v>885</v>
      </c>
      <c r="P249" s="189">
        <f>IFERROR(__xludf.DUMMYFUNCTION("""COMPUTED_VALUE"""),837.0)</f>
        <v>837</v>
      </c>
      <c r="Q249" s="189">
        <f>IFERROR(__xludf.DUMMYFUNCTION("""COMPUTED_VALUE"""),817.0)</f>
        <v>817</v>
      </c>
      <c r="R249" s="186"/>
      <c r="S249" s="189">
        <f>IFERROR(__xludf.DUMMYFUNCTION("""COMPUTED_VALUE"""),556.0)</f>
        <v>556</v>
      </c>
    </row>
    <row r="250">
      <c r="A250" s="186" t="str">
        <f>IFERROR(__xludf.DUMMYFUNCTION("""COMPUTED_VALUE"""),"NORDICS")</f>
        <v>NORDICS</v>
      </c>
      <c r="B250" s="186" t="str">
        <f>IFERROR(__xludf.DUMMYFUNCTION("""COMPUTED_VALUE"""),"W52")</f>
        <v>W52</v>
      </c>
      <c r="C250" s="186">
        <f>IFERROR(__xludf.DUMMYFUNCTION("""COMPUTED_VALUE"""),308.0)</f>
        <v>308</v>
      </c>
      <c r="D250" s="186" t="str">
        <f>IFERROR(__xludf.DUMMYFUNCTION("""COMPUTED_VALUE"""),"CON-00-147893-2")</f>
        <v>CON-00-147893-2</v>
      </c>
      <c r="E250" s="186" t="str">
        <f>IFERROR(__xludf.DUMMYFUNCTION("""COMPUTED_VALUE"""),"Salmon in creamy gochugaru sauce")</f>
        <v>Salmon in creamy gochugaru sauce</v>
      </c>
      <c r="F250" s="186" t="str">
        <f>IFERROR(__xludf.DUMMYFUNCTION("""COMPUTED_VALUE"""),"Laks i cremet gochugaru sauce")</f>
        <v>Laks i cremet gochugaru sauce</v>
      </c>
      <c r="G250" s="186" t="str">
        <f>IFERROR(__xludf.DUMMYFUNCTION("""COMPUTED_VALUE"""),"FE4039C")</f>
        <v>FE4039C</v>
      </c>
      <c r="H250" s="186" t="str">
        <f>IFERROR(__xludf.DUMMYFUNCTION("""COMPUTED_VALUE"""),"NO565102")</f>
        <v>NO565102</v>
      </c>
      <c r="I250" s="186" t="str">
        <f>IFERROR(__xludf.DUMMYFUNCTION("""COMPUTED_VALUE"""),"HF Zalm in romige gochugaru saus 415g")</f>
        <v>HF Zalm in romige gochugaru saus 415g</v>
      </c>
      <c r="J250" s="189">
        <f>IFERROR(__xludf.DUMMYFUNCTION("""COMPUTED_VALUE"""),1218.0)</f>
        <v>1218</v>
      </c>
      <c r="K250" s="189">
        <f>IFERROR(__xludf.DUMMYFUNCTION("""COMPUTED_VALUE"""),1196.0)</f>
        <v>1196</v>
      </c>
      <c r="L250" s="189">
        <f>IFERROR(__xludf.DUMMYFUNCTION("""COMPUTED_VALUE"""),1302.0)</f>
        <v>1302</v>
      </c>
      <c r="M250" s="189">
        <f>IFERROR(__xludf.DUMMYFUNCTION("""COMPUTED_VALUE"""),1284.0)</f>
        <v>1284</v>
      </c>
      <c r="N250" s="189">
        <f>IFERROR(__xludf.DUMMYFUNCTION("""COMPUTED_VALUE"""),1059.0)</f>
        <v>1059</v>
      </c>
      <c r="O250" s="189">
        <f>IFERROR(__xludf.DUMMYFUNCTION("""COMPUTED_VALUE"""),1102.0)</f>
        <v>1102</v>
      </c>
      <c r="P250" s="189">
        <f>IFERROR(__xludf.DUMMYFUNCTION("""COMPUTED_VALUE"""),1027.0)</f>
        <v>1027</v>
      </c>
      <c r="Q250" s="189">
        <f>IFERROR(__xludf.DUMMYFUNCTION("""COMPUTED_VALUE"""),966.0)</f>
        <v>966</v>
      </c>
      <c r="R250" s="186"/>
      <c r="S250" s="189">
        <f>IFERROR(__xludf.DUMMYFUNCTION("""COMPUTED_VALUE"""),674.0)</f>
        <v>674</v>
      </c>
    </row>
    <row r="251">
      <c r="A251" s="186" t="str">
        <f>IFERROR(__xludf.DUMMYFUNCTION("""COMPUTED_VALUE"""),"NORDICS")</f>
        <v>NORDICS</v>
      </c>
      <c r="B251" s="186" t="str">
        <f>IFERROR(__xludf.DUMMYFUNCTION("""COMPUTED_VALUE"""),"W52")</f>
        <v>W52</v>
      </c>
      <c r="C251" s="186">
        <f>IFERROR(__xludf.DUMMYFUNCTION("""COMPUTED_VALUE"""),309.0)</f>
        <v>309</v>
      </c>
      <c r="D251" s="186" t="str">
        <f>IFERROR(__xludf.DUMMYFUNCTION("""COMPUTED_VALUE"""),"CON-00-147817-2")</f>
        <v>CON-00-147817-2</v>
      </c>
      <c r="E251" s="186" t="str">
        <f>IFERROR(__xludf.DUMMYFUNCTION("""COMPUTED_VALUE"""),"Ratatouille of zucchini and pepper")</f>
        <v>Ratatouille of zucchini and pepper</v>
      </c>
      <c r="F251" s="186" t="str">
        <f>IFERROR(__xludf.DUMMYFUNCTION("""COMPUTED_VALUE"""),"Squash- og peberfrugtsratatouille")</f>
        <v>Squash- og peberfrugtsratatouille</v>
      </c>
      <c r="G251" s="186" t="str">
        <f>IFERROR(__xludf.DUMMYFUNCTION("""COMPUTED_VALUE"""),"FE0090C")</f>
        <v>FE0090C</v>
      </c>
      <c r="H251" s="186">
        <f>IFERROR(__xludf.DUMMYFUNCTION("""COMPUTED_VALUE"""),565141.0)</f>
        <v>565141</v>
      </c>
      <c r="I251" s="186"/>
      <c r="J251" s="186">
        <f>IFERROR(__xludf.DUMMYFUNCTION("""COMPUTED_VALUE"""),264.0)</f>
        <v>264</v>
      </c>
      <c r="K251" s="186">
        <f>IFERROR(__xludf.DUMMYFUNCTION("""COMPUTED_VALUE"""),256.0)</f>
        <v>256</v>
      </c>
      <c r="L251" s="189">
        <f>IFERROR(__xludf.DUMMYFUNCTION("""COMPUTED_VALUE"""),125.0)</f>
        <v>125</v>
      </c>
      <c r="M251" s="186">
        <f>IFERROR(__xludf.DUMMYFUNCTION("""COMPUTED_VALUE"""),166.0)</f>
        <v>166</v>
      </c>
      <c r="N251" s="186">
        <f>IFERROR(__xludf.DUMMYFUNCTION("""COMPUTED_VALUE"""),163.0)</f>
        <v>163</v>
      </c>
      <c r="O251" s="186">
        <f>IFERROR(__xludf.DUMMYFUNCTION("""COMPUTED_VALUE"""),185.0)</f>
        <v>185</v>
      </c>
      <c r="P251" s="186">
        <f>IFERROR(__xludf.DUMMYFUNCTION("""COMPUTED_VALUE"""),172.0)</f>
        <v>172</v>
      </c>
      <c r="Q251" s="186">
        <f>IFERROR(__xludf.DUMMYFUNCTION("""COMPUTED_VALUE"""),168.0)</f>
        <v>168</v>
      </c>
      <c r="R251" s="186"/>
      <c r="S251" s="189">
        <f>IFERROR(__xludf.DUMMYFUNCTION("""COMPUTED_VALUE"""),105.0)</f>
        <v>105</v>
      </c>
    </row>
    <row r="252">
      <c r="A252" s="186" t="str">
        <f>IFERROR(__xludf.DUMMYFUNCTION("""COMPUTED_VALUE"""),"NORDICS")</f>
        <v>NORDICS</v>
      </c>
      <c r="B252" s="186" t="str">
        <f>IFERROR(__xludf.DUMMYFUNCTION("""COMPUTED_VALUE"""),"W52")</f>
        <v>W52</v>
      </c>
      <c r="C252" s="186">
        <f>IFERROR(__xludf.DUMMYFUNCTION("""COMPUTED_VALUE"""),310.0)</f>
        <v>310</v>
      </c>
      <c r="D252" s="186"/>
      <c r="E252" s="186"/>
      <c r="F252" s="186"/>
      <c r="G252" s="186" t="str">
        <f>IFERROR(__xludf.DUMMYFUNCTION("""COMPUTED_VALUE"""),"FE0121B")</f>
        <v>FE0121B</v>
      </c>
      <c r="H252" s="186"/>
      <c r="I252" s="186"/>
      <c r="J252" s="186">
        <f>IFERROR(__xludf.DUMMYFUNCTION("""COMPUTED_VALUE"""),300.0)</f>
        <v>300</v>
      </c>
      <c r="K252" s="186">
        <f>IFERROR(__xludf.DUMMYFUNCTION("""COMPUTED_VALUE"""),324.0)</f>
        <v>324</v>
      </c>
      <c r="L252" s="189">
        <f>IFERROR(__xludf.DUMMYFUNCTION("""COMPUTED_VALUE"""),302.0)</f>
        <v>302</v>
      </c>
      <c r="M252" s="189">
        <f>IFERROR(__xludf.DUMMYFUNCTION("""COMPUTED_VALUE"""),219.0)</f>
        <v>219</v>
      </c>
      <c r="N252" s="189">
        <f>IFERROR(__xludf.DUMMYFUNCTION("""COMPUTED_VALUE"""),201.0)</f>
        <v>201</v>
      </c>
      <c r="O252" s="189">
        <f>IFERROR(__xludf.DUMMYFUNCTION("""COMPUTED_VALUE"""),258.0)</f>
        <v>258</v>
      </c>
      <c r="P252" s="189">
        <f>IFERROR(__xludf.DUMMYFUNCTION("""COMPUTED_VALUE"""),233.0)</f>
        <v>233</v>
      </c>
      <c r="Q252" s="189">
        <f>IFERROR(__xludf.DUMMYFUNCTION("""COMPUTED_VALUE"""),216.0)</f>
        <v>216</v>
      </c>
      <c r="R252" s="186"/>
      <c r="S252" s="186">
        <f>IFERROR(__xludf.DUMMYFUNCTION("""COMPUTED_VALUE"""),146.0)</f>
        <v>146</v>
      </c>
    </row>
    <row r="253">
      <c r="A253" s="186" t="str">
        <f>IFERROR(__xludf.DUMMYFUNCTION("""COMPUTED_VALUE"""),"NORDICS")</f>
        <v>NORDICS</v>
      </c>
      <c r="B253" s="186" t="str">
        <f>IFERROR(__xludf.DUMMYFUNCTION("""COMPUTED_VALUE"""),"W52")</f>
        <v>W52</v>
      </c>
      <c r="C253" s="186">
        <f>IFERROR(__xludf.DUMMYFUNCTION("""COMPUTED_VALUE"""),311.0)</f>
        <v>311</v>
      </c>
      <c r="D253" s="186" t="str">
        <f>IFERROR(__xludf.DUMMYFUNCTION("""COMPUTED_VALUE"""),"CON-00-150389-2")</f>
        <v>CON-00-150389-2</v>
      </c>
      <c r="E253" s="186" t="str">
        <f>IFERROR(__xludf.DUMMYFUNCTION("""COMPUTED_VALUE"""),"Parmesan &amp; Garlic Cream Pulled Beef")</f>
        <v>Parmesan &amp; Garlic Cream Pulled Beef</v>
      </c>
      <c r="F253" s="186" t="str">
        <f>IFERROR(__xludf.DUMMYFUNCTION("""COMPUTED_VALUE"""),"Pulled beef med cremet parmesan og hvidløg")</f>
        <v>Pulled beef med cremet parmesan og hvidløg</v>
      </c>
      <c r="G253" s="186" t="str">
        <f>IFERROR(__xludf.DUMMYFUNCTION("""COMPUTED_VALUE"""),"FE1346B")</f>
        <v>FE1346B</v>
      </c>
      <c r="H253" s="186">
        <f>IFERROR(__xludf.DUMMYFUNCTION("""COMPUTED_VALUE"""),565184.0)</f>
        <v>565184</v>
      </c>
      <c r="I253" s="186" t="str">
        <f>IFERROR(__xludf.DUMMYFUNCTION("""COMPUTED_VALUE"""),"HF Pulled beef &amp; knoflook room")</f>
        <v>HF Pulled beef &amp; knoflook room</v>
      </c>
      <c r="J253" s="189">
        <f>IFERROR(__xludf.DUMMYFUNCTION("""COMPUTED_VALUE"""),545.0)</f>
        <v>545</v>
      </c>
      <c r="K253" s="189">
        <f>IFERROR(__xludf.DUMMYFUNCTION("""COMPUTED_VALUE"""),481.0)</f>
        <v>481</v>
      </c>
      <c r="L253" s="189">
        <f>IFERROR(__xludf.DUMMYFUNCTION("""COMPUTED_VALUE"""),865.0)</f>
        <v>865</v>
      </c>
      <c r="M253" s="186">
        <f>IFERROR(__xludf.DUMMYFUNCTION("""COMPUTED_VALUE"""),853.0)</f>
        <v>853</v>
      </c>
      <c r="N253" s="186">
        <f>IFERROR(__xludf.DUMMYFUNCTION("""COMPUTED_VALUE"""),671.0)</f>
        <v>671</v>
      </c>
      <c r="O253" s="186">
        <f>IFERROR(__xludf.DUMMYFUNCTION("""COMPUTED_VALUE"""),797.0)</f>
        <v>797</v>
      </c>
      <c r="P253" s="186">
        <f>IFERROR(__xludf.DUMMYFUNCTION("""COMPUTED_VALUE"""),746.0)</f>
        <v>746</v>
      </c>
      <c r="Q253" s="186">
        <f>IFERROR(__xludf.DUMMYFUNCTION("""COMPUTED_VALUE"""),649.0)</f>
        <v>649</v>
      </c>
      <c r="R253" s="186"/>
      <c r="S253" s="189">
        <f>IFERROR(__xludf.DUMMYFUNCTION("""COMPUTED_VALUE"""),420.0)</f>
        <v>420</v>
      </c>
    </row>
    <row r="254">
      <c r="A254" s="186" t="str">
        <f>IFERROR(__xludf.DUMMYFUNCTION("""COMPUTED_VALUE"""),"NORDICS")</f>
        <v>NORDICS</v>
      </c>
      <c r="B254" s="186" t="str">
        <f>IFERROR(__xludf.DUMMYFUNCTION("""COMPUTED_VALUE"""),"W52")</f>
        <v>W52</v>
      </c>
      <c r="C254" s="186">
        <f>IFERROR(__xludf.DUMMYFUNCTION("""COMPUTED_VALUE"""),312.0)</f>
        <v>312</v>
      </c>
      <c r="D254" s="186" t="str">
        <f>IFERROR(__xludf.DUMMYFUNCTION("""COMPUTED_VALUE"""),"CON-00-152039-2")</f>
        <v>CON-00-152039-2</v>
      </c>
      <c r="E254" s="186" t="str">
        <f>IFERROR(__xludf.DUMMYFUNCTION("""COMPUTED_VALUE"""),"Thai Style Green Curry Salmon")</f>
        <v>Thai Style Green Curry Salmon</v>
      </c>
      <c r="F254" s="186" t="str">
        <f>IFERROR(__xludf.DUMMYFUNCTION("""COMPUTED_VALUE"""),"Laks i grøn thai-curry")</f>
        <v>Laks i grøn thai-curry</v>
      </c>
      <c r="G254" s="186" t="str">
        <f>IFERROR(__xludf.DUMMYFUNCTION("""COMPUTED_VALUE"""),"FE4066A")</f>
        <v>FE4066A</v>
      </c>
      <c r="H254" s="186">
        <f>IFERROR(__xludf.DUMMYFUNCTION("""COMPUTED_VALUE"""),565218.0)</f>
        <v>565218</v>
      </c>
      <c r="I254" s="186" t="str">
        <f>IFERROR(__xludf.DUMMYFUNCTION("""COMPUTED_VALUE"""),"#N/A")</f>
        <v>#N/A</v>
      </c>
      <c r="J254" s="189">
        <f>IFERROR(__xludf.DUMMYFUNCTION("""COMPUTED_VALUE"""),1198.0)</f>
        <v>1198</v>
      </c>
      <c r="K254" s="189">
        <f>IFERROR(__xludf.DUMMYFUNCTION("""COMPUTED_VALUE"""),1217.0)</f>
        <v>1217</v>
      </c>
      <c r="L254" s="189">
        <f>IFERROR(__xludf.DUMMYFUNCTION("""COMPUTED_VALUE"""),1228.0)</f>
        <v>1228</v>
      </c>
      <c r="M254" s="189">
        <f>IFERROR(__xludf.DUMMYFUNCTION("""COMPUTED_VALUE"""),1238.0)</f>
        <v>1238</v>
      </c>
      <c r="N254" s="189">
        <f>IFERROR(__xludf.DUMMYFUNCTION("""COMPUTED_VALUE"""),1032.0)</f>
        <v>1032</v>
      </c>
      <c r="O254" s="189">
        <f>IFERROR(__xludf.DUMMYFUNCTION("""COMPUTED_VALUE"""),1069.0)</f>
        <v>1069</v>
      </c>
      <c r="P254" s="189">
        <f>IFERROR(__xludf.DUMMYFUNCTION("""COMPUTED_VALUE"""),994.0)</f>
        <v>994</v>
      </c>
      <c r="Q254" s="189">
        <f>IFERROR(__xludf.DUMMYFUNCTION("""COMPUTED_VALUE"""),945.0)</f>
        <v>945</v>
      </c>
      <c r="R254" s="186"/>
      <c r="S254" s="186">
        <f>IFERROR(__xludf.DUMMYFUNCTION("""COMPUTED_VALUE"""),660.0)</f>
        <v>660</v>
      </c>
    </row>
    <row r="255">
      <c r="A255" s="186" t="str">
        <f>IFERROR(__xludf.DUMMYFUNCTION("""COMPUTED_VALUE"""),"NORDICS")</f>
        <v>NORDICS</v>
      </c>
      <c r="B255" s="186" t="str">
        <f>IFERROR(__xludf.DUMMYFUNCTION("""COMPUTED_VALUE"""),"W52")</f>
        <v>W52</v>
      </c>
      <c r="C255" s="186">
        <f>IFERROR(__xludf.DUMMYFUNCTION("""COMPUTED_VALUE"""),313.0)</f>
        <v>313</v>
      </c>
      <c r="D255" s="186" t="str">
        <f>IFERROR(__xludf.DUMMYFUNCTION("""COMPUTED_VALUE"""),"CON-00-152046-2")</f>
        <v>CON-00-152046-2</v>
      </c>
      <c r="E255" s="186" t="str">
        <f>IFERROR(__xludf.DUMMYFUNCTION("""COMPUTED_VALUE"""),"Massaman Curry Chicken Breast")</f>
        <v>Massaman Curry Chicken Breast</v>
      </c>
      <c r="F255" s="186" t="str">
        <f>IFERROR(__xludf.DUMMYFUNCTION("""COMPUTED_VALUE"""),"Massaman-karry med kylling")</f>
        <v>Massaman-karry med kylling</v>
      </c>
      <c r="G255" s="186" t="str">
        <f>IFERROR(__xludf.DUMMYFUNCTION("""COMPUTED_VALUE"""),"FE1399A")</f>
        <v>FE1399A</v>
      </c>
      <c r="H255" s="186">
        <f>IFERROR(__xludf.DUMMYFUNCTION("""COMPUTED_VALUE"""),565216.0)</f>
        <v>565216</v>
      </c>
      <c r="I255" s="186" t="str">
        <f>IFERROR(__xludf.DUMMYFUNCTION("""COMPUTED_VALUE"""),"HF Massaman curry kipfilet")</f>
        <v>HF Massaman curry kipfilet</v>
      </c>
      <c r="J255" s="189">
        <f>IFERROR(__xludf.DUMMYFUNCTION("""COMPUTED_VALUE"""),1305.0)</f>
        <v>1305</v>
      </c>
      <c r="K255" s="189">
        <f>IFERROR(__xludf.DUMMYFUNCTION("""COMPUTED_VALUE"""),1184.0)</f>
        <v>1184</v>
      </c>
      <c r="L255" s="189">
        <f>IFERROR(__xludf.DUMMYFUNCTION("""COMPUTED_VALUE"""),1390.0)</f>
        <v>1390</v>
      </c>
      <c r="M255" s="189">
        <f>IFERROR(__xludf.DUMMYFUNCTION("""COMPUTED_VALUE"""),1413.0)</f>
        <v>1413</v>
      </c>
      <c r="N255" s="189">
        <f>IFERROR(__xludf.DUMMYFUNCTION("""COMPUTED_VALUE"""),1183.0)</f>
        <v>1183</v>
      </c>
      <c r="O255" s="189">
        <f>IFERROR(__xludf.DUMMYFUNCTION("""COMPUTED_VALUE"""),1188.0)</f>
        <v>1188</v>
      </c>
      <c r="P255" s="189">
        <f>IFERROR(__xludf.DUMMYFUNCTION("""COMPUTED_VALUE"""),1104.0)</f>
        <v>1104</v>
      </c>
      <c r="Q255" s="189">
        <f>IFERROR(__xludf.DUMMYFUNCTION("""COMPUTED_VALUE"""),1080.0)</f>
        <v>1080</v>
      </c>
      <c r="R255" s="186"/>
      <c r="S255" s="189">
        <f>IFERROR(__xludf.DUMMYFUNCTION("""COMPUTED_VALUE"""),769.0)</f>
        <v>769</v>
      </c>
    </row>
    <row r="256">
      <c r="A256" s="186" t="str">
        <f>IFERROR(__xludf.DUMMYFUNCTION("""COMPUTED_VALUE"""),"NORDICS")</f>
        <v>NORDICS</v>
      </c>
      <c r="B256" s="186" t="str">
        <f>IFERROR(__xludf.DUMMYFUNCTION("""COMPUTED_VALUE"""),"W52")</f>
        <v>W52</v>
      </c>
      <c r="C256" s="186">
        <f>IFERROR(__xludf.DUMMYFUNCTION("""COMPUTED_VALUE"""),314.0)</f>
        <v>314</v>
      </c>
      <c r="D256" s="186" t="str">
        <f>IFERROR(__xludf.DUMMYFUNCTION("""COMPUTED_VALUE"""),"CON-00-152208-2")</f>
        <v>CON-00-152208-2</v>
      </c>
      <c r="E256" s="186" t="str">
        <f>IFERROR(__xludf.DUMMYFUNCTION("""COMPUTED_VALUE"""),"Green Chile Chicken &amp; Salsa Quinoa")</f>
        <v>Green Chile Chicken &amp; Salsa Quinoa</v>
      </c>
      <c r="F256" s="186" t="str">
        <f>IFERROR(__xludf.DUMMYFUNCTION("""COMPUTED_VALUE"""),"Chilensk inspireret kylling med salsa-quinoa")</f>
        <v>Chilensk inspireret kylling med salsa-quinoa</v>
      </c>
      <c r="G256" s="186" t="str">
        <f>IFERROR(__xludf.DUMMYFUNCTION("""COMPUTED_VALUE"""),"FE1636A")</f>
        <v>FE1636A</v>
      </c>
      <c r="H256" s="186">
        <f>IFERROR(__xludf.DUMMYFUNCTION("""COMPUTED_VALUE"""),565209.0)</f>
        <v>565209</v>
      </c>
      <c r="I256" s="186" t="str">
        <f>IFERROR(__xludf.DUMMYFUNCTION("""COMPUTED_VALUE"""),"HF Quinoa witte bonen salsa")</f>
        <v>HF Quinoa witte bonen salsa</v>
      </c>
      <c r="J256" s="189">
        <f>IFERROR(__xludf.DUMMYFUNCTION("""COMPUTED_VALUE"""),803.0)</f>
        <v>803</v>
      </c>
      <c r="K256" s="189">
        <f>IFERROR(__xludf.DUMMYFUNCTION("""COMPUTED_VALUE"""),934.0)</f>
        <v>934</v>
      </c>
      <c r="L256" s="189">
        <f>IFERROR(__xludf.DUMMYFUNCTION("""COMPUTED_VALUE"""),889.0)</f>
        <v>889</v>
      </c>
      <c r="M256" s="189">
        <f>IFERROR(__xludf.DUMMYFUNCTION("""COMPUTED_VALUE"""),879.0)</f>
        <v>879</v>
      </c>
      <c r="N256" s="189">
        <f>IFERROR(__xludf.DUMMYFUNCTION("""COMPUTED_VALUE"""),759.0)</f>
        <v>759</v>
      </c>
      <c r="O256" s="189">
        <f>IFERROR(__xludf.DUMMYFUNCTION("""COMPUTED_VALUE"""),782.0)</f>
        <v>782</v>
      </c>
      <c r="P256" s="189">
        <f>IFERROR(__xludf.DUMMYFUNCTION("""COMPUTED_VALUE"""),715.0)</f>
        <v>715</v>
      </c>
      <c r="Q256" s="189">
        <f>IFERROR(__xludf.DUMMYFUNCTION("""COMPUTED_VALUE"""),660.0)</f>
        <v>660</v>
      </c>
      <c r="R256" s="186"/>
      <c r="S256" s="189">
        <f>IFERROR(__xludf.DUMMYFUNCTION("""COMPUTED_VALUE"""),449.0)</f>
        <v>449</v>
      </c>
    </row>
    <row r="257">
      <c r="A257" s="186" t="str">
        <f>IFERROR(__xludf.DUMMYFUNCTION("""COMPUTED_VALUE"""),"NORDICS")</f>
        <v>NORDICS</v>
      </c>
      <c r="B257" s="186" t="str">
        <f>IFERROR(__xludf.DUMMYFUNCTION("""COMPUTED_VALUE"""),"W52")</f>
        <v>W52</v>
      </c>
      <c r="C257" s="186">
        <f>IFERROR(__xludf.DUMMYFUNCTION("""COMPUTED_VALUE"""),315.0)</f>
        <v>315</v>
      </c>
      <c r="D257" s="186" t="str">
        <f>IFERROR(__xludf.DUMMYFUNCTION("""COMPUTED_VALUE"""),"CON-00-151115-2")</f>
        <v>CON-00-151115-2</v>
      </c>
      <c r="E257" s="186" t="str">
        <f>IFERROR(__xludf.DUMMYFUNCTION("""COMPUTED_VALUE"""),"Cheddar &amp; Bell Pepper Pulled Beef Bowl")</f>
        <v>Cheddar &amp; Bell Pepper Pulled Beef Bowl</v>
      </c>
      <c r="F257" s="186" t="str">
        <f>IFERROR(__xludf.DUMMYFUNCTION("""COMPUTED_VALUE"""),"Pulled beef bowl med cheddar og peberfrugt")</f>
        <v>Pulled beef bowl med cheddar og peberfrugt</v>
      </c>
      <c r="G257" s="186" t="str">
        <f>IFERROR(__xludf.DUMMYFUNCTION("""COMPUTED_VALUE"""),"FE1348B")</f>
        <v>FE1348B</v>
      </c>
      <c r="H257" s="186">
        <f>IFERROR(__xludf.DUMMYFUNCTION("""COMPUTED_VALUE"""),565186.0)</f>
        <v>565186</v>
      </c>
      <c r="I257" s="186" t="str">
        <f>IFERROR(__xludf.DUMMYFUNCTION("""COMPUTED_VALUE"""),"HF Pulled beef salsa bowl")</f>
        <v>HF Pulled beef salsa bowl</v>
      </c>
      <c r="J257" s="189">
        <f>IFERROR(__xludf.DUMMYFUNCTION("""COMPUTED_VALUE"""),684.0)</f>
        <v>684</v>
      </c>
      <c r="K257" s="189">
        <f>IFERROR(__xludf.DUMMYFUNCTION("""COMPUTED_VALUE"""),775.0)</f>
        <v>775</v>
      </c>
      <c r="L257" s="189">
        <f>IFERROR(__xludf.DUMMYFUNCTION("""COMPUTED_VALUE"""),597.0)</f>
        <v>597</v>
      </c>
      <c r="M257" s="189">
        <f>IFERROR(__xludf.DUMMYFUNCTION("""COMPUTED_VALUE"""),574.0)</f>
        <v>574</v>
      </c>
      <c r="N257" s="189">
        <f>IFERROR(__xludf.DUMMYFUNCTION("""COMPUTED_VALUE"""),473.0)</f>
        <v>473</v>
      </c>
      <c r="O257" s="189">
        <f>IFERROR(__xludf.DUMMYFUNCTION("""COMPUTED_VALUE"""),558.0)</f>
        <v>558</v>
      </c>
      <c r="P257" s="189">
        <f>IFERROR(__xludf.DUMMYFUNCTION("""COMPUTED_VALUE"""),536.0)</f>
        <v>536</v>
      </c>
      <c r="Q257" s="189">
        <f>IFERROR(__xludf.DUMMYFUNCTION("""COMPUTED_VALUE"""),454.0)</f>
        <v>454</v>
      </c>
      <c r="R257" s="186"/>
      <c r="S257" s="189">
        <f>IFERROR(__xludf.DUMMYFUNCTION("""COMPUTED_VALUE"""),324.0)</f>
        <v>324</v>
      </c>
    </row>
    <row r="258">
      <c r="A258" s="186" t="str">
        <f>IFERROR(__xludf.DUMMYFUNCTION("""COMPUTED_VALUE"""),"NORDICS")</f>
        <v>NORDICS</v>
      </c>
      <c r="B258" s="186" t="str">
        <f>IFERROR(__xludf.DUMMYFUNCTION("""COMPUTED_VALUE"""),"W52")</f>
        <v>W52</v>
      </c>
      <c r="C258" s="186">
        <f>IFERROR(__xludf.DUMMYFUNCTION("""COMPUTED_VALUE"""),316.0)</f>
        <v>316</v>
      </c>
      <c r="D258" s="186" t="str">
        <f>IFERROR(__xludf.DUMMYFUNCTION("""COMPUTED_VALUE"""),"CON-00-147825-2")</f>
        <v>CON-00-147825-2</v>
      </c>
      <c r="E258" s="186" t="str">
        <f>IFERROR(__xludf.DUMMYFUNCTION("""COMPUTED_VALUE"""),"Chicken in creamy spinach")</f>
        <v>Chicken in creamy spinach</v>
      </c>
      <c r="F258" s="186" t="str">
        <f>IFERROR(__xludf.DUMMYFUNCTION("""COMPUTED_VALUE"""),"Kylling i cremet spinat")</f>
        <v>Kylling i cremet spinat</v>
      </c>
      <c r="G258" s="186" t="str">
        <f>IFERROR(__xludf.DUMMYFUNCTION("""COMPUTED_VALUE"""),"FE0207I")</f>
        <v>FE0207I</v>
      </c>
      <c r="H258" s="186">
        <f>IFERROR(__xludf.DUMMYFUNCTION("""COMPUTED_VALUE"""),565148.0)</f>
        <v>565148</v>
      </c>
      <c r="I258" s="186" t="str">
        <f>IFERROR(__xludf.DUMMYFUNCTION("""COMPUTED_VALUE"""),"HF RW Kipfilet in rom spinazie")</f>
        <v>HF RW Kipfilet in rom spinazie</v>
      </c>
      <c r="J258" s="189">
        <f>IFERROR(__xludf.DUMMYFUNCTION("""COMPUTED_VALUE"""),530.0)</f>
        <v>530</v>
      </c>
      <c r="K258" s="189">
        <f>IFERROR(__xludf.DUMMYFUNCTION("""COMPUTED_VALUE"""),492.0)</f>
        <v>492</v>
      </c>
      <c r="L258" s="189">
        <f>IFERROR(__xludf.DUMMYFUNCTION("""COMPUTED_VALUE"""),359.0)</f>
        <v>359</v>
      </c>
      <c r="M258" s="186">
        <f>IFERROR(__xludf.DUMMYFUNCTION("""COMPUTED_VALUE"""),298.0)</f>
        <v>298</v>
      </c>
      <c r="N258" s="186">
        <f>IFERROR(__xludf.DUMMYFUNCTION("""COMPUTED_VALUE"""),263.0)</f>
        <v>263</v>
      </c>
      <c r="O258" s="186">
        <f>IFERROR(__xludf.DUMMYFUNCTION("""COMPUTED_VALUE"""),297.0)</f>
        <v>297</v>
      </c>
      <c r="P258" s="186">
        <f>IFERROR(__xludf.DUMMYFUNCTION("""COMPUTED_VALUE"""),273.0)</f>
        <v>273</v>
      </c>
      <c r="Q258" s="186">
        <f>IFERROR(__xludf.DUMMYFUNCTION("""COMPUTED_VALUE"""),226.0)</f>
        <v>226</v>
      </c>
      <c r="R258" s="186"/>
      <c r="S258" s="189">
        <f>IFERROR(__xludf.DUMMYFUNCTION("""COMPUTED_VALUE"""),151.0)</f>
        <v>151</v>
      </c>
    </row>
    <row r="259">
      <c r="A259" s="186" t="str">
        <f>IFERROR(__xludf.DUMMYFUNCTION("""COMPUTED_VALUE"""),"NORDICS")</f>
        <v>NORDICS</v>
      </c>
      <c r="B259" s="186" t="str">
        <f>IFERROR(__xludf.DUMMYFUNCTION("""COMPUTED_VALUE"""),"W52")</f>
        <v>W52</v>
      </c>
      <c r="C259" s="186">
        <f>IFERROR(__xludf.DUMMYFUNCTION("""COMPUTED_VALUE"""),317.0)</f>
        <v>317</v>
      </c>
      <c r="D259" s="186" t="str">
        <f>IFERROR(__xludf.DUMMYFUNCTION("""COMPUTED_VALUE"""),"CON-00-147848-2")</f>
        <v>CON-00-147848-2</v>
      </c>
      <c r="E259" s="186" t="str">
        <f>IFERROR(__xludf.DUMMYFUNCTION("""COMPUTED_VALUE"""),"Pork tenderloin in red pepper sauce")</f>
        <v>Pork tenderloin in red pepper sauce</v>
      </c>
      <c r="F259" s="186" t="str">
        <f>IFERROR(__xludf.DUMMYFUNCTION("""COMPUTED_VALUE"""),"Svinemørbrad i rød peberfrugtsauce")</f>
        <v>Svinemørbrad i rød peberfrugtsauce</v>
      </c>
      <c r="G259" s="186" t="str">
        <f>IFERROR(__xludf.DUMMYFUNCTION("""COMPUTED_VALUE"""),"FE0430E")</f>
        <v>FE0430E</v>
      </c>
      <c r="H259" s="186">
        <f>IFERROR(__xludf.DUMMYFUNCTION("""COMPUTED_VALUE"""),565140.0)</f>
        <v>565140</v>
      </c>
      <c r="I259" s="186"/>
      <c r="J259" s="189">
        <f>IFERROR(__xludf.DUMMYFUNCTION("""COMPUTED_VALUE"""),487.0)</f>
        <v>487</v>
      </c>
      <c r="K259" s="189">
        <f>IFERROR(__xludf.DUMMYFUNCTION("""COMPUTED_VALUE"""),447.0)</f>
        <v>447</v>
      </c>
      <c r="L259" s="189">
        <f>IFERROR(__xludf.DUMMYFUNCTION("""COMPUTED_VALUE"""),491.0)</f>
        <v>491</v>
      </c>
      <c r="M259" s="189">
        <f>IFERROR(__xludf.DUMMYFUNCTION("""COMPUTED_VALUE"""),457.0)</f>
        <v>457</v>
      </c>
      <c r="N259" s="189">
        <f>IFERROR(__xludf.DUMMYFUNCTION("""COMPUTED_VALUE"""),405.0)</f>
        <v>405</v>
      </c>
      <c r="O259" s="189">
        <f>IFERROR(__xludf.DUMMYFUNCTION("""COMPUTED_VALUE"""),460.0)</f>
        <v>460</v>
      </c>
      <c r="P259" s="189">
        <f>IFERROR(__xludf.DUMMYFUNCTION("""COMPUTED_VALUE"""),425.0)</f>
        <v>425</v>
      </c>
      <c r="Q259" s="189">
        <f>IFERROR(__xludf.DUMMYFUNCTION("""COMPUTED_VALUE"""),364.0)</f>
        <v>364</v>
      </c>
      <c r="R259" s="186"/>
      <c r="S259" s="189">
        <f>IFERROR(__xludf.DUMMYFUNCTION("""COMPUTED_VALUE"""),244.0)</f>
        <v>244</v>
      </c>
    </row>
    <row r="260">
      <c r="A260" s="186" t="str">
        <f>IFERROR(__xludf.DUMMYFUNCTION("""COMPUTED_VALUE"""),"NORDICS")</f>
        <v>NORDICS</v>
      </c>
      <c r="B260" s="186" t="str">
        <f>IFERROR(__xludf.DUMMYFUNCTION("""COMPUTED_VALUE"""),"W52")</f>
        <v>W52</v>
      </c>
      <c r="C260" s="186">
        <f>IFERROR(__xludf.DUMMYFUNCTION("""COMPUTED_VALUE"""),318.0)</f>
        <v>318</v>
      </c>
      <c r="D260" s="186" t="str">
        <f>IFERROR(__xludf.DUMMYFUNCTION("""COMPUTED_VALUE"""),"CON-00-147895-2")</f>
        <v>CON-00-147895-2</v>
      </c>
      <c r="E260" s="186" t="str">
        <f>IFERROR(__xludf.DUMMYFUNCTION("""COMPUTED_VALUE"""),"Pork tenderloin and Mediterranean mash")</f>
        <v>Pork tenderloin and Mediterranean mash</v>
      </c>
      <c r="F260" s="186" t="str">
        <f>IFERROR(__xludf.DUMMYFUNCTION("""COMPUTED_VALUE"""),"Svinemørbrad og middelhavsinspireret kartoffelmos ")</f>
        <v>Svinemørbrad og middelhavsinspireret kartoffelmos </v>
      </c>
      <c r="G260" s="186" t="str">
        <f>IFERROR(__xludf.DUMMYFUNCTION("""COMPUTED_VALUE"""),"FE4042A")</f>
        <v>FE4042A</v>
      </c>
      <c r="H260" s="186">
        <f>IFERROR(__xludf.DUMMYFUNCTION("""COMPUTED_VALUE"""),565109.0)</f>
        <v>565109</v>
      </c>
      <c r="I260" s="186"/>
      <c r="J260" s="186">
        <f>IFERROR(__xludf.DUMMYFUNCTION("""COMPUTED_VALUE"""),495.0)</f>
        <v>495</v>
      </c>
      <c r="K260" s="186">
        <f>IFERROR(__xludf.DUMMYFUNCTION("""COMPUTED_VALUE"""),467.0)</f>
        <v>467</v>
      </c>
      <c r="L260" s="186">
        <f>IFERROR(__xludf.DUMMYFUNCTION("""COMPUTED_VALUE"""),357.0)</f>
        <v>357</v>
      </c>
      <c r="M260" s="186">
        <f>IFERROR(__xludf.DUMMYFUNCTION("""COMPUTED_VALUE"""),428.0)</f>
        <v>428</v>
      </c>
      <c r="N260" s="186">
        <f>IFERROR(__xludf.DUMMYFUNCTION("""COMPUTED_VALUE"""),366.0)</f>
        <v>366</v>
      </c>
      <c r="O260" s="186">
        <f>IFERROR(__xludf.DUMMYFUNCTION("""COMPUTED_VALUE"""),423.0)</f>
        <v>423</v>
      </c>
      <c r="P260" s="186">
        <f>IFERROR(__xludf.DUMMYFUNCTION("""COMPUTED_VALUE"""),383.0)</f>
        <v>383</v>
      </c>
      <c r="Q260" s="186">
        <f>IFERROR(__xludf.DUMMYFUNCTION("""COMPUTED_VALUE"""),343.0)</f>
        <v>343</v>
      </c>
      <c r="R260" s="186"/>
      <c r="S260" s="189">
        <f>IFERROR(__xludf.DUMMYFUNCTION("""COMPUTED_VALUE"""),220.0)</f>
        <v>220</v>
      </c>
    </row>
    <row r="261">
      <c r="A261" s="186" t="str">
        <f>IFERROR(__xludf.DUMMYFUNCTION("""COMPUTED_VALUE"""),"NORDICS")</f>
        <v>NORDICS</v>
      </c>
      <c r="B261" s="186" t="str">
        <f>IFERROR(__xludf.DUMMYFUNCTION("""COMPUTED_VALUE"""),"W52")</f>
        <v>W52</v>
      </c>
      <c r="C261" s="186">
        <f>IFERROR(__xludf.DUMMYFUNCTION("""COMPUTED_VALUE"""),806.0)</f>
        <v>806</v>
      </c>
      <c r="D261" s="186" t="str">
        <f>IFERROR(__xludf.DUMMYFUNCTION("""COMPUTED_VALUE"""),"PTN-00-148223-2")</f>
        <v>PTN-00-148223-2</v>
      </c>
      <c r="E261" s="186" t="str">
        <f>IFERROR(__xludf.DUMMYFUNCTION("""COMPUTED_VALUE"""),"Garlic Herb Grilled Chicken")</f>
        <v>Garlic Herb Grilled Chicken</v>
      </c>
      <c r="F261" s="186" t="str">
        <f>IFERROR(__xludf.DUMMYFUNCTION("""COMPUTED_VALUE"""),"Grillet kylling med hvidlød og urter")</f>
        <v>Grillet kylling med hvidlød og urter</v>
      </c>
      <c r="G261" s="186" t="str">
        <f>IFERROR(__xludf.DUMMYFUNCTION("""COMPUTED_VALUE"""),"FEA006A")</f>
        <v>FEA006A</v>
      </c>
      <c r="H261" s="186">
        <f>IFERROR(__xludf.DUMMYFUNCTION("""COMPUTED_VALUE"""),565119.0)</f>
        <v>565119</v>
      </c>
      <c r="I261" s="186"/>
      <c r="J261" s="186">
        <f>IFERROR(__xludf.DUMMYFUNCTION("""COMPUTED_VALUE"""),48.0)</f>
        <v>48</v>
      </c>
      <c r="K261" s="186">
        <f>IFERROR(__xludf.DUMMYFUNCTION("""COMPUTED_VALUE"""),48.0)</f>
        <v>48</v>
      </c>
      <c r="L261" s="186">
        <f>IFERROR(__xludf.DUMMYFUNCTION("""COMPUTED_VALUE"""),48.0)</f>
        <v>48</v>
      </c>
      <c r="M261" s="186">
        <f>IFERROR(__xludf.DUMMYFUNCTION("""COMPUTED_VALUE"""),48.0)</f>
        <v>48</v>
      </c>
      <c r="N261" s="186">
        <f>IFERROR(__xludf.DUMMYFUNCTION("""COMPUTED_VALUE"""),48.0)</f>
        <v>48</v>
      </c>
      <c r="O261" s="186">
        <f>IFERROR(__xludf.DUMMYFUNCTION("""COMPUTED_VALUE"""),48.0)</f>
        <v>48</v>
      </c>
      <c r="P261" s="186">
        <f>IFERROR(__xludf.DUMMYFUNCTION("""COMPUTED_VALUE"""),48.0)</f>
        <v>48</v>
      </c>
      <c r="Q261" s="186">
        <f>IFERROR(__xludf.DUMMYFUNCTION("""COMPUTED_VALUE"""),48.0)</f>
        <v>48</v>
      </c>
      <c r="R261" s="186"/>
      <c r="S261" s="189">
        <f>IFERROR(__xludf.DUMMYFUNCTION("""COMPUTED_VALUE"""),31.0)</f>
        <v>31</v>
      </c>
    </row>
    <row r="262">
      <c r="A262" s="186" t="str">
        <f>IFERROR(__xludf.DUMMYFUNCTION("""COMPUTED_VALUE"""),"NORDICS")</f>
        <v>NORDICS</v>
      </c>
      <c r="B262" s="186" t="str">
        <f>IFERROR(__xludf.DUMMYFUNCTION("""COMPUTED_VALUE"""),"W52")</f>
        <v>W52</v>
      </c>
      <c r="C262" s="186"/>
      <c r="D262" s="186"/>
      <c r="E262" s="186"/>
      <c r="F262" s="186"/>
      <c r="G262" s="186"/>
      <c r="H262" s="186"/>
      <c r="I262" s="186"/>
      <c r="J262" s="189">
        <f>IFERROR(__xludf.DUMMYFUNCTION("""COMPUTED_VALUE"""),21776.0)</f>
        <v>21776</v>
      </c>
      <c r="K262" s="189">
        <f>IFERROR(__xludf.DUMMYFUNCTION("""COMPUTED_VALUE"""),21501.0)</f>
        <v>21501</v>
      </c>
      <c r="L262" s="189">
        <f>IFERROR(__xludf.DUMMYFUNCTION("""COMPUTED_VALUE"""),21289.0)</f>
        <v>21289</v>
      </c>
      <c r="M262" s="189">
        <f>IFERROR(__xludf.DUMMYFUNCTION("""COMPUTED_VALUE"""),21647.0)</f>
        <v>21647</v>
      </c>
      <c r="N262" s="189">
        <f>IFERROR(__xludf.DUMMYFUNCTION("""COMPUTED_VALUE"""),18587.0)</f>
        <v>18587</v>
      </c>
      <c r="O262" s="189">
        <f>IFERROR(__xludf.DUMMYFUNCTION("""COMPUTED_VALUE"""),18416.0)</f>
        <v>18416</v>
      </c>
      <c r="P262" s="189">
        <f>IFERROR(__xludf.DUMMYFUNCTION("""COMPUTED_VALUE"""),16904.0)</f>
        <v>16904</v>
      </c>
      <c r="Q262" s="189">
        <f>IFERROR(__xludf.DUMMYFUNCTION("""COMPUTED_VALUE"""),16550.0)</f>
        <v>16550</v>
      </c>
      <c r="R262" s="189">
        <f>IFERROR(__xludf.DUMMYFUNCTION("""COMPUTED_VALUE"""),0.0)</f>
        <v>0</v>
      </c>
      <c r="S262" s="189">
        <f>IFERROR(__xludf.DUMMYFUNCTION("""COMPUTED_VALUE"""),11457.0)</f>
        <v>11457</v>
      </c>
    </row>
    <row r="263">
      <c r="A263" s="186" t="str">
        <f>IFERROR(__xludf.DUMMYFUNCTION("""COMPUTED_VALUE"""),"DE")</f>
        <v>DE</v>
      </c>
      <c r="B263" s="186" t="str">
        <f>IFERROR(__xludf.DUMMYFUNCTION("""COMPUTED_VALUE"""),"W52")</f>
        <v>W52</v>
      </c>
      <c r="C263" s="186">
        <f>IFERROR(__xludf.DUMMYFUNCTION("""COMPUTED_VALUE"""),301.0)</f>
        <v>301</v>
      </c>
      <c r="D263" s="186" t="str">
        <f>IFERROR(__xludf.DUMMYFUNCTION("""COMPUTED_VALUE"""),"CON-00-136675-3")</f>
        <v>CON-00-136675-3</v>
      </c>
      <c r="E263" s="186" t="str">
        <f>IFERROR(__xludf.DUMMYFUNCTION("""COMPUTED_VALUE"""),"Creamy basil risotto with chicken")</f>
        <v>Creamy basil risotto with chicken</v>
      </c>
      <c r="F263" s="186" t="str">
        <f>IFERROR(__xludf.DUMMYFUNCTION("""COMPUTED_VALUE"""),"Cremiges Basilikum-Risotto")</f>
        <v>Cremiges Basilikum-Risotto</v>
      </c>
      <c r="G263" s="186" t="str">
        <f>IFERROR(__xludf.DUMMYFUNCTION("""COMPUTED_VALUE"""),"FE4014B")</f>
        <v>FE4014B</v>
      </c>
      <c r="H263" s="186">
        <f>IFERROR(__xludf.DUMMYFUNCTION("""COMPUTED_VALUE"""),565122.0)</f>
        <v>565122</v>
      </c>
      <c r="I263" s="186"/>
      <c r="J263" s="189">
        <f>IFERROR(__xludf.DUMMYFUNCTION("""COMPUTED_VALUE"""),2682.0)</f>
        <v>2682</v>
      </c>
      <c r="K263" s="189">
        <f>IFERROR(__xludf.DUMMYFUNCTION("""COMPUTED_VALUE"""),2484.0)</f>
        <v>2484</v>
      </c>
      <c r="L263" s="189">
        <f>IFERROR(__xludf.DUMMYFUNCTION("""COMPUTED_VALUE"""),2267.0)</f>
        <v>2267</v>
      </c>
      <c r="M263" s="189">
        <f>IFERROR(__xludf.DUMMYFUNCTION("""COMPUTED_VALUE"""),2255.0)</f>
        <v>2255</v>
      </c>
      <c r="N263" s="189">
        <f>IFERROR(__xludf.DUMMYFUNCTION("""COMPUTED_VALUE"""),2073.0)</f>
        <v>2073</v>
      </c>
      <c r="O263" s="189">
        <f>IFERROR(__xludf.DUMMYFUNCTION("""COMPUTED_VALUE"""),1948.0)</f>
        <v>1948</v>
      </c>
      <c r="P263" s="189">
        <f>IFERROR(__xludf.DUMMYFUNCTION("""COMPUTED_VALUE"""),1836.0)</f>
        <v>1836</v>
      </c>
      <c r="Q263" s="189">
        <f>IFERROR(__xludf.DUMMYFUNCTION("""COMPUTED_VALUE"""),1975.0)</f>
        <v>1975</v>
      </c>
      <c r="R263" s="186"/>
      <c r="S263" s="189">
        <f>IFERROR(__xludf.DUMMYFUNCTION("""COMPUTED_VALUE"""),1433.0)</f>
        <v>1433</v>
      </c>
    </row>
    <row r="264">
      <c r="A264" s="186" t="str">
        <f>IFERROR(__xludf.DUMMYFUNCTION("""COMPUTED_VALUE"""),"DE")</f>
        <v>DE</v>
      </c>
      <c r="B264" s="186" t="str">
        <f>IFERROR(__xludf.DUMMYFUNCTION("""COMPUTED_VALUE"""),"W52")</f>
        <v>W52</v>
      </c>
      <c r="C264" s="186">
        <f>IFERROR(__xludf.DUMMYFUNCTION("""COMPUTED_VALUE"""),302.0)</f>
        <v>302</v>
      </c>
      <c r="D264" s="186" t="str">
        <f>IFERROR(__xludf.DUMMYFUNCTION("""COMPUTED_VALUE"""),"CON-00-136620-3")</f>
        <v>CON-00-136620-3</v>
      </c>
      <c r="E264" s="186" t="str">
        <f>IFERROR(__xludf.DUMMYFUNCTION("""COMPUTED_VALUE"""),"Chicken à la Florentine")</f>
        <v>Chicken à la Florentine</v>
      </c>
      <c r="F264" s="186" t="str">
        <f>IFERROR(__xludf.DUMMYFUNCTION("""COMPUTED_VALUE"""),"Hähnchen à la Florentine")</f>
        <v>Hähnchen à la Florentine</v>
      </c>
      <c r="G264" s="186" t="str">
        <f>IFERROR(__xludf.DUMMYFUNCTION("""COMPUTED_VALUE"""),"FE0224C")</f>
        <v>FE0224C</v>
      </c>
      <c r="H264" s="186">
        <f>IFERROR(__xludf.DUMMYFUNCTION("""COMPUTED_VALUE"""),565047.0)</f>
        <v>565047</v>
      </c>
      <c r="I264" s="186" t="str">
        <f>IFERROR(__xludf.DUMMYFUNCTION("""COMPUTED_VALUE"""),"HF Kip Florentine 404g")</f>
        <v>HF Kip Florentine 404g</v>
      </c>
      <c r="J264" s="189">
        <f>IFERROR(__xludf.DUMMYFUNCTION("""COMPUTED_VALUE"""),1755.0)</f>
        <v>1755</v>
      </c>
      <c r="K264" s="189">
        <f>IFERROR(__xludf.DUMMYFUNCTION("""COMPUTED_VALUE"""),1736.0)</f>
        <v>1736</v>
      </c>
      <c r="L264" s="189">
        <f>IFERROR(__xludf.DUMMYFUNCTION("""COMPUTED_VALUE"""),1959.0)</f>
        <v>1959</v>
      </c>
      <c r="M264" s="189">
        <f>IFERROR(__xludf.DUMMYFUNCTION("""COMPUTED_VALUE"""),1691.0)</f>
        <v>1691</v>
      </c>
      <c r="N264" s="189">
        <f>IFERROR(__xludf.DUMMYFUNCTION("""COMPUTED_VALUE"""),1461.0)</f>
        <v>1461</v>
      </c>
      <c r="O264" s="189">
        <f>IFERROR(__xludf.DUMMYFUNCTION("""COMPUTED_VALUE"""),1428.0)</f>
        <v>1428</v>
      </c>
      <c r="P264" s="189">
        <f>IFERROR(__xludf.DUMMYFUNCTION("""COMPUTED_VALUE"""),1336.0)</f>
        <v>1336</v>
      </c>
      <c r="Q264" s="189">
        <f>IFERROR(__xludf.DUMMYFUNCTION("""COMPUTED_VALUE"""),1411.0)</f>
        <v>1411</v>
      </c>
      <c r="R264" s="186"/>
      <c r="S264" s="189">
        <f>IFERROR(__xludf.DUMMYFUNCTION("""COMPUTED_VALUE"""),2808.0)</f>
        <v>2808</v>
      </c>
    </row>
    <row r="265">
      <c r="A265" s="186" t="str">
        <f>IFERROR(__xludf.DUMMYFUNCTION("""COMPUTED_VALUE"""),"DE")</f>
        <v>DE</v>
      </c>
      <c r="B265" s="186" t="str">
        <f>IFERROR(__xludf.DUMMYFUNCTION("""COMPUTED_VALUE"""),"W52")</f>
        <v>W52</v>
      </c>
      <c r="C265" s="186">
        <f>IFERROR(__xludf.DUMMYFUNCTION("""COMPUTED_VALUE"""),303.0)</f>
        <v>303</v>
      </c>
      <c r="D265" s="186" t="str">
        <f>IFERROR(__xludf.DUMMYFUNCTION("""COMPUTED_VALUE"""),"CON-00-136694-3")</f>
        <v>CON-00-136694-3</v>
      </c>
      <c r="E265" s="186" t="str">
        <f>IFERROR(__xludf.DUMMYFUNCTION("""COMPUTED_VALUE"""),"Spicy ground beef with jalapenos")</f>
        <v>Spicy ground beef with jalapenos</v>
      </c>
      <c r="F265" s="186" t="str">
        <f>IFERROR(__xludf.DUMMYFUNCTION("""COMPUTED_VALUE"""),"Scharfes Rinderhack mit Jalapeños")</f>
        <v>Scharfes Rinderhack mit Jalapeños</v>
      </c>
      <c r="G265" s="186" t="str">
        <f>IFERROR(__xludf.DUMMYFUNCTION("""COMPUTED_VALUE"""),"FE0746A")</f>
        <v>FE0746A</v>
      </c>
      <c r="H265" s="186">
        <f>IFERROR(__xludf.DUMMYFUNCTION("""COMPUTED_VALUE"""),565091.0)</f>
        <v>565091</v>
      </c>
      <c r="I265" s="186" t="str">
        <f>IFERROR(__xludf.DUMMYFUNCTION("""COMPUTED_VALUE"""),"HF Beef burrito bowl")</f>
        <v>HF Beef burrito bowl</v>
      </c>
      <c r="J265" s="189">
        <f>IFERROR(__xludf.DUMMYFUNCTION("""COMPUTED_VALUE"""),1907.0)</f>
        <v>1907</v>
      </c>
      <c r="K265" s="189">
        <f>IFERROR(__xludf.DUMMYFUNCTION("""COMPUTED_VALUE"""),1773.0)</f>
        <v>1773</v>
      </c>
      <c r="L265" s="189">
        <f>IFERROR(__xludf.DUMMYFUNCTION("""COMPUTED_VALUE"""),1457.0)</f>
        <v>1457</v>
      </c>
      <c r="M265" s="189">
        <f>IFERROR(__xludf.DUMMYFUNCTION("""COMPUTED_VALUE"""),1373.0)</f>
        <v>1373</v>
      </c>
      <c r="N265" s="189">
        <f>IFERROR(__xludf.DUMMYFUNCTION("""COMPUTED_VALUE"""),1284.0)</f>
        <v>1284</v>
      </c>
      <c r="O265" s="189">
        <f>IFERROR(__xludf.DUMMYFUNCTION("""COMPUTED_VALUE"""),1205.0)</f>
        <v>1205</v>
      </c>
      <c r="P265" s="189">
        <f>IFERROR(__xludf.DUMMYFUNCTION("""COMPUTED_VALUE"""),1138.0)</f>
        <v>1138</v>
      </c>
      <c r="Q265" s="189">
        <f>IFERROR(__xludf.DUMMYFUNCTION("""COMPUTED_VALUE"""),1199.0)</f>
        <v>1199</v>
      </c>
      <c r="R265" s="186"/>
      <c r="S265" s="189">
        <f>IFERROR(__xludf.DUMMYFUNCTION("""COMPUTED_VALUE"""),1354.0)</f>
        <v>1354</v>
      </c>
    </row>
    <row r="266">
      <c r="A266" s="186" t="str">
        <f>IFERROR(__xludf.DUMMYFUNCTION("""COMPUTED_VALUE"""),"DE")</f>
        <v>DE</v>
      </c>
      <c r="B266" s="186" t="str">
        <f>IFERROR(__xludf.DUMMYFUNCTION("""COMPUTED_VALUE"""),"W52")</f>
        <v>W52</v>
      </c>
      <c r="C266" s="186">
        <f>IFERROR(__xludf.DUMMYFUNCTION("""COMPUTED_VALUE"""),304.0)</f>
        <v>304</v>
      </c>
      <c r="D266" s="186" t="str">
        <f>IFERROR(__xludf.DUMMYFUNCTION("""COMPUTED_VALUE"""),"CON-00-148220-2")</f>
        <v>CON-00-148220-2</v>
      </c>
      <c r="E266" s="186" t="str">
        <f>IFERROR(__xludf.DUMMYFUNCTION("""COMPUTED_VALUE"""),"Caramelized Onion &amp; Emmental Fondue Chicken")</f>
        <v>Caramelized Onion &amp; Emmental Fondue Chicken</v>
      </c>
      <c r="F266" s="186" t="str">
        <f>IFERROR(__xludf.DUMMYFUNCTION("""COMPUTED_VALUE"""),"Hähnchen mit karamellisierten Zwiebeln &amp; Emmentaler-Fondue")</f>
        <v>Hähnchen mit karamellisierten Zwiebeln &amp; Emmentaler-Fondue</v>
      </c>
      <c r="G266" s="186" t="str">
        <f>IFERROR(__xludf.DUMMYFUNCTION("""COMPUTED_VALUE"""),"FE0970B")</f>
        <v>FE0970B</v>
      </c>
      <c r="H266" s="186">
        <f>IFERROR(__xludf.DUMMYFUNCTION("""COMPUTED_VALUE"""),565164.0)</f>
        <v>565164</v>
      </c>
      <c r="I266" s="186"/>
      <c r="J266" s="189">
        <f>IFERROR(__xludf.DUMMYFUNCTION("""COMPUTED_VALUE"""),2712.0)</f>
        <v>2712</v>
      </c>
      <c r="K266" s="189">
        <f>IFERROR(__xludf.DUMMYFUNCTION("""COMPUTED_VALUE"""),2552.0)</f>
        <v>2552</v>
      </c>
      <c r="L266" s="189">
        <f>IFERROR(__xludf.DUMMYFUNCTION("""COMPUTED_VALUE"""),2495.0)</f>
        <v>2495</v>
      </c>
      <c r="M266" s="189">
        <f>IFERROR(__xludf.DUMMYFUNCTION("""COMPUTED_VALUE"""),2504.0)</f>
        <v>2504</v>
      </c>
      <c r="N266" s="189">
        <f>IFERROR(__xludf.DUMMYFUNCTION("""COMPUTED_VALUE"""),2261.0)</f>
        <v>2261</v>
      </c>
      <c r="O266" s="189">
        <f>IFERROR(__xludf.DUMMYFUNCTION("""COMPUTED_VALUE"""),2116.0)</f>
        <v>2116</v>
      </c>
      <c r="P266" s="189">
        <f>IFERROR(__xludf.DUMMYFUNCTION("""COMPUTED_VALUE"""),2003.0)</f>
        <v>2003</v>
      </c>
      <c r="Q266" s="189">
        <f>IFERROR(__xludf.DUMMYFUNCTION("""COMPUTED_VALUE"""),2087.0)</f>
        <v>2087</v>
      </c>
      <c r="R266" s="186"/>
      <c r="S266" s="189">
        <f>IFERROR(__xludf.DUMMYFUNCTION("""COMPUTED_VALUE"""),1444.0)</f>
        <v>1444</v>
      </c>
    </row>
    <row r="267">
      <c r="A267" s="186" t="str">
        <f>IFERROR(__xludf.DUMMYFUNCTION("""COMPUTED_VALUE"""),"DE")</f>
        <v>DE</v>
      </c>
      <c r="B267" s="186" t="str">
        <f>IFERROR(__xludf.DUMMYFUNCTION("""COMPUTED_VALUE"""),"W52")</f>
        <v>W52</v>
      </c>
      <c r="C267" s="186">
        <f>IFERROR(__xludf.DUMMYFUNCTION("""COMPUTED_VALUE"""),305.0)</f>
        <v>305</v>
      </c>
      <c r="D267" s="186" t="str">
        <f>IFERROR(__xludf.DUMMYFUNCTION("""COMPUTED_VALUE"""),"CON-00-136649-3")</f>
        <v>CON-00-136649-3</v>
      </c>
      <c r="E267" s="186" t="str">
        <f>IFERROR(__xludf.DUMMYFUNCTION("""COMPUTED_VALUE"""),"Grilled chicken fillet and potato leek mash")</f>
        <v>Grilled chicken fillet and potato leek mash</v>
      </c>
      <c r="F267" s="186" t="str">
        <f>IFERROR(__xludf.DUMMYFUNCTION("""COMPUTED_VALUE"""),"Gegrilltes Hähnchenfilet mit Kartoffel-Lauch-Püree")</f>
        <v>Gegrilltes Hähnchenfilet mit Kartoffel-Lauch-Püree</v>
      </c>
      <c r="G267" s="186" t="str">
        <f>IFERROR(__xludf.DUMMYFUNCTION("""COMPUTED_VALUE"""),"FE0426B")</f>
        <v>FE0426B</v>
      </c>
      <c r="H267" s="186">
        <f>IFERROR(__xludf.DUMMYFUNCTION("""COMPUTED_VALUE"""),565035.0)</f>
        <v>565035</v>
      </c>
      <c r="I267" s="186" t="str">
        <f>IFERROR(__xludf.DUMMYFUNCTION("""COMPUTED_VALUE"""),"HF Puree van aardappel en prei met gegrilde kip 416g")</f>
        <v>HF Puree van aardappel en prei met gegrilde kip 416g</v>
      </c>
      <c r="J267" s="189">
        <f>IFERROR(__xludf.DUMMYFUNCTION("""COMPUTED_VALUE"""),2335.0)</f>
        <v>2335</v>
      </c>
      <c r="K267" s="189">
        <f>IFERROR(__xludf.DUMMYFUNCTION("""COMPUTED_VALUE"""),2216.0)</f>
        <v>2216</v>
      </c>
      <c r="L267" s="189">
        <f>IFERROR(__xludf.DUMMYFUNCTION("""COMPUTED_VALUE"""),1960.0)</f>
        <v>1960</v>
      </c>
      <c r="M267" s="189">
        <f>IFERROR(__xludf.DUMMYFUNCTION("""COMPUTED_VALUE"""),1964.0)</f>
        <v>1964</v>
      </c>
      <c r="N267" s="189">
        <f>IFERROR(__xludf.DUMMYFUNCTION("""COMPUTED_VALUE"""),1813.0)</f>
        <v>1813</v>
      </c>
      <c r="O267" s="189">
        <f>IFERROR(__xludf.DUMMYFUNCTION("""COMPUTED_VALUE"""),1765.0)</f>
        <v>1765</v>
      </c>
      <c r="P267" s="189">
        <f>IFERROR(__xludf.DUMMYFUNCTION("""COMPUTED_VALUE"""),1652.0)</f>
        <v>1652</v>
      </c>
      <c r="Q267" s="189">
        <f>IFERROR(__xludf.DUMMYFUNCTION("""COMPUTED_VALUE"""),1740.0)</f>
        <v>1740</v>
      </c>
      <c r="R267" s="186"/>
      <c r="S267" s="189">
        <f>IFERROR(__xludf.DUMMYFUNCTION("""COMPUTED_VALUE"""),1244.0)</f>
        <v>1244</v>
      </c>
    </row>
    <row r="268">
      <c r="A268" s="186" t="str">
        <f>IFERROR(__xludf.DUMMYFUNCTION("""COMPUTED_VALUE"""),"DE")</f>
        <v>DE</v>
      </c>
      <c r="B268" s="186" t="str">
        <f>IFERROR(__xludf.DUMMYFUNCTION("""COMPUTED_VALUE"""),"W52")</f>
        <v>W52</v>
      </c>
      <c r="C268" s="186">
        <f>IFERROR(__xludf.DUMMYFUNCTION("""COMPUTED_VALUE"""),306.0)</f>
        <v>306</v>
      </c>
      <c r="D268" s="186" t="str">
        <f>IFERROR(__xludf.DUMMYFUNCTION("""COMPUTED_VALUE"""),"CON-00-136711-3")</f>
        <v>CON-00-136711-3</v>
      </c>
      <c r="E268" s="186" t="str">
        <f>IFERROR(__xludf.DUMMYFUNCTION("""COMPUTED_VALUE"""),"Chicken in mushroom sauce")</f>
        <v>Chicken in mushroom sauce</v>
      </c>
      <c r="F268" s="186" t="str">
        <f>IFERROR(__xludf.DUMMYFUNCTION("""COMPUTED_VALUE"""),"Hähnchen in Pilzsauce")</f>
        <v>Hähnchen in Pilzsauce</v>
      </c>
      <c r="G268" s="186" t="str">
        <f>IFERROR(__xludf.DUMMYFUNCTION("""COMPUTED_VALUE"""),"FE4038B")</f>
        <v>FE4038B</v>
      </c>
      <c r="H268" s="186">
        <f>IFERROR(__xludf.DUMMYFUNCTION("""COMPUTED_VALUE"""),565160.0)</f>
        <v>565160</v>
      </c>
      <c r="I268" s="186"/>
      <c r="J268" s="189">
        <f>IFERROR(__xludf.DUMMYFUNCTION("""COMPUTED_VALUE"""),1796.0)</f>
        <v>1796</v>
      </c>
      <c r="K268" s="189">
        <f>IFERROR(__xludf.DUMMYFUNCTION("""COMPUTED_VALUE"""),1681.0)</f>
        <v>1681</v>
      </c>
      <c r="L268" s="189">
        <f>IFERROR(__xludf.DUMMYFUNCTION("""COMPUTED_VALUE"""),1737.0)</f>
        <v>1737</v>
      </c>
      <c r="M268" s="189">
        <f>IFERROR(__xludf.DUMMYFUNCTION("""COMPUTED_VALUE"""),1754.0)</f>
        <v>1754</v>
      </c>
      <c r="N268" s="189">
        <f>IFERROR(__xludf.DUMMYFUNCTION("""COMPUTED_VALUE"""),1559.0)</f>
        <v>1559</v>
      </c>
      <c r="O268" s="189">
        <f>IFERROR(__xludf.DUMMYFUNCTION("""COMPUTED_VALUE"""),1487.0)</f>
        <v>1487</v>
      </c>
      <c r="P268" s="189">
        <f>IFERROR(__xludf.DUMMYFUNCTION("""COMPUTED_VALUE"""),1377.0)</f>
        <v>1377</v>
      </c>
      <c r="Q268" s="189">
        <f>IFERROR(__xludf.DUMMYFUNCTION("""COMPUTED_VALUE"""),1409.0)</f>
        <v>1409</v>
      </c>
      <c r="R268" s="186"/>
      <c r="S268" s="189">
        <f>IFERROR(__xludf.DUMMYFUNCTION("""COMPUTED_VALUE"""),1399.0)</f>
        <v>1399</v>
      </c>
    </row>
    <row r="269">
      <c r="A269" s="186" t="str">
        <f>IFERROR(__xludf.DUMMYFUNCTION("""COMPUTED_VALUE"""),"DE")</f>
        <v>DE</v>
      </c>
      <c r="B269" s="186" t="str">
        <f>IFERROR(__xludf.DUMMYFUNCTION("""COMPUTED_VALUE"""),"W52")</f>
        <v>W52</v>
      </c>
      <c r="C269" s="186">
        <f>IFERROR(__xludf.DUMMYFUNCTION("""COMPUTED_VALUE"""),307.0)</f>
        <v>307</v>
      </c>
      <c r="D269" s="186" t="str">
        <f>IFERROR(__xludf.DUMMYFUNCTION("""COMPUTED_VALUE"""),"CON-00-136684-3")</f>
        <v>CON-00-136684-3</v>
      </c>
      <c r="E269" s="186" t="str">
        <f>IFERROR(__xludf.DUMMYFUNCTION("""COMPUTED_VALUE"""),"Pork tenderloin with black pepper and sage")</f>
        <v>Pork tenderloin with black pepper and sage</v>
      </c>
      <c r="F269" s="186" t="str">
        <f>IFERROR(__xludf.DUMMYFUNCTION("""COMPUTED_VALUE"""),"Schweinefilet mit schwarzem Pfeffer und Salbei")</f>
        <v>Schweinefilet mit schwarzem Pfeffer und Salbei</v>
      </c>
      <c r="G269" s="186" t="str">
        <f>IFERROR(__xludf.DUMMYFUNCTION("""COMPUTED_VALUE"""),"FE4022B")</f>
        <v>FE4022B</v>
      </c>
      <c r="H269" s="186">
        <f>IFERROR(__xludf.DUMMYFUNCTION("""COMPUTED_VALUE"""),565146.0)</f>
        <v>565146</v>
      </c>
      <c r="I269" s="186" t="str">
        <f>IFERROR(__xludf.DUMMYFUNCTION("""COMPUTED_VALUE"""),"HF RW Varkenshaas zwpeper sali")</f>
        <v>HF RW Varkenshaas zwpeper sali</v>
      </c>
      <c r="J269" s="189">
        <f>IFERROR(__xludf.DUMMYFUNCTION("""COMPUTED_VALUE"""),1128.0)</f>
        <v>1128</v>
      </c>
      <c r="K269" s="189">
        <f>IFERROR(__xludf.DUMMYFUNCTION("""COMPUTED_VALUE"""),1094.0)</f>
        <v>1094</v>
      </c>
      <c r="L269" s="189">
        <f>IFERROR(__xludf.DUMMYFUNCTION("""COMPUTED_VALUE"""),878.0)</f>
        <v>878</v>
      </c>
      <c r="M269" s="189">
        <f>IFERROR(__xludf.DUMMYFUNCTION("""COMPUTED_VALUE"""),956.0)</f>
        <v>956</v>
      </c>
      <c r="N269" s="189">
        <f>IFERROR(__xludf.DUMMYFUNCTION("""COMPUTED_VALUE"""),875.0)</f>
        <v>875</v>
      </c>
      <c r="O269" s="189">
        <f>IFERROR(__xludf.DUMMYFUNCTION("""COMPUTED_VALUE"""),904.0)</f>
        <v>904</v>
      </c>
      <c r="P269" s="189">
        <f>IFERROR(__xludf.DUMMYFUNCTION("""COMPUTED_VALUE"""),859.0)</f>
        <v>859</v>
      </c>
      <c r="Q269" s="189">
        <f>IFERROR(__xludf.DUMMYFUNCTION("""COMPUTED_VALUE"""),904.0)</f>
        <v>904</v>
      </c>
      <c r="R269" s="186"/>
      <c r="S269" s="189">
        <f>IFERROR(__xludf.DUMMYFUNCTION("""COMPUTED_VALUE"""),813.0)</f>
        <v>813</v>
      </c>
    </row>
    <row r="270">
      <c r="A270" s="186" t="str">
        <f>IFERROR(__xludf.DUMMYFUNCTION("""COMPUTED_VALUE"""),"DE")</f>
        <v>DE</v>
      </c>
      <c r="B270" s="186" t="str">
        <f>IFERROR(__xludf.DUMMYFUNCTION("""COMPUTED_VALUE"""),"W52")</f>
        <v>W52</v>
      </c>
      <c r="C270" s="186">
        <f>IFERROR(__xludf.DUMMYFUNCTION("""COMPUTED_VALUE"""),308.0)</f>
        <v>308</v>
      </c>
      <c r="D270" s="186" t="str">
        <f>IFERROR(__xludf.DUMMYFUNCTION("""COMPUTED_VALUE"""),"CON-00-137744-2")</f>
        <v>CON-00-137744-2</v>
      </c>
      <c r="E270" s="186" t="str">
        <f>IFERROR(__xludf.DUMMYFUNCTION("""COMPUTED_VALUE"""),"Salmon in creamy gochugaru sauce")</f>
        <v>Salmon in creamy gochugaru sauce</v>
      </c>
      <c r="F270" s="186" t="str">
        <f>IFERROR(__xludf.DUMMYFUNCTION("""COMPUTED_VALUE"""),"Lachs in cremiger Gochugaru-Sauce")</f>
        <v>Lachs in cremiger Gochugaru-Sauce</v>
      </c>
      <c r="G270" s="186" t="str">
        <f>IFERROR(__xludf.DUMMYFUNCTION("""COMPUTED_VALUE"""),"FE4039C")</f>
        <v>FE4039C</v>
      </c>
      <c r="H270" s="186">
        <f>IFERROR(__xludf.DUMMYFUNCTION("""COMPUTED_VALUE"""),565102.0)</f>
        <v>565102</v>
      </c>
      <c r="I270" s="186" t="str">
        <f>IFERROR(__xludf.DUMMYFUNCTION("""COMPUTED_VALUE"""),"HF Zalm romige gochugaru sa")</f>
        <v>HF Zalm romige gochugaru sa</v>
      </c>
      <c r="J270" s="189">
        <f>IFERROR(__xludf.DUMMYFUNCTION("""COMPUTED_VALUE"""),1495.0)</f>
        <v>1495</v>
      </c>
      <c r="K270" s="189">
        <f>IFERROR(__xludf.DUMMYFUNCTION("""COMPUTED_VALUE"""),1402.0)</f>
        <v>1402</v>
      </c>
      <c r="L270" s="189">
        <f>IFERROR(__xludf.DUMMYFUNCTION("""COMPUTED_VALUE"""),1428.0)</f>
        <v>1428</v>
      </c>
      <c r="M270" s="189">
        <f>IFERROR(__xludf.DUMMYFUNCTION("""COMPUTED_VALUE"""),1343.0)</f>
        <v>1343</v>
      </c>
      <c r="N270" s="189">
        <f>IFERROR(__xludf.DUMMYFUNCTION("""COMPUTED_VALUE"""),1259.0)</f>
        <v>1259</v>
      </c>
      <c r="O270" s="189">
        <f>IFERROR(__xludf.DUMMYFUNCTION("""COMPUTED_VALUE"""),1330.0)</f>
        <v>1330</v>
      </c>
      <c r="P270" s="189">
        <f>IFERROR(__xludf.DUMMYFUNCTION("""COMPUTED_VALUE"""),1273.0)</f>
        <v>1273</v>
      </c>
      <c r="Q270" s="189">
        <f>IFERROR(__xludf.DUMMYFUNCTION("""COMPUTED_VALUE"""),1249.0)</f>
        <v>1249</v>
      </c>
      <c r="R270" s="186"/>
      <c r="S270" s="189">
        <f>IFERROR(__xludf.DUMMYFUNCTION("""COMPUTED_VALUE"""),810.0)</f>
        <v>810</v>
      </c>
    </row>
    <row r="271">
      <c r="A271" s="186" t="str">
        <f>IFERROR(__xludf.DUMMYFUNCTION("""COMPUTED_VALUE"""),"DE")</f>
        <v>DE</v>
      </c>
      <c r="B271" s="186" t="str">
        <f>IFERROR(__xludf.DUMMYFUNCTION("""COMPUTED_VALUE"""),"W52")</f>
        <v>W52</v>
      </c>
      <c r="C271" s="186">
        <f>IFERROR(__xludf.DUMMYFUNCTION("""COMPUTED_VALUE"""),309.0)</f>
        <v>309</v>
      </c>
      <c r="D271" s="186" t="str">
        <f>IFERROR(__xludf.DUMMYFUNCTION("""COMPUTED_VALUE"""),"CON-00-136634-3")</f>
        <v>CON-00-136634-3</v>
      </c>
      <c r="E271" s="186" t="str">
        <f>IFERROR(__xludf.DUMMYFUNCTION("""COMPUTED_VALUE"""),"Ratatouille of zucchini and pepper")</f>
        <v>Ratatouille of zucchini and pepper</v>
      </c>
      <c r="F271" s="186" t="str">
        <f>IFERROR(__xludf.DUMMYFUNCTION("""COMPUTED_VALUE"""),"Zucchini-Paprika-Ratatouille")</f>
        <v>Zucchini-Paprika-Ratatouille</v>
      </c>
      <c r="G271" s="186" t="str">
        <f>IFERROR(__xludf.DUMMYFUNCTION("""COMPUTED_VALUE"""),"FE0090C")</f>
        <v>FE0090C</v>
      </c>
      <c r="H271" s="186">
        <f>IFERROR(__xludf.DUMMYFUNCTION("""COMPUTED_VALUE"""),565141.0)</f>
        <v>565141</v>
      </c>
      <c r="I271" s="186"/>
      <c r="J271" s="186">
        <f>IFERROR(__xludf.DUMMYFUNCTION("""COMPUTED_VALUE"""),353.0)</f>
        <v>353</v>
      </c>
      <c r="K271" s="186">
        <f>IFERROR(__xludf.DUMMYFUNCTION("""COMPUTED_VALUE"""),331.0)</f>
        <v>331</v>
      </c>
      <c r="L271" s="186">
        <f>IFERROR(__xludf.DUMMYFUNCTION("""COMPUTED_VALUE"""),222.0)</f>
        <v>222</v>
      </c>
      <c r="M271" s="186">
        <f>IFERROR(__xludf.DUMMYFUNCTION("""COMPUTED_VALUE"""),263.0)</f>
        <v>263</v>
      </c>
      <c r="N271" s="186">
        <f>IFERROR(__xludf.DUMMYFUNCTION("""COMPUTED_VALUE"""),230.0)</f>
        <v>230</v>
      </c>
      <c r="O271" s="186">
        <f>IFERROR(__xludf.DUMMYFUNCTION("""COMPUTED_VALUE"""),241.0)</f>
        <v>241</v>
      </c>
      <c r="P271" s="186">
        <f>IFERROR(__xludf.DUMMYFUNCTION("""COMPUTED_VALUE"""),253.0)</f>
        <v>253</v>
      </c>
      <c r="Q271" s="186">
        <f>IFERROR(__xludf.DUMMYFUNCTION("""COMPUTED_VALUE"""),257.0)</f>
        <v>257</v>
      </c>
      <c r="R271" s="186"/>
      <c r="S271" s="189">
        <f>IFERROR(__xludf.DUMMYFUNCTION("""COMPUTED_VALUE"""),439.0)</f>
        <v>439</v>
      </c>
    </row>
    <row r="272">
      <c r="A272" s="186" t="str">
        <f>IFERROR(__xludf.DUMMYFUNCTION("""COMPUTED_VALUE"""),"DE")</f>
        <v>DE</v>
      </c>
      <c r="B272" s="186" t="str">
        <f>IFERROR(__xludf.DUMMYFUNCTION("""COMPUTED_VALUE"""),"W52")</f>
        <v>W52</v>
      </c>
      <c r="C272" s="186">
        <f>IFERROR(__xludf.DUMMYFUNCTION("""COMPUTED_VALUE"""),310.0)</f>
        <v>310</v>
      </c>
      <c r="D272" s="186"/>
      <c r="E272" s="186"/>
      <c r="F272" s="186"/>
      <c r="G272" s="186" t="str">
        <f>IFERROR(__xludf.DUMMYFUNCTION("""COMPUTED_VALUE"""),"FE0121B")</f>
        <v>FE0121B</v>
      </c>
      <c r="H272" s="186"/>
      <c r="I272" s="186"/>
      <c r="J272" s="186">
        <f>IFERROR(__xludf.DUMMYFUNCTION("""COMPUTED_VALUE"""),435.0)</f>
        <v>435</v>
      </c>
      <c r="K272" s="186">
        <f>IFERROR(__xludf.DUMMYFUNCTION("""COMPUTED_VALUE"""),402.0)</f>
        <v>402</v>
      </c>
      <c r="L272" s="186">
        <f>IFERROR(__xludf.DUMMYFUNCTION("""COMPUTED_VALUE"""),296.0)</f>
        <v>296</v>
      </c>
      <c r="M272" s="186">
        <f>IFERROR(__xludf.DUMMYFUNCTION("""COMPUTED_VALUE"""),326.0)</f>
        <v>326</v>
      </c>
      <c r="N272" s="186">
        <f>IFERROR(__xludf.DUMMYFUNCTION("""COMPUTED_VALUE"""),283.0)</f>
        <v>283</v>
      </c>
      <c r="O272" s="186">
        <f>IFERROR(__xludf.DUMMYFUNCTION("""COMPUTED_VALUE"""),314.0)</f>
        <v>314</v>
      </c>
      <c r="P272" s="186">
        <f>IFERROR(__xludf.DUMMYFUNCTION("""COMPUTED_VALUE"""),297.0)</f>
        <v>297</v>
      </c>
      <c r="Q272" s="186">
        <f>IFERROR(__xludf.DUMMYFUNCTION("""COMPUTED_VALUE"""),292.0)</f>
        <v>292</v>
      </c>
      <c r="R272" s="186"/>
      <c r="S272" s="186">
        <f>IFERROR(__xludf.DUMMYFUNCTION("""COMPUTED_VALUE"""),275.0)</f>
        <v>275</v>
      </c>
    </row>
    <row r="273">
      <c r="A273" s="186" t="str">
        <f>IFERROR(__xludf.DUMMYFUNCTION("""COMPUTED_VALUE"""),"DE")</f>
        <v>DE</v>
      </c>
      <c r="B273" s="186" t="str">
        <f>IFERROR(__xludf.DUMMYFUNCTION("""COMPUTED_VALUE"""),"W52")</f>
        <v>W52</v>
      </c>
      <c r="C273" s="186">
        <f>IFERROR(__xludf.DUMMYFUNCTION("""COMPUTED_VALUE"""),311.0)</f>
        <v>311</v>
      </c>
      <c r="D273" s="186" t="str">
        <f>IFERROR(__xludf.DUMMYFUNCTION("""COMPUTED_VALUE"""),"CON-00-150388-2")</f>
        <v>CON-00-150388-2</v>
      </c>
      <c r="E273" s="186" t="str">
        <f>IFERROR(__xludf.DUMMYFUNCTION("""COMPUTED_VALUE"""),"Parmesan &amp; Garlic Cream Pulled Beef")</f>
        <v>Parmesan &amp; Garlic Cream Pulled Beef</v>
      </c>
      <c r="F273" s="186" t="str">
        <f>IFERROR(__xludf.DUMMYFUNCTION("""COMPUTED_VALUE"""),"Pulled Beef in Parmesan-Knoblauch-Creme")</f>
        <v>Pulled Beef in Parmesan-Knoblauch-Creme</v>
      </c>
      <c r="G273" s="186" t="str">
        <f>IFERROR(__xludf.DUMMYFUNCTION("""COMPUTED_VALUE"""),"FE1346B")</f>
        <v>FE1346B</v>
      </c>
      <c r="H273" s="186">
        <f>IFERROR(__xludf.DUMMYFUNCTION("""COMPUTED_VALUE"""),565184.0)</f>
        <v>565184</v>
      </c>
      <c r="I273" s="186" t="str">
        <f>IFERROR(__xludf.DUMMYFUNCTION("""COMPUTED_VALUE"""),"HF Pulled beef &amp; knoflook room")</f>
        <v>HF Pulled beef &amp; knoflook room</v>
      </c>
      <c r="J273" s="186">
        <f>IFERROR(__xludf.DUMMYFUNCTION("""COMPUTED_VALUE"""),617.0)</f>
        <v>617</v>
      </c>
      <c r="K273" s="186">
        <f>IFERROR(__xludf.DUMMYFUNCTION("""COMPUTED_VALUE"""),534.0)</f>
        <v>534</v>
      </c>
      <c r="L273" s="186">
        <f>IFERROR(__xludf.DUMMYFUNCTION("""COMPUTED_VALUE"""),814.0)</f>
        <v>814</v>
      </c>
      <c r="M273" s="186">
        <f>IFERROR(__xludf.DUMMYFUNCTION("""COMPUTED_VALUE"""),958.0)</f>
        <v>958</v>
      </c>
      <c r="N273" s="186">
        <f>IFERROR(__xludf.DUMMYFUNCTION("""COMPUTED_VALUE"""),866.0)</f>
        <v>866</v>
      </c>
      <c r="O273" s="186">
        <f>IFERROR(__xludf.DUMMYFUNCTION("""COMPUTED_VALUE"""),906.0)</f>
        <v>906</v>
      </c>
      <c r="P273" s="186">
        <f>IFERROR(__xludf.DUMMYFUNCTION("""COMPUTED_VALUE"""),860.0)</f>
        <v>860</v>
      </c>
      <c r="Q273" s="186">
        <f>IFERROR(__xludf.DUMMYFUNCTION("""COMPUTED_VALUE"""),786.0)</f>
        <v>786</v>
      </c>
      <c r="R273" s="186"/>
      <c r="S273" s="189">
        <f>IFERROR(__xludf.DUMMYFUNCTION("""COMPUTED_VALUE"""),523.0)</f>
        <v>523</v>
      </c>
    </row>
    <row r="274">
      <c r="A274" s="186" t="str">
        <f>IFERROR(__xludf.DUMMYFUNCTION("""COMPUTED_VALUE"""),"DE")</f>
        <v>DE</v>
      </c>
      <c r="B274" s="186" t="str">
        <f>IFERROR(__xludf.DUMMYFUNCTION("""COMPUTED_VALUE"""),"W52")</f>
        <v>W52</v>
      </c>
      <c r="C274" s="186">
        <f>IFERROR(__xludf.DUMMYFUNCTION("""COMPUTED_VALUE"""),312.0)</f>
        <v>312</v>
      </c>
      <c r="D274" s="186" t="str">
        <f>IFERROR(__xludf.DUMMYFUNCTION("""COMPUTED_VALUE"""),"CON-00-152038-2")</f>
        <v>CON-00-152038-2</v>
      </c>
      <c r="E274" s="186" t="str">
        <f>IFERROR(__xludf.DUMMYFUNCTION("""COMPUTED_VALUE"""),"Thai Style Green Curry Salmon")</f>
        <v>Thai Style Green Curry Salmon</v>
      </c>
      <c r="F274" s="186" t="str">
        <f>IFERROR(__xludf.DUMMYFUNCTION("""COMPUTED_VALUE"""),"Lachs in grünem Thai Style Curry")</f>
        <v>Lachs in grünem Thai Style Curry</v>
      </c>
      <c r="G274" s="186" t="str">
        <f>IFERROR(__xludf.DUMMYFUNCTION("""COMPUTED_VALUE"""),"FE4066A")</f>
        <v>FE4066A</v>
      </c>
      <c r="H274" s="186">
        <f>IFERROR(__xludf.DUMMYFUNCTION("""COMPUTED_VALUE"""),565218.0)</f>
        <v>565218</v>
      </c>
      <c r="I274" s="186" t="str">
        <f>IFERROR(__xludf.DUMMYFUNCTION("""COMPUTED_VALUE"""),"HF Thaise curry Zalm")</f>
        <v>HF Thaise curry Zalm</v>
      </c>
      <c r="J274" s="189">
        <f>IFERROR(__xludf.DUMMYFUNCTION("""COMPUTED_VALUE"""),1374.0)</f>
        <v>1374</v>
      </c>
      <c r="K274" s="189">
        <f>IFERROR(__xludf.DUMMYFUNCTION("""COMPUTED_VALUE"""),1288.0)</f>
        <v>1288</v>
      </c>
      <c r="L274" s="189">
        <f>IFERROR(__xludf.DUMMYFUNCTION("""COMPUTED_VALUE"""),1452.0)</f>
        <v>1452</v>
      </c>
      <c r="M274" s="189">
        <f>IFERROR(__xludf.DUMMYFUNCTION("""COMPUTED_VALUE"""),1215.0)</f>
        <v>1215</v>
      </c>
      <c r="N274" s="189">
        <f>IFERROR(__xludf.DUMMYFUNCTION("""COMPUTED_VALUE"""),1190.0)</f>
        <v>1190</v>
      </c>
      <c r="O274" s="189">
        <f>IFERROR(__xludf.DUMMYFUNCTION("""COMPUTED_VALUE"""),1264.0)</f>
        <v>1264</v>
      </c>
      <c r="P274" s="189">
        <f>IFERROR(__xludf.DUMMYFUNCTION("""COMPUTED_VALUE"""),1193.0)</f>
        <v>1193</v>
      </c>
      <c r="Q274" s="189">
        <f>IFERROR(__xludf.DUMMYFUNCTION("""COMPUTED_VALUE"""),1161.0)</f>
        <v>1161</v>
      </c>
      <c r="R274" s="186"/>
      <c r="S274" s="186">
        <f>IFERROR(__xludf.DUMMYFUNCTION("""COMPUTED_VALUE"""),838.0)</f>
        <v>838</v>
      </c>
    </row>
    <row r="275">
      <c r="A275" s="186" t="str">
        <f>IFERROR(__xludf.DUMMYFUNCTION("""COMPUTED_VALUE"""),"DE")</f>
        <v>DE</v>
      </c>
      <c r="B275" s="186" t="str">
        <f>IFERROR(__xludf.DUMMYFUNCTION("""COMPUTED_VALUE"""),"W52")</f>
        <v>W52</v>
      </c>
      <c r="C275" s="186">
        <f>IFERROR(__xludf.DUMMYFUNCTION("""COMPUTED_VALUE"""),313.0)</f>
        <v>313</v>
      </c>
      <c r="D275" s="186" t="str">
        <f>IFERROR(__xludf.DUMMYFUNCTION("""COMPUTED_VALUE"""),"CON-00-152044-2")</f>
        <v>CON-00-152044-2</v>
      </c>
      <c r="E275" s="186" t="str">
        <f>IFERROR(__xludf.DUMMYFUNCTION("""COMPUTED_VALUE"""),"Massaman Curry Chicken Breast")</f>
        <v>Massaman Curry Chicken Breast</v>
      </c>
      <c r="F275" s="186" t="str">
        <f>IFERROR(__xludf.DUMMYFUNCTION("""COMPUTED_VALUE"""),"Massaman-Curry-Hähnchenbrust")</f>
        <v>Massaman-Curry-Hähnchenbrust</v>
      </c>
      <c r="G275" s="186" t="str">
        <f>IFERROR(__xludf.DUMMYFUNCTION("""COMPUTED_VALUE"""),"FE1399A")</f>
        <v>FE1399A</v>
      </c>
      <c r="H275" s="186">
        <f>IFERROR(__xludf.DUMMYFUNCTION("""COMPUTED_VALUE"""),565216.0)</f>
        <v>565216</v>
      </c>
      <c r="I275" s="186" t="str">
        <f>IFERROR(__xludf.DUMMYFUNCTION("""COMPUTED_VALUE"""),"HF Massaman curry kipfilet")</f>
        <v>HF Massaman curry kipfilet</v>
      </c>
      <c r="J275" s="189">
        <f>IFERROR(__xludf.DUMMYFUNCTION("""COMPUTED_VALUE"""),1321.0)</f>
        <v>1321</v>
      </c>
      <c r="K275" s="189">
        <f>IFERROR(__xludf.DUMMYFUNCTION("""COMPUTED_VALUE"""),1145.0)</f>
        <v>1145</v>
      </c>
      <c r="L275" s="189">
        <f>IFERROR(__xludf.DUMMYFUNCTION("""COMPUTED_VALUE"""),1536.0)</f>
        <v>1536</v>
      </c>
      <c r="M275" s="189">
        <f>IFERROR(__xludf.DUMMYFUNCTION("""COMPUTED_VALUE"""),1400.0)</f>
        <v>1400</v>
      </c>
      <c r="N275" s="189">
        <f>IFERROR(__xludf.DUMMYFUNCTION("""COMPUTED_VALUE"""),1286.0)</f>
        <v>1286</v>
      </c>
      <c r="O275" s="189">
        <f>IFERROR(__xludf.DUMMYFUNCTION("""COMPUTED_VALUE"""),1281.0)</f>
        <v>1281</v>
      </c>
      <c r="P275" s="189">
        <f>IFERROR(__xludf.DUMMYFUNCTION("""COMPUTED_VALUE"""),1201.0)</f>
        <v>1201</v>
      </c>
      <c r="Q275" s="189">
        <f>IFERROR(__xludf.DUMMYFUNCTION("""COMPUTED_VALUE"""),1157.0)</f>
        <v>1157</v>
      </c>
      <c r="R275" s="186"/>
      <c r="S275" s="189">
        <f>IFERROR(__xludf.DUMMYFUNCTION("""COMPUTED_VALUE"""),1493.0)</f>
        <v>1493</v>
      </c>
    </row>
    <row r="276">
      <c r="A276" s="186" t="str">
        <f>IFERROR(__xludf.DUMMYFUNCTION("""COMPUTED_VALUE"""),"DE")</f>
        <v>DE</v>
      </c>
      <c r="B276" s="186" t="str">
        <f>IFERROR(__xludf.DUMMYFUNCTION("""COMPUTED_VALUE"""),"W52")</f>
        <v>W52</v>
      </c>
      <c r="C276" s="186">
        <f>IFERROR(__xludf.DUMMYFUNCTION("""COMPUTED_VALUE"""),314.0)</f>
        <v>314</v>
      </c>
      <c r="D276" s="186" t="str">
        <f>IFERROR(__xludf.DUMMYFUNCTION("""COMPUTED_VALUE"""),"CON-00-152205-2")</f>
        <v>CON-00-152205-2</v>
      </c>
      <c r="E276" s="186" t="str">
        <f>IFERROR(__xludf.DUMMYFUNCTION("""COMPUTED_VALUE"""),"Green Chile Chicken &amp; Salsa Quinoa")</f>
        <v>Green Chile Chicken &amp; Salsa Quinoa</v>
      </c>
      <c r="F276" s="186" t="str">
        <f>IFERROR(__xludf.DUMMYFUNCTION("""COMPUTED_VALUE"""),"Grünes Chili-Hähnchen mit Quinoa-Salsa")</f>
        <v>Grünes Chili-Hähnchen mit Quinoa-Salsa</v>
      </c>
      <c r="G276" s="186" t="str">
        <f>IFERROR(__xludf.DUMMYFUNCTION("""COMPUTED_VALUE"""),"FE1636A")</f>
        <v>FE1636A</v>
      </c>
      <c r="H276" s="186">
        <f>IFERROR(__xludf.DUMMYFUNCTION("""COMPUTED_VALUE"""),565209.0)</f>
        <v>565209</v>
      </c>
      <c r="I276" s="186" t="str">
        <f>IFERROR(__xludf.DUMMYFUNCTION("""COMPUTED_VALUE"""),"HF Quinoa witte bonen salsa")</f>
        <v>HF Quinoa witte bonen salsa</v>
      </c>
      <c r="J276" s="186">
        <f>IFERROR(__xludf.DUMMYFUNCTION("""COMPUTED_VALUE"""),769.0)</f>
        <v>769</v>
      </c>
      <c r="K276" s="186">
        <f>IFERROR(__xludf.DUMMYFUNCTION("""COMPUTED_VALUE"""),843.0)</f>
        <v>843</v>
      </c>
      <c r="L276" s="189">
        <f>IFERROR(__xludf.DUMMYFUNCTION("""COMPUTED_VALUE"""),742.0)</f>
        <v>742</v>
      </c>
      <c r="M276" s="189">
        <f>IFERROR(__xludf.DUMMYFUNCTION("""COMPUTED_VALUE"""),748.0)</f>
        <v>748</v>
      </c>
      <c r="N276" s="189">
        <f>IFERROR(__xludf.DUMMYFUNCTION("""COMPUTED_VALUE"""),694.0)</f>
        <v>694</v>
      </c>
      <c r="O276" s="189">
        <f>IFERROR(__xludf.DUMMYFUNCTION("""COMPUTED_VALUE"""),761.0)</f>
        <v>761</v>
      </c>
      <c r="P276" s="189">
        <f>IFERROR(__xludf.DUMMYFUNCTION("""COMPUTED_VALUE"""),713.0)</f>
        <v>713</v>
      </c>
      <c r="Q276" s="189">
        <f>IFERROR(__xludf.DUMMYFUNCTION("""COMPUTED_VALUE"""),639.0)</f>
        <v>639</v>
      </c>
      <c r="R276" s="186"/>
      <c r="S276" s="189">
        <f>IFERROR(__xludf.DUMMYFUNCTION("""COMPUTED_VALUE"""),1518.0)</f>
        <v>1518</v>
      </c>
    </row>
    <row r="277">
      <c r="A277" s="186" t="str">
        <f>IFERROR(__xludf.DUMMYFUNCTION("""COMPUTED_VALUE"""),"DE")</f>
        <v>DE</v>
      </c>
      <c r="B277" s="186" t="str">
        <f>IFERROR(__xludf.DUMMYFUNCTION("""COMPUTED_VALUE"""),"W52")</f>
        <v>W52</v>
      </c>
      <c r="C277" s="186">
        <f>IFERROR(__xludf.DUMMYFUNCTION("""COMPUTED_VALUE"""),315.0)</f>
        <v>315</v>
      </c>
      <c r="D277" s="186" t="str">
        <f>IFERROR(__xludf.DUMMYFUNCTION("""COMPUTED_VALUE"""),"CON-00-151114-2")</f>
        <v>CON-00-151114-2</v>
      </c>
      <c r="E277" s="186" t="str">
        <f>IFERROR(__xludf.DUMMYFUNCTION("""COMPUTED_VALUE"""),"Cheddar &amp; Bell Pepper Pulled Beef Bowl")</f>
        <v>Cheddar &amp; Bell Pepper Pulled Beef Bowl</v>
      </c>
      <c r="F277" s="186" t="str">
        <f>IFERROR(__xludf.DUMMYFUNCTION("""COMPUTED_VALUE"""),"Pulled-Beef-Bowl mit Cheddar und Paprika")</f>
        <v>Pulled-Beef-Bowl mit Cheddar und Paprika</v>
      </c>
      <c r="G277" s="186" t="str">
        <f>IFERROR(__xludf.DUMMYFUNCTION("""COMPUTED_VALUE"""),"FE1348B")</f>
        <v>FE1348B</v>
      </c>
      <c r="H277" s="186">
        <f>IFERROR(__xludf.DUMMYFUNCTION("""COMPUTED_VALUE"""),565186.0)</f>
        <v>565186</v>
      </c>
      <c r="I277" s="186" t="str">
        <f>IFERROR(__xludf.DUMMYFUNCTION("""COMPUTED_VALUE"""),"HF Pulled beef salsa bowl")</f>
        <v>HF Pulled beef salsa bowl</v>
      </c>
      <c r="J277" s="186">
        <f>IFERROR(__xludf.DUMMYFUNCTION("""COMPUTED_VALUE"""),759.0)</f>
        <v>759</v>
      </c>
      <c r="K277" s="186">
        <f>IFERROR(__xludf.DUMMYFUNCTION("""COMPUTED_VALUE"""),823.0)</f>
        <v>823</v>
      </c>
      <c r="L277" s="186">
        <f>IFERROR(__xludf.DUMMYFUNCTION("""COMPUTED_VALUE"""),641.0)</f>
        <v>641</v>
      </c>
      <c r="M277" s="186">
        <f>IFERROR(__xludf.DUMMYFUNCTION("""COMPUTED_VALUE"""),763.0)</f>
        <v>763</v>
      </c>
      <c r="N277" s="186">
        <f>IFERROR(__xludf.DUMMYFUNCTION("""COMPUTED_VALUE"""),684.0)</f>
        <v>684</v>
      </c>
      <c r="O277" s="186">
        <f>IFERROR(__xludf.DUMMYFUNCTION("""COMPUTED_VALUE"""),735.0)</f>
        <v>735</v>
      </c>
      <c r="P277" s="186">
        <f>IFERROR(__xludf.DUMMYFUNCTION("""COMPUTED_VALUE"""),666.0)</f>
        <v>666</v>
      </c>
      <c r="Q277" s="186">
        <f>IFERROR(__xludf.DUMMYFUNCTION("""COMPUTED_VALUE"""),611.0)</f>
        <v>611</v>
      </c>
      <c r="R277" s="186"/>
      <c r="S277" s="189">
        <f>IFERROR(__xludf.DUMMYFUNCTION("""COMPUTED_VALUE"""),1137.0)</f>
        <v>1137</v>
      </c>
    </row>
    <row r="278">
      <c r="A278" s="186" t="str">
        <f>IFERROR(__xludf.DUMMYFUNCTION("""COMPUTED_VALUE"""),"DE")</f>
        <v>DE</v>
      </c>
      <c r="B278" s="186" t="str">
        <f>IFERROR(__xludf.DUMMYFUNCTION("""COMPUTED_VALUE"""),"W52")</f>
        <v>W52</v>
      </c>
      <c r="C278" s="186">
        <f>IFERROR(__xludf.DUMMYFUNCTION("""COMPUTED_VALUE"""),316.0)</f>
        <v>316</v>
      </c>
      <c r="D278" s="186" t="str">
        <f>IFERROR(__xludf.DUMMYFUNCTION("""COMPUTED_VALUE"""),"CON-00-136619-3")</f>
        <v>CON-00-136619-3</v>
      </c>
      <c r="E278" s="186" t="str">
        <f>IFERROR(__xludf.DUMMYFUNCTION("""COMPUTED_VALUE"""),"Chicken in creamy spinach")</f>
        <v>Chicken in creamy spinach</v>
      </c>
      <c r="F278" s="186" t="str">
        <f>IFERROR(__xludf.DUMMYFUNCTION("""COMPUTED_VALUE"""),"Hähnchen in Spinat-Creme")</f>
        <v>Hähnchen in Spinat-Creme</v>
      </c>
      <c r="G278" s="186" t="str">
        <f>IFERROR(__xludf.DUMMYFUNCTION("""COMPUTED_VALUE"""),"FE0207I")</f>
        <v>FE0207I</v>
      </c>
      <c r="H278" s="186">
        <f>IFERROR(__xludf.DUMMYFUNCTION("""COMPUTED_VALUE"""),565148.0)</f>
        <v>565148</v>
      </c>
      <c r="I278" s="186" t="str">
        <f>IFERROR(__xludf.DUMMYFUNCTION("""COMPUTED_VALUE"""),"HF RW Kipfilet in rom spinazie")</f>
        <v>HF RW Kipfilet in rom spinazie</v>
      </c>
      <c r="J278" s="186">
        <f>IFERROR(__xludf.DUMMYFUNCTION("""COMPUTED_VALUE"""),671.0)</f>
        <v>671</v>
      </c>
      <c r="K278" s="186">
        <f>IFERROR(__xludf.DUMMYFUNCTION("""COMPUTED_VALUE"""),646.0)</f>
        <v>646</v>
      </c>
      <c r="L278" s="186">
        <f>IFERROR(__xludf.DUMMYFUNCTION("""COMPUTED_VALUE"""),506.0)</f>
        <v>506</v>
      </c>
      <c r="M278" s="186">
        <f>IFERROR(__xludf.DUMMYFUNCTION("""COMPUTED_VALUE"""),467.0)</f>
        <v>467</v>
      </c>
      <c r="N278" s="186">
        <f>IFERROR(__xludf.DUMMYFUNCTION("""COMPUTED_VALUE"""),408.0)</f>
        <v>408</v>
      </c>
      <c r="O278" s="186">
        <f>IFERROR(__xludf.DUMMYFUNCTION("""COMPUTED_VALUE"""),438.0)</f>
        <v>438</v>
      </c>
      <c r="P278" s="186">
        <f>IFERROR(__xludf.DUMMYFUNCTION("""COMPUTED_VALUE"""),408.0)</f>
        <v>408</v>
      </c>
      <c r="Q278" s="186">
        <f>IFERROR(__xludf.DUMMYFUNCTION("""COMPUTED_VALUE"""),386.0)</f>
        <v>386</v>
      </c>
      <c r="R278" s="186"/>
      <c r="S278" s="189">
        <f>IFERROR(__xludf.DUMMYFUNCTION("""COMPUTED_VALUE"""),284.0)</f>
        <v>284</v>
      </c>
    </row>
    <row r="279">
      <c r="A279" s="186" t="str">
        <f>IFERROR(__xludf.DUMMYFUNCTION("""COMPUTED_VALUE"""),"DE")</f>
        <v>DE</v>
      </c>
      <c r="B279" s="186" t="str">
        <f>IFERROR(__xludf.DUMMYFUNCTION("""COMPUTED_VALUE"""),"W52")</f>
        <v>W52</v>
      </c>
      <c r="C279" s="186">
        <f>IFERROR(__xludf.DUMMYFUNCTION("""COMPUTED_VALUE"""),317.0)</f>
        <v>317</v>
      </c>
      <c r="D279" s="186" t="str">
        <f>IFERROR(__xludf.DUMMYFUNCTION("""COMPUTED_VALUE"""),"CON-00-136639-3")</f>
        <v>CON-00-136639-3</v>
      </c>
      <c r="E279" s="186" t="str">
        <f>IFERROR(__xludf.DUMMYFUNCTION("""COMPUTED_VALUE"""),"Pork tenderloin in red pepper sauce")</f>
        <v>Pork tenderloin in red pepper sauce</v>
      </c>
      <c r="F279" s="186" t="str">
        <f>IFERROR(__xludf.DUMMYFUNCTION("""COMPUTED_VALUE"""),"Schweinefilet in Paprikasauce")</f>
        <v>Schweinefilet in Paprikasauce</v>
      </c>
      <c r="G279" s="186" t="str">
        <f>IFERROR(__xludf.DUMMYFUNCTION("""COMPUTED_VALUE"""),"FE0430E")</f>
        <v>FE0430E</v>
      </c>
      <c r="H279" s="186">
        <f>IFERROR(__xludf.DUMMYFUNCTION("""COMPUTED_VALUE"""),565140.0)</f>
        <v>565140</v>
      </c>
      <c r="I279" s="186"/>
      <c r="J279" s="186">
        <f>IFERROR(__xludf.DUMMYFUNCTION("""COMPUTED_VALUE"""),496.0)</f>
        <v>496</v>
      </c>
      <c r="K279" s="186">
        <f>IFERROR(__xludf.DUMMYFUNCTION("""COMPUTED_VALUE"""),406.0)</f>
        <v>406</v>
      </c>
      <c r="L279" s="189">
        <f>IFERROR(__xludf.DUMMYFUNCTION("""COMPUTED_VALUE"""),405.0)</f>
        <v>405</v>
      </c>
      <c r="M279" s="189">
        <f>IFERROR(__xludf.DUMMYFUNCTION("""COMPUTED_VALUE"""),332.0)</f>
        <v>332</v>
      </c>
      <c r="N279" s="189">
        <f>IFERROR(__xludf.DUMMYFUNCTION("""COMPUTED_VALUE"""),308.0)</f>
        <v>308</v>
      </c>
      <c r="O279" s="189">
        <f>IFERROR(__xludf.DUMMYFUNCTION("""COMPUTED_VALUE"""),373.0)</f>
        <v>373</v>
      </c>
      <c r="P279" s="189">
        <f>IFERROR(__xludf.DUMMYFUNCTION("""COMPUTED_VALUE"""),387.0)</f>
        <v>387</v>
      </c>
      <c r="Q279" s="189">
        <f>IFERROR(__xludf.DUMMYFUNCTION("""COMPUTED_VALUE"""),364.0)</f>
        <v>364</v>
      </c>
      <c r="R279" s="186"/>
      <c r="S279" s="189">
        <f>IFERROR(__xludf.DUMMYFUNCTION("""COMPUTED_VALUE"""),680.0)</f>
        <v>680</v>
      </c>
    </row>
    <row r="280">
      <c r="A280" s="186" t="str">
        <f>IFERROR(__xludf.DUMMYFUNCTION("""COMPUTED_VALUE"""),"DE")</f>
        <v>DE</v>
      </c>
      <c r="B280" s="186" t="str">
        <f>IFERROR(__xludf.DUMMYFUNCTION("""COMPUTED_VALUE"""),"W52")</f>
        <v>W52</v>
      </c>
      <c r="C280" s="186">
        <f>IFERROR(__xludf.DUMMYFUNCTION("""COMPUTED_VALUE"""),318.0)</f>
        <v>318</v>
      </c>
      <c r="D280" s="186" t="str">
        <f>IFERROR(__xludf.DUMMYFUNCTION("""COMPUTED_VALUE"""),"CON-00-136717-3")</f>
        <v>CON-00-136717-3</v>
      </c>
      <c r="E280" s="186" t="str">
        <f>IFERROR(__xludf.DUMMYFUNCTION("""COMPUTED_VALUE"""),"Pork tenderloin and Mediterranean mash")</f>
        <v>Pork tenderloin and Mediterranean mash</v>
      </c>
      <c r="F280" s="186" t="str">
        <f>IFERROR(__xludf.DUMMYFUNCTION("""COMPUTED_VALUE"""),"Schweinefilet auf mediterranem Püree")</f>
        <v>Schweinefilet auf mediterranem Püree</v>
      </c>
      <c r="G280" s="186" t="str">
        <f>IFERROR(__xludf.DUMMYFUNCTION("""COMPUTED_VALUE"""),"FE4042A")</f>
        <v>FE4042A</v>
      </c>
      <c r="H280" s="186">
        <f>IFERROR(__xludf.DUMMYFUNCTION("""COMPUTED_VALUE"""),565109.0)</f>
        <v>565109</v>
      </c>
      <c r="I280" s="186"/>
      <c r="J280" s="186">
        <f>IFERROR(__xludf.DUMMYFUNCTION("""COMPUTED_VALUE"""),477.0)</f>
        <v>477</v>
      </c>
      <c r="K280" s="186">
        <f>IFERROR(__xludf.DUMMYFUNCTION("""COMPUTED_VALUE"""),439.0)</f>
        <v>439</v>
      </c>
      <c r="L280" s="186">
        <f>IFERROR(__xludf.DUMMYFUNCTION("""COMPUTED_VALUE"""),678.0)</f>
        <v>678</v>
      </c>
      <c r="M280" s="186">
        <f>IFERROR(__xludf.DUMMYFUNCTION("""COMPUTED_VALUE"""),505.0)</f>
        <v>505</v>
      </c>
      <c r="N280" s="186">
        <f>IFERROR(__xludf.DUMMYFUNCTION("""COMPUTED_VALUE"""),434.0)</f>
        <v>434</v>
      </c>
      <c r="O280" s="186">
        <f>IFERROR(__xludf.DUMMYFUNCTION("""COMPUTED_VALUE"""),442.0)</f>
        <v>442</v>
      </c>
      <c r="P280" s="186">
        <f>IFERROR(__xludf.DUMMYFUNCTION("""COMPUTED_VALUE"""),412.0)</f>
        <v>412</v>
      </c>
      <c r="Q280" s="186">
        <f>IFERROR(__xludf.DUMMYFUNCTION("""COMPUTED_VALUE"""),361.0)</f>
        <v>361</v>
      </c>
      <c r="R280" s="186"/>
      <c r="S280" s="189">
        <f>IFERROR(__xludf.DUMMYFUNCTION("""COMPUTED_VALUE"""),586.0)</f>
        <v>586</v>
      </c>
    </row>
    <row r="281">
      <c r="A281" s="186" t="str">
        <f>IFERROR(__xludf.DUMMYFUNCTION("""COMPUTED_VALUE"""),"DE")</f>
        <v>DE</v>
      </c>
      <c r="B281" s="186" t="str">
        <f>IFERROR(__xludf.DUMMYFUNCTION("""COMPUTED_VALUE"""),"W52")</f>
        <v>W52</v>
      </c>
      <c r="C281" s="186">
        <f>IFERROR(__xludf.DUMMYFUNCTION("""COMPUTED_VALUE"""),806.0)</f>
        <v>806</v>
      </c>
      <c r="D281" s="186" t="str">
        <f>IFERROR(__xludf.DUMMYFUNCTION("""COMPUTED_VALUE"""),"PTN-00-136930-3")</f>
        <v>PTN-00-136930-3</v>
      </c>
      <c r="E281" s="186" t="str">
        <f>IFERROR(__xludf.DUMMYFUNCTION("""COMPUTED_VALUE"""),"Garlic Herb Grilled Chicken")</f>
        <v>Garlic Herb Grilled Chicken</v>
      </c>
      <c r="F281" s="186" t="str">
        <f>IFERROR(__xludf.DUMMYFUNCTION("""COMPUTED_VALUE"""),"Gegrilltes Hähnchen mit Knoblauch-Kräutern")</f>
        <v>Gegrilltes Hähnchen mit Knoblauch-Kräutern</v>
      </c>
      <c r="G281" s="186" t="str">
        <f>IFERROR(__xludf.DUMMYFUNCTION("""COMPUTED_VALUE"""),"FEA006A")</f>
        <v>FEA006A</v>
      </c>
      <c r="H281" s="186">
        <f>IFERROR(__xludf.DUMMYFUNCTION("""COMPUTED_VALUE"""),565119.0)</f>
        <v>565119</v>
      </c>
      <c r="I281" s="186"/>
      <c r="J281" s="186">
        <f>IFERROR(__xludf.DUMMYFUNCTION("""COMPUTED_VALUE"""),79.0)</f>
        <v>79</v>
      </c>
      <c r="K281" s="186">
        <f>IFERROR(__xludf.DUMMYFUNCTION("""COMPUTED_VALUE"""),79.0)</f>
        <v>79</v>
      </c>
      <c r="L281" s="186">
        <f>IFERROR(__xludf.DUMMYFUNCTION("""COMPUTED_VALUE"""),79.0)</f>
        <v>79</v>
      </c>
      <c r="M281" s="186">
        <f>IFERROR(__xludf.DUMMYFUNCTION("""COMPUTED_VALUE"""),79.0)</f>
        <v>79</v>
      </c>
      <c r="N281" s="186">
        <f>IFERROR(__xludf.DUMMYFUNCTION("""COMPUTED_VALUE"""),79.0)</f>
        <v>79</v>
      </c>
      <c r="O281" s="186">
        <f>IFERROR(__xludf.DUMMYFUNCTION("""COMPUTED_VALUE"""),79.0)</f>
        <v>79</v>
      </c>
      <c r="P281" s="186">
        <f>IFERROR(__xludf.DUMMYFUNCTION("""COMPUTED_VALUE"""),79.0)</f>
        <v>79</v>
      </c>
      <c r="Q281" s="186">
        <f>IFERROR(__xludf.DUMMYFUNCTION("""COMPUTED_VALUE"""),79.0)</f>
        <v>79</v>
      </c>
      <c r="R281" s="186"/>
      <c r="S281" s="189">
        <f>IFERROR(__xludf.DUMMYFUNCTION("""COMPUTED_VALUE"""),34.0)</f>
        <v>34</v>
      </c>
    </row>
    <row r="282">
      <c r="A282" s="186" t="str">
        <f>IFERROR(__xludf.DUMMYFUNCTION("""COMPUTED_VALUE"""),"DE")</f>
        <v>DE</v>
      </c>
      <c r="B282" s="186" t="str">
        <f>IFERROR(__xludf.DUMMYFUNCTION("""COMPUTED_VALUE"""),"W52")</f>
        <v>W52</v>
      </c>
      <c r="C282" s="186"/>
      <c r="D282" s="186"/>
      <c r="E282" s="186"/>
      <c r="F282" s="186"/>
      <c r="G282" s="186"/>
      <c r="H282" s="186"/>
      <c r="I282" s="186"/>
      <c r="J282" s="189">
        <f>IFERROR(__xludf.DUMMYFUNCTION("""COMPUTED_VALUE"""),23161.0)</f>
        <v>23161</v>
      </c>
      <c r="K282" s="189">
        <f>IFERROR(__xludf.DUMMYFUNCTION("""COMPUTED_VALUE"""),21874.0)</f>
        <v>21874</v>
      </c>
      <c r="L282" s="189">
        <f>IFERROR(__xludf.DUMMYFUNCTION("""COMPUTED_VALUE"""),21552.0)</f>
        <v>21552</v>
      </c>
      <c r="M282" s="189">
        <f>IFERROR(__xludf.DUMMYFUNCTION("""COMPUTED_VALUE"""),20896.0)</f>
        <v>20896</v>
      </c>
      <c r="N282" s="189">
        <f>IFERROR(__xludf.DUMMYFUNCTION("""COMPUTED_VALUE"""),19047.0)</f>
        <v>19047</v>
      </c>
      <c r="O282" s="189">
        <f>IFERROR(__xludf.DUMMYFUNCTION("""COMPUTED_VALUE"""),19017.0)</f>
        <v>19017</v>
      </c>
      <c r="P282" s="189">
        <f>IFERROR(__xludf.DUMMYFUNCTION("""COMPUTED_VALUE"""),17943.0)</f>
        <v>17943</v>
      </c>
      <c r="Q282" s="189">
        <f>IFERROR(__xludf.DUMMYFUNCTION("""COMPUTED_VALUE"""),18067.0)</f>
        <v>18067</v>
      </c>
      <c r="R282" s="189">
        <f>IFERROR(__xludf.DUMMYFUNCTION("""COMPUTED_VALUE"""),0.0)</f>
        <v>0</v>
      </c>
      <c r="S282" s="189">
        <f>IFERROR(__xludf.DUMMYFUNCTION("""COMPUTED_VALUE"""),19112.0)</f>
        <v>19112</v>
      </c>
    </row>
    <row r="283">
      <c r="A283" s="186" t="str">
        <f>IFERROR(__xludf.DUMMYFUNCTION("""COMPUTED_VALUE"""),"NORDICS")</f>
        <v>NORDICS</v>
      </c>
      <c r="B283" s="186" t="str">
        <f>IFERROR(__xludf.DUMMYFUNCTION("""COMPUTED_VALUE"""),"W01")</f>
        <v>W01</v>
      </c>
      <c r="C283" s="186">
        <f>IFERROR(__xludf.DUMMYFUNCTION("""COMPUTED_VALUE"""),301.0)</f>
        <v>301</v>
      </c>
      <c r="D283" s="186" t="str">
        <f>IFERROR(__xludf.DUMMYFUNCTION("""COMPUTED_VALUE"""),"CON-00-149481-2")</f>
        <v>CON-00-149481-2</v>
      </c>
      <c r="E283" s="186" t="str">
        <f>IFERROR(__xludf.DUMMYFUNCTION("""COMPUTED_VALUE"""),"Sour Cream &amp; Chive Chicken")</f>
        <v>Sour Cream &amp; Chive Chicken</v>
      </c>
      <c r="F283" s="186" t="str">
        <f>IFERROR(__xludf.DUMMYFUNCTION("""COMPUTED_VALUE"""),"Kylling med syrnet fløde og purløg")</f>
        <v>Kylling med syrnet fløde og purløg</v>
      </c>
      <c r="G283" s="186" t="str">
        <f>IFERROR(__xludf.DUMMYFUNCTION("""COMPUTED_VALUE"""),"FE0322O")</f>
        <v>FE0322O</v>
      </c>
      <c r="H283" s="186">
        <f>IFERROR(__xludf.DUMMYFUNCTION("""COMPUTED_VALUE"""),565163.0)</f>
        <v>565163</v>
      </c>
      <c r="I283" s="186" t="str">
        <f>IFERROR(__xludf.DUMMYFUNCTION("""COMPUTED_VALUE"""),"HF Kip bieslook aardappel pure")</f>
        <v>HF Kip bieslook aardappel pure</v>
      </c>
      <c r="J283" s="189">
        <f>IFERROR(__xludf.DUMMYFUNCTION("""COMPUTED_VALUE"""),2057.0)</f>
        <v>2057</v>
      </c>
      <c r="K283" s="189">
        <f>IFERROR(__xludf.DUMMYFUNCTION("""COMPUTED_VALUE"""),2120.0)</f>
        <v>2120</v>
      </c>
      <c r="L283" s="189">
        <f>IFERROR(__xludf.DUMMYFUNCTION("""COMPUTED_VALUE"""),2020.0)</f>
        <v>2020</v>
      </c>
      <c r="M283" s="189">
        <f>IFERROR(__xludf.DUMMYFUNCTION("""COMPUTED_VALUE"""),1897.0)</f>
        <v>1897</v>
      </c>
      <c r="N283" s="189">
        <f>IFERROR(__xludf.DUMMYFUNCTION("""COMPUTED_VALUE"""),1847.0)</f>
        <v>1847</v>
      </c>
      <c r="O283" s="189">
        <f>IFERROR(__xludf.DUMMYFUNCTION("""COMPUTED_VALUE"""),1876.0)</f>
        <v>1876</v>
      </c>
      <c r="P283" s="186"/>
      <c r="Q283" s="186"/>
      <c r="R283" s="186"/>
      <c r="S283" s="189">
        <f>IFERROR(__xludf.DUMMYFUNCTION("""COMPUTED_VALUE"""),1824.0)</f>
        <v>1824</v>
      </c>
    </row>
    <row r="284">
      <c r="A284" s="186" t="str">
        <f>IFERROR(__xludf.DUMMYFUNCTION("""COMPUTED_VALUE"""),"NORDICS")</f>
        <v>NORDICS</v>
      </c>
      <c r="B284" s="186" t="str">
        <f>IFERROR(__xludf.DUMMYFUNCTION("""COMPUTED_VALUE"""),"W01")</f>
        <v>W01</v>
      </c>
      <c r="C284" s="186">
        <f>IFERROR(__xludf.DUMMYFUNCTION("""COMPUTED_VALUE"""),302.0)</f>
        <v>302</v>
      </c>
      <c r="D284" s="186" t="str">
        <f>IFERROR(__xludf.DUMMYFUNCTION("""COMPUTED_VALUE"""),"CON-00-147878-2")</f>
        <v>CON-00-147878-2</v>
      </c>
      <c r="E284" s="186" t="str">
        <f>IFERROR(__xludf.DUMMYFUNCTION("""COMPUTED_VALUE"""),"Grilled chicken and ratatouille")</f>
        <v>Grilled chicken and ratatouille</v>
      </c>
      <c r="F284" s="186" t="str">
        <f>IFERROR(__xludf.DUMMYFUNCTION("""COMPUTED_VALUE"""),"Grillet kylling og ratatouille")</f>
        <v>Grillet kylling og ratatouille</v>
      </c>
      <c r="G284" s="186" t="str">
        <f>IFERROR(__xludf.DUMMYFUNCTION("""COMPUTED_VALUE"""),"FE4015A")</f>
        <v>FE4015A</v>
      </c>
      <c r="H284" s="186">
        <f>IFERROR(__xludf.DUMMYFUNCTION("""COMPUTED_VALUE"""),565072.0)</f>
        <v>565072</v>
      </c>
      <c r="I284" s="186" t="str">
        <f>IFERROR(__xludf.DUMMYFUNCTION("""COMPUTED_VALUE"""),"HF Gegrilde kipfilet en ratatouille 429g")</f>
        <v>HF Gegrilde kipfilet en ratatouille 429g</v>
      </c>
      <c r="J284" s="189">
        <f>IFERROR(__xludf.DUMMYFUNCTION("""COMPUTED_VALUE"""),1439.0)</f>
        <v>1439</v>
      </c>
      <c r="K284" s="189">
        <f>IFERROR(__xludf.DUMMYFUNCTION("""COMPUTED_VALUE"""),1415.0)</f>
        <v>1415</v>
      </c>
      <c r="L284" s="189">
        <f>IFERROR(__xludf.DUMMYFUNCTION("""COMPUTED_VALUE"""),1386.0)</f>
        <v>1386</v>
      </c>
      <c r="M284" s="189">
        <f>IFERROR(__xludf.DUMMYFUNCTION("""COMPUTED_VALUE"""),1317.0)</f>
        <v>1317</v>
      </c>
      <c r="N284" s="189">
        <f>IFERROR(__xludf.DUMMYFUNCTION("""COMPUTED_VALUE"""),1267.0)</f>
        <v>1267</v>
      </c>
      <c r="O284" s="189">
        <f>IFERROR(__xludf.DUMMYFUNCTION("""COMPUTED_VALUE"""),1261.0)</f>
        <v>1261</v>
      </c>
      <c r="P284" s="186"/>
      <c r="Q284" s="186"/>
      <c r="R284" s="186"/>
      <c r="S284" s="189">
        <f>IFERROR(__xludf.DUMMYFUNCTION("""COMPUTED_VALUE"""),1202.0)</f>
        <v>1202</v>
      </c>
    </row>
    <row r="285">
      <c r="A285" s="186" t="str">
        <f>IFERROR(__xludf.DUMMYFUNCTION("""COMPUTED_VALUE"""),"NORDICS")</f>
        <v>NORDICS</v>
      </c>
      <c r="B285" s="186" t="str">
        <f>IFERROR(__xludf.DUMMYFUNCTION("""COMPUTED_VALUE"""),"W01")</f>
        <v>W01</v>
      </c>
      <c r="C285" s="186">
        <f>IFERROR(__xludf.DUMMYFUNCTION("""COMPUTED_VALUE"""),303.0)</f>
        <v>303</v>
      </c>
      <c r="D285" s="186" t="str">
        <f>IFERROR(__xludf.DUMMYFUNCTION("""COMPUTED_VALUE"""),"CON-00-147860-2")</f>
        <v>CON-00-147860-2</v>
      </c>
      <c r="E285" s="186" t="str">
        <f>IFERROR(__xludf.DUMMYFUNCTION("""COMPUTED_VALUE"""),"Courgette-spaghetti bolognese")</f>
        <v>Courgette-spaghetti bolognese</v>
      </c>
      <c r="F285" s="186" t="str">
        <f>IFERROR(__xludf.DUMMYFUNCTION("""COMPUTED_VALUE"""),"Squash-spaghetti bolognese")</f>
        <v>Squash-spaghetti bolognese</v>
      </c>
      <c r="G285" s="186" t="str">
        <f>IFERROR(__xludf.DUMMYFUNCTION("""COMPUTED_VALUE"""),"FE0849A")</f>
        <v>FE0849A</v>
      </c>
      <c r="H285" s="186">
        <f>IFERROR(__xludf.DUMMYFUNCTION("""COMPUTED_VALUE"""),565060.0)</f>
        <v>565060</v>
      </c>
      <c r="I285" s="186" t="str">
        <f>IFERROR(__xludf.DUMMYFUNCTION("""COMPUTED_VALUE"""),"HF Courgette-spaghetti bolognese 352g")</f>
        <v>HF Courgette-spaghetti bolognese 352g</v>
      </c>
      <c r="J285" s="189">
        <f>IFERROR(__xludf.DUMMYFUNCTION("""COMPUTED_VALUE"""),1309.0)</f>
        <v>1309</v>
      </c>
      <c r="K285" s="189">
        <f>IFERROR(__xludf.DUMMYFUNCTION("""COMPUTED_VALUE"""),1319.0)</f>
        <v>1319</v>
      </c>
      <c r="L285" s="189">
        <f>IFERROR(__xludf.DUMMYFUNCTION("""COMPUTED_VALUE"""),1532.0)</f>
        <v>1532</v>
      </c>
      <c r="M285" s="189">
        <f>IFERROR(__xludf.DUMMYFUNCTION("""COMPUTED_VALUE"""),1338.0)</f>
        <v>1338</v>
      </c>
      <c r="N285" s="189">
        <f>IFERROR(__xludf.DUMMYFUNCTION("""COMPUTED_VALUE"""),1287.0)</f>
        <v>1287</v>
      </c>
      <c r="O285" s="189">
        <f>IFERROR(__xludf.DUMMYFUNCTION("""COMPUTED_VALUE"""),1303.0)</f>
        <v>1303</v>
      </c>
      <c r="P285" s="186"/>
      <c r="Q285" s="186"/>
      <c r="R285" s="186"/>
      <c r="S285" s="189">
        <f>IFERROR(__xludf.DUMMYFUNCTION("""COMPUTED_VALUE"""),1237.0)</f>
        <v>1237</v>
      </c>
    </row>
    <row r="286">
      <c r="A286" s="186" t="str">
        <f>IFERROR(__xludf.DUMMYFUNCTION("""COMPUTED_VALUE"""),"NORDICS")</f>
        <v>NORDICS</v>
      </c>
      <c r="B286" s="186" t="str">
        <f>IFERROR(__xludf.DUMMYFUNCTION("""COMPUTED_VALUE"""),"W01")</f>
        <v>W01</v>
      </c>
      <c r="C286" s="186">
        <f>IFERROR(__xludf.DUMMYFUNCTION("""COMPUTED_VALUE"""),304.0)</f>
        <v>304</v>
      </c>
      <c r="D286" s="186" t="str">
        <f>IFERROR(__xludf.DUMMYFUNCTION("""COMPUTED_VALUE"""),"CON-00-147896-2")</f>
        <v>CON-00-147896-2</v>
      </c>
      <c r="E286" s="186" t="str">
        <f>IFERROR(__xludf.DUMMYFUNCTION("""COMPUTED_VALUE"""),"Chicken in creamy basil sauce")</f>
        <v>Chicken in creamy basil sauce</v>
      </c>
      <c r="F286" s="186" t="str">
        <f>IFERROR(__xludf.DUMMYFUNCTION("""COMPUTED_VALUE"""),"Kylling i cremet basilikumssauce")</f>
        <v>Kylling i cremet basilikumssauce</v>
      </c>
      <c r="G286" s="186" t="str">
        <f>IFERROR(__xludf.DUMMYFUNCTION("""COMPUTED_VALUE"""),"FE4040B")</f>
        <v>FE4040B</v>
      </c>
      <c r="H286" s="186">
        <f>IFERROR(__xludf.DUMMYFUNCTION("""COMPUTED_VALUE"""),565172.0)</f>
        <v>565172</v>
      </c>
      <c r="I286" s="186"/>
      <c r="J286" s="189">
        <f>IFERROR(__xludf.DUMMYFUNCTION("""COMPUTED_VALUE"""),2023.0)</f>
        <v>2023</v>
      </c>
      <c r="K286" s="189">
        <f>IFERROR(__xludf.DUMMYFUNCTION("""COMPUTED_VALUE"""),1997.0)</f>
        <v>1997</v>
      </c>
      <c r="L286" s="189">
        <f>IFERROR(__xludf.DUMMYFUNCTION("""COMPUTED_VALUE"""),1851.0)</f>
        <v>1851</v>
      </c>
      <c r="M286" s="189">
        <f>IFERROR(__xludf.DUMMYFUNCTION("""COMPUTED_VALUE"""),1749.0)</f>
        <v>1749</v>
      </c>
      <c r="N286" s="189">
        <f>IFERROR(__xludf.DUMMYFUNCTION("""COMPUTED_VALUE"""),1722.0)</f>
        <v>1722</v>
      </c>
      <c r="O286" s="189">
        <f>IFERROR(__xludf.DUMMYFUNCTION("""COMPUTED_VALUE"""),1752.0)</f>
        <v>1752</v>
      </c>
      <c r="P286" s="186"/>
      <c r="Q286" s="186"/>
      <c r="R286" s="186"/>
      <c r="S286" s="189">
        <f>IFERROR(__xludf.DUMMYFUNCTION("""COMPUTED_VALUE"""),1680.0)</f>
        <v>1680</v>
      </c>
    </row>
    <row r="287">
      <c r="A287" s="186" t="str">
        <f>IFERROR(__xludf.DUMMYFUNCTION("""COMPUTED_VALUE"""),"NORDICS")</f>
        <v>NORDICS</v>
      </c>
      <c r="B287" s="186" t="str">
        <f>IFERROR(__xludf.DUMMYFUNCTION("""COMPUTED_VALUE"""),"W01")</f>
        <v>W01</v>
      </c>
      <c r="C287" s="186">
        <f>IFERROR(__xludf.DUMMYFUNCTION("""COMPUTED_VALUE"""),305.0)</f>
        <v>305</v>
      </c>
      <c r="D287" s="186" t="str">
        <f>IFERROR(__xludf.DUMMYFUNCTION("""COMPUTED_VALUE"""),"CON-00-147831-2")</f>
        <v>CON-00-147831-2</v>
      </c>
      <c r="E287" s="186" t="str">
        <f>IFERROR(__xludf.DUMMYFUNCTION("""COMPUTED_VALUE"""),"Cranberry Chicken ")</f>
        <v>Cranberry Chicken </v>
      </c>
      <c r="F287" s="186" t="str">
        <f>IFERROR(__xludf.DUMMYFUNCTION("""COMPUTED_VALUE"""),"Kylling i tranebærsauce")</f>
        <v>Kylling i tranebærsauce</v>
      </c>
      <c r="G287" s="186" t="str">
        <f>IFERROR(__xludf.DUMMYFUNCTION("""COMPUTED_VALUE"""),"FE0271B")</f>
        <v>FE0271B</v>
      </c>
      <c r="H287" s="186">
        <f>IFERROR(__xludf.DUMMYFUNCTION("""COMPUTED_VALUE"""),565132.0)</f>
        <v>565132</v>
      </c>
      <c r="I287" s="186"/>
      <c r="J287" s="189">
        <f>IFERROR(__xludf.DUMMYFUNCTION("""COMPUTED_VALUE"""),1668.0)</f>
        <v>1668</v>
      </c>
      <c r="K287" s="189">
        <f>IFERROR(__xludf.DUMMYFUNCTION("""COMPUTED_VALUE"""),1541.0)</f>
        <v>1541</v>
      </c>
      <c r="L287" s="189">
        <f>IFERROR(__xludf.DUMMYFUNCTION("""COMPUTED_VALUE"""),1402.0)</f>
        <v>1402</v>
      </c>
      <c r="M287" s="189">
        <f>IFERROR(__xludf.DUMMYFUNCTION("""COMPUTED_VALUE"""),1231.0)</f>
        <v>1231</v>
      </c>
      <c r="N287" s="189">
        <f>IFERROR(__xludf.DUMMYFUNCTION("""COMPUTED_VALUE"""),1229.0)</f>
        <v>1229</v>
      </c>
      <c r="O287" s="189">
        <f>IFERROR(__xludf.DUMMYFUNCTION("""COMPUTED_VALUE"""),1240.0)</f>
        <v>1240</v>
      </c>
      <c r="P287" s="186"/>
      <c r="Q287" s="186"/>
      <c r="R287" s="186"/>
      <c r="S287" s="189">
        <f>IFERROR(__xludf.DUMMYFUNCTION("""COMPUTED_VALUE"""),1217.0)</f>
        <v>1217</v>
      </c>
    </row>
    <row r="288">
      <c r="A288" s="186" t="str">
        <f>IFERROR(__xludf.DUMMYFUNCTION("""COMPUTED_VALUE"""),"NORDICS")</f>
        <v>NORDICS</v>
      </c>
      <c r="B288" s="186" t="str">
        <f>IFERROR(__xludf.DUMMYFUNCTION("""COMPUTED_VALUE"""),"W01")</f>
        <v>W01</v>
      </c>
      <c r="C288" s="186">
        <f>IFERROR(__xludf.DUMMYFUNCTION("""COMPUTED_VALUE"""),306.0)</f>
        <v>306</v>
      </c>
      <c r="D288" s="186"/>
      <c r="E288" s="186"/>
      <c r="F288" s="186"/>
      <c r="G288" s="186" t="str">
        <f>IFERROR(__xludf.DUMMYFUNCTION("""COMPUTED_VALUE"""),"FE4053A")</f>
        <v>FE4053A</v>
      </c>
      <c r="H288" s="186"/>
      <c r="I288" s="186"/>
      <c r="J288" s="189">
        <f>IFERROR(__xludf.DUMMYFUNCTION("""COMPUTED_VALUE"""),1036.0)</f>
        <v>1036</v>
      </c>
      <c r="K288" s="189">
        <f>IFERROR(__xludf.DUMMYFUNCTION("""COMPUTED_VALUE"""),997.0)</f>
        <v>997</v>
      </c>
      <c r="L288" s="189">
        <f>IFERROR(__xludf.DUMMYFUNCTION("""COMPUTED_VALUE"""),1230.0)</f>
        <v>1230</v>
      </c>
      <c r="M288" s="189">
        <f>IFERROR(__xludf.DUMMYFUNCTION("""COMPUTED_VALUE"""),1054.0)</f>
        <v>1054</v>
      </c>
      <c r="N288" s="189">
        <f>IFERROR(__xludf.DUMMYFUNCTION("""COMPUTED_VALUE"""),1045.0)</f>
        <v>1045</v>
      </c>
      <c r="O288" s="189">
        <f>IFERROR(__xludf.DUMMYFUNCTION("""COMPUTED_VALUE"""),1059.0)</f>
        <v>1059</v>
      </c>
      <c r="P288" s="186"/>
      <c r="Q288" s="186"/>
      <c r="R288" s="186"/>
      <c r="S288" s="189">
        <f>IFERROR(__xludf.DUMMYFUNCTION("""COMPUTED_VALUE"""),914.0)</f>
        <v>914</v>
      </c>
    </row>
    <row r="289">
      <c r="A289" s="186" t="str">
        <f>IFERROR(__xludf.DUMMYFUNCTION("""COMPUTED_VALUE"""),"NORDICS")</f>
        <v>NORDICS</v>
      </c>
      <c r="B289" s="186" t="str">
        <f>IFERROR(__xludf.DUMMYFUNCTION("""COMPUTED_VALUE"""),"W01")</f>
        <v>W01</v>
      </c>
      <c r="C289" s="186">
        <f>IFERROR(__xludf.DUMMYFUNCTION("""COMPUTED_VALUE"""),307.0)</f>
        <v>307</v>
      </c>
      <c r="D289" s="186" t="str">
        <f>IFERROR(__xludf.DUMMYFUNCTION("""COMPUTED_VALUE"""),"CON-00-147907-2")</f>
        <v>CON-00-147907-2</v>
      </c>
      <c r="E289" s="186" t="str">
        <f>IFERROR(__xludf.DUMMYFUNCTION("""COMPUTED_VALUE"""),"Artichoke &amp; Spinach Pork tenderloin")</f>
        <v>Artichoke &amp; Spinach Pork tenderloin</v>
      </c>
      <c r="F289" s="186" t="str">
        <f>IFERROR(__xludf.DUMMYFUNCTION("""COMPUTED_VALUE"""),"Svinemørbrad med artiskok og spinat ")</f>
        <v>Svinemørbrad med artiskok og spinat </v>
      </c>
      <c r="G289" s="186" t="str">
        <f>IFERROR(__xludf.DUMMYFUNCTION("""COMPUTED_VALUE"""),"FE4060A")</f>
        <v>FE4060A</v>
      </c>
      <c r="H289" s="186">
        <f>IFERROR(__xludf.DUMMYFUNCTION("""COMPUTED_VALUE"""),565134.0)</f>
        <v>565134</v>
      </c>
      <c r="I289" s="186"/>
      <c r="J289" s="189">
        <f>IFERROR(__xludf.DUMMYFUNCTION("""COMPUTED_VALUE"""),794.0)</f>
        <v>794</v>
      </c>
      <c r="K289" s="189">
        <f>IFERROR(__xludf.DUMMYFUNCTION("""COMPUTED_VALUE"""),800.0)</f>
        <v>800</v>
      </c>
      <c r="L289" s="189">
        <f>IFERROR(__xludf.DUMMYFUNCTION("""COMPUTED_VALUE"""),728.0)</f>
        <v>728</v>
      </c>
      <c r="M289" s="189">
        <f>IFERROR(__xludf.DUMMYFUNCTION("""COMPUTED_VALUE"""),595.0)</f>
        <v>595</v>
      </c>
      <c r="N289" s="189">
        <f>IFERROR(__xludf.DUMMYFUNCTION("""COMPUTED_VALUE"""),573.0)</f>
        <v>573</v>
      </c>
      <c r="O289" s="189">
        <f>IFERROR(__xludf.DUMMYFUNCTION("""COMPUTED_VALUE"""),611.0)</f>
        <v>611</v>
      </c>
      <c r="P289" s="186"/>
      <c r="Q289" s="186"/>
      <c r="R289" s="186"/>
      <c r="S289" s="189">
        <f>IFERROR(__xludf.DUMMYFUNCTION("""COMPUTED_VALUE"""),561.0)</f>
        <v>561</v>
      </c>
    </row>
    <row r="290">
      <c r="A290" s="186" t="str">
        <f>IFERROR(__xludf.DUMMYFUNCTION("""COMPUTED_VALUE"""),"NORDICS")</f>
        <v>NORDICS</v>
      </c>
      <c r="B290" s="186" t="str">
        <f>IFERROR(__xludf.DUMMYFUNCTION("""COMPUTED_VALUE"""),"W01")</f>
        <v>W01</v>
      </c>
      <c r="C290" s="186">
        <f>IFERROR(__xludf.DUMMYFUNCTION("""COMPUTED_VALUE"""),308.0)</f>
        <v>308</v>
      </c>
      <c r="D290" s="186" t="str">
        <f>IFERROR(__xludf.DUMMYFUNCTION("""COMPUTED_VALUE"""),"CON-00-147814-2")</f>
        <v>CON-00-147814-2</v>
      </c>
      <c r="E290" s="186" t="str">
        <f>IFERROR(__xludf.DUMMYFUNCTION("""COMPUTED_VALUE"""),"Salmon on cheesy cauliflower rice")</f>
        <v>Salmon on cheesy cauliflower rice</v>
      </c>
      <c r="F290" s="186" t="str">
        <f>IFERROR(__xludf.DUMMYFUNCTION("""COMPUTED_VALUE"""),"Laks og ostegratineret blomkålsris")</f>
        <v>Laks og ostegratineret blomkålsris</v>
      </c>
      <c r="G290" s="186" t="str">
        <f>IFERROR(__xludf.DUMMYFUNCTION("""COMPUTED_VALUE"""),"FE0036E")</f>
        <v>FE0036E</v>
      </c>
      <c r="H290" s="186">
        <f>IFERROR(__xludf.DUMMYFUNCTION("""COMPUTED_VALUE"""),565042.0)</f>
        <v>565042</v>
      </c>
      <c r="I290" s="186" t="str">
        <f>IFERROR(__xludf.DUMMYFUNCTION("""COMPUTED_VALUE"""),"HF Zalm+cheesy bloemk rijst")</f>
        <v>HF Zalm+cheesy bloemk rijst</v>
      </c>
      <c r="J290" s="189">
        <f>IFERROR(__xludf.DUMMYFUNCTION("""COMPUTED_VALUE"""),899.0)</f>
        <v>899</v>
      </c>
      <c r="K290" s="189">
        <f>IFERROR(__xludf.DUMMYFUNCTION("""COMPUTED_VALUE"""),944.0)</f>
        <v>944</v>
      </c>
      <c r="L290" s="189">
        <f>IFERROR(__xludf.DUMMYFUNCTION("""COMPUTED_VALUE"""),1164.0)</f>
        <v>1164</v>
      </c>
      <c r="M290" s="189">
        <f>IFERROR(__xludf.DUMMYFUNCTION("""COMPUTED_VALUE"""),863.0)</f>
        <v>863</v>
      </c>
      <c r="N290" s="189">
        <f>IFERROR(__xludf.DUMMYFUNCTION("""COMPUTED_VALUE"""),854.0)</f>
        <v>854</v>
      </c>
      <c r="O290" s="189">
        <f>IFERROR(__xludf.DUMMYFUNCTION("""COMPUTED_VALUE"""),886.0)</f>
        <v>886</v>
      </c>
      <c r="P290" s="186"/>
      <c r="Q290" s="186"/>
      <c r="R290" s="186"/>
      <c r="S290" s="189">
        <f>IFERROR(__xludf.DUMMYFUNCTION("""COMPUTED_VALUE"""),743.0)</f>
        <v>743</v>
      </c>
    </row>
    <row r="291">
      <c r="A291" s="186" t="str">
        <f>IFERROR(__xludf.DUMMYFUNCTION("""COMPUTED_VALUE"""),"NORDICS")</f>
        <v>NORDICS</v>
      </c>
      <c r="B291" s="186" t="str">
        <f>IFERROR(__xludf.DUMMYFUNCTION("""COMPUTED_VALUE"""),"W01")</f>
        <v>W01</v>
      </c>
      <c r="C291" s="186">
        <f>IFERROR(__xludf.DUMMYFUNCTION("""COMPUTED_VALUE"""),309.0)</f>
        <v>309</v>
      </c>
      <c r="D291" s="186"/>
      <c r="E291" s="186"/>
      <c r="F291" s="186"/>
      <c r="G291" s="186" t="str">
        <f>IFERROR(__xludf.DUMMYFUNCTION("""COMPUTED_VALUE"""),"FE0121B")</f>
        <v>FE0121B</v>
      </c>
      <c r="H291" s="186"/>
      <c r="I291" s="186"/>
      <c r="J291" s="186">
        <f>IFERROR(__xludf.DUMMYFUNCTION("""COMPUTED_VALUE"""),194.0)</f>
        <v>194</v>
      </c>
      <c r="K291" s="186">
        <f>IFERROR(__xludf.DUMMYFUNCTION("""COMPUTED_VALUE"""),182.0)</f>
        <v>182</v>
      </c>
      <c r="L291" s="189">
        <f>IFERROR(__xludf.DUMMYFUNCTION("""COMPUTED_VALUE"""),136.0)</f>
        <v>136</v>
      </c>
      <c r="M291" s="186">
        <f>IFERROR(__xludf.DUMMYFUNCTION("""COMPUTED_VALUE"""),183.0)</f>
        <v>183</v>
      </c>
      <c r="N291" s="186">
        <f>IFERROR(__xludf.DUMMYFUNCTION("""COMPUTED_VALUE"""),186.0)</f>
        <v>186</v>
      </c>
      <c r="O291" s="186">
        <f>IFERROR(__xludf.DUMMYFUNCTION("""COMPUTED_VALUE"""),195.0)</f>
        <v>195</v>
      </c>
      <c r="P291" s="186"/>
      <c r="Q291" s="186"/>
      <c r="R291" s="186"/>
      <c r="S291" s="189">
        <f>IFERROR(__xludf.DUMMYFUNCTION("""COMPUTED_VALUE"""),150.0)</f>
        <v>150</v>
      </c>
    </row>
    <row r="292">
      <c r="A292" s="186" t="str">
        <f>IFERROR(__xludf.DUMMYFUNCTION("""COMPUTED_VALUE"""),"NORDICS")</f>
        <v>NORDICS</v>
      </c>
      <c r="B292" s="186" t="str">
        <f>IFERROR(__xludf.DUMMYFUNCTION("""COMPUTED_VALUE"""),"W01")</f>
        <v>W01</v>
      </c>
      <c r="C292" s="186">
        <f>IFERROR(__xludf.DUMMYFUNCTION("""COMPUTED_VALUE"""),310.0)</f>
        <v>310</v>
      </c>
      <c r="D292" s="186" t="str">
        <f>IFERROR(__xludf.DUMMYFUNCTION("""COMPUTED_VALUE"""),"CON-00-147817-2")</f>
        <v>CON-00-147817-2</v>
      </c>
      <c r="E292" s="186" t="str">
        <f>IFERROR(__xludf.DUMMYFUNCTION("""COMPUTED_VALUE"""),"Ratatouille of zucchini and pepper")</f>
        <v>Ratatouille of zucchini and pepper</v>
      </c>
      <c r="F292" s="186" t="str">
        <f>IFERROR(__xludf.DUMMYFUNCTION("""COMPUTED_VALUE"""),"Squash- og peberfrugtsratatouille")</f>
        <v>Squash- og peberfrugtsratatouille</v>
      </c>
      <c r="G292" s="186" t="str">
        <f>IFERROR(__xludf.DUMMYFUNCTION("""COMPUTED_VALUE"""),"FE0090C")</f>
        <v>FE0090C</v>
      </c>
      <c r="H292" s="186">
        <f>IFERROR(__xludf.DUMMYFUNCTION("""COMPUTED_VALUE"""),565141.0)</f>
        <v>565141</v>
      </c>
      <c r="I292" s="186"/>
      <c r="J292" s="186">
        <f>IFERROR(__xludf.DUMMYFUNCTION("""COMPUTED_VALUE"""),248.0)</f>
        <v>248</v>
      </c>
      <c r="K292" s="186">
        <f>IFERROR(__xludf.DUMMYFUNCTION("""COMPUTED_VALUE"""),231.0)</f>
        <v>231</v>
      </c>
      <c r="L292" s="189">
        <f>IFERROR(__xludf.DUMMYFUNCTION("""COMPUTED_VALUE"""),140.0)</f>
        <v>140</v>
      </c>
      <c r="M292" s="189">
        <f>IFERROR(__xludf.DUMMYFUNCTION("""COMPUTED_VALUE"""),153.0)</f>
        <v>153</v>
      </c>
      <c r="N292" s="189">
        <f>IFERROR(__xludf.DUMMYFUNCTION("""COMPUTED_VALUE"""),148.0)</f>
        <v>148</v>
      </c>
      <c r="O292" s="189">
        <f>IFERROR(__xludf.DUMMYFUNCTION("""COMPUTED_VALUE"""),147.0)</f>
        <v>147</v>
      </c>
      <c r="P292" s="186"/>
      <c r="Q292" s="186"/>
      <c r="R292" s="186"/>
      <c r="S292" s="186">
        <f>IFERROR(__xludf.DUMMYFUNCTION("""COMPUTED_VALUE"""),114.0)</f>
        <v>114</v>
      </c>
    </row>
    <row r="293">
      <c r="A293" s="186" t="str">
        <f>IFERROR(__xludf.DUMMYFUNCTION("""COMPUTED_VALUE"""),"NORDICS")</f>
        <v>NORDICS</v>
      </c>
      <c r="B293" s="186" t="str">
        <f>IFERROR(__xludf.DUMMYFUNCTION("""COMPUTED_VALUE"""),"W01")</f>
        <v>W01</v>
      </c>
      <c r="C293" s="186">
        <f>IFERROR(__xludf.DUMMYFUNCTION("""COMPUTED_VALUE"""),311.0)</f>
        <v>311</v>
      </c>
      <c r="D293" s="186" t="str">
        <f>IFERROR(__xludf.DUMMYFUNCTION("""COMPUTED_VALUE"""),"CON-00-152027-2")</f>
        <v>CON-00-152027-2</v>
      </c>
      <c r="E293" s="186" t="str">
        <f>IFERROR(__xludf.DUMMYFUNCTION("""COMPUTED_VALUE"""),"Chive &amp; Garlic Chicken")</f>
        <v>Chive &amp; Garlic Chicken</v>
      </c>
      <c r="F293" s="186" t="str">
        <f>IFERROR(__xludf.DUMMYFUNCTION("""COMPUTED_VALUE"""),"Kylling med purløg og hvidløg")</f>
        <v>Kylling med purløg og hvidløg</v>
      </c>
      <c r="G293" s="186" t="str">
        <f>IFERROR(__xludf.DUMMYFUNCTION("""COMPUTED_VALUE"""),"FE0384K")</f>
        <v>FE0384K</v>
      </c>
      <c r="H293" s="186">
        <f>IFERROR(__xludf.DUMMYFUNCTION("""COMPUTED_VALUE"""),565203.0)</f>
        <v>565203</v>
      </c>
      <c r="I293" s="186" t="str">
        <f>IFERROR(__xludf.DUMMYFUNCTION("""COMPUTED_VALUE"""),"HF Kip cheddar-aardappelpuree")</f>
        <v>HF Kip cheddar-aardappelpuree</v>
      </c>
      <c r="J293" s="189">
        <f>IFERROR(__xludf.DUMMYFUNCTION("""COMPUTED_VALUE"""),363.0)</f>
        <v>363</v>
      </c>
      <c r="K293" s="189">
        <f>IFERROR(__xludf.DUMMYFUNCTION("""COMPUTED_VALUE"""),472.0)</f>
        <v>472</v>
      </c>
      <c r="L293" s="189">
        <f>IFERROR(__xludf.DUMMYFUNCTION("""COMPUTED_VALUE"""),573.0)</f>
        <v>573</v>
      </c>
      <c r="M293" s="186">
        <f>IFERROR(__xludf.DUMMYFUNCTION("""COMPUTED_VALUE"""),410.0)</f>
        <v>410</v>
      </c>
      <c r="N293" s="186">
        <f>IFERROR(__xludf.DUMMYFUNCTION("""COMPUTED_VALUE"""),409.0)</f>
        <v>409</v>
      </c>
      <c r="O293" s="186">
        <f>IFERROR(__xludf.DUMMYFUNCTION("""COMPUTED_VALUE"""),422.0)</f>
        <v>422</v>
      </c>
      <c r="P293" s="186"/>
      <c r="Q293" s="186"/>
      <c r="R293" s="186"/>
      <c r="S293" s="189">
        <f>IFERROR(__xludf.DUMMYFUNCTION("""COMPUTED_VALUE"""),313.0)</f>
        <v>313</v>
      </c>
    </row>
    <row r="294">
      <c r="A294" s="186" t="str">
        <f>IFERROR(__xludf.DUMMYFUNCTION("""COMPUTED_VALUE"""),"NORDICS")</f>
        <v>NORDICS</v>
      </c>
      <c r="B294" s="186" t="str">
        <f>IFERROR(__xludf.DUMMYFUNCTION("""COMPUTED_VALUE"""),"W01")</f>
        <v>W01</v>
      </c>
      <c r="C294" s="186">
        <f>IFERROR(__xludf.DUMMYFUNCTION("""COMPUTED_VALUE"""),312.0)</f>
        <v>312</v>
      </c>
      <c r="D294" s="186" t="str">
        <f>IFERROR(__xludf.DUMMYFUNCTION("""COMPUTED_VALUE"""),"CON-00-152037-2")</f>
        <v>CON-00-152037-2</v>
      </c>
      <c r="E294" s="186" t="str">
        <f>IFERROR(__xludf.DUMMYFUNCTION("""COMPUTED_VALUE"""),"Caribbean Mango Salsa Salmon")</f>
        <v>Caribbean Mango Salsa Salmon</v>
      </c>
      <c r="F294" s="186" t="str">
        <f>IFERROR(__xludf.DUMMYFUNCTION("""COMPUTED_VALUE"""),"Laks med mangosalsa i caribisk stil")</f>
        <v>Laks med mangosalsa i caribisk stil</v>
      </c>
      <c r="G294" s="186" t="str">
        <f>IFERROR(__xludf.DUMMYFUNCTION("""COMPUTED_VALUE"""),"FE1465A")</f>
        <v>FE1465A</v>
      </c>
      <c r="H294" s="186">
        <f>IFERROR(__xludf.DUMMYFUNCTION("""COMPUTED_VALUE"""),565198.0)</f>
        <v>565198</v>
      </c>
      <c r="I294" s="186" t="str">
        <f>IFERROR(__xludf.DUMMYFUNCTION("""COMPUTED_VALUE"""),"HF Mango salsa zalm")</f>
        <v>HF Mango salsa zalm</v>
      </c>
      <c r="J294" s="189">
        <f>IFERROR(__xludf.DUMMYFUNCTION("""COMPUTED_VALUE"""),933.0)</f>
        <v>933</v>
      </c>
      <c r="K294" s="189">
        <f>IFERROR(__xludf.DUMMYFUNCTION("""COMPUTED_VALUE"""),869.0)</f>
        <v>869</v>
      </c>
      <c r="L294" s="189">
        <f>IFERROR(__xludf.DUMMYFUNCTION("""COMPUTED_VALUE"""),918.0)</f>
        <v>918</v>
      </c>
      <c r="M294" s="189">
        <f>IFERROR(__xludf.DUMMYFUNCTION("""COMPUTED_VALUE"""),743.0)</f>
        <v>743</v>
      </c>
      <c r="N294" s="189">
        <f>IFERROR(__xludf.DUMMYFUNCTION("""COMPUTED_VALUE"""),733.0)</f>
        <v>733</v>
      </c>
      <c r="O294" s="189">
        <f>IFERROR(__xludf.DUMMYFUNCTION("""COMPUTED_VALUE"""),727.0)</f>
        <v>727</v>
      </c>
      <c r="P294" s="186"/>
      <c r="Q294" s="186"/>
      <c r="R294" s="186"/>
      <c r="S294" s="186">
        <f>IFERROR(__xludf.DUMMYFUNCTION("""COMPUTED_VALUE"""),647.0)</f>
        <v>647</v>
      </c>
    </row>
    <row r="295">
      <c r="A295" s="186" t="str">
        <f>IFERROR(__xludf.DUMMYFUNCTION("""COMPUTED_VALUE"""),"NORDICS")</f>
        <v>NORDICS</v>
      </c>
      <c r="B295" s="186" t="str">
        <f>IFERROR(__xludf.DUMMYFUNCTION("""COMPUTED_VALUE"""),"W01")</f>
        <v>W01</v>
      </c>
      <c r="C295" s="186">
        <f>IFERROR(__xludf.DUMMYFUNCTION("""COMPUTED_VALUE"""),313.0)</f>
        <v>313</v>
      </c>
      <c r="D295" s="186" t="str">
        <f>IFERROR(__xludf.DUMMYFUNCTION("""COMPUTED_VALUE"""),"CON-00-154554-2")</f>
        <v>CON-00-154554-2</v>
      </c>
      <c r="E295" s="186" t="str">
        <f>IFERROR(__xludf.DUMMYFUNCTION("""COMPUTED_VALUE"""),"Pulled Jerk Chicken &amp; Rice")</f>
        <v>Pulled Jerk Chicken &amp; Rice</v>
      </c>
      <c r="F295" s="186" t="str">
        <f>IFERROR(__xludf.DUMMYFUNCTION("""COMPUTED_VALUE"""),"Pulled jerk chicken med ris")</f>
        <v>Pulled jerk chicken med ris</v>
      </c>
      <c r="G295" s="186" t="str">
        <f>IFERROR(__xludf.DUMMYFUNCTION("""COMPUTED_VALUE"""),"FE4071A")</f>
        <v>FE4071A</v>
      </c>
      <c r="H295" s="186">
        <f>IFERROR(__xludf.DUMMYFUNCTION("""COMPUTED_VALUE"""),565219.0)</f>
        <v>565219</v>
      </c>
      <c r="I295" s="186" t="str">
        <f>IFERROR(__xludf.DUMMYFUNCTION("""COMPUTED_VALUE"""),"HF Jerk chicken en rijst")</f>
        <v>HF Jerk chicken en rijst</v>
      </c>
      <c r="J295" s="189">
        <f>IFERROR(__xludf.DUMMYFUNCTION("""COMPUTED_VALUE"""),905.0)</f>
        <v>905</v>
      </c>
      <c r="K295" s="189">
        <f>IFERROR(__xludf.DUMMYFUNCTION("""COMPUTED_VALUE"""),918.0)</f>
        <v>918</v>
      </c>
      <c r="L295" s="189">
        <f>IFERROR(__xludf.DUMMYFUNCTION("""COMPUTED_VALUE"""),900.0)</f>
        <v>900</v>
      </c>
      <c r="M295" s="189">
        <f>IFERROR(__xludf.DUMMYFUNCTION("""COMPUTED_VALUE"""),912.0)</f>
        <v>912</v>
      </c>
      <c r="N295" s="189">
        <f>IFERROR(__xludf.DUMMYFUNCTION("""COMPUTED_VALUE"""),895.0)</f>
        <v>895</v>
      </c>
      <c r="O295" s="189">
        <f>IFERROR(__xludf.DUMMYFUNCTION("""COMPUTED_VALUE"""),896.0)</f>
        <v>896</v>
      </c>
      <c r="P295" s="186"/>
      <c r="Q295" s="186"/>
      <c r="R295" s="186"/>
      <c r="S295" s="189">
        <f>IFERROR(__xludf.DUMMYFUNCTION("""COMPUTED_VALUE"""),771.0)</f>
        <v>771</v>
      </c>
    </row>
    <row r="296">
      <c r="A296" s="186" t="str">
        <f>IFERROR(__xludf.DUMMYFUNCTION("""COMPUTED_VALUE"""),"NORDICS")</f>
        <v>NORDICS</v>
      </c>
      <c r="B296" s="186" t="str">
        <f>IFERROR(__xludf.DUMMYFUNCTION("""COMPUTED_VALUE"""),"W01")</f>
        <v>W01</v>
      </c>
      <c r="C296" s="186">
        <f>IFERROR(__xludf.DUMMYFUNCTION("""COMPUTED_VALUE"""),314.0)</f>
        <v>314</v>
      </c>
      <c r="D296" s="186" t="str">
        <f>IFERROR(__xludf.DUMMYFUNCTION("""COMPUTED_VALUE"""),"CON-00-154557-2")</f>
        <v>CON-00-154557-2</v>
      </c>
      <c r="E296" s="186" t="str">
        <f>IFERROR(__xludf.DUMMYFUNCTION("""COMPUTED_VALUE"""),"Fire-Roasted Tomato &amp; Feta Shrimp")</f>
        <v>Fire-Roasted Tomato &amp; Feta Shrimp</v>
      </c>
      <c r="F296" s="186" t="str">
        <f>IFERROR(__xludf.DUMMYFUNCTION("""COMPUTED_VALUE"""),"Rejer med grillede tomater og feta")</f>
        <v>Rejer med grillede tomater og feta</v>
      </c>
      <c r="G296" s="186" t="str">
        <f>IFERROR(__xludf.DUMMYFUNCTION("""COMPUTED_VALUE"""),"FE1776A")</f>
        <v>FE1776A</v>
      </c>
      <c r="H296" s="186">
        <f>IFERROR(__xludf.DUMMYFUNCTION("""COMPUTED_VALUE"""),565229.0)</f>
        <v>565229</v>
      </c>
      <c r="I296" s="186" t="str">
        <f>IFERROR(__xludf.DUMMYFUNCTION("""COMPUTED_VALUE"""),"HF Garnaal tomaat feta saus")</f>
        <v>HF Garnaal tomaat feta saus</v>
      </c>
      <c r="J296" s="189">
        <f>IFERROR(__xludf.DUMMYFUNCTION("""COMPUTED_VALUE"""),713.0)</f>
        <v>713</v>
      </c>
      <c r="K296" s="189">
        <f>IFERROR(__xludf.DUMMYFUNCTION("""COMPUTED_VALUE"""),659.0)</f>
        <v>659</v>
      </c>
      <c r="L296" s="189">
        <f>IFERROR(__xludf.DUMMYFUNCTION("""COMPUTED_VALUE"""),681.0)</f>
        <v>681</v>
      </c>
      <c r="M296" s="189">
        <f>IFERROR(__xludf.DUMMYFUNCTION("""COMPUTED_VALUE"""),576.0)</f>
        <v>576</v>
      </c>
      <c r="N296" s="189">
        <f>IFERROR(__xludf.DUMMYFUNCTION("""COMPUTED_VALUE"""),579.0)</f>
        <v>579</v>
      </c>
      <c r="O296" s="189">
        <f>IFERROR(__xludf.DUMMYFUNCTION("""COMPUTED_VALUE"""),591.0)</f>
        <v>591</v>
      </c>
      <c r="P296" s="186"/>
      <c r="Q296" s="186"/>
      <c r="R296" s="186"/>
      <c r="S296" s="189">
        <f>IFERROR(__xludf.DUMMYFUNCTION("""COMPUTED_VALUE"""),517.0)</f>
        <v>517</v>
      </c>
    </row>
    <row r="297">
      <c r="A297" s="186" t="str">
        <f>IFERROR(__xludf.DUMMYFUNCTION("""COMPUTED_VALUE"""),"NORDICS")</f>
        <v>NORDICS</v>
      </c>
      <c r="B297" s="186" t="str">
        <f>IFERROR(__xludf.DUMMYFUNCTION("""COMPUTED_VALUE"""),"W01")</f>
        <v>W01</v>
      </c>
      <c r="C297" s="186">
        <f>IFERROR(__xludf.DUMMYFUNCTION("""COMPUTED_VALUE"""),315.0)</f>
        <v>315</v>
      </c>
      <c r="D297" s="186" t="str">
        <f>IFERROR(__xludf.DUMMYFUNCTION("""COMPUTED_VALUE"""),"CON-00-152032-2")</f>
        <v>CON-00-152032-2</v>
      </c>
      <c r="E297" s="186" t="str">
        <f>IFERROR(__xludf.DUMMYFUNCTION("""COMPUTED_VALUE"""),"Spicy Beef &amp; Black Bean Chili")</f>
        <v>Spicy Beef &amp; Black Bean Chili</v>
      </c>
      <c r="F297" s="186" t="str">
        <f>IFERROR(__xludf.DUMMYFUNCTION("""COMPUTED_VALUE"""),"Chili med oksekød og sorte bønner")</f>
        <v>Chili med oksekød og sorte bønner</v>
      </c>
      <c r="G297" s="186" t="str">
        <f>IFERROR(__xludf.DUMMYFUNCTION("""COMPUTED_VALUE"""),"FE4065A")</f>
        <v>FE4065A</v>
      </c>
      <c r="H297" s="186">
        <f>IFERROR(__xludf.DUMMYFUNCTION("""COMPUTED_VALUE"""),565214.0)</f>
        <v>565214</v>
      </c>
      <c r="I297" s="186" t="str">
        <f>IFERROR(__xludf.DUMMYFUNCTION("""COMPUTED_VALUE"""),"HF Pittige runder chili")</f>
        <v>HF Pittige runder chili</v>
      </c>
      <c r="J297" s="189">
        <f>IFERROR(__xludf.DUMMYFUNCTION("""COMPUTED_VALUE"""),580.0)</f>
        <v>580</v>
      </c>
      <c r="K297" s="189">
        <f>IFERROR(__xludf.DUMMYFUNCTION("""COMPUTED_VALUE"""),563.0)</f>
        <v>563</v>
      </c>
      <c r="L297" s="189">
        <f>IFERROR(__xludf.DUMMYFUNCTION("""COMPUTED_VALUE"""),366.0)</f>
        <v>366</v>
      </c>
      <c r="M297" s="189">
        <f>IFERROR(__xludf.DUMMYFUNCTION("""COMPUTED_VALUE"""),325.0)</f>
        <v>325</v>
      </c>
      <c r="N297" s="189">
        <f>IFERROR(__xludf.DUMMYFUNCTION("""COMPUTED_VALUE"""),351.0)</f>
        <v>351</v>
      </c>
      <c r="O297" s="189">
        <f>IFERROR(__xludf.DUMMYFUNCTION("""COMPUTED_VALUE"""),388.0)</f>
        <v>388</v>
      </c>
      <c r="P297" s="186"/>
      <c r="Q297" s="186"/>
      <c r="R297" s="186"/>
      <c r="S297" s="189">
        <f>IFERROR(__xludf.DUMMYFUNCTION("""COMPUTED_VALUE"""),286.0)</f>
        <v>286</v>
      </c>
    </row>
    <row r="298">
      <c r="A298" s="186" t="str">
        <f>IFERROR(__xludf.DUMMYFUNCTION("""COMPUTED_VALUE"""),"NORDICS")</f>
        <v>NORDICS</v>
      </c>
      <c r="B298" s="186" t="str">
        <f>IFERROR(__xludf.DUMMYFUNCTION("""COMPUTED_VALUE"""),"W01")</f>
        <v>W01</v>
      </c>
      <c r="C298" s="186">
        <f>IFERROR(__xludf.DUMMYFUNCTION("""COMPUTED_VALUE"""),316.0)</f>
        <v>316</v>
      </c>
      <c r="D298" s="186" t="str">
        <f>IFERROR(__xludf.DUMMYFUNCTION("""COMPUTED_VALUE"""),"CON-00-147811-2")</f>
        <v>CON-00-147811-2</v>
      </c>
      <c r="E298" s="186" t="str">
        <f>IFERROR(__xludf.DUMMYFUNCTION("""COMPUTED_VALUE"""),"Chicken in lemon-capers sauce")</f>
        <v>Chicken in lemon-capers sauce</v>
      </c>
      <c r="F298" s="186" t="str">
        <f>IFERROR(__xludf.DUMMYFUNCTION("""COMPUTED_VALUE"""),"Kylling i citron- og kaperssauce")</f>
        <v>Kylling i citron- og kaperssauce</v>
      </c>
      <c r="G298" s="186" t="str">
        <f>IFERROR(__xludf.DUMMYFUNCTION("""COMPUTED_VALUE"""),"FE0025M")</f>
        <v>FE0025M</v>
      </c>
      <c r="H298" s="186">
        <f>IFERROR(__xludf.DUMMYFUNCTION("""COMPUTED_VALUE"""),565149.0)</f>
        <v>565149</v>
      </c>
      <c r="I298" s="186" t="str">
        <f>IFERROR(__xludf.DUMMYFUNCTION("""COMPUTED_VALUE"""),"HF Kip Piccata met broccoli")</f>
        <v>HF Kip Piccata met broccoli</v>
      </c>
      <c r="J298" s="189">
        <f>IFERROR(__xludf.DUMMYFUNCTION("""COMPUTED_VALUE"""),372.0)</f>
        <v>372</v>
      </c>
      <c r="K298" s="189">
        <f>IFERROR(__xludf.DUMMYFUNCTION("""COMPUTED_VALUE"""),406.0)</f>
        <v>406</v>
      </c>
      <c r="L298" s="189">
        <f>IFERROR(__xludf.DUMMYFUNCTION("""COMPUTED_VALUE"""),420.0)</f>
        <v>420</v>
      </c>
      <c r="M298" s="186">
        <f>IFERROR(__xludf.DUMMYFUNCTION("""COMPUTED_VALUE"""),197.0)</f>
        <v>197</v>
      </c>
      <c r="N298" s="186">
        <f>IFERROR(__xludf.DUMMYFUNCTION("""COMPUTED_VALUE"""),188.0)</f>
        <v>188</v>
      </c>
      <c r="O298" s="186">
        <f>IFERROR(__xludf.DUMMYFUNCTION("""COMPUTED_VALUE"""),224.0)</f>
        <v>224</v>
      </c>
      <c r="P298" s="186"/>
      <c r="Q298" s="186"/>
      <c r="R298" s="186"/>
      <c r="S298" s="189">
        <f>IFERROR(__xludf.DUMMYFUNCTION("""COMPUTED_VALUE"""),173.0)</f>
        <v>173</v>
      </c>
    </row>
    <row r="299">
      <c r="A299" s="186" t="str">
        <f>IFERROR(__xludf.DUMMYFUNCTION("""COMPUTED_VALUE"""),"NORDICS")</f>
        <v>NORDICS</v>
      </c>
      <c r="B299" s="186" t="str">
        <f>IFERROR(__xludf.DUMMYFUNCTION("""COMPUTED_VALUE"""),"W01")</f>
        <v>W01</v>
      </c>
      <c r="C299" s="186">
        <f>IFERROR(__xludf.DUMMYFUNCTION("""COMPUTED_VALUE"""),317.0)</f>
        <v>317</v>
      </c>
      <c r="D299" s="186" t="str">
        <f>IFERROR(__xludf.DUMMYFUNCTION("""COMPUTED_VALUE"""),"CON-00-147849-2")</f>
        <v>CON-00-147849-2</v>
      </c>
      <c r="E299" s="186" t="str">
        <f>IFERROR(__xludf.DUMMYFUNCTION("""COMPUTED_VALUE"""),"Pork tenderloin with caramelized onion")</f>
        <v>Pork tenderloin with caramelized onion</v>
      </c>
      <c r="F299" s="186" t="str">
        <f>IFERROR(__xludf.DUMMYFUNCTION("""COMPUTED_VALUE"""),"Svinemørbrad med karameliseret løg")</f>
        <v>Svinemørbrad med karameliseret løg</v>
      </c>
      <c r="G299" s="186" t="str">
        <f>IFERROR(__xludf.DUMMYFUNCTION("""COMPUTED_VALUE"""),"FE0565D")</f>
        <v>FE0565D</v>
      </c>
      <c r="H299" s="186">
        <f>IFERROR(__xludf.DUMMYFUNCTION("""COMPUTED_VALUE"""),565147.0)</f>
        <v>565147</v>
      </c>
      <c r="I299" s="186" t="str">
        <f>IFERROR(__xludf.DUMMYFUNCTION("""COMPUTED_VALUE"""),"HF RW Varkenshaas gekaram. ui")</f>
        <v>HF RW Varkenshaas gekaram. ui</v>
      </c>
      <c r="J299" s="189">
        <f>IFERROR(__xludf.DUMMYFUNCTION("""COMPUTED_VALUE"""),334.0)</f>
        <v>334</v>
      </c>
      <c r="K299" s="189">
        <f>IFERROR(__xludf.DUMMYFUNCTION("""COMPUTED_VALUE"""),331.0)</f>
        <v>331</v>
      </c>
      <c r="L299" s="189">
        <f>IFERROR(__xludf.DUMMYFUNCTION("""COMPUTED_VALUE"""),452.0)</f>
        <v>452</v>
      </c>
      <c r="M299" s="189">
        <f>IFERROR(__xludf.DUMMYFUNCTION("""COMPUTED_VALUE"""),386.0)</f>
        <v>386</v>
      </c>
      <c r="N299" s="189">
        <f>IFERROR(__xludf.DUMMYFUNCTION("""COMPUTED_VALUE"""),368.0)</f>
        <v>368</v>
      </c>
      <c r="O299" s="189">
        <f>IFERROR(__xludf.DUMMYFUNCTION("""COMPUTED_VALUE"""),387.0)</f>
        <v>387</v>
      </c>
      <c r="P299" s="186"/>
      <c r="Q299" s="186"/>
      <c r="R299" s="186"/>
      <c r="S299" s="189">
        <f>IFERROR(__xludf.DUMMYFUNCTION("""COMPUTED_VALUE"""),298.0)</f>
        <v>298</v>
      </c>
    </row>
    <row r="300">
      <c r="A300" s="186" t="str">
        <f>IFERROR(__xludf.DUMMYFUNCTION("""COMPUTED_VALUE"""),"NORDICS")</f>
        <v>NORDICS</v>
      </c>
      <c r="B300" s="186" t="str">
        <f>IFERROR(__xludf.DUMMYFUNCTION("""COMPUTED_VALUE"""),"W01")</f>
        <v>W01</v>
      </c>
      <c r="C300" s="186">
        <f>IFERROR(__xludf.DUMMYFUNCTION("""COMPUTED_VALUE"""),318.0)</f>
        <v>318</v>
      </c>
      <c r="D300" s="186"/>
      <c r="E300" s="186"/>
      <c r="F300" s="186"/>
      <c r="G300" s="186" t="str">
        <f>IFERROR(__xludf.DUMMYFUNCTION("""COMPUTED_VALUE"""),"FE4048A")</f>
        <v>FE4048A</v>
      </c>
      <c r="H300" s="186"/>
      <c r="I300" s="186"/>
      <c r="J300" s="186">
        <f>IFERROR(__xludf.DUMMYFUNCTION("""COMPUTED_VALUE"""),353.0)</f>
        <v>353</v>
      </c>
      <c r="K300" s="186">
        <f>IFERROR(__xludf.DUMMYFUNCTION("""COMPUTED_VALUE"""),349.0)</f>
        <v>349</v>
      </c>
      <c r="L300" s="186">
        <f>IFERROR(__xludf.DUMMYFUNCTION("""COMPUTED_VALUE"""),333.0)</f>
        <v>333</v>
      </c>
      <c r="M300" s="186">
        <f>IFERROR(__xludf.DUMMYFUNCTION("""COMPUTED_VALUE"""),244.0)</f>
        <v>244</v>
      </c>
      <c r="N300" s="186">
        <f>IFERROR(__xludf.DUMMYFUNCTION("""COMPUTED_VALUE"""),248.0)</f>
        <v>248</v>
      </c>
      <c r="O300" s="186">
        <f>IFERROR(__xludf.DUMMYFUNCTION("""COMPUTED_VALUE"""),255.0)</f>
        <v>255</v>
      </c>
      <c r="P300" s="186"/>
      <c r="Q300" s="186"/>
      <c r="R300" s="186"/>
      <c r="S300" s="189">
        <f>IFERROR(__xludf.DUMMYFUNCTION("""COMPUTED_VALUE"""),198.0)</f>
        <v>198</v>
      </c>
    </row>
    <row r="301">
      <c r="A301" s="186" t="str">
        <f>IFERROR(__xludf.DUMMYFUNCTION("""COMPUTED_VALUE"""),"NORDICS")</f>
        <v>NORDICS</v>
      </c>
      <c r="B301" s="186" t="str">
        <f>IFERROR(__xludf.DUMMYFUNCTION("""COMPUTED_VALUE"""),"W01")</f>
        <v>W01</v>
      </c>
      <c r="C301" s="186">
        <f>IFERROR(__xludf.DUMMYFUNCTION("""COMPUTED_VALUE"""),806.0)</f>
        <v>806</v>
      </c>
      <c r="D301" s="186" t="str">
        <f>IFERROR(__xludf.DUMMYFUNCTION("""COMPUTED_VALUE"""),"PTN-00-148223-2")</f>
        <v>PTN-00-148223-2</v>
      </c>
      <c r="E301" s="186" t="str">
        <f>IFERROR(__xludf.DUMMYFUNCTION("""COMPUTED_VALUE"""),"Garlic Herb Grilled Chicken")</f>
        <v>Garlic Herb Grilled Chicken</v>
      </c>
      <c r="F301" s="186" t="str">
        <f>IFERROR(__xludf.DUMMYFUNCTION("""COMPUTED_VALUE"""),"Grillet kylling med hvidlød og urter")</f>
        <v>Grillet kylling med hvidlød og urter</v>
      </c>
      <c r="G301" s="186" t="str">
        <f>IFERROR(__xludf.DUMMYFUNCTION("""COMPUTED_VALUE"""),"FEA006A")</f>
        <v>FEA006A</v>
      </c>
      <c r="H301" s="186">
        <f>IFERROR(__xludf.DUMMYFUNCTION("""COMPUTED_VALUE"""),565119.0)</f>
        <v>565119</v>
      </c>
      <c r="I301" s="186"/>
      <c r="J301" s="186">
        <f>IFERROR(__xludf.DUMMYFUNCTION("""COMPUTED_VALUE"""),48.0)</f>
        <v>48</v>
      </c>
      <c r="K301" s="186">
        <f>IFERROR(__xludf.DUMMYFUNCTION("""COMPUTED_VALUE"""),48.0)</f>
        <v>48</v>
      </c>
      <c r="L301" s="186">
        <f>IFERROR(__xludf.DUMMYFUNCTION("""COMPUTED_VALUE"""),48.0)</f>
        <v>48</v>
      </c>
      <c r="M301" s="186">
        <f>IFERROR(__xludf.DUMMYFUNCTION("""COMPUTED_VALUE"""),48.0)</f>
        <v>48</v>
      </c>
      <c r="N301" s="186">
        <f>IFERROR(__xludf.DUMMYFUNCTION("""COMPUTED_VALUE"""),48.0)</f>
        <v>48</v>
      </c>
      <c r="O301" s="186">
        <f>IFERROR(__xludf.DUMMYFUNCTION("""COMPUTED_VALUE"""),48.0)</f>
        <v>48</v>
      </c>
      <c r="P301" s="186"/>
      <c r="Q301" s="186"/>
      <c r="R301" s="186"/>
      <c r="S301" s="189">
        <f>IFERROR(__xludf.DUMMYFUNCTION("""COMPUTED_VALUE"""),33.0)</f>
        <v>33</v>
      </c>
    </row>
    <row r="302">
      <c r="A302" s="186" t="str">
        <f>IFERROR(__xludf.DUMMYFUNCTION("""COMPUTED_VALUE"""),"NORDICS")</f>
        <v>NORDICS</v>
      </c>
      <c r="B302" s="186" t="str">
        <f>IFERROR(__xludf.DUMMYFUNCTION("""COMPUTED_VALUE"""),"W01")</f>
        <v>W01</v>
      </c>
      <c r="C302" s="186"/>
      <c r="D302" s="186"/>
      <c r="E302" s="186"/>
      <c r="F302" s="186"/>
      <c r="G302" s="186"/>
      <c r="H302" s="186"/>
      <c r="I302" s="186"/>
      <c r="J302" s="189">
        <f>IFERROR(__xludf.DUMMYFUNCTION("""COMPUTED_VALUE"""),16268.0)</f>
        <v>16268</v>
      </c>
      <c r="K302" s="189">
        <f>IFERROR(__xludf.DUMMYFUNCTION("""COMPUTED_VALUE"""),16113.0)</f>
        <v>16113</v>
      </c>
      <c r="L302" s="189">
        <f>IFERROR(__xludf.DUMMYFUNCTION("""COMPUTED_VALUE"""),16232.0)</f>
        <v>16232</v>
      </c>
      <c r="M302" s="189">
        <f>IFERROR(__xludf.DUMMYFUNCTION("""COMPUTED_VALUE"""),14173.0)</f>
        <v>14173</v>
      </c>
      <c r="N302" s="189">
        <f>IFERROR(__xludf.DUMMYFUNCTION("""COMPUTED_VALUE"""),13929.0)</f>
        <v>13929</v>
      </c>
      <c r="O302" s="189">
        <f>IFERROR(__xludf.DUMMYFUNCTION("""COMPUTED_VALUE"""),14220.0)</f>
        <v>14220</v>
      </c>
      <c r="P302" s="189">
        <f>IFERROR(__xludf.DUMMYFUNCTION("""COMPUTED_VALUE"""),0.0)</f>
        <v>0</v>
      </c>
      <c r="Q302" s="189">
        <f>IFERROR(__xludf.DUMMYFUNCTION("""COMPUTED_VALUE"""),0.0)</f>
        <v>0</v>
      </c>
      <c r="R302" s="189">
        <f>IFERROR(__xludf.DUMMYFUNCTION("""COMPUTED_VALUE"""),0.0)</f>
        <v>0</v>
      </c>
      <c r="S302" s="189">
        <f>IFERROR(__xludf.DUMMYFUNCTION("""COMPUTED_VALUE"""),12845.0)</f>
        <v>12845</v>
      </c>
    </row>
    <row r="303">
      <c r="A303" s="186" t="str">
        <f>IFERROR(__xludf.DUMMYFUNCTION("""COMPUTED_VALUE"""),"DE")</f>
        <v>DE</v>
      </c>
      <c r="B303" s="186" t="str">
        <f>IFERROR(__xludf.DUMMYFUNCTION("""COMPUTED_VALUE"""),"W01")</f>
        <v>W01</v>
      </c>
      <c r="C303" s="186">
        <f>IFERROR(__xludf.DUMMYFUNCTION("""COMPUTED_VALUE"""),301.0)</f>
        <v>301</v>
      </c>
      <c r="D303" s="186" t="str">
        <f>IFERROR(__xludf.DUMMYFUNCTION("""COMPUTED_VALUE"""),"CON-00-149480-2")</f>
        <v>CON-00-149480-2</v>
      </c>
      <c r="E303" s="186" t="str">
        <f>IFERROR(__xludf.DUMMYFUNCTION("""COMPUTED_VALUE"""),"Sour Cream &amp; Chive Chicken")</f>
        <v>Sour Cream &amp; Chive Chicken</v>
      </c>
      <c r="F303" s="186" t="str">
        <f>IFERROR(__xludf.DUMMYFUNCTION("""COMPUTED_VALUE"""),"Hähnchen mit Sauerrahm und Schnittlauch")</f>
        <v>Hähnchen mit Sauerrahm und Schnittlauch</v>
      </c>
      <c r="G303" s="186" t="str">
        <f>IFERROR(__xludf.DUMMYFUNCTION("""COMPUTED_VALUE"""),"FE0322O")</f>
        <v>FE0322O</v>
      </c>
      <c r="H303" s="186">
        <f>IFERROR(__xludf.DUMMYFUNCTION("""COMPUTED_VALUE"""),565163.0)</f>
        <v>565163</v>
      </c>
      <c r="I303" s="186" t="str">
        <f>IFERROR(__xludf.DUMMYFUNCTION("""COMPUTED_VALUE"""),"HF Kip bieslook aardappel pure")</f>
        <v>HF Kip bieslook aardappel pure</v>
      </c>
      <c r="J303" s="189">
        <f>IFERROR(__xludf.DUMMYFUNCTION("""COMPUTED_VALUE"""),2165.0)</f>
        <v>2165</v>
      </c>
      <c r="K303" s="189">
        <f>IFERROR(__xludf.DUMMYFUNCTION("""COMPUTED_VALUE"""),2077.0)</f>
        <v>2077</v>
      </c>
      <c r="L303" s="189">
        <f>IFERROR(__xludf.DUMMYFUNCTION("""COMPUTED_VALUE"""),1916.0)</f>
        <v>1916</v>
      </c>
      <c r="M303" s="189">
        <f>IFERROR(__xludf.DUMMYFUNCTION("""COMPUTED_VALUE"""),1982.0)</f>
        <v>1982</v>
      </c>
      <c r="N303" s="189">
        <f>IFERROR(__xludf.DUMMYFUNCTION("""COMPUTED_VALUE"""),1606.0)</f>
        <v>1606</v>
      </c>
      <c r="O303" s="189">
        <f>IFERROR(__xludf.DUMMYFUNCTION("""COMPUTED_VALUE"""),1620.0)</f>
        <v>1620</v>
      </c>
      <c r="P303" s="186"/>
      <c r="Q303" s="186"/>
      <c r="R303" s="186"/>
      <c r="S303" s="189">
        <f>IFERROR(__xludf.DUMMYFUNCTION("""COMPUTED_VALUE"""),1699.0)</f>
        <v>1699</v>
      </c>
    </row>
    <row r="304">
      <c r="A304" s="186" t="str">
        <f>IFERROR(__xludf.DUMMYFUNCTION("""COMPUTED_VALUE"""),"DE")</f>
        <v>DE</v>
      </c>
      <c r="B304" s="186" t="str">
        <f>IFERROR(__xludf.DUMMYFUNCTION("""COMPUTED_VALUE"""),"W01")</f>
        <v>W01</v>
      </c>
      <c r="C304" s="186">
        <f>IFERROR(__xludf.DUMMYFUNCTION("""COMPUTED_VALUE"""),302.0)</f>
        <v>302</v>
      </c>
      <c r="D304" s="186" t="str">
        <f>IFERROR(__xludf.DUMMYFUNCTION("""COMPUTED_VALUE"""),"CON-00-136674-3")</f>
        <v>CON-00-136674-3</v>
      </c>
      <c r="E304" s="186" t="str">
        <f>IFERROR(__xludf.DUMMYFUNCTION("""COMPUTED_VALUE"""),"Grilled chicken and ratatouille")</f>
        <v>Grilled chicken and ratatouille</v>
      </c>
      <c r="F304" s="186" t="str">
        <f>IFERROR(__xludf.DUMMYFUNCTION("""COMPUTED_VALUE"""),"Grillhähnchen und Ratatouille")</f>
        <v>Grillhähnchen und Ratatouille</v>
      </c>
      <c r="G304" s="186" t="str">
        <f>IFERROR(__xludf.DUMMYFUNCTION("""COMPUTED_VALUE"""),"FE4015A")</f>
        <v>FE4015A</v>
      </c>
      <c r="H304" s="186">
        <f>IFERROR(__xludf.DUMMYFUNCTION("""COMPUTED_VALUE"""),565072.0)</f>
        <v>565072</v>
      </c>
      <c r="I304" s="186" t="str">
        <f>IFERROR(__xludf.DUMMYFUNCTION("""COMPUTED_VALUE"""),"HF Gegrilde kipfilet en ratatouille 429g")</f>
        <v>HF Gegrilde kipfilet en ratatouille 429g</v>
      </c>
      <c r="J304" s="189">
        <f>IFERROR(__xludf.DUMMYFUNCTION("""COMPUTED_VALUE"""),1518.0)</f>
        <v>1518</v>
      </c>
      <c r="K304" s="189">
        <f>IFERROR(__xludf.DUMMYFUNCTION("""COMPUTED_VALUE"""),1426.0)</f>
        <v>1426</v>
      </c>
      <c r="L304" s="189">
        <f>IFERROR(__xludf.DUMMYFUNCTION("""COMPUTED_VALUE"""),1133.0)</f>
        <v>1133</v>
      </c>
      <c r="M304" s="189">
        <f>IFERROR(__xludf.DUMMYFUNCTION("""COMPUTED_VALUE"""),1232.0)</f>
        <v>1232</v>
      </c>
      <c r="N304" s="189">
        <f>IFERROR(__xludf.DUMMYFUNCTION("""COMPUTED_VALUE"""),1048.0)</f>
        <v>1048</v>
      </c>
      <c r="O304" s="189">
        <f>IFERROR(__xludf.DUMMYFUNCTION("""COMPUTED_VALUE"""),1118.0)</f>
        <v>1118</v>
      </c>
      <c r="P304" s="186"/>
      <c r="Q304" s="186"/>
      <c r="R304" s="186"/>
      <c r="S304" s="189">
        <f>IFERROR(__xludf.DUMMYFUNCTION("""COMPUTED_VALUE"""),1050.0)</f>
        <v>1050</v>
      </c>
    </row>
    <row r="305">
      <c r="A305" s="186" t="str">
        <f>IFERROR(__xludf.DUMMYFUNCTION("""COMPUTED_VALUE"""),"DE")</f>
        <v>DE</v>
      </c>
      <c r="B305" s="186" t="str">
        <f>IFERROR(__xludf.DUMMYFUNCTION("""COMPUTED_VALUE"""),"W01")</f>
        <v>W01</v>
      </c>
      <c r="C305" s="186">
        <f>IFERROR(__xludf.DUMMYFUNCTION("""COMPUTED_VALUE"""),303.0)</f>
        <v>303</v>
      </c>
      <c r="D305" s="186" t="str">
        <f>IFERROR(__xludf.DUMMYFUNCTION("""COMPUTED_VALUE"""),"CON-00-136657-3")</f>
        <v>CON-00-136657-3</v>
      </c>
      <c r="E305" s="186" t="str">
        <f>IFERROR(__xludf.DUMMYFUNCTION("""COMPUTED_VALUE"""),"Courgette-spaghetti bolognese")</f>
        <v>Courgette-spaghetti bolognese</v>
      </c>
      <c r="F305" s="186" t="str">
        <f>IFERROR(__xludf.DUMMYFUNCTION("""COMPUTED_VALUE"""),"Zucchini-Spaghetti Bolognese")</f>
        <v>Zucchini-Spaghetti Bolognese</v>
      </c>
      <c r="G305" s="186" t="str">
        <f>IFERROR(__xludf.DUMMYFUNCTION("""COMPUTED_VALUE"""),"FE0849A")</f>
        <v>FE0849A</v>
      </c>
      <c r="H305" s="186">
        <f>IFERROR(__xludf.DUMMYFUNCTION("""COMPUTED_VALUE"""),565060.0)</f>
        <v>565060</v>
      </c>
      <c r="I305" s="186" t="str">
        <f>IFERROR(__xludf.DUMMYFUNCTION("""COMPUTED_VALUE"""),"HF Courgette-spaghetti bolognese 352g")</f>
        <v>HF Courgette-spaghetti bolognese 352g</v>
      </c>
      <c r="J305" s="189">
        <f>IFERROR(__xludf.DUMMYFUNCTION("""COMPUTED_VALUE"""),1555.0)</f>
        <v>1555</v>
      </c>
      <c r="K305" s="189">
        <f>IFERROR(__xludf.DUMMYFUNCTION("""COMPUTED_VALUE"""),1467.0)</f>
        <v>1467</v>
      </c>
      <c r="L305" s="189">
        <f>IFERROR(__xludf.DUMMYFUNCTION("""COMPUTED_VALUE"""),1462.0)</f>
        <v>1462</v>
      </c>
      <c r="M305" s="189">
        <f>IFERROR(__xludf.DUMMYFUNCTION("""COMPUTED_VALUE"""),1430.0)</f>
        <v>1430</v>
      </c>
      <c r="N305" s="189">
        <f>IFERROR(__xludf.DUMMYFUNCTION("""COMPUTED_VALUE"""),1152.0)</f>
        <v>1152</v>
      </c>
      <c r="O305" s="189">
        <f>IFERROR(__xludf.DUMMYFUNCTION("""COMPUTED_VALUE"""),1184.0)</f>
        <v>1184</v>
      </c>
      <c r="P305" s="186"/>
      <c r="Q305" s="186"/>
      <c r="R305" s="186"/>
      <c r="S305" s="189">
        <f>IFERROR(__xludf.DUMMYFUNCTION("""COMPUTED_VALUE"""),1172.0)</f>
        <v>1172</v>
      </c>
    </row>
    <row r="306">
      <c r="A306" s="186" t="str">
        <f>IFERROR(__xludf.DUMMYFUNCTION("""COMPUTED_VALUE"""),"DE")</f>
        <v>DE</v>
      </c>
      <c r="B306" s="186" t="str">
        <f>IFERROR(__xludf.DUMMYFUNCTION("""COMPUTED_VALUE"""),"W01")</f>
        <v>W01</v>
      </c>
      <c r="C306" s="186">
        <f>IFERROR(__xludf.DUMMYFUNCTION("""COMPUTED_VALUE"""),304.0)</f>
        <v>304</v>
      </c>
      <c r="D306" s="186" t="str">
        <f>IFERROR(__xludf.DUMMYFUNCTION("""COMPUTED_VALUE"""),"CON-00-136714-3")</f>
        <v>CON-00-136714-3</v>
      </c>
      <c r="E306" s="186" t="str">
        <f>IFERROR(__xludf.DUMMYFUNCTION("""COMPUTED_VALUE"""),"Chicken in creamy basil sauce")</f>
        <v>Chicken in creamy basil sauce</v>
      </c>
      <c r="F306" s="186" t="str">
        <f>IFERROR(__xludf.DUMMYFUNCTION("""COMPUTED_VALUE"""),"Hähnchen in cremiger Basilikumsauce")</f>
        <v>Hähnchen in cremiger Basilikumsauce</v>
      </c>
      <c r="G306" s="186" t="str">
        <f>IFERROR(__xludf.DUMMYFUNCTION("""COMPUTED_VALUE"""),"FE4040B")</f>
        <v>FE4040B</v>
      </c>
      <c r="H306" s="186">
        <f>IFERROR(__xludf.DUMMYFUNCTION("""COMPUTED_VALUE"""),565172.0)</f>
        <v>565172</v>
      </c>
      <c r="I306" s="186"/>
      <c r="J306" s="189">
        <f>IFERROR(__xludf.DUMMYFUNCTION("""COMPUTED_VALUE"""),2229.0)</f>
        <v>2229</v>
      </c>
      <c r="K306" s="189">
        <f>IFERROR(__xludf.DUMMYFUNCTION("""COMPUTED_VALUE"""),2101.0)</f>
        <v>2101</v>
      </c>
      <c r="L306" s="189">
        <f>IFERROR(__xludf.DUMMYFUNCTION("""COMPUTED_VALUE"""),1809.0)</f>
        <v>1809</v>
      </c>
      <c r="M306" s="189">
        <f>IFERROR(__xludf.DUMMYFUNCTION("""COMPUTED_VALUE"""),1893.0)</f>
        <v>1893</v>
      </c>
      <c r="N306" s="189">
        <f>IFERROR(__xludf.DUMMYFUNCTION("""COMPUTED_VALUE"""),1546.0)</f>
        <v>1546</v>
      </c>
      <c r="O306" s="189">
        <f>IFERROR(__xludf.DUMMYFUNCTION("""COMPUTED_VALUE"""),1551.0)</f>
        <v>1551</v>
      </c>
      <c r="P306" s="186"/>
      <c r="Q306" s="186"/>
      <c r="R306" s="186"/>
      <c r="S306" s="189">
        <f>IFERROR(__xludf.DUMMYFUNCTION("""COMPUTED_VALUE"""),1582.0)</f>
        <v>1582</v>
      </c>
    </row>
    <row r="307">
      <c r="A307" s="186" t="str">
        <f>IFERROR(__xludf.DUMMYFUNCTION("""COMPUTED_VALUE"""),"DE")</f>
        <v>DE</v>
      </c>
      <c r="B307" s="186" t="str">
        <f>IFERROR(__xludf.DUMMYFUNCTION("""COMPUTED_VALUE"""),"W01")</f>
        <v>W01</v>
      </c>
      <c r="C307" s="186">
        <f>IFERROR(__xludf.DUMMYFUNCTION("""COMPUTED_VALUE"""),305.0)</f>
        <v>305</v>
      </c>
      <c r="D307" s="186" t="str">
        <f>IFERROR(__xludf.DUMMYFUNCTION("""COMPUTED_VALUE"""),"CON-00-136669-3")</f>
        <v>CON-00-136669-3</v>
      </c>
      <c r="E307" s="186" t="str">
        <f>IFERROR(__xludf.DUMMYFUNCTION("""COMPUTED_VALUE"""),"Cranberry Chicken ")</f>
        <v>Cranberry Chicken </v>
      </c>
      <c r="F307" s="186" t="str">
        <f>IFERROR(__xludf.DUMMYFUNCTION("""COMPUTED_VALUE"""),"Cranberry-Hähnchen")</f>
        <v>Cranberry-Hähnchen</v>
      </c>
      <c r="G307" s="186" t="str">
        <f>IFERROR(__xludf.DUMMYFUNCTION("""COMPUTED_VALUE"""),"FE0271B")</f>
        <v>FE0271B</v>
      </c>
      <c r="H307" s="186">
        <f>IFERROR(__xludf.DUMMYFUNCTION("""COMPUTED_VALUE"""),565132.0)</f>
        <v>565132</v>
      </c>
      <c r="I307" s="186"/>
      <c r="J307" s="189">
        <f>IFERROR(__xludf.DUMMYFUNCTION("""COMPUTED_VALUE"""),1933.0)</f>
        <v>1933</v>
      </c>
      <c r="K307" s="189">
        <f>IFERROR(__xludf.DUMMYFUNCTION("""COMPUTED_VALUE"""),1819.0)</f>
        <v>1819</v>
      </c>
      <c r="L307" s="189">
        <f>IFERROR(__xludf.DUMMYFUNCTION("""COMPUTED_VALUE"""),1500.0)</f>
        <v>1500</v>
      </c>
      <c r="M307" s="189">
        <f>IFERROR(__xludf.DUMMYFUNCTION("""COMPUTED_VALUE"""),1759.0)</f>
        <v>1759</v>
      </c>
      <c r="N307" s="189">
        <f>IFERROR(__xludf.DUMMYFUNCTION("""COMPUTED_VALUE"""),1400.0)</f>
        <v>1400</v>
      </c>
      <c r="O307" s="189">
        <f>IFERROR(__xludf.DUMMYFUNCTION("""COMPUTED_VALUE"""),1354.0)</f>
        <v>1354</v>
      </c>
      <c r="P307" s="186"/>
      <c r="Q307" s="186"/>
      <c r="R307" s="186"/>
      <c r="S307" s="189">
        <f>IFERROR(__xludf.DUMMYFUNCTION("""COMPUTED_VALUE"""),1417.0)</f>
        <v>1417</v>
      </c>
    </row>
    <row r="308">
      <c r="A308" s="186" t="str">
        <f>IFERROR(__xludf.DUMMYFUNCTION("""COMPUTED_VALUE"""),"DE")</f>
        <v>DE</v>
      </c>
      <c r="B308" s="186" t="str">
        <f>IFERROR(__xludf.DUMMYFUNCTION("""COMPUTED_VALUE"""),"W01")</f>
        <v>W01</v>
      </c>
      <c r="C308" s="186">
        <f>IFERROR(__xludf.DUMMYFUNCTION("""COMPUTED_VALUE"""),306.0)</f>
        <v>306</v>
      </c>
      <c r="D308" s="186" t="str">
        <f>IFERROR(__xludf.DUMMYFUNCTION("""COMPUTED_VALUE"""),"CON-00-137559-2")</f>
        <v>CON-00-137559-2</v>
      </c>
      <c r="E308" s="186"/>
      <c r="F308" s="186"/>
      <c r="G308" s="186" t="str">
        <f>IFERROR(__xludf.DUMMYFUNCTION("""COMPUTED_VALUE"""),"FE4053A")</f>
        <v>FE4053A</v>
      </c>
      <c r="H308" s="186"/>
      <c r="I308" s="186"/>
      <c r="J308" s="189">
        <f>IFERROR(__xludf.DUMMYFUNCTION("""COMPUTED_VALUE"""),1470.0)</f>
        <v>1470</v>
      </c>
      <c r="K308" s="189">
        <f>IFERROR(__xludf.DUMMYFUNCTION("""COMPUTED_VALUE"""),1351.0)</f>
        <v>1351</v>
      </c>
      <c r="L308" s="189">
        <f>IFERROR(__xludf.DUMMYFUNCTION("""COMPUTED_VALUE"""),1341.0)</f>
        <v>1341</v>
      </c>
      <c r="M308" s="189">
        <f>IFERROR(__xludf.DUMMYFUNCTION("""COMPUTED_VALUE"""),1370.0)</f>
        <v>1370</v>
      </c>
      <c r="N308" s="189">
        <f>IFERROR(__xludf.DUMMYFUNCTION("""COMPUTED_VALUE"""),1079.0)</f>
        <v>1079</v>
      </c>
      <c r="O308" s="189">
        <f>IFERROR(__xludf.DUMMYFUNCTION("""COMPUTED_VALUE"""),1120.0)</f>
        <v>1120</v>
      </c>
      <c r="P308" s="186"/>
      <c r="Q308" s="186"/>
      <c r="R308" s="186"/>
      <c r="S308" s="189">
        <f>IFERROR(__xludf.DUMMYFUNCTION("""COMPUTED_VALUE"""),1072.0)</f>
        <v>1072</v>
      </c>
    </row>
    <row r="309">
      <c r="A309" s="186" t="str">
        <f>IFERROR(__xludf.DUMMYFUNCTION("""COMPUTED_VALUE"""),"DE")</f>
        <v>DE</v>
      </c>
      <c r="B309" s="186" t="str">
        <f>IFERROR(__xludf.DUMMYFUNCTION("""COMPUTED_VALUE"""),"W01")</f>
        <v>W01</v>
      </c>
      <c r="C309" s="186">
        <f>IFERROR(__xludf.DUMMYFUNCTION("""COMPUTED_VALUE"""),307.0)</f>
        <v>307</v>
      </c>
      <c r="D309" s="186" t="str">
        <f>IFERROR(__xludf.DUMMYFUNCTION("""COMPUTED_VALUE"""),"CON-00-139494-2")</f>
        <v>CON-00-139494-2</v>
      </c>
      <c r="E309" s="186" t="str">
        <f>IFERROR(__xludf.DUMMYFUNCTION("""COMPUTED_VALUE"""),"Artichoke &amp; Spinach Pork tenderloin")</f>
        <v>Artichoke &amp; Spinach Pork tenderloin</v>
      </c>
      <c r="F309" s="186" t="str">
        <f>IFERROR(__xludf.DUMMYFUNCTION("""COMPUTED_VALUE"""),"Schweinefilet mit Artischocken und Spinat")</f>
        <v>Schweinefilet mit Artischocken und Spinat</v>
      </c>
      <c r="G309" s="186" t="str">
        <f>IFERROR(__xludf.DUMMYFUNCTION("""COMPUTED_VALUE"""),"FE4060A")</f>
        <v>FE4060A</v>
      </c>
      <c r="H309" s="186">
        <f>IFERROR(__xludf.DUMMYFUNCTION("""COMPUTED_VALUE"""),565134.0)</f>
        <v>565134</v>
      </c>
      <c r="I309" s="186"/>
      <c r="J309" s="189">
        <f>IFERROR(__xludf.DUMMYFUNCTION("""COMPUTED_VALUE"""),959.0)</f>
        <v>959</v>
      </c>
      <c r="K309" s="189">
        <f>IFERROR(__xludf.DUMMYFUNCTION("""COMPUTED_VALUE"""),882.0)</f>
        <v>882</v>
      </c>
      <c r="L309" s="189">
        <f>IFERROR(__xludf.DUMMYFUNCTION("""COMPUTED_VALUE"""),877.0)</f>
        <v>877</v>
      </c>
      <c r="M309" s="189">
        <f>IFERROR(__xludf.DUMMYFUNCTION("""COMPUTED_VALUE"""),806.0)</f>
        <v>806</v>
      </c>
      <c r="N309" s="189">
        <f>IFERROR(__xludf.DUMMYFUNCTION("""COMPUTED_VALUE"""),640.0)</f>
        <v>640</v>
      </c>
      <c r="O309" s="189">
        <f>IFERROR(__xludf.DUMMYFUNCTION("""COMPUTED_VALUE"""),645.0)</f>
        <v>645</v>
      </c>
      <c r="P309" s="186"/>
      <c r="Q309" s="186"/>
      <c r="R309" s="186"/>
      <c r="S309" s="189">
        <f>IFERROR(__xludf.DUMMYFUNCTION("""COMPUTED_VALUE"""),620.0)</f>
        <v>620</v>
      </c>
    </row>
    <row r="310">
      <c r="A310" s="186" t="str">
        <f>IFERROR(__xludf.DUMMYFUNCTION("""COMPUTED_VALUE"""),"DE")</f>
        <v>DE</v>
      </c>
      <c r="B310" s="186" t="str">
        <f>IFERROR(__xludf.DUMMYFUNCTION("""COMPUTED_VALUE"""),"W01")</f>
        <v>W01</v>
      </c>
      <c r="C310" s="186">
        <f>IFERROR(__xludf.DUMMYFUNCTION("""COMPUTED_VALUE"""),308.0)</f>
        <v>308</v>
      </c>
      <c r="D310" s="186" t="str">
        <f>IFERROR(__xludf.DUMMYFUNCTION("""COMPUTED_VALUE"""),"CON-00-136617-3")</f>
        <v>CON-00-136617-3</v>
      </c>
      <c r="E310" s="186" t="str">
        <f>IFERROR(__xludf.DUMMYFUNCTION("""COMPUTED_VALUE"""),"Salmon on cheesy cauliflower rice")</f>
        <v>Salmon on cheesy cauliflower rice</v>
      </c>
      <c r="F310" s="186" t="str">
        <f>IFERROR(__xludf.DUMMYFUNCTION("""COMPUTED_VALUE"""),"Lachs auf Blumenkohlreis in Käsecreme")</f>
        <v>Lachs auf Blumenkohlreis in Käsecreme</v>
      </c>
      <c r="G310" s="186" t="str">
        <f>IFERROR(__xludf.DUMMYFUNCTION("""COMPUTED_VALUE"""),"FE0036E")</f>
        <v>FE0036E</v>
      </c>
      <c r="H310" s="186">
        <f>IFERROR(__xludf.DUMMYFUNCTION("""COMPUTED_VALUE"""),565042.0)</f>
        <v>565042</v>
      </c>
      <c r="I310" s="186" t="str">
        <f>IFERROR(__xludf.DUMMYFUNCTION("""COMPUTED_VALUE"""),"HF Zalm+cheesy bloemk rijst")</f>
        <v>HF Zalm+cheesy bloemk rijst</v>
      </c>
      <c r="J310" s="189">
        <f>IFERROR(__xludf.DUMMYFUNCTION("""COMPUTED_VALUE"""),1229.0)</f>
        <v>1229</v>
      </c>
      <c r="K310" s="189">
        <f>IFERROR(__xludf.DUMMYFUNCTION("""COMPUTED_VALUE"""),1208.0)</f>
        <v>1208</v>
      </c>
      <c r="L310" s="189">
        <f>IFERROR(__xludf.DUMMYFUNCTION("""COMPUTED_VALUE"""),1152.0)</f>
        <v>1152</v>
      </c>
      <c r="M310" s="189">
        <f>IFERROR(__xludf.DUMMYFUNCTION("""COMPUTED_VALUE"""),1276.0)</f>
        <v>1276</v>
      </c>
      <c r="N310" s="189">
        <f>IFERROR(__xludf.DUMMYFUNCTION("""COMPUTED_VALUE"""),1023.0)</f>
        <v>1023</v>
      </c>
      <c r="O310" s="189">
        <f>IFERROR(__xludf.DUMMYFUNCTION("""COMPUTED_VALUE"""),1023.0)</f>
        <v>1023</v>
      </c>
      <c r="P310" s="186"/>
      <c r="Q310" s="186"/>
      <c r="R310" s="186"/>
      <c r="S310" s="189">
        <f>IFERROR(__xludf.DUMMYFUNCTION("""COMPUTED_VALUE"""),927.0)</f>
        <v>927</v>
      </c>
    </row>
    <row r="311">
      <c r="A311" s="186" t="str">
        <f>IFERROR(__xludf.DUMMYFUNCTION("""COMPUTED_VALUE"""),"DE")</f>
        <v>DE</v>
      </c>
      <c r="B311" s="186" t="str">
        <f>IFERROR(__xludf.DUMMYFUNCTION("""COMPUTED_VALUE"""),"W01")</f>
        <v>W01</v>
      </c>
      <c r="C311" s="186">
        <f>IFERROR(__xludf.DUMMYFUNCTION("""COMPUTED_VALUE"""),309.0)</f>
        <v>309</v>
      </c>
      <c r="D311" s="186" t="str">
        <f>IFERROR(__xludf.DUMMYFUNCTION("""COMPUTED_VALUE"""),"CON-00-136641-3")</f>
        <v>CON-00-136641-3</v>
      </c>
      <c r="E311" s="186"/>
      <c r="F311" s="186"/>
      <c r="G311" s="186" t="str">
        <f>IFERROR(__xludf.DUMMYFUNCTION("""COMPUTED_VALUE"""),"FE0121B")</f>
        <v>FE0121B</v>
      </c>
      <c r="H311" s="186"/>
      <c r="I311" s="186"/>
      <c r="J311" s="186">
        <f>IFERROR(__xludf.DUMMYFUNCTION("""COMPUTED_VALUE"""),291.0)</f>
        <v>291</v>
      </c>
      <c r="K311" s="186">
        <f>IFERROR(__xludf.DUMMYFUNCTION("""COMPUTED_VALUE"""),270.0)</f>
        <v>270</v>
      </c>
      <c r="L311" s="186">
        <f>IFERROR(__xludf.DUMMYFUNCTION("""COMPUTED_VALUE"""),313.0)</f>
        <v>313</v>
      </c>
      <c r="M311" s="186">
        <f>IFERROR(__xludf.DUMMYFUNCTION("""COMPUTED_VALUE"""),282.0)</f>
        <v>282</v>
      </c>
      <c r="N311" s="186">
        <f>IFERROR(__xludf.DUMMYFUNCTION("""COMPUTED_VALUE"""),217.0)</f>
        <v>217</v>
      </c>
      <c r="O311" s="186">
        <f>IFERROR(__xludf.DUMMYFUNCTION("""COMPUTED_VALUE"""),213.0)</f>
        <v>213</v>
      </c>
      <c r="P311" s="186"/>
      <c r="Q311" s="186"/>
      <c r="R311" s="186"/>
      <c r="S311" s="189">
        <f>IFERROR(__xludf.DUMMYFUNCTION("""COMPUTED_VALUE"""),178.0)</f>
        <v>178</v>
      </c>
    </row>
    <row r="312">
      <c r="A312" s="186" t="str">
        <f>IFERROR(__xludf.DUMMYFUNCTION("""COMPUTED_VALUE"""),"DE")</f>
        <v>DE</v>
      </c>
      <c r="B312" s="186" t="str">
        <f>IFERROR(__xludf.DUMMYFUNCTION("""COMPUTED_VALUE"""),"W01")</f>
        <v>W01</v>
      </c>
      <c r="C312" s="186">
        <f>IFERROR(__xludf.DUMMYFUNCTION("""COMPUTED_VALUE"""),310.0)</f>
        <v>310</v>
      </c>
      <c r="D312" s="186" t="str">
        <f>IFERROR(__xludf.DUMMYFUNCTION("""COMPUTED_VALUE"""),"CON-00-136634-3")</f>
        <v>CON-00-136634-3</v>
      </c>
      <c r="E312" s="186" t="str">
        <f>IFERROR(__xludf.DUMMYFUNCTION("""COMPUTED_VALUE"""),"Ratatouille of zucchini and pepper")</f>
        <v>Ratatouille of zucchini and pepper</v>
      </c>
      <c r="F312" s="186" t="str">
        <f>IFERROR(__xludf.DUMMYFUNCTION("""COMPUTED_VALUE"""),"Zucchini-Paprika-Ratatouille")</f>
        <v>Zucchini-Paprika-Ratatouille</v>
      </c>
      <c r="G312" s="186" t="str">
        <f>IFERROR(__xludf.DUMMYFUNCTION("""COMPUTED_VALUE"""),"FE0090C")</f>
        <v>FE0090C</v>
      </c>
      <c r="H312" s="186">
        <f>IFERROR(__xludf.DUMMYFUNCTION("""COMPUTED_VALUE"""),565141.0)</f>
        <v>565141</v>
      </c>
      <c r="I312" s="186"/>
      <c r="J312" s="186">
        <f>IFERROR(__xludf.DUMMYFUNCTION("""COMPUTED_VALUE"""),357.0)</f>
        <v>357</v>
      </c>
      <c r="K312" s="186">
        <f>IFERROR(__xludf.DUMMYFUNCTION("""COMPUTED_VALUE"""),324.0)</f>
        <v>324</v>
      </c>
      <c r="L312" s="186">
        <f>IFERROR(__xludf.DUMMYFUNCTION("""COMPUTED_VALUE"""),308.0)</f>
        <v>308</v>
      </c>
      <c r="M312" s="186">
        <f>IFERROR(__xludf.DUMMYFUNCTION("""COMPUTED_VALUE"""),203.0)</f>
        <v>203</v>
      </c>
      <c r="N312" s="186">
        <f>IFERROR(__xludf.DUMMYFUNCTION("""COMPUTED_VALUE"""),158.0)</f>
        <v>158</v>
      </c>
      <c r="O312" s="186">
        <f>IFERROR(__xludf.DUMMYFUNCTION("""COMPUTED_VALUE"""),173.0)</f>
        <v>173</v>
      </c>
      <c r="P312" s="186"/>
      <c r="Q312" s="186"/>
      <c r="R312" s="186"/>
      <c r="S312" s="186">
        <f>IFERROR(__xludf.DUMMYFUNCTION("""COMPUTED_VALUE"""),146.0)</f>
        <v>146</v>
      </c>
    </row>
    <row r="313">
      <c r="A313" s="186" t="str">
        <f>IFERROR(__xludf.DUMMYFUNCTION("""COMPUTED_VALUE"""),"DE")</f>
        <v>DE</v>
      </c>
      <c r="B313" s="186" t="str">
        <f>IFERROR(__xludf.DUMMYFUNCTION("""COMPUTED_VALUE"""),"W01")</f>
        <v>W01</v>
      </c>
      <c r="C313" s="186">
        <f>IFERROR(__xludf.DUMMYFUNCTION("""COMPUTED_VALUE"""),311.0)</f>
        <v>311</v>
      </c>
      <c r="D313" s="186" t="str">
        <f>IFERROR(__xludf.DUMMYFUNCTION("""COMPUTED_VALUE"""),"CON-00-152028-2")</f>
        <v>CON-00-152028-2</v>
      </c>
      <c r="E313" s="186" t="str">
        <f>IFERROR(__xludf.DUMMYFUNCTION("""COMPUTED_VALUE"""),"Chive &amp; Garlic Chicken")</f>
        <v>Chive &amp; Garlic Chicken</v>
      </c>
      <c r="F313" s="186" t="str">
        <f>IFERROR(__xludf.DUMMYFUNCTION("""COMPUTED_VALUE"""),"Hähnchenbrust mit Schnittlauch und Knoblauch")</f>
        <v>Hähnchenbrust mit Schnittlauch und Knoblauch</v>
      </c>
      <c r="G313" s="186" t="str">
        <f>IFERROR(__xludf.DUMMYFUNCTION("""COMPUTED_VALUE"""),"FE0384K")</f>
        <v>FE0384K</v>
      </c>
      <c r="H313" s="186">
        <f>IFERROR(__xludf.DUMMYFUNCTION("""COMPUTED_VALUE"""),565203.0)</f>
        <v>565203</v>
      </c>
      <c r="I313" s="186" t="str">
        <f>IFERROR(__xludf.DUMMYFUNCTION("""COMPUTED_VALUE"""),"HF Kip cheddar-aardappelpuree")</f>
        <v>HF Kip cheddar-aardappelpuree</v>
      </c>
      <c r="J313" s="186">
        <f>IFERROR(__xludf.DUMMYFUNCTION("""COMPUTED_VALUE"""),468.0)</f>
        <v>468</v>
      </c>
      <c r="K313" s="186">
        <f>IFERROR(__xludf.DUMMYFUNCTION("""COMPUTED_VALUE"""),567.0)</f>
        <v>567</v>
      </c>
      <c r="L313" s="186">
        <f>IFERROR(__xludf.DUMMYFUNCTION("""COMPUTED_VALUE"""),654.0)</f>
        <v>654</v>
      </c>
      <c r="M313" s="186">
        <f>IFERROR(__xludf.DUMMYFUNCTION("""COMPUTED_VALUE"""),730.0)</f>
        <v>730</v>
      </c>
      <c r="N313" s="186">
        <f>IFERROR(__xludf.DUMMYFUNCTION("""COMPUTED_VALUE"""),559.0)</f>
        <v>559</v>
      </c>
      <c r="O313" s="186">
        <f>IFERROR(__xludf.DUMMYFUNCTION("""COMPUTED_VALUE"""),578.0)</f>
        <v>578</v>
      </c>
      <c r="P313" s="186"/>
      <c r="Q313" s="186"/>
      <c r="R313" s="186"/>
      <c r="S313" s="189">
        <f>IFERROR(__xludf.DUMMYFUNCTION("""COMPUTED_VALUE"""),409.0)</f>
        <v>409</v>
      </c>
    </row>
    <row r="314">
      <c r="A314" s="186" t="str">
        <f>IFERROR(__xludf.DUMMYFUNCTION("""COMPUTED_VALUE"""),"DE")</f>
        <v>DE</v>
      </c>
      <c r="B314" s="186" t="str">
        <f>IFERROR(__xludf.DUMMYFUNCTION("""COMPUTED_VALUE"""),"W01")</f>
        <v>W01</v>
      </c>
      <c r="C314" s="186">
        <f>IFERROR(__xludf.DUMMYFUNCTION("""COMPUTED_VALUE"""),312.0)</f>
        <v>312</v>
      </c>
      <c r="D314" s="186" t="str">
        <f>IFERROR(__xludf.DUMMYFUNCTION("""COMPUTED_VALUE"""),"CON-00-152036-2")</f>
        <v>CON-00-152036-2</v>
      </c>
      <c r="E314" s="186" t="str">
        <f>IFERROR(__xludf.DUMMYFUNCTION("""COMPUTED_VALUE"""),"Caribbean Mango Salsa Salmon")</f>
        <v>Caribbean Mango Salsa Salmon</v>
      </c>
      <c r="F314" s="186" t="str">
        <f>IFERROR(__xludf.DUMMYFUNCTION("""COMPUTED_VALUE"""),"Karibischer Lachs mit Mangosalsa")</f>
        <v>Karibischer Lachs mit Mangosalsa</v>
      </c>
      <c r="G314" s="186" t="str">
        <f>IFERROR(__xludf.DUMMYFUNCTION("""COMPUTED_VALUE"""),"FE1465A")</f>
        <v>FE1465A</v>
      </c>
      <c r="H314" s="186">
        <f>IFERROR(__xludf.DUMMYFUNCTION("""COMPUTED_VALUE"""),565198.0)</f>
        <v>565198</v>
      </c>
      <c r="I314" s="186" t="str">
        <f>IFERROR(__xludf.DUMMYFUNCTION("""COMPUTED_VALUE"""),"HF Mango salsa zalm")</f>
        <v>HF Mango salsa zalm</v>
      </c>
      <c r="J314" s="189">
        <f>IFERROR(__xludf.DUMMYFUNCTION("""COMPUTED_VALUE"""),1126.0)</f>
        <v>1126</v>
      </c>
      <c r="K314" s="189">
        <f>IFERROR(__xludf.DUMMYFUNCTION("""COMPUTED_VALUE"""),1022.0)</f>
        <v>1022</v>
      </c>
      <c r="L314" s="189">
        <f>IFERROR(__xludf.DUMMYFUNCTION("""COMPUTED_VALUE"""),874.0)</f>
        <v>874</v>
      </c>
      <c r="M314" s="189">
        <f>IFERROR(__xludf.DUMMYFUNCTION("""COMPUTED_VALUE"""),952.0)</f>
        <v>952</v>
      </c>
      <c r="N314" s="189">
        <f>IFERROR(__xludf.DUMMYFUNCTION("""COMPUTED_VALUE"""),800.0)</f>
        <v>800</v>
      </c>
      <c r="O314" s="189">
        <f>IFERROR(__xludf.DUMMYFUNCTION("""COMPUTED_VALUE"""),767.0)</f>
        <v>767</v>
      </c>
      <c r="P314" s="186"/>
      <c r="Q314" s="186"/>
      <c r="R314" s="186"/>
      <c r="S314" s="186">
        <f>IFERROR(__xludf.DUMMYFUNCTION("""COMPUTED_VALUE"""),777.0)</f>
        <v>777</v>
      </c>
    </row>
    <row r="315">
      <c r="A315" s="186" t="str">
        <f>IFERROR(__xludf.DUMMYFUNCTION("""COMPUTED_VALUE"""),"DE")</f>
        <v>DE</v>
      </c>
      <c r="B315" s="186" t="str">
        <f>IFERROR(__xludf.DUMMYFUNCTION("""COMPUTED_VALUE"""),"W01")</f>
        <v>W01</v>
      </c>
      <c r="C315" s="186">
        <f>IFERROR(__xludf.DUMMYFUNCTION("""COMPUTED_VALUE"""),313.0)</f>
        <v>313</v>
      </c>
      <c r="D315" s="186" t="str">
        <f>IFERROR(__xludf.DUMMYFUNCTION("""COMPUTED_VALUE"""),"CON-00-154545-2")</f>
        <v>CON-00-154545-2</v>
      </c>
      <c r="E315" s="186" t="str">
        <f>IFERROR(__xludf.DUMMYFUNCTION("""COMPUTED_VALUE"""),"Pulled Jerk Chicken &amp; Rice")</f>
        <v>Pulled Jerk Chicken &amp; Rice</v>
      </c>
      <c r="F315" s="186" t="str">
        <f>IFERROR(__xludf.DUMMYFUNCTION("""COMPUTED_VALUE"""),"Pulled Jerk Chicken mit Reis")</f>
        <v>Pulled Jerk Chicken mit Reis</v>
      </c>
      <c r="G315" s="186" t="str">
        <f>IFERROR(__xludf.DUMMYFUNCTION("""COMPUTED_VALUE"""),"FE4071A")</f>
        <v>FE4071A</v>
      </c>
      <c r="H315" s="186">
        <f>IFERROR(__xludf.DUMMYFUNCTION("""COMPUTED_VALUE"""),565219.0)</f>
        <v>565219</v>
      </c>
      <c r="I315" s="186" t="str">
        <f>IFERROR(__xludf.DUMMYFUNCTION("""COMPUTED_VALUE"""),"HF Jerk chicken en rijst")</f>
        <v>HF Jerk chicken en rijst</v>
      </c>
      <c r="J315" s="189">
        <f>IFERROR(__xludf.DUMMYFUNCTION("""COMPUTED_VALUE"""),1001.0)</f>
        <v>1001</v>
      </c>
      <c r="K315" s="189">
        <f>IFERROR(__xludf.DUMMYFUNCTION("""COMPUTED_VALUE"""),963.0)</f>
        <v>963</v>
      </c>
      <c r="L315" s="189">
        <f>IFERROR(__xludf.DUMMYFUNCTION("""COMPUTED_VALUE"""),1277.0)</f>
        <v>1277</v>
      </c>
      <c r="M315" s="189">
        <f>IFERROR(__xludf.DUMMYFUNCTION("""COMPUTED_VALUE"""),1153.0)</f>
        <v>1153</v>
      </c>
      <c r="N315" s="189">
        <f>IFERROR(__xludf.DUMMYFUNCTION("""COMPUTED_VALUE"""),943.0)</f>
        <v>943</v>
      </c>
      <c r="O315" s="189">
        <f>IFERROR(__xludf.DUMMYFUNCTION("""COMPUTED_VALUE"""),928.0)</f>
        <v>928</v>
      </c>
      <c r="P315" s="186"/>
      <c r="Q315" s="186"/>
      <c r="R315" s="186"/>
      <c r="S315" s="189">
        <f>IFERROR(__xludf.DUMMYFUNCTION("""COMPUTED_VALUE"""),855.0)</f>
        <v>855</v>
      </c>
    </row>
    <row r="316">
      <c r="A316" s="186" t="str">
        <f>IFERROR(__xludf.DUMMYFUNCTION("""COMPUTED_VALUE"""),"DE")</f>
        <v>DE</v>
      </c>
      <c r="B316" s="186" t="str">
        <f>IFERROR(__xludf.DUMMYFUNCTION("""COMPUTED_VALUE"""),"W01")</f>
        <v>W01</v>
      </c>
      <c r="C316" s="186">
        <f>IFERROR(__xludf.DUMMYFUNCTION("""COMPUTED_VALUE"""),314.0)</f>
        <v>314</v>
      </c>
      <c r="D316" s="186" t="str">
        <f>IFERROR(__xludf.DUMMYFUNCTION("""COMPUTED_VALUE"""),"CON-00-154550-2")</f>
        <v>CON-00-154550-2</v>
      </c>
      <c r="E316" s="186" t="str">
        <f>IFERROR(__xludf.DUMMYFUNCTION("""COMPUTED_VALUE"""),"Fire-Roasted Tomato &amp; Feta Shrimp")</f>
        <v>Fire-Roasted Tomato &amp; Feta Shrimp</v>
      </c>
      <c r="F316" s="186" t="str">
        <f>IFERROR(__xludf.DUMMYFUNCTION("""COMPUTED_VALUE"""),"Feuergeröstete Tomaten- und Feta-Garnelen")</f>
        <v>Feuergeröstete Tomaten- und Feta-Garnelen</v>
      </c>
      <c r="G316" s="186" t="str">
        <f>IFERROR(__xludf.DUMMYFUNCTION("""COMPUTED_VALUE"""),"FE1776A")</f>
        <v>FE1776A</v>
      </c>
      <c r="H316" s="186">
        <f>IFERROR(__xludf.DUMMYFUNCTION("""COMPUTED_VALUE"""),565229.0)</f>
        <v>565229</v>
      </c>
      <c r="I316" s="186" t="str">
        <f>IFERROR(__xludf.DUMMYFUNCTION("""COMPUTED_VALUE"""),"HF Garnaal tomaat feta saus")</f>
        <v>HF Garnaal tomaat feta saus</v>
      </c>
      <c r="J316" s="186">
        <f>IFERROR(__xludf.DUMMYFUNCTION("""COMPUTED_VALUE"""),740.0)</f>
        <v>740</v>
      </c>
      <c r="K316" s="186">
        <f>IFERROR(__xludf.DUMMYFUNCTION("""COMPUTED_VALUE"""),612.0)</f>
        <v>612</v>
      </c>
      <c r="L316" s="189">
        <f>IFERROR(__xludf.DUMMYFUNCTION("""COMPUTED_VALUE"""),847.0)</f>
        <v>847</v>
      </c>
      <c r="M316" s="189">
        <f>IFERROR(__xludf.DUMMYFUNCTION("""COMPUTED_VALUE"""),747.0)</f>
        <v>747</v>
      </c>
      <c r="N316" s="189">
        <f>IFERROR(__xludf.DUMMYFUNCTION("""COMPUTED_VALUE"""),553.0)</f>
        <v>553</v>
      </c>
      <c r="O316" s="189">
        <f>IFERROR(__xludf.DUMMYFUNCTION("""COMPUTED_VALUE"""),546.0)</f>
        <v>546</v>
      </c>
      <c r="P316" s="186"/>
      <c r="Q316" s="186"/>
      <c r="R316" s="186"/>
      <c r="S316" s="189">
        <f>IFERROR(__xludf.DUMMYFUNCTION("""COMPUTED_VALUE"""),428.0)</f>
        <v>428</v>
      </c>
    </row>
    <row r="317">
      <c r="A317" s="186" t="str">
        <f>IFERROR(__xludf.DUMMYFUNCTION("""COMPUTED_VALUE"""),"DE")</f>
        <v>DE</v>
      </c>
      <c r="B317" s="186" t="str">
        <f>IFERROR(__xludf.DUMMYFUNCTION("""COMPUTED_VALUE"""),"W01")</f>
        <v>W01</v>
      </c>
      <c r="C317" s="186">
        <f>IFERROR(__xludf.DUMMYFUNCTION("""COMPUTED_VALUE"""),315.0)</f>
        <v>315</v>
      </c>
      <c r="D317" s="186" t="str">
        <f>IFERROR(__xludf.DUMMYFUNCTION("""COMPUTED_VALUE"""),"CON-00-152031-2")</f>
        <v>CON-00-152031-2</v>
      </c>
      <c r="E317" s="186" t="str">
        <f>IFERROR(__xludf.DUMMYFUNCTION("""COMPUTED_VALUE"""),"Spicy Beef &amp; Black Bean Chili")</f>
        <v>Spicy Beef &amp; Black Bean Chili</v>
      </c>
      <c r="F317" s="186" t="str">
        <f>IFERROR(__xludf.DUMMYFUNCTION("""COMPUTED_VALUE"""),"Würziges Rindfleisch-Bohnen-Chili")</f>
        <v>Würziges Rindfleisch-Bohnen-Chili</v>
      </c>
      <c r="G317" s="186" t="str">
        <f>IFERROR(__xludf.DUMMYFUNCTION("""COMPUTED_VALUE"""),"FE4065A")</f>
        <v>FE4065A</v>
      </c>
      <c r="H317" s="186">
        <f>IFERROR(__xludf.DUMMYFUNCTION("""COMPUTED_VALUE"""),565214.0)</f>
        <v>565214</v>
      </c>
      <c r="I317" s="186" t="str">
        <f>IFERROR(__xludf.DUMMYFUNCTION("""COMPUTED_VALUE"""),"HF Pittige runder chili")</f>
        <v>HF Pittige runder chili</v>
      </c>
      <c r="J317" s="186">
        <f>IFERROR(__xludf.DUMMYFUNCTION("""COMPUTED_VALUE"""),725.0)</f>
        <v>725</v>
      </c>
      <c r="K317" s="186">
        <f>IFERROR(__xludf.DUMMYFUNCTION("""COMPUTED_VALUE"""),664.0)</f>
        <v>664</v>
      </c>
      <c r="L317" s="186">
        <f>IFERROR(__xludf.DUMMYFUNCTION("""COMPUTED_VALUE"""),545.0)</f>
        <v>545</v>
      </c>
      <c r="M317" s="186">
        <f>IFERROR(__xludf.DUMMYFUNCTION("""COMPUTED_VALUE"""),471.0)</f>
        <v>471</v>
      </c>
      <c r="N317" s="186">
        <f>IFERROR(__xludf.DUMMYFUNCTION("""COMPUTED_VALUE"""),354.0)</f>
        <v>354</v>
      </c>
      <c r="O317" s="186">
        <f>IFERROR(__xludf.DUMMYFUNCTION("""COMPUTED_VALUE"""),368.0)</f>
        <v>368</v>
      </c>
      <c r="P317" s="186"/>
      <c r="Q317" s="186"/>
      <c r="R317" s="186"/>
      <c r="S317" s="189">
        <f>IFERROR(__xludf.DUMMYFUNCTION("""COMPUTED_VALUE"""),263.0)</f>
        <v>263</v>
      </c>
    </row>
    <row r="318">
      <c r="A318" s="186" t="str">
        <f>IFERROR(__xludf.DUMMYFUNCTION("""COMPUTED_VALUE"""),"DE")</f>
        <v>DE</v>
      </c>
      <c r="B318" s="186" t="str">
        <f>IFERROR(__xludf.DUMMYFUNCTION("""COMPUTED_VALUE"""),"W01")</f>
        <v>W01</v>
      </c>
      <c r="C318" s="186">
        <f>IFERROR(__xludf.DUMMYFUNCTION("""COMPUTED_VALUE"""),316.0)</f>
        <v>316</v>
      </c>
      <c r="D318" s="186" t="str">
        <f>IFERROR(__xludf.DUMMYFUNCTION("""COMPUTED_VALUE"""),"CON-00-136695-3")</f>
        <v>CON-00-136695-3</v>
      </c>
      <c r="E318" s="186" t="str">
        <f>IFERROR(__xludf.DUMMYFUNCTION("""COMPUTED_VALUE"""),"Chicken in lemon-capers sauce")</f>
        <v>Chicken in lemon-capers sauce</v>
      </c>
      <c r="F318" s="186" t="str">
        <f>IFERROR(__xludf.DUMMYFUNCTION("""COMPUTED_VALUE"""),"Hähnchen in Zitronen-Kapern-Sauce")</f>
        <v>Hähnchen in Zitronen-Kapern-Sauce</v>
      </c>
      <c r="G318" s="186" t="str">
        <f>IFERROR(__xludf.DUMMYFUNCTION("""COMPUTED_VALUE"""),"FE0025M")</f>
        <v>FE0025M</v>
      </c>
      <c r="H318" s="186">
        <f>IFERROR(__xludf.DUMMYFUNCTION("""COMPUTED_VALUE"""),565149.0)</f>
        <v>565149</v>
      </c>
      <c r="I318" s="186" t="str">
        <f>IFERROR(__xludf.DUMMYFUNCTION("""COMPUTED_VALUE"""),"HF Kip Piccata met broccoli")</f>
        <v>HF Kip Piccata met broccoli</v>
      </c>
      <c r="J318" s="186">
        <f>IFERROR(__xludf.DUMMYFUNCTION("""COMPUTED_VALUE"""),567.0)</f>
        <v>567</v>
      </c>
      <c r="K318" s="186">
        <f>IFERROR(__xludf.DUMMYFUNCTION("""COMPUTED_VALUE"""),574.0)</f>
        <v>574</v>
      </c>
      <c r="L318" s="186">
        <f>IFERROR(__xludf.DUMMYFUNCTION("""COMPUTED_VALUE"""),533.0)</f>
        <v>533</v>
      </c>
      <c r="M318" s="186">
        <f>IFERROR(__xludf.DUMMYFUNCTION("""COMPUTED_VALUE"""),458.0)</f>
        <v>458</v>
      </c>
      <c r="N318" s="186">
        <f>IFERROR(__xludf.DUMMYFUNCTION("""COMPUTED_VALUE"""),378.0)</f>
        <v>378</v>
      </c>
      <c r="O318" s="186">
        <f>IFERROR(__xludf.DUMMYFUNCTION("""COMPUTED_VALUE"""),348.0)</f>
        <v>348</v>
      </c>
      <c r="P318" s="186"/>
      <c r="Q318" s="186"/>
      <c r="R318" s="186"/>
      <c r="S318" s="189">
        <f>IFERROR(__xludf.DUMMYFUNCTION("""COMPUTED_VALUE"""),222.0)</f>
        <v>222</v>
      </c>
    </row>
    <row r="319">
      <c r="A319" s="186" t="str">
        <f>IFERROR(__xludf.DUMMYFUNCTION("""COMPUTED_VALUE"""),"DE")</f>
        <v>DE</v>
      </c>
      <c r="B319" s="186" t="str">
        <f>IFERROR(__xludf.DUMMYFUNCTION("""COMPUTED_VALUE"""),"W01")</f>
        <v>W01</v>
      </c>
      <c r="C319" s="186">
        <f>IFERROR(__xludf.DUMMYFUNCTION("""COMPUTED_VALUE"""),317.0)</f>
        <v>317</v>
      </c>
      <c r="D319" s="186" t="str">
        <f>IFERROR(__xludf.DUMMYFUNCTION("""COMPUTED_VALUE"""),"CON-00-136655-3")</f>
        <v>CON-00-136655-3</v>
      </c>
      <c r="E319" s="186" t="str">
        <f>IFERROR(__xludf.DUMMYFUNCTION("""COMPUTED_VALUE"""),"Pork tenderloin with caramelized onion")</f>
        <v>Pork tenderloin with caramelized onion</v>
      </c>
      <c r="F319" s="186" t="str">
        <f>IFERROR(__xludf.DUMMYFUNCTION("""COMPUTED_VALUE"""),"Schweinefilet mit karamellisierten Zwiebeln")</f>
        <v>Schweinefilet mit karamellisierten Zwiebeln</v>
      </c>
      <c r="G319" s="186" t="str">
        <f>IFERROR(__xludf.DUMMYFUNCTION("""COMPUTED_VALUE"""),"FE0565D")</f>
        <v>FE0565D</v>
      </c>
      <c r="H319" s="186">
        <f>IFERROR(__xludf.DUMMYFUNCTION("""COMPUTED_VALUE"""),565147.0)</f>
        <v>565147</v>
      </c>
      <c r="I319" s="186" t="str">
        <f>IFERROR(__xludf.DUMMYFUNCTION("""COMPUTED_VALUE"""),"HF RW Varkenshaas gekaram. ui")</f>
        <v>HF RW Varkenshaas gekaram. ui</v>
      </c>
      <c r="J319" s="186">
        <f>IFERROR(__xludf.DUMMYFUNCTION("""COMPUTED_VALUE"""),357.0)</f>
        <v>357</v>
      </c>
      <c r="K319" s="186">
        <f>IFERROR(__xludf.DUMMYFUNCTION("""COMPUTED_VALUE"""),324.0)</f>
        <v>324</v>
      </c>
      <c r="L319" s="189">
        <f>IFERROR(__xludf.DUMMYFUNCTION("""COMPUTED_VALUE"""),519.0)</f>
        <v>519</v>
      </c>
      <c r="M319" s="189">
        <f>IFERROR(__xludf.DUMMYFUNCTION("""COMPUTED_VALUE"""),518.0)</f>
        <v>518</v>
      </c>
      <c r="N319" s="189">
        <f>IFERROR(__xludf.DUMMYFUNCTION("""COMPUTED_VALUE"""),384.0)</f>
        <v>384</v>
      </c>
      <c r="O319" s="189">
        <f>IFERROR(__xludf.DUMMYFUNCTION("""COMPUTED_VALUE"""),381.0)</f>
        <v>381</v>
      </c>
      <c r="P319" s="186"/>
      <c r="Q319" s="186"/>
      <c r="R319" s="186"/>
      <c r="S319" s="189">
        <f>IFERROR(__xludf.DUMMYFUNCTION("""COMPUTED_VALUE"""),254.0)</f>
        <v>254</v>
      </c>
    </row>
    <row r="320">
      <c r="A320" s="186" t="str">
        <f>IFERROR(__xludf.DUMMYFUNCTION("""COMPUTED_VALUE"""),"DE")</f>
        <v>DE</v>
      </c>
      <c r="B320" s="186" t="str">
        <f>IFERROR(__xludf.DUMMYFUNCTION("""COMPUTED_VALUE"""),"W01")</f>
        <v>W01</v>
      </c>
      <c r="C320" s="186">
        <f>IFERROR(__xludf.DUMMYFUNCTION("""COMPUTED_VALUE"""),318.0)</f>
        <v>318</v>
      </c>
      <c r="D320" s="186" t="str">
        <f>IFERROR(__xludf.DUMMYFUNCTION("""COMPUTED_VALUE"""),"CON-00-138006-2")</f>
        <v>CON-00-138006-2</v>
      </c>
      <c r="E320" s="186"/>
      <c r="F320" s="186"/>
      <c r="G320" s="186" t="str">
        <f>IFERROR(__xludf.DUMMYFUNCTION("""COMPUTED_VALUE"""),"FE4048A")</f>
        <v>FE4048A</v>
      </c>
      <c r="H320" s="186"/>
      <c r="I320" s="186"/>
      <c r="J320" s="186">
        <f>IFERROR(__xludf.DUMMYFUNCTION("""COMPUTED_VALUE"""),385.0)</f>
        <v>385</v>
      </c>
      <c r="K320" s="186">
        <f>IFERROR(__xludf.DUMMYFUNCTION("""COMPUTED_VALUE"""),342.0)</f>
        <v>342</v>
      </c>
      <c r="L320" s="186">
        <f>IFERROR(__xludf.DUMMYFUNCTION("""COMPUTED_VALUE"""),339.0)</f>
        <v>339</v>
      </c>
      <c r="M320" s="186">
        <f>IFERROR(__xludf.DUMMYFUNCTION("""COMPUTED_VALUE"""),300.0)</f>
        <v>300</v>
      </c>
      <c r="N320" s="186">
        <f>IFERROR(__xludf.DUMMYFUNCTION("""COMPUTED_VALUE"""),238.0)</f>
        <v>238</v>
      </c>
      <c r="O320" s="186">
        <f>IFERROR(__xludf.DUMMYFUNCTION("""COMPUTED_VALUE"""),251.0)</f>
        <v>251</v>
      </c>
      <c r="P320" s="186"/>
      <c r="Q320" s="186"/>
      <c r="R320" s="186"/>
      <c r="S320" s="189">
        <f>IFERROR(__xludf.DUMMYFUNCTION("""COMPUTED_VALUE"""),178.0)</f>
        <v>178</v>
      </c>
    </row>
    <row r="321">
      <c r="A321" s="186" t="str">
        <f>IFERROR(__xludf.DUMMYFUNCTION("""COMPUTED_VALUE"""),"DE")</f>
        <v>DE</v>
      </c>
      <c r="B321" s="186" t="str">
        <f>IFERROR(__xludf.DUMMYFUNCTION("""COMPUTED_VALUE"""),"W01")</f>
        <v>W01</v>
      </c>
      <c r="C321" s="186">
        <f>IFERROR(__xludf.DUMMYFUNCTION("""COMPUTED_VALUE"""),806.0)</f>
        <v>806</v>
      </c>
      <c r="D321" s="186" t="str">
        <f>IFERROR(__xludf.DUMMYFUNCTION("""COMPUTED_VALUE"""),"PTN-00-136930-3")</f>
        <v>PTN-00-136930-3</v>
      </c>
      <c r="E321" s="186" t="str">
        <f>IFERROR(__xludf.DUMMYFUNCTION("""COMPUTED_VALUE"""),"Garlic Herb Grilled Chicken")</f>
        <v>Garlic Herb Grilled Chicken</v>
      </c>
      <c r="F321" s="186" t="str">
        <f>IFERROR(__xludf.DUMMYFUNCTION("""COMPUTED_VALUE"""),"Gegrilltes Hähnchen mit Knoblauch-Kräutern")</f>
        <v>Gegrilltes Hähnchen mit Knoblauch-Kräutern</v>
      </c>
      <c r="G321" s="186" t="str">
        <f>IFERROR(__xludf.DUMMYFUNCTION("""COMPUTED_VALUE"""),"FEA006A")</f>
        <v>FEA006A</v>
      </c>
      <c r="H321" s="186">
        <f>IFERROR(__xludf.DUMMYFUNCTION("""COMPUTED_VALUE"""),565119.0)</f>
        <v>565119</v>
      </c>
      <c r="I321" s="186"/>
      <c r="J321" s="186">
        <f>IFERROR(__xludf.DUMMYFUNCTION("""COMPUTED_VALUE"""),79.0)</f>
        <v>79</v>
      </c>
      <c r="K321" s="186">
        <f>IFERROR(__xludf.DUMMYFUNCTION("""COMPUTED_VALUE"""),79.0)</f>
        <v>79</v>
      </c>
      <c r="L321" s="186">
        <f>IFERROR(__xludf.DUMMYFUNCTION("""COMPUTED_VALUE"""),79.0)</f>
        <v>79</v>
      </c>
      <c r="M321" s="186">
        <f>IFERROR(__xludf.DUMMYFUNCTION("""COMPUTED_VALUE"""),79.0)</f>
        <v>79</v>
      </c>
      <c r="N321" s="186">
        <f>IFERROR(__xludf.DUMMYFUNCTION("""COMPUTED_VALUE"""),79.0)</f>
        <v>79</v>
      </c>
      <c r="O321" s="186">
        <f>IFERROR(__xludf.DUMMYFUNCTION("""COMPUTED_VALUE"""),79.0)</f>
        <v>79</v>
      </c>
      <c r="P321" s="186"/>
      <c r="Q321" s="186"/>
      <c r="R321" s="186"/>
      <c r="S321" s="189">
        <f>IFERROR(__xludf.DUMMYFUNCTION("""COMPUTED_VALUE"""),35.0)</f>
        <v>35</v>
      </c>
    </row>
    <row r="322">
      <c r="A322" s="186" t="str">
        <f>IFERROR(__xludf.DUMMYFUNCTION("""COMPUTED_VALUE"""),"DE")</f>
        <v>DE</v>
      </c>
      <c r="B322" s="186" t="str">
        <f>IFERROR(__xludf.DUMMYFUNCTION("""COMPUTED_VALUE"""),"W01")</f>
        <v>W01</v>
      </c>
      <c r="C322" s="186"/>
      <c r="D322" s="186"/>
      <c r="E322" s="186"/>
      <c r="F322" s="186"/>
      <c r="G322" s="186"/>
      <c r="H322" s="186"/>
      <c r="I322" s="186"/>
      <c r="J322" s="189">
        <f>IFERROR(__xludf.DUMMYFUNCTION("""COMPUTED_VALUE"""),19154.0)</f>
        <v>19154</v>
      </c>
      <c r="K322" s="189">
        <f>IFERROR(__xludf.DUMMYFUNCTION("""COMPUTED_VALUE"""),18072.0)</f>
        <v>18072</v>
      </c>
      <c r="L322" s="189">
        <f>IFERROR(__xludf.DUMMYFUNCTION("""COMPUTED_VALUE"""),17478.0)</f>
        <v>17478</v>
      </c>
      <c r="M322" s="189">
        <f>IFERROR(__xludf.DUMMYFUNCTION("""COMPUTED_VALUE"""),17641.0)</f>
        <v>17641</v>
      </c>
      <c r="N322" s="189">
        <f>IFERROR(__xludf.DUMMYFUNCTION("""COMPUTED_VALUE"""),14157.0)</f>
        <v>14157</v>
      </c>
      <c r="O322" s="189">
        <f>IFERROR(__xludf.DUMMYFUNCTION("""COMPUTED_VALUE"""),14247.0)</f>
        <v>14247</v>
      </c>
      <c r="P322" s="189">
        <f>IFERROR(__xludf.DUMMYFUNCTION("""COMPUTED_VALUE"""),0.0)</f>
        <v>0</v>
      </c>
      <c r="Q322" s="189">
        <f>IFERROR(__xludf.DUMMYFUNCTION("""COMPUTED_VALUE"""),0.0)</f>
        <v>0</v>
      </c>
      <c r="R322" s="189">
        <f>IFERROR(__xludf.DUMMYFUNCTION("""COMPUTED_VALUE"""),0.0)</f>
        <v>0</v>
      </c>
      <c r="S322" s="189">
        <f>IFERROR(__xludf.DUMMYFUNCTION("""COMPUTED_VALUE"""),13284.0)</f>
        <v>13284</v>
      </c>
    </row>
    <row r="323">
      <c r="A323" s="186" t="str">
        <f>IFERROR(__xludf.DUMMYFUNCTION("""COMPUTED_VALUE"""),"NORDICS")</f>
        <v>NORDICS</v>
      </c>
      <c r="B323" s="186" t="str">
        <f>IFERROR(__xludf.DUMMYFUNCTION("""COMPUTED_VALUE"""),"W02")</f>
        <v>W02</v>
      </c>
      <c r="C323" s="186">
        <f>IFERROR(__xludf.DUMMYFUNCTION("""COMPUTED_VALUE"""),301.0)</f>
        <v>301</v>
      </c>
      <c r="D323" s="186" t="str">
        <f>IFERROR(__xludf.DUMMYFUNCTION("""COMPUTED_VALUE"""),"CON-00-147878-2")</f>
        <v>CON-00-147878-2</v>
      </c>
      <c r="E323" s="186" t="str">
        <f>IFERROR(__xludf.DUMMYFUNCTION("""COMPUTED_VALUE"""),"Grilled chicken and ratatouille")</f>
        <v>Grilled chicken and ratatouille</v>
      </c>
      <c r="F323" s="186" t="str">
        <f>IFERROR(__xludf.DUMMYFUNCTION("""COMPUTED_VALUE"""),"Grillet kylling og ratatouille")</f>
        <v>Grillet kylling og ratatouille</v>
      </c>
      <c r="G323" s="186" t="str">
        <f>IFERROR(__xludf.DUMMYFUNCTION("""COMPUTED_VALUE"""),"FE4015A")</f>
        <v>FE4015A</v>
      </c>
      <c r="H323" s="186">
        <f>IFERROR(__xludf.DUMMYFUNCTION("""COMPUTED_VALUE"""),565072.0)</f>
        <v>565072</v>
      </c>
      <c r="I323" s="186" t="str">
        <f>IFERROR(__xludf.DUMMYFUNCTION("""COMPUTED_VALUE"""),"HF Gegrilde kipfilet en ratatouille 429g")</f>
        <v>HF Gegrilde kipfilet en ratatouille 429g</v>
      </c>
      <c r="J323" s="189">
        <f>IFERROR(__xludf.DUMMYFUNCTION("""COMPUTED_VALUE"""),2397.0)</f>
        <v>2397</v>
      </c>
      <c r="K323" s="189">
        <f>IFERROR(__xludf.DUMMYFUNCTION("""COMPUTED_VALUE"""),2345.0)</f>
        <v>2345</v>
      </c>
      <c r="L323" s="189">
        <f>IFERROR(__xludf.DUMMYFUNCTION("""COMPUTED_VALUE"""),2021.0)</f>
        <v>2021</v>
      </c>
      <c r="M323" s="189">
        <f>IFERROR(__xludf.DUMMYFUNCTION("""COMPUTED_VALUE"""),2169.0)</f>
        <v>2169</v>
      </c>
      <c r="N323" s="186"/>
      <c r="O323" s="189">
        <f>IFERROR(__xludf.DUMMYFUNCTION("""COMPUTED_VALUE"""),2475.0)</f>
        <v>2475</v>
      </c>
      <c r="P323" s="186"/>
      <c r="Q323" s="186"/>
      <c r="R323" s="186"/>
      <c r="S323" s="189">
        <f>IFERROR(__xludf.DUMMYFUNCTION("""COMPUTED_VALUE"""),2481.0)</f>
        <v>2481</v>
      </c>
    </row>
    <row r="324">
      <c r="A324" s="186" t="str">
        <f>IFERROR(__xludf.DUMMYFUNCTION("""COMPUTED_VALUE"""),"NORDICS")</f>
        <v>NORDICS</v>
      </c>
      <c r="B324" s="186" t="str">
        <f>IFERROR(__xludf.DUMMYFUNCTION("""COMPUTED_VALUE"""),"W02")</f>
        <v>W02</v>
      </c>
      <c r="C324" s="186">
        <f>IFERROR(__xludf.DUMMYFUNCTION("""COMPUTED_VALUE"""),302.0)</f>
        <v>302</v>
      </c>
      <c r="D324" s="186" t="str">
        <f>IFERROR(__xludf.DUMMYFUNCTION("""COMPUTED_VALUE"""),"CON-00-147840-2")</f>
        <v>CON-00-147840-2</v>
      </c>
      <c r="E324" s="186" t="str">
        <f>IFERROR(__xludf.DUMMYFUNCTION("""COMPUTED_VALUE"""),"Grilled chicken fillet and potato leek mash")</f>
        <v>Grilled chicken fillet and potato leek mash</v>
      </c>
      <c r="F324" s="186" t="str">
        <f>IFERROR(__xludf.DUMMYFUNCTION("""COMPUTED_VALUE"""),"Grillet kyllingefilet og kartoffel-porremos")</f>
        <v>Grillet kyllingefilet og kartoffel-porremos</v>
      </c>
      <c r="G324" s="186" t="str">
        <f>IFERROR(__xludf.DUMMYFUNCTION("""COMPUTED_VALUE"""),"FE0426B")</f>
        <v>FE0426B</v>
      </c>
      <c r="H324" s="186">
        <f>IFERROR(__xludf.DUMMYFUNCTION("""COMPUTED_VALUE"""),565035.0)</f>
        <v>565035</v>
      </c>
      <c r="I324" s="186" t="str">
        <f>IFERROR(__xludf.DUMMYFUNCTION("""COMPUTED_VALUE"""),"HF Puree van aardappel en prei met gegrilde kip 416g")</f>
        <v>HF Puree van aardappel en prei met gegrilde kip 416g</v>
      </c>
      <c r="J324" s="189">
        <f>IFERROR(__xludf.DUMMYFUNCTION("""COMPUTED_VALUE"""),1602.0)</f>
        <v>1602</v>
      </c>
      <c r="K324" s="189">
        <f>IFERROR(__xludf.DUMMYFUNCTION("""COMPUTED_VALUE"""),1546.0)</f>
        <v>1546</v>
      </c>
      <c r="L324" s="189">
        <f>IFERROR(__xludf.DUMMYFUNCTION("""COMPUTED_VALUE"""),1700.0)</f>
        <v>1700</v>
      </c>
      <c r="M324" s="189">
        <f>IFERROR(__xludf.DUMMYFUNCTION("""COMPUTED_VALUE"""),1624.0)</f>
        <v>1624</v>
      </c>
      <c r="N324" s="186"/>
      <c r="O324" s="189">
        <f>IFERROR(__xludf.DUMMYFUNCTION("""COMPUTED_VALUE"""),1865.0)</f>
        <v>1865</v>
      </c>
      <c r="P324" s="186"/>
      <c r="Q324" s="186"/>
      <c r="R324" s="186"/>
      <c r="S324" s="189">
        <f>IFERROR(__xludf.DUMMYFUNCTION("""COMPUTED_VALUE"""),1804.0)</f>
        <v>1804</v>
      </c>
    </row>
    <row r="325">
      <c r="A325" s="186" t="str">
        <f>IFERROR(__xludf.DUMMYFUNCTION("""COMPUTED_VALUE"""),"NORDICS")</f>
        <v>NORDICS</v>
      </c>
      <c r="B325" s="186" t="str">
        <f>IFERROR(__xludf.DUMMYFUNCTION("""COMPUTED_VALUE"""),"W02")</f>
        <v>W02</v>
      </c>
      <c r="C325" s="186">
        <f>IFERROR(__xludf.DUMMYFUNCTION("""COMPUTED_VALUE"""),303.0)</f>
        <v>303</v>
      </c>
      <c r="D325" s="186" t="str">
        <f>IFERROR(__xludf.DUMMYFUNCTION("""COMPUTED_VALUE"""),"CON-00-147854-2")</f>
        <v>CON-00-147854-2</v>
      </c>
      <c r="E325" s="186" t="str">
        <f>IFERROR(__xludf.DUMMYFUNCTION("""COMPUTED_VALUE"""),"Cabbage in cheese sauce with minced beef")</f>
        <v>Cabbage in cheese sauce with minced beef</v>
      </c>
      <c r="F325" s="186" t="str">
        <f>IFERROR(__xludf.DUMMYFUNCTION("""COMPUTED_VALUE"""),"Kål i ostesauce med hakket oksekød")</f>
        <v>Kål i ostesauce med hakket oksekød</v>
      </c>
      <c r="G325" s="186" t="str">
        <f>IFERROR(__xludf.DUMMYFUNCTION("""COMPUTED_VALUE"""),"FE0713B")</f>
        <v>FE0713B</v>
      </c>
      <c r="H325" s="186">
        <f>IFERROR(__xludf.DUMMYFUNCTION("""COMPUTED_VALUE"""),565240.0)</f>
        <v>565240</v>
      </c>
      <c r="I325" s="186" t="str">
        <f>IFERROR(__xludf.DUMMYFUNCTION("""COMPUTED_VALUE"""),"HF RW Kool in kaassaus")</f>
        <v>HF RW Kool in kaassaus</v>
      </c>
      <c r="J325" s="189">
        <f>IFERROR(__xludf.DUMMYFUNCTION("""COMPUTED_VALUE"""),1502.0)</f>
        <v>1502</v>
      </c>
      <c r="K325" s="189">
        <f>IFERROR(__xludf.DUMMYFUNCTION("""COMPUTED_VALUE"""),1399.0)</f>
        <v>1399</v>
      </c>
      <c r="L325" s="189">
        <f>IFERROR(__xludf.DUMMYFUNCTION("""COMPUTED_VALUE"""),1341.0)</f>
        <v>1341</v>
      </c>
      <c r="M325" s="189">
        <f>IFERROR(__xludf.DUMMYFUNCTION("""COMPUTED_VALUE"""),1438.0)</f>
        <v>1438</v>
      </c>
      <c r="N325" s="186"/>
      <c r="O325" s="189">
        <f>IFERROR(__xludf.DUMMYFUNCTION("""COMPUTED_VALUE"""),1544.0)</f>
        <v>1544</v>
      </c>
      <c r="P325" s="186"/>
      <c r="Q325" s="186"/>
      <c r="R325" s="186"/>
      <c r="S325" s="189">
        <f>IFERROR(__xludf.DUMMYFUNCTION("""COMPUTED_VALUE"""),1567.0)</f>
        <v>1567</v>
      </c>
    </row>
    <row r="326">
      <c r="A326" s="186" t="str">
        <f>IFERROR(__xludf.DUMMYFUNCTION("""COMPUTED_VALUE"""),"NORDICS")</f>
        <v>NORDICS</v>
      </c>
      <c r="B326" s="186" t="str">
        <f>IFERROR(__xludf.DUMMYFUNCTION("""COMPUTED_VALUE"""),"W02")</f>
        <v>W02</v>
      </c>
      <c r="C326" s="186">
        <f>IFERROR(__xludf.DUMMYFUNCTION("""COMPUTED_VALUE"""),304.0)</f>
        <v>304</v>
      </c>
      <c r="D326" s="186" t="str">
        <f>IFERROR(__xludf.DUMMYFUNCTION("""COMPUTED_VALUE"""),"CON-00-148196-2")</f>
        <v>CON-00-148196-2</v>
      </c>
      <c r="E326" s="186" t="str">
        <f>IFERROR(__xludf.DUMMYFUNCTION("""COMPUTED_VALUE"""),"Caramelized Onion &amp; Emmental Fondue Chicken")</f>
        <v>Caramelized Onion &amp; Emmental Fondue Chicken</v>
      </c>
      <c r="F326" s="186" t="str">
        <f>IFERROR(__xludf.DUMMYFUNCTION("""COMPUTED_VALUE"""),"Kylling i Emmental-fondue med karamelliseret løg")</f>
        <v>Kylling i Emmental-fondue med karamelliseret løg</v>
      </c>
      <c r="G326" s="186" t="str">
        <f>IFERROR(__xludf.DUMMYFUNCTION("""COMPUTED_VALUE"""),"FE0970B")</f>
        <v>FE0970B</v>
      </c>
      <c r="H326" s="186">
        <f>IFERROR(__xludf.DUMMYFUNCTION("""COMPUTED_VALUE"""),565164.0)</f>
        <v>565164</v>
      </c>
      <c r="I326" s="186"/>
      <c r="J326" s="189">
        <f>IFERROR(__xludf.DUMMYFUNCTION("""COMPUTED_VALUE"""),2265.0)</f>
        <v>2265</v>
      </c>
      <c r="K326" s="189">
        <f>IFERROR(__xludf.DUMMYFUNCTION("""COMPUTED_VALUE"""),2141.0)</f>
        <v>2141</v>
      </c>
      <c r="L326" s="189">
        <f>IFERROR(__xludf.DUMMYFUNCTION("""COMPUTED_VALUE"""),1687.0)</f>
        <v>1687</v>
      </c>
      <c r="M326" s="189">
        <f>IFERROR(__xludf.DUMMYFUNCTION("""COMPUTED_VALUE"""),1956.0)</f>
        <v>1956</v>
      </c>
      <c r="N326" s="186"/>
      <c r="O326" s="189">
        <f>IFERROR(__xludf.DUMMYFUNCTION("""COMPUTED_VALUE"""),2129.0)</f>
        <v>2129</v>
      </c>
      <c r="P326" s="186"/>
      <c r="Q326" s="186"/>
      <c r="R326" s="186"/>
      <c r="S326" s="189">
        <f>IFERROR(__xludf.DUMMYFUNCTION("""COMPUTED_VALUE"""),2142.0)</f>
        <v>2142</v>
      </c>
    </row>
    <row r="327">
      <c r="A327" s="186" t="str">
        <f>IFERROR(__xludf.DUMMYFUNCTION("""COMPUTED_VALUE"""),"NORDICS")</f>
        <v>NORDICS</v>
      </c>
      <c r="B327" s="186" t="str">
        <f>IFERROR(__xludf.DUMMYFUNCTION("""COMPUTED_VALUE"""),"W02")</f>
        <v>W02</v>
      </c>
      <c r="C327" s="186">
        <f>IFERROR(__xludf.DUMMYFUNCTION("""COMPUTED_VALUE"""),305.0)</f>
        <v>305</v>
      </c>
      <c r="D327" s="186" t="str">
        <f>IFERROR(__xludf.DUMMYFUNCTION("""COMPUTED_VALUE"""),"CON-00-147827-2")</f>
        <v>CON-00-147827-2</v>
      </c>
      <c r="E327" s="186" t="str">
        <f>IFERROR(__xludf.DUMMYFUNCTION("""COMPUTED_VALUE"""),"Chicken à la Florentine")</f>
        <v>Chicken à la Florentine</v>
      </c>
      <c r="F327" s="186" t="str">
        <f>IFERROR(__xludf.DUMMYFUNCTION("""COMPUTED_VALUE"""),"Kylling à la Florentine")</f>
        <v>Kylling à la Florentine</v>
      </c>
      <c r="G327" s="186" t="str">
        <f>IFERROR(__xludf.DUMMYFUNCTION("""COMPUTED_VALUE"""),"FE0224C")</f>
        <v>FE0224C</v>
      </c>
      <c r="H327" s="186">
        <f>IFERROR(__xludf.DUMMYFUNCTION("""COMPUTED_VALUE"""),565047.0)</f>
        <v>565047</v>
      </c>
      <c r="I327" s="186" t="str">
        <f>IFERROR(__xludf.DUMMYFUNCTION("""COMPUTED_VALUE"""),"HF Kip Florentine 404g")</f>
        <v>HF Kip Florentine 404g</v>
      </c>
      <c r="J327" s="189">
        <f>IFERROR(__xludf.DUMMYFUNCTION("""COMPUTED_VALUE"""),1739.0)</f>
        <v>1739</v>
      </c>
      <c r="K327" s="189">
        <f>IFERROR(__xludf.DUMMYFUNCTION("""COMPUTED_VALUE"""),1763.0)</f>
        <v>1763</v>
      </c>
      <c r="L327" s="189">
        <f>IFERROR(__xludf.DUMMYFUNCTION("""COMPUTED_VALUE"""),1594.0)</f>
        <v>1594</v>
      </c>
      <c r="M327" s="189">
        <f>IFERROR(__xludf.DUMMYFUNCTION("""COMPUTED_VALUE"""),1712.0)</f>
        <v>1712</v>
      </c>
      <c r="N327" s="186"/>
      <c r="O327" s="189">
        <f>IFERROR(__xludf.DUMMYFUNCTION("""COMPUTED_VALUE"""),1962.0)</f>
        <v>1962</v>
      </c>
      <c r="P327" s="186"/>
      <c r="Q327" s="186"/>
      <c r="R327" s="186"/>
      <c r="S327" s="189">
        <f>IFERROR(__xludf.DUMMYFUNCTION("""COMPUTED_VALUE"""),1918.0)</f>
        <v>1918</v>
      </c>
    </row>
    <row r="328">
      <c r="A328" s="186" t="str">
        <f>IFERROR(__xludf.DUMMYFUNCTION("""COMPUTED_VALUE"""),"NORDICS")</f>
        <v>NORDICS</v>
      </c>
      <c r="B328" s="186" t="str">
        <f>IFERROR(__xludf.DUMMYFUNCTION("""COMPUTED_VALUE"""),"W02")</f>
        <v>W02</v>
      </c>
      <c r="C328" s="186">
        <f>IFERROR(__xludf.DUMMYFUNCTION("""COMPUTED_VALUE"""),306.0)</f>
        <v>306</v>
      </c>
      <c r="D328" s="186" t="str">
        <f>IFERROR(__xludf.DUMMYFUNCTION("""COMPUTED_VALUE"""),"CON-00-147826-2")</f>
        <v>CON-00-147826-2</v>
      </c>
      <c r="E328" s="186" t="str">
        <f>IFERROR(__xludf.DUMMYFUNCTION("""COMPUTED_VALUE"""),"Spicy chicken with jalapeño, lime and cheddar")</f>
        <v>Spicy chicken with jalapeño, lime and cheddar</v>
      </c>
      <c r="F328" s="186" t="str">
        <f>IFERROR(__xludf.DUMMYFUNCTION("""COMPUTED_VALUE"""),"Spicy kylling med jalapeño, lime og cheddar")</f>
        <v>Spicy kylling med jalapeño, lime og cheddar</v>
      </c>
      <c r="G328" s="186" t="str">
        <f>IFERROR(__xludf.DUMMYFUNCTION("""COMPUTED_VALUE"""),"FE0198D")</f>
        <v>FE0198D</v>
      </c>
      <c r="H328" s="186">
        <f>IFERROR(__xludf.DUMMYFUNCTION("""COMPUTED_VALUE"""),565043.0)</f>
        <v>565043</v>
      </c>
      <c r="I328" s="186" t="str">
        <f>IFERROR(__xludf.DUMMYFUNCTION("""COMPUTED_VALUE"""),"HF Pitt. kipf+jalap,lim,chedda")</f>
        <v>HF Pitt. kipf+jalap,lim,chedda</v>
      </c>
      <c r="J328" s="189">
        <f>IFERROR(__xludf.DUMMYFUNCTION("""COMPUTED_VALUE"""),1126.0)</f>
        <v>1126</v>
      </c>
      <c r="K328" s="189">
        <f>IFERROR(__xludf.DUMMYFUNCTION("""COMPUTED_VALUE"""),1081.0)</f>
        <v>1081</v>
      </c>
      <c r="L328" s="189">
        <f>IFERROR(__xludf.DUMMYFUNCTION("""COMPUTED_VALUE"""),855.0)</f>
        <v>855</v>
      </c>
      <c r="M328" s="189">
        <f>IFERROR(__xludf.DUMMYFUNCTION("""COMPUTED_VALUE"""),1015.0)</f>
        <v>1015</v>
      </c>
      <c r="N328" s="186"/>
      <c r="O328" s="189">
        <f>IFERROR(__xludf.DUMMYFUNCTION("""COMPUTED_VALUE"""),1126.0)</f>
        <v>1126</v>
      </c>
      <c r="P328" s="186"/>
      <c r="Q328" s="186"/>
      <c r="R328" s="186"/>
      <c r="S328" s="189">
        <f>IFERROR(__xludf.DUMMYFUNCTION("""COMPUTED_VALUE"""),1072.0)</f>
        <v>1072</v>
      </c>
    </row>
    <row r="329">
      <c r="A329" s="186" t="str">
        <f>IFERROR(__xludf.DUMMYFUNCTION("""COMPUTED_VALUE"""),"NORDICS")</f>
        <v>NORDICS</v>
      </c>
      <c r="B329" s="186" t="str">
        <f>IFERROR(__xludf.DUMMYFUNCTION("""COMPUTED_VALUE"""),"W02")</f>
        <v>W02</v>
      </c>
      <c r="C329" s="186">
        <f>IFERROR(__xludf.DUMMYFUNCTION("""COMPUTED_VALUE"""),307.0)</f>
        <v>307</v>
      </c>
      <c r="D329" s="186" t="str">
        <f>IFERROR(__xludf.DUMMYFUNCTION("""COMPUTED_VALUE"""),"CON-00-147874-2")</f>
        <v>CON-00-147874-2</v>
      </c>
      <c r="E329" s="186" t="str">
        <f>IFERROR(__xludf.DUMMYFUNCTION("""COMPUTED_VALUE"""),"Grilled pork tenderloin and tomato butter")</f>
        <v>Grilled pork tenderloin and tomato butter</v>
      </c>
      <c r="F329" s="186" t="str">
        <f>IFERROR(__xludf.DUMMYFUNCTION("""COMPUTED_VALUE"""),"Grillet svinemørbrad og tomatsmør")</f>
        <v>Grillet svinemørbrad og tomatsmør</v>
      </c>
      <c r="G329" s="186" t="str">
        <f>IFERROR(__xludf.DUMMYFUNCTION("""COMPUTED_VALUE"""),"FE4010B")</f>
        <v>FE4010B</v>
      </c>
      <c r="H329" s="186">
        <f>IFERROR(__xludf.DUMMYFUNCTION("""COMPUTED_VALUE"""),565138.0)</f>
        <v>565138</v>
      </c>
      <c r="I329" s="186"/>
      <c r="J329" s="189">
        <f>IFERROR(__xludf.DUMMYFUNCTION("""COMPUTED_VALUE"""),908.0)</f>
        <v>908</v>
      </c>
      <c r="K329" s="189">
        <f>IFERROR(__xludf.DUMMYFUNCTION("""COMPUTED_VALUE"""),816.0)</f>
        <v>816</v>
      </c>
      <c r="L329" s="189">
        <f>IFERROR(__xludf.DUMMYFUNCTION("""COMPUTED_VALUE"""),702.0)</f>
        <v>702</v>
      </c>
      <c r="M329" s="189">
        <f>IFERROR(__xludf.DUMMYFUNCTION("""COMPUTED_VALUE"""),863.0)</f>
        <v>863</v>
      </c>
      <c r="N329" s="186"/>
      <c r="O329" s="189">
        <f>IFERROR(__xludf.DUMMYFUNCTION("""COMPUTED_VALUE"""),957.0)</f>
        <v>957</v>
      </c>
      <c r="P329" s="186"/>
      <c r="Q329" s="186"/>
      <c r="R329" s="186"/>
      <c r="S329" s="189">
        <f>IFERROR(__xludf.DUMMYFUNCTION("""COMPUTED_VALUE"""),915.0)</f>
        <v>915</v>
      </c>
    </row>
    <row r="330">
      <c r="A330" s="186" t="str">
        <f>IFERROR(__xludf.DUMMYFUNCTION("""COMPUTED_VALUE"""),"NORDICS")</f>
        <v>NORDICS</v>
      </c>
      <c r="B330" s="186" t="str">
        <f>IFERROR(__xludf.DUMMYFUNCTION("""COMPUTED_VALUE"""),"W02")</f>
        <v>W02</v>
      </c>
      <c r="C330" s="186">
        <f>IFERROR(__xludf.DUMMYFUNCTION("""COMPUTED_VALUE"""),308.0)</f>
        <v>308</v>
      </c>
      <c r="D330" s="186" t="str">
        <f>IFERROR(__xludf.DUMMYFUNCTION("""COMPUTED_VALUE"""),"CON-00-152030-2")</f>
        <v>CON-00-152030-2</v>
      </c>
      <c r="E330" s="186" t="str">
        <f>IFERROR(__xludf.DUMMYFUNCTION("""COMPUTED_VALUE"""),"Salmon Dijonnaise")</f>
        <v>Salmon Dijonnaise</v>
      </c>
      <c r="F330" s="186" t="str">
        <f>IFERROR(__xludf.DUMMYFUNCTION("""COMPUTED_VALUE"""),"Laks med dijonnaise")</f>
        <v>Laks med dijonnaise</v>
      </c>
      <c r="G330" s="186" t="str">
        <f>IFERROR(__xludf.DUMMYFUNCTION("""COMPUTED_VALUE"""),"FE1031A")</f>
        <v>FE1031A</v>
      </c>
      <c r="H330" s="186">
        <f>IFERROR(__xludf.DUMMYFUNCTION("""COMPUTED_VALUE"""),565207.0)</f>
        <v>565207</v>
      </c>
      <c r="I330" s="186" t="str">
        <f>IFERROR(__xludf.DUMMYFUNCTION("""COMPUTED_VALUE"""),"HF Zalm dijonnaise")</f>
        <v>HF Zalm dijonnaise</v>
      </c>
      <c r="J330" s="189">
        <f>IFERROR(__xludf.DUMMYFUNCTION("""COMPUTED_VALUE"""),1072.0)</f>
        <v>1072</v>
      </c>
      <c r="K330" s="189">
        <f>IFERROR(__xludf.DUMMYFUNCTION("""COMPUTED_VALUE"""),1048.0)</f>
        <v>1048</v>
      </c>
      <c r="L330" s="189">
        <f>IFERROR(__xludf.DUMMYFUNCTION("""COMPUTED_VALUE"""),877.0)</f>
        <v>877</v>
      </c>
      <c r="M330" s="189">
        <f>IFERROR(__xludf.DUMMYFUNCTION("""COMPUTED_VALUE"""),1076.0)</f>
        <v>1076</v>
      </c>
      <c r="N330" s="186"/>
      <c r="O330" s="189">
        <f>IFERROR(__xludf.DUMMYFUNCTION("""COMPUTED_VALUE"""),1162.0)</f>
        <v>1162</v>
      </c>
      <c r="P330" s="186"/>
      <c r="Q330" s="186"/>
      <c r="R330" s="186"/>
      <c r="S330" s="189">
        <f>IFERROR(__xludf.DUMMYFUNCTION("""COMPUTED_VALUE"""),1080.0)</f>
        <v>1080</v>
      </c>
    </row>
    <row r="331">
      <c r="A331" s="186" t="str">
        <f>IFERROR(__xludf.DUMMYFUNCTION("""COMPUTED_VALUE"""),"NORDICS")</f>
        <v>NORDICS</v>
      </c>
      <c r="B331" s="186" t="str">
        <f>IFERROR(__xludf.DUMMYFUNCTION("""COMPUTED_VALUE"""),"W02")</f>
        <v>W02</v>
      </c>
      <c r="C331" s="186">
        <f>IFERROR(__xludf.DUMMYFUNCTION("""COMPUTED_VALUE"""),309.0)</f>
        <v>309</v>
      </c>
      <c r="D331" s="186" t="str">
        <f>IFERROR(__xludf.DUMMYFUNCTION("""COMPUTED_VALUE"""),"CON-00-147817-2")</f>
        <v>CON-00-147817-2</v>
      </c>
      <c r="E331" s="186" t="str">
        <f>IFERROR(__xludf.DUMMYFUNCTION("""COMPUTED_VALUE"""),"Ratatouille of zucchini and pepper")</f>
        <v>Ratatouille of zucchini and pepper</v>
      </c>
      <c r="F331" s="186" t="str">
        <f>IFERROR(__xludf.DUMMYFUNCTION("""COMPUTED_VALUE"""),"Squash- og peberfrugtsratatouille")</f>
        <v>Squash- og peberfrugtsratatouille</v>
      </c>
      <c r="G331" s="186" t="str">
        <f>IFERROR(__xludf.DUMMYFUNCTION("""COMPUTED_VALUE"""),"FE0090C")</f>
        <v>FE0090C</v>
      </c>
      <c r="H331" s="186">
        <f>IFERROR(__xludf.DUMMYFUNCTION("""COMPUTED_VALUE"""),565141.0)</f>
        <v>565141</v>
      </c>
      <c r="I331" s="186"/>
      <c r="J331" s="186">
        <f>IFERROR(__xludf.DUMMYFUNCTION("""COMPUTED_VALUE"""),201.0)</f>
        <v>201</v>
      </c>
      <c r="K331" s="186">
        <f>IFERROR(__xludf.DUMMYFUNCTION("""COMPUTED_VALUE"""),203.0)</f>
        <v>203</v>
      </c>
      <c r="L331" s="189">
        <f>IFERROR(__xludf.DUMMYFUNCTION("""COMPUTED_VALUE"""),176.0)</f>
        <v>176</v>
      </c>
      <c r="M331" s="186">
        <f>IFERROR(__xludf.DUMMYFUNCTION("""COMPUTED_VALUE"""),177.0)</f>
        <v>177</v>
      </c>
      <c r="N331" s="186"/>
      <c r="O331" s="186">
        <f>IFERROR(__xludf.DUMMYFUNCTION("""COMPUTED_VALUE"""),174.0)</f>
        <v>174</v>
      </c>
      <c r="P331" s="186"/>
      <c r="Q331" s="186"/>
      <c r="R331" s="186"/>
      <c r="S331" s="189">
        <f>IFERROR(__xludf.DUMMYFUNCTION("""COMPUTED_VALUE"""),169.0)</f>
        <v>169</v>
      </c>
    </row>
    <row r="332">
      <c r="A332" s="186" t="str">
        <f>IFERROR(__xludf.DUMMYFUNCTION("""COMPUTED_VALUE"""),"NORDICS")</f>
        <v>NORDICS</v>
      </c>
      <c r="B332" s="186" t="str">
        <f>IFERROR(__xludf.DUMMYFUNCTION("""COMPUTED_VALUE"""),"W02")</f>
        <v>W02</v>
      </c>
      <c r="C332" s="186">
        <f>IFERROR(__xludf.DUMMYFUNCTION("""COMPUTED_VALUE"""),310.0)</f>
        <v>310</v>
      </c>
      <c r="D332" s="186" t="str">
        <f>IFERROR(__xludf.DUMMYFUNCTION("""COMPUTED_VALUE"""),"CON-00-147818-2")</f>
        <v>CON-00-147818-2</v>
      </c>
      <c r="E332" s="186" t="str">
        <f>IFERROR(__xludf.DUMMYFUNCTION("""COMPUTED_VALUE"""),"Mexican style corn cake")</f>
        <v>Mexican style corn cake</v>
      </c>
      <c r="F332" s="186" t="str">
        <f>IFERROR(__xludf.DUMMYFUNCTION("""COMPUTED_VALUE"""),"Mexicansk-inspireret majskage")</f>
        <v>Mexicansk-inspireret majskage</v>
      </c>
      <c r="G332" s="186" t="str">
        <f>IFERROR(__xludf.DUMMYFUNCTION("""COMPUTED_VALUE"""),"FE0121C")</f>
        <v>FE0121C</v>
      </c>
      <c r="H332" s="186">
        <f>IFERROR(__xludf.DUMMYFUNCTION("""COMPUTED_VALUE"""),565023.0)</f>
        <v>565023</v>
      </c>
      <c r="I332" s="186" t="str">
        <f>IFERROR(__xludf.DUMMYFUNCTION("""COMPUTED_VALUE"""),"HF Mex.stijl maiscake")</f>
        <v>HF Mex.stijl maiscake</v>
      </c>
      <c r="J332" s="186">
        <f>IFERROR(__xludf.DUMMYFUNCTION("""COMPUTED_VALUE"""),258.0)</f>
        <v>258</v>
      </c>
      <c r="K332" s="186">
        <f>IFERROR(__xludf.DUMMYFUNCTION("""COMPUTED_VALUE"""),225.0)</f>
        <v>225</v>
      </c>
      <c r="L332" s="189">
        <f>IFERROR(__xludf.DUMMYFUNCTION("""COMPUTED_VALUE"""),206.0)</f>
        <v>206</v>
      </c>
      <c r="M332" s="189">
        <f>IFERROR(__xludf.DUMMYFUNCTION("""COMPUTED_VALUE"""),249.0)</f>
        <v>249</v>
      </c>
      <c r="N332" s="186"/>
      <c r="O332" s="189">
        <f>IFERROR(__xludf.DUMMYFUNCTION("""COMPUTED_VALUE"""),258.0)</f>
        <v>258</v>
      </c>
      <c r="P332" s="186"/>
      <c r="Q332" s="186"/>
      <c r="R332" s="186"/>
      <c r="S332" s="186">
        <f>IFERROR(__xludf.DUMMYFUNCTION("""COMPUTED_VALUE"""),231.0)</f>
        <v>231</v>
      </c>
    </row>
    <row r="333">
      <c r="A333" s="186" t="str">
        <f>IFERROR(__xludf.DUMMYFUNCTION("""COMPUTED_VALUE"""),"NORDICS")</f>
        <v>NORDICS</v>
      </c>
      <c r="B333" s="186" t="str">
        <f>IFERROR(__xludf.DUMMYFUNCTION("""COMPUTED_VALUE"""),"W02")</f>
        <v>W02</v>
      </c>
      <c r="C333" s="186">
        <f>IFERROR(__xludf.DUMMYFUNCTION("""COMPUTED_VALUE"""),311.0)</f>
        <v>311</v>
      </c>
      <c r="D333" s="186" t="str">
        <f>IFERROR(__xludf.DUMMYFUNCTION("""COMPUTED_VALUE"""),"CON-00-150964-2")</f>
        <v>CON-00-150964-2</v>
      </c>
      <c r="E333" s="186" t="str">
        <f>IFERROR(__xludf.DUMMYFUNCTION("""COMPUTED_VALUE"""),"Bulgogi Shredded Beef Bowl")</f>
        <v>Bulgogi Shredded Beef Bowl</v>
      </c>
      <c r="F333" s="186" t="str">
        <f>IFERROR(__xludf.DUMMYFUNCTION("""COMPUTED_VALUE"""),"Bulgogi bowl med strimlet oksekød")</f>
        <v>Bulgogi bowl med strimlet oksekød</v>
      </c>
      <c r="G333" s="186" t="str">
        <f>IFERROR(__xludf.DUMMYFUNCTION("""COMPUTED_VALUE"""),"FE1404A")</f>
        <v>FE1404A</v>
      </c>
      <c r="H333" s="186">
        <f>IFERROR(__xludf.DUMMYFUNCTION("""COMPUTED_VALUE"""),565190.0)</f>
        <v>565190</v>
      </c>
      <c r="I333" s="186" t="str">
        <f>IFERROR(__xludf.DUMMYFUNCTION("""COMPUTED_VALUE"""),"HF Bulgogi pulled beef")</f>
        <v>HF Bulgogi pulled beef</v>
      </c>
      <c r="J333" s="189">
        <f>IFERROR(__xludf.DUMMYFUNCTION("""COMPUTED_VALUE"""),536.0)</f>
        <v>536</v>
      </c>
      <c r="K333" s="189">
        <f>IFERROR(__xludf.DUMMYFUNCTION("""COMPUTED_VALUE"""),448.0)</f>
        <v>448</v>
      </c>
      <c r="L333" s="189">
        <f>IFERROR(__xludf.DUMMYFUNCTION("""COMPUTED_VALUE"""),374.0)</f>
        <v>374</v>
      </c>
      <c r="M333" s="186">
        <f>IFERROR(__xludf.DUMMYFUNCTION("""COMPUTED_VALUE"""),365.0)</f>
        <v>365</v>
      </c>
      <c r="N333" s="186"/>
      <c r="O333" s="186">
        <f>IFERROR(__xludf.DUMMYFUNCTION("""COMPUTED_VALUE"""),409.0)</f>
        <v>409</v>
      </c>
      <c r="P333" s="186"/>
      <c r="Q333" s="186"/>
      <c r="R333" s="186"/>
      <c r="S333" s="189">
        <f>IFERROR(__xludf.DUMMYFUNCTION("""COMPUTED_VALUE"""),378.0)</f>
        <v>378</v>
      </c>
    </row>
    <row r="334">
      <c r="A334" s="186" t="str">
        <f>IFERROR(__xludf.DUMMYFUNCTION("""COMPUTED_VALUE"""),"NORDICS")</f>
        <v>NORDICS</v>
      </c>
      <c r="B334" s="186" t="str">
        <f>IFERROR(__xludf.DUMMYFUNCTION("""COMPUTED_VALUE"""),"W02")</f>
        <v>W02</v>
      </c>
      <c r="C334" s="186">
        <f>IFERROR(__xludf.DUMMYFUNCTION("""COMPUTED_VALUE"""),312.0)</f>
        <v>312</v>
      </c>
      <c r="D334" s="186" t="str">
        <f>IFERROR(__xludf.DUMMYFUNCTION("""COMPUTED_VALUE"""),"CON-00-154556-2")</f>
        <v>CON-00-154556-2</v>
      </c>
      <c r="E334" s="186" t="str">
        <f>IFERROR(__xludf.DUMMYFUNCTION("""COMPUTED_VALUE"""),"Citrus–Miso Salmon Bowl")</f>
        <v>Citrus–Miso Salmon Bowl</v>
      </c>
      <c r="F334" s="186" t="str">
        <f>IFERROR(__xludf.DUMMYFUNCTION("""COMPUTED_VALUE"""),"Laksebowl med citrus-miso")</f>
        <v>Laksebowl med citrus-miso</v>
      </c>
      <c r="G334" s="186" t="str">
        <f>IFERROR(__xludf.DUMMYFUNCTION("""COMPUTED_VALUE"""),"FE1731A")</f>
        <v>FE1731A</v>
      </c>
      <c r="H334" s="186">
        <f>IFERROR(__xludf.DUMMYFUNCTION("""COMPUTED_VALUE"""),565221.0)</f>
        <v>565221</v>
      </c>
      <c r="I334" s="186" t="str">
        <f>IFERROR(__xludf.DUMMYFUNCTION("""COMPUTED_VALUE"""),"HF Citrus-miso zalm bowl")</f>
        <v>HF Citrus-miso zalm bowl</v>
      </c>
      <c r="J334" s="189">
        <f>IFERROR(__xludf.DUMMYFUNCTION("""COMPUTED_VALUE"""),984.0)</f>
        <v>984</v>
      </c>
      <c r="K334" s="189">
        <f>IFERROR(__xludf.DUMMYFUNCTION("""COMPUTED_VALUE"""),949.0)</f>
        <v>949</v>
      </c>
      <c r="L334" s="189">
        <f>IFERROR(__xludf.DUMMYFUNCTION("""COMPUTED_VALUE"""),1170.0)</f>
        <v>1170</v>
      </c>
      <c r="M334" s="189">
        <f>IFERROR(__xludf.DUMMYFUNCTION("""COMPUTED_VALUE"""),1140.0)</f>
        <v>1140</v>
      </c>
      <c r="N334" s="186"/>
      <c r="O334" s="189">
        <f>IFERROR(__xludf.DUMMYFUNCTION("""COMPUTED_VALUE"""),1229.0)</f>
        <v>1229</v>
      </c>
      <c r="P334" s="186"/>
      <c r="Q334" s="186"/>
      <c r="R334" s="186"/>
      <c r="S334" s="189">
        <f>IFERROR(__xludf.DUMMYFUNCTION("""COMPUTED_VALUE"""),1154.0)</f>
        <v>1154</v>
      </c>
    </row>
    <row r="335">
      <c r="A335" s="186" t="str">
        <f>IFERROR(__xludf.DUMMYFUNCTION("""COMPUTED_VALUE"""),"NORDICS")</f>
        <v>NORDICS</v>
      </c>
      <c r="B335" s="186" t="str">
        <f>IFERROR(__xludf.DUMMYFUNCTION("""COMPUTED_VALUE"""),"W02")</f>
        <v>W02</v>
      </c>
      <c r="C335" s="186">
        <f>IFERROR(__xludf.DUMMYFUNCTION("""COMPUTED_VALUE"""),313.0)</f>
        <v>313</v>
      </c>
      <c r="D335" s="186" t="str">
        <f>IFERROR(__xludf.DUMMYFUNCTION("""COMPUTED_VALUE"""),"CON-00-154558-2")</f>
        <v>CON-00-154558-2</v>
      </c>
      <c r="E335" s="186" t="str">
        <f>IFERROR(__xludf.DUMMYFUNCTION("""COMPUTED_VALUE"""),"Athenian-Style Feta Chicken")</f>
        <v>Athenian-Style Feta Chicken</v>
      </c>
      <c r="F335" s="186" t="str">
        <f>IFERROR(__xludf.DUMMYFUNCTION("""COMPUTED_VALUE"""),"Græsk-inspireret kylling med feta")</f>
        <v>Græsk-inspireret kylling med feta</v>
      </c>
      <c r="G335" s="186" t="str">
        <f>IFERROR(__xludf.DUMMYFUNCTION("""COMPUTED_VALUE"""),"FE1429A")</f>
        <v>FE1429A</v>
      </c>
      <c r="H335" s="186">
        <f>IFERROR(__xludf.DUMMYFUNCTION("""COMPUTED_VALUE"""),565230.0)</f>
        <v>565230</v>
      </c>
      <c r="I335" s="186" t="str">
        <f>IFERROR(__xludf.DUMMYFUNCTION("""COMPUTED_VALUE"""),"HF Atheense kip met feta saus")</f>
        <v>HF Atheense kip met feta saus</v>
      </c>
      <c r="J335" s="189">
        <f>IFERROR(__xludf.DUMMYFUNCTION("""COMPUTED_VALUE"""),1036.0)</f>
        <v>1036</v>
      </c>
      <c r="K335" s="189">
        <f>IFERROR(__xludf.DUMMYFUNCTION("""COMPUTED_VALUE"""),995.0)</f>
        <v>995</v>
      </c>
      <c r="L335" s="189">
        <f>IFERROR(__xludf.DUMMYFUNCTION("""COMPUTED_VALUE"""),938.0)</f>
        <v>938</v>
      </c>
      <c r="M335" s="189">
        <f>IFERROR(__xludf.DUMMYFUNCTION("""COMPUTED_VALUE"""),1066.0)</f>
        <v>1066</v>
      </c>
      <c r="N335" s="186"/>
      <c r="O335" s="189">
        <f>IFERROR(__xludf.DUMMYFUNCTION("""COMPUTED_VALUE"""),1174.0)</f>
        <v>1174</v>
      </c>
      <c r="P335" s="186"/>
      <c r="Q335" s="186"/>
      <c r="R335" s="186"/>
      <c r="S335" s="189">
        <f>IFERROR(__xludf.DUMMYFUNCTION("""COMPUTED_VALUE"""),1129.0)</f>
        <v>1129</v>
      </c>
    </row>
    <row r="336">
      <c r="A336" s="186" t="str">
        <f>IFERROR(__xludf.DUMMYFUNCTION("""COMPUTED_VALUE"""),"NORDICS")</f>
        <v>NORDICS</v>
      </c>
      <c r="B336" s="186" t="str">
        <f>IFERROR(__xludf.DUMMYFUNCTION("""COMPUTED_VALUE"""),"W02")</f>
        <v>W02</v>
      </c>
      <c r="C336" s="186">
        <f>IFERROR(__xludf.DUMMYFUNCTION("""COMPUTED_VALUE"""),314.0)</f>
        <v>314</v>
      </c>
      <c r="D336" s="186"/>
      <c r="E336" s="186"/>
      <c r="F336" s="186"/>
      <c r="G336" s="186" t="str">
        <f>IFERROR(__xludf.DUMMYFUNCTION("""COMPUTED_VALUE"""),"FE1408A")</f>
        <v>FE1408A</v>
      </c>
      <c r="H336" s="186"/>
      <c r="I336" s="186"/>
      <c r="J336" s="189">
        <f>IFERROR(__xludf.DUMMYFUNCTION("""COMPUTED_VALUE"""),743.0)</f>
        <v>743</v>
      </c>
      <c r="K336" s="189">
        <f>IFERROR(__xludf.DUMMYFUNCTION("""COMPUTED_VALUE"""),777.0)</f>
        <v>777</v>
      </c>
      <c r="L336" s="189">
        <f>IFERROR(__xludf.DUMMYFUNCTION("""COMPUTED_VALUE"""),598.0)</f>
        <v>598</v>
      </c>
      <c r="M336" s="189">
        <f>IFERROR(__xludf.DUMMYFUNCTION("""COMPUTED_VALUE"""),567.0)</f>
        <v>567</v>
      </c>
      <c r="N336" s="186"/>
      <c r="O336" s="189">
        <f>IFERROR(__xludf.DUMMYFUNCTION("""COMPUTED_VALUE"""),619.0)</f>
        <v>619</v>
      </c>
      <c r="P336" s="186"/>
      <c r="Q336" s="186"/>
      <c r="R336" s="186"/>
      <c r="S336" s="189">
        <f>IFERROR(__xludf.DUMMYFUNCTION("""COMPUTED_VALUE"""),540.0)</f>
        <v>540</v>
      </c>
    </row>
    <row r="337">
      <c r="A337" s="186" t="str">
        <f>IFERROR(__xludf.DUMMYFUNCTION("""COMPUTED_VALUE"""),"NORDICS")</f>
        <v>NORDICS</v>
      </c>
      <c r="B337" s="186" t="str">
        <f>IFERROR(__xludf.DUMMYFUNCTION("""COMPUTED_VALUE"""),"W02")</f>
        <v>W02</v>
      </c>
      <c r="C337" s="186">
        <f>IFERROR(__xludf.DUMMYFUNCTION("""COMPUTED_VALUE"""),315.0)</f>
        <v>315</v>
      </c>
      <c r="D337" s="186" t="str">
        <f>IFERROR(__xludf.DUMMYFUNCTION("""COMPUTED_VALUE"""),"CON-00-151115-2")</f>
        <v>CON-00-151115-2</v>
      </c>
      <c r="E337" s="186" t="str">
        <f>IFERROR(__xludf.DUMMYFUNCTION("""COMPUTED_VALUE"""),"Cheddar &amp; Bell Pepper Pulled Beef Bowl")</f>
        <v>Cheddar &amp; Bell Pepper Pulled Beef Bowl</v>
      </c>
      <c r="F337" s="186" t="str">
        <f>IFERROR(__xludf.DUMMYFUNCTION("""COMPUTED_VALUE"""),"Pulled beef bowl med cheddar og peberfrugt")</f>
        <v>Pulled beef bowl med cheddar og peberfrugt</v>
      </c>
      <c r="G337" s="186" t="str">
        <f>IFERROR(__xludf.DUMMYFUNCTION("""COMPUTED_VALUE"""),"FE1348B")</f>
        <v>FE1348B</v>
      </c>
      <c r="H337" s="186">
        <f>IFERROR(__xludf.DUMMYFUNCTION("""COMPUTED_VALUE"""),565186.0)</f>
        <v>565186</v>
      </c>
      <c r="I337" s="186" t="str">
        <f>IFERROR(__xludf.DUMMYFUNCTION("""COMPUTED_VALUE"""),"HF Pulled beef salsa bowl")</f>
        <v>HF Pulled beef salsa bowl</v>
      </c>
      <c r="J337" s="189">
        <f>IFERROR(__xludf.DUMMYFUNCTION("""COMPUTED_VALUE"""),639.0)</f>
        <v>639</v>
      </c>
      <c r="K337" s="189">
        <f>IFERROR(__xludf.DUMMYFUNCTION("""COMPUTED_VALUE"""),558.0)</f>
        <v>558</v>
      </c>
      <c r="L337" s="189">
        <f>IFERROR(__xludf.DUMMYFUNCTION("""COMPUTED_VALUE"""),449.0)</f>
        <v>449</v>
      </c>
      <c r="M337" s="189">
        <f>IFERROR(__xludf.DUMMYFUNCTION("""COMPUTED_VALUE"""),578.0)</f>
        <v>578</v>
      </c>
      <c r="N337" s="186"/>
      <c r="O337" s="189">
        <f>IFERROR(__xludf.DUMMYFUNCTION("""COMPUTED_VALUE"""),678.0)</f>
        <v>678</v>
      </c>
      <c r="P337" s="186"/>
      <c r="Q337" s="186"/>
      <c r="R337" s="186"/>
      <c r="S337" s="189">
        <f>IFERROR(__xludf.DUMMYFUNCTION("""COMPUTED_VALUE"""),613.0)</f>
        <v>613</v>
      </c>
    </row>
    <row r="338">
      <c r="A338" s="186" t="str">
        <f>IFERROR(__xludf.DUMMYFUNCTION("""COMPUTED_VALUE"""),"NORDICS")</f>
        <v>NORDICS</v>
      </c>
      <c r="B338" s="186" t="str">
        <f>IFERROR(__xludf.DUMMYFUNCTION("""COMPUTED_VALUE"""),"W02")</f>
        <v>W02</v>
      </c>
      <c r="C338" s="186">
        <f>IFERROR(__xludf.DUMMYFUNCTION("""COMPUTED_VALUE"""),316.0)</f>
        <v>316</v>
      </c>
      <c r="D338" s="186" t="str">
        <f>IFERROR(__xludf.DUMMYFUNCTION("""COMPUTED_VALUE"""),"CON-00-147844-2")</f>
        <v>CON-00-147844-2</v>
      </c>
      <c r="E338" s="186" t="str">
        <f>IFERROR(__xludf.DUMMYFUNCTION("""COMPUTED_VALUE"""),"Indian style butter chicken")</f>
        <v>Indian style butter chicken</v>
      </c>
      <c r="F338" s="186" t="str">
        <f>IFERROR(__xludf.DUMMYFUNCTION("""COMPUTED_VALUE"""),"Indisk-inspireret butter chicken")</f>
        <v>Indisk-inspireret butter chicken</v>
      </c>
      <c r="G338" s="186" t="str">
        <f>IFERROR(__xludf.DUMMYFUNCTION("""COMPUTED_VALUE"""),"FE0472B")</f>
        <v>FE0472B</v>
      </c>
      <c r="H338" s="186">
        <f>IFERROR(__xludf.DUMMYFUNCTION("""COMPUTED_VALUE"""),565145.0)</f>
        <v>565145</v>
      </c>
      <c r="I338" s="186" t="str">
        <f>IFERROR(__xludf.DUMMYFUNCTION("""COMPUTED_VALUE"""),"HF RW Butter Chicken")</f>
        <v>HF RW Butter Chicken</v>
      </c>
      <c r="J338" s="189">
        <f>IFERROR(__xludf.DUMMYFUNCTION("""COMPUTED_VALUE"""),460.0)</f>
        <v>460</v>
      </c>
      <c r="K338" s="189">
        <f>IFERROR(__xludf.DUMMYFUNCTION("""COMPUTED_VALUE"""),428.0)</f>
        <v>428</v>
      </c>
      <c r="L338" s="189">
        <f>IFERROR(__xludf.DUMMYFUNCTION("""COMPUTED_VALUE"""),445.0)</f>
        <v>445</v>
      </c>
      <c r="M338" s="186">
        <f>IFERROR(__xludf.DUMMYFUNCTION("""COMPUTED_VALUE"""),485.0)</f>
        <v>485</v>
      </c>
      <c r="N338" s="186"/>
      <c r="O338" s="186">
        <f>IFERROR(__xludf.DUMMYFUNCTION("""COMPUTED_VALUE"""),562.0)</f>
        <v>562</v>
      </c>
      <c r="P338" s="186"/>
      <c r="Q338" s="186"/>
      <c r="R338" s="186"/>
      <c r="S338" s="189">
        <f>IFERROR(__xludf.DUMMYFUNCTION("""COMPUTED_VALUE"""),479.0)</f>
        <v>479</v>
      </c>
    </row>
    <row r="339">
      <c r="A339" s="186" t="str">
        <f>IFERROR(__xludf.DUMMYFUNCTION("""COMPUTED_VALUE"""),"NORDICS")</f>
        <v>NORDICS</v>
      </c>
      <c r="B339" s="186" t="str">
        <f>IFERROR(__xludf.DUMMYFUNCTION("""COMPUTED_VALUE"""),"W02")</f>
        <v>W02</v>
      </c>
      <c r="C339" s="186">
        <f>IFERROR(__xludf.DUMMYFUNCTION("""COMPUTED_VALUE"""),317.0)</f>
        <v>317</v>
      </c>
      <c r="D339" s="186"/>
      <c r="E339" s="186"/>
      <c r="F339" s="186"/>
      <c r="G339" s="186" t="str">
        <f>IFERROR(__xludf.DUMMYFUNCTION("""COMPUTED_VALUE"""),"FE1072A")</f>
        <v>FE1072A</v>
      </c>
      <c r="H339" s="186"/>
      <c r="I339" s="186"/>
      <c r="J339" s="189">
        <f>IFERROR(__xludf.DUMMYFUNCTION("""COMPUTED_VALUE"""),376.0)</f>
        <v>376</v>
      </c>
      <c r="K339" s="189">
        <f>IFERROR(__xludf.DUMMYFUNCTION("""COMPUTED_VALUE"""),379.0)</f>
        <v>379</v>
      </c>
      <c r="L339" s="189">
        <f>IFERROR(__xludf.DUMMYFUNCTION("""COMPUTED_VALUE"""),373.0)</f>
        <v>373</v>
      </c>
      <c r="M339" s="189">
        <f>IFERROR(__xludf.DUMMYFUNCTION("""COMPUTED_VALUE"""),357.0)</f>
        <v>357</v>
      </c>
      <c r="N339" s="186"/>
      <c r="O339" s="189">
        <f>IFERROR(__xludf.DUMMYFUNCTION("""COMPUTED_VALUE"""),395.0)</f>
        <v>395</v>
      </c>
      <c r="P339" s="186"/>
      <c r="Q339" s="186"/>
      <c r="R339" s="186"/>
      <c r="S339" s="189">
        <f>IFERROR(__xludf.DUMMYFUNCTION("""COMPUTED_VALUE"""),372.0)</f>
        <v>372</v>
      </c>
    </row>
    <row r="340">
      <c r="A340" s="186" t="str">
        <f>IFERROR(__xludf.DUMMYFUNCTION("""COMPUTED_VALUE"""),"NORDICS")</f>
        <v>NORDICS</v>
      </c>
      <c r="B340" s="186" t="str">
        <f>IFERROR(__xludf.DUMMYFUNCTION("""COMPUTED_VALUE"""),"W02")</f>
        <v>W02</v>
      </c>
      <c r="C340" s="186">
        <f>IFERROR(__xludf.DUMMYFUNCTION("""COMPUTED_VALUE"""),318.0)</f>
        <v>318</v>
      </c>
      <c r="D340" s="186" t="str">
        <f>IFERROR(__xludf.DUMMYFUNCTION("""COMPUTED_VALUE"""),"CON-00-147848-2")</f>
        <v>CON-00-147848-2</v>
      </c>
      <c r="E340" s="186" t="str">
        <f>IFERROR(__xludf.DUMMYFUNCTION("""COMPUTED_VALUE"""),"Pork tenderloin in red pepper sauce")</f>
        <v>Pork tenderloin in red pepper sauce</v>
      </c>
      <c r="F340" s="186" t="str">
        <f>IFERROR(__xludf.DUMMYFUNCTION("""COMPUTED_VALUE"""),"Svinemørbrad i rød peberfrugtsauce")</f>
        <v>Svinemørbrad i rød peberfrugtsauce</v>
      </c>
      <c r="G340" s="186" t="str">
        <f>IFERROR(__xludf.DUMMYFUNCTION("""COMPUTED_VALUE"""),"FE0430E")</f>
        <v>FE0430E</v>
      </c>
      <c r="H340" s="186">
        <f>IFERROR(__xludf.DUMMYFUNCTION("""COMPUTED_VALUE"""),565140.0)</f>
        <v>565140</v>
      </c>
      <c r="I340" s="186"/>
      <c r="J340" s="186">
        <f>IFERROR(__xludf.DUMMYFUNCTION("""COMPUTED_VALUE"""),395.0)</f>
        <v>395</v>
      </c>
      <c r="K340" s="186">
        <f>IFERROR(__xludf.DUMMYFUNCTION("""COMPUTED_VALUE"""),353.0)</f>
        <v>353</v>
      </c>
      <c r="L340" s="186">
        <f>IFERROR(__xludf.DUMMYFUNCTION("""COMPUTED_VALUE"""),237.0)</f>
        <v>237</v>
      </c>
      <c r="M340" s="186">
        <f>IFERROR(__xludf.DUMMYFUNCTION("""COMPUTED_VALUE"""),372.0)</f>
        <v>372</v>
      </c>
      <c r="N340" s="186"/>
      <c r="O340" s="186">
        <f>IFERROR(__xludf.DUMMYFUNCTION("""COMPUTED_VALUE"""),441.0)</f>
        <v>441</v>
      </c>
      <c r="P340" s="186"/>
      <c r="Q340" s="186"/>
      <c r="R340" s="186"/>
      <c r="S340" s="189">
        <f>IFERROR(__xludf.DUMMYFUNCTION("""COMPUTED_VALUE"""),410.0)</f>
        <v>410</v>
      </c>
    </row>
    <row r="341">
      <c r="A341" s="186" t="str">
        <f>IFERROR(__xludf.DUMMYFUNCTION("""COMPUTED_VALUE"""),"NORDICS")</f>
        <v>NORDICS</v>
      </c>
      <c r="B341" s="186" t="str">
        <f>IFERROR(__xludf.DUMMYFUNCTION("""COMPUTED_VALUE"""),"W02")</f>
        <v>W02</v>
      </c>
      <c r="C341" s="186">
        <f>IFERROR(__xludf.DUMMYFUNCTION("""COMPUTED_VALUE"""),806.0)</f>
        <v>806</v>
      </c>
      <c r="D341" s="186" t="str">
        <f>IFERROR(__xludf.DUMMYFUNCTION("""COMPUTED_VALUE"""),"PTN-00-148223-2")</f>
        <v>PTN-00-148223-2</v>
      </c>
      <c r="E341" s="186" t="str">
        <f>IFERROR(__xludf.DUMMYFUNCTION("""COMPUTED_VALUE"""),"Garlic Herb Grilled Chicken")</f>
        <v>Garlic Herb Grilled Chicken</v>
      </c>
      <c r="F341" s="186" t="str">
        <f>IFERROR(__xludf.DUMMYFUNCTION("""COMPUTED_VALUE"""),"Grillet kylling med hvidlød og urter")</f>
        <v>Grillet kylling med hvidlød og urter</v>
      </c>
      <c r="G341" s="186" t="str">
        <f>IFERROR(__xludf.DUMMYFUNCTION("""COMPUTED_VALUE"""),"FEA006A")</f>
        <v>FEA006A</v>
      </c>
      <c r="H341" s="186">
        <f>IFERROR(__xludf.DUMMYFUNCTION("""COMPUTED_VALUE"""),565119.0)</f>
        <v>565119</v>
      </c>
      <c r="I341" s="186"/>
      <c r="J341" s="186">
        <f>IFERROR(__xludf.DUMMYFUNCTION("""COMPUTED_VALUE"""),48.0)</f>
        <v>48</v>
      </c>
      <c r="K341" s="186">
        <f>IFERROR(__xludf.DUMMYFUNCTION("""COMPUTED_VALUE"""),48.0)</f>
        <v>48</v>
      </c>
      <c r="L341" s="186">
        <f>IFERROR(__xludf.DUMMYFUNCTION("""COMPUTED_VALUE"""),48.0)</f>
        <v>48</v>
      </c>
      <c r="M341" s="186">
        <f>IFERROR(__xludf.DUMMYFUNCTION("""COMPUTED_VALUE"""),48.0)</f>
        <v>48</v>
      </c>
      <c r="N341" s="186"/>
      <c r="O341" s="186">
        <f>IFERROR(__xludf.DUMMYFUNCTION("""COMPUTED_VALUE"""),48.0)</f>
        <v>48</v>
      </c>
      <c r="P341" s="186"/>
      <c r="Q341" s="186"/>
      <c r="R341" s="186"/>
      <c r="S341" s="189">
        <f>IFERROR(__xludf.DUMMYFUNCTION("""COMPUTED_VALUE"""),31.0)</f>
        <v>31</v>
      </c>
    </row>
    <row r="342">
      <c r="A342" s="186" t="str">
        <f>IFERROR(__xludf.DUMMYFUNCTION("""COMPUTED_VALUE"""),"NORDICS")</f>
        <v>NORDICS</v>
      </c>
      <c r="B342" s="186" t="str">
        <f>IFERROR(__xludf.DUMMYFUNCTION("""COMPUTED_VALUE"""),"W02")</f>
        <v>W02</v>
      </c>
      <c r="C342" s="186"/>
      <c r="D342" s="186"/>
      <c r="E342" s="186"/>
      <c r="F342" s="186"/>
      <c r="G342" s="186"/>
      <c r="H342" s="186"/>
      <c r="I342" s="186"/>
      <c r="J342" s="189">
        <f>IFERROR(__xludf.DUMMYFUNCTION("""COMPUTED_VALUE"""),18287.0)</f>
        <v>18287</v>
      </c>
      <c r="K342" s="189">
        <f>IFERROR(__xludf.DUMMYFUNCTION("""COMPUTED_VALUE"""),17454.0)</f>
        <v>17454</v>
      </c>
      <c r="L342" s="189">
        <f>IFERROR(__xludf.DUMMYFUNCTION("""COMPUTED_VALUE"""),15743.0)</f>
        <v>15743</v>
      </c>
      <c r="M342" s="189">
        <f>IFERROR(__xludf.DUMMYFUNCTION("""COMPUTED_VALUE"""),17209.0)</f>
        <v>17209</v>
      </c>
      <c r="N342" s="189">
        <f>IFERROR(__xludf.DUMMYFUNCTION("""COMPUTED_VALUE"""),0.0)</f>
        <v>0</v>
      </c>
      <c r="O342" s="189">
        <f>IFERROR(__xludf.DUMMYFUNCTION("""COMPUTED_VALUE"""),19159.0)</f>
        <v>19159</v>
      </c>
      <c r="P342" s="189">
        <f>IFERROR(__xludf.DUMMYFUNCTION("""COMPUTED_VALUE"""),0.0)</f>
        <v>0</v>
      </c>
      <c r="Q342" s="189">
        <f>IFERROR(__xludf.DUMMYFUNCTION("""COMPUTED_VALUE"""),0.0)</f>
        <v>0</v>
      </c>
      <c r="R342" s="189">
        <f>IFERROR(__xludf.DUMMYFUNCTION("""COMPUTED_VALUE"""),0.0)</f>
        <v>0</v>
      </c>
      <c r="S342" s="189">
        <f>IFERROR(__xludf.DUMMYFUNCTION("""COMPUTED_VALUE"""),18454.0)</f>
        <v>18454</v>
      </c>
    </row>
    <row r="343">
      <c r="A343" s="186" t="str">
        <f>IFERROR(__xludf.DUMMYFUNCTION("""COMPUTED_VALUE"""),"DE")</f>
        <v>DE</v>
      </c>
      <c r="B343" s="186" t="str">
        <f>IFERROR(__xludf.DUMMYFUNCTION("""COMPUTED_VALUE"""),"W02")</f>
        <v>W02</v>
      </c>
      <c r="C343" s="186">
        <f>IFERROR(__xludf.DUMMYFUNCTION("""COMPUTED_VALUE"""),301.0)</f>
        <v>301</v>
      </c>
      <c r="D343" s="186" t="str">
        <f>IFERROR(__xludf.DUMMYFUNCTION("""COMPUTED_VALUE"""),"CON-00-147878-2")</f>
        <v>CON-00-147878-2</v>
      </c>
      <c r="E343" s="186" t="str">
        <f>IFERROR(__xludf.DUMMYFUNCTION("""COMPUTED_VALUE"""),"Grilled chicken and ratatouille")</f>
        <v>Grilled chicken and ratatouille</v>
      </c>
      <c r="F343" s="186" t="str">
        <f>IFERROR(__xludf.DUMMYFUNCTION("""COMPUTED_VALUE"""),"Grillhähnchen und Ratatouille")</f>
        <v>Grillhähnchen und Ratatouille</v>
      </c>
      <c r="G343" s="186" t="str">
        <f>IFERROR(__xludf.DUMMYFUNCTION("""COMPUTED_VALUE"""),"FE4015A")</f>
        <v>FE4015A</v>
      </c>
      <c r="H343" s="186">
        <f>IFERROR(__xludf.DUMMYFUNCTION("""COMPUTED_VALUE"""),565072.0)</f>
        <v>565072</v>
      </c>
      <c r="I343" s="186" t="str">
        <f>IFERROR(__xludf.DUMMYFUNCTION("""COMPUTED_VALUE"""),"HF Gegrilde kipfilet en ratatouille 429g")</f>
        <v>HF Gegrilde kipfilet en ratatouille 429g</v>
      </c>
      <c r="J343" s="189">
        <f>IFERROR(__xludf.DUMMYFUNCTION("""COMPUTED_VALUE"""),2133.0)</f>
        <v>2133</v>
      </c>
      <c r="K343" s="189">
        <f>IFERROR(__xludf.DUMMYFUNCTION("""COMPUTED_VALUE"""),1971.0)</f>
        <v>1971</v>
      </c>
      <c r="L343" s="189">
        <f>IFERROR(__xludf.DUMMYFUNCTION("""COMPUTED_VALUE"""),1620.0)</f>
        <v>1620</v>
      </c>
      <c r="M343" s="189">
        <f>IFERROR(__xludf.DUMMYFUNCTION("""COMPUTED_VALUE"""),1989.0)</f>
        <v>1989</v>
      </c>
      <c r="N343" s="186"/>
      <c r="O343" s="189">
        <f>IFERROR(__xludf.DUMMYFUNCTION("""COMPUTED_VALUE"""),1920.0)</f>
        <v>1920</v>
      </c>
      <c r="P343" s="186"/>
      <c r="Q343" s="186"/>
      <c r="R343" s="186"/>
      <c r="S343" s="189">
        <f>IFERROR(__xludf.DUMMYFUNCTION("""COMPUTED_VALUE"""),2106.0)</f>
        <v>2106</v>
      </c>
    </row>
    <row r="344">
      <c r="A344" s="186" t="str">
        <f>IFERROR(__xludf.DUMMYFUNCTION("""COMPUTED_VALUE"""),"DE")</f>
        <v>DE</v>
      </c>
      <c r="B344" s="186" t="str">
        <f>IFERROR(__xludf.DUMMYFUNCTION("""COMPUTED_VALUE"""),"W02")</f>
        <v>W02</v>
      </c>
      <c r="C344" s="186">
        <f>IFERROR(__xludf.DUMMYFUNCTION("""COMPUTED_VALUE"""),302.0)</f>
        <v>302</v>
      </c>
      <c r="D344" s="186" t="str">
        <f>IFERROR(__xludf.DUMMYFUNCTION("""COMPUTED_VALUE"""),"CON-00-147840-2")</f>
        <v>CON-00-147840-2</v>
      </c>
      <c r="E344" s="186" t="str">
        <f>IFERROR(__xludf.DUMMYFUNCTION("""COMPUTED_VALUE"""),"Grilled chicken fillet and potato leek mash")</f>
        <v>Grilled chicken fillet and potato leek mash</v>
      </c>
      <c r="F344" s="186" t="str">
        <f>IFERROR(__xludf.DUMMYFUNCTION("""COMPUTED_VALUE"""),"Gegrilltes Hähnchenfilet mit Kartoffel-Lauch-Püree")</f>
        <v>Gegrilltes Hähnchenfilet mit Kartoffel-Lauch-Püree</v>
      </c>
      <c r="G344" s="186" t="str">
        <f>IFERROR(__xludf.DUMMYFUNCTION("""COMPUTED_VALUE"""),"FE0426B")</f>
        <v>FE0426B</v>
      </c>
      <c r="H344" s="186">
        <f>IFERROR(__xludf.DUMMYFUNCTION("""COMPUTED_VALUE"""),565035.0)</f>
        <v>565035</v>
      </c>
      <c r="I344" s="186" t="str">
        <f>IFERROR(__xludf.DUMMYFUNCTION("""COMPUTED_VALUE"""),"HF Puree van aardappel en prei met gegrilde kip 416g")</f>
        <v>HF Puree van aardappel en prei met gegrilde kip 416g</v>
      </c>
      <c r="J344" s="189">
        <f>IFERROR(__xludf.DUMMYFUNCTION("""COMPUTED_VALUE"""),1467.0)</f>
        <v>1467</v>
      </c>
      <c r="K344" s="189">
        <f>IFERROR(__xludf.DUMMYFUNCTION("""COMPUTED_VALUE"""),1360.0)</f>
        <v>1360</v>
      </c>
      <c r="L344" s="189">
        <f>IFERROR(__xludf.DUMMYFUNCTION("""COMPUTED_VALUE"""),1255.0)</f>
        <v>1255</v>
      </c>
      <c r="M344" s="189">
        <f>IFERROR(__xludf.DUMMYFUNCTION("""COMPUTED_VALUE"""),1463.0)</f>
        <v>1463</v>
      </c>
      <c r="N344" s="186"/>
      <c r="O344" s="189">
        <f>IFERROR(__xludf.DUMMYFUNCTION("""COMPUTED_VALUE"""),1348.0)</f>
        <v>1348</v>
      </c>
      <c r="P344" s="186"/>
      <c r="Q344" s="186"/>
      <c r="R344" s="186"/>
      <c r="S344" s="189">
        <f>IFERROR(__xludf.DUMMYFUNCTION("""COMPUTED_VALUE"""),1437.0)</f>
        <v>1437</v>
      </c>
    </row>
    <row r="345">
      <c r="A345" s="186" t="str">
        <f>IFERROR(__xludf.DUMMYFUNCTION("""COMPUTED_VALUE"""),"DE")</f>
        <v>DE</v>
      </c>
      <c r="B345" s="186" t="str">
        <f>IFERROR(__xludf.DUMMYFUNCTION("""COMPUTED_VALUE"""),"W02")</f>
        <v>W02</v>
      </c>
      <c r="C345" s="186">
        <f>IFERROR(__xludf.DUMMYFUNCTION("""COMPUTED_VALUE"""),303.0)</f>
        <v>303</v>
      </c>
      <c r="D345" s="186" t="str">
        <f>IFERROR(__xludf.DUMMYFUNCTION("""COMPUTED_VALUE"""),"CON-00-147854-2")</f>
        <v>CON-00-147854-2</v>
      </c>
      <c r="E345" s="186" t="str">
        <f>IFERROR(__xludf.DUMMYFUNCTION("""COMPUTED_VALUE"""),"Cabbage in cheese sauce with minced beef")</f>
        <v>Cabbage in cheese sauce with minced beef</v>
      </c>
      <c r="F345" s="186" t="str">
        <f>IFERROR(__xludf.DUMMYFUNCTION("""COMPUTED_VALUE"""),"Wirsing in Käsesauce mit Hackfleisch")</f>
        <v>Wirsing in Käsesauce mit Hackfleisch</v>
      </c>
      <c r="G345" s="186" t="str">
        <f>IFERROR(__xludf.DUMMYFUNCTION("""COMPUTED_VALUE"""),"FE0713B")</f>
        <v>FE0713B</v>
      </c>
      <c r="H345" s="186">
        <f>IFERROR(__xludf.DUMMYFUNCTION("""COMPUTED_VALUE"""),565240.0)</f>
        <v>565240</v>
      </c>
      <c r="I345" s="186" t="str">
        <f>IFERROR(__xludf.DUMMYFUNCTION("""COMPUTED_VALUE"""),"HF RW Kool in kaassaus")</f>
        <v>HF RW Kool in kaassaus</v>
      </c>
      <c r="J345" s="189">
        <f>IFERROR(__xludf.DUMMYFUNCTION("""COMPUTED_VALUE"""),1507.0)</f>
        <v>1507</v>
      </c>
      <c r="K345" s="189">
        <f>IFERROR(__xludf.DUMMYFUNCTION("""COMPUTED_VALUE"""),1315.0)</f>
        <v>1315</v>
      </c>
      <c r="L345" s="189">
        <f>IFERROR(__xludf.DUMMYFUNCTION("""COMPUTED_VALUE"""),1471.0)</f>
        <v>1471</v>
      </c>
      <c r="M345" s="189">
        <f>IFERROR(__xludf.DUMMYFUNCTION("""COMPUTED_VALUE"""),1549.0)</f>
        <v>1549</v>
      </c>
      <c r="N345" s="186"/>
      <c r="O345" s="189">
        <f>IFERROR(__xludf.DUMMYFUNCTION("""COMPUTED_VALUE"""),1395.0)</f>
        <v>1395</v>
      </c>
      <c r="P345" s="186"/>
      <c r="Q345" s="186"/>
      <c r="R345" s="186"/>
      <c r="S345" s="189">
        <f>IFERROR(__xludf.DUMMYFUNCTION("""COMPUTED_VALUE"""),1510.0)</f>
        <v>1510</v>
      </c>
    </row>
    <row r="346">
      <c r="A346" s="186" t="str">
        <f>IFERROR(__xludf.DUMMYFUNCTION("""COMPUTED_VALUE"""),"DE")</f>
        <v>DE</v>
      </c>
      <c r="B346" s="186" t="str">
        <f>IFERROR(__xludf.DUMMYFUNCTION("""COMPUTED_VALUE"""),"W02")</f>
        <v>W02</v>
      </c>
      <c r="C346" s="186">
        <f>IFERROR(__xludf.DUMMYFUNCTION("""COMPUTED_VALUE"""),304.0)</f>
        <v>304</v>
      </c>
      <c r="D346" s="186" t="str">
        <f>IFERROR(__xludf.DUMMYFUNCTION("""COMPUTED_VALUE"""),"CON-00-148196-2")</f>
        <v>CON-00-148196-2</v>
      </c>
      <c r="E346" s="186" t="str">
        <f>IFERROR(__xludf.DUMMYFUNCTION("""COMPUTED_VALUE"""),"Caramelized Onion &amp; Emmental Fondue Chicken")</f>
        <v>Caramelized Onion &amp; Emmental Fondue Chicken</v>
      </c>
      <c r="F346" s="186" t="str">
        <f>IFERROR(__xludf.DUMMYFUNCTION("""COMPUTED_VALUE"""),"Hähnchen mit karamellisierten Zwiebeln &amp; Emmentaler-Fondue")</f>
        <v>Hähnchen mit karamellisierten Zwiebeln &amp; Emmentaler-Fondue</v>
      </c>
      <c r="G346" s="186" t="str">
        <f>IFERROR(__xludf.DUMMYFUNCTION("""COMPUTED_VALUE"""),"FE0970B")</f>
        <v>FE0970B</v>
      </c>
      <c r="H346" s="186">
        <f>IFERROR(__xludf.DUMMYFUNCTION("""COMPUTED_VALUE"""),565164.0)</f>
        <v>565164</v>
      </c>
      <c r="I346" s="186"/>
      <c r="J346" s="189">
        <f>IFERROR(__xludf.DUMMYFUNCTION("""COMPUTED_VALUE"""),2156.0)</f>
        <v>2156</v>
      </c>
      <c r="K346" s="189">
        <f>IFERROR(__xludf.DUMMYFUNCTION("""COMPUTED_VALUE"""),1938.0)</f>
        <v>1938</v>
      </c>
      <c r="L346" s="189">
        <f>IFERROR(__xludf.DUMMYFUNCTION("""COMPUTED_VALUE"""),2133.0)</f>
        <v>2133</v>
      </c>
      <c r="M346" s="189">
        <f>IFERROR(__xludf.DUMMYFUNCTION("""COMPUTED_VALUE"""),2122.0)</f>
        <v>2122</v>
      </c>
      <c r="N346" s="186"/>
      <c r="O346" s="189">
        <f>IFERROR(__xludf.DUMMYFUNCTION("""COMPUTED_VALUE"""),1945.0)</f>
        <v>1945</v>
      </c>
      <c r="P346" s="186"/>
      <c r="Q346" s="186"/>
      <c r="R346" s="186"/>
      <c r="S346" s="189">
        <f>IFERROR(__xludf.DUMMYFUNCTION("""COMPUTED_VALUE"""),2115.0)</f>
        <v>2115</v>
      </c>
    </row>
    <row r="347">
      <c r="A347" s="186" t="str">
        <f>IFERROR(__xludf.DUMMYFUNCTION("""COMPUTED_VALUE"""),"DE")</f>
        <v>DE</v>
      </c>
      <c r="B347" s="186" t="str">
        <f>IFERROR(__xludf.DUMMYFUNCTION("""COMPUTED_VALUE"""),"W02")</f>
        <v>W02</v>
      </c>
      <c r="C347" s="186">
        <f>IFERROR(__xludf.DUMMYFUNCTION("""COMPUTED_VALUE"""),305.0)</f>
        <v>305</v>
      </c>
      <c r="D347" s="186" t="str">
        <f>IFERROR(__xludf.DUMMYFUNCTION("""COMPUTED_VALUE"""),"CON-00-147827-2")</f>
        <v>CON-00-147827-2</v>
      </c>
      <c r="E347" s="186" t="str">
        <f>IFERROR(__xludf.DUMMYFUNCTION("""COMPUTED_VALUE"""),"Chicken à la Florentine")</f>
        <v>Chicken à la Florentine</v>
      </c>
      <c r="F347" s="186" t="str">
        <f>IFERROR(__xludf.DUMMYFUNCTION("""COMPUTED_VALUE"""),"Hähnchen à la Florentine")</f>
        <v>Hähnchen à la Florentine</v>
      </c>
      <c r="G347" s="186" t="str">
        <f>IFERROR(__xludf.DUMMYFUNCTION("""COMPUTED_VALUE"""),"FE0224C")</f>
        <v>FE0224C</v>
      </c>
      <c r="H347" s="186">
        <f>IFERROR(__xludf.DUMMYFUNCTION("""COMPUTED_VALUE"""),565047.0)</f>
        <v>565047</v>
      </c>
      <c r="I347" s="186" t="str">
        <f>IFERROR(__xludf.DUMMYFUNCTION("""COMPUTED_VALUE"""),"HF Kip Florentine 404g")</f>
        <v>HF Kip Florentine 404g</v>
      </c>
      <c r="J347" s="189">
        <f>IFERROR(__xludf.DUMMYFUNCTION("""COMPUTED_VALUE"""),1869.0)</f>
        <v>1869</v>
      </c>
      <c r="K347" s="189">
        <f>IFERROR(__xludf.DUMMYFUNCTION("""COMPUTED_VALUE"""),1701.0)</f>
        <v>1701</v>
      </c>
      <c r="L347" s="189">
        <f>IFERROR(__xludf.DUMMYFUNCTION("""COMPUTED_VALUE"""),1588.0)</f>
        <v>1588</v>
      </c>
      <c r="M347" s="189">
        <f>IFERROR(__xludf.DUMMYFUNCTION("""COMPUTED_VALUE"""),1851.0)</f>
        <v>1851</v>
      </c>
      <c r="N347" s="186"/>
      <c r="O347" s="189">
        <f>IFERROR(__xludf.DUMMYFUNCTION("""COMPUTED_VALUE"""),1742.0)</f>
        <v>1742</v>
      </c>
      <c r="P347" s="186"/>
      <c r="Q347" s="186"/>
      <c r="R347" s="186"/>
      <c r="S347" s="189">
        <f>IFERROR(__xludf.DUMMYFUNCTION("""COMPUTED_VALUE"""),1874.0)</f>
        <v>1874</v>
      </c>
    </row>
    <row r="348">
      <c r="A348" s="186" t="str">
        <f>IFERROR(__xludf.DUMMYFUNCTION("""COMPUTED_VALUE"""),"DE")</f>
        <v>DE</v>
      </c>
      <c r="B348" s="186" t="str">
        <f>IFERROR(__xludf.DUMMYFUNCTION("""COMPUTED_VALUE"""),"W02")</f>
        <v>W02</v>
      </c>
      <c r="C348" s="186">
        <f>IFERROR(__xludf.DUMMYFUNCTION("""COMPUTED_VALUE"""),306.0)</f>
        <v>306</v>
      </c>
      <c r="D348" s="186" t="str">
        <f>IFERROR(__xludf.DUMMYFUNCTION("""COMPUTED_VALUE"""),"CON-00-147826-2")</f>
        <v>CON-00-147826-2</v>
      </c>
      <c r="E348" s="186" t="str">
        <f>IFERROR(__xludf.DUMMYFUNCTION("""COMPUTED_VALUE"""),"Spicy chicken with jalapeño, lime and cheddar")</f>
        <v>Spicy chicken with jalapeño, lime and cheddar</v>
      </c>
      <c r="F348" s="186" t="str">
        <f>IFERROR(__xludf.DUMMYFUNCTION("""COMPUTED_VALUE"""),"Würziges Hähnchen mit Jalapeño, Limette und Cheddar")</f>
        <v>Würziges Hähnchen mit Jalapeño, Limette und Cheddar</v>
      </c>
      <c r="G348" s="186" t="str">
        <f>IFERROR(__xludf.DUMMYFUNCTION("""COMPUTED_VALUE"""),"FE0198D")</f>
        <v>FE0198D</v>
      </c>
      <c r="H348" s="186">
        <f>IFERROR(__xludf.DUMMYFUNCTION("""COMPUTED_VALUE"""),565043.0)</f>
        <v>565043</v>
      </c>
      <c r="I348" s="186" t="str">
        <f>IFERROR(__xludf.DUMMYFUNCTION("""COMPUTED_VALUE"""),"HF Pitt. kipf+jalap,lim,chedda")</f>
        <v>HF Pitt. kipf+jalap,lim,chedda</v>
      </c>
      <c r="J348" s="189">
        <f>IFERROR(__xludf.DUMMYFUNCTION("""COMPUTED_VALUE"""),1389.0)</f>
        <v>1389</v>
      </c>
      <c r="K348" s="189">
        <f>IFERROR(__xludf.DUMMYFUNCTION("""COMPUTED_VALUE"""),1288.0)</f>
        <v>1288</v>
      </c>
      <c r="L348" s="189">
        <f>IFERROR(__xludf.DUMMYFUNCTION("""COMPUTED_VALUE"""),1044.0)</f>
        <v>1044</v>
      </c>
      <c r="M348" s="189">
        <f>IFERROR(__xludf.DUMMYFUNCTION("""COMPUTED_VALUE"""),1185.0)</f>
        <v>1185</v>
      </c>
      <c r="N348" s="186"/>
      <c r="O348" s="189">
        <f>IFERROR(__xludf.DUMMYFUNCTION("""COMPUTED_VALUE"""),1129.0)</f>
        <v>1129</v>
      </c>
      <c r="P348" s="186"/>
      <c r="Q348" s="186"/>
      <c r="R348" s="186"/>
      <c r="S348" s="189">
        <f>IFERROR(__xludf.DUMMYFUNCTION("""COMPUTED_VALUE"""),1224.0)</f>
        <v>1224</v>
      </c>
    </row>
    <row r="349">
      <c r="A349" s="186" t="str">
        <f>IFERROR(__xludf.DUMMYFUNCTION("""COMPUTED_VALUE"""),"DE")</f>
        <v>DE</v>
      </c>
      <c r="B349" s="186" t="str">
        <f>IFERROR(__xludf.DUMMYFUNCTION("""COMPUTED_VALUE"""),"W02")</f>
        <v>W02</v>
      </c>
      <c r="C349" s="186">
        <f>IFERROR(__xludf.DUMMYFUNCTION("""COMPUTED_VALUE"""),307.0)</f>
        <v>307</v>
      </c>
      <c r="D349" s="186" t="str">
        <f>IFERROR(__xludf.DUMMYFUNCTION("""COMPUTED_VALUE"""),"CON-00-147874-2")</f>
        <v>CON-00-147874-2</v>
      </c>
      <c r="E349" s="186" t="str">
        <f>IFERROR(__xludf.DUMMYFUNCTION("""COMPUTED_VALUE"""),"Grilled pork tenderloin and tomato butter")</f>
        <v>Grilled pork tenderloin and tomato butter</v>
      </c>
      <c r="F349" s="186" t="str">
        <f>IFERROR(__xludf.DUMMYFUNCTION("""COMPUTED_VALUE"""),"Gegrilltes Schweinefilet mit Tomatenbutter")</f>
        <v>Gegrilltes Schweinefilet mit Tomatenbutter</v>
      </c>
      <c r="G349" s="186" t="str">
        <f>IFERROR(__xludf.DUMMYFUNCTION("""COMPUTED_VALUE"""),"FE4010B")</f>
        <v>FE4010B</v>
      </c>
      <c r="H349" s="186">
        <f>IFERROR(__xludf.DUMMYFUNCTION("""COMPUTED_VALUE"""),565138.0)</f>
        <v>565138</v>
      </c>
      <c r="I349" s="186"/>
      <c r="J349" s="189">
        <f>IFERROR(__xludf.DUMMYFUNCTION("""COMPUTED_VALUE"""),910.0)</f>
        <v>910</v>
      </c>
      <c r="K349" s="189">
        <f>IFERROR(__xludf.DUMMYFUNCTION("""COMPUTED_VALUE"""),812.0)</f>
        <v>812</v>
      </c>
      <c r="L349" s="189">
        <f>IFERROR(__xludf.DUMMYFUNCTION("""COMPUTED_VALUE"""),800.0)</f>
        <v>800</v>
      </c>
      <c r="M349" s="189">
        <f>IFERROR(__xludf.DUMMYFUNCTION("""COMPUTED_VALUE"""),936.0)</f>
        <v>936</v>
      </c>
      <c r="N349" s="186"/>
      <c r="O349" s="189">
        <f>IFERROR(__xludf.DUMMYFUNCTION("""COMPUTED_VALUE"""),871.0)</f>
        <v>871</v>
      </c>
      <c r="P349" s="186"/>
      <c r="Q349" s="186"/>
      <c r="R349" s="186"/>
      <c r="S349" s="189">
        <f>IFERROR(__xludf.DUMMYFUNCTION("""COMPUTED_VALUE"""),912.0)</f>
        <v>912</v>
      </c>
    </row>
    <row r="350">
      <c r="A350" s="186" t="str">
        <f>IFERROR(__xludf.DUMMYFUNCTION("""COMPUTED_VALUE"""),"DE")</f>
        <v>DE</v>
      </c>
      <c r="B350" s="186" t="str">
        <f>IFERROR(__xludf.DUMMYFUNCTION("""COMPUTED_VALUE"""),"W02")</f>
        <v>W02</v>
      </c>
      <c r="C350" s="186">
        <f>IFERROR(__xludf.DUMMYFUNCTION("""COMPUTED_VALUE"""),308.0)</f>
        <v>308</v>
      </c>
      <c r="D350" s="186" t="str">
        <f>IFERROR(__xludf.DUMMYFUNCTION("""COMPUTED_VALUE"""),"CON-00-152030-2")</f>
        <v>CON-00-152030-2</v>
      </c>
      <c r="E350" s="186" t="str">
        <f>IFERROR(__xludf.DUMMYFUNCTION("""COMPUTED_VALUE"""),"Salmon Dijonnaise")</f>
        <v>Salmon Dijonnaise</v>
      </c>
      <c r="F350" s="186" t="str">
        <f>IFERROR(__xludf.DUMMYFUNCTION("""COMPUTED_VALUE"""),"Lachs Dijonnaise")</f>
        <v>Lachs Dijonnaise</v>
      </c>
      <c r="G350" s="186" t="str">
        <f>IFERROR(__xludf.DUMMYFUNCTION("""COMPUTED_VALUE"""),"FE1031A")</f>
        <v>FE1031A</v>
      </c>
      <c r="H350" s="186">
        <f>IFERROR(__xludf.DUMMYFUNCTION("""COMPUTED_VALUE"""),565207.0)</f>
        <v>565207</v>
      </c>
      <c r="I350" s="186" t="str">
        <f>IFERROR(__xludf.DUMMYFUNCTION("""COMPUTED_VALUE"""),"HF Zalm dijonnaise")</f>
        <v>HF Zalm dijonnaise</v>
      </c>
      <c r="J350" s="189">
        <f>IFERROR(__xludf.DUMMYFUNCTION("""COMPUTED_VALUE"""),1243.0)</f>
        <v>1243</v>
      </c>
      <c r="K350" s="189">
        <f>IFERROR(__xludf.DUMMYFUNCTION("""COMPUTED_VALUE"""),1176.0)</f>
        <v>1176</v>
      </c>
      <c r="L350" s="189">
        <f>IFERROR(__xludf.DUMMYFUNCTION("""COMPUTED_VALUE"""),1251.0)</f>
        <v>1251</v>
      </c>
      <c r="M350" s="189">
        <f>IFERROR(__xludf.DUMMYFUNCTION("""COMPUTED_VALUE"""),1281.0)</f>
        <v>1281</v>
      </c>
      <c r="N350" s="186"/>
      <c r="O350" s="189">
        <f>IFERROR(__xludf.DUMMYFUNCTION("""COMPUTED_VALUE"""),1222.0)</f>
        <v>1222</v>
      </c>
      <c r="P350" s="186"/>
      <c r="Q350" s="186"/>
      <c r="R350" s="186"/>
      <c r="S350" s="189">
        <f>IFERROR(__xludf.DUMMYFUNCTION("""COMPUTED_VALUE"""),1263.0)</f>
        <v>1263</v>
      </c>
    </row>
    <row r="351">
      <c r="A351" s="186" t="str">
        <f>IFERROR(__xludf.DUMMYFUNCTION("""COMPUTED_VALUE"""),"DE")</f>
        <v>DE</v>
      </c>
      <c r="B351" s="186" t="str">
        <f>IFERROR(__xludf.DUMMYFUNCTION("""COMPUTED_VALUE"""),"W02")</f>
        <v>W02</v>
      </c>
      <c r="C351" s="186">
        <f>IFERROR(__xludf.DUMMYFUNCTION("""COMPUTED_VALUE"""),309.0)</f>
        <v>309</v>
      </c>
      <c r="D351" s="186" t="str">
        <f>IFERROR(__xludf.DUMMYFUNCTION("""COMPUTED_VALUE"""),"CON-00-147817-2")</f>
        <v>CON-00-147817-2</v>
      </c>
      <c r="E351" s="186" t="str">
        <f>IFERROR(__xludf.DUMMYFUNCTION("""COMPUTED_VALUE"""),"Ratatouille of zucchini and pepper")</f>
        <v>Ratatouille of zucchini and pepper</v>
      </c>
      <c r="F351" s="186" t="str">
        <f>IFERROR(__xludf.DUMMYFUNCTION("""COMPUTED_VALUE"""),"Zucchini-Paprika-Ratatouille")</f>
        <v>Zucchini-Paprika-Ratatouille</v>
      </c>
      <c r="G351" s="186" t="str">
        <f>IFERROR(__xludf.DUMMYFUNCTION("""COMPUTED_VALUE"""),"FE0090C")</f>
        <v>FE0090C</v>
      </c>
      <c r="H351" s="186">
        <f>IFERROR(__xludf.DUMMYFUNCTION("""COMPUTED_VALUE"""),565141.0)</f>
        <v>565141</v>
      </c>
      <c r="I351" s="186"/>
      <c r="J351" s="186">
        <f>IFERROR(__xludf.DUMMYFUNCTION("""COMPUTED_VALUE"""),277.0)</f>
        <v>277</v>
      </c>
      <c r="K351" s="186">
        <f>IFERROR(__xludf.DUMMYFUNCTION("""COMPUTED_VALUE"""),258.0)</f>
        <v>258</v>
      </c>
      <c r="L351" s="186">
        <f>IFERROR(__xludf.DUMMYFUNCTION("""COMPUTED_VALUE"""),196.0)</f>
        <v>196</v>
      </c>
      <c r="M351" s="186">
        <f>IFERROR(__xludf.DUMMYFUNCTION("""COMPUTED_VALUE"""),249.0)</f>
        <v>249</v>
      </c>
      <c r="N351" s="186"/>
      <c r="O351" s="186">
        <f>IFERROR(__xludf.DUMMYFUNCTION("""COMPUTED_VALUE"""),230.0)</f>
        <v>230</v>
      </c>
      <c r="P351" s="186"/>
      <c r="Q351" s="186"/>
      <c r="R351" s="186"/>
      <c r="S351" s="189">
        <f>IFERROR(__xludf.DUMMYFUNCTION("""COMPUTED_VALUE"""),218.0)</f>
        <v>218</v>
      </c>
    </row>
    <row r="352">
      <c r="A352" s="186" t="str">
        <f>IFERROR(__xludf.DUMMYFUNCTION("""COMPUTED_VALUE"""),"DE")</f>
        <v>DE</v>
      </c>
      <c r="B352" s="186" t="str">
        <f>IFERROR(__xludf.DUMMYFUNCTION("""COMPUTED_VALUE"""),"W02")</f>
        <v>W02</v>
      </c>
      <c r="C352" s="186">
        <f>IFERROR(__xludf.DUMMYFUNCTION("""COMPUTED_VALUE"""),310.0)</f>
        <v>310</v>
      </c>
      <c r="D352" s="186" t="str">
        <f>IFERROR(__xludf.DUMMYFUNCTION("""COMPUTED_VALUE"""),"CON-00-147818-2")</f>
        <v>CON-00-147818-2</v>
      </c>
      <c r="E352" s="186" t="str">
        <f>IFERROR(__xludf.DUMMYFUNCTION("""COMPUTED_VALUE"""),"Mexican style corn cake")</f>
        <v>Mexican style corn cake</v>
      </c>
      <c r="F352" s="186" t="str">
        <f>IFERROR(__xludf.DUMMYFUNCTION("""COMPUTED_VALUE"""),"Mexikanischer Maiskuchen")</f>
        <v>Mexikanischer Maiskuchen</v>
      </c>
      <c r="G352" s="186" t="str">
        <f>IFERROR(__xludf.DUMMYFUNCTION("""COMPUTED_VALUE"""),"FE0121C")</f>
        <v>FE0121C</v>
      </c>
      <c r="H352" s="186">
        <f>IFERROR(__xludf.DUMMYFUNCTION("""COMPUTED_VALUE"""),565023.0)</f>
        <v>565023</v>
      </c>
      <c r="I352" s="186" t="str">
        <f>IFERROR(__xludf.DUMMYFUNCTION("""COMPUTED_VALUE"""),"HF Mex.stijl maiscake")</f>
        <v>HF Mex.stijl maiscake</v>
      </c>
      <c r="J352" s="186">
        <f>IFERROR(__xludf.DUMMYFUNCTION("""COMPUTED_VALUE"""),332.0)</f>
        <v>332</v>
      </c>
      <c r="K352" s="186">
        <f>IFERROR(__xludf.DUMMYFUNCTION("""COMPUTED_VALUE"""),295.0)</f>
        <v>295</v>
      </c>
      <c r="L352" s="186">
        <f>IFERROR(__xludf.DUMMYFUNCTION("""COMPUTED_VALUE"""),178.0)</f>
        <v>178</v>
      </c>
      <c r="M352" s="186">
        <f>IFERROR(__xludf.DUMMYFUNCTION("""COMPUTED_VALUE"""),231.0)</f>
        <v>231</v>
      </c>
      <c r="N352" s="186"/>
      <c r="O352" s="186">
        <f>IFERROR(__xludf.DUMMYFUNCTION("""COMPUTED_VALUE"""),244.0)</f>
        <v>244</v>
      </c>
      <c r="P352" s="186"/>
      <c r="Q352" s="186"/>
      <c r="R352" s="186"/>
      <c r="S352" s="186">
        <f>IFERROR(__xludf.DUMMYFUNCTION("""COMPUTED_VALUE"""),246.0)</f>
        <v>246</v>
      </c>
    </row>
    <row r="353">
      <c r="A353" s="186" t="str">
        <f>IFERROR(__xludf.DUMMYFUNCTION("""COMPUTED_VALUE"""),"DE")</f>
        <v>DE</v>
      </c>
      <c r="B353" s="186" t="str">
        <f>IFERROR(__xludf.DUMMYFUNCTION("""COMPUTED_VALUE"""),"W02")</f>
        <v>W02</v>
      </c>
      <c r="C353" s="186">
        <f>IFERROR(__xludf.DUMMYFUNCTION("""COMPUTED_VALUE"""),311.0)</f>
        <v>311</v>
      </c>
      <c r="D353" s="186" t="str">
        <f>IFERROR(__xludf.DUMMYFUNCTION("""COMPUTED_VALUE"""),"CON-00-150964-2")</f>
        <v>CON-00-150964-2</v>
      </c>
      <c r="E353" s="186" t="str">
        <f>IFERROR(__xludf.DUMMYFUNCTION("""COMPUTED_VALUE"""),"Bulgogi Shredded Beef Bowl")</f>
        <v>Bulgogi Shredded Beef Bowl</v>
      </c>
      <c r="F353" s="186" t="str">
        <f>IFERROR(__xludf.DUMMYFUNCTION("""COMPUTED_VALUE"""),"Bulgogi-Bowl mit geschmortem Rindfleisch")</f>
        <v>Bulgogi-Bowl mit geschmortem Rindfleisch</v>
      </c>
      <c r="G353" s="186" t="str">
        <f>IFERROR(__xludf.DUMMYFUNCTION("""COMPUTED_VALUE"""),"FE1404A")</f>
        <v>FE1404A</v>
      </c>
      <c r="H353" s="186">
        <f>IFERROR(__xludf.DUMMYFUNCTION("""COMPUTED_VALUE"""),565190.0)</f>
        <v>565190</v>
      </c>
      <c r="I353" s="186" t="str">
        <f>IFERROR(__xludf.DUMMYFUNCTION("""COMPUTED_VALUE"""),"HF Bulgogi pulled beef")</f>
        <v>HF Bulgogi pulled beef</v>
      </c>
      <c r="J353" s="186">
        <f>IFERROR(__xludf.DUMMYFUNCTION("""COMPUTED_VALUE"""),582.0)</f>
        <v>582</v>
      </c>
      <c r="K353" s="186">
        <f>IFERROR(__xludf.DUMMYFUNCTION("""COMPUTED_VALUE"""),456.0)</f>
        <v>456</v>
      </c>
      <c r="L353" s="186">
        <f>IFERROR(__xludf.DUMMYFUNCTION("""COMPUTED_VALUE"""),455.0)</f>
        <v>455</v>
      </c>
      <c r="M353" s="186">
        <f>IFERROR(__xludf.DUMMYFUNCTION("""COMPUTED_VALUE"""),458.0)</f>
        <v>458</v>
      </c>
      <c r="N353" s="186"/>
      <c r="O353" s="186">
        <f>IFERROR(__xludf.DUMMYFUNCTION("""COMPUTED_VALUE"""),432.0)</f>
        <v>432</v>
      </c>
      <c r="P353" s="186"/>
      <c r="Q353" s="186"/>
      <c r="R353" s="186"/>
      <c r="S353" s="189">
        <f>IFERROR(__xludf.DUMMYFUNCTION("""COMPUTED_VALUE"""),389.0)</f>
        <v>389</v>
      </c>
    </row>
    <row r="354">
      <c r="A354" s="186" t="str">
        <f>IFERROR(__xludf.DUMMYFUNCTION("""COMPUTED_VALUE"""),"DE")</f>
        <v>DE</v>
      </c>
      <c r="B354" s="186" t="str">
        <f>IFERROR(__xludf.DUMMYFUNCTION("""COMPUTED_VALUE"""),"W02")</f>
        <v>W02</v>
      </c>
      <c r="C354" s="186">
        <f>IFERROR(__xludf.DUMMYFUNCTION("""COMPUTED_VALUE"""),312.0)</f>
        <v>312</v>
      </c>
      <c r="D354" s="186" t="str">
        <f>IFERROR(__xludf.DUMMYFUNCTION("""COMPUTED_VALUE"""),"CON-00-154556-2")</f>
        <v>CON-00-154556-2</v>
      </c>
      <c r="E354" s="186" t="str">
        <f>IFERROR(__xludf.DUMMYFUNCTION("""COMPUTED_VALUE"""),"Citrus–Miso Salmon Bowl")</f>
        <v>Citrus–Miso Salmon Bowl</v>
      </c>
      <c r="F354" s="186" t="str">
        <f>IFERROR(__xludf.DUMMYFUNCTION("""COMPUTED_VALUE"""),"Lachs-Bowl mit Zitrus-Miso")</f>
        <v>Lachs-Bowl mit Zitrus-Miso</v>
      </c>
      <c r="G354" s="186" t="str">
        <f>IFERROR(__xludf.DUMMYFUNCTION("""COMPUTED_VALUE"""),"FE1731A")</f>
        <v>FE1731A</v>
      </c>
      <c r="H354" s="186">
        <f>IFERROR(__xludf.DUMMYFUNCTION("""COMPUTED_VALUE"""),565221.0)</f>
        <v>565221</v>
      </c>
      <c r="I354" s="186" t="str">
        <f>IFERROR(__xludf.DUMMYFUNCTION("""COMPUTED_VALUE"""),"HF Citrus-miso zalm bowl")</f>
        <v>HF Citrus-miso zalm bowl</v>
      </c>
      <c r="J354" s="189">
        <f>IFERROR(__xludf.DUMMYFUNCTION("""COMPUTED_VALUE"""),1050.0)</f>
        <v>1050</v>
      </c>
      <c r="K354" s="189">
        <f>IFERROR(__xludf.DUMMYFUNCTION("""COMPUTED_VALUE"""),989.0)</f>
        <v>989</v>
      </c>
      <c r="L354" s="189">
        <f>IFERROR(__xludf.DUMMYFUNCTION("""COMPUTED_VALUE"""),1253.0)</f>
        <v>1253</v>
      </c>
      <c r="M354" s="189">
        <f>IFERROR(__xludf.DUMMYFUNCTION("""COMPUTED_VALUE"""),1327.0)</f>
        <v>1327</v>
      </c>
      <c r="N354" s="186"/>
      <c r="O354" s="189">
        <f>IFERROR(__xludf.DUMMYFUNCTION("""COMPUTED_VALUE"""),1239.0)</f>
        <v>1239</v>
      </c>
      <c r="P354" s="186"/>
      <c r="Q354" s="186"/>
      <c r="R354" s="186"/>
      <c r="S354" s="189">
        <f>IFERROR(__xludf.DUMMYFUNCTION("""COMPUTED_VALUE"""),1225.0)</f>
        <v>1225</v>
      </c>
    </row>
    <row r="355">
      <c r="A355" s="186" t="str">
        <f>IFERROR(__xludf.DUMMYFUNCTION("""COMPUTED_VALUE"""),"DE")</f>
        <v>DE</v>
      </c>
      <c r="B355" s="186" t="str">
        <f>IFERROR(__xludf.DUMMYFUNCTION("""COMPUTED_VALUE"""),"W02")</f>
        <v>W02</v>
      </c>
      <c r="C355" s="186">
        <f>IFERROR(__xludf.DUMMYFUNCTION("""COMPUTED_VALUE"""),313.0)</f>
        <v>313</v>
      </c>
      <c r="D355" s="186" t="str">
        <f>IFERROR(__xludf.DUMMYFUNCTION("""COMPUTED_VALUE"""),"CON-00-154558-2")</f>
        <v>CON-00-154558-2</v>
      </c>
      <c r="E355" s="186" t="str">
        <f>IFERROR(__xludf.DUMMYFUNCTION("""COMPUTED_VALUE"""),"Athenian-Style Feta Chicken")</f>
        <v>Athenian-Style Feta Chicken</v>
      </c>
      <c r="F355" s="186" t="str">
        <f>IFERROR(__xludf.DUMMYFUNCTION("""COMPUTED_VALUE"""),"Hähnchen nach Athener Art mit Feta")</f>
        <v>Hähnchen nach Athener Art mit Feta</v>
      </c>
      <c r="G355" s="186" t="str">
        <f>IFERROR(__xludf.DUMMYFUNCTION("""COMPUTED_VALUE"""),"FE1429A")</f>
        <v>FE1429A</v>
      </c>
      <c r="H355" s="186">
        <f>IFERROR(__xludf.DUMMYFUNCTION("""COMPUTED_VALUE"""),565230.0)</f>
        <v>565230</v>
      </c>
      <c r="I355" s="186" t="str">
        <f>IFERROR(__xludf.DUMMYFUNCTION("""COMPUTED_VALUE"""),"HF Atheense kip met feta saus")</f>
        <v>HF Atheense kip met feta saus</v>
      </c>
      <c r="J355" s="189">
        <f>IFERROR(__xludf.DUMMYFUNCTION("""COMPUTED_VALUE"""),990.0)</f>
        <v>990</v>
      </c>
      <c r="K355" s="189">
        <f>IFERROR(__xludf.DUMMYFUNCTION("""COMPUTED_VALUE"""),940.0)</f>
        <v>940</v>
      </c>
      <c r="L355" s="189">
        <f>IFERROR(__xludf.DUMMYFUNCTION("""COMPUTED_VALUE"""),1243.0)</f>
        <v>1243</v>
      </c>
      <c r="M355" s="189">
        <f>IFERROR(__xludf.DUMMYFUNCTION("""COMPUTED_VALUE"""),1238.0)</f>
        <v>1238</v>
      </c>
      <c r="N355" s="186"/>
      <c r="O355" s="189">
        <f>IFERROR(__xludf.DUMMYFUNCTION("""COMPUTED_VALUE"""),1170.0)</f>
        <v>1170</v>
      </c>
      <c r="P355" s="186"/>
      <c r="Q355" s="186"/>
      <c r="R355" s="186"/>
      <c r="S355" s="189">
        <f>IFERROR(__xludf.DUMMYFUNCTION("""COMPUTED_VALUE"""),1131.0)</f>
        <v>1131</v>
      </c>
    </row>
    <row r="356">
      <c r="A356" s="186" t="str">
        <f>IFERROR(__xludf.DUMMYFUNCTION("""COMPUTED_VALUE"""),"DE")</f>
        <v>DE</v>
      </c>
      <c r="B356" s="186" t="str">
        <f>IFERROR(__xludf.DUMMYFUNCTION("""COMPUTED_VALUE"""),"W02")</f>
        <v>W02</v>
      </c>
      <c r="C356" s="186">
        <f>IFERROR(__xludf.DUMMYFUNCTION("""COMPUTED_VALUE"""),314.0)</f>
        <v>314</v>
      </c>
      <c r="D356" s="186"/>
      <c r="E356" s="186"/>
      <c r="F356" s="186"/>
      <c r="G356" s="186" t="str">
        <f>IFERROR(__xludf.DUMMYFUNCTION("""COMPUTED_VALUE"""),"FE1408A")</f>
        <v>FE1408A</v>
      </c>
      <c r="H356" s="186"/>
      <c r="I356" s="186"/>
      <c r="J356" s="186">
        <f>IFERROR(__xludf.DUMMYFUNCTION("""COMPUTED_VALUE"""),630.0)</f>
        <v>630</v>
      </c>
      <c r="K356" s="186">
        <f>IFERROR(__xludf.DUMMYFUNCTION("""COMPUTED_VALUE"""),653.0)</f>
        <v>653</v>
      </c>
      <c r="L356" s="189">
        <f>IFERROR(__xludf.DUMMYFUNCTION("""COMPUTED_VALUE"""),652.0)</f>
        <v>652</v>
      </c>
      <c r="M356" s="189">
        <f>IFERROR(__xludf.DUMMYFUNCTION("""COMPUTED_VALUE"""),581.0)</f>
        <v>581</v>
      </c>
      <c r="N356" s="186"/>
      <c r="O356" s="189">
        <f>IFERROR(__xludf.DUMMYFUNCTION("""COMPUTED_VALUE"""),538.0)</f>
        <v>538</v>
      </c>
      <c r="P356" s="186"/>
      <c r="Q356" s="186"/>
      <c r="R356" s="186"/>
      <c r="S356" s="189">
        <f>IFERROR(__xludf.DUMMYFUNCTION("""COMPUTED_VALUE"""),478.0)</f>
        <v>478</v>
      </c>
    </row>
    <row r="357">
      <c r="A357" s="186" t="str">
        <f>IFERROR(__xludf.DUMMYFUNCTION("""COMPUTED_VALUE"""),"DE")</f>
        <v>DE</v>
      </c>
      <c r="B357" s="186" t="str">
        <f>IFERROR(__xludf.DUMMYFUNCTION("""COMPUTED_VALUE"""),"W02")</f>
        <v>W02</v>
      </c>
      <c r="C357" s="186">
        <f>IFERROR(__xludf.DUMMYFUNCTION("""COMPUTED_VALUE"""),315.0)</f>
        <v>315</v>
      </c>
      <c r="D357" s="186" t="str">
        <f>IFERROR(__xludf.DUMMYFUNCTION("""COMPUTED_VALUE"""),"CON-00-151115-2")</f>
        <v>CON-00-151115-2</v>
      </c>
      <c r="E357" s="186" t="str">
        <f>IFERROR(__xludf.DUMMYFUNCTION("""COMPUTED_VALUE"""),"Cheddar &amp; Bell Pepper Pulled Beef Bowl")</f>
        <v>Cheddar &amp; Bell Pepper Pulled Beef Bowl</v>
      </c>
      <c r="F357" s="186" t="str">
        <f>IFERROR(__xludf.DUMMYFUNCTION("""COMPUTED_VALUE"""),"Pulled-Beef-Bowl mit Cheddar und Paprika")</f>
        <v>Pulled-Beef-Bowl mit Cheddar und Paprika</v>
      </c>
      <c r="G357" s="186" t="str">
        <f>IFERROR(__xludf.DUMMYFUNCTION("""COMPUTED_VALUE"""),"FE1348B")</f>
        <v>FE1348B</v>
      </c>
      <c r="H357" s="186">
        <f>IFERROR(__xludf.DUMMYFUNCTION("""COMPUTED_VALUE"""),565186.0)</f>
        <v>565186</v>
      </c>
      <c r="I357" s="186" t="str">
        <f>IFERROR(__xludf.DUMMYFUNCTION("""COMPUTED_VALUE"""),"HF Pulled beef salsa bowl")</f>
        <v>HF Pulled beef salsa bowl</v>
      </c>
      <c r="J357" s="186">
        <f>IFERROR(__xludf.DUMMYFUNCTION("""COMPUTED_VALUE"""),679.0)</f>
        <v>679</v>
      </c>
      <c r="K357" s="186">
        <f>IFERROR(__xludf.DUMMYFUNCTION("""COMPUTED_VALUE"""),594.0)</f>
        <v>594</v>
      </c>
      <c r="L357" s="186">
        <f>IFERROR(__xludf.DUMMYFUNCTION("""COMPUTED_VALUE"""),791.0)</f>
        <v>791</v>
      </c>
      <c r="M357" s="186">
        <f>IFERROR(__xludf.DUMMYFUNCTION("""COMPUTED_VALUE"""),733.0)</f>
        <v>733</v>
      </c>
      <c r="N357" s="186"/>
      <c r="O357" s="186">
        <f>IFERROR(__xludf.DUMMYFUNCTION("""COMPUTED_VALUE"""),694.0)</f>
        <v>694</v>
      </c>
      <c r="P357" s="186"/>
      <c r="Q357" s="186"/>
      <c r="R357" s="186"/>
      <c r="S357" s="189">
        <f>IFERROR(__xludf.DUMMYFUNCTION("""COMPUTED_VALUE"""),657.0)</f>
        <v>657</v>
      </c>
    </row>
    <row r="358">
      <c r="A358" s="186" t="str">
        <f>IFERROR(__xludf.DUMMYFUNCTION("""COMPUTED_VALUE"""),"DE")</f>
        <v>DE</v>
      </c>
      <c r="B358" s="186" t="str">
        <f>IFERROR(__xludf.DUMMYFUNCTION("""COMPUTED_VALUE"""),"W02")</f>
        <v>W02</v>
      </c>
      <c r="C358" s="186">
        <f>IFERROR(__xludf.DUMMYFUNCTION("""COMPUTED_VALUE"""),316.0)</f>
        <v>316</v>
      </c>
      <c r="D358" s="186" t="str">
        <f>IFERROR(__xludf.DUMMYFUNCTION("""COMPUTED_VALUE"""),"CON-00-147844-2")</f>
        <v>CON-00-147844-2</v>
      </c>
      <c r="E358" s="186" t="str">
        <f>IFERROR(__xludf.DUMMYFUNCTION("""COMPUTED_VALUE"""),"Indian style butter chicken")</f>
        <v>Indian style butter chicken</v>
      </c>
      <c r="F358" s="186" t="str">
        <f>IFERROR(__xludf.DUMMYFUNCTION("""COMPUTED_VALUE"""),"Indisches Butterhuhn")</f>
        <v>Indisches Butterhuhn</v>
      </c>
      <c r="G358" s="186" t="str">
        <f>IFERROR(__xludf.DUMMYFUNCTION("""COMPUTED_VALUE"""),"FE0472B")</f>
        <v>FE0472B</v>
      </c>
      <c r="H358" s="186">
        <f>IFERROR(__xludf.DUMMYFUNCTION("""COMPUTED_VALUE"""),565145.0)</f>
        <v>565145</v>
      </c>
      <c r="I358" s="186" t="str">
        <f>IFERROR(__xludf.DUMMYFUNCTION("""COMPUTED_VALUE"""),"HF RW Butter Chicken")</f>
        <v>HF RW Butter Chicken</v>
      </c>
      <c r="J358" s="186">
        <f>IFERROR(__xludf.DUMMYFUNCTION("""COMPUTED_VALUE"""),589.0)</f>
        <v>589</v>
      </c>
      <c r="K358" s="186">
        <f>IFERROR(__xludf.DUMMYFUNCTION("""COMPUTED_VALUE"""),549.0)</f>
        <v>549</v>
      </c>
      <c r="L358" s="186">
        <f>IFERROR(__xludf.DUMMYFUNCTION("""COMPUTED_VALUE"""),724.0)</f>
        <v>724</v>
      </c>
      <c r="M358" s="186">
        <f>IFERROR(__xludf.DUMMYFUNCTION("""COMPUTED_VALUE"""),759.0)</f>
        <v>759</v>
      </c>
      <c r="N358" s="186"/>
      <c r="O358" s="186">
        <f>IFERROR(__xludf.DUMMYFUNCTION("""COMPUTED_VALUE"""),620.0)</f>
        <v>620</v>
      </c>
      <c r="P358" s="186"/>
      <c r="Q358" s="186"/>
      <c r="R358" s="186"/>
      <c r="S358" s="189">
        <f>IFERROR(__xludf.DUMMYFUNCTION("""COMPUTED_VALUE"""),574.0)</f>
        <v>574</v>
      </c>
    </row>
    <row r="359">
      <c r="A359" s="186" t="str">
        <f>IFERROR(__xludf.DUMMYFUNCTION("""COMPUTED_VALUE"""),"DE")</f>
        <v>DE</v>
      </c>
      <c r="B359" s="186" t="str">
        <f>IFERROR(__xludf.DUMMYFUNCTION("""COMPUTED_VALUE"""),"W02")</f>
        <v>W02</v>
      </c>
      <c r="C359" s="186">
        <f>IFERROR(__xludf.DUMMYFUNCTION("""COMPUTED_VALUE"""),317.0)</f>
        <v>317</v>
      </c>
      <c r="D359" s="186"/>
      <c r="E359" s="186"/>
      <c r="F359" s="186"/>
      <c r="G359" s="186" t="str">
        <f>IFERROR(__xludf.DUMMYFUNCTION("""COMPUTED_VALUE"""),"FE1072A")</f>
        <v>FE1072A</v>
      </c>
      <c r="H359" s="186"/>
      <c r="I359" s="186"/>
      <c r="J359" s="186">
        <f>IFERROR(__xludf.DUMMYFUNCTION("""COMPUTED_VALUE"""),335.0)</f>
        <v>335</v>
      </c>
      <c r="K359" s="186">
        <f>IFERROR(__xludf.DUMMYFUNCTION("""COMPUTED_VALUE"""),330.0)</f>
        <v>330</v>
      </c>
      <c r="L359" s="189">
        <f>IFERROR(__xludf.DUMMYFUNCTION("""COMPUTED_VALUE"""),314.0)</f>
        <v>314</v>
      </c>
      <c r="M359" s="189">
        <f>IFERROR(__xludf.DUMMYFUNCTION("""COMPUTED_VALUE"""),283.0)</f>
        <v>283</v>
      </c>
      <c r="N359" s="186"/>
      <c r="O359" s="189">
        <f>IFERROR(__xludf.DUMMYFUNCTION("""COMPUTED_VALUE"""),255.0)</f>
        <v>255</v>
      </c>
      <c r="P359" s="186"/>
      <c r="Q359" s="186"/>
      <c r="R359" s="186"/>
      <c r="S359" s="189">
        <f>IFERROR(__xludf.DUMMYFUNCTION("""COMPUTED_VALUE"""),236.0)</f>
        <v>236</v>
      </c>
    </row>
    <row r="360">
      <c r="A360" s="186" t="str">
        <f>IFERROR(__xludf.DUMMYFUNCTION("""COMPUTED_VALUE"""),"DE")</f>
        <v>DE</v>
      </c>
      <c r="B360" s="186" t="str">
        <f>IFERROR(__xludf.DUMMYFUNCTION("""COMPUTED_VALUE"""),"W02")</f>
        <v>W02</v>
      </c>
      <c r="C360" s="186">
        <f>IFERROR(__xludf.DUMMYFUNCTION("""COMPUTED_VALUE"""),318.0)</f>
        <v>318</v>
      </c>
      <c r="D360" s="186" t="str">
        <f>IFERROR(__xludf.DUMMYFUNCTION("""COMPUTED_VALUE"""),"CON-00-147848-2")</f>
        <v>CON-00-147848-2</v>
      </c>
      <c r="E360" s="186" t="str">
        <f>IFERROR(__xludf.DUMMYFUNCTION("""COMPUTED_VALUE"""),"Pork tenderloin in red pepper sauce")</f>
        <v>Pork tenderloin in red pepper sauce</v>
      </c>
      <c r="F360" s="186" t="str">
        <f>IFERROR(__xludf.DUMMYFUNCTION("""COMPUTED_VALUE"""),"Schweinefilet in Paprikasauce")</f>
        <v>Schweinefilet in Paprikasauce</v>
      </c>
      <c r="G360" s="186" t="str">
        <f>IFERROR(__xludf.DUMMYFUNCTION("""COMPUTED_VALUE"""),"FE0430E")</f>
        <v>FE0430E</v>
      </c>
      <c r="H360" s="186">
        <f>IFERROR(__xludf.DUMMYFUNCTION("""COMPUTED_VALUE"""),565140.0)</f>
        <v>565140</v>
      </c>
      <c r="I360" s="186"/>
      <c r="J360" s="186">
        <f>IFERROR(__xludf.DUMMYFUNCTION("""COMPUTED_VALUE"""),349.0)</f>
        <v>349</v>
      </c>
      <c r="K360" s="186">
        <f>IFERROR(__xludf.DUMMYFUNCTION("""COMPUTED_VALUE"""),338.0)</f>
        <v>338</v>
      </c>
      <c r="L360" s="186">
        <f>IFERROR(__xludf.DUMMYFUNCTION("""COMPUTED_VALUE"""),311.0)</f>
        <v>311</v>
      </c>
      <c r="M360" s="186">
        <f>IFERROR(__xludf.DUMMYFUNCTION("""COMPUTED_VALUE"""),369.0)</f>
        <v>369</v>
      </c>
      <c r="N360" s="186"/>
      <c r="O360" s="186">
        <f>IFERROR(__xludf.DUMMYFUNCTION("""COMPUTED_VALUE"""),339.0)</f>
        <v>339</v>
      </c>
      <c r="P360" s="186"/>
      <c r="Q360" s="186"/>
      <c r="R360" s="186"/>
      <c r="S360" s="189">
        <f>IFERROR(__xludf.DUMMYFUNCTION("""COMPUTED_VALUE"""),304.0)</f>
        <v>304</v>
      </c>
    </row>
    <row r="361">
      <c r="A361" s="186" t="str">
        <f>IFERROR(__xludf.DUMMYFUNCTION("""COMPUTED_VALUE"""),"DE")</f>
        <v>DE</v>
      </c>
      <c r="B361" s="186" t="str">
        <f>IFERROR(__xludf.DUMMYFUNCTION("""COMPUTED_VALUE"""),"W02")</f>
        <v>W02</v>
      </c>
      <c r="C361" s="186">
        <f>IFERROR(__xludf.DUMMYFUNCTION("""COMPUTED_VALUE"""),806.0)</f>
        <v>806</v>
      </c>
      <c r="D361" s="186" t="str">
        <f>IFERROR(__xludf.DUMMYFUNCTION("""COMPUTED_VALUE"""),"PTN-00-148223-2")</f>
        <v>PTN-00-148223-2</v>
      </c>
      <c r="E361" s="186" t="str">
        <f>IFERROR(__xludf.DUMMYFUNCTION("""COMPUTED_VALUE"""),"Garlic Herb Grilled Chicken")</f>
        <v>Garlic Herb Grilled Chicken</v>
      </c>
      <c r="F361" s="186" t="str">
        <f>IFERROR(__xludf.DUMMYFUNCTION("""COMPUTED_VALUE"""),"Gegrilltes Hähnchen mit Knoblauch-Kräutern")</f>
        <v>Gegrilltes Hähnchen mit Knoblauch-Kräutern</v>
      </c>
      <c r="G361" s="186" t="str">
        <f>IFERROR(__xludf.DUMMYFUNCTION("""COMPUTED_VALUE"""),"FEA006A")</f>
        <v>FEA006A</v>
      </c>
      <c r="H361" s="186">
        <f>IFERROR(__xludf.DUMMYFUNCTION("""COMPUTED_VALUE"""),565119.0)</f>
        <v>565119</v>
      </c>
      <c r="I361" s="186"/>
      <c r="J361" s="186">
        <f>IFERROR(__xludf.DUMMYFUNCTION("""COMPUTED_VALUE"""),79.0)</f>
        <v>79</v>
      </c>
      <c r="K361" s="186">
        <f>IFERROR(__xludf.DUMMYFUNCTION("""COMPUTED_VALUE"""),79.0)</f>
        <v>79</v>
      </c>
      <c r="L361" s="186">
        <f>IFERROR(__xludf.DUMMYFUNCTION("""COMPUTED_VALUE"""),79.0)</f>
        <v>79</v>
      </c>
      <c r="M361" s="186">
        <f>IFERROR(__xludf.DUMMYFUNCTION("""COMPUTED_VALUE"""),79.0)</f>
        <v>79</v>
      </c>
      <c r="N361" s="186"/>
      <c r="O361" s="186">
        <f>IFERROR(__xludf.DUMMYFUNCTION("""COMPUTED_VALUE"""),79.0)</f>
        <v>79</v>
      </c>
      <c r="P361" s="186"/>
      <c r="Q361" s="186"/>
      <c r="R361" s="186"/>
      <c r="S361" s="189">
        <f>IFERROR(__xludf.DUMMYFUNCTION("""COMPUTED_VALUE"""),33.0)</f>
        <v>33</v>
      </c>
    </row>
    <row r="362">
      <c r="A362" s="186" t="str">
        <f>IFERROR(__xludf.DUMMYFUNCTION("""COMPUTED_VALUE"""),"DE")</f>
        <v>DE</v>
      </c>
      <c r="B362" s="186" t="str">
        <f>IFERROR(__xludf.DUMMYFUNCTION("""COMPUTED_VALUE"""),"W02")</f>
        <v>W02</v>
      </c>
      <c r="C362" s="186"/>
      <c r="D362" s="186"/>
      <c r="E362" s="186"/>
      <c r="F362" s="186"/>
      <c r="G362" s="186"/>
      <c r="H362" s="186"/>
      <c r="I362" s="186"/>
      <c r="J362" s="189">
        <f>IFERROR(__xludf.DUMMYFUNCTION("""COMPUTED_VALUE"""),18566.0)</f>
        <v>18566</v>
      </c>
      <c r="K362" s="189">
        <f>IFERROR(__xludf.DUMMYFUNCTION("""COMPUTED_VALUE"""),17042.0)</f>
        <v>17042</v>
      </c>
      <c r="L362" s="189">
        <f>IFERROR(__xludf.DUMMYFUNCTION("""COMPUTED_VALUE"""),17358.0)</f>
        <v>17358</v>
      </c>
      <c r="M362" s="189">
        <f>IFERROR(__xludf.DUMMYFUNCTION("""COMPUTED_VALUE"""),18683.0)</f>
        <v>18683</v>
      </c>
      <c r="N362" s="189">
        <f>IFERROR(__xludf.DUMMYFUNCTION("""COMPUTED_VALUE"""),0.0)</f>
        <v>0</v>
      </c>
      <c r="O362" s="189">
        <f>IFERROR(__xludf.DUMMYFUNCTION("""COMPUTED_VALUE"""),17412.0)</f>
        <v>17412</v>
      </c>
      <c r="P362" s="189">
        <f>IFERROR(__xludf.DUMMYFUNCTION("""COMPUTED_VALUE"""),0.0)</f>
        <v>0</v>
      </c>
      <c r="Q362" s="189">
        <f>IFERROR(__xludf.DUMMYFUNCTION("""COMPUTED_VALUE"""),0.0)</f>
        <v>0</v>
      </c>
      <c r="R362" s="189">
        <f>IFERROR(__xludf.DUMMYFUNCTION("""COMPUTED_VALUE"""),0.0)</f>
        <v>0</v>
      </c>
      <c r="S362" s="189">
        <f>IFERROR(__xludf.DUMMYFUNCTION("""COMPUTED_VALUE"""),17932.0)</f>
        <v>17932</v>
      </c>
    </row>
    <row r="363">
      <c r="A363" s="186" t="str">
        <f>IFERROR(__xludf.DUMMYFUNCTION("""COMPUTED_VALUE"""),"NORDICS")</f>
        <v>NORDICS</v>
      </c>
      <c r="B363" s="186" t="str">
        <f>IFERROR(__xludf.DUMMYFUNCTION("""COMPUTED_VALUE"""),"W03")</f>
        <v>W03</v>
      </c>
      <c r="C363" s="186">
        <f>IFERROR(__xludf.DUMMYFUNCTION("""COMPUTED_VALUE"""),301.0)</f>
        <v>301</v>
      </c>
      <c r="D363" s="186" t="str">
        <f>IFERROR(__xludf.DUMMYFUNCTION("""COMPUTED_VALUE"""),"CON-00-149481-2")</f>
        <v>CON-00-149481-2</v>
      </c>
      <c r="E363" s="186" t="str">
        <f>IFERROR(__xludf.DUMMYFUNCTION("""COMPUTED_VALUE"""),"Sour Cream &amp; Chive Chicken")</f>
        <v>Sour Cream &amp; Chive Chicken</v>
      </c>
      <c r="F363" s="186" t="str">
        <f>IFERROR(__xludf.DUMMYFUNCTION("""COMPUTED_VALUE"""),"Kylling med syrnet fløde og purløg")</f>
        <v>Kylling med syrnet fløde og purløg</v>
      </c>
      <c r="G363" s="186" t="str">
        <f>IFERROR(__xludf.DUMMYFUNCTION("""COMPUTED_VALUE"""),"FE0322O")</f>
        <v>FE0322O</v>
      </c>
      <c r="H363" s="186">
        <f>IFERROR(__xludf.DUMMYFUNCTION("""COMPUTED_VALUE"""),565163.0)</f>
        <v>565163</v>
      </c>
      <c r="I363" s="186" t="str">
        <f>IFERROR(__xludf.DUMMYFUNCTION("""COMPUTED_VALUE"""),"HF Kip bieslook aardappel pure")</f>
        <v>HF Kip bieslook aardappel pure</v>
      </c>
      <c r="J363" s="189">
        <f>IFERROR(__xludf.DUMMYFUNCTION("""COMPUTED_VALUE"""),3155.0)</f>
        <v>3155</v>
      </c>
      <c r="K363" s="189">
        <f>IFERROR(__xludf.DUMMYFUNCTION("""COMPUTED_VALUE"""),3097.0)</f>
        <v>3097</v>
      </c>
      <c r="L363" s="189">
        <f>IFERROR(__xludf.DUMMYFUNCTION("""COMPUTED_VALUE"""),2420.0)</f>
        <v>2420</v>
      </c>
      <c r="M363" s="189">
        <f>IFERROR(__xludf.DUMMYFUNCTION("""COMPUTED_VALUE"""),3532.0)</f>
        <v>3532</v>
      </c>
      <c r="N363" s="189">
        <f>IFERROR(__xludf.DUMMYFUNCTION("""COMPUTED_VALUE"""),3739.0)</f>
        <v>3739</v>
      </c>
      <c r="O363" s="189">
        <f>IFERROR(__xludf.DUMMYFUNCTION("""COMPUTED_VALUE"""),3924.0)</f>
        <v>3924</v>
      </c>
      <c r="P363" s="189">
        <f>IFERROR(__xludf.DUMMYFUNCTION("""COMPUTED_VALUE"""),4003.0)</f>
        <v>4003</v>
      </c>
      <c r="Q363" s="189">
        <f>IFERROR(__xludf.DUMMYFUNCTION("""COMPUTED_VALUE"""),4053.0)</f>
        <v>4053</v>
      </c>
      <c r="R363" s="186"/>
      <c r="S363" s="189">
        <f>IFERROR(__xludf.DUMMYFUNCTION("""COMPUTED_VALUE"""),4107.0)</f>
        <v>4107</v>
      </c>
    </row>
    <row r="364">
      <c r="A364" s="186" t="str">
        <f>IFERROR(__xludf.DUMMYFUNCTION("""COMPUTED_VALUE"""),"NORDICS")</f>
        <v>NORDICS</v>
      </c>
      <c r="B364" s="186" t="str">
        <f>IFERROR(__xludf.DUMMYFUNCTION("""COMPUTED_VALUE"""),"W03")</f>
        <v>W03</v>
      </c>
      <c r="C364" s="186">
        <f>IFERROR(__xludf.DUMMYFUNCTION("""COMPUTED_VALUE"""),302.0)</f>
        <v>302</v>
      </c>
      <c r="D364" s="186" t="str">
        <f>IFERROR(__xludf.DUMMYFUNCTION("""COMPUTED_VALUE"""),"CON-00-147877-2")</f>
        <v>CON-00-147877-2</v>
      </c>
      <c r="E364" s="186" t="str">
        <f>IFERROR(__xludf.DUMMYFUNCTION("""COMPUTED_VALUE"""),"Creamy basil risotto with chicken")</f>
        <v>Creamy basil risotto with chicken</v>
      </c>
      <c r="F364" s="186" t="str">
        <f>IFERROR(__xludf.DUMMYFUNCTION("""COMPUTED_VALUE"""),"Cremet basilikumrisotto med kylling")</f>
        <v>Cremet basilikumrisotto med kylling</v>
      </c>
      <c r="G364" s="186" t="str">
        <f>IFERROR(__xludf.DUMMYFUNCTION("""COMPUTED_VALUE"""),"FE4014B")</f>
        <v>FE4014B</v>
      </c>
      <c r="H364" s="186">
        <f>IFERROR(__xludf.DUMMYFUNCTION("""COMPUTED_VALUE"""),565122.0)</f>
        <v>565122</v>
      </c>
      <c r="I364" s="186"/>
      <c r="J364" s="189">
        <f>IFERROR(__xludf.DUMMYFUNCTION("""COMPUTED_VALUE"""),2073.0)</f>
        <v>2073</v>
      </c>
      <c r="K364" s="189">
        <f>IFERROR(__xludf.DUMMYFUNCTION("""COMPUTED_VALUE"""),2024.0)</f>
        <v>2024</v>
      </c>
      <c r="L364" s="189">
        <f>IFERROR(__xludf.DUMMYFUNCTION("""COMPUTED_VALUE"""),1544.0)</f>
        <v>1544</v>
      </c>
      <c r="M364" s="189">
        <f>IFERROR(__xludf.DUMMYFUNCTION("""COMPUTED_VALUE"""),2398.0)</f>
        <v>2398</v>
      </c>
      <c r="N364" s="189">
        <f>IFERROR(__xludf.DUMMYFUNCTION("""COMPUTED_VALUE"""),2506.0)</f>
        <v>2506</v>
      </c>
      <c r="O364" s="189">
        <f>IFERROR(__xludf.DUMMYFUNCTION("""COMPUTED_VALUE"""),2604.0)</f>
        <v>2604</v>
      </c>
      <c r="P364" s="189">
        <f>IFERROR(__xludf.DUMMYFUNCTION("""COMPUTED_VALUE"""),2639.0)</f>
        <v>2639</v>
      </c>
      <c r="Q364" s="189">
        <f>IFERROR(__xludf.DUMMYFUNCTION("""COMPUTED_VALUE"""),2652.0)</f>
        <v>2652</v>
      </c>
      <c r="R364" s="186"/>
      <c r="S364" s="189">
        <f>IFERROR(__xludf.DUMMYFUNCTION("""COMPUTED_VALUE"""),2723.0)</f>
        <v>2723</v>
      </c>
    </row>
    <row r="365">
      <c r="A365" s="186" t="str">
        <f>IFERROR(__xludf.DUMMYFUNCTION("""COMPUTED_VALUE"""),"NORDICS")</f>
        <v>NORDICS</v>
      </c>
      <c r="B365" s="186" t="str">
        <f>IFERROR(__xludf.DUMMYFUNCTION("""COMPUTED_VALUE"""),"W03")</f>
        <v>W03</v>
      </c>
      <c r="C365" s="186">
        <f>IFERROR(__xludf.DUMMYFUNCTION("""COMPUTED_VALUE"""),303.0)</f>
        <v>303</v>
      </c>
      <c r="D365" s="186" t="str">
        <f>IFERROR(__xludf.DUMMYFUNCTION("""COMPUTED_VALUE"""),"CON-00-148371-2")</f>
        <v>CON-00-148371-2</v>
      </c>
      <c r="E365" s="186" t="str">
        <f>IFERROR(__xludf.DUMMYFUNCTION("""COMPUTED_VALUE"""),"Pulled beef &amp; pasta in cheese sauce")</f>
        <v>Pulled beef &amp; pasta in cheese sauce</v>
      </c>
      <c r="F365" s="186" t="str">
        <f>IFERROR(__xludf.DUMMYFUNCTION("""COMPUTED_VALUE"""),"Pulled beef &amp; pasta i ostesauce")</f>
        <v>Pulled beef &amp; pasta i ostesauce</v>
      </c>
      <c r="G365" s="186" t="str">
        <f>IFERROR(__xludf.DUMMYFUNCTION("""COMPUTED_VALUE"""),"FE1345A")</f>
        <v>FE1345A</v>
      </c>
      <c r="H365" s="186">
        <f>IFERROR(__xludf.DUMMYFUNCTION("""COMPUTED_VALUE"""),565158.0)</f>
        <v>565158</v>
      </c>
      <c r="I365" s="186"/>
      <c r="J365" s="189">
        <f>IFERROR(__xludf.DUMMYFUNCTION("""COMPUTED_VALUE"""),1905.0)</f>
        <v>1905</v>
      </c>
      <c r="K365" s="189">
        <f>IFERROR(__xludf.DUMMYFUNCTION("""COMPUTED_VALUE"""),1989.0)</f>
        <v>1989</v>
      </c>
      <c r="L365" s="189">
        <f>IFERROR(__xludf.DUMMYFUNCTION("""COMPUTED_VALUE"""),2089.0)</f>
        <v>2089</v>
      </c>
      <c r="M365" s="189">
        <f>IFERROR(__xludf.DUMMYFUNCTION("""COMPUTED_VALUE"""),2744.0)</f>
        <v>2744</v>
      </c>
      <c r="N365" s="189">
        <f>IFERROR(__xludf.DUMMYFUNCTION("""COMPUTED_VALUE"""),2875.0)</f>
        <v>2875</v>
      </c>
      <c r="O365" s="189">
        <f>IFERROR(__xludf.DUMMYFUNCTION("""COMPUTED_VALUE"""),3006.0)</f>
        <v>3006</v>
      </c>
      <c r="P365" s="189">
        <f>IFERROR(__xludf.DUMMYFUNCTION("""COMPUTED_VALUE"""),3088.0)</f>
        <v>3088</v>
      </c>
      <c r="Q365" s="189">
        <f>IFERROR(__xludf.DUMMYFUNCTION("""COMPUTED_VALUE"""),3106.0)</f>
        <v>3106</v>
      </c>
      <c r="R365" s="186"/>
      <c r="S365" s="189">
        <f>IFERROR(__xludf.DUMMYFUNCTION("""COMPUTED_VALUE"""),3240.0)</f>
        <v>3240</v>
      </c>
    </row>
    <row r="366">
      <c r="A366" s="186" t="str">
        <f>IFERROR(__xludf.DUMMYFUNCTION("""COMPUTED_VALUE"""),"NORDICS")</f>
        <v>NORDICS</v>
      </c>
      <c r="B366" s="186" t="str">
        <f>IFERROR(__xludf.DUMMYFUNCTION("""COMPUTED_VALUE"""),"W03")</f>
        <v>W03</v>
      </c>
      <c r="C366" s="186">
        <f>IFERROR(__xludf.DUMMYFUNCTION("""COMPUTED_VALUE"""),304.0)</f>
        <v>304</v>
      </c>
      <c r="D366" s="186" t="str">
        <f>IFERROR(__xludf.DUMMYFUNCTION("""COMPUTED_VALUE"""),"CON-00-147814-2")</f>
        <v>CON-00-147814-2</v>
      </c>
      <c r="E366" s="186" t="str">
        <f>IFERROR(__xludf.DUMMYFUNCTION("""COMPUTED_VALUE"""),"Salmon on cheesy cauliflower rice")</f>
        <v>Salmon on cheesy cauliflower rice</v>
      </c>
      <c r="F366" s="186" t="str">
        <f>IFERROR(__xludf.DUMMYFUNCTION("""COMPUTED_VALUE"""),"Laks og ostegratineret blomkålsris")</f>
        <v>Laks og ostegratineret blomkålsris</v>
      </c>
      <c r="G366" s="186" t="str">
        <f>IFERROR(__xludf.DUMMYFUNCTION("""COMPUTED_VALUE"""),"FE0036E")</f>
        <v>FE0036E</v>
      </c>
      <c r="H366" s="186">
        <f>IFERROR(__xludf.DUMMYFUNCTION("""COMPUTED_VALUE"""),565042.0)</f>
        <v>565042</v>
      </c>
      <c r="I366" s="186" t="str">
        <f>IFERROR(__xludf.DUMMYFUNCTION("""COMPUTED_VALUE"""),"HF Zalm+cheesy bloemk rijst")</f>
        <v>HF Zalm+cheesy bloemk rijst</v>
      </c>
      <c r="J366" s="189">
        <f>IFERROR(__xludf.DUMMYFUNCTION("""COMPUTED_VALUE"""),2906.0)</f>
        <v>2906</v>
      </c>
      <c r="K366" s="189">
        <f>IFERROR(__xludf.DUMMYFUNCTION("""COMPUTED_VALUE"""),2747.0)</f>
        <v>2747</v>
      </c>
      <c r="L366" s="189">
        <f>IFERROR(__xludf.DUMMYFUNCTION("""COMPUTED_VALUE"""),1733.0)</f>
        <v>1733</v>
      </c>
      <c r="M366" s="189">
        <f>IFERROR(__xludf.DUMMYFUNCTION("""COMPUTED_VALUE"""),2047.0)</f>
        <v>2047</v>
      </c>
      <c r="N366" s="189">
        <f>IFERROR(__xludf.DUMMYFUNCTION("""COMPUTED_VALUE"""),2182.0)</f>
        <v>2182</v>
      </c>
      <c r="O366" s="189">
        <f>IFERROR(__xludf.DUMMYFUNCTION("""COMPUTED_VALUE"""),2279.0)</f>
        <v>2279</v>
      </c>
      <c r="P366" s="189">
        <f>IFERROR(__xludf.DUMMYFUNCTION("""COMPUTED_VALUE"""),2329.0)</f>
        <v>2329</v>
      </c>
      <c r="Q366" s="189">
        <f>IFERROR(__xludf.DUMMYFUNCTION("""COMPUTED_VALUE"""),2338.0)</f>
        <v>2338</v>
      </c>
      <c r="R366" s="186"/>
      <c r="S366" s="189">
        <f>IFERROR(__xludf.DUMMYFUNCTION("""COMPUTED_VALUE"""),2475.0)</f>
        <v>2475</v>
      </c>
    </row>
    <row r="367">
      <c r="A367" s="186" t="str">
        <f>IFERROR(__xludf.DUMMYFUNCTION("""COMPUTED_VALUE"""),"NORDICS")</f>
        <v>NORDICS</v>
      </c>
      <c r="B367" s="186" t="str">
        <f>IFERROR(__xludf.DUMMYFUNCTION("""COMPUTED_VALUE"""),"W03")</f>
        <v>W03</v>
      </c>
      <c r="C367" s="186">
        <f>IFERROR(__xludf.DUMMYFUNCTION("""COMPUTED_VALUE"""),305.0)</f>
        <v>305</v>
      </c>
      <c r="D367" s="186"/>
      <c r="E367" s="186"/>
      <c r="F367" s="186"/>
      <c r="G367" s="186" t="str">
        <f>IFERROR(__xludf.DUMMYFUNCTION("""COMPUTED_VALUE"""),"FE4001C")</f>
        <v>FE4001C</v>
      </c>
      <c r="H367" s="186"/>
      <c r="I367" s="186"/>
      <c r="J367" s="189">
        <f>IFERROR(__xludf.DUMMYFUNCTION("""COMPUTED_VALUE"""),2364.0)</f>
        <v>2364</v>
      </c>
      <c r="K367" s="189">
        <f>IFERROR(__xludf.DUMMYFUNCTION("""COMPUTED_VALUE"""),2161.0)</f>
        <v>2161</v>
      </c>
      <c r="L367" s="189">
        <f>IFERROR(__xludf.DUMMYFUNCTION("""COMPUTED_VALUE"""),1174.0)</f>
        <v>1174</v>
      </c>
      <c r="M367" s="189">
        <f>IFERROR(__xludf.DUMMYFUNCTION("""COMPUTED_VALUE"""),1613.0)</f>
        <v>1613</v>
      </c>
      <c r="N367" s="189">
        <f>IFERROR(__xludf.DUMMYFUNCTION("""COMPUTED_VALUE"""),1667.0)</f>
        <v>1667</v>
      </c>
      <c r="O367" s="189">
        <f>IFERROR(__xludf.DUMMYFUNCTION("""COMPUTED_VALUE"""),1731.0)</f>
        <v>1731</v>
      </c>
      <c r="P367" s="189">
        <f>IFERROR(__xludf.DUMMYFUNCTION("""COMPUTED_VALUE"""),1779.0)</f>
        <v>1779</v>
      </c>
      <c r="Q367" s="189">
        <f>IFERROR(__xludf.DUMMYFUNCTION("""COMPUTED_VALUE"""),1790.0)</f>
        <v>1790</v>
      </c>
      <c r="R367" s="186"/>
      <c r="S367" s="189">
        <f>IFERROR(__xludf.DUMMYFUNCTION("""COMPUTED_VALUE"""),1903.0)</f>
        <v>1903</v>
      </c>
    </row>
    <row r="368">
      <c r="A368" s="186" t="str">
        <f>IFERROR(__xludf.DUMMYFUNCTION("""COMPUTED_VALUE"""),"NORDICS")</f>
        <v>NORDICS</v>
      </c>
      <c r="B368" s="186" t="str">
        <f>IFERROR(__xludf.DUMMYFUNCTION("""COMPUTED_VALUE"""),"W03")</f>
        <v>W03</v>
      </c>
      <c r="C368" s="186">
        <f>IFERROR(__xludf.DUMMYFUNCTION("""COMPUTED_VALUE"""),306.0)</f>
        <v>306</v>
      </c>
      <c r="D368" s="186" t="str">
        <f>IFERROR(__xludf.DUMMYFUNCTION("""COMPUTED_VALUE"""),"CON-00-152023-2")</f>
        <v>CON-00-152023-2</v>
      </c>
      <c r="E368" s="186" t="str">
        <f>IFERROR(__xludf.DUMMYFUNCTION("""COMPUTED_VALUE"""),"Salmon Piccata")</f>
        <v>Salmon Piccata</v>
      </c>
      <c r="F368" s="186" t="str">
        <f>IFERROR(__xludf.DUMMYFUNCTION("""COMPUTED_VALUE"""),"Laks Piccata ")</f>
        <v>Laks Piccata </v>
      </c>
      <c r="G368" s="186" t="str">
        <f>IFERROR(__xludf.DUMMYFUNCTION("""COMPUTED_VALUE"""),"FE0972B")</f>
        <v>FE0972B</v>
      </c>
      <c r="H368" s="186">
        <f>IFERROR(__xludf.DUMMYFUNCTION("""COMPUTED_VALUE"""),565189.0)</f>
        <v>565189</v>
      </c>
      <c r="I368" s="186" t="str">
        <f>IFERROR(__xludf.DUMMYFUNCTION("""COMPUTED_VALUE"""),"HF Zalm met piccata saus")</f>
        <v>HF Zalm met piccata saus</v>
      </c>
      <c r="J368" s="189">
        <f>IFERROR(__xludf.DUMMYFUNCTION("""COMPUTED_VALUE"""),1461.0)</f>
        <v>1461</v>
      </c>
      <c r="K368" s="189">
        <f>IFERROR(__xludf.DUMMYFUNCTION("""COMPUTED_VALUE"""),1475.0)</f>
        <v>1475</v>
      </c>
      <c r="L368" s="189">
        <f>IFERROR(__xludf.DUMMYFUNCTION("""COMPUTED_VALUE"""),1301.0)</f>
        <v>1301</v>
      </c>
      <c r="M368" s="189">
        <f>IFERROR(__xludf.DUMMYFUNCTION("""COMPUTED_VALUE"""),1566.0)</f>
        <v>1566</v>
      </c>
      <c r="N368" s="189">
        <f>IFERROR(__xludf.DUMMYFUNCTION("""COMPUTED_VALUE"""),1626.0)</f>
        <v>1626</v>
      </c>
      <c r="O368" s="189">
        <f>IFERROR(__xludf.DUMMYFUNCTION("""COMPUTED_VALUE"""),1679.0)</f>
        <v>1679</v>
      </c>
      <c r="P368" s="189">
        <f>IFERROR(__xludf.DUMMYFUNCTION("""COMPUTED_VALUE"""),1706.0)</f>
        <v>1706</v>
      </c>
      <c r="Q368" s="189">
        <f>IFERROR(__xludf.DUMMYFUNCTION("""COMPUTED_VALUE"""),1692.0)</f>
        <v>1692</v>
      </c>
      <c r="R368" s="186"/>
      <c r="S368" s="189">
        <f>IFERROR(__xludf.DUMMYFUNCTION("""COMPUTED_VALUE"""),1764.0)</f>
        <v>1764</v>
      </c>
    </row>
    <row r="369">
      <c r="A369" s="186" t="str">
        <f>IFERROR(__xludf.DUMMYFUNCTION("""COMPUTED_VALUE"""),"NORDICS")</f>
        <v>NORDICS</v>
      </c>
      <c r="B369" s="186" t="str">
        <f>IFERROR(__xludf.DUMMYFUNCTION("""COMPUTED_VALUE"""),"W03")</f>
        <v>W03</v>
      </c>
      <c r="C369" s="186">
        <f>IFERROR(__xludf.DUMMYFUNCTION("""COMPUTED_VALUE"""),307.0)</f>
        <v>307</v>
      </c>
      <c r="D369" s="186" t="str">
        <f>IFERROR(__xludf.DUMMYFUNCTION("""COMPUTED_VALUE"""),"CON-00-147825-2")</f>
        <v>CON-00-147825-2</v>
      </c>
      <c r="E369" s="186" t="str">
        <f>IFERROR(__xludf.DUMMYFUNCTION("""COMPUTED_VALUE"""),"Chicken in creamy spinach")</f>
        <v>Chicken in creamy spinach</v>
      </c>
      <c r="F369" s="186" t="str">
        <f>IFERROR(__xludf.DUMMYFUNCTION("""COMPUTED_VALUE"""),"Kylling i cremet spinat")</f>
        <v>Kylling i cremet spinat</v>
      </c>
      <c r="G369" s="186" t="str">
        <f>IFERROR(__xludf.DUMMYFUNCTION("""COMPUTED_VALUE"""),"FE0207I")</f>
        <v>FE0207I</v>
      </c>
      <c r="H369" s="186">
        <f>IFERROR(__xludf.DUMMYFUNCTION("""COMPUTED_VALUE"""),565148.0)</f>
        <v>565148</v>
      </c>
      <c r="I369" s="186" t="str">
        <f>IFERROR(__xludf.DUMMYFUNCTION("""COMPUTED_VALUE"""),"HF RW Kipfilet in rom spinazie")</f>
        <v>HF RW Kipfilet in rom spinazie</v>
      </c>
      <c r="J369" s="189">
        <f>IFERROR(__xludf.DUMMYFUNCTION("""COMPUTED_VALUE"""),1106.0)</f>
        <v>1106</v>
      </c>
      <c r="K369" s="189">
        <f>IFERROR(__xludf.DUMMYFUNCTION("""COMPUTED_VALUE"""),1085.0)</f>
        <v>1085</v>
      </c>
      <c r="L369" s="189">
        <f>IFERROR(__xludf.DUMMYFUNCTION("""COMPUTED_VALUE"""),935.0)</f>
        <v>935</v>
      </c>
      <c r="M369" s="189">
        <f>IFERROR(__xludf.DUMMYFUNCTION("""COMPUTED_VALUE"""),1197.0)</f>
        <v>1197</v>
      </c>
      <c r="N369" s="189">
        <f>IFERROR(__xludf.DUMMYFUNCTION("""COMPUTED_VALUE"""),1240.0)</f>
        <v>1240</v>
      </c>
      <c r="O369" s="189">
        <f>IFERROR(__xludf.DUMMYFUNCTION("""COMPUTED_VALUE"""),1321.0)</f>
        <v>1321</v>
      </c>
      <c r="P369" s="189">
        <f>IFERROR(__xludf.DUMMYFUNCTION("""COMPUTED_VALUE"""),1349.0)</f>
        <v>1349</v>
      </c>
      <c r="Q369" s="189">
        <f>IFERROR(__xludf.DUMMYFUNCTION("""COMPUTED_VALUE"""),1351.0)</f>
        <v>1351</v>
      </c>
      <c r="R369" s="186"/>
      <c r="S369" s="189">
        <f>IFERROR(__xludf.DUMMYFUNCTION("""COMPUTED_VALUE"""),1451.0)</f>
        <v>1451</v>
      </c>
    </row>
    <row r="370">
      <c r="A370" s="186" t="str">
        <f>IFERROR(__xludf.DUMMYFUNCTION("""COMPUTED_VALUE"""),"NORDICS")</f>
        <v>NORDICS</v>
      </c>
      <c r="B370" s="186" t="str">
        <f>IFERROR(__xludf.DUMMYFUNCTION("""COMPUTED_VALUE"""),"W03")</f>
        <v>W03</v>
      </c>
      <c r="C370" s="186">
        <f>IFERROR(__xludf.DUMMYFUNCTION("""COMPUTED_VALUE"""),308.0)</f>
        <v>308</v>
      </c>
      <c r="D370" s="186" t="str">
        <f>IFERROR(__xludf.DUMMYFUNCTION("""COMPUTED_VALUE"""),"CON-00-147812-2")</f>
        <v>CON-00-147812-2</v>
      </c>
      <c r="E370" s="186" t="str">
        <f>IFERROR(__xludf.DUMMYFUNCTION("""COMPUTED_VALUE"""),"Chicken in tomato cream sauce")</f>
        <v>Chicken in tomato cream sauce</v>
      </c>
      <c r="F370" s="186" t="str">
        <f>IFERROR(__xludf.DUMMYFUNCTION("""COMPUTED_VALUE"""),"Kylling i cremet tomatsauce")</f>
        <v>Kylling i cremet tomatsauce</v>
      </c>
      <c r="G370" s="186" t="str">
        <f>IFERROR(__xludf.DUMMYFUNCTION("""COMPUTED_VALUE"""),"FE0024E")</f>
        <v>FE0024E</v>
      </c>
      <c r="H370" s="186">
        <f>IFERROR(__xludf.DUMMYFUNCTION("""COMPUTED_VALUE"""),565150.0)</f>
        <v>565150</v>
      </c>
      <c r="I370" s="186" t="str">
        <f>IFERROR(__xludf.DUMMYFUNCTION("""COMPUTED_VALUE"""),"HF RW Kipfilet in tom-roomsaus")</f>
        <v>HF RW Kipfilet in tom-roomsaus</v>
      </c>
      <c r="J370" s="189">
        <f>IFERROR(__xludf.DUMMYFUNCTION("""COMPUTED_VALUE"""),1421.0)</f>
        <v>1421</v>
      </c>
      <c r="K370" s="189">
        <f>IFERROR(__xludf.DUMMYFUNCTION("""COMPUTED_VALUE"""),1431.0)</f>
        <v>1431</v>
      </c>
      <c r="L370" s="189">
        <f>IFERROR(__xludf.DUMMYFUNCTION("""COMPUTED_VALUE"""),1368.0)</f>
        <v>1368</v>
      </c>
      <c r="M370" s="189">
        <f>IFERROR(__xludf.DUMMYFUNCTION("""COMPUTED_VALUE"""),1606.0)</f>
        <v>1606</v>
      </c>
      <c r="N370" s="189">
        <f>IFERROR(__xludf.DUMMYFUNCTION("""COMPUTED_VALUE"""),1670.0)</f>
        <v>1670</v>
      </c>
      <c r="O370" s="189">
        <f>IFERROR(__xludf.DUMMYFUNCTION("""COMPUTED_VALUE"""),1725.0)</f>
        <v>1725</v>
      </c>
      <c r="P370" s="189">
        <f>IFERROR(__xludf.DUMMYFUNCTION("""COMPUTED_VALUE"""),1750.0)</f>
        <v>1750</v>
      </c>
      <c r="Q370" s="189">
        <f>IFERROR(__xludf.DUMMYFUNCTION("""COMPUTED_VALUE"""),1740.0)</f>
        <v>1740</v>
      </c>
      <c r="R370" s="186"/>
      <c r="S370" s="189">
        <f>IFERROR(__xludf.DUMMYFUNCTION("""COMPUTED_VALUE"""),1941.0)</f>
        <v>1941</v>
      </c>
    </row>
    <row r="371">
      <c r="A371" s="186" t="str">
        <f>IFERROR(__xludf.DUMMYFUNCTION("""COMPUTED_VALUE"""),"NORDICS")</f>
        <v>NORDICS</v>
      </c>
      <c r="B371" s="186" t="str">
        <f>IFERROR(__xludf.DUMMYFUNCTION("""COMPUTED_VALUE"""),"W03")</f>
        <v>W03</v>
      </c>
      <c r="C371" s="186">
        <f>IFERROR(__xludf.DUMMYFUNCTION("""COMPUTED_VALUE"""),309.0)</f>
        <v>309</v>
      </c>
      <c r="D371" s="186" t="str">
        <f>IFERROR(__xludf.DUMMYFUNCTION("""COMPUTED_VALUE"""),"CON-00-147818-2")</f>
        <v>CON-00-147818-2</v>
      </c>
      <c r="E371" s="186" t="str">
        <f>IFERROR(__xludf.DUMMYFUNCTION("""COMPUTED_VALUE"""),"Mexican style corn cake")</f>
        <v>Mexican style corn cake</v>
      </c>
      <c r="F371" s="186" t="str">
        <f>IFERROR(__xludf.DUMMYFUNCTION("""COMPUTED_VALUE"""),"Mexicansk-inspireret majskage")</f>
        <v>Mexicansk-inspireret majskage</v>
      </c>
      <c r="G371" s="186" t="str">
        <f>IFERROR(__xludf.DUMMYFUNCTION("""COMPUTED_VALUE"""),"FE0121C")</f>
        <v>FE0121C</v>
      </c>
      <c r="H371" s="186">
        <f>IFERROR(__xludf.DUMMYFUNCTION("""COMPUTED_VALUE"""),565023.0)</f>
        <v>565023</v>
      </c>
      <c r="I371" s="186" t="str">
        <f>IFERROR(__xludf.DUMMYFUNCTION("""COMPUTED_VALUE"""),"HF Mex.stijl maiscake")</f>
        <v>HF Mex.stijl maiscake</v>
      </c>
      <c r="J371" s="186">
        <f>IFERROR(__xludf.DUMMYFUNCTION("""COMPUTED_VALUE"""),275.0)</f>
        <v>275</v>
      </c>
      <c r="K371" s="186">
        <f>IFERROR(__xludf.DUMMYFUNCTION("""COMPUTED_VALUE"""),284.0)</f>
        <v>284</v>
      </c>
      <c r="L371" s="189">
        <f>IFERROR(__xludf.DUMMYFUNCTION("""COMPUTED_VALUE"""),511.0)</f>
        <v>511</v>
      </c>
      <c r="M371" s="186">
        <f>IFERROR(__xludf.DUMMYFUNCTION("""COMPUTED_VALUE"""),341.0)</f>
        <v>341</v>
      </c>
      <c r="N371" s="186">
        <f>IFERROR(__xludf.DUMMYFUNCTION("""COMPUTED_VALUE"""),334.0)</f>
        <v>334</v>
      </c>
      <c r="O371" s="186">
        <f>IFERROR(__xludf.DUMMYFUNCTION("""COMPUTED_VALUE"""),350.0)</f>
        <v>350</v>
      </c>
      <c r="P371" s="186">
        <f>IFERROR(__xludf.DUMMYFUNCTION("""COMPUTED_VALUE"""),346.0)</f>
        <v>346</v>
      </c>
      <c r="Q371" s="186">
        <f>IFERROR(__xludf.DUMMYFUNCTION("""COMPUTED_VALUE"""),346.0)</f>
        <v>346</v>
      </c>
      <c r="R371" s="186"/>
      <c r="S371" s="189">
        <f>IFERROR(__xludf.DUMMYFUNCTION("""COMPUTED_VALUE"""),400.0)</f>
        <v>400</v>
      </c>
    </row>
    <row r="372">
      <c r="A372" s="186" t="str">
        <f>IFERROR(__xludf.DUMMYFUNCTION("""COMPUTED_VALUE"""),"NORDICS")</f>
        <v>NORDICS</v>
      </c>
      <c r="B372" s="186" t="str">
        <f>IFERROR(__xludf.DUMMYFUNCTION("""COMPUTED_VALUE"""),"W03")</f>
        <v>W03</v>
      </c>
      <c r="C372" s="186">
        <f>IFERROR(__xludf.DUMMYFUNCTION("""COMPUTED_VALUE"""),310.0)</f>
        <v>310</v>
      </c>
      <c r="D372" s="186" t="str">
        <f>IFERROR(__xludf.DUMMYFUNCTION("""COMPUTED_VALUE"""),"CON-00-147816-2")</f>
        <v>CON-00-147816-2</v>
      </c>
      <c r="E372" s="186" t="str">
        <f>IFERROR(__xludf.DUMMYFUNCTION("""COMPUTED_VALUE"""),"Creamy tomato risotto")</f>
        <v>Creamy tomato risotto</v>
      </c>
      <c r="F372" s="186" t="str">
        <f>IFERROR(__xludf.DUMMYFUNCTION("""COMPUTED_VALUE"""),"Cremet tomatrisotto")</f>
        <v>Cremet tomatrisotto</v>
      </c>
      <c r="G372" s="186" t="str">
        <f>IFERROR(__xludf.DUMMYFUNCTION("""COMPUTED_VALUE"""),"FE0031C")</f>
        <v>FE0031C</v>
      </c>
      <c r="H372" s="186">
        <f>IFERROR(__xludf.DUMMYFUNCTION("""COMPUTED_VALUE"""),565244.0)</f>
        <v>565244</v>
      </c>
      <c r="I372" s="186" t="str">
        <f>IFERROR(__xludf.DUMMYFUNCTION("""COMPUTED_VALUE"""),"IO HF Romige tomatenrisotto V2")</f>
        <v>IO HF Romige tomatenrisotto V2</v>
      </c>
      <c r="J372" s="186">
        <f>IFERROR(__xludf.DUMMYFUNCTION("""COMPUTED_VALUE"""),303.0)</f>
        <v>303</v>
      </c>
      <c r="K372" s="186">
        <f>IFERROR(__xludf.DUMMYFUNCTION("""COMPUTED_VALUE"""),313.0)</f>
        <v>313</v>
      </c>
      <c r="L372" s="189">
        <f>IFERROR(__xludf.DUMMYFUNCTION("""COMPUTED_VALUE"""),388.0)</f>
        <v>388</v>
      </c>
      <c r="M372" s="189">
        <f>IFERROR(__xludf.DUMMYFUNCTION("""COMPUTED_VALUE"""),332.0)</f>
        <v>332</v>
      </c>
      <c r="N372" s="189">
        <f>IFERROR(__xludf.DUMMYFUNCTION("""COMPUTED_VALUE"""),322.0)</f>
        <v>322</v>
      </c>
      <c r="O372" s="189">
        <f>IFERROR(__xludf.DUMMYFUNCTION("""COMPUTED_VALUE"""),317.0)</f>
        <v>317</v>
      </c>
      <c r="P372" s="189">
        <f>IFERROR(__xludf.DUMMYFUNCTION("""COMPUTED_VALUE"""),323.0)</f>
        <v>323</v>
      </c>
      <c r="Q372" s="189">
        <f>IFERROR(__xludf.DUMMYFUNCTION("""COMPUTED_VALUE"""),310.0)</f>
        <v>310</v>
      </c>
      <c r="R372" s="186"/>
      <c r="S372" s="186">
        <f>IFERROR(__xludf.DUMMYFUNCTION("""COMPUTED_VALUE"""),341.0)</f>
        <v>341</v>
      </c>
    </row>
    <row r="373">
      <c r="A373" s="186" t="str">
        <f>IFERROR(__xludf.DUMMYFUNCTION("""COMPUTED_VALUE"""),"NORDICS")</f>
        <v>NORDICS</v>
      </c>
      <c r="B373" s="186" t="str">
        <f>IFERROR(__xludf.DUMMYFUNCTION("""COMPUTED_VALUE"""),"W03")</f>
        <v>W03</v>
      </c>
      <c r="C373" s="186">
        <f>IFERROR(__xludf.DUMMYFUNCTION("""COMPUTED_VALUE"""),311.0)</f>
        <v>311</v>
      </c>
      <c r="D373" s="186" t="str">
        <f>IFERROR(__xludf.DUMMYFUNCTION("""COMPUTED_VALUE"""),"CON-00-147849-2")</f>
        <v>CON-00-147849-2</v>
      </c>
      <c r="E373" s="186" t="str">
        <f>IFERROR(__xludf.DUMMYFUNCTION("""COMPUTED_VALUE"""),"Pork tenderloin with caramelized onion")</f>
        <v>Pork tenderloin with caramelized onion</v>
      </c>
      <c r="F373" s="186" t="str">
        <f>IFERROR(__xludf.DUMMYFUNCTION("""COMPUTED_VALUE"""),"Svinemørbrad med karameliseret løg")</f>
        <v>Svinemørbrad med karameliseret løg</v>
      </c>
      <c r="G373" s="186" t="str">
        <f>IFERROR(__xludf.DUMMYFUNCTION("""COMPUTED_VALUE"""),"FE0565D")</f>
        <v>FE0565D</v>
      </c>
      <c r="H373" s="186">
        <f>IFERROR(__xludf.DUMMYFUNCTION("""COMPUTED_VALUE"""),565147.0)</f>
        <v>565147</v>
      </c>
      <c r="I373" s="186" t="str">
        <f>IFERROR(__xludf.DUMMYFUNCTION("""COMPUTED_VALUE"""),"HF RW Varkenshaas gekaram. ui")</f>
        <v>HF RW Varkenshaas gekaram. ui</v>
      </c>
      <c r="J373" s="189">
        <f>IFERROR(__xludf.DUMMYFUNCTION("""COMPUTED_VALUE"""),608.0)</f>
        <v>608</v>
      </c>
      <c r="K373" s="189">
        <f>IFERROR(__xludf.DUMMYFUNCTION("""COMPUTED_VALUE"""),733.0)</f>
        <v>733</v>
      </c>
      <c r="L373" s="189">
        <f>IFERROR(__xludf.DUMMYFUNCTION("""COMPUTED_VALUE"""),267.0)</f>
        <v>267</v>
      </c>
      <c r="M373" s="186">
        <f>IFERROR(__xludf.DUMMYFUNCTION("""COMPUTED_VALUE"""),631.0)</f>
        <v>631</v>
      </c>
      <c r="N373" s="186">
        <f>IFERROR(__xludf.DUMMYFUNCTION("""COMPUTED_VALUE"""),723.0)</f>
        <v>723</v>
      </c>
      <c r="O373" s="186">
        <f>IFERROR(__xludf.DUMMYFUNCTION("""COMPUTED_VALUE"""),746.0)</f>
        <v>746</v>
      </c>
      <c r="P373" s="186">
        <f>IFERROR(__xludf.DUMMYFUNCTION("""COMPUTED_VALUE"""),749.0)</f>
        <v>749</v>
      </c>
      <c r="Q373" s="186">
        <f>IFERROR(__xludf.DUMMYFUNCTION("""COMPUTED_VALUE"""),753.0)</f>
        <v>753</v>
      </c>
      <c r="R373" s="186"/>
      <c r="S373" s="189">
        <f>IFERROR(__xludf.DUMMYFUNCTION("""COMPUTED_VALUE"""),923.0)</f>
        <v>923</v>
      </c>
    </row>
    <row r="374">
      <c r="A374" s="186" t="str">
        <f>IFERROR(__xludf.DUMMYFUNCTION("""COMPUTED_VALUE"""),"NORDICS")</f>
        <v>NORDICS</v>
      </c>
      <c r="B374" s="186" t="str">
        <f>IFERROR(__xludf.DUMMYFUNCTION("""COMPUTED_VALUE"""),"W03")</f>
        <v>W03</v>
      </c>
      <c r="C374" s="186">
        <f>IFERROR(__xludf.DUMMYFUNCTION("""COMPUTED_VALUE"""),312.0)</f>
        <v>312</v>
      </c>
      <c r="D374" s="186" t="str">
        <f>IFERROR(__xludf.DUMMYFUNCTION("""COMPUTED_VALUE"""),"CON-00-152039-2")</f>
        <v>CON-00-152039-2</v>
      </c>
      <c r="E374" s="186" t="str">
        <f>IFERROR(__xludf.DUMMYFUNCTION("""COMPUTED_VALUE"""),"Thai Style Green Curry Salmon")</f>
        <v>Thai Style Green Curry Salmon</v>
      </c>
      <c r="F374" s="186" t="str">
        <f>IFERROR(__xludf.DUMMYFUNCTION("""COMPUTED_VALUE"""),"Laks i grøn thai-curry")</f>
        <v>Laks i grøn thai-curry</v>
      </c>
      <c r="G374" s="186" t="str">
        <f>IFERROR(__xludf.DUMMYFUNCTION("""COMPUTED_VALUE"""),"FE4066A")</f>
        <v>FE4066A</v>
      </c>
      <c r="H374" s="186">
        <f>IFERROR(__xludf.DUMMYFUNCTION("""COMPUTED_VALUE"""),565218.0)</f>
        <v>565218</v>
      </c>
      <c r="I374" s="186" t="str">
        <f>IFERROR(__xludf.DUMMYFUNCTION("""COMPUTED_VALUE"""),"HF Thaise curry Zalm")</f>
        <v>HF Thaise curry Zalm</v>
      </c>
      <c r="J374" s="189">
        <f>IFERROR(__xludf.DUMMYFUNCTION("""COMPUTED_VALUE"""),1269.0)</f>
        <v>1269</v>
      </c>
      <c r="K374" s="189">
        <f>IFERROR(__xludf.DUMMYFUNCTION("""COMPUTED_VALUE"""),1240.0)</f>
        <v>1240</v>
      </c>
      <c r="L374" s="189">
        <f>IFERROR(__xludf.DUMMYFUNCTION("""COMPUTED_VALUE"""),1283.0)</f>
        <v>1283</v>
      </c>
      <c r="M374" s="189">
        <f>IFERROR(__xludf.DUMMYFUNCTION("""COMPUTED_VALUE"""),1386.0)</f>
        <v>1386</v>
      </c>
      <c r="N374" s="189">
        <f>IFERROR(__xludf.DUMMYFUNCTION("""COMPUTED_VALUE"""),1413.0)</f>
        <v>1413</v>
      </c>
      <c r="O374" s="189">
        <f>IFERROR(__xludf.DUMMYFUNCTION("""COMPUTED_VALUE"""),1510.0)</f>
        <v>1510</v>
      </c>
      <c r="P374" s="189">
        <f>IFERROR(__xludf.DUMMYFUNCTION("""COMPUTED_VALUE"""),1535.0)</f>
        <v>1535</v>
      </c>
      <c r="Q374" s="189">
        <f>IFERROR(__xludf.DUMMYFUNCTION("""COMPUTED_VALUE"""),1552.0)</f>
        <v>1552</v>
      </c>
      <c r="R374" s="186"/>
      <c r="S374" s="189">
        <f>IFERROR(__xludf.DUMMYFUNCTION("""COMPUTED_VALUE"""),1604.0)</f>
        <v>1604</v>
      </c>
    </row>
    <row r="375">
      <c r="A375" s="186" t="str">
        <f>IFERROR(__xludf.DUMMYFUNCTION("""COMPUTED_VALUE"""),"NORDICS")</f>
        <v>NORDICS</v>
      </c>
      <c r="B375" s="186" t="str">
        <f>IFERROR(__xludf.DUMMYFUNCTION("""COMPUTED_VALUE"""),"W03")</f>
        <v>W03</v>
      </c>
      <c r="C375" s="186">
        <f>IFERROR(__xludf.DUMMYFUNCTION("""COMPUTED_VALUE"""),313.0)</f>
        <v>313</v>
      </c>
      <c r="D375" s="186" t="str">
        <f>IFERROR(__xludf.DUMMYFUNCTION("""COMPUTED_VALUE"""),"CON-00-150749-2")</f>
        <v>CON-00-150749-2</v>
      </c>
      <c r="E375" s="186" t="str">
        <f>IFERROR(__xludf.DUMMYFUNCTION("""COMPUTED_VALUE"""),"West African Style Chicken Peanut Curry")</f>
        <v>West African Style Chicken Peanut Curry</v>
      </c>
      <c r="F375" s="186" t="str">
        <f>IFERROR(__xludf.DUMMYFUNCTION("""COMPUTED_VALUE"""),"Vestfrikansk-inspireret peanut-kyllingecurry")</f>
        <v>Vestfrikansk-inspireret peanut-kyllingecurry</v>
      </c>
      <c r="G375" s="186" t="str">
        <f>IFERROR(__xludf.DUMMYFUNCTION("""COMPUTED_VALUE"""),"FE1451A")</f>
        <v>FE1451A</v>
      </c>
      <c r="H375" s="186">
        <f>IFERROR(__xludf.DUMMYFUNCTION("""COMPUTED_VALUE"""),565178.0)</f>
        <v>565178</v>
      </c>
      <c r="I375" s="186" t="str">
        <f>IFERROR(__xludf.DUMMYFUNCTION("""COMPUTED_VALUE"""),"HF Kruidige pinda curry")</f>
        <v>HF Kruidige pinda curry</v>
      </c>
      <c r="J375" s="189">
        <f>IFERROR(__xludf.DUMMYFUNCTION("""COMPUTED_VALUE"""),1337.0)</f>
        <v>1337</v>
      </c>
      <c r="K375" s="189">
        <f>IFERROR(__xludf.DUMMYFUNCTION("""COMPUTED_VALUE"""),1555.0)</f>
        <v>1555</v>
      </c>
      <c r="L375" s="189">
        <f>IFERROR(__xludf.DUMMYFUNCTION("""COMPUTED_VALUE"""),1491.0)</f>
        <v>1491</v>
      </c>
      <c r="M375" s="189">
        <f>IFERROR(__xludf.DUMMYFUNCTION("""COMPUTED_VALUE"""),1744.0)</f>
        <v>1744</v>
      </c>
      <c r="N375" s="189">
        <f>IFERROR(__xludf.DUMMYFUNCTION("""COMPUTED_VALUE"""),1827.0)</f>
        <v>1827</v>
      </c>
      <c r="O375" s="189">
        <f>IFERROR(__xludf.DUMMYFUNCTION("""COMPUTED_VALUE"""),1916.0)</f>
        <v>1916</v>
      </c>
      <c r="P375" s="189">
        <f>IFERROR(__xludf.DUMMYFUNCTION("""COMPUTED_VALUE"""),1943.0)</f>
        <v>1943</v>
      </c>
      <c r="Q375" s="189">
        <f>IFERROR(__xludf.DUMMYFUNCTION("""COMPUTED_VALUE"""),1978.0)</f>
        <v>1978</v>
      </c>
      <c r="R375" s="186"/>
      <c r="S375" s="189">
        <f>IFERROR(__xludf.DUMMYFUNCTION("""COMPUTED_VALUE"""),2088.0)</f>
        <v>2088</v>
      </c>
    </row>
    <row r="376">
      <c r="A376" s="186" t="str">
        <f>IFERROR(__xludf.DUMMYFUNCTION("""COMPUTED_VALUE"""),"NORDICS")</f>
        <v>NORDICS</v>
      </c>
      <c r="B376" s="186" t="str">
        <f>IFERROR(__xludf.DUMMYFUNCTION("""COMPUTED_VALUE"""),"W03")</f>
        <v>W03</v>
      </c>
      <c r="C376" s="186">
        <f>IFERROR(__xludf.DUMMYFUNCTION("""COMPUTED_VALUE"""),314.0)</f>
        <v>314</v>
      </c>
      <c r="D376" s="186" t="str">
        <f>IFERROR(__xludf.DUMMYFUNCTION("""COMPUTED_VALUE"""),"CON-00-154998-2")</f>
        <v>CON-00-154998-2</v>
      </c>
      <c r="E376" s="186" t="str">
        <f>IFERROR(__xludf.DUMMYFUNCTION("""COMPUTED_VALUE"""),"Keema-inspired Beef Curry")</f>
        <v>Keema-inspired Beef Curry</v>
      </c>
      <c r="F376" s="186" t="str">
        <f>IFERROR(__xludf.DUMMYFUNCTION("""COMPUTED_VALUE"""),"Keema-inspireret oksecurry")</f>
        <v>Keema-inspireret oksecurry</v>
      </c>
      <c r="G376" s="186" t="str">
        <f>IFERROR(__xludf.DUMMYFUNCTION("""COMPUTED_VALUE"""),"FE0689A")</f>
        <v>FE0689A</v>
      </c>
      <c r="H376" s="186">
        <f>IFERROR(__xludf.DUMMYFUNCTION("""COMPUTED_VALUE"""),565204.0)</f>
        <v>565204</v>
      </c>
      <c r="I376" s="186" t="str">
        <f>IFERROR(__xludf.DUMMYFUNCTION("""COMPUTED_VALUE"""),"HF Kruidig rundergehakt")</f>
        <v>HF Kruidig rundergehakt</v>
      </c>
      <c r="J376" s="189">
        <f>IFERROR(__xludf.DUMMYFUNCTION("""COMPUTED_VALUE"""),1032.0)</f>
        <v>1032</v>
      </c>
      <c r="K376" s="189">
        <f>IFERROR(__xludf.DUMMYFUNCTION("""COMPUTED_VALUE"""),1050.0)</f>
        <v>1050</v>
      </c>
      <c r="L376" s="189">
        <f>IFERROR(__xludf.DUMMYFUNCTION("""COMPUTED_VALUE"""),820.0)</f>
        <v>820</v>
      </c>
      <c r="M376" s="189">
        <f>IFERROR(__xludf.DUMMYFUNCTION("""COMPUTED_VALUE"""),800.0)</f>
        <v>800</v>
      </c>
      <c r="N376" s="189">
        <f>IFERROR(__xludf.DUMMYFUNCTION("""COMPUTED_VALUE"""),861.0)</f>
        <v>861</v>
      </c>
      <c r="O376" s="189">
        <f>IFERROR(__xludf.DUMMYFUNCTION("""COMPUTED_VALUE"""),838.0)</f>
        <v>838</v>
      </c>
      <c r="P376" s="189">
        <f>IFERROR(__xludf.DUMMYFUNCTION("""COMPUTED_VALUE"""),855.0)</f>
        <v>855</v>
      </c>
      <c r="Q376" s="189">
        <f>IFERROR(__xludf.DUMMYFUNCTION("""COMPUTED_VALUE"""),865.0)</f>
        <v>865</v>
      </c>
      <c r="R376" s="186"/>
      <c r="S376" s="189">
        <f>IFERROR(__xludf.DUMMYFUNCTION("""COMPUTED_VALUE"""),913.0)</f>
        <v>913</v>
      </c>
    </row>
    <row r="377">
      <c r="A377" s="186" t="str">
        <f>IFERROR(__xludf.DUMMYFUNCTION("""COMPUTED_VALUE"""),"NORDICS")</f>
        <v>NORDICS</v>
      </c>
      <c r="B377" s="186" t="str">
        <f>IFERROR(__xludf.DUMMYFUNCTION("""COMPUTED_VALUE"""),"W03")</f>
        <v>W03</v>
      </c>
      <c r="C377" s="186">
        <f>IFERROR(__xludf.DUMMYFUNCTION("""COMPUTED_VALUE"""),315.0)</f>
        <v>315</v>
      </c>
      <c r="D377" s="186" t="str">
        <f>IFERROR(__xludf.DUMMYFUNCTION("""COMPUTED_VALUE"""),"CON-00-147906-2")</f>
        <v>CON-00-147906-2</v>
      </c>
      <c r="E377" s="186" t="str">
        <f>IFERROR(__xludf.DUMMYFUNCTION("""COMPUTED_VALUE"""),"Cheddar pulled beef")</f>
        <v>Cheddar pulled beef</v>
      </c>
      <c r="F377" s="186" t="str">
        <f>IFERROR(__xludf.DUMMYFUNCTION("""COMPUTED_VALUE"""),"Pulled beef med cheddar")</f>
        <v>Pulled beef med cheddar</v>
      </c>
      <c r="G377" s="186" t="str">
        <f>IFERROR(__xludf.DUMMYFUNCTION("""COMPUTED_VALUE"""),"FE4063A")</f>
        <v>FE4063A</v>
      </c>
      <c r="H377" s="186">
        <f>IFERROR(__xludf.DUMMYFUNCTION("""COMPUTED_VALUE"""),565136.0)</f>
        <v>565136</v>
      </c>
      <c r="I377" s="186"/>
      <c r="J377" s="189">
        <f>IFERROR(__xludf.DUMMYFUNCTION("""COMPUTED_VALUE"""),757.0)</f>
        <v>757</v>
      </c>
      <c r="K377" s="189">
        <f>IFERROR(__xludf.DUMMYFUNCTION("""COMPUTED_VALUE"""),664.0)</f>
        <v>664</v>
      </c>
      <c r="L377" s="189">
        <f>IFERROR(__xludf.DUMMYFUNCTION("""COMPUTED_VALUE"""),559.0)</f>
        <v>559</v>
      </c>
      <c r="M377" s="189">
        <f>IFERROR(__xludf.DUMMYFUNCTION("""COMPUTED_VALUE"""),708.0)</f>
        <v>708</v>
      </c>
      <c r="N377" s="189">
        <f>IFERROR(__xludf.DUMMYFUNCTION("""COMPUTED_VALUE"""),811.0)</f>
        <v>811</v>
      </c>
      <c r="O377" s="189">
        <f>IFERROR(__xludf.DUMMYFUNCTION("""COMPUTED_VALUE"""),825.0)</f>
        <v>825</v>
      </c>
      <c r="P377" s="189">
        <f>IFERROR(__xludf.DUMMYFUNCTION("""COMPUTED_VALUE"""),814.0)</f>
        <v>814</v>
      </c>
      <c r="Q377" s="189">
        <f>IFERROR(__xludf.DUMMYFUNCTION("""COMPUTED_VALUE"""),855.0)</f>
        <v>855</v>
      </c>
      <c r="R377" s="186"/>
      <c r="S377" s="189">
        <f>IFERROR(__xludf.DUMMYFUNCTION("""COMPUTED_VALUE"""),981.0)</f>
        <v>981</v>
      </c>
    </row>
    <row r="378">
      <c r="A378" s="186" t="str">
        <f>IFERROR(__xludf.DUMMYFUNCTION("""COMPUTED_VALUE"""),"NORDICS")</f>
        <v>NORDICS</v>
      </c>
      <c r="B378" s="186" t="str">
        <f>IFERROR(__xludf.DUMMYFUNCTION("""COMPUTED_VALUE"""),"W03")</f>
        <v>W03</v>
      </c>
      <c r="C378" s="186">
        <f>IFERROR(__xludf.DUMMYFUNCTION("""COMPUTED_VALUE"""),316.0)</f>
        <v>316</v>
      </c>
      <c r="D378" s="186" t="str">
        <f>IFERROR(__xludf.DUMMYFUNCTION("""COMPUTED_VALUE"""),"CON-00-155001-2")</f>
        <v>CON-00-155001-2</v>
      </c>
      <c r="E378" s="186" t="str">
        <f>IFERROR(__xludf.DUMMYFUNCTION("""COMPUTED_VALUE"""),"Shakshuka-Style Chicken")</f>
        <v>Shakshuka-Style Chicken</v>
      </c>
      <c r="F378" s="186" t="str">
        <f>IFERROR(__xludf.DUMMYFUNCTION("""COMPUTED_VALUE"""),"Shakshuka-inspireret kylling")</f>
        <v>Shakshuka-inspireret kylling</v>
      </c>
      <c r="G378" s="186" t="str">
        <f>IFERROR(__xludf.DUMMYFUNCTION("""COMPUTED_VALUE"""),"FE1829A")</f>
        <v>FE1829A</v>
      </c>
      <c r="H378" s="186">
        <f>IFERROR(__xludf.DUMMYFUNCTION("""COMPUTED_VALUE"""),565227.0)</f>
        <v>565227</v>
      </c>
      <c r="I378" s="186" t="str">
        <f>IFERROR(__xludf.DUMMYFUNCTION("""COMPUTED_VALUE"""),"HF Shakshuka-Style Chicken")</f>
        <v>HF Shakshuka-Style Chicken</v>
      </c>
      <c r="J378" s="189">
        <f>IFERROR(__xludf.DUMMYFUNCTION("""COMPUTED_VALUE"""),581.0)</f>
        <v>581</v>
      </c>
      <c r="K378" s="189">
        <f>IFERROR(__xludf.DUMMYFUNCTION("""COMPUTED_VALUE"""),572.0)</f>
        <v>572</v>
      </c>
      <c r="L378" s="189">
        <f>IFERROR(__xludf.DUMMYFUNCTION("""COMPUTED_VALUE"""),722.0)</f>
        <v>722</v>
      </c>
      <c r="M378" s="186">
        <f>IFERROR(__xludf.DUMMYFUNCTION("""COMPUTED_VALUE"""),505.0)</f>
        <v>505</v>
      </c>
      <c r="N378" s="186">
        <f>IFERROR(__xludf.DUMMYFUNCTION("""COMPUTED_VALUE"""),479.0)</f>
        <v>479</v>
      </c>
      <c r="O378" s="186">
        <f>IFERROR(__xludf.DUMMYFUNCTION("""COMPUTED_VALUE"""),436.0)</f>
        <v>436</v>
      </c>
      <c r="P378" s="186">
        <f>IFERROR(__xludf.DUMMYFUNCTION("""COMPUTED_VALUE"""),449.0)</f>
        <v>449</v>
      </c>
      <c r="Q378" s="186">
        <f>IFERROR(__xludf.DUMMYFUNCTION("""COMPUTED_VALUE"""),453.0)</f>
        <v>453</v>
      </c>
      <c r="R378" s="186"/>
      <c r="S378" s="189">
        <f>IFERROR(__xludf.DUMMYFUNCTION("""COMPUTED_VALUE"""),546.0)</f>
        <v>546</v>
      </c>
    </row>
    <row r="379">
      <c r="A379" s="186" t="str">
        <f>IFERROR(__xludf.DUMMYFUNCTION("""COMPUTED_VALUE"""),"NORDICS")</f>
        <v>NORDICS</v>
      </c>
      <c r="B379" s="186" t="str">
        <f>IFERROR(__xludf.DUMMYFUNCTION("""COMPUTED_VALUE"""),"W03")</f>
        <v>W03</v>
      </c>
      <c r="C379" s="186">
        <f>IFERROR(__xludf.DUMMYFUNCTION("""COMPUTED_VALUE"""),317.0)</f>
        <v>317</v>
      </c>
      <c r="D379" s="186"/>
      <c r="E379" s="186"/>
      <c r="F379" s="186"/>
      <c r="G379" s="186" t="str">
        <f>IFERROR(__xludf.DUMMYFUNCTION("""COMPUTED_VALUE"""),"FE0962A")</f>
        <v>FE0962A</v>
      </c>
      <c r="H379" s="186"/>
      <c r="I379" s="186"/>
      <c r="J379" s="189">
        <f>IFERROR(__xludf.DUMMYFUNCTION("""COMPUTED_VALUE"""),514.0)</f>
        <v>514</v>
      </c>
      <c r="K379" s="189">
        <f>IFERROR(__xludf.DUMMYFUNCTION("""COMPUTED_VALUE"""),472.0)</f>
        <v>472</v>
      </c>
      <c r="L379" s="189">
        <f>IFERROR(__xludf.DUMMYFUNCTION("""COMPUTED_VALUE"""),948.0)</f>
        <v>948</v>
      </c>
      <c r="M379" s="189">
        <f>IFERROR(__xludf.DUMMYFUNCTION("""COMPUTED_VALUE"""),1136.0)</f>
        <v>1136</v>
      </c>
      <c r="N379" s="189">
        <f>IFERROR(__xludf.DUMMYFUNCTION("""COMPUTED_VALUE"""),1125.0)</f>
        <v>1125</v>
      </c>
      <c r="O379" s="189">
        <f>IFERROR(__xludf.DUMMYFUNCTION("""COMPUTED_VALUE"""),1182.0)</f>
        <v>1182</v>
      </c>
      <c r="P379" s="189">
        <f>IFERROR(__xludf.DUMMYFUNCTION("""COMPUTED_VALUE"""),1228.0)</f>
        <v>1228</v>
      </c>
      <c r="Q379" s="189">
        <f>IFERROR(__xludf.DUMMYFUNCTION("""COMPUTED_VALUE"""),1231.0)</f>
        <v>1231</v>
      </c>
      <c r="R379" s="186"/>
      <c r="S379" s="189">
        <f>IFERROR(__xludf.DUMMYFUNCTION("""COMPUTED_VALUE"""),1251.0)</f>
        <v>1251</v>
      </c>
    </row>
    <row r="380">
      <c r="A380" s="186" t="str">
        <f>IFERROR(__xludf.DUMMYFUNCTION("""COMPUTED_VALUE"""),"NORDICS")</f>
        <v>NORDICS</v>
      </c>
      <c r="B380" s="186" t="str">
        <f>IFERROR(__xludf.DUMMYFUNCTION("""COMPUTED_VALUE"""),"W03")</f>
        <v>W03</v>
      </c>
      <c r="C380" s="186">
        <f>IFERROR(__xludf.DUMMYFUNCTION("""COMPUTED_VALUE"""),318.0)</f>
        <v>318</v>
      </c>
      <c r="D380" s="186" t="str">
        <f>IFERROR(__xludf.DUMMYFUNCTION("""COMPUTED_VALUE"""),"CON-00-147861-2")</f>
        <v>CON-00-147861-2</v>
      </c>
      <c r="E380" s="186" t="str">
        <f>IFERROR(__xludf.DUMMYFUNCTION("""COMPUTED_VALUE"""),"Pork tenderloin with apple-mustard sauce")</f>
        <v>Pork tenderloin with apple-mustard sauce</v>
      </c>
      <c r="F380" s="186" t="str">
        <f>IFERROR(__xludf.DUMMYFUNCTION("""COMPUTED_VALUE"""),"Svinemørbrad med æble-sennepssauce ")</f>
        <v>Svinemørbrad med æble-sennepssauce </v>
      </c>
      <c r="G380" s="186" t="str">
        <f>IFERROR(__xludf.DUMMYFUNCTION("""COMPUTED_VALUE"""),"FE0890B")</f>
        <v>FE0890B</v>
      </c>
      <c r="H380" s="186">
        <f>IFERROR(__xludf.DUMMYFUNCTION("""COMPUTED_VALUE"""),565117.0)</f>
        <v>565117</v>
      </c>
      <c r="I380" s="186"/>
      <c r="J380" s="186">
        <f>IFERROR(__xludf.DUMMYFUNCTION("""COMPUTED_VALUE"""),474.0)</f>
        <v>474</v>
      </c>
      <c r="K380" s="186">
        <f>IFERROR(__xludf.DUMMYFUNCTION("""COMPUTED_VALUE"""),448.0)</f>
        <v>448</v>
      </c>
      <c r="L380" s="186">
        <f>IFERROR(__xludf.DUMMYFUNCTION("""COMPUTED_VALUE"""),458.0)</f>
        <v>458</v>
      </c>
      <c r="M380" s="186">
        <f>IFERROR(__xludf.DUMMYFUNCTION("""COMPUTED_VALUE"""),466.0)</f>
        <v>466</v>
      </c>
      <c r="N380" s="186">
        <f>IFERROR(__xludf.DUMMYFUNCTION("""COMPUTED_VALUE"""),472.0)</f>
        <v>472</v>
      </c>
      <c r="O380" s="186">
        <f>IFERROR(__xludf.DUMMYFUNCTION("""COMPUTED_VALUE"""),483.0)</f>
        <v>483</v>
      </c>
      <c r="P380" s="186">
        <f>IFERROR(__xludf.DUMMYFUNCTION("""COMPUTED_VALUE"""),494.0)</f>
        <v>494</v>
      </c>
      <c r="Q380" s="186">
        <f>IFERROR(__xludf.DUMMYFUNCTION("""COMPUTED_VALUE"""),512.0)</f>
        <v>512</v>
      </c>
      <c r="R380" s="186"/>
      <c r="S380" s="189">
        <f>IFERROR(__xludf.DUMMYFUNCTION("""COMPUTED_VALUE"""),627.0)</f>
        <v>627</v>
      </c>
    </row>
    <row r="381">
      <c r="A381" s="186" t="str">
        <f>IFERROR(__xludf.DUMMYFUNCTION("""COMPUTED_VALUE"""),"NORDICS")</f>
        <v>NORDICS</v>
      </c>
      <c r="B381" s="186" t="str">
        <f>IFERROR(__xludf.DUMMYFUNCTION("""COMPUTED_VALUE"""),"W03")</f>
        <v>W03</v>
      </c>
      <c r="C381" s="186">
        <f>IFERROR(__xludf.DUMMYFUNCTION("""COMPUTED_VALUE"""),806.0)</f>
        <v>806</v>
      </c>
      <c r="D381" s="186" t="str">
        <f>IFERROR(__xludf.DUMMYFUNCTION("""COMPUTED_VALUE"""),"PTN-00-148223-2")</f>
        <v>PTN-00-148223-2</v>
      </c>
      <c r="E381" s="186" t="str">
        <f>IFERROR(__xludf.DUMMYFUNCTION("""COMPUTED_VALUE"""),"Garlic Herb Grilled Chicken")</f>
        <v>Garlic Herb Grilled Chicken</v>
      </c>
      <c r="F381" s="186" t="str">
        <f>IFERROR(__xludf.DUMMYFUNCTION("""COMPUTED_VALUE"""),"Grillet kylling med hvidlød og urter")</f>
        <v>Grillet kylling med hvidlød og urter</v>
      </c>
      <c r="G381" s="186" t="str">
        <f>IFERROR(__xludf.DUMMYFUNCTION("""COMPUTED_VALUE"""),"FEA006A")</f>
        <v>FEA006A</v>
      </c>
      <c r="H381" s="186">
        <f>IFERROR(__xludf.DUMMYFUNCTION("""COMPUTED_VALUE"""),565119.0)</f>
        <v>565119</v>
      </c>
      <c r="I381" s="186"/>
      <c r="J381" s="186">
        <f>IFERROR(__xludf.DUMMYFUNCTION("""COMPUTED_VALUE"""),48.0)</f>
        <v>48</v>
      </c>
      <c r="K381" s="186">
        <f>IFERROR(__xludf.DUMMYFUNCTION("""COMPUTED_VALUE"""),48.0)</f>
        <v>48</v>
      </c>
      <c r="L381" s="186">
        <f>IFERROR(__xludf.DUMMYFUNCTION("""COMPUTED_VALUE"""),48.0)</f>
        <v>48</v>
      </c>
      <c r="M381" s="186">
        <f>IFERROR(__xludf.DUMMYFUNCTION("""COMPUTED_VALUE"""),48.0)</f>
        <v>48</v>
      </c>
      <c r="N381" s="186">
        <f>IFERROR(__xludf.DUMMYFUNCTION("""COMPUTED_VALUE"""),48.0)</f>
        <v>48</v>
      </c>
      <c r="O381" s="186">
        <f>IFERROR(__xludf.DUMMYFUNCTION("""COMPUTED_VALUE"""),48.0)</f>
        <v>48</v>
      </c>
      <c r="P381" s="186">
        <f>IFERROR(__xludf.DUMMYFUNCTION("""COMPUTED_VALUE"""),48.0)</f>
        <v>48</v>
      </c>
      <c r="Q381" s="186">
        <f>IFERROR(__xludf.DUMMYFUNCTION("""COMPUTED_VALUE"""),48.0)</f>
        <v>48</v>
      </c>
      <c r="R381" s="186"/>
      <c r="S381" s="189">
        <f>IFERROR(__xludf.DUMMYFUNCTION("""COMPUTED_VALUE"""),69.0)</f>
        <v>69</v>
      </c>
    </row>
    <row r="382">
      <c r="A382" s="186" t="str">
        <f>IFERROR(__xludf.DUMMYFUNCTION("""COMPUTED_VALUE"""),"NORDICS")</f>
        <v>NORDICS</v>
      </c>
      <c r="B382" s="186" t="str">
        <f>IFERROR(__xludf.DUMMYFUNCTION("""COMPUTED_VALUE"""),"W03")</f>
        <v>W03</v>
      </c>
      <c r="C382" s="186"/>
      <c r="D382" s="186"/>
      <c r="E382" s="186"/>
      <c r="F382" s="186"/>
      <c r="G382" s="186"/>
      <c r="H382" s="186"/>
      <c r="I382" s="186"/>
      <c r="J382" s="189">
        <f>IFERROR(__xludf.DUMMYFUNCTION("""COMPUTED_VALUE"""),23589.0)</f>
        <v>23589</v>
      </c>
      <c r="K382" s="189">
        <f>IFERROR(__xludf.DUMMYFUNCTION("""COMPUTED_VALUE"""),23340.0)</f>
        <v>23340</v>
      </c>
      <c r="L382" s="189">
        <f>IFERROR(__xludf.DUMMYFUNCTION("""COMPUTED_VALUE"""),20011.0)</f>
        <v>20011</v>
      </c>
      <c r="M382" s="189">
        <f>IFERROR(__xludf.DUMMYFUNCTION("""COMPUTED_VALUE"""),24752.0)</f>
        <v>24752</v>
      </c>
      <c r="N382" s="189">
        <f>IFERROR(__xludf.DUMMYFUNCTION("""COMPUTED_VALUE"""),25872.0)</f>
        <v>25872</v>
      </c>
      <c r="O382" s="189">
        <f>IFERROR(__xludf.DUMMYFUNCTION("""COMPUTED_VALUE"""),26872.0)</f>
        <v>26872</v>
      </c>
      <c r="P382" s="189">
        <f>IFERROR(__xludf.DUMMYFUNCTION("""COMPUTED_VALUE"""),27379.0)</f>
        <v>27379</v>
      </c>
      <c r="Q382" s="189">
        <f>IFERROR(__xludf.DUMMYFUNCTION("""COMPUTED_VALUE"""),27577.0)</f>
        <v>27577</v>
      </c>
      <c r="R382" s="189">
        <f>IFERROR(__xludf.DUMMYFUNCTION("""COMPUTED_VALUE"""),0.0)</f>
        <v>0</v>
      </c>
      <c r="S382" s="189">
        <f>IFERROR(__xludf.DUMMYFUNCTION("""COMPUTED_VALUE"""),29278.0)</f>
        <v>29278</v>
      </c>
    </row>
    <row r="383">
      <c r="A383" s="186" t="str">
        <f>IFERROR(__xludf.DUMMYFUNCTION("""COMPUTED_VALUE"""),"DE")</f>
        <v>DE</v>
      </c>
      <c r="B383" s="186" t="str">
        <f>IFERROR(__xludf.DUMMYFUNCTION("""COMPUTED_VALUE"""),"W03")</f>
        <v>W03</v>
      </c>
      <c r="C383" s="186">
        <f>IFERROR(__xludf.DUMMYFUNCTION("""COMPUTED_VALUE"""),301.0)</f>
        <v>301</v>
      </c>
      <c r="D383" s="186" t="str">
        <f>IFERROR(__xludf.DUMMYFUNCTION("""COMPUTED_VALUE"""),"CON-00-149480-2")</f>
        <v>CON-00-149480-2</v>
      </c>
      <c r="E383" s="186" t="str">
        <f>IFERROR(__xludf.DUMMYFUNCTION("""COMPUTED_VALUE"""),"Sour Cream &amp; Chive Chicken")</f>
        <v>Sour Cream &amp; Chive Chicken</v>
      </c>
      <c r="F383" s="186" t="str">
        <f>IFERROR(__xludf.DUMMYFUNCTION("""COMPUTED_VALUE"""),"Hähnchen mit Sauerrahm und Schnittlauch")</f>
        <v>Hähnchen mit Sauerrahm und Schnittlauch</v>
      </c>
      <c r="G383" s="186" t="str">
        <f>IFERROR(__xludf.DUMMYFUNCTION("""COMPUTED_VALUE"""),"FE0322O")</f>
        <v>FE0322O</v>
      </c>
      <c r="H383" s="186">
        <f>IFERROR(__xludf.DUMMYFUNCTION("""COMPUTED_VALUE"""),565163.0)</f>
        <v>565163</v>
      </c>
      <c r="I383" s="186" t="str">
        <f>IFERROR(__xludf.DUMMYFUNCTION("""COMPUTED_VALUE"""),"HF Kip bieslook aardappel pure")</f>
        <v>HF Kip bieslook aardappel pure</v>
      </c>
      <c r="J383" s="189">
        <f>IFERROR(__xludf.DUMMYFUNCTION("""COMPUTED_VALUE"""),2331.0)</f>
        <v>2331</v>
      </c>
      <c r="K383" s="189">
        <f>IFERROR(__xludf.DUMMYFUNCTION("""COMPUTED_VALUE"""),2457.0)</f>
        <v>2457</v>
      </c>
      <c r="L383" s="189">
        <f>IFERROR(__xludf.DUMMYFUNCTION("""COMPUTED_VALUE"""),2488.0)</f>
        <v>2488</v>
      </c>
      <c r="M383" s="189">
        <f>IFERROR(__xludf.DUMMYFUNCTION("""COMPUTED_VALUE"""),2300.0)</f>
        <v>2300</v>
      </c>
      <c r="N383" s="189">
        <f>IFERROR(__xludf.DUMMYFUNCTION("""COMPUTED_VALUE"""),2382.0)</f>
        <v>2382</v>
      </c>
      <c r="O383" s="189">
        <f>IFERROR(__xludf.DUMMYFUNCTION("""COMPUTED_VALUE"""),2345.0)</f>
        <v>2345</v>
      </c>
      <c r="P383" s="189">
        <f>IFERROR(__xludf.DUMMYFUNCTION("""COMPUTED_VALUE"""),2407.0)</f>
        <v>2407</v>
      </c>
      <c r="Q383" s="189">
        <f>IFERROR(__xludf.DUMMYFUNCTION("""COMPUTED_VALUE"""),2391.0)</f>
        <v>2391</v>
      </c>
      <c r="R383" s="186"/>
      <c r="S383" s="189">
        <f>IFERROR(__xludf.DUMMYFUNCTION("""COMPUTED_VALUE"""),2621.0)</f>
        <v>2621</v>
      </c>
    </row>
    <row r="384">
      <c r="A384" s="186" t="str">
        <f>IFERROR(__xludf.DUMMYFUNCTION("""COMPUTED_VALUE"""),"DE")</f>
        <v>DE</v>
      </c>
      <c r="B384" s="186" t="str">
        <f>IFERROR(__xludf.DUMMYFUNCTION("""COMPUTED_VALUE"""),"W03")</f>
        <v>W03</v>
      </c>
      <c r="C384" s="186">
        <f>IFERROR(__xludf.DUMMYFUNCTION("""COMPUTED_VALUE"""),302.0)</f>
        <v>302</v>
      </c>
      <c r="D384" s="186" t="str">
        <f>IFERROR(__xludf.DUMMYFUNCTION("""COMPUTED_VALUE"""),"CON-00-136675-3")</f>
        <v>CON-00-136675-3</v>
      </c>
      <c r="E384" s="186" t="str">
        <f>IFERROR(__xludf.DUMMYFUNCTION("""COMPUTED_VALUE"""),"Creamy basil risotto with chicken")</f>
        <v>Creamy basil risotto with chicken</v>
      </c>
      <c r="F384" s="186" t="str">
        <f>IFERROR(__xludf.DUMMYFUNCTION("""COMPUTED_VALUE"""),"Cremiges Basilikum-Risotto")</f>
        <v>Cremiges Basilikum-Risotto</v>
      </c>
      <c r="G384" s="186" t="str">
        <f>IFERROR(__xludf.DUMMYFUNCTION("""COMPUTED_VALUE"""),"FE4014B")</f>
        <v>FE4014B</v>
      </c>
      <c r="H384" s="186">
        <f>IFERROR(__xludf.DUMMYFUNCTION("""COMPUTED_VALUE"""),565122.0)</f>
        <v>565122</v>
      </c>
      <c r="I384" s="186"/>
      <c r="J384" s="189">
        <f>IFERROR(__xludf.DUMMYFUNCTION("""COMPUTED_VALUE"""),1605.0)</f>
        <v>1605</v>
      </c>
      <c r="K384" s="189">
        <f>IFERROR(__xludf.DUMMYFUNCTION("""COMPUTED_VALUE"""),1674.0)</f>
        <v>1674</v>
      </c>
      <c r="L384" s="189">
        <f>IFERROR(__xludf.DUMMYFUNCTION("""COMPUTED_VALUE"""),1519.0)</f>
        <v>1519</v>
      </c>
      <c r="M384" s="189">
        <f>IFERROR(__xludf.DUMMYFUNCTION("""COMPUTED_VALUE"""),1578.0)</f>
        <v>1578</v>
      </c>
      <c r="N384" s="189">
        <f>IFERROR(__xludf.DUMMYFUNCTION("""COMPUTED_VALUE"""),1577.0)</f>
        <v>1577</v>
      </c>
      <c r="O384" s="189">
        <f>IFERROR(__xludf.DUMMYFUNCTION("""COMPUTED_VALUE"""),1519.0)</f>
        <v>1519</v>
      </c>
      <c r="P384" s="189">
        <f>IFERROR(__xludf.DUMMYFUNCTION("""COMPUTED_VALUE"""),1535.0)</f>
        <v>1535</v>
      </c>
      <c r="Q384" s="189">
        <f>IFERROR(__xludf.DUMMYFUNCTION("""COMPUTED_VALUE"""),1543.0)</f>
        <v>1543</v>
      </c>
      <c r="R384" s="186"/>
      <c r="S384" s="189">
        <f>IFERROR(__xludf.DUMMYFUNCTION("""COMPUTED_VALUE"""),1767.0)</f>
        <v>1767</v>
      </c>
    </row>
    <row r="385">
      <c r="A385" s="186" t="str">
        <f>IFERROR(__xludf.DUMMYFUNCTION("""COMPUTED_VALUE"""),"DE")</f>
        <v>DE</v>
      </c>
      <c r="B385" s="186" t="str">
        <f>IFERROR(__xludf.DUMMYFUNCTION("""COMPUTED_VALUE"""),"W03")</f>
        <v>W03</v>
      </c>
      <c r="C385" s="186">
        <f>IFERROR(__xludf.DUMMYFUNCTION("""COMPUTED_VALUE"""),303.0)</f>
        <v>303</v>
      </c>
      <c r="D385" s="186" t="str">
        <f>IFERROR(__xludf.DUMMYFUNCTION("""COMPUTED_VALUE"""),"CON-00-148373-2")</f>
        <v>CON-00-148373-2</v>
      </c>
      <c r="E385" s="186" t="str">
        <f>IFERROR(__xludf.DUMMYFUNCTION("""COMPUTED_VALUE"""),"Pulled beef &amp; pasta in cheese sauce")</f>
        <v>Pulled beef &amp; pasta in cheese sauce</v>
      </c>
      <c r="F385" s="186" t="str">
        <f>IFERROR(__xludf.DUMMYFUNCTION("""COMPUTED_VALUE"""),"Pulled Beef und Pasta in Käsesauce")</f>
        <v>Pulled Beef und Pasta in Käsesauce</v>
      </c>
      <c r="G385" s="186" t="str">
        <f>IFERROR(__xludf.DUMMYFUNCTION("""COMPUTED_VALUE"""),"FE1345A")</f>
        <v>FE1345A</v>
      </c>
      <c r="H385" s="186">
        <f>IFERROR(__xludf.DUMMYFUNCTION("""COMPUTED_VALUE"""),565158.0)</f>
        <v>565158</v>
      </c>
      <c r="I385" s="186"/>
      <c r="J385" s="189">
        <f>IFERROR(__xludf.DUMMYFUNCTION("""COMPUTED_VALUE"""),1550.0)</f>
        <v>1550</v>
      </c>
      <c r="K385" s="189">
        <f>IFERROR(__xludf.DUMMYFUNCTION("""COMPUTED_VALUE"""),1747.0)</f>
        <v>1747</v>
      </c>
      <c r="L385" s="189">
        <f>IFERROR(__xludf.DUMMYFUNCTION("""COMPUTED_VALUE"""),1880.0)</f>
        <v>1880</v>
      </c>
      <c r="M385" s="189">
        <f>IFERROR(__xludf.DUMMYFUNCTION("""COMPUTED_VALUE"""),2113.0)</f>
        <v>2113</v>
      </c>
      <c r="N385" s="189">
        <f>IFERROR(__xludf.DUMMYFUNCTION("""COMPUTED_VALUE"""),2143.0)</f>
        <v>2143</v>
      </c>
      <c r="O385" s="189">
        <f>IFERROR(__xludf.DUMMYFUNCTION("""COMPUTED_VALUE"""),2070.0)</f>
        <v>2070</v>
      </c>
      <c r="P385" s="189">
        <f>IFERROR(__xludf.DUMMYFUNCTION("""COMPUTED_VALUE"""),2104.0)</f>
        <v>2104</v>
      </c>
      <c r="Q385" s="189">
        <f>IFERROR(__xludf.DUMMYFUNCTION("""COMPUTED_VALUE"""),2120.0)</f>
        <v>2120</v>
      </c>
      <c r="R385" s="186"/>
      <c r="S385" s="189">
        <f>IFERROR(__xludf.DUMMYFUNCTION("""COMPUTED_VALUE"""),2452.0)</f>
        <v>2452</v>
      </c>
    </row>
    <row r="386">
      <c r="A386" s="186" t="str">
        <f>IFERROR(__xludf.DUMMYFUNCTION("""COMPUTED_VALUE"""),"DE")</f>
        <v>DE</v>
      </c>
      <c r="B386" s="186" t="str">
        <f>IFERROR(__xludf.DUMMYFUNCTION("""COMPUTED_VALUE"""),"W03")</f>
        <v>W03</v>
      </c>
      <c r="C386" s="186">
        <f>IFERROR(__xludf.DUMMYFUNCTION("""COMPUTED_VALUE"""),304.0)</f>
        <v>304</v>
      </c>
      <c r="D386" s="186" t="str">
        <f>IFERROR(__xludf.DUMMYFUNCTION("""COMPUTED_VALUE"""),"CON-00-136617-3")</f>
        <v>CON-00-136617-3</v>
      </c>
      <c r="E386" s="186" t="str">
        <f>IFERROR(__xludf.DUMMYFUNCTION("""COMPUTED_VALUE"""),"Salmon on cheesy cauliflower rice")</f>
        <v>Salmon on cheesy cauliflower rice</v>
      </c>
      <c r="F386" s="186" t="str">
        <f>IFERROR(__xludf.DUMMYFUNCTION("""COMPUTED_VALUE"""),"Lachs auf Blumenkohlreis in Käsecreme")</f>
        <v>Lachs auf Blumenkohlreis in Käsecreme</v>
      </c>
      <c r="G386" s="186" t="str">
        <f>IFERROR(__xludf.DUMMYFUNCTION("""COMPUTED_VALUE"""),"FE0036E")</f>
        <v>FE0036E</v>
      </c>
      <c r="H386" s="186">
        <f>IFERROR(__xludf.DUMMYFUNCTION("""COMPUTED_VALUE"""),565042.0)</f>
        <v>565042</v>
      </c>
      <c r="I386" s="186" t="str">
        <f>IFERROR(__xludf.DUMMYFUNCTION("""COMPUTED_VALUE"""),"HF Zalm+cheesy bloemk rijst")</f>
        <v>HF Zalm+cheesy bloemk rijst</v>
      </c>
      <c r="J386" s="189">
        <f>IFERROR(__xludf.DUMMYFUNCTION("""COMPUTED_VALUE"""),2290.0)</f>
        <v>2290</v>
      </c>
      <c r="K386" s="189">
        <f>IFERROR(__xludf.DUMMYFUNCTION("""COMPUTED_VALUE"""),2301.0)</f>
        <v>2301</v>
      </c>
      <c r="L386" s="189">
        <f>IFERROR(__xludf.DUMMYFUNCTION("""COMPUTED_VALUE"""),1567.0)</f>
        <v>1567</v>
      </c>
      <c r="M386" s="189">
        <f>IFERROR(__xludf.DUMMYFUNCTION("""COMPUTED_VALUE"""),1836.0)</f>
        <v>1836</v>
      </c>
      <c r="N386" s="189">
        <f>IFERROR(__xludf.DUMMYFUNCTION("""COMPUTED_VALUE"""),1834.0)</f>
        <v>1834</v>
      </c>
      <c r="O386" s="189">
        <f>IFERROR(__xludf.DUMMYFUNCTION("""COMPUTED_VALUE"""),1828.0)</f>
        <v>1828</v>
      </c>
      <c r="P386" s="189">
        <f>IFERROR(__xludf.DUMMYFUNCTION("""COMPUTED_VALUE"""),1848.0)</f>
        <v>1848</v>
      </c>
      <c r="Q386" s="189">
        <f>IFERROR(__xludf.DUMMYFUNCTION("""COMPUTED_VALUE"""),1839.0)</f>
        <v>1839</v>
      </c>
      <c r="R386" s="186"/>
      <c r="S386" s="189">
        <f>IFERROR(__xludf.DUMMYFUNCTION("""COMPUTED_VALUE"""),2108.0)</f>
        <v>2108</v>
      </c>
    </row>
    <row r="387">
      <c r="A387" s="186" t="str">
        <f>IFERROR(__xludf.DUMMYFUNCTION("""COMPUTED_VALUE"""),"DE")</f>
        <v>DE</v>
      </c>
      <c r="B387" s="186" t="str">
        <f>IFERROR(__xludf.DUMMYFUNCTION("""COMPUTED_VALUE"""),"W03")</f>
        <v>W03</v>
      </c>
      <c r="C387" s="186">
        <f>IFERROR(__xludf.DUMMYFUNCTION("""COMPUTED_VALUE"""),305.0)</f>
        <v>305</v>
      </c>
      <c r="D387" s="186"/>
      <c r="E387" s="186"/>
      <c r="F387" s="186"/>
      <c r="G387" s="186" t="str">
        <f>IFERROR(__xludf.DUMMYFUNCTION("""COMPUTED_VALUE"""),"FE4001C")</f>
        <v>FE4001C</v>
      </c>
      <c r="H387" s="186"/>
      <c r="I387" s="186"/>
      <c r="J387" s="189">
        <f>IFERROR(__xludf.DUMMYFUNCTION("""COMPUTED_VALUE"""),2008.0)</f>
        <v>2008</v>
      </c>
      <c r="K387" s="189">
        <f>IFERROR(__xludf.DUMMYFUNCTION("""COMPUTED_VALUE"""),1998.0)</f>
        <v>1998</v>
      </c>
      <c r="L387" s="189">
        <f>IFERROR(__xludf.DUMMYFUNCTION("""COMPUTED_VALUE"""),1298.0)</f>
        <v>1298</v>
      </c>
      <c r="M387" s="189">
        <f>IFERROR(__xludf.DUMMYFUNCTION("""COMPUTED_VALUE"""),1230.0)</f>
        <v>1230</v>
      </c>
      <c r="N387" s="189">
        <f>IFERROR(__xludf.DUMMYFUNCTION("""COMPUTED_VALUE"""),1261.0)</f>
        <v>1261</v>
      </c>
      <c r="O387" s="189">
        <f>IFERROR(__xludf.DUMMYFUNCTION("""COMPUTED_VALUE"""),1283.0)</f>
        <v>1283</v>
      </c>
      <c r="P387" s="189">
        <f>IFERROR(__xludf.DUMMYFUNCTION("""COMPUTED_VALUE"""),1286.0)</f>
        <v>1286</v>
      </c>
      <c r="Q387" s="189">
        <f>IFERROR(__xludf.DUMMYFUNCTION("""COMPUTED_VALUE"""),1309.0)</f>
        <v>1309</v>
      </c>
      <c r="R387" s="186"/>
      <c r="S387" s="189">
        <f>IFERROR(__xludf.DUMMYFUNCTION("""COMPUTED_VALUE"""),1487.0)</f>
        <v>1487</v>
      </c>
    </row>
    <row r="388">
      <c r="A388" s="186" t="str">
        <f>IFERROR(__xludf.DUMMYFUNCTION("""COMPUTED_VALUE"""),"DE")</f>
        <v>DE</v>
      </c>
      <c r="B388" s="186" t="str">
        <f>IFERROR(__xludf.DUMMYFUNCTION("""COMPUTED_VALUE"""),"W03")</f>
        <v>W03</v>
      </c>
      <c r="C388" s="186">
        <f>IFERROR(__xludf.DUMMYFUNCTION("""COMPUTED_VALUE"""),306.0)</f>
        <v>306</v>
      </c>
      <c r="D388" s="186" t="str">
        <f>IFERROR(__xludf.DUMMYFUNCTION("""COMPUTED_VALUE"""),"CON-00-152025-2")</f>
        <v>CON-00-152025-2</v>
      </c>
      <c r="E388" s="186" t="str">
        <f>IFERROR(__xludf.DUMMYFUNCTION("""COMPUTED_VALUE"""),"Salmon Piccata")</f>
        <v>Salmon Piccata</v>
      </c>
      <c r="F388" s="186" t="str">
        <f>IFERROR(__xludf.DUMMYFUNCTION("""COMPUTED_VALUE"""),"Lachs Piccata")</f>
        <v>Lachs Piccata</v>
      </c>
      <c r="G388" s="186" t="str">
        <f>IFERROR(__xludf.DUMMYFUNCTION("""COMPUTED_VALUE"""),"FE0972B")</f>
        <v>FE0972B</v>
      </c>
      <c r="H388" s="186">
        <f>IFERROR(__xludf.DUMMYFUNCTION("""COMPUTED_VALUE"""),565189.0)</f>
        <v>565189</v>
      </c>
      <c r="I388" s="186" t="str">
        <f>IFERROR(__xludf.DUMMYFUNCTION("""COMPUTED_VALUE"""),"HF Zalm met piccata saus")</f>
        <v>HF Zalm met piccata saus</v>
      </c>
      <c r="J388" s="189">
        <f>IFERROR(__xludf.DUMMYFUNCTION("""COMPUTED_VALUE"""),1521.0)</f>
        <v>1521</v>
      </c>
      <c r="K388" s="189">
        <f>IFERROR(__xludf.DUMMYFUNCTION("""COMPUTED_VALUE"""),1650.0)</f>
        <v>1650</v>
      </c>
      <c r="L388" s="189">
        <f>IFERROR(__xludf.DUMMYFUNCTION("""COMPUTED_VALUE"""),1411.0)</f>
        <v>1411</v>
      </c>
      <c r="M388" s="189">
        <f>IFERROR(__xludf.DUMMYFUNCTION("""COMPUTED_VALUE"""),1542.0)</f>
        <v>1542</v>
      </c>
      <c r="N388" s="189">
        <f>IFERROR(__xludf.DUMMYFUNCTION("""COMPUTED_VALUE"""),1535.0)</f>
        <v>1535</v>
      </c>
      <c r="O388" s="189">
        <f>IFERROR(__xludf.DUMMYFUNCTION("""COMPUTED_VALUE"""),1534.0)</f>
        <v>1534</v>
      </c>
      <c r="P388" s="189">
        <f>IFERROR(__xludf.DUMMYFUNCTION("""COMPUTED_VALUE"""),1560.0)</f>
        <v>1560</v>
      </c>
      <c r="Q388" s="189">
        <f>IFERROR(__xludf.DUMMYFUNCTION("""COMPUTED_VALUE"""),1546.0)</f>
        <v>1546</v>
      </c>
      <c r="R388" s="186"/>
      <c r="S388" s="189">
        <f>IFERROR(__xludf.DUMMYFUNCTION("""COMPUTED_VALUE"""),1731.0)</f>
        <v>1731</v>
      </c>
    </row>
    <row r="389">
      <c r="A389" s="186" t="str">
        <f>IFERROR(__xludf.DUMMYFUNCTION("""COMPUTED_VALUE"""),"DE")</f>
        <v>DE</v>
      </c>
      <c r="B389" s="186" t="str">
        <f>IFERROR(__xludf.DUMMYFUNCTION("""COMPUTED_VALUE"""),"W03")</f>
        <v>W03</v>
      </c>
      <c r="C389" s="186">
        <f>IFERROR(__xludf.DUMMYFUNCTION("""COMPUTED_VALUE"""),307.0)</f>
        <v>307</v>
      </c>
      <c r="D389" s="186" t="str">
        <f>IFERROR(__xludf.DUMMYFUNCTION("""COMPUTED_VALUE"""),"CON-00-136619-3")</f>
        <v>CON-00-136619-3</v>
      </c>
      <c r="E389" s="186" t="str">
        <f>IFERROR(__xludf.DUMMYFUNCTION("""COMPUTED_VALUE"""),"Chicken in creamy spinach")</f>
        <v>Chicken in creamy spinach</v>
      </c>
      <c r="F389" s="186" t="str">
        <f>IFERROR(__xludf.DUMMYFUNCTION("""COMPUTED_VALUE"""),"Hähnchen in Spinat-Creme")</f>
        <v>Hähnchen in Spinat-Creme</v>
      </c>
      <c r="G389" s="186" t="str">
        <f>IFERROR(__xludf.DUMMYFUNCTION("""COMPUTED_VALUE"""),"FE0207I")</f>
        <v>FE0207I</v>
      </c>
      <c r="H389" s="186">
        <f>IFERROR(__xludf.DUMMYFUNCTION("""COMPUTED_VALUE"""),565148.0)</f>
        <v>565148</v>
      </c>
      <c r="I389" s="186" t="str">
        <f>IFERROR(__xludf.DUMMYFUNCTION("""COMPUTED_VALUE"""),"HF RW Kipfilet in rom spinazie")</f>
        <v>HF RW Kipfilet in rom spinazie</v>
      </c>
      <c r="J389" s="189">
        <f>IFERROR(__xludf.DUMMYFUNCTION("""COMPUTED_VALUE"""),957.0)</f>
        <v>957</v>
      </c>
      <c r="K389" s="189">
        <f>IFERROR(__xludf.DUMMYFUNCTION("""COMPUTED_VALUE"""),1027.0)</f>
        <v>1027</v>
      </c>
      <c r="L389" s="189">
        <f>IFERROR(__xludf.DUMMYFUNCTION("""COMPUTED_VALUE"""),999.0)</f>
        <v>999</v>
      </c>
      <c r="M389" s="189">
        <f>IFERROR(__xludf.DUMMYFUNCTION("""COMPUTED_VALUE"""),1023.0)</f>
        <v>1023</v>
      </c>
      <c r="N389" s="189">
        <f>IFERROR(__xludf.DUMMYFUNCTION("""COMPUTED_VALUE"""),1010.0)</f>
        <v>1010</v>
      </c>
      <c r="O389" s="189">
        <f>IFERROR(__xludf.DUMMYFUNCTION("""COMPUTED_VALUE"""),1036.0)</f>
        <v>1036</v>
      </c>
      <c r="P389" s="189">
        <f>IFERROR(__xludf.DUMMYFUNCTION("""COMPUTED_VALUE"""),1056.0)</f>
        <v>1056</v>
      </c>
      <c r="Q389" s="189">
        <f>IFERROR(__xludf.DUMMYFUNCTION("""COMPUTED_VALUE"""),1054.0)</f>
        <v>1054</v>
      </c>
      <c r="R389" s="186"/>
      <c r="S389" s="189">
        <f>IFERROR(__xludf.DUMMYFUNCTION("""COMPUTED_VALUE"""),1236.0)</f>
        <v>1236</v>
      </c>
    </row>
    <row r="390">
      <c r="A390" s="186" t="str">
        <f>IFERROR(__xludf.DUMMYFUNCTION("""COMPUTED_VALUE"""),"DE")</f>
        <v>DE</v>
      </c>
      <c r="B390" s="186" t="str">
        <f>IFERROR(__xludf.DUMMYFUNCTION("""COMPUTED_VALUE"""),"W03")</f>
        <v>W03</v>
      </c>
      <c r="C390" s="186">
        <f>IFERROR(__xludf.DUMMYFUNCTION("""COMPUTED_VALUE"""),308.0)</f>
        <v>308</v>
      </c>
      <c r="D390" s="186" t="str">
        <f>IFERROR(__xludf.DUMMYFUNCTION("""COMPUTED_VALUE"""),"CON-00-136673-3")</f>
        <v>CON-00-136673-3</v>
      </c>
      <c r="E390" s="186" t="str">
        <f>IFERROR(__xludf.DUMMYFUNCTION("""COMPUTED_VALUE"""),"Chicken in tomato cream sauce")</f>
        <v>Chicken in tomato cream sauce</v>
      </c>
      <c r="F390" s="186" t="str">
        <f>IFERROR(__xludf.DUMMYFUNCTION("""COMPUTED_VALUE"""),"Hähnchen in Tomatencreme")</f>
        <v>Hähnchen in Tomatencreme</v>
      </c>
      <c r="G390" s="186" t="str">
        <f>IFERROR(__xludf.DUMMYFUNCTION("""COMPUTED_VALUE"""),"FE0024E")</f>
        <v>FE0024E</v>
      </c>
      <c r="H390" s="186">
        <f>IFERROR(__xludf.DUMMYFUNCTION("""COMPUTED_VALUE"""),565150.0)</f>
        <v>565150</v>
      </c>
      <c r="I390" s="186" t="str">
        <f>IFERROR(__xludf.DUMMYFUNCTION("""COMPUTED_VALUE"""),"HF RW Kipfilet in tom-roomsaus")</f>
        <v>HF RW Kipfilet in tom-roomsaus</v>
      </c>
      <c r="J390" s="189">
        <f>IFERROR(__xludf.DUMMYFUNCTION("""COMPUTED_VALUE"""),1387.0)</f>
        <v>1387</v>
      </c>
      <c r="K390" s="189">
        <f>IFERROR(__xludf.DUMMYFUNCTION("""COMPUTED_VALUE"""),1494.0)</f>
        <v>1494</v>
      </c>
      <c r="L390" s="189">
        <f>IFERROR(__xludf.DUMMYFUNCTION("""COMPUTED_VALUE"""),1349.0)</f>
        <v>1349</v>
      </c>
      <c r="M390" s="189">
        <f>IFERROR(__xludf.DUMMYFUNCTION("""COMPUTED_VALUE"""),1447.0)</f>
        <v>1447</v>
      </c>
      <c r="N390" s="189">
        <f>IFERROR(__xludf.DUMMYFUNCTION("""COMPUTED_VALUE"""),1453.0)</f>
        <v>1453</v>
      </c>
      <c r="O390" s="189">
        <f>IFERROR(__xludf.DUMMYFUNCTION("""COMPUTED_VALUE"""),1352.0)</f>
        <v>1352</v>
      </c>
      <c r="P390" s="189">
        <f>IFERROR(__xludf.DUMMYFUNCTION("""COMPUTED_VALUE"""),1368.0)</f>
        <v>1368</v>
      </c>
      <c r="Q390" s="189">
        <f>IFERROR(__xludf.DUMMYFUNCTION("""COMPUTED_VALUE"""),1385.0)</f>
        <v>1385</v>
      </c>
      <c r="R390" s="186"/>
      <c r="S390" s="189">
        <f>IFERROR(__xludf.DUMMYFUNCTION("""COMPUTED_VALUE"""),1659.0)</f>
        <v>1659</v>
      </c>
    </row>
    <row r="391">
      <c r="A391" s="186" t="str">
        <f>IFERROR(__xludf.DUMMYFUNCTION("""COMPUTED_VALUE"""),"DE")</f>
        <v>DE</v>
      </c>
      <c r="B391" s="186" t="str">
        <f>IFERROR(__xludf.DUMMYFUNCTION("""COMPUTED_VALUE"""),"W03")</f>
        <v>W03</v>
      </c>
      <c r="C391" s="186">
        <f>IFERROR(__xludf.DUMMYFUNCTION("""COMPUTED_VALUE"""),309.0)</f>
        <v>309</v>
      </c>
      <c r="D391" s="186" t="str">
        <f>IFERROR(__xludf.DUMMYFUNCTION("""COMPUTED_VALUE"""),"CON-00-136641-3")</f>
        <v>CON-00-136641-3</v>
      </c>
      <c r="E391" s="186" t="str">
        <f>IFERROR(__xludf.DUMMYFUNCTION("""COMPUTED_VALUE"""),"Mexican style corn cake")</f>
        <v>Mexican style corn cake</v>
      </c>
      <c r="F391" s="186" t="str">
        <f>IFERROR(__xludf.DUMMYFUNCTION("""COMPUTED_VALUE"""),"Mexikanischer Maiskuchen")</f>
        <v>Mexikanischer Maiskuchen</v>
      </c>
      <c r="G391" s="186" t="str">
        <f>IFERROR(__xludf.DUMMYFUNCTION("""COMPUTED_VALUE"""),"FE0121C")</f>
        <v>FE0121C</v>
      </c>
      <c r="H391" s="186">
        <f>IFERROR(__xludf.DUMMYFUNCTION("""COMPUTED_VALUE"""),565023.0)</f>
        <v>565023</v>
      </c>
      <c r="I391" s="186" t="str">
        <f>IFERROR(__xludf.DUMMYFUNCTION("""COMPUTED_VALUE"""),"HF Mex.stijl maiscake")</f>
        <v>HF Mex.stijl maiscake</v>
      </c>
      <c r="J391" s="186">
        <f>IFERROR(__xludf.DUMMYFUNCTION("""COMPUTED_VALUE"""),304.0)</f>
        <v>304</v>
      </c>
      <c r="K391" s="186">
        <f>IFERROR(__xludf.DUMMYFUNCTION("""COMPUTED_VALUE"""),324.0)</f>
        <v>324</v>
      </c>
      <c r="L391" s="186">
        <f>IFERROR(__xludf.DUMMYFUNCTION("""COMPUTED_VALUE"""),248.0)</f>
        <v>248</v>
      </c>
      <c r="M391" s="186">
        <f>IFERROR(__xludf.DUMMYFUNCTION("""COMPUTED_VALUE"""),294.0)</f>
        <v>294</v>
      </c>
      <c r="N391" s="186">
        <f>IFERROR(__xludf.DUMMYFUNCTION("""COMPUTED_VALUE"""),341.0)</f>
        <v>341</v>
      </c>
      <c r="O391" s="186">
        <f>IFERROR(__xludf.DUMMYFUNCTION("""COMPUTED_VALUE"""),339.0)</f>
        <v>339</v>
      </c>
      <c r="P391" s="186">
        <f>IFERROR(__xludf.DUMMYFUNCTION("""COMPUTED_VALUE"""),344.0)</f>
        <v>344</v>
      </c>
      <c r="Q391" s="186">
        <f>IFERROR(__xludf.DUMMYFUNCTION("""COMPUTED_VALUE"""),338.0)</f>
        <v>338</v>
      </c>
      <c r="R391" s="186"/>
      <c r="S391" s="189">
        <f>IFERROR(__xludf.DUMMYFUNCTION("""COMPUTED_VALUE"""),404.0)</f>
        <v>404</v>
      </c>
    </row>
    <row r="392">
      <c r="A392" s="186" t="str">
        <f>IFERROR(__xludf.DUMMYFUNCTION("""COMPUTED_VALUE"""),"DE")</f>
        <v>DE</v>
      </c>
      <c r="B392" s="186" t="str">
        <f>IFERROR(__xludf.DUMMYFUNCTION("""COMPUTED_VALUE"""),"W03")</f>
        <v>W03</v>
      </c>
      <c r="C392" s="186">
        <f>IFERROR(__xludf.DUMMYFUNCTION("""COMPUTED_VALUE"""),310.0)</f>
        <v>310</v>
      </c>
      <c r="D392" s="186" t="str">
        <f>IFERROR(__xludf.DUMMYFUNCTION("""COMPUTED_VALUE"""),"CON-00-136629-3")</f>
        <v>CON-00-136629-3</v>
      </c>
      <c r="E392" s="186" t="str">
        <f>IFERROR(__xludf.DUMMYFUNCTION("""COMPUTED_VALUE"""),"Creamy tomato risotto")</f>
        <v>Creamy tomato risotto</v>
      </c>
      <c r="F392" s="186" t="str">
        <f>IFERROR(__xludf.DUMMYFUNCTION("""COMPUTED_VALUE"""),"Cremiges Tomaten-Risotto")</f>
        <v>Cremiges Tomaten-Risotto</v>
      </c>
      <c r="G392" s="186" t="str">
        <f>IFERROR(__xludf.DUMMYFUNCTION("""COMPUTED_VALUE"""),"FE0031C")</f>
        <v>FE0031C</v>
      </c>
      <c r="H392" s="186">
        <f>IFERROR(__xludf.DUMMYFUNCTION("""COMPUTED_VALUE"""),565244.0)</f>
        <v>565244</v>
      </c>
      <c r="I392" s="186" t="str">
        <f>IFERROR(__xludf.DUMMYFUNCTION("""COMPUTED_VALUE"""),"IO HF Romige tomatenrisotto V2")</f>
        <v>IO HF Romige tomatenrisotto V2</v>
      </c>
      <c r="J392" s="186">
        <f>IFERROR(__xludf.DUMMYFUNCTION("""COMPUTED_VALUE"""),342.0)</f>
        <v>342</v>
      </c>
      <c r="K392" s="186">
        <f>IFERROR(__xludf.DUMMYFUNCTION("""COMPUTED_VALUE"""),371.0)</f>
        <v>371</v>
      </c>
      <c r="L392" s="186">
        <f>IFERROR(__xludf.DUMMYFUNCTION("""COMPUTED_VALUE"""),252.0)</f>
        <v>252</v>
      </c>
      <c r="M392" s="186">
        <f>IFERROR(__xludf.DUMMYFUNCTION("""COMPUTED_VALUE"""),348.0)</f>
        <v>348</v>
      </c>
      <c r="N392" s="186">
        <f>IFERROR(__xludf.DUMMYFUNCTION("""COMPUTED_VALUE"""),355.0)</f>
        <v>355</v>
      </c>
      <c r="O392" s="186">
        <f>IFERROR(__xludf.DUMMYFUNCTION("""COMPUTED_VALUE"""),323.0)</f>
        <v>323</v>
      </c>
      <c r="P392" s="186">
        <f>IFERROR(__xludf.DUMMYFUNCTION("""COMPUTED_VALUE"""),321.0)</f>
        <v>321</v>
      </c>
      <c r="Q392" s="186">
        <f>IFERROR(__xludf.DUMMYFUNCTION("""COMPUTED_VALUE"""),309.0)</f>
        <v>309</v>
      </c>
      <c r="R392" s="186"/>
      <c r="S392" s="186">
        <f>IFERROR(__xludf.DUMMYFUNCTION("""COMPUTED_VALUE"""),374.0)</f>
        <v>374</v>
      </c>
    </row>
    <row r="393">
      <c r="A393" s="186" t="str">
        <f>IFERROR(__xludf.DUMMYFUNCTION("""COMPUTED_VALUE"""),"DE")</f>
        <v>DE</v>
      </c>
      <c r="B393" s="186" t="str">
        <f>IFERROR(__xludf.DUMMYFUNCTION("""COMPUTED_VALUE"""),"W03")</f>
        <v>W03</v>
      </c>
      <c r="C393" s="186">
        <f>IFERROR(__xludf.DUMMYFUNCTION("""COMPUTED_VALUE"""),311.0)</f>
        <v>311</v>
      </c>
      <c r="D393" s="186" t="str">
        <f>IFERROR(__xludf.DUMMYFUNCTION("""COMPUTED_VALUE"""),"CON-00-136655-3")</f>
        <v>CON-00-136655-3</v>
      </c>
      <c r="E393" s="186" t="str">
        <f>IFERROR(__xludf.DUMMYFUNCTION("""COMPUTED_VALUE"""),"Pork tenderloin with caramelized onion")</f>
        <v>Pork tenderloin with caramelized onion</v>
      </c>
      <c r="F393" s="186" t="str">
        <f>IFERROR(__xludf.DUMMYFUNCTION("""COMPUTED_VALUE"""),"Schweinefilet mit karamellisierten Zwiebeln")</f>
        <v>Schweinefilet mit karamellisierten Zwiebeln</v>
      </c>
      <c r="G393" s="186" t="str">
        <f>IFERROR(__xludf.DUMMYFUNCTION("""COMPUTED_VALUE"""),"FE0565D")</f>
        <v>FE0565D</v>
      </c>
      <c r="H393" s="186">
        <f>IFERROR(__xludf.DUMMYFUNCTION("""COMPUTED_VALUE"""),565147.0)</f>
        <v>565147</v>
      </c>
      <c r="I393" s="186" t="str">
        <f>IFERROR(__xludf.DUMMYFUNCTION("""COMPUTED_VALUE"""),"HF RW Varkenshaas gekaram. ui")</f>
        <v>HF RW Varkenshaas gekaram. ui</v>
      </c>
      <c r="J393" s="189">
        <f>IFERROR(__xludf.DUMMYFUNCTION("""COMPUTED_VALUE"""),536.0)</f>
        <v>536</v>
      </c>
      <c r="K393" s="186">
        <f>IFERROR(__xludf.DUMMYFUNCTION("""COMPUTED_VALUE"""),721.0)</f>
        <v>721</v>
      </c>
      <c r="L393" s="186">
        <f>IFERROR(__xludf.DUMMYFUNCTION("""COMPUTED_VALUE"""),687.0)</f>
        <v>687</v>
      </c>
      <c r="M393" s="186">
        <f>IFERROR(__xludf.DUMMYFUNCTION("""COMPUTED_VALUE"""),589.0)</f>
        <v>589</v>
      </c>
      <c r="N393" s="186">
        <f>IFERROR(__xludf.DUMMYFUNCTION("""COMPUTED_VALUE"""),576.0)</f>
        <v>576</v>
      </c>
      <c r="O393" s="186">
        <f>IFERROR(__xludf.DUMMYFUNCTION("""COMPUTED_VALUE"""),520.0)</f>
        <v>520</v>
      </c>
      <c r="P393" s="186">
        <f>IFERROR(__xludf.DUMMYFUNCTION("""COMPUTED_VALUE"""),528.0)</f>
        <v>528</v>
      </c>
      <c r="Q393" s="186">
        <f>IFERROR(__xludf.DUMMYFUNCTION("""COMPUTED_VALUE"""),531.0)</f>
        <v>531</v>
      </c>
      <c r="R393" s="186"/>
      <c r="S393" s="189">
        <f>IFERROR(__xludf.DUMMYFUNCTION("""COMPUTED_VALUE"""),724.0)</f>
        <v>724</v>
      </c>
    </row>
    <row r="394">
      <c r="A394" s="186" t="str">
        <f>IFERROR(__xludf.DUMMYFUNCTION("""COMPUTED_VALUE"""),"DE")</f>
        <v>DE</v>
      </c>
      <c r="B394" s="186" t="str">
        <f>IFERROR(__xludf.DUMMYFUNCTION("""COMPUTED_VALUE"""),"W03")</f>
        <v>W03</v>
      </c>
      <c r="C394" s="186">
        <f>IFERROR(__xludf.DUMMYFUNCTION("""COMPUTED_VALUE"""),312.0)</f>
        <v>312</v>
      </c>
      <c r="D394" s="186" t="str">
        <f>IFERROR(__xludf.DUMMYFUNCTION("""COMPUTED_VALUE"""),"CON-00-152038-2")</f>
        <v>CON-00-152038-2</v>
      </c>
      <c r="E394" s="186" t="str">
        <f>IFERROR(__xludf.DUMMYFUNCTION("""COMPUTED_VALUE"""),"Thai Style Green Curry Salmon")</f>
        <v>Thai Style Green Curry Salmon</v>
      </c>
      <c r="F394" s="186" t="str">
        <f>IFERROR(__xludf.DUMMYFUNCTION("""COMPUTED_VALUE"""),"Lachs in grünem Thai Style Curry")</f>
        <v>Lachs in grünem Thai Style Curry</v>
      </c>
      <c r="G394" s="186" t="str">
        <f>IFERROR(__xludf.DUMMYFUNCTION("""COMPUTED_VALUE"""),"FE4066A")</f>
        <v>FE4066A</v>
      </c>
      <c r="H394" s="186">
        <f>IFERROR(__xludf.DUMMYFUNCTION("""COMPUTED_VALUE"""),565218.0)</f>
        <v>565218</v>
      </c>
      <c r="I394" s="186" t="str">
        <f>IFERROR(__xludf.DUMMYFUNCTION("""COMPUTED_VALUE"""),"HF Thaise curry Zalm")</f>
        <v>HF Thaise curry Zalm</v>
      </c>
      <c r="J394" s="189">
        <f>IFERROR(__xludf.DUMMYFUNCTION("""COMPUTED_VALUE"""),1166.0)</f>
        <v>1166</v>
      </c>
      <c r="K394" s="189">
        <f>IFERROR(__xludf.DUMMYFUNCTION("""COMPUTED_VALUE"""),1219.0)</f>
        <v>1219</v>
      </c>
      <c r="L394" s="189">
        <f>IFERROR(__xludf.DUMMYFUNCTION("""COMPUTED_VALUE"""),1119.0)</f>
        <v>1119</v>
      </c>
      <c r="M394" s="189">
        <f>IFERROR(__xludf.DUMMYFUNCTION("""COMPUTED_VALUE"""),1109.0)</f>
        <v>1109</v>
      </c>
      <c r="N394" s="189">
        <f>IFERROR(__xludf.DUMMYFUNCTION("""COMPUTED_VALUE"""),1104.0)</f>
        <v>1104</v>
      </c>
      <c r="O394" s="189">
        <f>IFERROR(__xludf.DUMMYFUNCTION("""COMPUTED_VALUE"""),1036.0)</f>
        <v>1036</v>
      </c>
      <c r="P394" s="189">
        <f>IFERROR(__xludf.DUMMYFUNCTION("""COMPUTED_VALUE"""),1058.0)</f>
        <v>1058</v>
      </c>
      <c r="Q394" s="189">
        <f>IFERROR(__xludf.DUMMYFUNCTION("""COMPUTED_VALUE"""),1062.0)</f>
        <v>1062</v>
      </c>
      <c r="R394" s="186"/>
      <c r="S394" s="186">
        <f>IFERROR(__xludf.DUMMYFUNCTION("""COMPUTED_VALUE"""),1286.0)</f>
        <v>1286</v>
      </c>
    </row>
    <row r="395">
      <c r="A395" s="186" t="str">
        <f>IFERROR(__xludf.DUMMYFUNCTION("""COMPUTED_VALUE"""),"DE")</f>
        <v>DE</v>
      </c>
      <c r="B395" s="186" t="str">
        <f>IFERROR(__xludf.DUMMYFUNCTION("""COMPUTED_VALUE"""),"W03")</f>
        <v>W03</v>
      </c>
      <c r="C395" s="186">
        <f>IFERROR(__xludf.DUMMYFUNCTION("""COMPUTED_VALUE"""),313.0)</f>
        <v>313</v>
      </c>
      <c r="D395" s="186" t="str">
        <f>IFERROR(__xludf.DUMMYFUNCTION("""COMPUTED_VALUE"""),"CON-00-150748-2")</f>
        <v>CON-00-150748-2</v>
      </c>
      <c r="E395" s="186" t="str">
        <f>IFERROR(__xludf.DUMMYFUNCTION("""COMPUTED_VALUE"""),"West African Style Chicken Peanut Curry")</f>
        <v>West African Style Chicken Peanut Curry</v>
      </c>
      <c r="F395" s="186" t="str">
        <f>IFERROR(__xludf.DUMMYFUNCTION("""COMPUTED_VALUE"""),"Westafrikanisches Hähnchen-Erdnuss-Curry")</f>
        <v>Westafrikanisches Hähnchen-Erdnuss-Curry</v>
      </c>
      <c r="G395" s="186" t="str">
        <f>IFERROR(__xludf.DUMMYFUNCTION("""COMPUTED_VALUE"""),"FE1451A")</f>
        <v>FE1451A</v>
      </c>
      <c r="H395" s="186">
        <f>IFERROR(__xludf.DUMMYFUNCTION("""COMPUTED_VALUE"""),565178.0)</f>
        <v>565178</v>
      </c>
      <c r="I395" s="186" t="str">
        <f>IFERROR(__xludf.DUMMYFUNCTION("""COMPUTED_VALUE"""),"HF Kruidige pinda curry")</f>
        <v>HF Kruidige pinda curry</v>
      </c>
      <c r="J395" s="189">
        <f>IFERROR(__xludf.DUMMYFUNCTION("""COMPUTED_VALUE"""),1107.0)</f>
        <v>1107</v>
      </c>
      <c r="K395" s="189">
        <f>IFERROR(__xludf.DUMMYFUNCTION("""COMPUTED_VALUE"""),1348.0)</f>
        <v>1348</v>
      </c>
      <c r="L395" s="189">
        <f>IFERROR(__xludf.DUMMYFUNCTION("""COMPUTED_VALUE"""),1281.0)</f>
        <v>1281</v>
      </c>
      <c r="M395" s="189">
        <f>IFERROR(__xludf.DUMMYFUNCTION("""COMPUTED_VALUE"""),1369.0)</f>
        <v>1369</v>
      </c>
      <c r="N395" s="189">
        <f>IFERROR(__xludf.DUMMYFUNCTION("""COMPUTED_VALUE"""),1339.0)</f>
        <v>1339</v>
      </c>
      <c r="O395" s="189">
        <f>IFERROR(__xludf.DUMMYFUNCTION("""COMPUTED_VALUE"""),1266.0)</f>
        <v>1266</v>
      </c>
      <c r="P395" s="189">
        <f>IFERROR(__xludf.DUMMYFUNCTION("""COMPUTED_VALUE"""),1285.0)</f>
        <v>1285</v>
      </c>
      <c r="Q395" s="189">
        <f>IFERROR(__xludf.DUMMYFUNCTION("""COMPUTED_VALUE"""),1277.0)</f>
        <v>1277</v>
      </c>
      <c r="R395" s="186"/>
      <c r="S395" s="189">
        <f>IFERROR(__xludf.DUMMYFUNCTION("""COMPUTED_VALUE"""),1553.0)</f>
        <v>1553</v>
      </c>
    </row>
    <row r="396">
      <c r="A396" s="186" t="str">
        <f>IFERROR(__xludf.DUMMYFUNCTION("""COMPUTED_VALUE"""),"DE")</f>
        <v>DE</v>
      </c>
      <c r="B396" s="186" t="str">
        <f>IFERROR(__xludf.DUMMYFUNCTION("""COMPUTED_VALUE"""),"W03")</f>
        <v>W03</v>
      </c>
      <c r="C396" s="186">
        <f>IFERROR(__xludf.DUMMYFUNCTION("""COMPUTED_VALUE"""),314.0)</f>
        <v>314</v>
      </c>
      <c r="D396" s="186" t="str">
        <f>IFERROR(__xludf.DUMMYFUNCTION("""COMPUTED_VALUE"""),"CON-00-154999-2")</f>
        <v>CON-00-154999-2</v>
      </c>
      <c r="E396" s="186" t="str">
        <f>IFERROR(__xludf.DUMMYFUNCTION("""COMPUTED_VALUE"""),"Keema-inspired Beef Curry")</f>
        <v>Keema-inspired Beef Curry</v>
      </c>
      <c r="F396" s="186" t="str">
        <f>IFERROR(__xludf.DUMMYFUNCTION("""COMPUTED_VALUE"""),"Keema-inspiriertes Rindercurry")</f>
        <v>Keema-inspiriertes Rindercurry</v>
      </c>
      <c r="G396" s="186" t="str">
        <f>IFERROR(__xludf.DUMMYFUNCTION("""COMPUTED_VALUE"""),"FE0689A")</f>
        <v>FE0689A</v>
      </c>
      <c r="H396" s="186">
        <f>IFERROR(__xludf.DUMMYFUNCTION("""COMPUTED_VALUE"""),565204.0)</f>
        <v>565204</v>
      </c>
      <c r="I396" s="186" t="str">
        <f>IFERROR(__xludf.DUMMYFUNCTION("""COMPUTED_VALUE"""),"HF Kruidig rundergehakt")</f>
        <v>HF Kruidig rundergehakt</v>
      </c>
      <c r="J396" s="189">
        <f>IFERROR(__xludf.DUMMYFUNCTION("""COMPUTED_VALUE"""),769.0)</f>
        <v>769</v>
      </c>
      <c r="K396" s="186">
        <f>IFERROR(__xludf.DUMMYFUNCTION("""COMPUTED_VALUE"""),844.0)</f>
        <v>844</v>
      </c>
      <c r="L396" s="189">
        <f>IFERROR(__xludf.DUMMYFUNCTION("""COMPUTED_VALUE"""),657.0)</f>
        <v>657</v>
      </c>
      <c r="M396" s="189">
        <f>IFERROR(__xludf.DUMMYFUNCTION("""COMPUTED_VALUE"""),611.0)</f>
        <v>611</v>
      </c>
      <c r="N396" s="189">
        <f>IFERROR(__xludf.DUMMYFUNCTION("""COMPUTED_VALUE"""),579.0)</f>
        <v>579</v>
      </c>
      <c r="O396" s="189">
        <f>IFERROR(__xludf.DUMMYFUNCTION("""COMPUTED_VALUE"""),532.0)</f>
        <v>532</v>
      </c>
      <c r="P396" s="189">
        <f>IFERROR(__xludf.DUMMYFUNCTION("""COMPUTED_VALUE"""),543.0)</f>
        <v>543</v>
      </c>
      <c r="Q396" s="189">
        <f>IFERROR(__xludf.DUMMYFUNCTION("""COMPUTED_VALUE"""),523.0)</f>
        <v>523</v>
      </c>
      <c r="R396" s="186"/>
      <c r="S396" s="189">
        <f>IFERROR(__xludf.DUMMYFUNCTION("""COMPUTED_VALUE"""),647.0)</f>
        <v>647</v>
      </c>
    </row>
    <row r="397">
      <c r="A397" s="186" t="str">
        <f>IFERROR(__xludf.DUMMYFUNCTION("""COMPUTED_VALUE"""),"DE")</f>
        <v>DE</v>
      </c>
      <c r="B397" s="186" t="str">
        <f>IFERROR(__xludf.DUMMYFUNCTION("""COMPUTED_VALUE"""),"W03")</f>
        <v>W03</v>
      </c>
      <c r="C397" s="186">
        <f>IFERROR(__xludf.DUMMYFUNCTION("""COMPUTED_VALUE"""),315.0)</f>
        <v>315</v>
      </c>
      <c r="D397" s="186" t="str">
        <f>IFERROR(__xludf.DUMMYFUNCTION("""COMPUTED_VALUE"""),"CON-00-138996-2")</f>
        <v>CON-00-138996-2</v>
      </c>
      <c r="E397" s="186" t="str">
        <f>IFERROR(__xludf.DUMMYFUNCTION("""COMPUTED_VALUE"""),"Cheddar pulled beef")</f>
        <v>Cheddar pulled beef</v>
      </c>
      <c r="F397" s="186" t="str">
        <f>IFERROR(__xludf.DUMMYFUNCTION("""COMPUTED_VALUE"""),"Cheddar Pulled Beef")</f>
        <v>Cheddar Pulled Beef</v>
      </c>
      <c r="G397" s="186" t="str">
        <f>IFERROR(__xludf.DUMMYFUNCTION("""COMPUTED_VALUE"""),"FE4063A")</f>
        <v>FE4063A</v>
      </c>
      <c r="H397" s="186">
        <f>IFERROR(__xludf.DUMMYFUNCTION("""COMPUTED_VALUE"""),565136.0)</f>
        <v>565136</v>
      </c>
      <c r="I397" s="186"/>
      <c r="J397" s="189">
        <f>IFERROR(__xludf.DUMMYFUNCTION("""COMPUTED_VALUE"""),699.0)</f>
        <v>699</v>
      </c>
      <c r="K397" s="186">
        <f>IFERROR(__xludf.DUMMYFUNCTION("""COMPUTED_VALUE"""),737.0)</f>
        <v>737</v>
      </c>
      <c r="L397" s="186">
        <f>IFERROR(__xludf.DUMMYFUNCTION("""COMPUTED_VALUE"""),518.0)</f>
        <v>518</v>
      </c>
      <c r="M397" s="186">
        <f>IFERROR(__xludf.DUMMYFUNCTION("""COMPUTED_VALUE"""),875.0)</f>
        <v>875</v>
      </c>
      <c r="N397" s="186">
        <f>IFERROR(__xludf.DUMMYFUNCTION("""COMPUTED_VALUE"""),858.0)</f>
        <v>858</v>
      </c>
      <c r="O397" s="186">
        <f>IFERROR(__xludf.DUMMYFUNCTION("""COMPUTED_VALUE"""),831.0)</f>
        <v>831</v>
      </c>
      <c r="P397" s="186">
        <f>IFERROR(__xludf.DUMMYFUNCTION("""COMPUTED_VALUE"""),827.0)</f>
        <v>827</v>
      </c>
      <c r="Q397" s="186">
        <f>IFERROR(__xludf.DUMMYFUNCTION("""COMPUTED_VALUE"""),808.0)</f>
        <v>808</v>
      </c>
      <c r="R397" s="186"/>
      <c r="S397" s="189">
        <f>IFERROR(__xludf.DUMMYFUNCTION("""COMPUTED_VALUE"""),1011.0)</f>
        <v>1011</v>
      </c>
    </row>
    <row r="398">
      <c r="A398" s="186" t="str">
        <f>IFERROR(__xludf.DUMMYFUNCTION("""COMPUTED_VALUE"""),"DE")</f>
        <v>DE</v>
      </c>
      <c r="B398" s="186" t="str">
        <f>IFERROR(__xludf.DUMMYFUNCTION("""COMPUTED_VALUE"""),"W03")</f>
        <v>W03</v>
      </c>
      <c r="C398" s="186">
        <f>IFERROR(__xludf.DUMMYFUNCTION("""COMPUTED_VALUE"""),316.0)</f>
        <v>316</v>
      </c>
      <c r="D398" s="186" t="str">
        <f>IFERROR(__xludf.DUMMYFUNCTION("""COMPUTED_VALUE"""),"CON-00-155000-2")</f>
        <v>CON-00-155000-2</v>
      </c>
      <c r="E398" s="186" t="str">
        <f>IFERROR(__xludf.DUMMYFUNCTION("""COMPUTED_VALUE"""),"Shakshuka-Style Chicken")</f>
        <v>Shakshuka-Style Chicken</v>
      </c>
      <c r="F398" s="186" t="str">
        <f>IFERROR(__xludf.DUMMYFUNCTION("""COMPUTED_VALUE"""),"Shakshuka-Style Hähnchen")</f>
        <v>Shakshuka-Style Hähnchen</v>
      </c>
      <c r="G398" s="186" t="str">
        <f>IFERROR(__xludf.DUMMYFUNCTION("""COMPUTED_VALUE"""),"FE1829A")</f>
        <v>FE1829A</v>
      </c>
      <c r="H398" s="186">
        <f>IFERROR(__xludf.DUMMYFUNCTION("""COMPUTED_VALUE"""),565227.0)</f>
        <v>565227</v>
      </c>
      <c r="I398" s="186" t="str">
        <f>IFERROR(__xludf.DUMMYFUNCTION("""COMPUTED_VALUE"""),"HF Shakshuka-Style Chicken")</f>
        <v>HF Shakshuka-Style Chicken</v>
      </c>
      <c r="J398" s="189">
        <f>IFERROR(__xludf.DUMMYFUNCTION("""COMPUTED_VALUE"""),643.0)</f>
        <v>643</v>
      </c>
      <c r="K398" s="186">
        <f>IFERROR(__xludf.DUMMYFUNCTION("""COMPUTED_VALUE"""),628.0)</f>
        <v>628</v>
      </c>
      <c r="L398" s="186">
        <f>IFERROR(__xludf.DUMMYFUNCTION("""COMPUTED_VALUE"""),727.0)</f>
        <v>727</v>
      </c>
      <c r="M398" s="186">
        <f>IFERROR(__xludf.DUMMYFUNCTION("""COMPUTED_VALUE"""),652.0)</f>
        <v>652</v>
      </c>
      <c r="N398" s="186">
        <f>IFERROR(__xludf.DUMMYFUNCTION("""COMPUTED_VALUE"""),597.0)</f>
        <v>597</v>
      </c>
      <c r="O398" s="186">
        <f>IFERROR(__xludf.DUMMYFUNCTION("""COMPUTED_VALUE"""),480.0)</f>
        <v>480</v>
      </c>
      <c r="P398" s="186">
        <f>IFERROR(__xludf.DUMMYFUNCTION("""COMPUTED_VALUE"""),475.0)</f>
        <v>475</v>
      </c>
      <c r="Q398" s="186">
        <f>IFERROR(__xludf.DUMMYFUNCTION("""COMPUTED_VALUE"""),469.0)</f>
        <v>469</v>
      </c>
      <c r="R398" s="186"/>
      <c r="S398" s="189">
        <f>IFERROR(__xludf.DUMMYFUNCTION("""COMPUTED_VALUE"""),645.0)</f>
        <v>645</v>
      </c>
    </row>
    <row r="399">
      <c r="A399" s="186" t="str">
        <f>IFERROR(__xludf.DUMMYFUNCTION("""COMPUTED_VALUE"""),"DE")</f>
        <v>DE</v>
      </c>
      <c r="B399" s="186" t="str">
        <f>IFERROR(__xludf.DUMMYFUNCTION("""COMPUTED_VALUE"""),"W03")</f>
        <v>W03</v>
      </c>
      <c r="C399" s="186">
        <f>IFERROR(__xludf.DUMMYFUNCTION("""COMPUTED_VALUE"""),317.0)</f>
        <v>317</v>
      </c>
      <c r="D399" s="186"/>
      <c r="E399" s="186"/>
      <c r="F399" s="186"/>
      <c r="G399" s="186" t="str">
        <f>IFERROR(__xludf.DUMMYFUNCTION("""COMPUTED_VALUE"""),"FE0962A")</f>
        <v>FE0962A</v>
      </c>
      <c r="H399" s="186"/>
      <c r="I399" s="186"/>
      <c r="J399" s="189">
        <f>IFERROR(__xludf.DUMMYFUNCTION("""COMPUTED_VALUE"""),386.0)</f>
        <v>386</v>
      </c>
      <c r="K399" s="186">
        <f>IFERROR(__xludf.DUMMYFUNCTION("""COMPUTED_VALUE"""),386.0)</f>
        <v>386</v>
      </c>
      <c r="L399" s="189">
        <f>IFERROR(__xludf.DUMMYFUNCTION("""COMPUTED_VALUE"""),753.0)</f>
        <v>753</v>
      </c>
      <c r="M399" s="189">
        <f>IFERROR(__xludf.DUMMYFUNCTION("""COMPUTED_VALUE"""),824.0)</f>
        <v>824</v>
      </c>
      <c r="N399" s="189">
        <f>IFERROR(__xludf.DUMMYFUNCTION("""COMPUTED_VALUE"""),840.0)</f>
        <v>840</v>
      </c>
      <c r="O399" s="189">
        <f>IFERROR(__xludf.DUMMYFUNCTION("""COMPUTED_VALUE"""),836.0)</f>
        <v>836</v>
      </c>
      <c r="P399" s="189">
        <f>IFERROR(__xludf.DUMMYFUNCTION("""COMPUTED_VALUE"""),872.0)</f>
        <v>872</v>
      </c>
      <c r="Q399" s="189">
        <f>IFERROR(__xludf.DUMMYFUNCTION("""COMPUTED_VALUE"""),875.0)</f>
        <v>875</v>
      </c>
      <c r="R399" s="186"/>
      <c r="S399" s="189">
        <f>IFERROR(__xludf.DUMMYFUNCTION("""COMPUTED_VALUE"""),1047.0)</f>
        <v>1047</v>
      </c>
    </row>
    <row r="400">
      <c r="A400" s="186" t="str">
        <f>IFERROR(__xludf.DUMMYFUNCTION("""COMPUTED_VALUE"""),"DE")</f>
        <v>DE</v>
      </c>
      <c r="B400" s="186" t="str">
        <f>IFERROR(__xludf.DUMMYFUNCTION("""COMPUTED_VALUE"""),"W03")</f>
        <v>W03</v>
      </c>
      <c r="C400" s="186">
        <f>IFERROR(__xludf.DUMMYFUNCTION("""COMPUTED_VALUE"""),318.0)</f>
        <v>318</v>
      </c>
      <c r="D400" s="186" t="str">
        <f>IFERROR(__xludf.DUMMYFUNCTION("""COMPUTED_VALUE"""),"CON-00-136726-3")</f>
        <v>CON-00-136726-3</v>
      </c>
      <c r="E400" s="186" t="str">
        <f>IFERROR(__xludf.DUMMYFUNCTION("""COMPUTED_VALUE"""),"Pork tenderloin with apple-mustard sauce")</f>
        <v>Pork tenderloin with apple-mustard sauce</v>
      </c>
      <c r="F400" s="186" t="str">
        <f>IFERROR(__xludf.DUMMYFUNCTION("""COMPUTED_VALUE"""),"Schweinefilet mit Apfel-Senf-Soße")</f>
        <v>Schweinefilet mit Apfel-Senf-Soße</v>
      </c>
      <c r="G400" s="186" t="str">
        <f>IFERROR(__xludf.DUMMYFUNCTION("""COMPUTED_VALUE"""),"FE0890B")</f>
        <v>FE0890B</v>
      </c>
      <c r="H400" s="186">
        <f>IFERROR(__xludf.DUMMYFUNCTION("""COMPUTED_VALUE"""),565117.0)</f>
        <v>565117</v>
      </c>
      <c r="I400" s="186"/>
      <c r="J400" s="186">
        <f>IFERROR(__xludf.DUMMYFUNCTION("""COMPUTED_VALUE"""),395.0)</f>
        <v>395</v>
      </c>
      <c r="K400" s="186">
        <f>IFERROR(__xludf.DUMMYFUNCTION("""COMPUTED_VALUE"""),381.0)</f>
        <v>381</v>
      </c>
      <c r="L400" s="186">
        <f>IFERROR(__xludf.DUMMYFUNCTION("""COMPUTED_VALUE"""),308.0)</f>
        <v>308</v>
      </c>
      <c r="M400" s="186">
        <f>IFERROR(__xludf.DUMMYFUNCTION("""COMPUTED_VALUE"""),351.0)</f>
        <v>351</v>
      </c>
      <c r="N400" s="186">
        <f>IFERROR(__xludf.DUMMYFUNCTION("""COMPUTED_VALUE"""),375.0)</f>
        <v>375</v>
      </c>
      <c r="O400" s="186">
        <f>IFERROR(__xludf.DUMMYFUNCTION("""COMPUTED_VALUE"""),343.0)</f>
        <v>343</v>
      </c>
      <c r="P400" s="186">
        <f>IFERROR(__xludf.DUMMYFUNCTION("""COMPUTED_VALUE"""),348.0)</f>
        <v>348</v>
      </c>
      <c r="Q400" s="186">
        <f>IFERROR(__xludf.DUMMYFUNCTION("""COMPUTED_VALUE"""),363.0)</f>
        <v>363</v>
      </c>
      <c r="R400" s="186"/>
      <c r="S400" s="189">
        <f>IFERROR(__xludf.DUMMYFUNCTION("""COMPUTED_VALUE"""),488.0)</f>
        <v>488</v>
      </c>
    </row>
    <row r="401">
      <c r="A401" s="186" t="str">
        <f>IFERROR(__xludf.DUMMYFUNCTION("""COMPUTED_VALUE"""),"DE")</f>
        <v>DE</v>
      </c>
      <c r="B401" s="186" t="str">
        <f>IFERROR(__xludf.DUMMYFUNCTION("""COMPUTED_VALUE"""),"W03")</f>
        <v>W03</v>
      </c>
      <c r="C401" s="186">
        <f>IFERROR(__xludf.DUMMYFUNCTION("""COMPUTED_VALUE"""),806.0)</f>
        <v>806</v>
      </c>
      <c r="D401" s="186" t="str">
        <f>IFERROR(__xludf.DUMMYFUNCTION("""COMPUTED_VALUE"""),"PTN-00-136930-3")</f>
        <v>PTN-00-136930-3</v>
      </c>
      <c r="E401" s="186" t="str">
        <f>IFERROR(__xludf.DUMMYFUNCTION("""COMPUTED_VALUE"""),"Garlic Herb Grilled Chicken")</f>
        <v>Garlic Herb Grilled Chicken</v>
      </c>
      <c r="F401" s="186" t="str">
        <f>IFERROR(__xludf.DUMMYFUNCTION("""COMPUTED_VALUE"""),"Gegrilltes Hähnchen mit Knoblauch-Kräutern")</f>
        <v>Gegrilltes Hähnchen mit Knoblauch-Kräutern</v>
      </c>
      <c r="G401" s="186" t="str">
        <f>IFERROR(__xludf.DUMMYFUNCTION("""COMPUTED_VALUE"""),"FEA006A")</f>
        <v>FEA006A</v>
      </c>
      <c r="H401" s="186">
        <f>IFERROR(__xludf.DUMMYFUNCTION("""COMPUTED_VALUE"""),565119.0)</f>
        <v>565119</v>
      </c>
      <c r="I401" s="186"/>
      <c r="J401" s="186">
        <f>IFERROR(__xludf.DUMMYFUNCTION("""COMPUTED_VALUE"""),79.0)</f>
        <v>79</v>
      </c>
      <c r="K401" s="186">
        <f>IFERROR(__xludf.DUMMYFUNCTION("""COMPUTED_VALUE"""),79.0)</f>
        <v>79</v>
      </c>
      <c r="L401" s="186">
        <f>IFERROR(__xludf.DUMMYFUNCTION("""COMPUTED_VALUE"""),79.0)</f>
        <v>79</v>
      </c>
      <c r="M401" s="186">
        <f>IFERROR(__xludf.DUMMYFUNCTION("""COMPUTED_VALUE"""),79.0)</f>
        <v>79</v>
      </c>
      <c r="N401" s="186">
        <f>IFERROR(__xludf.DUMMYFUNCTION("""COMPUTED_VALUE"""),79.0)</f>
        <v>79</v>
      </c>
      <c r="O401" s="186">
        <f>IFERROR(__xludf.DUMMYFUNCTION("""COMPUTED_VALUE"""),79.0)</f>
        <v>79</v>
      </c>
      <c r="P401" s="186">
        <f>IFERROR(__xludf.DUMMYFUNCTION("""COMPUTED_VALUE"""),79.0)</f>
        <v>79</v>
      </c>
      <c r="Q401" s="186">
        <f>IFERROR(__xludf.DUMMYFUNCTION("""COMPUTED_VALUE"""),79.0)</f>
        <v>79</v>
      </c>
      <c r="R401" s="186"/>
      <c r="S401" s="189">
        <f>IFERROR(__xludf.DUMMYFUNCTION("""COMPUTED_VALUE"""),54.0)</f>
        <v>54</v>
      </c>
    </row>
    <row r="402">
      <c r="A402" s="186" t="str">
        <f>IFERROR(__xludf.DUMMYFUNCTION("""COMPUTED_VALUE"""),"DE")</f>
        <v>DE</v>
      </c>
      <c r="B402" s="186" t="str">
        <f>IFERROR(__xludf.DUMMYFUNCTION("""COMPUTED_VALUE"""),"W03")</f>
        <v>W03</v>
      </c>
      <c r="C402" s="186"/>
      <c r="D402" s="186"/>
      <c r="E402" s="186"/>
      <c r="F402" s="186"/>
      <c r="G402" s="186"/>
      <c r="H402" s="186"/>
      <c r="I402" s="186"/>
      <c r="J402" s="189">
        <f>IFERROR(__xludf.DUMMYFUNCTION("""COMPUTED_VALUE"""),20075.0)</f>
        <v>20075</v>
      </c>
      <c r="K402" s="189">
        <f>IFERROR(__xludf.DUMMYFUNCTION("""COMPUTED_VALUE"""),21386.0)</f>
        <v>21386</v>
      </c>
      <c r="L402" s="189">
        <f>IFERROR(__xludf.DUMMYFUNCTION("""COMPUTED_VALUE"""),19140.0)</f>
        <v>19140</v>
      </c>
      <c r="M402" s="189">
        <f>IFERROR(__xludf.DUMMYFUNCTION("""COMPUTED_VALUE"""),20170.0)</f>
        <v>20170</v>
      </c>
      <c r="N402" s="189">
        <f>IFERROR(__xludf.DUMMYFUNCTION("""COMPUTED_VALUE"""),20238.0)</f>
        <v>20238</v>
      </c>
      <c r="O402" s="189">
        <f>IFERROR(__xludf.DUMMYFUNCTION("""COMPUTED_VALUE"""),19552.0)</f>
        <v>19552</v>
      </c>
      <c r="P402" s="189">
        <f>IFERROR(__xludf.DUMMYFUNCTION("""COMPUTED_VALUE"""),19844.0)</f>
        <v>19844</v>
      </c>
      <c r="Q402" s="189">
        <f>IFERROR(__xludf.DUMMYFUNCTION("""COMPUTED_VALUE"""),19821.0)</f>
        <v>19821</v>
      </c>
      <c r="R402" s="189">
        <f>IFERROR(__xludf.DUMMYFUNCTION("""COMPUTED_VALUE"""),0.0)</f>
        <v>0</v>
      </c>
      <c r="S402" s="189">
        <f>IFERROR(__xludf.DUMMYFUNCTION("""COMPUTED_VALUE"""),23294.0)</f>
        <v>23294</v>
      </c>
    </row>
    <row r="403">
      <c r="A403" s="186" t="str">
        <f>IFERROR(__xludf.DUMMYFUNCTION("""COMPUTED_VALUE"""),"NORDICS")</f>
        <v>NORDICS</v>
      </c>
      <c r="B403" s="186" t="str">
        <f>IFERROR(__xludf.DUMMYFUNCTION("""COMPUTED_VALUE"""),"W04")</f>
        <v>W04</v>
      </c>
      <c r="C403" s="186">
        <f>IFERROR(__xludf.DUMMYFUNCTION("""COMPUTED_VALUE"""),301.0)</f>
        <v>301</v>
      </c>
      <c r="D403" s="186" t="str">
        <f>IFERROR(__xludf.DUMMYFUNCTION("""COMPUTED_VALUE"""),"CON-00-147840-2")</f>
        <v>CON-00-147840-2</v>
      </c>
      <c r="E403" s="186" t="str">
        <f>IFERROR(__xludf.DUMMYFUNCTION("""COMPUTED_VALUE"""),"Grilled chicken fillet and potato leek mash")</f>
        <v>Grilled chicken fillet and potato leek mash</v>
      </c>
      <c r="F403" s="186" t="str">
        <f>IFERROR(__xludf.DUMMYFUNCTION("""COMPUTED_VALUE"""),"Grillet kyllingefilet og kartoffel-porremos")</f>
        <v>Grillet kyllingefilet og kartoffel-porremos</v>
      </c>
      <c r="G403" s="186" t="str">
        <f>IFERROR(__xludf.DUMMYFUNCTION("""COMPUTED_VALUE"""),"FE0426B")</f>
        <v>FE0426B</v>
      </c>
      <c r="H403" s="186">
        <f>IFERROR(__xludf.DUMMYFUNCTION("""COMPUTED_VALUE"""),565035.0)</f>
        <v>565035</v>
      </c>
      <c r="I403" s="186" t="str">
        <f>IFERROR(__xludf.DUMMYFUNCTION("""COMPUTED_VALUE"""),"HF Puree van aardappel en prei met gegrilde kip 416g")</f>
        <v>HF Puree van aardappel en prei met gegrilde kip 416g</v>
      </c>
      <c r="J403" s="189">
        <f>IFERROR(__xludf.DUMMYFUNCTION("""COMPUTED_VALUE"""),3222.0)</f>
        <v>3222</v>
      </c>
      <c r="K403" s="189">
        <f>IFERROR(__xludf.DUMMYFUNCTION("""COMPUTED_VALUE"""),2875.0)</f>
        <v>2875</v>
      </c>
      <c r="L403" s="189">
        <f>IFERROR(__xludf.DUMMYFUNCTION("""COMPUTED_VALUE"""),3393.0)</f>
        <v>3393</v>
      </c>
      <c r="M403" s="189">
        <f>IFERROR(__xludf.DUMMYFUNCTION("""COMPUTED_VALUE"""),4453.0)</f>
        <v>4453</v>
      </c>
      <c r="N403" s="189">
        <f>IFERROR(__xludf.DUMMYFUNCTION("""COMPUTED_VALUE"""),5118.0)</f>
        <v>5118</v>
      </c>
      <c r="O403" s="189">
        <f>IFERROR(__xludf.DUMMYFUNCTION("""COMPUTED_VALUE"""),5032.0)</f>
        <v>5032</v>
      </c>
      <c r="P403" s="189">
        <f>IFERROR(__xludf.DUMMYFUNCTION("""COMPUTED_VALUE"""),5074.0)</f>
        <v>5074</v>
      </c>
      <c r="Q403" s="189">
        <f>IFERROR(__xludf.DUMMYFUNCTION("""COMPUTED_VALUE"""),5199.0)</f>
        <v>5199</v>
      </c>
      <c r="R403" s="186"/>
      <c r="S403" s="189">
        <f>IFERROR(__xludf.DUMMYFUNCTION("""COMPUTED_VALUE"""),4614.0)</f>
        <v>4614</v>
      </c>
    </row>
    <row r="404">
      <c r="A404" s="186" t="str">
        <f>IFERROR(__xludf.DUMMYFUNCTION("""COMPUTED_VALUE"""),"NORDICS")</f>
        <v>NORDICS</v>
      </c>
      <c r="B404" s="186" t="str">
        <f>IFERROR(__xludf.DUMMYFUNCTION("""COMPUTED_VALUE"""),"W04")</f>
        <v>W04</v>
      </c>
      <c r="C404" s="186">
        <f>IFERROR(__xludf.DUMMYFUNCTION("""COMPUTED_VALUE"""),302.0)</f>
        <v>302</v>
      </c>
      <c r="D404" s="186" t="str">
        <f>IFERROR(__xludf.DUMMYFUNCTION("""COMPUTED_VALUE"""),"CON-00-147878-2")</f>
        <v>CON-00-147878-2</v>
      </c>
      <c r="E404" s="186" t="str">
        <f>IFERROR(__xludf.DUMMYFUNCTION("""COMPUTED_VALUE"""),"Grilled chicken and ratatouille")</f>
        <v>Grilled chicken and ratatouille</v>
      </c>
      <c r="F404" s="186" t="str">
        <f>IFERROR(__xludf.DUMMYFUNCTION("""COMPUTED_VALUE"""),"Grillet kylling og ratatouille")</f>
        <v>Grillet kylling og ratatouille</v>
      </c>
      <c r="G404" s="186" t="str">
        <f>IFERROR(__xludf.DUMMYFUNCTION("""COMPUTED_VALUE"""),"FE4015A")</f>
        <v>FE4015A</v>
      </c>
      <c r="H404" s="186">
        <f>IFERROR(__xludf.DUMMYFUNCTION("""COMPUTED_VALUE"""),565072.0)</f>
        <v>565072</v>
      </c>
      <c r="I404" s="186" t="str">
        <f>IFERROR(__xludf.DUMMYFUNCTION("""COMPUTED_VALUE"""),"HF Gegrilde kipfilet en ratatouille 429g")</f>
        <v>HF Gegrilde kipfilet en ratatouille 429g</v>
      </c>
      <c r="J404" s="189">
        <f>IFERROR(__xludf.DUMMYFUNCTION("""COMPUTED_VALUE"""),2103.0)</f>
        <v>2103</v>
      </c>
      <c r="K404" s="189">
        <f>IFERROR(__xludf.DUMMYFUNCTION("""COMPUTED_VALUE"""),1810.0)</f>
        <v>1810</v>
      </c>
      <c r="L404" s="189">
        <f>IFERROR(__xludf.DUMMYFUNCTION("""COMPUTED_VALUE"""),2312.0)</f>
        <v>2312</v>
      </c>
      <c r="M404" s="189">
        <f>IFERROR(__xludf.DUMMYFUNCTION("""COMPUTED_VALUE"""),2707.0)</f>
        <v>2707</v>
      </c>
      <c r="N404" s="189">
        <f>IFERROR(__xludf.DUMMYFUNCTION("""COMPUTED_VALUE"""),3078.0)</f>
        <v>3078</v>
      </c>
      <c r="O404" s="189">
        <f>IFERROR(__xludf.DUMMYFUNCTION("""COMPUTED_VALUE"""),3036.0)</f>
        <v>3036</v>
      </c>
      <c r="P404" s="189">
        <f>IFERROR(__xludf.DUMMYFUNCTION("""COMPUTED_VALUE"""),3047.0)</f>
        <v>3047</v>
      </c>
      <c r="Q404" s="189">
        <f>IFERROR(__xludf.DUMMYFUNCTION("""COMPUTED_VALUE"""),3115.0)</f>
        <v>3115</v>
      </c>
      <c r="R404" s="186"/>
      <c r="S404" s="189">
        <f>IFERROR(__xludf.DUMMYFUNCTION("""COMPUTED_VALUE"""),2793.0)</f>
        <v>2793</v>
      </c>
    </row>
    <row r="405">
      <c r="A405" s="186" t="str">
        <f>IFERROR(__xludf.DUMMYFUNCTION("""COMPUTED_VALUE"""),"NORDICS")</f>
        <v>NORDICS</v>
      </c>
      <c r="B405" s="186" t="str">
        <f>IFERROR(__xludf.DUMMYFUNCTION("""COMPUTED_VALUE"""),"W04")</f>
        <v>W04</v>
      </c>
      <c r="C405" s="186">
        <f>IFERROR(__xludf.DUMMYFUNCTION("""COMPUTED_VALUE"""),303.0)</f>
        <v>303</v>
      </c>
      <c r="D405" s="186" t="str">
        <f>IFERROR(__xludf.DUMMYFUNCTION("""COMPUTED_VALUE"""),"CON-00-147860-2")</f>
        <v>CON-00-147860-2</v>
      </c>
      <c r="E405" s="186" t="str">
        <f>IFERROR(__xludf.DUMMYFUNCTION("""COMPUTED_VALUE"""),"Courgette-spaghetti bolognese")</f>
        <v>Courgette-spaghetti bolognese</v>
      </c>
      <c r="F405" s="186" t="str">
        <f>IFERROR(__xludf.DUMMYFUNCTION("""COMPUTED_VALUE"""),"Squash-spaghetti bolognese")</f>
        <v>Squash-spaghetti bolognese</v>
      </c>
      <c r="G405" s="186" t="str">
        <f>IFERROR(__xludf.DUMMYFUNCTION("""COMPUTED_VALUE"""),"FE0849A")</f>
        <v>FE0849A</v>
      </c>
      <c r="H405" s="186">
        <f>IFERROR(__xludf.DUMMYFUNCTION("""COMPUTED_VALUE"""),565060.0)</f>
        <v>565060</v>
      </c>
      <c r="I405" s="186" t="str">
        <f>IFERROR(__xludf.DUMMYFUNCTION("""COMPUTED_VALUE"""),"HF Courgette-spaghetti bolognese 352g")</f>
        <v>HF Courgette-spaghetti bolognese 352g</v>
      </c>
      <c r="J405" s="189">
        <f>IFERROR(__xludf.DUMMYFUNCTION("""COMPUTED_VALUE"""),2061.0)</f>
        <v>2061</v>
      </c>
      <c r="K405" s="189">
        <f>IFERROR(__xludf.DUMMYFUNCTION("""COMPUTED_VALUE"""),1975.0)</f>
        <v>1975</v>
      </c>
      <c r="L405" s="189">
        <f>IFERROR(__xludf.DUMMYFUNCTION("""COMPUTED_VALUE"""),2709.0)</f>
        <v>2709</v>
      </c>
      <c r="M405" s="189">
        <f>IFERROR(__xludf.DUMMYFUNCTION("""COMPUTED_VALUE"""),3225.0)</f>
        <v>3225</v>
      </c>
      <c r="N405" s="189">
        <f>IFERROR(__xludf.DUMMYFUNCTION("""COMPUTED_VALUE"""),3664.0)</f>
        <v>3664</v>
      </c>
      <c r="O405" s="189">
        <f>IFERROR(__xludf.DUMMYFUNCTION("""COMPUTED_VALUE"""),3563.0)</f>
        <v>3563</v>
      </c>
      <c r="P405" s="189">
        <f>IFERROR(__xludf.DUMMYFUNCTION("""COMPUTED_VALUE"""),3561.0)</f>
        <v>3561</v>
      </c>
      <c r="Q405" s="189">
        <f>IFERROR(__xludf.DUMMYFUNCTION("""COMPUTED_VALUE"""),3616.0)</f>
        <v>3616</v>
      </c>
      <c r="R405" s="186"/>
      <c r="S405" s="189">
        <f>IFERROR(__xludf.DUMMYFUNCTION("""COMPUTED_VALUE"""),3209.0)</f>
        <v>3209</v>
      </c>
    </row>
    <row r="406">
      <c r="A406" s="186" t="str">
        <f>IFERROR(__xludf.DUMMYFUNCTION("""COMPUTED_VALUE"""),"NORDICS")</f>
        <v>NORDICS</v>
      </c>
      <c r="B406" s="186" t="str">
        <f>IFERROR(__xludf.DUMMYFUNCTION("""COMPUTED_VALUE"""),"W04")</f>
        <v>W04</v>
      </c>
      <c r="C406" s="186">
        <f>IFERROR(__xludf.DUMMYFUNCTION("""COMPUTED_VALUE"""),304.0)</f>
        <v>304</v>
      </c>
      <c r="D406" s="186" t="str">
        <f>IFERROR(__xludf.DUMMYFUNCTION("""COMPUTED_VALUE"""),"CON-00-147898-2")</f>
        <v>CON-00-147898-2</v>
      </c>
      <c r="E406" s="186" t="str">
        <f>IFERROR(__xludf.DUMMYFUNCTION("""COMPUTED_VALUE"""),"Salmon on tomato risotto")</f>
        <v>Salmon on tomato risotto</v>
      </c>
      <c r="F406" s="186" t="str">
        <f>IFERROR(__xludf.DUMMYFUNCTION("""COMPUTED_VALUE"""),"Laks på tomatrisotto")</f>
        <v>Laks på tomatrisotto</v>
      </c>
      <c r="G406" s="186" t="str">
        <f>IFERROR(__xludf.DUMMYFUNCTION("""COMPUTED_VALUE"""),"FE4044C")</f>
        <v>FE4044C</v>
      </c>
      <c r="H406" s="186">
        <f>IFERROR(__xludf.DUMMYFUNCTION("""COMPUTED_VALUE"""),565104.0)</f>
        <v>565104</v>
      </c>
      <c r="I406" s="186" t="str">
        <f>IFERROR(__xludf.DUMMYFUNCTION("""COMPUTED_VALUE"""),"HF Zalm op tomatenrisotto")</f>
        <v>HF Zalm op tomatenrisotto</v>
      </c>
      <c r="J406" s="189">
        <f>IFERROR(__xludf.DUMMYFUNCTION("""COMPUTED_VALUE"""),2850.0)</f>
        <v>2850</v>
      </c>
      <c r="K406" s="189">
        <f>IFERROR(__xludf.DUMMYFUNCTION("""COMPUTED_VALUE"""),2001.0)</f>
        <v>2001</v>
      </c>
      <c r="L406" s="189">
        <f>IFERROR(__xludf.DUMMYFUNCTION("""COMPUTED_VALUE"""),1699.0)</f>
        <v>1699</v>
      </c>
      <c r="M406" s="189">
        <f>IFERROR(__xludf.DUMMYFUNCTION("""COMPUTED_VALUE"""),2110.0)</f>
        <v>2110</v>
      </c>
      <c r="N406" s="189">
        <f>IFERROR(__xludf.DUMMYFUNCTION("""COMPUTED_VALUE"""),2381.0)</f>
        <v>2381</v>
      </c>
      <c r="O406" s="189">
        <f>IFERROR(__xludf.DUMMYFUNCTION("""COMPUTED_VALUE"""),2375.0)</f>
        <v>2375</v>
      </c>
      <c r="P406" s="189">
        <f>IFERROR(__xludf.DUMMYFUNCTION("""COMPUTED_VALUE"""),2331.0)</f>
        <v>2331</v>
      </c>
      <c r="Q406" s="189">
        <f>IFERROR(__xludf.DUMMYFUNCTION("""COMPUTED_VALUE"""),2384.0)</f>
        <v>2384</v>
      </c>
      <c r="R406" s="186"/>
      <c r="S406" s="189">
        <f>IFERROR(__xludf.DUMMYFUNCTION("""COMPUTED_VALUE"""),2061.0)</f>
        <v>2061</v>
      </c>
    </row>
    <row r="407">
      <c r="A407" s="186" t="str">
        <f>IFERROR(__xludf.DUMMYFUNCTION("""COMPUTED_VALUE"""),"NORDICS")</f>
        <v>NORDICS</v>
      </c>
      <c r="B407" s="186" t="str">
        <f>IFERROR(__xludf.DUMMYFUNCTION("""COMPUTED_VALUE"""),"W04")</f>
        <v>W04</v>
      </c>
      <c r="C407" s="186">
        <f>IFERROR(__xludf.DUMMYFUNCTION("""COMPUTED_VALUE"""),305.0)</f>
        <v>305</v>
      </c>
      <c r="D407" s="186" t="str">
        <f>IFERROR(__xludf.DUMMYFUNCTION("""COMPUTED_VALUE"""),"CON-00-147827-2")</f>
        <v>CON-00-147827-2</v>
      </c>
      <c r="E407" s="186" t="str">
        <f>IFERROR(__xludf.DUMMYFUNCTION("""COMPUTED_VALUE"""),"Chicken à la Florentine")</f>
        <v>Chicken à la Florentine</v>
      </c>
      <c r="F407" s="186" t="str">
        <f>IFERROR(__xludf.DUMMYFUNCTION("""COMPUTED_VALUE"""),"Kylling à la Florentine")</f>
        <v>Kylling à la Florentine</v>
      </c>
      <c r="G407" s="186" t="str">
        <f>IFERROR(__xludf.DUMMYFUNCTION("""COMPUTED_VALUE"""),"FE0224C")</f>
        <v>FE0224C</v>
      </c>
      <c r="H407" s="186">
        <f>IFERROR(__xludf.DUMMYFUNCTION("""COMPUTED_VALUE"""),565047.0)</f>
        <v>565047</v>
      </c>
      <c r="I407" s="186" t="str">
        <f>IFERROR(__xludf.DUMMYFUNCTION("""COMPUTED_VALUE"""),"HF Kip Florentine 404g")</f>
        <v>HF Kip Florentine 404g</v>
      </c>
      <c r="J407" s="189">
        <f>IFERROR(__xludf.DUMMYFUNCTION("""COMPUTED_VALUE"""),2249.0)</f>
        <v>2249</v>
      </c>
      <c r="K407" s="189">
        <f>IFERROR(__xludf.DUMMYFUNCTION("""COMPUTED_VALUE"""),1532.0)</f>
        <v>1532</v>
      </c>
      <c r="L407" s="189">
        <f>IFERROR(__xludf.DUMMYFUNCTION("""COMPUTED_VALUE"""),1467.0)</f>
        <v>1467</v>
      </c>
      <c r="M407" s="189">
        <f>IFERROR(__xludf.DUMMYFUNCTION("""COMPUTED_VALUE"""),2030.0)</f>
        <v>2030</v>
      </c>
      <c r="N407" s="189">
        <f>IFERROR(__xludf.DUMMYFUNCTION("""COMPUTED_VALUE"""),2286.0)</f>
        <v>2286</v>
      </c>
      <c r="O407" s="189">
        <f>IFERROR(__xludf.DUMMYFUNCTION("""COMPUTED_VALUE"""),2375.0)</f>
        <v>2375</v>
      </c>
      <c r="P407" s="189">
        <f>IFERROR(__xludf.DUMMYFUNCTION("""COMPUTED_VALUE"""),2425.0)</f>
        <v>2425</v>
      </c>
      <c r="Q407" s="189">
        <f>IFERROR(__xludf.DUMMYFUNCTION("""COMPUTED_VALUE"""),2520.0)</f>
        <v>2520</v>
      </c>
      <c r="R407" s="186"/>
      <c r="S407" s="189">
        <f>IFERROR(__xludf.DUMMYFUNCTION("""COMPUTED_VALUE"""),2296.0)</f>
        <v>2296</v>
      </c>
    </row>
    <row r="408">
      <c r="A408" s="186" t="str">
        <f>IFERROR(__xludf.DUMMYFUNCTION("""COMPUTED_VALUE"""),"NORDICS")</f>
        <v>NORDICS</v>
      </c>
      <c r="B408" s="186" t="str">
        <f>IFERROR(__xludf.DUMMYFUNCTION("""COMPUTED_VALUE"""),"W04")</f>
        <v>W04</v>
      </c>
      <c r="C408" s="186">
        <f>IFERROR(__xludf.DUMMYFUNCTION("""COMPUTED_VALUE"""),306.0)</f>
        <v>306</v>
      </c>
      <c r="D408" s="186" t="str">
        <f>IFERROR(__xludf.DUMMYFUNCTION("""COMPUTED_VALUE"""),"CON-00-147814-2")</f>
        <v>CON-00-147814-2</v>
      </c>
      <c r="E408" s="186" t="str">
        <f>IFERROR(__xludf.DUMMYFUNCTION("""COMPUTED_VALUE"""),"Salmon on cheesy cauliflower rice")</f>
        <v>Salmon on cheesy cauliflower rice</v>
      </c>
      <c r="F408" s="186" t="str">
        <f>IFERROR(__xludf.DUMMYFUNCTION("""COMPUTED_VALUE"""),"Laks og ostegratineret blomkålsris")</f>
        <v>Laks og ostegratineret blomkålsris</v>
      </c>
      <c r="G408" s="186" t="str">
        <f>IFERROR(__xludf.DUMMYFUNCTION("""COMPUTED_VALUE"""),"FE0036E")</f>
        <v>FE0036E</v>
      </c>
      <c r="H408" s="186">
        <f>IFERROR(__xludf.DUMMYFUNCTION("""COMPUTED_VALUE"""),565042.0)</f>
        <v>565042</v>
      </c>
      <c r="I408" s="186" t="str">
        <f>IFERROR(__xludf.DUMMYFUNCTION("""COMPUTED_VALUE"""),"HF Zalm+cheesy bloemk rijst")</f>
        <v>HF Zalm+cheesy bloemk rijst</v>
      </c>
      <c r="J408" s="189">
        <f>IFERROR(__xludf.DUMMYFUNCTION("""COMPUTED_VALUE"""),1532.0)</f>
        <v>1532</v>
      </c>
      <c r="K408" s="189">
        <f>IFERROR(__xludf.DUMMYFUNCTION("""COMPUTED_VALUE"""),1393.0)</f>
        <v>1393</v>
      </c>
      <c r="L408" s="189">
        <f>IFERROR(__xludf.DUMMYFUNCTION("""COMPUTED_VALUE"""),1460.0)</f>
        <v>1460</v>
      </c>
      <c r="M408" s="189">
        <f>IFERROR(__xludf.DUMMYFUNCTION("""COMPUTED_VALUE"""),1765.0)</f>
        <v>1765</v>
      </c>
      <c r="N408" s="189">
        <f>IFERROR(__xludf.DUMMYFUNCTION("""COMPUTED_VALUE"""),2020.0)</f>
        <v>2020</v>
      </c>
      <c r="O408" s="189">
        <f>IFERROR(__xludf.DUMMYFUNCTION("""COMPUTED_VALUE"""),2117.0)</f>
        <v>2117</v>
      </c>
      <c r="P408" s="189">
        <f>IFERROR(__xludf.DUMMYFUNCTION("""COMPUTED_VALUE"""),2101.0)</f>
        <v>2101</v>
      </c>
      <c r="Q408" s="189">
        <f>IFERROR(__xludf.DUMMYFUNCTION("""COMPUTED_VALUE"""),2176.0)</f>
        <v>2176</v>
      </c>
      <c r="R408" s="186"/>
      <c r="S408" s="189">
        <f>IFERROR(__xludf.DUMMYFUNCTION("""COMPUTED_VALUE"""),1954.0)</f>
        <v>1954</v>
      </c>
    </row>
    <row r="409">
      <c r="A409" s="186" t="str">
        <f>IFERROR(__xludf.DUMMYFUNCTION("""COMPUTED_VALUE"""),"NORDICS")</f>
        <v>NORDICS</v>
      </c>
      <c r="B409" s="186" t="str">
        <f>IFERROR(__xludf.DUMMYFUNCTION("""COMPUTED_VALUE"""),"W04")</f>
        <v>W04</v>
      </c>
      <c r="C409" s="186">
        <f>IFERROR(__xludf.DUMMYFUNCTION("""COMPUTED_VALUE"""),307.0)</f>
        <v>307</v>
      </c>
      <c r="D409" s="186" t="str">
        <f>IFERROR(__xludf.DUMMYFUNCTION("""COMPUTED_VALUE"""),"CON-00-147844-2")</f>
        <v>CON-00-147844-2</v>
      </c>
      <c r="E409" s="186" t="str">
        <f>IFERROR(__xludf.DUMMYFUNCTION("""COMPUTED_VALUE"""),"Indian style butter chicken")</f>
        <v>Indian style butter chicken</v>
      </c>
      <c r="F409" s="186" t="str">
        <f>IFERROR(__xludf.DUMMYFUNCTION("""COMPUTED_VALUE"""),"Indisk-inspireret butter chicken")</f>
        <v>Indisk-inspireret butter chicken</v>
      </c>
      <c r="G409" s="186" t="str">
        <f>IFERROR(__xludf.DUMMYFUNCTION("""COMPUTED_VALUE"""),"FE0472B")</f>
        <v>FE0472B</v>
      </c>
      <c r="H409" s="186">
        <f>IFERROR(__xludf.DUMMYFUNCTION("""COMPUTED_VALUE"""),565145.0)</f>
        <v>565145</v>
      </c>
      <c r="I409" s="186" t="str">
        <f>IFERROR(__xludf.DUMMYFUNCTION("""COMPUTED_VALUE"""),"HF RW Butter Chicken")</f>
        <v>HF RW Butter Chicken</v>
      </c>
      <c r="J409" s="189">
        <f>IFERROR(__xludf.DUMMYFUNCTION("""COMPUTED_VALUE"""),1123.0)</f>
        <v>1123</v>
      </c>
      <c r="K409" s="189">
        <f>IFERROR(__xludf.DUMMYFUNCTION("""COMPUTED_VALUE"""),1011.0)</f>
        <v>1011</v>
      </c>
      <c r="L409" s="189">
        <f>IFERROR(__xludf.DUMMYFUNCTION("""COMPUTED_VALUE"""),1504.0)</f>
        <v>1504</v>
      </c>
      <c r="M409" s="189">
        <f>IFERROR(__xludf.DUMMYFUNCTION("""COMPUTED_VALUE"""),1853.0)</f>
        <v>1853</v>
      </c>
      <c r="N409" s="189">
        <f>IFERROR(__xludf.DUMMYFUNCTION("""COMPUTED_VALUE"""),2028.0)</f>
        <v>2028</v>
      </c>
      <c r="O409" s="189">
        <f>IFERROR(__xludf.DUMMYFUNCTION("""COMPUTED_VALUE"""),2037.0)</f>
        <v>2037</v>
      </c>
      <c r="P409" s="189">
        <f>IFERROR(__xludf.DUMMYFUNCTION("""COMPUTED_VALUE"""),1990.0)</f>
        <v>1990</v>
      </c>
      <c r="Q409" s="189">
        <f>IFERROR(__xludf.DUMMYFUNCTION("""COMPUTED_VALUE"""),2013.0)</f>
        <v>2013</v>
      </c>
      <c r="R409" s="186"/>
      <c r="S409" s="189">
        <f>IFERROR(__xludf.DUMMYFUNCTION("""COMPUTED_VALUE"""),1812.0)</f>
        <v>1812</v>
      </c>
    </row>
    <row r="410">
      <c r="A410" s="186" t="str">
        <f>IFERROR(__xludf.DUMMYFUNCTION("""COMPUTED_VALUE"""),"NORDICS")</f>
        <v>NORDICS</v>
      </c>
      <c r="B410" s="186" t="str">
        <f>IFERROR(__xludf.DUMMYFUNCTION("""COMPUTED_VALUE"""),"W04")</f>
        <v>W04</v>
      </c>
      <c r="C410" s="186">
        <f>IFERROR(__xludf.DUMMYFUNCTION("""COMPUTED_VALUE"""),308.0)</f>
        <v>308</v>
      </c>
      <c r="D410" s="186" t="str">
        <f>IFERROR(__xludf.DUMMYFUNCTION("""COMPUTED_VALUE"""),"CON-00-147894-2")</f>
        <v>CON-00-147894-2</v>
      </c>
      <c r="E410" s="186" t="str">
        <f>IFERROR(__xludf.DUMMYFUNCTION("""COMPUTED_VALUE"""),"Chicken in mushroom sauce")</f>
        <v>Chicken in mushroom sauce</v>
      </c>
      <c r="F410" s="186" t="str">
        <f>IFERROR(__xludf.DUMMYFUNCTION("""COMPUTED_VALUE"""),"Kylling i svampesauce     ")</f>
        <v>Kylling i svampesauce     </v>
      </c>
      <c r="G410" s="186" t="str">
        <f>IFERROR(__xludf.DUMMYFUNCTION("""COMPUTED_VALUE"""),"FE4038B")</f>
        <v>FE4038B</v>
      </c>
      <c r="H410" s="186">
        <f>IFERROR(__xludf.DUMMYFUNCTION("""COMPUTED_VALUE"""),565160.0)</f>
        <v>565160</v>
      </c>
      <c r="I410" s="186"/>
      <c r="J410" s="189">
        <f>IFERROR(__xludf.DUMMYFUNCTION("""COMPUTED_VALUE"""),1487.0)</f>
        <v>1487</v>
      </c>
      <c r="K410" s="189">
        <f>IFERROR(__xludf.DUMMYFUNCTION("""COMPUTED_VALUE"""),1338.0)</f>
        <v>1338</v>
      </c>
      <c r="L410" s="189">
        <f>IFERROR(__xludf.DUMMYFUNCTION("""COMPUTED_VALUE"""),1386.0)</f>
        <v>1386</v>
      </c>
      <c r="M410" s="189">
        <f>IFERROR(__xludf.DUMMYFUNCTION("""COMPUTED_VALUE"""),1532.0)</f>
        <v>1532</v>
      </c>
      <c r="N410" s="189">
        <f>IFERROR(__xludf.DUMMYFUNCTION("""COMPUTED_VALUE"""),1692.0)</f>
        <v>1692</v>
      </c>
      <c r="O410" s="189">
        <f>IFERROR(__xludf.DUMMYFUNCTION("""COMPUTED_VALUE"""),1820.0)</f>
        <v>1820</v>
      </c>
      <c r="P410" s="189">
        <f>IFERROR(__xludf.DUMMYFUNCTION("""COMPUTED_VALUE"""),1827.0)</f>
        <v>1827</v>
      </c>
      <c r="Q410" s="189">
        <f>IFERROR(__xludf.DUMMYFUNCTION("""COMPUTED_VALUE"""),1856.0)</f>
        <v>1856</v>
      </c>
      <c r="R410" s="186"/>
      <c r="S410" s="189">
        <f>IFERROR(__xludf.DUMMYFUNCTION("""COMPUTED_VALUE"""),1707.0)</f>
        <v>1707</v>
      </c>
    </row>
    <row r="411">
      <c r="A411" s="186" t="str">
        <f>IFERROR(__xludf.DUMMYFUNCTION("""COMPUTED_VALUE"""),"NORDICS")</f>
        <v>NORDICS</v>
      </c>
      <c r="B411" s="186" t="str">
        <f>IFERROR(__xludf.DUMMYFUNCTION("""COMPUTED_VALUE"""),"W04")</f>
        <v>W04</v>
      </c>
      <c r="C411" s="186">
        <f>IFERROR(__xludf.DUMMYFUNCTION("""COMPUTED_VALUE"""),309.0)</f>
        <v>309</v>
      </c>
      <c r="D411" s="186" t="str">
        <f>IFERROR(__xludf.DUMMYFUNCTION("""COMPUTED_VALUE"""),"CON-00-147816-2")</f>
        <v>CON-00-147816-2</v>
      </c>
      <c r="E411" s="186" t="str">
        <f>IFERROR(__xludf.DUMMYFUNCTION("""COMPUTED_VALUE"""),"Creamy tomato risotto")</f>
        <v>Creamy tomato risotto</v>
      </c>
      <c r="F411" s="186" t="str">
        <f>IFERROR(__xludf.DUMMYFUNCTION("""COMPUTED_VALUE"""),"Cremet tomatrisotto")</f>
        <v>Cremet tomatrisotto</v>
      </c>
      <c r="G411" s="186" t="str">
        <f>IFERROR(__xludf.DUMMYFUNCTION("""COMPUTED_VALUE"""),"FE0031C")</f>
        <v>FE0031C</v>
      </c>
      <c r="H411" s="186">
        <f>IFERROR(__xludf.DUMMYFUNCTION("""COMPUTED_VALUE"""),565244.0)</f>
        <v>565244</v>
      </c>
      <c r="I411" s="186" t="str">
        <f>IFERROR(__xludf.DUMMYFUNCTION("""COMPUTED_VALUE"""),"IO HF Romige tomatenrisotto V2")</f>
        <v>IO HF Romige tomatenrisotto V2</v>
      </c>
      <c r="J411" s="189">
        <f>IFERROR(__xludf.DUMMYFUNCTION("""COMPUTED_VALUE"""),293.0)</f>
        <v>293</v>
      </c>
      <c r="K411" s="189">
        <f>IFERROR(__xludf.DUMMYFUNCTION("""COMPUTED_VALUE"""),241.0)</f>
        <v>241</v>
      </c>
      <c r="L411" s="189">
        <f>IFERROR(__xludf.DUMMYFUNCTION("""COMPUTED_VALUE"""),467.0)</f>
        <v>467</v>
      </c>
      <c r="M411" s="189">
        <f>IFERROR(__xludf.DUMMYFUNCTION("""COMPUTED_VALUE"""),220.0)</f>
        <v>220</v>
      </c>
      <c r="N411" s="189">
        <f>IFERROR(__xludf.DUMMYFUNCTION("""COMPUTED_VALUE"""),177.0)</f>
        <v>177</v>
      </c>
      <c r="O411" s="189">
        <f>IFERROR(__xludf.DUMMYFUNCTION("""COMPUTED_VALUE"""),283.0)</f>
        <v>283</v>
      </c>
      <c r="P411" s="189">
        <f>IFERROR(__xludf.DUMMYFUNCTION("""COMPUTED_VALUE"""),256.0)</f>
        <v>256</v>
      </c>
      <c r="Q411" s="189">
        <f>IFERROR(__xludf.DUMMYFUNCTION("""COMPUTED_VALUE"""),281.0)</f>
        <v>281</v>
      </c>
      <c r="R411" s="186"/>
      <c r="S411" s="189">
        <f>IFERROR(__xludf.DUMMYFUNCTION("""COMPUTED_VALUE"""),270.0)</f>
        <v>270</v>
      </c>
    </row>
    <row r="412">
      <c r="A412" s="186" t="str">
        <f>IFERROR(__xludf.DUMMYFUNCTION("""COMPUTED_VALUE"""),"NORDICS")</f>
        <v>NORDICS</v>
      </c>
      <c r="B412" s="186" t="str">
        <f>IFERROR(__xludf.DUMMYFUNCTION("""COMPUTED_VALUE"""),"W04")</f>
        <v>W04</v>
      </c>
      <c r="C412" s="186">
        <f>IFERROR(__xludf.DUMMYFUNCTION("""COMPUTED_VALUE"""),310.0)</f>
        <v>310</v>
      </c>
      <c r="D412" s="186" t="str">
        <f>IFERROR(__xludf.DUMMYFUNCTION("""COMPUTED_VALUE"""),"CON-00-147817-2")</f>
        <v>CON-00-147817-2</v>
      </c>
      <c r="E412" s="186" t="str">
        <f>IFERROR(__xludf.DUMMYFUNCTION("""COMPUTED_VALUE"""),"Ratatouille of zucchini and pepper")</f>
        <v>Ratatouille of zucchini and pepper</v>
      </c>
      <c r="F412" s="186" t="str">
        <f>IFERROR(__xludf.DUMMYFUNCTION("""COMPUTED_VALUE"""),"Squash- og peberfrugtsratatouille")</f>
        <v>Squash- og peberfrugtsratatouille</v>
      </c>
      <c r="G412" s="186" t="str">
        <f>IFERROR(__xludf.DUMMYFUNCTION("""COMPUTED_VALUE"""),"FE0090C")</f>
        <v>FE0090C</v>
      </c>
      <c r="H412" s="186">
        <f>IFERROR(__xludf.DUMMYFUNCTION("""COMPUTED_VALUE"""),565141.0)</f>
        <v>565141</v>
      </c>
      <c r="I412" s="186"/>
      <c r="J412" s="189">
        <f>IFERROR(__xludf.DUMMYFUNCTION("""COMPUTED_VALUE"""),325.0)</f>
        <v>325</v>
      </c>
      <c r="K412" s="189">
        <f>IFERROR(__xludf.DUMMYFUNCTION("""COMPUTED_VALUE"""),259.0)</f>
        <v>259</v>
      </c>
      <c r="L412" s="189">
        <f>IFERROR(__xludf.DUMMYFUNCTION("""COMPUTED_VALUE"""),246.0)</f>
        <v>246</v>
      </c>
      <c r="M412" s="189">
        <f>IFERROR(__xludf.DUMMYFUNCTION("""COMPUTED_VALUE"""),213.0)</f>
        <v>213</v>
      </c>
      <c r="N412" s="189">
        <f>IFERROR(__xludf.DUMMYFUNCTION("""COMPUTED_VALUE"""),152.0)</f>
        <v>152</v>
      </c>
      <c r="O412" s="189">
        <f>IFERROR(__xludf.DUMMYFUNCTION("""COMPUTED_VALUE"""),258.0)</f>
        <v>258</v>
      </c>
      <c r="P412" s="189">
        <f>IFERROR(__xludf.DUMMYFUNCTION("""COMPUTED_VALUE"""),230.0)</f>
        <v>230</v>
      </c>
      <c r="Q412" s="189">
        <f>IFERROR(__xludf.DUMMYFUNCTION("""COMPUTED_VALUE"""),255.0)</f>
        <v>255</v>
      </c>
      <c r="R412" s="186"/>
      <c r="S412" s="189">
        <f>IFERROR(__xludf.DUMMYFUNCTION("""COMPUTED_VALUE"""),240.0)</f>
        <v>240</v>
      </c>
    </row>
    <row r="413">
      <c r="A413" s="186" t="str">
        <f>IFERROR(__xludf.DUMMYFUNCTION("""COMPUTED_VALUE"""),"NORDICS")</f>
        <v>NORDICS</v>
      </c>
      <c r="B413" s="186" t="str">
        <f>IFERROR(__xludf.DUMMYFUNCTION("""COMPUTED_VALUE"""),"W04")</f>
        <v>W04</v>
      </c>
      <c r="C413" s="186">
        <f>IFERROR(__xludf.DUMMYFUNCTION("""COMPUTED_VALUE"""),311.0)</f>
        <v>311</v>
      </c>
      <c r="D413" s="186" t="str">
        <f>IFERROR(__xludf.DUMMYFUNCTION("""COMPUTED_VALUE"""),"CON-00-147907-2")</f>
        <v>CON-00-147907-2</v>
      </c>
      <c r="E413" s="186" t="str">
        <f>IFERROR(__xludf.DUMMYFUNCTION("""COMPUTED_VALUE"""),"Artichoke &amp; Spinach Pork tenderloin")</f>
        <v>Artichoke &amp; Spinach Pork tenderloin</v>
      </c>
      <c r="F413" s="186" t="str">
        <f>IFERROR(__xludf.DUMMYFUNCTION("""COMPUTED_VALUE"""),"Svinemørbrad med artiskok og spinat ")</f>
        <v>Svinemørbrad med artiskok og spinat </v>
      </c>
      <c r="G413" s="186" t="str">
        <f>IFERROR(__xludf.DUMMYFUNCTION("""COMPUTED_VALUE"""),"FE4060A")</f>
        <v>FE4060A</v>
      </c>
      <c r="H413" s="186">
        <f>IFERROR(__xludf.DUMMYFUNCTION("""COMPUTED_VALUE"""),565134.0)</f>
        <v>565134</v>
      </c>
      <c r="I413" s="186"/>
      <c r="J413" s="189">
        <f>IFERROR(__xludf.DUMMYFUNCTION("""COMPUTED_VALUE"""),760.0)</f>
        <v>760</v>
      </c>
      <c r="K413" s="189">
        <f>IFERROR(__xludf.DUMMYFUNCTION("""COMPUTED_VALUE"""),737.0)</f>
        <v>737</v>
      </c>
      <c r="L413" s="189">
        <f>IFERROR(__xludf.DUMMYFUNCTION("""COMPUTED_VALUE"""),362.0)</f>
        <v>362</v>
      </c>
      <c r="M413" s="189">
        <f>IFERROR(__xludf.DUMMYFUNCTION("""COMPUTED_VALUE"""),354.0)</f>
        <v>354</v>
      </c>
      <c r="N413" s="189">
        <f>IFERROR(__xludf.DUMMYFUNCTION("""COMPUTED_VALUE"""),326.0)</f>
        <v>326</v>
      </c>
      <c r="O413" s="189">
        <f>IFERROR(__xludf.DUMMYFUNCTION("""COMPUTED_VALUE"""),438.0)</f>
        <v>438</v>
      </c>
      <c r="P413" s="189">
        <f>IFERROR(__xludf.DUMMYFUNCTION("""COMPUTED_VALUE"""),414.0)</f>
        <v>414</v>
      </c>
      <c r="Q413" s="189">
        <f>IFERROR(__xludf.DUMMYFUNCTION("""COMPUTED_VALUE"""),445.0)</f>
        <v>445</v>
      </c>
      <c r="R413" s="186"/>
      <c r="S413" s="189">
        <f>IFERROR(__xludf.DUMMYFUNCTION("""COMPUTED_VALUE"""),441.0)</f>
        <v>441</v>
      </c>
    </row>
    <row r="414">
      <c r="A414" s="186" t="str">
        <f>IFERROR(__xludf.DUMMYFUNCTION("""COMPUTED_VALUE"""),"NORDICS")</f>
        <v>NORDICS</v>
      </c>
      <c r="B414" s="186" t="str">
        <f>IFERROR(__xludf.DUMMYFUNCTION("""COMPUTED_VALUE"""),"W04")</f>
        <v>W04</v>
      </c>
      <c r="C414" s="186">
        <f>IFERROR(__xludf.DUMMYFUNCTION("""COMPUTED_VALUE"""),312.0)</f>
        <v>312</v>
      </c>
      <c r="D414" s="186" t="str">
        <f>IFERROR(__xludf.DUMMYFUNCTION("""COMPUTED_VALUE"""),"CON-00-155004-2")</f>
        <v>CON-00-155004-2</v>
      </c>
      <c r="E414" s="186" t="str">
        <f>IFERROR(__xludf.DUMMYFUNCTION("""COMPUTED_VALUE"""),"Tzatziki Salmon &amp; Lemon Rice")</f>
        <v>Tzatziki Salmon &amp; Lemon Rice</v>
      </c>
      <c r="F414" s="186" t="str">
        <f>IFERROR(__xludf.DUMMYFUNCTION("""COMPUTED_VALUE"""),"Laks med tzatziki og citronris")</f>
        <v>Laks med tzatziki og citronris</v>
      </c>
      <c r="G414" s="186" t="str">
        <f>IFERROR(__xludf.DUMMYFUNCTION("""COMPUTED_VALUE"""),"FE1439A")</f>
        <v>FE1439A</v>
      </c>
      <c r="H414" s="186">
        <f>IFERROR(__xludf.DUMMYFUNCTION("""COMPUTED_VALUE"""),565236.0)</f>
        <v>565236</v>
      </c>
      <c r="I414" s="186" t="str">
        <f>IFERROR(__xludf.DUMMYFUNCTION("""COMPUTED_VALUE"""),"HF Zalm met citroen rijst")</f>
        <v>HF Zalm met citroen rijst</v>
      </c>
      <c r="J414" s="189">
        <f>IFERROR(__xludf.DUMMYFUNCTION("""COMPUTED_VALUE"""),1287.0)</f>
        <v>1287</v>
      </c>
      <c r="K414" s="189">
        <f>IFERROR(__xludf.DUMMYFUNCTION("""COMPUTED_VALUE"""),1262.0)</f>
        <v>1262</v>
      </c>
      <c r="L414" s="189">
        <f>IFERROR(__xludf.DUMMYFUNCTION("""COMPUTED_VALUE"""),1542.0)</f>
        <v>1542</v>
      </c>
      <c r="M414" s="189">
        <f>IFERROR(__xludf.DUMMYFUNCTION("""COMPUTED_VALUE"""),1947.0)</f>
        <v>1947</v>
      </c>
      <c r="N414" s="189">
        <f>IFERROR(__xludf.DUMMYFUNCTION("""COMPUTED_VALUE"""),2188.0)</f>
        <v>2188</v>
      </c>
      <c r="O414" s="189">
        <f>IFERROR(__xludf.DUMMYFUNCTION("""COMPUTED_VALUE"""),2309.0)</f>
        <v>2309</v>
      </c>
      <c r="P414" s="189">
        <f>IFERROR(__xludf.DUMMYFUNCTION("""COMPUTED_VALUE"""),2327.0)</f>
        <v>2327</v>
      </c>
      <c r="Q414" s="189">
        <f>IFERROR(__xludf.DUMMYFUNCTION("""COMPUTED_VALUE"""),2396.0)</f>
        <v>2396</v>
      </c>
      <c r="R414" s="186"/>
      <c r="S414" s="189">
        <f>IFERROR(__xludf.DUMMYFUNCTION("""COMPUTED_VALUE"""),2257.0)</f>
        <v>2257</v>
      </c>
    </row>
    <row r="415">
      <c r="A415" s="186" t="str">
        <f>IFERROR(__xludf.DUMMYFUNCTION("""COMPUTED_VALUE"""),"NORDICS")</f>
        <v>NORDICS</v>
      </c>
      <c r="B415" s="186" t="str">
        <f>IFERROR(__xludf.DUMMYFUNCTION("""COMPUTED_VALUE"""),"W04")</f>
        <v>W04</v>
      </c>
      <c r="C415" s="186">
        <f>IFERROR(__xludf.DUMMYFUNCTION("""COMPUTED_VALUE"""),313.0)</f>
        <v>313</v>
      </c>
      <c r="D415" s="186" t="str">
        <f>IFERROR(__xludf.DUMMYFUNCTION("""COMPUTED_VALUE"""),"CON-00-152045-2")</f>
        <v>CON-00-152045-2</v>
      </c>
      <c r="E415" s="186" t="str">
        <f>IFERROR(__xludf.DUMMYFUNCTION("""COMPUTED_VALUE"""),"Honey Miso Chicken &amp; Scallion Rice")</f>
        <v>Honey Miso Chicken &amp; Scallion Rice</v>
      </c>
      <c r="F415" s="186" t="str">
        <f>IFERROR(__xludf.DUMMYFUNCTION("""COMPUTED_VALUE"""),"Honning-miso kylling med ris og forårsløg")</f>
        <v>Honning-miso kylling med ris og forårsløg</v>
      </c>
      <c r="G415" s="186" t="str">
        <f>IFERROR(__xludf.DUMMYFUNCTION("""COMPUTED_VALUE"""),"FE4067A")</f>
        <v>FE4067A</v>
      </c>
      <c r="H415" s="186">
        <f>IFERROR(__xludf.DUMMYFUNCTION("""COMPUTED_VALUE"""),565210.0)</f>
        <v>565210</v>
      </c>
      <c r="I415" s="186" t="str">
        <f>IFERROR(__xludf.DUMMYFUNCTION("""COMPUTED_VALUE"""),"HF Honing miso kip")</f>
        <v>HF Honing miso kip</v>
      </c>
      <c r="J415" s="189">
        <f>IFERROR(__xludf.DUMMYFUNCTION("""COMPUTED_VALUE"""),1615.0)</f>
        <v>1615</v>
      </c>
      <c r="K415" s="189">
        <f>IFERROR(__xludf.DUMMYFUNCTION("""COMPUTED_VALUE"""),1565.0)</f>
        <v>1565</v>
      </c>
      <c r="L415" s="189">
        <f>IFERROR(__xludf.DUMMYFUNCTION("""COMPUTED_VALUE"""),2386.0)</f>
        <v>2386</v>
      </c>
      <c r="M415" s="189">
        <f>IFERROR(__xludf.DUMMYFUNCTION("""COMPUTED_VALUE"""),2440.0)</f>
        <v>2440</v>
      </c>
      <c r="N415" s="189">
        <f>IFERROR(__xludf.DUMMYFUNCTION("""COMPUTED_VALUE"""),2778.0)</f>
        <v>2778</v>
      </c>
      <c r="O415" s="189">
        <f>IFERROR(__xludf.DUMMYFUNCTION("""COMPUTED_VALUE"""),2880.0)</f>
        <v>2880</v>
      </c>
      <c r="P415" s="189">
        <f>IFERROR(__xludf.DUMMYFUNCTION("""COMPUTED_VALUE"""),2888.0)</f>
        <v>2888</v>
      </c>
      <c r="Q415" s="189">
        <f>IFERROR(__xludf.DUMMYFUNCTION("""COMPUTED_VALUE"""),2945.0)</f>
        <v>2945</v>
      </c>
      <c r="R415" s="186"/>
      <c r="S415" s="189">
        <f>IFERROR(__xludf.DUMMYFUNCTION("""COMPUTED_VALUE"""),2756.0)</f>
        <v>2756</v>
      </c>
    </row>
    <row r="416">
      <c r="A416" s="186" t="str">
        <f>IFERROR(__xludf.DUMMYFUNCTION("""COMPUTED_VALUE"""),"NORDICS")</f>
        <v>NORDICS</v>
      </c>
      <c r="B416" s="186" t="str">
        <f>IFERROR(__xludf.DUMMYFUNCTION("""COMPUTED_VALUE"""),"W04")</f>
        <v>W04</v>
      </c>
      <c r="C416" s="186">
        <f>IFERROR(__xludf.DUMMYFUNCTION("""COMPUTED_VALUE"""),314.0)</f>
        <v>314</v>
      </c>
      <c r="D416" s="186" t="str">
        <f>IFERROR(__xludf.DUMMYFUNCTION("""COMPUTED_VALUE"""),"CON-00-152026-2")</f>
        <v>CON-00-152026-2</v>
      </c>
      <c r="E416" s="186" t="str">
        <f>IFERROR(__xludf.DUMMYFUNCTION("""COMPUTED_VALUE"""),"Ginger Garlic Grilled Chicken")</f>
        <v>Ginger Garlic Grilled Chicken</v>
      </c>
      <c r="F416" s="186" t="str">
        <f>IFERROR(__xludf.DUMMYFUNCTION("""COMPUTED_VALUE"""),"Grillet kylling med ingefær og hvidløg")</f>
        <v>Grillet kylling med ingefær og hvidløg</v>
      </c>
      <c r="G416" s="186" t="str">
        <f>IFERROR(__xludf.DUMMYFUNCTION("""COMPUTED_VALUE"""),"FE4064A")</f>
        <v>FE4064A</v>
      </c>
      <c r="H416" s="186">
        <f>IFERROR(__xludf.DUMMYFUNCTION("""COMPUTED_VALUE"""),565211.0)</f>
        <v>565211</v>
      </c>
      <c r="I416" s="186" t="str">
        <f>IFERROR(__xludf.DUMMYFUNCTION("""COMPUTED_VALUE"""),"HF Gember knoflook kip")</f>
        <v>HF Gember knoflook kip</v>
      </c>
      <c r="J416" s="189">
        <f>IFERROR(__xludf.DUMMYFUNCTION("""COMPUTED_VALUE"""),1093.0)</f>
        <v>1093</v>
      </c>
      <c r="K416" s="189">
        <f>IFERROR(__xludf.DUMMYFUNCTION("""COMPUTED_VALUE"""),906.0)</f>
        <v>906</v>
      </c>
      <c r="L416" s="189">
        <f>IFERROR(__xludf.DUMMYFUNCTION("""COMPUTED_VALUE"""),1161.0)</f>
        <v>1161</v>
      </c>
      <c r="M416" s="189">
        <f>IFERROR(__xludf.DUMMYFUNCTION("""COMPUTED_VALUE"""),969.0)</f>
        <v>969</v>
      </c>
      <c r="N416" s="189">
        <f>IFERROR(__xludf.DUMMYFUNCTION("""COMPUTED_VALUE"""),1056.0)</f>
        <v>1056</v>
      </c>
      <c r="O416" s="189">
        <f>IFERROR(__xludf.DUMMYFUNCTION("""COMPUTED_VALUE"""),1126.0)</f>
        <v>1126</v>
      </c>
      <c r="P416" s="189">
        <f>IFERROR(__xludf.DUMMYFUNCTION("""COMPUTED_VALUE"""),1150.0)</f>
        <v>1150</v>
      </c>
      <c r="Q416" s="189">
        <f>IFERROR(__xludf.DUMMYFUNCTION("""COMPUTED_VALUE"""),1212.0)</f>
        <v>1212</v>
      </c>
      <c r="R416" s="186"/>
      <c r="S416" s="189">
        <f>IFERROR(__xludf.DUMMYFUNCTION("""COMPUTED_VALUE"""),1099.0)</f>
        <v>1099</v>
      </c>
    </row>
    <row r="417">
      <c r="A417" s="186" t="str">
        <f>IFERROR(__xludf.DUMMYFUNCTION("""COMPUTED_VALUE"""),"NORDICS")</f>
        <v>NORDICS</v>
      </c>
      <c r="B417" s="186" t="str">
        <f>IFERROR(__xludf.DUMMYFUNCTION("""COMPUTED_VALUE"""),"W04")</f>
        <v>W04</v>
      </c>
      <c r="C417" s="186">
        <f>IFERROR(__xludf.DUMMYFUNCTION("""COMPUTED_VALUE"""),315.0)</f>
        <v>315</v>
      </c>
      <c r="D417" s="186" t="str">
        <f>IFERROR(__xludf.DUMMYFUNCTION("""COMPUTED_VALUE"""),"CON-00-147855-2")</f>
        <v>CON-00-147855-2</v>
      </c>
      <c r="E417" s="186" t="str">
        <f>IFERROR(__xludf.DUMMYFUNCTION("""COMPUTED_VALUE"""),"Beef with cauliflower mash")</f>
        <v>Beef with cauliflower mash</v>
      </c>
      <c r="F417" s="186" t="str">
        <f>IFERROR(__xludf.DUMMYFUNCTION("""COMPUTED_VALUE"""),"Oksekød med blomkålsmos")</f>
        <v>Oksekød med blomkålsmos</v>
      </c>
      <c r="G417" s="186" t="str">
        <f>IFERROR(__xludf.DUMMYFUNCTION("""COMPUTED_VALUE"""),"FE0745B")</f>
        <v>FE0745B</v>
      </c>
      <c r="H417" s="186">
        <f>IFERROR(__xludf.DUMMYFUNCTION("""COMPUTED_VALUE"""),565139.0)</f>
        <v>565139</v>
      </c>
      <c r="I417" s="186" t="str">
        <f>IFERROR(__xludf.DUMMYFUNCTION("""COMPUTED_VALUE"""),"HF Pulled beef met peccorino")</f>
        <v>HF Pulled beef met peccorino</v>
      </c>
      <c r="J417" s="189">
        <f>IFERROR(__xludf.DUMMYFUNCTION("""COMPUTED_VALUE"""),689.0)</f>
        <v>689</v>
      </c>
      <c r="K417" s="189">
        <f>IFERROR(__xludf.DUMMYFUNCTION("""COMPUTED_VALUE"""),668.0)</f>
        <v>668</v>
      </c>
      <c r="L417" s="189">
        <f>IFERROR(__xludf.DUMMYFUNCTION("""COMPUTED_VALUE"""),770.0)</f>
        <v>770</v>
      </c>
      <c r="M417" s="189">
        <f>IFERROR(__xludf.DUMMYFUNCTION("""COMPUTED_VALUE"""),926.0)</f>
        <v>926</v>
      </c>
      <c r="N417" s="189">
        <f>IFERROR(__xludf.DUMMYFUNCTION("""COMPUTED_VALUE"""),990.0)</f>
        <v>990</v>
      </c>
      <c r="O417" s="189">
        <f>IFERROR(__xludf.DUMMYFUNCTION("""COMPUTED_VALUE"""),1176.0)</f>
        <v>1176</v>
      </c>
      <c r="P417" s="189">
        <f>IFERROR(__xludf.DUMMYFUNCTION("""COMPUTED_VALUE"""),1197.0)</f>
        <v>1197</v>
      </c>
      <c r="Q417" s="189">
        <f>IFERROR(__xludf.DUMMYFUNCTION("""COMPUTED_VALUE"""),1273.0)</f>
        <v>1273</v>
      </c>
      <c r="R417" s="186"/>
      <c r="S417" s="189">
        <f>IFERROR(__xludf.DUMMYFUNCTION("""COMPUTED_VALUE"""),1152.0)</f>
        <v>1152</v>
      </c>
    </row>
    <row r="418">
      <c r="A418" s="186" t="str">
        <f>IFERROR(__xludf.DUMMYFUNCTION("""COMPUTED_VALUE"""),"NORDICS")</f>
        <v>NORDICS</v>
      </c>
      <c r="B418" s="186" t="str">
        <f>IFERROR(__xludf.DUMMYFUNCTION("""COMPUTED_VALUE"""),"W04")</f>
        <v>W04</v>
      </c>
      <c r="C418" s="186">
        <f>IFERROR(__xludf.DUMMYFUNCTION("""COMPUTED_VALUE"""),316.0)</f>
        <v>316</v>
      </c>
      <c r="D418" s="186" t="str">
        <f>IFERROR(__xludf.DUMMYFUNCTION("""COMPUTED_VALUE"""),"CON-00-147823-2")</f>
        <v>CON-00-147823-2</v>
      </c>
      <c r="E418" s="186" t="str">
        <f>IFERROR(__xludf.DUMMYFUNCTION("""COMPUTED_VALUE"""),"Beef Shepherd's Pie")</f>
        <v>Beef Shepherd's Pie</v>
      </c>
      <c r="F418" s="186" t="str">
        <f>IFERROR(__xludf.DUMMYFUNCTION("""COMPUTED_VALUE"""),"Shepherd's Pie med oksekød ")</f>
        <v>Shepherd's Pie med oksekød </v>
      </c>
      <c r="G418" s="186" t="str">
        <f>IFERROR(__xludf.DUMMYFUNCTION("""COMPUTED_VALUE"""),"FE0160C")</f>
        <v>FE0160C</v>
      </c>
      <c r="H418" s="186">
        <f>IFERROR(__xludf.DUMMYFUNCTION("""COMPUTED_VALUE"""),565153.0)</f>
        <v>565153</v>
      </c>
      <c r="I418" s="186" t="str">
        <f>IFERROR(__xludf.DUMMYFUNCTION("""COMPUTED_VALUE"""),"HF Beef Shephards Pie")</f>
        <v>HF Beef Shephards Pie</v>
      </c>
      <c r="J418" s="189">
        <f>IFERROR(__xludf.DUMMYFUNCTION("""COMPUTED_VALUE"""),595.0)</f>
        <v>595</v>
      </c>
      <c r="K418" s="189">
        <f>IFERROR(__xludf.DUMMYFUNCTION("""COMPUTED_VALUE"""),460.0)</f>
        <v>460</v>
      </c>
      <c r="L418" s="189">
        <f>IFERROR(__xludf.DUMMYFUNCTION("""COMPUTED_VALUE"""),1013.0)</f>
        <v>1013</v>
      </c>
      <c r="M418" s="189">
        <f>IFERROR(__xludf.DUMMYFUNCTION("""COMPUTED_VALUE"""),831.0)</f>
        <v>831</v>
      </c>
      <c r="N418" s="189">
        <f>IFERROR(__xludf.DUMMYFUNCTION("""COMPUTED_VALUE"""),778.0)</f>
        <v>778</v>
      </c>
      <c r="O418" s="189">
        <f>IFERROR(__xludf.DUMMYFUNCTION("""COMPUTED_VALUE"""),972.0)</f>
        <v>972</v>
      </c>
      <c r="P418" s="189">
        <f>IFERROR(__xludf.DUMMYFUNCTION("""COMPUTED_VALUE"""),985.0)</f>
        <v>985</v>
      </c>
      <c r="Q418" s="189">
        <f>IFERROR(__xludf.DUMMYFUNCTION("""COMPUTED_VALUE"""),1038.0)</f>
        <v>1038</v>
      </c>
      <c r="R418" s="186"/>
      <c r="S418" s="189">
        <f>IFERROR(__xludf.DUMMYFUNCTION("""COMPUTED_VALUE"""),1113.0)</f>
        <v>1113</v>
      </c>
    </row>
    <row r="419">
      <c r="A419" s="186" t="str">
        <f>IFERROR(__xludf.DUMMYFUNCTION("""COMPUTED_VALUE"""),"NORDICS")</f>
        <v>NORDICS</v>
      </c>
      <c r="B419" s="186" t="str">
        <f>IFERROR(__xludf.DUMMYFUNCTION("""COMPUTED_VALUE"""),"W04")</f>
        <v>W04</v>
      </c>
      <c r="C419" s="186">
        <f>IFERROR(__xludf.DUMMYFUNCTION("""COMPUTED_VALUE"""),317.0)</f>
        <v>317</v>
      </c>
      <c r="D419" s="186" t="str">
        <f>IFERROR(__xludf.DUMMYFUNCTION("""COMPUTED_VALUE"""),"CON-00-147883-2")</f>
        <v>CON-00-147883-2</v>
      </c>
      <c r="E419" s="186" t="str">
        <f>IFERROR(__xludf.DUMMYFUNCTION("""COMPUTED_VALUE"""),"Pork tenderloin with black pepper and sage")</f>
        <v>Pork tenderloin with black pepper and sage</v>
      </c>
      <c r="F419" s="186" t="str">
        <f>IFERROR(__xludf.DUMMYFUNCTION("""COMPUTED_VALUE"""),"Svinemørbrad med sort peber og salvie")</f>
        <v>Svinemørbrad med sort peber og salvie</v>
      </c>
      <c r="G419" s="186" t="str">
        <f>IFERROR(__xludf.DUMMYFUNCTION("""COMPUTED_VALUE"""),"FE4022B")</f>
        <v>FE4022B</v>
      </c>
      <c r="H419" s="186">
        <f>IFERROR(__xludf.DUMMYFUNCTION("""COMPUTED_VALUE"""),565146.0)</f>
        <v>565146</v>
      </c>
      <c r="I419" s="186" t="str">
        <f>IFERROR(__xludf.DUMMYFUNCTION("""COMPUTED_VALUE"""),"HF RW Varkenshaas zwpeper sali")</f>
        <v>HF RW Varkenshaas zwpeper sali</v>
      </c>
      <c r="J419" s="189">
        <f>IFERROR(__xludf.DUMMYFUNCTION("""COMPUTED_VALUE"""),488.0)</f>
        <v>488</v>
      </c>
      <c r="K419" s="189">
        <f>IFERROR(__xludf.DUMMYFUNCTION("""COMPUTED_VALUE"""),732.0)</f>
        <v>732</v>
      </c>
      <c r="L419" s="189">
        <f>IFERROR(__xludf.DUMMYFUNCTION("""COMPUTED_VALUE"""),1039.0)</f>
        <v>1039</v>
      </c>
      <c r="M419" s="189">
        <f>IFERROR(__xludf.DUMMYFUNCTION("""COMPUTED_VALUE"""),1234.0)</f>
        <v>1234</v>
      </c>
      <c r="N419" s="189">
        <f>IFERROR(__xludf.DUMMYFUNCTION("""COMPUTED_VALUE"""),1344.0)</f>
        <v>1344</v>
      </c>
      <c r="O419" s="189">
        <f>IFERROR(__xludf.DUMMYFUNCTION("""COMPUTED_VALUE"""),1429.0)</f>
        <v>1429</v>
      </c>
      <c r="P419" s="189">
        <f>IFERROR(__xludf.DUMMYFUNCTION("""COMPUTED_VALUE"""),1434.0)</f>
        <v>1434</v>
      </c>
      <c r="Q419" s="189">
        <f>IFERROR(__xludf.DUMMYFUNCTION("""COMPUTED_VALUE"""),1447.0)</f>
        <v>1447</v>
      </c>
      <c r="R419" s="186"/>
      <c r="S419" s="189">
        <f>IFERROR(__xludf.DUMMYFUNCTION("""COMPUTED_VALUE"""),1352.0)</f>
        <v>1352</v>
      </c>
    </row>
    <row r="420">
      <c r="A420" s="186" t="str">
        <f>IFERROR(__xludf.DUMMYFUNCTION("""COMPUTED_VALUE"""),"NORDICS")</f>
        <v>NORDICS</v>
      </c>
      <c r="B420" s="186" t="str">
        <f>IFERROR(__xludf.DUMMYFUNCTION("""COMPUTED_VALUE"""),"W04")</f>
        <v>W04</v>
      </c>
      <c r="C420" s="186">
        <f>IFERROR(__xludf.DUMMYFUNCTION("""COMPUTED_VALUE"""),318.0)</f>
        <v>318</v>
      </c>
      <c r="D420" s="186" t="str">
        <f>IFERROR(__xludf.DUMMYFUNCTION("""COMPUTED_VALUE"""),"CON-00-147895-2")</f>
        <v>CON-00-147895-2</v>
      </c>
      <c r="E420" s="186" t="str">
        <f>IFERROR(__xludf.DUMMYFUNCTION("""COMPUTED_VALUE"""),"Pork tenderloin and Mediterranean mash")</f>
        <v>Pork tenderloin and Mediterranean mash</v>
      </c>
      <c r="F420" s="186" t="str">
        <f>IFERROR(__xludf.DUMMYFUNCTION("""COMPUTED_VALUE"""),"Svinemørbrad og middelhavsinspireret kartoffelmos ")</f>
        <v>Svinemørbrad og middelhavsinspireret kartoffelmos </v>
      </c>
      <c r="G420" s="186" t="str">
        <f>IFERROR(__xludf.DUMMYFUNCTION("""COMPUTED_VALUE"""),"FE4042A")</f>
        <v>FE4042A</v>
      </c>
      <c r="H420" s="186">
        <f>IFERROR(__xludf.DUMMYFUNCTION("""COMPUTED_VALUE"""),565109.0)</f>
        <v>565109</v>
      </c>
      <c r="I420" s="186"/>
      <c r="J420" s="189">
        <f>IFERROR(__xludf.DUMMYFUNCTION("""COMPUTED_VALUE"""),461.0)</f>
        <v>461</v>
      </c>
      <c r="K420" s="189">
        <f>IFERROR(__xludf.DUMMYFUNCTION("""COMPUTED_VALUE"""),410.0)</f>
        <v>410</v>
      </c>
      <c r="L420" s="189">
        <f>IFERROR(__xludf.DUMMYFUNCTION("""COMPUTED_VALUE"""),573.0)</f>
        <v>573</v>
      </c>
      <c r="M420" s="189">
        <f>IFERROR(__xludf.DUMMYFUNCTION("""COMPUTED_VALUE"""),654.0)</f>
        <v>654</v>
      </c>
      <c r="N420" s="189">
        <f>IFERROR(__xludf.DUMMYFUNCTION("""COMPUTED_VALUE"""),659.0)</f>
        <v>659</v>
      </c>
      <c r="O420" s="189">
        <f>IFERROR(__xludf.DUMMYFUNCTION("""COMPUTED_VALUE"""),855.0)</f>
        <v>855</v>
      </c>
      <c r="P420" s="189">
        <f>IFERROR(__xludf.DUMMYFUNCTION("""COMPUTED_VALUE"""),867.0)</f>
        <v>867</v>
      </c>
      <c r="Q420" s="189">
        <f>IFERROR(__xludf.DUMMYFUNCTION("""COMPUTED_VALUE"""),945.0)</f>
        <v>945</v>
      </c>
      <c r="R420" s="186"/>
      <c r="S420" s="189">
        <f>IFERROR(__xludf.DUMMYFUNCTION("""COMPUTED_VALUE"""),959.0)</f>
        <v>959</v>
      </c>
    </row>
    <row r="421">
      <c r="A421" s="186" t="str">
        <f>IFERROR(__xludf.DUMMYFUNCTION("""COMPUTED_VALUE"""),"NORDICS")</f>
        <v>NORDICS</v>
      </c>
      <c r="B421" s="186" t="str">
        <f>IFERROR(__xludf.DUMMYFUNCTION("""COMPUTED_VALUE"""),"W04")</f>
        <v>W04</v>
      </c>
      <c r="C421" s="186">
        <f>IFERROR(__xludf.DUMMYFUNCTION("""COMPUTED_VALUE"""),806.0)</f>
        <v>806</v>
      </c>
      <c r="D421" s="186" t="str">
        <f>IFERROR(__xludf.DUMMYFUNCTION("""COMPUTED_VALUE"""),"PTN-00-148223-2")</f>
        <v>PTN-00-148223-2</v>
      </c>
      <c r="E421" s="186" t="str">
        <f>IFERROR(__xludf.DUMMYFUNCTION("""COMPUTED_VALUE"""),"Garlic Herb Grilled Chicken")</f>
        <v>Garlic Herb Grilled Chicken</v>
      </c>
      <c r="F421" s="186" t="str">
        <f>IFERROR(__xludf.DUMMYFUNCTION("""COMPUTED_VALUE"""),"Grillet kylling med hvidlød og urter")</f>
        <v>Grillet kylling med hvidlød og urter</v>
      </c>
      <c r="G421" s="186" t="str">
        <f>IFERROR(__xludf.DUMMYFUNCTION("""COMPUTED_VALUE"""),"FEA006A")</f>
        <v>FEA006A</v>
      </c>
      <c r="H421" s="186">
        <f>IFERROR(__xludf.DUMMYFUNCTION("""COMPUTED_VALUE"""),565119.0)</f>
        <v>565119</v>
      </c>
      <c r="I421" s="186"/>
      <c r="J421" s="189">
        <f>IFERROR(__xludf.DUMMYFUNCTION("""COMPUTED_VALUE"""),48.0)</f>
        <v>48</v>
      </c>
      <c r="K421" s="189">
        <f>IFERROR(__xludf.DUMMYFUNCTION("""COMPUTED_VALUE"""),48.0)</f>
        <v>48</v>
      </c>
      <c r="L421" s="189">
        <f>IFERROR(__xludf.DUMMYFUNCTION("""COMPUTED_VALUE"""),48.0)</f>
        <v>48</v>
      </c>
      <c r="M421" s="189">
        <f>IFERROR(__xludf.DUMMYFUNCTION("""COMPUTED_VALUE"""),48.0)</f>
        <v>48</v>
      </c>
      <c r="N421" s="189">
        <f>IFERROR(__xludf.DUMMYFUNCTION("""COMPUTED_VALUE"""),-52.0)</f>
        <v>-52</v>
      </c>
      <c r="O421" s="189">
        <f>IFERROR(__xludf.DUMMYFUNCTION("""COMPUTED_VALUE"""),48.0)</f>
        <v>48</v>
      </c>
      <c r="P421" s="189">
        <f>IFERROR(__xludf.DUMMYFUNCTION("""COMPUTED_VALUE"""),48.0)</f>
        <v>48</v>
      </c>
      <c r="Q421" s="189">
        <f>IFERROR(__xludf.DUMMYFUNCTION("""COMPUTED_VALUE"""),48.0)</f>
        <v>48</v>
      </c>
      <c r="R421" s="186"/>
      <c r="S421" s="189">
        <f>IFERROR(__xludf.DUMMYFUNCTION("""COMPUTED_VALUE"""),60.0)</f>
        <v>60</v>
      </c>
    </row>
    <row r="422">
      <c r="A422" s="186" t="str">
        <f>IFERROR(__xludf.DUMMYFUNCTION("""COMPUTED_VALUE"""),"NORDICS")</f>
        <v>NORDICS</v>
      </c>
      <c r="B422" s="186" t="str">
        <f>IFERROR(__xludf.DUMMYFUNCTION("""COMPUTED_VALUE"""),"W04")</f>
        <v>W04</v>
      </c>
      <c r="C422" s="186"/>
      <c r="D422" s="186"/>
      <c r="E422" s="186"/>
      <c r="F422" s="186"/>
      <c r="G422" s="186"/>
      <c r="H422" s="186"/>
      <c r="I422" s="186"/>
      <c r="J422" s="189">
        <f>IFERROR(__xludf.DUMMYFUNCTION("""COMPUTED_VALUE"""),24281.0)</f>
        <v>24281</v>
      </c>
      <c r="K422" s="189">
        <f>IFERROR(__xludf.DUMMYFUNCTION("""COMPUTED_VALUE"""),21175.0)</f>
        <v>21175</v>
      </c>
      <c r="L422" s="189">
        <f>IFERROR(__xludf.DUMMYFUNCTION("""COMPUTED_VALUE"""),25489.0)</f>
        <v>25489</v>
      </c>
      <c r="M422" s="189">
        <f>IFERROR(__xludf.DUMMYFUNCTION("""COMPUTED_VALUE"""),29463.0)</f>
        <v>29463</v>
      </c>
      <c r="N422" s="189">
        <f>IFERROR(__xludf.DUMMYFUNCTION("""COMPUTED_VALUE"""),32663.0)</f>
        <v>32663</v>
      </c>
      <c r="O422" s="189">
        <f>IFERROR(__xludf.DUMMYFUNCTION("""COMPUTED_VALUE"""),34081.0)</f>
        <v>34081</v>
      </c>
      <c r="P422" s="189">
        <f>IFERROR(__xludf.DUMMYFUNCTION("""COMPUTED_VALUE"""),34104.0)</f>
        <v>34104</v>
      </c>
      <c r="Q422" s="189">
        <f>IFERROR(__xludf.DUMMYFUNCTION("""COMPUTED_VALUE"""),35116.0)</f>
        <v>35116</v>
      </c>
      <c r="R422" s="189">
        <f>IFERROR(__xludf.DUMMYFUNCTION("""COMPUTED_VALUE"""),0.0)</f>
        <v>0</v>
      </c>
      <c r="S422" s="189">
        <f>IFERROR(__xludf.DUMMYFUNCTION("""COMPUTED_VALUE"""),32085.0)</f>
        <v>32085</v>
      </c>
    </row>
    <row r="423">
      <c r="A423" s="186" t="str">
        <f>IFERROR(__xludf.DUMMYFUNCTION("""COMPUTED_VALUE"""),"DE")</f>
        <v>DE</v>
      </c>
      <c r="B423" s="186" t="str">
        <f>IFERROR(__xludf.DUMMYFUNCTION("""COMPUTED_VALUE"""),"W04")</f>
        <v>W04</v>
      </c>
      <c r="C423" s="186">
        <f>IFERROR(__xludf.DUMMYFUNCTION("""COMPUTED_VALUE"""),301.0)</f>
        <v>301</v>
      </c>
      <c r="D423" s="186" t="str">
        <f>IFERROR(__xludf.DUMMYFUNCTION("""COMPUTED_VALUE"""),"CON-00-136649-3")</f>
        <v>CON-00-136649-3</v>
      </c>
      <c r="E423" s="186" t="str">
        <f>IFERROR(__xludf.DUMMYFUNCTION("""COMPUTED_VALUE"""),"Grilled chicken fillet and potato leek mash")</f>
        <v>Grilled chicken fillet and potato leek mash</v>
      </c>
      <c r="F423" s="186" t="str">
        <f>IFERROR(__xludf.DUMMYFUNCTION("""COMPUTED_VALUE"""),"Gegrilltes Hähnchenfilet mit Kartoffel-Lauch-Püree")</f>
        <v>Gegrilltes Hähnchenfilet mit Kartoffel-Lauch-Püree</v>
      </c>
      <c r="G423" s="186" t="str">
        <f>IFERROR(__xludf.DUMMYFUNCTION("""COMPUTED_VALUE"""),"FE0426B")</f>
        <v>FE0426B</v>
      </c>
      <c r="H423" s="186">
        <f>IFERROR(__xludf.DUMMYFUNCTION("""COMPUTED_VALUE"""),565035.0)</f>
        <v>565035</v>
      </c>
      <c r="I423" s="186" t="str">
        <f>IFERROR(__xludf.DUMMYFUNCTION("""COMPUTED_VALUE"""),"HF Puree van aardappel en prei met gegrilde kip 416g")</f>
        <v>HF Puree van aardappel en prei met gegrilde kip 416g</v>
      </c>
      <c r="J423" s="189">
        <f>IFERROR(__xludf.DUMMYFUNCTION("""COMPUTED_VALUE"""),2345.0)</f>
        <v>2345</v>
      </c>
      <c r="K423" s="189">
        <f>IFERROR(__xludf.DUMMYFUNCTION("""COMPUTED_VALUE"""),2193.0)</f>
        <v>2193</v>
      </c>
      <c r="L423" s="189">
        <f>IFERROR(__xludf.DUMMYFUNCTION("""COMPUTED_VALUE"""),2422.0)</f>
        <v>2422</v>
      </c>
      <c r="M423" s="189">
        <f>IFERROR(__xludf.DUMMYFUNCTION("""COMPUTED_VALUE"""),2988.0)</f>
        <v>2988</v>
      </c>
      <c r="N423" s="189">
        <f>IFERROR(__xludf.DUMMYFUNCTION("""COMPUTED_VALUE"""),3262.0)</f>
        <v>3262</v>
      </c>
      <c r="O423" s="189">
        <f>IFERROR(__xludf.DUMMYFUNCTION("""COMPUTED_VALUE"""),2981.0)</f>
        <v>2981</v>
      </c>
      <c r="P423" s="189">
        <f>IFERROR(__xludf.DUMMYFUNCTION("""COMPUTED_VALUE"""),3025.0)</f>
        <v>3025</v>
      </c>
      <c r="Q423" s="189">
        <f>IFERROR(__xludf.DUMMYFUNCTION("""COMPUTED_VALUE"""),3053.0)</f>
        <v>3053</v>
      </c>
      <c r="R423" s="186"/>
      <c r="S423" s="189">
        <f>IFERROR(__xludf.DUMMYFUNCTION("""COMPUTED_VALUE"""),3006.0)</f>
        <v>3006</v>
      </c>
    </row>
    <row r="424">
      <c r="A424" s="186" t="str">
        <f>IFERROR(__xludf.DUMMYFUNCTION("""COMPUTED_VALUE"""),"DE")</f>
        <v>DE</v>
      </c>
      <c r="B424" s="186" t="str">
        <f>IFERROR(__xludf.DUMMYFUNCTION("""COMPUTED_VALUE"""),"W04")</f>
        <v>W04</v>
      </c>
      <c r="C424" s="186">
        <f>IFERROR(__xludf.DUMMYFUNCTION("""COMPUTED_VALUE"""),302.0)</f>
        <v>302</v>
      </c>
      <c r="D424" s="186" t="str">
        <f>IFERROR(__xludf.DUMMYFUNCTION("""COMPUTED_VALUE"""),"CON-00-136674-3")</f>
        <v>CON-00-136674-3</v>
      </c>
      <c r="E424" s="186" t="str">
        <f>IFERROR(__xludf.DUMMYFUNCTION("""COMPUTED_VALUE"""),"Grilled chicken and ratatouille")</f>
        <v>Grilled chicken and ratatouille</v>
      </c>
      <c r="F424" s="186" t="str">
        <f>IFERROR(__xludf.DUMMYFUNCTION("""COMPUTED_VALUE"""),"Grillhähnchen und Ratatouille")</f>
        <v>Grillhähnchen und Ratatouille</v>
      </c>
      <c r="G424" s="186" t="str">
        <f>IFERROR(__xludf.DUMMYFUNCTION("""COMPUTED_VALUE"""),"FE4015A")</f>
        <v>FE4015A</v>
      </c>
      <c r="H424" s="186">
        <f>IFERROR(__xludf.DUMMYFUNCTION("""COMPUTED_VALUE"""),565072.0)</f>
        <v>565072</v>
      </c>
      <c r="I424" s="186" t="str">
        <f>IFERROR(__xludf.DUMMYFUNCTION("""COMPUTED_VALUE"""),"HF Gegrilde kipfilet en ratatouille 429g")</f>
        <v>HF Gegrilde kipfilet en ratatouille 429g</v>
      </c>
      <c r="J424" s="189">
        <f>IFERROR(__xludf.DUMMYFUNCTION("""COMPUTED_VALUE"""),1599.0)</f>
        <v>1599</v>
      </c>
      <c r="K424" s="189">
        <f>IFERROR(__xludf.DUMMYFUNCTION("""COMPUTED_VALUE"""),1492.0)</f>
        <v>1492</v>
      </c>
      <c r="L424" s="189">
        <f>IFERROR(__xludf.DUMMYFUNCTION("""COMPUTED_VALUE"""),1566.0)</f>
        <v>1566</v>
      </c>
      <c r="M424" s="189">
        <f>IFERROR(__xludf.DUMMYFUNCTION("""COMPUTED_VALUE"""),1994.0)</f>
        <v>1994</v>
      </c>
      <c r="N424" s="189">
        <f>IFERROR(__xludf.DUMMYFUNCTION("""COMPUTED_VALUE"""),2173.0)</f>
        <v>2173</v>
      </c>
      <c r="O424" s="189">
        <f>IFERROR(__xludf.DUMMYFUNCTION("""COMPUTED_VALUE"""),2024.0)</f>
        <v>2024</v>
      </c>
      <c r="P424" s="189">
        <f>IFERROR(__xludf.DUMMYFUNCTION("""COMPUTED_VALUE"""),2037.0)</f>
        <v>2037</v>
      </c>
      <c r="Q424" s="189">
        <f>IFERROR(__xludf.DUMMYFUNCTION("""COMPUTED_VALUE"""),2085.0)</f>
        <v>2085</v>
      </c>
      <c r="R424" s="186"/>
      <c r="S424" s="189">
        <f>IFERROR(__xludf.DUMMYFUNCTION("""COMPUTED_VALUE"""),2064.0)</f>
        <v>2064</v>
      </c>
    </row>
    <row r="425">
      <c r="A425" s="186" t="str">
        <f>IFERROR(__xludf.DUMMYFUNCTION("""COMPUTED_VALUE"""),"DE")</f>
        <v>DE</v>
      </c>
      <c r="B425" s="186" t="str">
        <f>IFERROR(__xludf.DUMMYFUNCTION("""COMPUTED_VALUE"""),"W04")</f>
        <v>W04</v>
      </c>
      <c r="C425" s="186">
        <f>IFERROR(__xludf.DUMMYFUNCTION("""COMPUTED_VALUE"""),303.0)</f>
        <v>303</v>
      </c>
      <c r="D425" s="186" t="str">
        <f>IFERROR(__xludf.DUMMYFUNCTION("""COMPUTED_VALUE"""),"CON-00-136657-3")</f>
        <v>CON-00-136657-3</v>
      </c>
      <c r="E425" s="186" t="str">
        <f>IFERROR(__xludf.DUMMYFUNCTION("""COMPUTED_VALUE"""),"Courgette-spaghetti bolognese")</f>
        <v>Courgette-spaghetti bolognese</v>
      </c>
      <c r="F425" s="186" t="str">
        <f>IFERROR(__xludf.DUMMYFUNCTION("""COMPUTED_VALUE"""),"Zucchini-Spaghetti Bolognese")</f>
        <v>Zucchini-Spaghetti Bolognese</v>
      </c>
      <c r="G425" s="186" t="str">
        <f>IFERROR(__xludf.DUMMYFUNCTION("""COMPUTED_VALUE"""),"FE0849A")</f>
        <v>FE0849A</v>
      </c>
      <c r="H425" s="186">
        <f>IFERROR(__xludf.DUMMYFUNCTION("""COMPUTED_VALUE"""),565060.0)</f>
        <v>565060</v>
      </c>
      <c r="I425" s="186" t="str">
        <f>IFERROR(__xludf.DUMMYFUNCTION("""COMPUTED_VALUE"""),"HF Courgette-spaghetti bolognese 352g")</f>
        <v>HF Courgette-spaghetti bolognese 352g</v>
      </c>
      <c r="J425" s="189">
        <f>IFERROR(__xludf.DUMMYFUNCTION("""COMPUTED_VALUE"""),1665.0)</f>
        <v>1665</v>
      </c>
      <c r="K425" s="189">
        <f>IFERROR(__xludf.DUMMYFUNCTION("""COMPUTED_VALUE"""),1583.0)</f>
        <v>1583</v>
      </c>
      <c r="L425" s="189">
        <f>IFERROR(__xludf.DUMMYFUNCTION("""COMPUTED_VALUE"""),1708.0)</f>
        <v>1708</v>
      </c>
      <c r="M425" s="189">
        <f>IFERROR(__xludf.DUMMYFUNCTION("""COMPUTED_VALUE"""),1961.0)</f>
        <v>1961</v>
      </c>
      <c r="N425" s="189">
        <f>IFERROR(__xludf.DUMMYFUNCTION("""COMPUTED_VALUE"""),2081.0)</f>
        <v>2081</v>
      </c>
      <c r="O425" s="189">
        <f>IFERROR(__xludf.DUMMYFUNCTION("""COMPUTED_VALUE"""),1936.0)</f>
        <v>1936</v>
      </c>
      <c r="P425" s="189">
        <f>IFERROR(__xludf.DUMMYFUNCTION("""COMPUTED_VALUE"""),1942.0)</f>
        <v>1942</v>
      </c>
      <c r="Q425" s="189">
        <f>IFERROR(__xludf.DUMMYFUNCTION("""COMPUTED_VALUE"""),1982.0)</f>
        <v>1982</v>
      </c>
      <c r="R425" s="186"/>
      <c r="S425" s="189">
        <f>IFERROR(__xludf.DUMMYFUNCTION("""COMPUTED_VALUE"""),1907.0)</f>
        <v>1907</v>
      </c>
    </row>
    <row r="426">
      <c r="A426" s="186" t="str">
        <f>IFERROR(__xludf.DUMMYFUNCTION("""COMPUTED_VALUE"""),"DE")</f>
        <v>DE</v>
      </c>
      <c r="B426" s="186" t="str">
        <f>IFERROR(__xludf.DUMMYFUNCTION("""COMPUTED_VALUE"""),"W04")</f>
        <v>W04</v>
      </c>
      <c r="C426" s="186">
        <f>IFERROR(__xludf.DUMMYFUNCTION("""COMPUTED_VALUE"""),304.0)</f>
        <v>304</v>
      </c>
      <c r="D426" s="186" t="str">
        <f>IFERROR(__xludf.DUMMYFUNCTION("""COMPUTED_VALUE"""),"CON-00-136719-3")</f>
        <v>CON-00-136719-3</v>
      </c>
      <c r="E426" s="186" t="str">
        <f>IFERROR(__xludf.DUMMYFUNCTION("""COMPUTED_VALUE"""),"Salmon on tomato risotto")</f>
        <v>Salmon on tomato risotto</v>
      </c>
      <c r="F426" s="186" t="str">
        <f>IFERROR(__xludf.DUMMYFUNCTION("""COMPUTED_VALUE"""),"Lachs auf Tomatenrisotto")</f>
        <v>Lachs auf Tomatenrisotto</v>
      </c>
      <c r="G426" s="186" t="str">
        <f>IFERROR(__xludf.DUMMYFUNCTION("""COMPUTED_VALUE"""),"FE4044C")</f>
        <v>FE4044C</v>
      </c>
      <c r="H426" s="186">
        <f>IFERROR(__xludf.DUMMYFUNCTION("""COMPUTED_VALUE"""),565104.0)</f>
        <v>565104</v>
      </c>
      <c r="I426" s="186" t="str">
        <f>IFERROR(__xludf.DUMMYFUNCTION("""COMPUTED_VALUE"""),"HF Zalm op tomatenrisotto")</f>
        <v>HF Zalm op tomatenrisotto</v>
      </c>
      <c r="J426" s="189">
        <f>IFERROR(__xludf.DUMMYFUNCTION("""COMPUTED_VALUE"""),2198.0)</f>
        <v>2198</v>
      </c>
      <c r="K426" s="189">
        <f>IFERROR(__xludf.DUMMYFUNCTION("""COMPUTED_VALUE"""),1797.0)</f>
        <v>1797</v>
      </c>
      <c r="L426" s="189">
        <f>IFERROR(__xludf.DUMMYFUNCTION("""COMPUTED_VALUE"""),1684.0)</f>
        <v>1684</v>
      </c>
      <c r="M426" s="189">
        <f>IFERROR(__xludf.DUMMYFUNCTION("""COMPUTED_VALUE"""),2047.0)</f>
        <v>2047</v>
      </c>
      <c r="N426" s="189">
        <f>IFERROR(__xludf.DUMMYFUNCTION("""COMPUTED_VALUE"""),2266.0)</f>
        <v>2266</v>
      </c>
      <c r="O426" s="189">
        <f>IFERROR(__xludf.DUMMYFUNCTION("""COMPUTED_VALUE"""),2101.0)</f>
        <v>2101</v>
      </c>
      <c r="P426" s="189">
        <f>IFERROR(__xludf.DUMMYFUNCTION("""COMPUTED_VALUE"""),2136.0)</f>
        <v>2136</v>
      </c>
      <c r="Q426" s="189">
        <f>IFERROR(__xludf.DUMMYFUNCTION("""COMPUTED_VALUE"""),2166.0)</f>
        <v>2166</v>
      </c>
      <c r="R426" s="186"/>
      <c r="S426" s="189">
        <f>IFERROR(__xludf.DUMMYFUNCTION("""COMPUTED_VALUE"""),2106.0)</f>
        <v>2106</v>
      </c>
    </row>
    <row r="427">
      <c r="A427" s="186" t="str">
        <f>IFERROR(__xludf.DUMMYFUNCTION("""COMPUTED_VALUE"""),"DE")</f>
        <v>DE</v>
      </c>
      <c r="B427" s="186" t="str">
        <f>IFERROR(__xludf.DUMMYFUNCTION("""COMPUTED_VALUE"""),"W04")</f>
        <v>W04</v>
      </c>
      <c r="C427" s="186">
        <f>IFERROR(__xludf.DUMMYFUNCTION("""COMPUTED_VALUE"""),305.0)</f>
        <v>305</v>
      </c>
      <c r="D427" s="186" t="str">
        <f>IFERROR(__xludf.DUMMYFUNCTION("""COMPUTED_VALUE"""),"CON-00-136620-3")</f>
        <v>CON-00-136620-3</v>
      </c>
      <c r="E427" s="186" t="str">
        <f>IFERROR(__xludf.DUMMYFUNCTION("""COMPUTED_VALUE"""),"Chicken à la Florentine")</f>
        <v>Chicken à la Florentine</v>
      </c>
      <c r="F427" s="186" t="str">
        <f>IFERROR(__xludf.DUMMYFUNCTION("""COMPUTED_VALUE"""),"Hähnchen à la Florentine")</f>
        <v>Hähnchen à la Florentine</v>
      </c>
      <c r="G427" s="186" t="str">
        <f>IFERROR(__xludf.DUMMYFUNCTION("""COMPUTED_VALUE"""),"FE0224C")</f>
        <v>FE0224C</v>
      </c>
      <c r="H427" s="186">
        <f>IFERROR(__xludf.DUMMYFUNCTION("""COMPUTED_VALUE"""),565047.0)</f>
        <v>565047</v>
      </c>
      <c r="I427" s="186" t="str">
        <f>IFERROR(__xludf.DUMMYFUNCTION("""COMPUTED_VALUE"""),"HF Kip Florentine 404g")</f>
        <v>HF Kip Florentine 404g</v>
      </c>
      <c r="J427" s="189">
        <f>IFERROR(__xludf.DUMMYFUNCTION("""COMPUTED_VALUE"""),1906.0)</f>
        <v>1906</v>
      </c>
      <c r="K427" s="189">
        <f>IFERROR(__xludf.DUMMYFUNCTION("""COMPUTED_VALUE"""),1477.0)</f>
        <v>1477</v>
      </c>
      <c r="L427" s="189">
        <f>IFERROR(__xludf.DUMMYFUNCTION("""COMPUTED_VALUE"""),1520.0)</f>
        <v>1520</v>
      </c>
      <c r="M427" s="189">
        <f>IFERROR(__xludf.DUMMYFUNCTION("""COMPUTED_VALUE"""),1792.0)</f>
        <v>1792</v>
      </c>
      <c r="N427" s="189">
        <f>IFERROR(__xludf.DUMMYFUNCTION("""COMPUTED_VALUE"""),2029.0)</f>
        <v>2029</v>
      </c>
      <c r="O427" s="189">
        <f>IFERROR(__xludf.DUMMYFUNCTION("""COMPUTED_VALUE"""),1901.0)</f>
        <v>1901</v>
      </c>
      <c r="P427" s="189">
        <f>IFERROR(__xludf.DUMMYFUNCTION("""COMPUTED_VALUE"""),1896.0)</f>
        <v>1896</v>
      </c>
      <c r="Q427" s="189">
        <f>IFERROR(__xludf.DUMMYFUNCTION("""COMPUTED_VALUE"""),1928.0)</f>
        <v>1928</v>
      </c>
      <c r="R427" s="186"/>
      <c r="S427" s="189">
        <f>IFERROR(__xludf.DUMMYFUNCTION("""COMPUTED_VALUE"""),1899.0)</f>
        <v>1899</v>
      </c>
    </row>
    <row r="428">
      <c r="A428" s="186" t="str">
        <f>IFERROR(__xludf.DUMMYFUNCTION("""COMPUTED_VALUE"""),"DE")</f>
        <v>DE</v>
      </c>
      <c r="B428" s="186" t="str">
        <f>IFERROR(__xludf.DUMMYFUNCTION("""COMPUTED_VALUE"""),"W04")</f>
        <v>W04</v>
      </c>
      <c r="C428" s="186">
        <f>IFERROR(__xludf.DUMMYFUNCTION("""COMPUTED_VALUE"""),306.0)</f>
        <v>306</v>
      </c>
      <c r="D428" s="186" t="str">
        <f>IFERROR(__xludf.DUMMYFUNCTION("""COMPUTED_VALUE"""),"CON-00-136617-3")</f>
        <v>CON-00-136617-3</v>
      </c>
      <c r="E428" s="186" t="str">
        <f>IFERROR(__xludf.DUMMYFUNCTION("""COMPUTED_VALUE"""),"Salmon on cheesy cauliflower rice")</f>
        <v>Salmon on cheesy cauliflower rice</v>
      </c>
      <c r="F428" s="186" t="str">
        <f>IFERROR(__xludf.DUMMYFUNCTION("""COMPUTED_VALUE"""),"Lachs auf Blumenkohlreis in Käsecreme")</f>
        <v>Lachs auf Blumenkohlreis in Käsecreme</v>
      </c>
      <c r="G428" s="186" t="str">
        <f>IFERROR(__xludf.DUMMYFUNCTION("""COMPUTED_VALUE"""),"FE0036E")</f>
        <v>FE0036E</v>
      </c>
      <c r="H428" s="186">
        <f>IFERROR(__xludf.DUMMYFUNCTION("""COMPUTED_VALUE"""),565042.0)</f>
        <v>565042</v>
      </c>
      <c r="I428" s="186" t="str">
        <f>IFERROR(__xludf.DUMMYFUNCTION("""COMPUTED_VALUE"""),"HF Zalm+cheesy bloemk rijst")</f>
        <v>HF Zalm+cheesy bloemk rijst</v>
      </c>
      <c r="J428" s="189">
        <f>IFERROR(__xludf.DUMMYFUNCTION("""COMPUTED_VALUE"""),1572.0)</f>
        <v>1572</v>
      </c>
      <c r="K428" s="189">
        <f>IFERROR(__xludf.DUMMYFUNCTION("""COMPUTED_VALUE"""),1530.0)</f>
        <v>1530</v>
      </c>
      <c r="L428" s="189">
        <f>IFERROR(__xludf.DUMMYFUNCTION("""COMPUTED_VALUE"""),1619.0)</f>
        <v>1619</v>
      </c>
      <c r="M428" s="189">
        <f>IFERROR(__xludf.DUMMYFUNCTION("""COMPUTED_VALUE"""),1832.0)</f>
        <v>1832</v>
      </c>
      <c r="N428" s="189">
        <f>IFERROR(__xludf.DUMMYFUNCTION("""COMPUTED_VALUE"""),2012.0)</f>
        <v>2012</v>
      </c>
      <c r="O428" s="189">
        <f>IFERROR(__xludf.DUMMYFUNCTION("""COMPUTED_VALUE"""),1980.0)</f>
        <v>1980</v>
      </c>
      <c r="P428" s="189">
        <f>IFERROR(__xludf.DUMMYFUNCTION("""COMPUTED_VALUE"""),1999.0)</f>
        <v>1999</v>
      </c>
      <c r="Q428" s="189">
        <f>IFERROR(__xludf.DUMMYFUNCTION("""COMPUTED_VALUE"""),2034.0)</f>
        <v>2034</v>
      </c>
      <c r="R428" s="186"/>
      <c r="S428" s="189">
        <f>IFERROR(__xludf.DUMMYFUNCTION("""COMPUTED_VALUE"""),2051.0)</f>
        <v>2051</v>
      </c>
    </row>
    <row r="429">
      <c r="A429" s="186" t="str">
        <f>IFERROR(__xludf.DUMMYFUNCTION("""COMPUTED_VALUE"""),"DE")</f>
        <v>DE</v>
      </c>
      <c r="B429" s="186" t="str">
        <f>IFERROR(__xludf.DUMMYFUNCTION("""COMPUTED_VALUE"""),"W04")</f>
        <v>W04</v>
      </c>
      <c r="C429" s="186">
        <f>IFERROR(__xludf.DUMMYFUNCTION("""COMPUTED_VALUE"""),307.0)</f>
        <v>307</v>
      </c>
      <c r="D429" s="186" t="str">
        <f>IFERROR(__xludf.DUMMYFUNCTION("""COMPUTED_VALUE"""),"CON-00-136623-3")</f>
        <v>CON-00-136623-3</v>
      </c>
      <c r="E429" s="186" t="str">
        <f>IFERROR(__xludf.DUMMYFUNCTION("""COMPUTED_VALUE"""),"Indian style butter chicken")</f>
        <v>Indian style butter chicken</v>
      </c>
      <c r="F429" s="186" t="str">
        <f>IFERROR(__xludf.DUMMYFUNCTION("""COMPUTED_VALUE"""),"Indisches Butterhuhn")</f>
        <v>Indisches Butterhuhn</v>
      </c>
      <c r="G429" s="186" t="str">
        <f>IFERROR(__xludf.DUMMYFUNCTION("""COMPUTED_VALUE"""),"FE0472B")</f>
        <v>FE0472B</v>
      </c>
      <c r="H429" s="186">
        <f>IFERROR(__xludf.DUMMYFUNCTION("""COMPUTED_VALUE"""),565145.0)</f>
        <v>565145</v>
      </c>
      <c r="I429" s="186" t="str">
        <f>IFERROR(__xludf.DUMMYFUNCTION("""COMPUTED_VALUE"""),"HF RW Butter Chicken")</f>
        <v>HF RW Butter Chicken</v>
      </c>
      <c r="J429" s="189">
        <f>IFERROR(__xludf.DUMMYFUNCTION("""COMPUTED_VALUE"""),976.0)</f>
        <v>976</v>
      </c>
      <c r="K429" s="189">
        <f>IFERROR(__xludf.DUMMYFUNCTION("""COMPUTED_VALUE"""),911.0)</f>
        <v>911</v>
      </c>
      <c r="L429" s="189">
        <f>IFERROR(__xludf.DUMMYFUNCTION("""COMPUTED_VALUE"""),1405.0)</f>
        <v>1405</v>
      </c>
      <c r="M429" s="189">
        <f>IFERROR(__xludf.DUMMYFUNCTION("""COMPUTED_VALUE"""),1670.0)</f>
        <v>1670</v>
      </c>
      <c r="N429" s="189">
        <f>IFERROR(__xludf.DUMMYFUNCTION("""COMPUTED_VALUE"""),1734.0)</f>
        <v>1734</v>
      </c>
      <c r="O429" s="189">
        <f>IFERROR(__xludf.DUMMYFUNCTION("""COMPUTED_VALUE"""),1624.0)</f>
        <v>1624</v>
      </c>
      <c r="P429" s="189">
        <f>IFERROR(__xludf.DUMMYFUNCTION("""COMPUTED_VALUE"""),1619.0)</f>
        <v>1619</v>
      </c>
      <c r="Q429" s="189">
        <f>IFERROR(__xludf.DUMMYFUNCTION("""COMPUTED_VALUE"""),1643.0)</f>
        <v>1643</v>
      </c>
      <c r="R429" s="186"/>
      <c r="S429" s="189">
        <f>IFERROR(__xludf.DUMMYFUNCTION("""COMPUTED_VALUE"""),1650.0)</f>
        <v>1650</v>
      </c>
    </row>
    <row r="430">
      <c r="A430" s="186" t="str">
        <f>IFERROR(__xludf.DUMMYFUNCTION("""COMPUTED_VALUE"""),"DE")</f>
        <v>DE</v>
      </c>
      <c r="B430" s="186" t="str">
        <f>IFERROR(__xludf.DUMMYFUNCTION("""COMPUTED_VALUE"""),"W04")</f>
        <v>W04</v>
      </c>
      <c r="C430" s="186">
        <f>IFERROR(__xludf.DUMMYFUNCTION("""COMPUTED_VALUE"""),308.0)</f>
        <v>308</v>
      </c>
      <c r="D430" s="186" t="str">
        <f>IFERROR(__xludf.DUMMYFUNCTION("""COMPUTED_VALUE"""),"CON-00-136711-3")</f>
        <v>CON-00-136711-3</v>
      </c>
      <c r="E430" s="186" t="str">
        <f>IFERROR(__xludf.DUMMYFUNCTION("""COMPUTED_VALUE"""),"Chicken in mushroom sauce")</f>
        <v>Chicken in mushroom sauce</v>
      </c>
      <c r="F430" s="186" t="str">
        <f>IFERROR(__xludf.DUMMYFUNCTION("""COMPUTED_VALUE"""),"Hähnchen in Pilzsauce")</f>
        <v>Hähnchen in Pilzsauce</v>
      </c>
      <c r="G430" s="186" t="str">
        <f>IFERROR(__xludf.DUMMYFUNCTION("""COMPUTED_VALUE"""),"FE4038B")</f>
        <v>FE4038B</v>
      </c>
      <c r="H430" s="186">
        <f>IFERROR(__xludf.DUMMYFUNCTION("""COMPUTED_VALUE"""),565160.0)</f>
        <v>565160</v>
      </c>
      <c r="I430" s="186"/>
      <c r="J430" s="189">
        <f>IFERROR(__xludf.DUMMYFUNCTION("""COMPUTED_VALUE"""),1423.0)</f>
        <v>1423</v>
      </c>
      <c r="K430" s="189">
        <f>IFERROR(__xludf.DUMMYFUNCTION("""COMPUTED_VALUE"""),1304.0)</f>
        <v>1304</v>
      </c>
      <c r="L430" s="189">
        <f>IFERROR(__xludf.DUMMYFUNCTION("""COMPUTED_VALUE"""),1310.0)</f>
        <v>1310</v>
      </c>
      <c r="M430" s="189">
        <f>IFERROR(__xludf.DUMMYFUNCTION("""COMPUTED_VALUE"""),1500.0)</f>
        <v>1500</v>
      </c>
      <c r="N430" s="189">
        <f>IFERROR(__xludf.DUMMYFUNCTION("""COMPUTED_VALUE"""),1560.0)</f>
        <v>1560</v>
      </c>
      <c r="O430" s="189">
        <f>IFERROR(__xludf.DUMMYFUNCTION("""COMPUTED_VALUE"""),1505.0)</f>
        <v>1505</v>
      </c>
      <c r="P430" s="189">
        <f>IFERROR(__xludf.DUMMYFUNCTION("""COMPUTED_VALUE"""),1517.0)</f>
        <v>1517</v>
      </c>
      <c r="Q430" s="189">
        <f>IFERROR(__xludf.DUMMYFUNCTION("""COMPUTED_VALUE"""),1550.0)</f>
        <v>1550</v>
      </c>
      <c r="R430" s="186"/>
      <c r="S430" s="189">
        <f>IFERROR(__xludf.DUMMYFUNCTION("""COMPUTED_VALUE"""),1562.0)</f>
        <v>1562</v>
      </c>
    </row>
    <row r="431">
      <c r="A431" s="186" t="str">
        <f>IFERROR(__xludf.DUMMYFUNCTION("""COMPUTED_VALUE"""),"DE")</f>
        <v>DE</v>
      </c>
      <c r="B431" s="186" t="str">
        <f>IFERROR(__xludf.DUMMYFUNCTION("""COMPUTED_VALUE"""),"W04")</f>
        <v>W04</v>
      </c>
      <c r="C431" s="186">
        <f>IFERROR(__xludf.DUMMYFUNCTION("""COMPUTED_VALUE"""),309.0)</f>
        <v>309</v>
      </c>
      <c r="D431" s="186" t="str">
        <f>IFERROR(__xludf.DUMMYFUNCTION("""COMPUTED_VALUE"""),"CON-00-136629-3")</f>
        <v>CON-00-136629-3</v>
      </c>
      <c r="E431" s="186" t="str">
        <f>IFERROR(__xludf.DUMMYFUNCTION("""COMPUTED_VALUE"""),"Creamy tomato risotto")</f>
        <v>Creamy tomato risotto</v>
      </c>
      <c r="F431" s="186" t="str">
        <f>IFERROR(__xludf.DUMMYFUNCTION("""COMPUTED_VALUE"""),"Cremiges Tomaten-Risotto")</f>
        <v>Cremiges Tomaten-Risotto</v>
      </c>
      <c r="G431" s="186" t="str">
        <f>IFERROR(__xludf.DUMMYFUNCTION("""COMPUTED_VALUE"""),"FE0031C")</f>
        <v>FE0031C</v>
      </c>
      <c r="H431" s="186">
        <f>IFERROR(__xludf.DUMMYFUNCTION("""COMPUTED_VALUE"""),565244.0)</f>
        <v>565244</v>
      </c>
      <c r="I431" s="186" t="str">
        <f>IFERROR(__xludf.DUMMYFUNCTION("""COMPUTED_VALUE"""),"IO HF Romige tomatenrisotto V2")</f>
        <v>IO HF Romige tomatenrisotto V2</v>
      </c>
      <c r="J431" s="189">
        <f>IFERROR(__xludf.DUMMYFUNCTION("""COMPUTED_VALUE"""),310.0)</f>
        <v>310</v>
      </c>
      <c r="K431" s="189">
        <f>IFERROR(__xludf.DUMMYFUNCTION("""COMPUTED_VALUE"""),270.0)</f>
        <v>270</v>
      </c>
      <c r="L431" s="189">
        <f>IFERROR(__xludf.DUMMYFUNCTION("""COMPUTED_VALUE"""),215.0)</f>
        <v>215</v>
      </c>
      <c r="M431" s="189">
        <f>IFERROR(__xludf.DUMMYFUNCTION("""COMPUTED_VALUE"""),273.0)</f>
        <v>273</v>
      </c>
      <c r="N431" s="189">
        <f>IFERROR(__xludf.DUMMYFUNCTION("""COMPUTED_VALUE"""),293.0)</f>
        <v>293</v>
      </c>
      <c r="O431" s="189">
        <f>IFERROR(__xludf.DUMMYFUNCTION("""COMPUTED_VALUE"""),318.0)</f>
        <v>318</v>
      </c>
      <c r="P431" s="189">
        <f>IFERROR(__xludf.DUMMYFUNCTION("""COMPUTED_VALUE"""),303.0)</f>
        <v>303</v>
      </c>
      <c r="Q431" s="189">
        <f>IFERROR(__xludf.DUMMYFUNCTION("""COMPUTED_VALUE"""),339.0)</f>
        <v>339</v>
      </c>
      <c r="R431" s="186"/>
      <c r="S431" s="189">
        <f>IFERROR(__xludf.DUMMYFUNCTION("""COMPUTED_VALUE"""),367.0)</f>
        <v>367</v>
      </c>
    </row>
    <row r="432">
      <c r="A432" s="186" t="str">
        <f>IFERROR(__xludf.DUMMYFUNCTION("""COMPUTED_VALUE"""),"DE")</f>
        <v>DE</v>
      </c>
      <c r="B432" s="186" t="str">
        <f>IFERROR(__xludf.DUMMYFUNCTION("""COMPUTED_VALUE"""),"W04")</f>
        <v>W04</v>
      </c>
      <c r="C432" s="186">
        <f>IFERROR(__xludf.DUMMYFUNCTION("""COMPUTED_VALUE"""),310.0)</f>
        <v>310</v>
      </c>
      <c r="D432" s="186" t="str">
        <f>IFERROR(__xludf.DUMMYFUNCTION("""COMPUTED_VALUE"""),"CON-00-136634-3")</f>
        <v>CON-00-136634-3</v>
      </c>
      <c r="E432" s="186" t="str">
        <f>IFERROR(__xludf.DUMMYFUNCTION("""COMPUTED_VALUE"""),"Ratatouille of zucchini and pepper")</f>
        <v>Ratatouille of zucchini and pepper</v>
      </c>
      <c r="F432" s="186" t="str">
        <f>IFERROR(__xludf.DUMMYFUNCTION("""COMPUTED_VALUE"""),"Zucchini-Paprika-Ratatouille")</f>
        <v>Zucchini-Paprika-Ratatouille</v>
      </c>
      <c r="G432" s="186" t="str">
        <f>IFERROR(__xludf.DUMMYFUNCTION("""COMPUTED_VALUE"""),"FE0090C")</f>
        <v>FE0090C</v>
      </c>
      <c r="H432" s="186">
        <f>IFERROR(__xludf.DUMMYFUNCTION("""COMPUTED_VALUE"""),565141.0)</f>
        <v>565141</v>
      </c>
      <c r="I432" s="186"/>
      <c r="J432" s="189">
        <f>IFERROR(__xludf.DUMMYFUNCTION("""COMPUTED_VALUE"""),352.0)</f>
        <v>352</v>
      </c>
      <c r="K432" s="189">
        <f>IFERROR(__xludf.DUMMYFUNCTION("""COMPUTED_VALUE"""),295.0)</f>
        <v>295</v>
      </c>
      <c r="L432" s="189">
        <f>IFERROR(__xludf.DUMMYFUNCTION("""COMPUTED_VALUE"""),244.0)</f>
        <v>244</v>
      </c>
      <c r="M432" s="189">
        <f>IFERROR(__xludf.DUMMYFUNCTION("""COMPUTED_VALUE"""),297.0)</f>
        <v>297</v>
      </c>
      <c r="N432" s="189">
        <f>IFERROR(__xludf.DUMMYFUNCTION("""COMPUTED_VALUE"""),307.0)</f>
        <v>307</v>
      </c>
      <c r="O432" s="189">
        <f>IFERROR(__xludf.DUMMYFUNCTION("""COMPUTED_VALUE"""),328.0)</f>
        <v>328</v>
      </c>
      <c r="P432" s="189">
        <f>IFERROR(__xludf.DUMMYFUNCTION("""COMPUTED_VALUE"""),296.0)</f>
        <v>296</v>
      </c>
      <c r="Q432" s="189">
        <f>IFERROR(__xludf.DUMMYFUNCTION("""COMPUTED_VALUE"""),315.0)</f>
        <v>315</v>
      </c>
      <c r="R432" s="186"/>
      <c r="S432" s="189">
        <f>IFERROR(__xludf.DUMMYFUNCTION("""COMPUTED_VALUE"""),341.0)</f>
        <v>341</v>
      </c>
    </row>
    <row r="433">
      <c r="A433" s="186" t="str">
        <f>IFERROR(__xludf.DUMMYFUNCTION("""COMPUTED_VALUE"""),"DE")</f>
        <v>DE</v>
      </c>
      <c r="B433" s="186" t="str">
        <f>IFERROR(__xludf.DUMMYFUNCTION("""COMPUTED_VALUE"""),"W04")</f>
        <v>W04</v>
      </c>
      <c r="C433" s="186">
        <f>IFERROR(__xludf.DUMMYFUNCTION("""COMPUTED_VALUE"""),311.0)</f>
        <v>311</v>
      </c>
      <c r="D433" s="186" t="str">
        <f>IFERROR(__xludf.DUMMYFUNCTION("""COMPUTED_VALUE"""),"CON-00-139494-2")</f>
        <v>CON-00-139494-2</v>
      </c>
      <c r="E433" s="186" t="str">
        <f>IFERROR(__xludf.DUMMYFUNCTION("""COMPUTED_VALUE"""),"Artichoke &amp; Spinach Pork tenderloin")</f>
        <v>Artichoke &amp; Spinach Pork tenderloin</v>
      </c>
      <c r="F433" s="186" t="str">
        <f>IFERROR(__xludf.DUMMYFUNCTION("""COMPUTED_VALUE"""),"Schweinefilet mit Artischocken und Spinat")</f>
        <v>Schweinefilet mit Artischocken und Spinat</v>
      </c>
      <c r="G433" s="186" t="str">
        <f>IFERROR(__xludf.DUMMYFUNCTION("""COMPUTED_VALUE"""),"FE4060A")</f>
        <v>FE4060A</v>
      </c>
      <c r="H433" s="186">
        <f>IFERROR(__xludf.DUMMYFUNCTION("""COMPUTED_VALUE"""),565134.0)</f>
        <v>565134</v>
      </c>
      <c r="I433" s="186"/>
      <c r="J433" s="189">
        <f>IFERROR(__xludf.DUMMYFUNCTION("""COMPUTED_VALUE"""),685.0)</f>
        <v>685</v>
      </c>
      <c r="K433" s="189">
        <f>IFERROR(__xludf.DUMMYFUNCTION("""COMPUTED_VALUE"""),767.0)</f>
        <v>767</v>
      </c>
      <c r="L433" s="189">
        <f>IFERROR(__xludf.DUMMYFUNCTION("""COMPUTED_VALUE"""),384.0)</f>
        <v>384</v>
      </c>
      <c r="M433" s="189">
        <f>IFERROR(__xludf.DUMMYFUNCTION("""COMPUTED_VALUE"""),306.0)</f>
        <v>306</v>
      </c>
      <c r="N433" s="189">
        <f>IFERROR(__xludf.DUMMYFUNCTION("""COMPUTED_VALUE"""),314.0)</f>
        <v>314</v>
      </c>
      <c r="O433" s="189">
        <f>IFERROR(__xludf.DUMMYFUNCTION("""COMPUTED_VALUE"""),338.0)</f>
        <v>338</v>
      </c>
      <c r="P433" s="189">
        <f>IFERROR(__xludf.DUMMYFUNCTION("""COMPUTED_VALUE"""),337.0)</f>
        <v>337</v>
      </c>
      <c r="Q433" s="189">
        <f>IFERROR(__xludf.DUMMYFUNCTION("""COMPUTED_VALUE"""),349.0)</f>
        <v>349</v>
      </c>
      <c r="R433" s="186"/>
      <c r="S433" s="189">
        <f>IFERROR(__xludf.DUMMYFUNCTION("""COMPUTED_VALUE"""),365.0)</f>
        <v>365</v>
      </c>
    </row>
    <row r="434">
      <c r="A434" s="186" t="str">
        <f>IFERROR(__xludf.DUMMYFUNCTION("""COMPUTED_VALUE"""),"DE")</f>
        <v>DE</v>
      </c>
      <c r="B434" s="186" t="str">
        <f>IFERROR(__xludf.DUMMYFUNCTION("""COMPUTED_VALUE"""),"W04")</f>
        <v>W04</v>
      </c>
      <c r="C434" s="186">
        <f>IFERROR(__xludf.DUMMYFUNCTION("""COMPUTED_VALUE"""),312.0)</f>
        <v>312</v>
      </c>
      <c r="D434" s="186" t="str">
        <f>IFERROR(__xludf.DUMMYFUNCTION("""COMPUTED_VALUE"""),"CON-00-154552-2")</f>
        <v>CON-00-154552-2</v>
      </c>
      <c r="E434" s="186" t="str">
        <f>IFERROR(__xludf.DUMMYFUNCTION("""COMPUTED_VALUE"""),"Tzatziki Salmon &amp; Lemon Rice")</f>
        <v>Tzatziki Salmon &amp; Lemon Rice</v>
      </c>
      <c r="F434" s="186" t="str">
        <f>IFERROR(__xludf.DUMMYFUNCTION("""COMPUTED_VALUE"""),"Tzatziki-Lachs &amp; Zitronenreis")</f>
        <v>Tzatziki-Lachs &amp; Zitronenreis</v>
      </c>
      <c r="G434" s="186" t="str">
        <f>IFERROR(__xludf.DUMMYFUNCTION("""COMPUTED_VALUE"""),"FE1439A")</f>
        <v>FE1439A</v>
      </c>
      <c r="H434" s="186">
        <f>IFERROR(__xludf.DUMMYFUNCTION("""COMPUTED_VALUE"""),565236.0)</f>
        <v>565236</v>
      </c>
      <c r="I434" s="186" t="str">
        <f>IFERROR(__xludf.DUMMYFUNCTION("""COMPUTED_VALUE"""),"HF Zalm met citroen rijst")</f>
        <v>HF Zalm met citroen rijst</v>
      </c>
      <c r="J434" s="189">
        <f>IFERROR(__xludf.DUMMYFUNCTION("""COMPUTED_VALUE"""),1162.0)</f>
        <v>1162</v>
      </c>
      <c r="K434" s="189">
        <f>IFERROR(__xludf.DUMMYFUNCTION("""COMPUTED_VALUE"""),1137.0)</f>
        <v>1137</v>
      </c>
      <c r="L434" s="189">
        <f>IFERROR(__xludf.DUMMYFUNCTION("""COMPUTED_VALUE"""),1288.0)</f>
        <v>1288</v>
      </c>
      <c r="M434" s="189">
        <f>IFERROR(__xludf.DUMMYFUNCTION("""COMPUTED_VALUE"""),1457.0)</f>
        <v>1457</v>
      </c>
      <c r="N434" s="189">
        <f>IFERROR(__xludf.DUMMYFUNCTION("""COMPUTED_VALUE"""),1624.0)</f>
        <v>1624</v>
      </c>
      <c r="O434" s="189">
        <f>IFERROR(__xludf.DUMMYFUNCTION("""COMPUTED_VALUE"""),1511.0)</f>
        <v>1511</v>
      </c>
      <c r="P434" s="189">
        <f>IFERROR(__xludf.DUMMYFUNCTION("""COMPUTED_VALUE"""),1555.0)</f>
        <v>1555</v>
      </c>
      <c r="Q434" s="189">
        <f>IFERROR(__xludf.DUMMYFUNCTION("""COMPUTED_VALUE"""),1565.0)</f>
        <v>1565</v>
      </c>
      <c r="R434" s="186"/>
      <c r="S434" s="189">
        <f>IFERROR(__xludf.DUMMYFUNCTION("""COMPUTED_VALUE"""),1671.0)</f>
        <v>1671</v>
      </c>
    </row>
    <row r="435">
      <c r="A435" s="186" t="str">
        <f>IFERROR(__xludf.DUMMYFUNCTION("""COMPUTED_VALUE"""),"DE")</f>
        <v>DE</v>
      </c>
      <c r="B435" s="186" t="str">
        <f>IFERROR(__xludf.DUMMYFUNCTION("""COMPUTED_VALUE"""),"W04")</f>
        <v>W04</v>
      </c>
      <c r="C435" s="186">
        <f>IFERROR(__xludf.DUMMYFUNCTION("""COMPUTED_VALUE"""),313.0)</f>
        <v>313</v>
      </c>
      <c r="D435" s="186" t="str">
        <f>IFERROR(__xludf.DUMMYFUNCTION("""COMPUTED_VALUE"""),"CON-00-152041-2")</f>
        <v>CON-00-152041-2</v>
      </c>
      <c r="E435" s="186" t="str">
        <f>IFERROR(__xludf.DUMMYFUNCTION("""COMPUTED_VALUE"""),"Honey Miso Chicken &amp; Scallion Rice")</f>
        <v>Honey Miso Chicken &amp; Scallion Rice</v>
      </c>
      <c r="F435" s="186" t="str">
        <f>IFERROR(__xludf.DUMMYFUNCTION("""COMPUTED_VALUE"""),"Honig-Miso-Hähnchen mit Frühlingszwiebelreis")</f>
        <v>Honig-Miso-Hähnchen mit Frühlingszwiebelreis</v>
      </c>
      <c r="G435" s="186" t="str">
        <f>IFERROR(__xludf.DUMMYFUNCTION("""COMPUTED_VALUE"""),"FE4067A")</f>
        <v>FE4067A</v>
      </c>
      <c r="H435" s="186">
        <f>IFERROR(__xludf.DUMMYFUNCTION("""COMPUTED_VALUE"""),565210.0)</f>
        <v>565210</v>
      </c>
      <c r="I435" s="186" t="str">
        <f>IFERROR(__xludf.DUMMYFUNCTION("""COMPUTED_VALUE"""),"HF Honing miso kip")</f>
        <v>HF Honing miso kip</v>
      </c>
      <c r="J435" s="189">
        <f>IFERROR(__xludf.DUMMYFUNCTION("""COMPUTED_VALUE"""),1285.0)</f>
        <v>1285</v>
      </c>
      <c r="K435" s="189">
        <f>IFERROR(__xludf.DUMMYFUNCTION("""COMPUTED_VALUE"""),1287.0)</f>
        <v>1287</v>
      </c>
      <c r="L435" s="189">
        <f>IFERROR(__xludf.DUMMYFUNCTION("""COMPUTED_VALUE"""),1593.0)</f>
        <v>1593</v>
      </c>
      <c r="M435" s="189">
        <f>IFERROR(__xludf.DUMMYFUNCTION("""COMPUTED_VALUE"""),1906.0)</f>
        <v>1906</v>
      </c>
      <c r="N435" s="189">
        <f>IFERROR(__xludf.DUMMYFUNCTION("""COMPUTED_VALUE"""),2043.0)</f>
        <v>2043</v>
      </c>
      <c r="O435" s="189">
        <f>IFERROR(__xludf.DUMMYFUNCTION("""COMPUTED_VALUE"""),1928.0)</f>
        <v>1928</v>
      </c>
      <c r="P435" s="189">
        <f>IFERROR(__xludf.DUMMYFUNCTION("""COMPUTED_VALUE"""),1940.0)</f>
        <v>1940</v>
      </c>
      <c r="Q435" s="189">
        <f>IFERROR(__xludf.DUMMYFUNCTION("""COMPUTED_VALUE"""),1944.0)</f>
        <v>1944</v>
      </c>
      <c r="R435" s="186"/>
      <c r="S435" s="189">
        <f>IFERROR(__xludf.DUMMYFUNCTION("""COMPUTED_VALUE"""),2023.0)</f>
        <v>2023</v>
      </c>
    </row>
    <row r="436">
      <c r="A436" s="186" t="str">
        <f>IFERROR(__xludf.DUMMYFUNCTION("""COMPUTED_VALUE"""),"DE")</f>
        <v>DE</v>
      </c>
      <c r="B436" s="186" t="str">
        <f>IFERROR(__xludf.DUMMYFUNCTION("""COMPUTED_VALUE"""),"W04")</f>
        <v>W04</v>
      </c>
      <c r="C436" s="186">
        <f>IFERROR(__xludf.DUMMYFUNCTION("""COMPUTED_VALUE"""),314.0)</f>
        <v>314</v>
      </c>
      <c r="D436" s="186" t="str">
        <f>IFERROR(__xludf.DUMMYFUNCTION("""COMPUTED_VALUE"""),"CON-00-152024-2")</f>
        <v>CON-00-152024-2</v>
      </c>
      <c r="E436" s="186" t="str">
        <f>IFERROR(__xludf.DUMMYFUNCTION("""COMPUTED_VALUE"""),"Ginger Garlic Grilled Chicken")</f>
        <v>Ginger Garlic Grilled Chicken</v>
      </c>
      <c r="F436" s="186" t="str">
        <f>IFERROR(__xludf.DUMMYFUNCTION("""COMPUTED_VALUE"""),"Gegrilltes Hähnchen in Ingwer-Knoblauch-Marinade")</f>
        <v>Gegrilltes Hähnchen in Ingwer-Knoblauch-Marinade</v>
      </c>
      <c r="G436" s="186" t="str">
        <f>IFERROR(__xludf.DUMMYFUNCTION("""COMPUTED_VALUE"""),"FE4064A")</f>
        <v>FE4064A</v>
      </c>
      <c r="H436" s="186">
        <f>IFERROR(__xludf.DUMMYFUNCTION("""COMPUTED_VALUE"""),565211.0)</f>
        <v>565211</v>
      </c>
      <c r="I436" s="186" t="str">
        <f>IFERROR(__xludf.DUMMYFUNCTION("""COMPUTED_VALUE"""),"HF Gember knoflook kip")</f>
        <v>HF Gember knoflook kip</v>
      </c>
      <c r="J436" s="189">
        <f>IFERROR(__xludf.DUMMYFUNCTION("""COMPUTED_VALUE"""),806.0)</f>
        <v>806</v>
      </c>
      <c r="K436" s="189">
        <f>IFERROR(__xludf.DUMMYFUNCTION("""COMPUTED_VALUE"""),712.0)</f>
        <v>712</v>
      </c>
      <c r="L436" s="189">
        <f>IFERROR(__xludf.DUMMYFUNCTION("""COMPUTED_VALUE"""),840.0)</f>
        <v>840</v>
      </c>
      <c r="M436" s="189">
        <f>IFERROR(__xludf.DUMMYFUNCTION("""COMPUTED_VALUE"""),888.0)</f>
        <v>888</v>
      </c>
      <c r="N436" s="189">
        <f>IFERROR(__xludf.DUMMYFUNCTION("""COMPUTED_VALUE"""),965.0)</f>
        <v>965</v>
      </c>
      <c r="O436" s="189">
        <f>IFERROR(__xludf.DUMMYFUNCTION("""COMPUTED_VALUE"""),921.0)</f>
        <v>921</v>
      </c>
      <c r="P436" s="189">
        <f>IFERROR(__xludf.DUMMYFUNCTION("""COMPUTED_VALUE"""),902.0)</f>
        <v>902</v>
      </c>
      <c r="Q436" s="189">
        <f>IFERROR(__xludf.DUMMYFUNCTION("""COMPUTED_VALUE"""),913.0)</f>
        <v>913</v>
      </c>
      <c r="R436" s="186"/>
      <c r="S436" s="189">
        <f>IFERROR(__xludf.DUMMYFUNCTION("""COMPUTED_VALUE"""),981.0)</f>
        <v>981</v>
      </c>
    </row>
    <row r="437">
      <c r="A437" s="186" t="str">
        <f>IFERROR(__xludf.DUMMYFUNCTION("""COMPUTED_VALUE"""),"DE")</f>
        <v>DE</v>
      </c>
      <c r="B437" s="186" t="str">
        <f>IFERROR(__xludf.DUMMYFUNCTION("""COMPUTED_VALUE"""),"W04")</f>
        <v>W04</v>
      </c>
      <c r="C437" s="186">
        <f>IFERROR(__xludf.DUMMYFUNCTION("""COMPUTED_VALUE"""),315.0)</f>
        <v>315</v>
      </c>
      <c r="D437" s="186" t="str">
        <f>IFERROR(__xludf.DUMMYFUNCTION("""COMPUTED_VALUE"""),"CON-00-136718-3")</f>
        <v>CON-00-136718-3</v>
      </c>
      <c r="E437" s="186" t="str">
        <f>IFERROR(__xludf.DUMMYFUNCTION("""COMPUTED_VALUE"""),"Beef with cauliflower mash")</f>
        <v>Beef with cauliflower mash</v>
      </c>
      <c r="F437" s="186" t="str">
        <f>IFERROR(__xludf.DUMMYFUNCTION("""COMPUTED_VALUE"""),"Rindfleisch mit Blumenkohlpüree")</f>
        <v>Rindfleisch mit Blumenkohlpüree</v>
      </c>
      <c r="G437" s="186" t="str">
        <f>IFERROR(__xludf.DUMMYFUNCTION("""COMPUTED_VALUE"""),"FE0745B")</f>
        <v>FE0745B</v>
      </c>
      <c r="H437" s="186">
        <f>IFERROR(__xludf.DUMMYFUNCTION("""COMPUTED_VALUE"""),565139.0)</f>
        <v>565139</v>
      </c>
      <c r="I437" s="186" t="str">
        <f>IFERROR(__xludf.DUMMYFUNCTION("""COMPUTED_VALUE"""),"HF Pulled beef met peccorino")</f>
        <v>HF Pulled beef met peccorino</v>
      </c>
      <c r="J437" s="189">
        <f>IFERROR(__xludf.DUMMYFUNCTION("""COMPUTED_VALUE"""),701.0)</f>
        <v>701</v>
      </c>
      <c r="K437" s="189">
        <f>IFERROR(__xludf.DUMMYFUNCTION("""COMPUTED_VALUE"""),719.0)</f>
        <v>719</v>
      </c>
      <c r="L437" s="189">
        <f>IFERROR(__xludf.DUMMYFUNCTION("""COMPUTED_VALUE"""),889.0)</f>
        <v>889</v>
      </c>
      <c r="M437" s="189">
        <f>IFERROR(__xludf.DUMMYFUNCTION("""COMPUTED_VALUE"""),986.0)</f>
        <v>986</v>
      </c>
      <c r="N437" s="189">
        <f>IFERROR(__xludf.DUMMYFUNCTION("""COMPUTED_VALUE"""),1083.0)</f>
        <v>1083</v>
      </c>
      <c r="O437" s="189">
        <f>IFERROR(__xludf.DUMMYFUNCTION("""COMPUTED_VALUE"""),1118.0)</f>
        <v>1118</v>
      </c>
      <c r="P437" s="189">
        <f>IFERROR(__xludf.DUMMYFUNCTION("""COMPUTED_VALUE"""),1097.0)</f>
        <v>1097</v>
      </c>
      <c r="Q437" s="189">
        <f>IFERROR(__xludf.DUMMYFUNCTION("""COMPUTED_VALUE"""),1105.0)</f>
        <v>1105</v>
      </c>
      <c r="R437" s="186"/>
      <c r="S437" s="189">
        <f>IFERROR(__xludf.DUMMYFUNCTION("""COMPUTED_VALUE"""),1065.0)</f>
        <v>1065</v>
      </c>
    </row>
    <row r="438">
      <c r="A438" s="186" t="str">
        <f>IFERROR(__xludf.DUMMYFUNCTION("""COMPUTED_VALUE"""),"DE")</f>
        <v>DE</v>
      </c>
      <c r="B438" s="186" t="str">
        <f>IFERROR(__xludf.DUMMYFUNCTION("""COMPUTED_VALUE"""),"W04")</f>
        <v>W04</v>
      </c>
      <c r="C438" s="186">
        <f>IFERROR(__xludf.DUMMYFUNCTION("""COMPUTED_VALUE"""),316.0)</f>
        <v>316</v>
      </c>
      <c r="D438" s="186" t="str">
        <f>IFERROR(__xludf.DUMMYFUNCTION("""COMPUTED_VALUE"""),"CON-00-137164-3")</f>
        <v>CON-00-137164-3</v>
      </c>
      <c r="E438" s="186" t="str">
        <f>IFERROR(__xludf.DUMMYFUNCTION("""COMPUTED_VALUE"""),"Beef Shepherd's Pie")</f>
        <v>Beef Shepherd's Pie</v>
      </c>
      <c r="F438" s="186" t="str">
        <f>IFERROR(__xludf.DUMMYFUNCTION("""COMPUTED_VALUE"""),"Shepherd’s Pie mit Rindfleisch")</f>
        <v>Shepherd’s Pie mit Rindfleisch</v>
      </c>
      <c r="G438" s="186" t="str">
        <f>IFERROR(__xludf.DUMMYFUNCTION("""COMPUTED_VALUE"""),"FE0160C")</f>
        <v>FE0160C</v>
      </c>
      <c r="H438" s="186">
        <f>IFERROR(__xludf.DUMMYFUNCTION("""COMPUTED_VALUE"""),565153.0)</f>
        <v>565153</v>
      </c>
      <c r="I438" s="186" t="str">
        <f>IFERROR(__xludf.DUMMYFUNCTION("""COMPUTED_VALUE"""),"HF Beef Shephards Pie")</f>
        <v>HF Beef Shephards Pie</v>
      </c>
      <c r="J438" s="189">
        <f>IFERROR(__xludf.DUMMYFUNCTION("""COMPUTED_VALUE"""),600.0)</f>
        <v>600</v>
      </c>
      <c r="K438" s="189">
        <f>IFERROR(__xludf.DUMMYFUNCTION("""COMPUTED_VALUE"""),501.0)</f>
        <v>501</v>
      </c>
      <c r="L438" s="189">
        <f>IFERROR(__xludf.DUMMYFUNCTION("""COMPUTED_VALUE"""),785.0)</f>
        <v>785</v>
      </c>
      <c r="M438" s="189">
        <f>IFERROR(__xludf.DUMMYFUNCTION("""COMPUTED_VALUE"""),809.0)</f>
        <v>809</v>
      </c>
      <c r="N438" s="189">
        <f>IFERROR(__xludf.DUMMYFUNCTION("""COMPUTED_VALUE"""),842.0)</f>
        <v>842</v>
      </c>
      <c r="O438" s="189">
        <f>IFERROR(__xludf.DUMMYFUNCTION("""COMPUTED_VALUE"""),805.0)</f>
        <v>805</v>
      </c>
      <c r="P438" s="189">
        <f>IFERROR(__xludf.DUMMYFUNCTION("""COMPUTED_VALUE"""),806.0)</f>
        <v>806</v>
      </c>
      <c r="Q438" s="189">
        <f>IFERROR(__xludf.DUMMYFUNCTION("""COMPUTED_VALUE"""),826.0)</f>
        <v>826</v>
      </c>
      <c r="R438" s="186"/>
      <c r="S438" s="189">
        <f>IFERROR(__xludf.DUMMYFUNCTION("""COMPUTED_VALUE"""),905.0)</f>
        <v>905</v>
      </c>
    </row>
    <row r="439">
      <c r="A439" s="186" t="str">
        <f>IFERROR(__xludf.DUMMYFUNCTION("""COMPUTED_VALUE"""),"DE")</f>
        <v>DE</v>
      </c>
      <c r="B439" s="186" t="str">
        <f>IFERROR(__xludf.DUMMYFUNCTION("""COMPUTED_VALUE"""),"W04")</f>
        <v>W04</v>
      </c>
      <c r="C439" s="186">
        <f>IFERROR(__xludf.DUMMYFUNCTION("""COMPUTED_VALUE"""),317.0)</f>
        <v>317</v>
      </c>
      <c r="D439" s="186" t="str">
        <f>IFERROR(__xludf.DUMMYFUNCTION("""COMPUTED_VALUE"""),"CON-00-136684-3")</f>
        <v>CON-00-136684-3</v>
      </c>
      <c r="E439" s="186" t="str">
        <f>IFERROR(__xludf.DUMMYFUNCTION("""COMPUTED_VALUE"""),"Pork tenderloin with black pepper and sage")</f>
        <v>Pork tenderloin with black pepper and sage</v>
      </c>
      <c r="F439" s="186" t="str">
        <f>IFERROR(__xludf.DUMMYFUNCTION("""COMPUTED_VALUE"""),"Schweinefilet mit schwarzem Pfeffer und Salbei")</f>
        <v>Schweinefilet mit schwarzem Pfeffer und Salbei</v>
      </c>
      <c r="G439" s="186" t="str">
        <f>IFERROR(__xludf.DUMMYFUNCTION("""COMPUTED_VALUE"""),"FE4022B")</f>
        <v>FE4022B</v>
      </c>
      <c r="H439" s="186">
        <f>IFERROR(__xludf.DUMMYFUNCTION("""COMPUTED_VALUE"""),565146.0)</f>
        <v>565146</v>
      </c>
      <c r="I439" s="186" t="str">
        <f>IFERROR(__xludf.DUMMYFUNCTION("""COMPUTED_VALUE"""),"HF RW Varkenshaas zwpeper sali")</f>
        <v>HF RW Varkenshaas zwpeper sali</v>
      </c>
      <c r="J439" s="189">
        <f>IFERROR(__xludf.DUMMYFUNCTION("""COMPUTED_VALUE"""),368.0)</f>
        <v>368</v>
      </c>
      <c r="K439" s="189">
        <f>IFERROR(__xludf.DUMMYFUNCTION("""COMPUTED_VALUE"""),638.0)</f>
        <v>638</v>
      </c>
      <c r="L439" s="189">
        <f>IFERROR(__xludf.DUMMYFUNCTION("""COMPUTED_VALUE"""),877.0)</f>
        <v>877</v>
      </c>
      <c r="M439" s="189">
        <f>IFERROR(__xludf.DUMMYFUNCTION("""COMPUTED_VALUE"""),1038.0)</f>
        <v>1038</v>
      </c>
      <c r="N439" s="189">
        <f>IFERROR(__xludf.DUMMYFUNCTION("""COMPUTED_VALUE"""),1131.0)</f>
        <v>1131</v>
      </c>
      <c r="O439" s="189">
        <f>IFERROR(__xludf.DUMMYFUNCTION("""COMPUTED_VALUE"""),1105.0)</f>
        <v>1105</v>
      </c>
      <c r="P439" s="189">
        <f>IFERROR(__xludf.DUMMYFUNCTION("""COMPUTED_VALUE"""),1142.0)</f>
        <v>1142</v>
      </c>
      <c r="Q439" s="189">
        <f>IFERROR(__xludf.DUMMYFUNCTION("""COMPUTED_VALUE"""),1150.0)</f>
        <v>1150</v>
      </c>
      <c r="R439" s="186"/>
      <c r="S439" s="189">
        <f>IFERROR(__xludf.DUMMYFUNCTION("""COMPUTED_VALUE"""),1163.0)</f>
        <v>1163</v>
      </c>
    </row>
    <row r="440">
      <c r="A440" s="186" t="str">
        <f>IFERROR(__xludf.DUMMYFUNCTION("""COMPUTED_VALUE"""),"DE")</f>
        <v>DE</v>
      </c>
      <c r="B440" s="186" t="str">
        <f>IFERROR(__xludf.DUMMYFUNCTION("""COMPUTED_VALUE"""),"W04")</f>
        <v>W04</v>
      </c>
      <c r="C440" s="186">
        <f>IFERROR(__xludf.DUMMYFUNCTION("""COMPUTED_VALUE"""),318.0)</f>
        <v>318</v>
      </c>
      <c r="D440" s="186" t="str">
        <f>IFERROR(__xludf.DUMMYFUNCTION("""COMPUTED_VALUE"""),"CON-00-136717-3")</f>
        <v>CON-00-136717-3</v>
      </c>
      <c r="E440" s="186" t="str">
        <f>IFERROR(__xludf.DUMMYFUNCTION("""COMPUTED_VALUE"""),"Pork tenderloin and Mediterranean mash")</f>
        <v>Pork tenderloin and Mediterranean mash</v>
      </c>
      <c r="F440" s="186" t="str">
        <f>IFERROR(__xludf.DUMMYFUNCTION("""COMPUTED_VALUE"""),"Schweinefilet auf mediterranem Püree")</f>
        <v>Schweinefilet auf mediterranem Püree</v>
      </c>
      <c r="G440" s="186" t="str">
        <f>IFERROR(__xludf.DUMMYFUNCTION("""COMPUTED_VALUE"""),"FE4042A")</f>
        <v>FE4042A</v>
      </c>
      <c r="H440" s="186">
        <f>IFERROR(__xludf.DUMMYFUNCTION("""COMPUTED_VALUE"""),565109.0)</f>
        <v>565109</v>
      </c>
      <c r="I440" s="186"/>
      <c r="J440" s="189">
        <f>IFERROR(__xludf.DUMMYFUNCTION("""COMPUTED_VALUE"""),364.0)</f>
        <v>364</v>
      </c>
      <c r="K440" s="189">
        <f>IFERROR(__xludf.DUMMYFUNCTION("""COMPUTED_VALUE"""),354.0)</f>
        <v>354</v>
      </c>
      <c r="L440" s="189">
        <f>IFERROR(__xludf.DUMMYFUNCTION("""COMPUTED_VALUE"""),405.0)</f>
        <v>405</v>
      </c>
      <c r="M440" s="189">
        <f>IFERROR(__xludf.DUMMYFUNCTION("""COMPUTED_VALUE"""),485.0)</f>
        <v>485</v>
      </c>
      <c r="N440" s="189">
        <f>IFERROR(__xludf.DUMMYFUNCTION("""COMPUTED_VALUE"""),551.0)</f>
        <v>551</v>
      </c>
      <c r="O440" s="189">
        <f>IFERROR(__xludf.DUMMYFUNCTION("""COMPUTED_VALUE"""),563.0)</f>
        <v>563</v>
      </c>
      <c r="P440" s="189">
        <f>IFERROR(__xludf.DUMMYFUNCTION("""COMPUTED_VALUE"""),581.0)</f>
        <v>581</v>
      </c>
      <c r="Q440" s="189">
        <f>IFERROR(__xludf.DUMMYFUNCTION("""COMPUTED_VALUE"""),613.0)</f>
        <v>613</v>
      </c>
      <c r="R440" s="186"/>
      <c r="S440" s="189">
        <f>IFERROR(__xludf.DUMMYFUNCTION("""COMPUTED_VALUE"""),694.0)</f>
        <v>694</v>
      </c>
    </row>
    <row r="441">
      <c r="A441" s="186" t="str">
        <f>IFERROR(__xludf.DUMMYFUNCTION("""COMPUTED_VALUE"""),"DE")</f>
        <v>DE</v>
      </c>
      <c r="B441" s="186" t="str">
        <f>IFERROR(__xludf.DUMMYFUNCTION("""COMPUTED_VALUE"""),"W04")</f>
        <v>W04</v>
      </c>
      <c r="C441" s="186">
        <f>IFERROR(__xludf.DUMMYFUNCTION("""COMPUTED_VALUE"""),806.0)</f>
        <v>806</v>
      </c>
      <c r="D441" s="186" t="str">
        <f>IFERROR(__xludf.DUMMYFUNCTION("""COMPUTED_VALUE"""),"PTN-00-136930-3")</f>
        <v>PTN-00-136930-3</v>
      </c>
      <c r="E441" s="186" t="str">
        <f>IFERROR(__xludf.DUMMYFUNCTION("""COMPUTED_VALUE"""),"Garlic Herb Grilled Chicken")</f>
        <v>Garlic Herb Grilled Chicken</v>
      </c>
      <c r="F441" s="186" t="str">
        <f>IFERROR(__xludf.DUMMYFUNCTION("""COMPUTED_VALUE"""),"Gegrilltes Hähnchen mit Knoblauch-Kräutern")</f>
        <v>Gegrilltes Hähnchen mit Knoblauch-Kräutern</v>
      </c>
      <c r="G441" s="186" t="str">
        <f>IFERROR(__xludf.DUMMYFUNCTION("""COMPUTED_VALUE"""),"FEA006A")</f>
        <v>FEA006A</v>
      </c>
      <c r="H441" s="186">
        <f>IFERROR(__xludf.DUMMYFUNCTION("""COMPUTED_VALUE"""),565119.0)</f>
        <v>565119</v>
      </c>
      <c r="I441" s="186"/>
      <c r="J441" s="189">
        <f>IFERROR(__xludf.DUMMYFUNCTION("""COMPUTED_VALUE"""),79.0)</f>
        <v>79</v>
      </c>
      <c r="K441" s="189">
        <f>IFERROR(__xludf.DUMMYFUNCTION("""COMPUTED_VALUE"""),79.0)</f>
        <v>79</v>
      </c>
      <c r="L441" s="189">
        <f>IFERROR(__xludf.DUMMYFUNCTION("""COMPUTED_VALUE"""),79.0)</f>
        <v>79</v>
      </c>
      <c r="M441" s="189">
        <f>IFERROR(__xludf.DUMMYFUNCTION("""COMPUTED_VALUE"""),79.0)</f>
        <v>79</v>
      </c>
      <c r="N441" s="189">
        <f>IFERROR(__xludf.DUMMYFUNCTION("""COMPUTED_VALUE"""),79.0)</f>
        <v>79</v>
      </c>
      <c r="O441" s="189">
        <f>IFERROR(__xludf.DUMMYFUNCTION("""COMPUTED_VALUE"""),79.0)</f>
        <v>79</v>
      </c>
      <c r="P441" s="189">
        <f>IFERROR(__xludf.DUMMYFUNCTION("""COMPUTED_VALUE"""),79.0)</f>
        <v>79</v>
      </c>
      <c r="Q441" s="189">
        <f>IFERROR(__xludf.DUMMYFUNCTION("""COMPUTED_VALUE"""),79.0)</f>
        <v>79</v>
      </c>
      <c r="R441" s="186"/>
      <c r="S441" s="189">
        <f>IFERROR(__xludf.DUMMYFUNCTION("""COMPUTED_VALUE"""),61.0)</f>
        <v>61</v>
      </c>
    </row>
    <row r="442">
      <c r="A442" s="186" t="str">
        <f>IFERROR(__xludf.DUMMYFUNCTION("""COMPUTED_VALUE"""),"DE")</f>
        <v>DE</v>
      </c>
      <c r="B442" s="186" t="str">
        <f>IFERROR(__xludf.DUMMYFUNCTION("""COMPUTED_VALUE"""),"W04")</f>
        <v>W04</v>
      </c>
      <c r="C442" s="186"/>
      <c r="D442" s="186"/>
      <c r="E442" s="186"/>
      <c r="F442" s="186"/>
      <c r="G442" s="186"/>
      <c r="H442" s="186"/>
      <c r="I442" s="186"/>
      <c r="J442" s="189">
        <f>IFERROR(__xludf.DUMMYFUNCTION("""COMPUTED_VALUE"""),20396.0)</f>
        <v>20396</v>
      </c>
      <c r="K442" s="189">
        <f>IFERROR(__xludf.DUMMYFUNCTION("""COMPUTED_VALUE"""),19046.0)</f>
        <v>19046</v>
      </c>
      <c r="L442" s="189">
        <f>IFERROR(__xludf.DUMMYFUNCTION("""COMPUTED_VALUE"""),20833.0)</f>
        <v>20833</v>
      </c>
      <c r="M442" s="189">
        <f>IFERROR(__xludf.DUMMYFUNCTION("""COMPUTED_VALUE"""),24308.0)</f>
        <v>24308</v>
      </c>
      <c r="N442" s="189">
        <f>IFERROR(__xludf.DUMMYFUNCTION("""COMPUTED_VALUE"""),26349.0)</f>
        <v>26349</v>
      </c>
      <c r="O442" s="189">
        <f>IFERROR(__xludf.DUMMYFUNCTION("""COMPUTED_VALUE"""),25066.0)</f>
        <v>25066</v>
      </c>
      <c r="P442" s="189">
        <f>IFERROR(__xludf.DUMMYFUNCTION("""COMPUTED_VALUE"""),25209.0)</f>
        <v>25209</v>
      </c>
      <c r="Q442" s="189">
        <f>IFERROR(__xludf.DUMMYFUNCTION("""COMPUTED_VALUE"""),25639.0)</f>
        <v>25639</v>
      </c>
      <c r="R442" s="189">
        <f>IFERROR(__xludf.DUMMYFUNCTION("""COMPUTED_VALUE"""),0.0)</f>
        <v>0</v>
      </c>
      <c r="S442" s="189">
        <f>IFERROR(__xludf.DUMMYFUNCTION("""COMPUTED_VALUE"""),25881.0)</f>
        <v>25881</v>
      </c>
    </row>
    <row r="443">
      <c r="A443" s="186" t="str">
        <f>IFERROR(__xludf.DUMMYFUNCTION("""COMPUTED_VALUE"""),"NORDICS")</f>
        <v>NORDICS</v>
      </c>
      <c r="B443" s="186" t="str">
        <f>IFERROR(__xludf.DUMMYFUNCTION("""COMPUTED_VALUE"""),"W05")</f>
        <v>W05</v>
      </c>
      <c r="C443" s="186">
        <f>IFERROR(__xludf.DUMMYFUNCTION("""COMPUTED_VALUE"""),301.0)</f>
        <v>301</v>
      </c>
      <c r="D443" s="186"/>
      <c r="E443" s="186"/>
      <c r="F443" s="186"/>
      <c r="G443" s="186" t="str">
        <f>IFERROR(__xludf.DUMMYFUNCTION("""COMPUTED_VALUE"""),"FE0628B")</f>
        <v>FE0628B</v>
      </c>
      <c r="H443" s="186"/>
      <c r="I443" s="186"/>
      <c r="J443" s="189">
        <f>IFERROR(__xludf.DUMMYFUNCTION("""COMPUTED_VALUE"""),3040.0)</f>
        <v>3040</v>
      </c>
      <c r="K443" s="189">
        <f>IFERROR(__xludf.DUMMYFUNCTION("""COMPUTED_VALUE"""),3900.0)</f>
        <v>3900</v>
      </c>
      <c r="L443" s="189">
        <f>IFERROR(__xludf.DUMMYFUNCTION("""COMPUTED_VALUE"""),4392.0)</f>
        <v>4392</v>
      </c>
      <c r="M443" s="189">
        <f>IFERROR(__xludf.DUMMYFUNCTION("""COMPUTED_VALUE"""),4640.0)</f>
        <v>4640</v>
      </c>
      <c r="N443" s="189">
        <f>IFERROR(__xludf.DUMMYFUNCTION("""COMPUTED_VALUE"""),4841.0)</f>
        <v>4841</v>
      </c>
      <c r="O443" s="189">
        <f>IFERROR(__xludf.DUMMYFUNCTION("""COMPUTED_VALUE"""),4894.0)</f>
        <v>4894</v>
      </c>
      <c r="P443" s="189">
        <f>IFERROR(__xludf.DUMMYFUNCTION("""COMPUTED_VALUE"""),4838.0)</f>
        <v>4838</v>
      </c>
      <c r="Q443" s="189">
        <f>IFERROR(__xludf.DUMMYFUNCTION("""COMPUTED_VALUE"""),4746.0)</f>
        <v>4746</v>
      </c>
      <c r="R443" s="186"/>
      <c r="S443" s="189">
        <f>IFERROR(__xludf.DUMMYFUNCTION("""COMPUTED_VALUE"""),4030.0)</f>
        <v>4030</v>
      </c>
    </row>
    <row r="444">
      <c r="A444" s="186" t="str">
        <f>IFERROR(__xludf.DUMMYFUNCTION("""COMPUTED_VALUE"""),"NORDICS")</f>
        <v>NORDICS</v>
      </c>
      <c r="B444" s="186" t="str">
        <f>IFERROR(__xludf.DUMMYFUNCTION("""COMPUTED_VALUE"""),"W05")</f>
        <v>W05</v>
      </c>
      <c r="C444" s="186">
        <f>IFERROR(__xludf.DUMMYFUNCTION("""COMPUTED_VALUE"""),302.0)</f>
        <v>302</v>
      </c>
      <c r="D444" s="186" t="str">
        <f>IFERROR(__xludf.DUMMYFUNCTION("""COMPUTED_VALUE"""),"CON-00-147877-2")</f>
        <v>CON-00-147877-2</v>
      </c>
      <c r="E444" s="186" t="str">
        <f>IFERROR(__xludf.DUMMYFUNCTION("""COMPUTED_VALUE"""),"Creamy basil risotto with chicken")</f>
        <v>Creamy basil risotto with chicken</v>
      </c>
      <c r="F444" s="186" t="str">
        <f>IFERROR(__xludf.DUMMYFUNCTION("""COMPUTED_VALUE"""),"Cremet basilikumrisotto med kylling")</f>
        <v>Cremet basilikumrisotto med kylling</v>
      </c>
      <c r="G444" s="186" t="str">
        <f>IFERROR(__xludf.DUMMYFUNCTION("""COMPUTED_VALUE"""),"FE4014B")</f>
        <v>FE4014B</v>
      </c>
      <c r="H444" s="186">
        <f>IFERROR(__xludf.DUMMYFUNCTION("""COMPUTED_VALUE"""),565122.0)</f>
        <v>565122</v>
      </c>
      <c r="I444" s="186"/>
      <c r="J444" s="189">
        <f>IFERROR(__xludf.DUMMYFUNCTION("""COMPUTED_VALUE"""),1914.0)</f>
        <v>1914</v>
      </c>
      <c r="K444" s="189">
        <f>IFERROR(__xludf.DUMMYFUNCTION("""COMPUTED_VALUE"""),2468.0)</f>
        <v>2468</v>
      </c>
      <c r="L444" s="189">
        <f>IFERROR(__xludf.DUMMYFUNCTION("""COMPUTED_VALUE"""),2982.0)</f>
        <v>2982</v>
      </c>
      <c r="M444" s="189">
        <f>IFERROR(__xludf.DUMMYFUNCTION("""COMPUTED_VALUE"""),3352.0)</f>
        <v>3352</v>
      </c>
      <c r="N444" s="189">
        <f>IFERROR(__xludf.DUMMYFUNCTION("""COMPUTED_VALUE"""),3478.0)</f>
        <v>3478</v>
      </c>
      <c r="O444" s="189">
        <f>IFERROR(__xludf.DUMMYFUNCTION("""COMPUTED_VALUE"""),3471.0)</f>
        <v>3471</v>
      </c>
      <c r="P444" s="189">
        <f>IFERROR(__xludf.DUMMYFUNCTION("""COMPUTED_VALUE"""),3432.0)</f>
        <v>3432</v>
      </c>
      <c r="Q444" s="189">
        <f>IFERROR(__xludf.DUMMYFUNCTION("""COMPUTED_VALUE"""),3355.0)</f>
        <v>3355</v>
      </c>
      <c r="R444" s="186"/>
      <c r="S444" s="189">
        <f>IFERROR(__xludf.DUMMYFUNCTION("""COMPUTED_VALUE"""),2865.0)</f>
        <v>2865</v>
      </c>
    </row>
    <row r="445">
      <c r="A445" s="186" t="str">
        <f>IFERROR(__xludf.DUMMYFUNCTION("""COMPUTED_VALUE"""),"NORDICS")</f>
        <v>NORDICS</v>
      </c>
      <c r="B445" s="186" t="str">
        <f>IFERROR(__xludf.DUMMYFUNCTION("""COMPUTED_VALUE"""),"W05")</f>
        <v>W05</v>
      </c>
      <c r="C445" s="186">
        <f>IFERROR(__xludf.DUMMYFUNCTION("""COMPUTED_VALUE"""),303.0)</f>
        <v>303</v>
      </c>
      <c r="D445" s="186" t="str">
        <f>IFERROR(__xludf.DUMMYFUNCTION("""COMPUTED_VALUE"""),"CON-00-150389-2")</f>
        <v>CON-00-150389-2</v>
      </c>
      <c r="E445" s="186" t="str">
        <f>IFERROR(__xludf.DUMMYFUNCTION("""COMPUTED_VALUE"""),"Parmesan &amp; Garlic Cream Pulled Beef")</f>
        <v>Parmesan &amp; Garlic Cream Pulled Beef</v>
      </c>
      <c r="F445" s="186" t="str">
        <f>IFERROR(__xludf.DUMMYFUNCTION("""COMPUTED_VALUE"""),"Pulled beef med cremet parmesan og hvidløg")</f>
        <v>Pulled beef med cremet parmesan og hvidløg</v>
      </c>
      <c r="G445" s="186" t="str">
        <f>IFERROR(__xludf.DUMMYFUNCTION("""COMPUTED_VALUE"""),"FE1346B")</f>
        <v>FE1346B</v>
      </c>
      <c r="H445" s="186">
        <f>IFERROR(__xludf.DUMMYFUNCTION("""COMPUTED_VALUE"""),565184.0)</f>
        <v>565184</v>
      </c>
      <c r="I445" s="186" t="str">
        <f>IFERROR(__xludf.DUMMYFUNCTION("""COMPUTED_VALUE"""),"HF Pulled beef &amp; knoflook room")</f>
        <v>HF Pulled beef &amp; knoflook room</v>
      </c>
      <c r="J445" s="189">
        <f>IFERROR(__xludf.DUMMYFUNCTION("""COMPUTED_VALUE"""),2084.0)</f>
        <v>2084</v>
      </c>
      <c r="K445" s="189">
        <f>IFERROR(__xludf.DUMMYFUNCTION("""COMPUTED_VALUE"""),2696.0)</f>
        <v>2696</v>
      </c>
      <c r="L445" s="189">
        <f>IFERROR(__xludf.DUMMYFUNCTION("""COMPUTED_VALUE"""),3977.0)</f>
        <v>3977</v>
      </c>
      <c r="M445" s="189">
        <f>IFERROR(__xludf.DUMMYFUNCTION("""COMPUTED_VALUE"""),4157.0)</f>
        <v>4157</v>
      </c>
      <c r="N445" s="189">
        <f>IFERROR(__xludf.DUMMYFUNCTION("""COMPUTED_VALUE"""),4408.0)</f>
        <v>4408</v>
      </c>
      <c r="O445" s="189">
        <f>IFERROR(__xludf.DUMMYFUNCTION("""COMPUTED_VALUE"""),4367.0)</f>
        <v>4367</v>
      </c>
      <c r="P445" s="189">
        <f>IFERROR(__xludf.DUMMYFUNCTION("""COMPUTED_VALUE"""),4331.0)</f>
        <v>4331</v>
      </c>
      <c r="Q445" s="189">
        <f>IFERROR(__xludf.DUMMYFUNCTION("""COMPUTED_VALUE"""),4249.0)</f>
        <v>4249</v>
      </c>
      <c r="R445" s="186"/>
      <c r="S445" s="189">
        <f>IFERROR(__xludf.DUMMYFUNCTION("""COMPUTED_VALUE"""),3671.0)</f>
        <v>3671</v>
      </c>
    </row>
    <row r="446">
      <c r="A446" s="186" t="str">
        <f>IFERROR(__xludf.DUMMYFUNCTION("""COMPUTED_VALUE"""),"NORDICS")</f>
        <v>NORDICS</v>
      </c>
      <c r="B446" s="186" t="str">
        <f>IFERROR(__xludf.DUMMYFUNCTION("""COMPUTED_VALUE"""),"W05")</f>
        <v>W05</v>
      </c>
      <c r="C446" s="186">
        <f>IFERROR(__xludf.DUMMYFUNCTION("""COMPUTED_VALUE"""),304.0)</f>
        <v>304</v>
      </c>
      <c r="D446" s="186" t="str">
        <f>IFERROR(__xludf.DUMMYFUNCTION("""COMPUTED_VALUE"""),"CON-00-152023-2")</f>
        <v>CON-00-152023-2</v>
      </c>
      <c r="E446" s="186" t="str">
        <f>IFERROR(__xludf.DUMMYFUNCTION("""COMPUTED_VALUE"""),"Salmon Piccata")</f>
        <v>Salmon Piccata</v>
      </c>
      <c r="F446" s="186" t="str">
        <f>IFERROR(__xludf.DUMMYFUNCTION("""COMPUTED_VALUE"""),"Laks Piccata ")</f>
        <v>Laks Piccata </v>
      </c>
      <c r="G446" s="186" t="str">
        <f>IFERROR(__xludf.DUMMYFUNCTION("""COMPUTED_VALUE"""),"FE0972B")</f>
        <v>FE0972B</v>
      </c>
      <c r="H446" s="186">
        <f>IFERROR(__xludf.DUMMYFUNCTION("""COMPUTED_VALUE"""),565189.0)</f>
        <v>565189</v>
      </c>
      <c r="I446" s="186" t="str">
        <f>IFERROR(__xludf.DUMMYFUNCTION("""COMPUTED_VALUE"""),"HF Zalm met piccata saus")</f>
        <v>HF Zalm met piccata saus</v>
      </c>
      <c r="J446" s="189">
        <f>IFERROR(__xludf.DUMMYFUNCTION("""COMPUTED_VALUE"""),2113.0)</f>
        <v>2113</v>
      </c>
      <c r="K446" s="189">
        <f>IFERROR(__xludf.DUMMYFUNCTION("""COMPUTED_VALUE"""),2660.0)</f>
        <v>2660</v>
      </c>
      <c r="L446" s="189">
        <f>IFERROR(__xludf.DUMMYFUNCTION("""COMPUTED_VALUE"""),3327.0)</f>
        <v>3327</v>
      </c>
      <c r="M446" s="189">
        <f>IFERROR(__xludf.DUMMYFUNCTION("""COMPUTED_VALUE"""),3449.0)</f>
        <v>3449</v>
      </c>
      <c r="N446" s="189">
        <f>IFERROR(__xludf.DUMMYFUNCTION("""COMPUTED_VALUE"""),3680.0)</f>
        <v>3680</v>
      </c>
      <c r="O446" s="189">
        <f>IFERROR(__xludf.DUMMYFUNCTION("""COMPUTED_VALUE"""),3671.0)</f>
        <v>3671</v>
      </c>
      <c r="P446" s="189">
        <f>IFERROR(__xludf.DUMMYFUNCTION("""COMPUTED_VALUE"""),3593.0)</f>
        <v>3593</v>
      </c>
      <c r="Q446" s="189">
        <f>IFERROR(__xludf.DUMMYFUNCTION("""COMPUTED_VALUE"""),3556.0)</f>
        <v>3556</v>
      </c>
      <c r="R446" s="186"/>
      <c r="S446" s="189">
        <f>IFERROR(__xludf.DUMMYFUNCTION("""COMPUTED_VALUE"""),2978.0)</f>
        <v>2978</v>
      </c>
    </row>
    <row r="447">
      <c r="A447" s="186" t="str">
        <f>IFERROR(__xludf.DUMMYFUNCTION("""COMPUTED_VALUE"""),"NORDICS")</f>
        <v>NORDICS</v>
      </c>
      <c r="B447" s="186" t="str">
        <f>IFERROR(__xludf.DUMMYFUNCTION("""COMPUTED_VALUE"""),"W05")</f>
        <v>W05</v>
      </c>
      <c r="C447" s="186">
        <f>IFERROR(__xludf.DUMMYFUNCTION("""COMPUTED_VALUE"""),305.0)</f>
        <v>305</v>
      </c>
      <c r="D447" s="186" t="str">
        <f>IFERROR(__xludf.DUMMYFUNCTION("""COMPUTED_VALUE"""),"CON-00-149481-2")</f>
        <v>CON-00-149481-2</v>
      </c>
      <c r="E447" s="186" t="str">
        <f>IFERROR(__xludf.DUMMYFUNCTION("""COMPUTED_VALUE"""),"Sour Cream &amp; Chive Chicken")</f>
        <v>Sour Cream &amp; Chive Chicken</v>
      </c>
      <c r="F447" s="186" t="str">
        <f>IFERROR(__xludf.DUMMYFUNCTION("""COMPUTED_VALUE"""),"Kylling med syrnet fløde og purløg")</f>
        <v>Kylling med syrnet fløde og purløg</v>
      </c>
      <c r="G447" s="186" t="str">
        <f>IFERROR(__xludf.DUMMYFUNCTION("""COMPUTED_VALUE"""),"FE0322O")</f>
        <v>FE0322O</v>
      </c>
      <c r="H447" s="186">
        <f>IFERROR(__xludf.DUMMYFUNCTION("""COMPUTED_VALUE"""),565163.0)</f>
        <v>565163</v>
      </c>
      <c r="I447" s="186" t="str">
        <f>IFERROR(__xludf.DUMMYFUNCTION("""COMPUTED_VALUE"""),"HF Kip bieslook aardappel pure")</f>
        <v>HF Kip bieslook aardappel pure</v>
      </c>
      <c r="J447" s="189">
        <f>IFERROR(__xludf.DUMMYFUNCTION("""COMPUTED_VALUE"""),1620.0)</f>
        <v>1620</v>
      </c>
      <c r="K447" s="189">
        <f>IFERROR(__xludf.DUMMYFUNCTION("""COMPUTED_VALUE"""),2130.0)</f>
        <v>2130</v>
      </c>
      <c r="L447" s="189">
        <f>IFERROR(__xludf.DUMMYFUNCTION("""COMPUTED_VALUE"""),2768.0)</f>
        <v>2768</v>
      </c>
      <c r="M447" s="189">
        <f>IFERROR(__xludf.DUMMYFUNCTION("""COMPUTED_VALUE"""),3313.0)</f>
        <v>3313</v>
      </c>
      <c r="N447" s="189">
        <f>IFERROR(__xludf.DUMMYFUNCTION("""COMPUTED_VALUE"""),3551.0)</f>
        <v>3551</v>
      </c>
      <c r="O447" s="189">
        <f>IFERROR(__xludf.DUMMYFUNCTION("""COMPUTED_VALUE"""),3558.0)</f>
        <v>3558</v>
      </c>
      <c r="P447" s="189">
        <f>IFERROR(__xludf.DUMMYFUNCTION("""COMPUTED_VALUE"""),3520.0)</f>
        <v>3520</v>
      </c>
      <c r="Q447" s="189">
        <f>IFERROR(__xludf.DUMMYFUNCTION("""COMPUTED_VALUE"""),3446.0)</f>
        <v>3446</v>
      </c>
      <c r="R447" s="186"/>
      <c r="S447" s="189">
        <f>IFERROR(__xludf.DUMMYFUNCTION("""COMPUTED_VALUE"""),2929.0)</f>
        <v>2929</v>
      </c>
    </row>
    <row r="448">
      <c r="A448" s="186" t="str">
        <f>IFERROR(__xludf.DUMMYFUNCTION("""COMPUTED_VALUE"""),"NORDICS")</f>
        <v>NORDICS</v>
      </c>
      <c r="B448" s="186" t="str">
        <f>IFERROR(__xludf.DUMMYFUNCTION("""COMPUTED_VALUE"""),"W05")</f>
        <v>W05</v>
      </c>
      <c r="C448" s="186">
        <f>IFERROR(__xludf.DUMMYFUNCTION("""COMPUTED_VALUE"""),306.0)</f>
        <v>306</v>
      </c>
      <c r="D448" s="186" t="str">
        <f>IFERROR(__xludf.DUMMYFUNCTION("""COMPUTED_VALUE"""),"CON-00-147893-2")</f>
        <v>CON-00-147893-2</v>
      </c>
      <c r="E448" s="186" t="str">
        <f>IFERROR(__xludf.DUMMYFUNCTION("""COMPUTED_VALUE"""),"Salmon in creamy gochugaru sauce")</f>
        <v>Salmon in creamy gochugaru sauce</v>
      </c>
      <c r="F448" s="186" t="str">
        <f>IFERROR(__xludf.DUMMYFUNCTION("""COMPUTED_VALUE"""),"Laks i cremet gochugaru sauce")</f>
        <v>Laks i cremet gochugaru sauce</v>
      </c>
      <c r="G448" s="186" t="str">
        <f>IFERROR(__xludf.DUMMYFUNCTION("""COMPUTED_VALUE"""),"FE4039C")</f>
        <v>FE4039C</v>
      </c>
      <c r="H448" s="186">
        <f>IFERROR(__xludf.DUMMYFUNCTION("""COMPUTED_VALUE"""),565102.0)</f>
        <v>565102</v>
      </c>
      <c r="I448" s="186" t="str">
        <f>IFERROR(__xludf.DUMMYFUNCTION("""COMPUTED_VALUE"""),"HF Zalm romige gochugaru sa")</f>
        <v>HF Zalm romige gochugaru sa</v>
      </c>
      <c r="J448" s="189">
        <f>IFERROR(__xludf.DUMMYFUNCTION("""COMPUTED_VALUE"""),1471.0)</f>
        <v>1471</v>
      </c>
      <c r="K448" s="189">
        <f>IFERROR(__xludf.DUMMYFUNCTION("""COMPUTED_VALUE"""),1961.0)</f>
        <v>1961</v>
      </c>
      <c r="L448" s="189">
        <f>IFERROR(__xludf.DUMMYFUNCTION("""COMPUTED_VALUE"""),2112.0)</f>
        <v>2112</v>
      </c>
      <c r="M448" s="189">
        <f>IFERROR(__xludf.DUMMYFUNCTION("""COMPUTED_VALUE"""),2196.0)</f>
        <v>2196</v>
      </c>
      <c r="N448" s="189">
        <f>IFERROR(__xludf.DUMMYFUNCTION("""COMPUTED_VALUE"""),2292.0)</f>
        <v>2292</v>
      </c>
      <c r="O448" s="189">
        <f>IFERROR(__xludf.DUMMYFUNCTION("""COMPUTED_VALUE"""),2300.0)</f>
        <v>2300</v>
      </c>
      <c r="P448" s="189">
        <f>IFERROR(__xludf.DUMMYFUNCTION("""COMPUTED_VALUE"""),2263.0)</f>
        <v>2263</v>
      </c>
      <c r="Q448" s="189">
        <f>IFERROR(__xludf.DUMMYFUNCTION("""COMPUTED_VALUE"""),2240.0)</f>
        <v>2240</v>
      </c>
      <c r="R448" s="186"/>
      <c r="S448" s="189">
        <f>IFERROR(__xludf.DUMMYFUNCTION("""COMPUTED_VALUE"""),1861.0)</f>
        <v>1861</v>
      </c>
    </row>
    <row r="449">
      <c r="A449" s="186" t="str">
        <f>IFERROR(__xludf.DUMMYFUNCTION("""COMPUTED_VALUE"""),"NORDICS")</f>
        <v>NORDICS</v>
      </c>
      <c r="B449" s="186" t="str">
        <f>IFERROR(__xludf.DUMMYFUNCTION("""COMPUTED_VALUE"""),"W05")</f>
        <v>W05</v>
      </c>
      <c r="C449" s="186">
        <f>IFERROR(__xludf.DUMMYFUNCTION("""COMPUTED_VALUE"""),307.0)</f>
        <v>307</v>
      </c>
      <c r="D449" s="186" t="str">
        <f>IFERROR(__xludf.DUMMYFUNCTION("""COMPUTED_VALUE"""),"CON-00-147896-2")</f>
        <v>CON-00-147896-2</v>
      </c>
      <c r="E449" s="186" t="str">
        <f>IFERROR(__xludf.DUMMYFUNCTION("""COMPUTED_VALUE"""),"Chicken in creamy basil sauce")</f>
        <v>Chicken in creamy basil sauce</v>
      </c>
      <c r="F449" s="186" t="str">
        <f>IFERROR(__xludf.DUMMYFUNCTION("""COMPUTED_VALUE"""),"Kylling i cremet basilikumssauce")</f>
        <v>Kylling i cremet basilikumssauce</v>
      </c>
      <c r="G449" s="186" t="str">
        <f>IFERROR(__xludf.DUMMYFUNCTION("""COMPUTED_VALUE"""),"FE4040B")</f>
        <v>FE4040B</v>
      </c>
      <c r="H449" s="186">
        <f>IFERROR(__xludf.DUMMYFUNCTION("""COMPUTED_VALUE"""),565172.0)</f>
        <v>565172</v>
      </c>
      <c r="I449" s="186"/>
      <c r="J449" s="189">
        <f>IFERROR(__xludf.DUMMYFUNCTION("""COMPUTED_VALUE"""),1067.0)</f>
        <v>1067</v>
      </c>
      <c r="K449" s="189">
        <f>IFERROR(__xludf.DUMMYFUNCTION("""COMPUTED_VALUE"""),1385.0)</f>
        <v>1385</v>
      </c>
      <c r="L449" s="189">
        <f>IFERROR(__xludf.DUMMYFUNCTION("""COMPUTED_VALUE"""),1608.0)</f>
        <v>1608</v>
      </c>
      <c r="M449" s="189">
        <f>IFERROR(__xludf.DUMMYFUNCTION("""COMPUTED_VALUE"""),1764.0)</f>
        <v>1764</v>
      </c>
      <c r="N449" s="189">
        <f>IFERROR(__xludf.DUMMYFUNCTION("""COMPUTED_VALUE"""),1832.0)</f>
        <v>1832</v>
      </c>
      <c r="O449" s="189">
        <f>IFERROR(__xludf.DUMMYFUNCTION("""COMPUTED_VALUE"""),1838.0)</f>
        <v>1838</v>
      </c>
      <c r="P449" s="189">
        <f>IFERROR(__xludf.DUMMYFUNCTION("""COMPUTED_VALUE"""),1812.0)</f>
        <v>1812</v>
      </c>
      <c r="Q449" s="189">
        <f>IFERROR(__xludf.DUMMYFUNCTION("""COMPUTED_VALUE"""),1806.0)</f>
        <v>1806</v>
      </c>
      <c r="R449" s="186"/>
      <c r="S449" s="189">
        <f>IFERROR(__xludf.DUMMYFUNCTION("""COMPUTED_VALUE"""),1539.0)</f>
        <v>1539</v>
      </c>
    </row>
    <row r="450">
      <c r="A450" s="186" t="str">
        <f>IFERROR(__xludf.DUMMYFUNCTION("""COMPUTED_VALUE"""),"NORDICS")</f>
        <v>NORDICS</v>
      </c>
      <c r="B450" s="186" t="str">
        <f>IFERROR(__xludf.DUMMYFUNCTION("""COMPUTED_VALUE"""),"W05")</f>
        <v>W05</v>
      </c>
      <c r="C450" s="186">
        <f>IFERROR(__xludf.DUMMYFUNCTION("""COMPUTED_VALUE"""),308.0)</f>
        <v>308</v>
      </c>
      <c r="D450" s="186" t="str">
        <f>IFERROR(__xludf.DUMMYFUNCTION("""COMPUTED_VALUE"""),"CON-00-147812-2")</f>
        <v>CON-00-147812-2</v>
      </c>
      <c r="E450" s="186" t="str">
        <f>IFERROR(__xludf.DUMMYFUNCTION("""COMPUTED_VALUE"""),"Chicken in tomato cream sauce")</f>
        <v>Chicken in tomato cream sauce</v>
      </c>
      <c r="F450" s="186" t="str">
        <f>IFERROR(__xludf.DUMMYFUNCTION("""COMPUTED_VALUE"""),"Kylling i cremet tomatsauce")</f>
        <v>Kylling i cremet tomatsauce</v>
      </c>
      <c r="G450" s="186" t="str">
        <f>IFERROR(__xludf.DUMMYFUNCTION("""COMPUTED_VALUE"""),"FE0024E")</f>
        <v>FE0024E</v>
      </c>
      <c r="H450" s="186">
        <f>IFERROR(__xludf.DUMMYFUNCTION("""COMPUTED_VALUE"""),565150.0)</f>
        <v>565150</v>
      </c>
      <c r="I450" s="186" t="str">
        <f>IFERROR(__xludf.DUMMYFUNCTION("""COMPUTED_VALUE"""),"HF RW Kipfilet in tom-roomsaus")</f>
        <v>HF RW Kipfilet in tom-roomsaus</v>
      </c>
      <c r="J450" s="189">
        <f>IFERROR(__xludf.DUMMYFUNCTION("""COMPUTED_VALUE"""),1414.0)</f>
        <v>1414</v>
      </c>
      <c r="K450" s="189">
        <f>IFERROR(__xludf.DUMMYFUNCTION("""COMPUTED_VALUE"""),1800.0)</f>
        <v>1800</v>
      </c>
      <c r="L450" s="189">
        <f>IFERROR(__xludf.DUMMYFUNCTION("""COMPUTED_VALUE"""),1995.0)</f>
        <v>1995</v>
      </c>
      <c r="M450" s="189">
        <f>IFERROR(__xludf.DUMMYFUNCTION("""COMPUTED_VALUE"""),1946.0)</f>
        <v>1946</v>
      </c>
      <c r="N450" s="189">
        <f>IFERROR(__xludf.DUMMYFUNCTION("""COMPUTED_VALUE"""),1980.0)</f>
        <v>1980</v>
      </c>
      <c r="O450" s="189">
        <f>IFERROR(__xludf.DUMMYFUNCTION("""COMPUTED_VALUE"""),2023.0)</f>
        <v>2023</v>
      </c>
      <c r="P450" s="189">
        <f>IFERROR(__xludf.DUMMYFUNCTION("""COMPUTED_VALUE"""),2012.0)</f>
        <v>2012</v>
      </c>
      <c r="Q450" s="189">
        <f>IFERROR(__xludf.DUMMYFUNCTION("""COMPUTED_VALUE"""),1994.0)</f>
        <v>1994</v>
      </c>
      <c r="R450" s="186"/>
      <c r="S450" s="189">
        <f>IFERROR(__xludf.DUMMYFUNCTION("""COMPUTED_VALUE"""),1715.0)</f>
        <v>1715</v>
      </c>
    </row>
    <row r="451">
      <c r="A451" s="186" t="str">
        <f>IFERROR(__xludf.DUMMYFUNCTION("""COMPUTED_VALUE"""),"NORDICS")</f>
        <v>NORDICS</v>
      </c>
      <c r="B451" s="186" t="str">
        <f>IFERROR(__xludf.DUMMYFUNCTION("""COMPUTED_VALUE"""),"W05")</f>
        <v>W05</v>
      </c>
      <c r="C451" s="186">
        <f>IFERROR(__xludf.DUMMYFUNCTION("""COMPUTED_VALUE"""),309.0)</f>
        <v>309</v>
      </c>
      <c r="D451" s="186" t="str">
        <f>IFERROR(__xludf.DUMMYFUNCTION("""COMPUTED_VALUE"""),"CON-00-147818-2")</f>
        <v>CON-00-147818-2</v>
      </c>
      <c r="E451" s="186" t="str">
        <f>IFERROR(__xludf.DUMMYFUNCTION("""COMPUTED_VALUE"""),"Mexican style corn cake")</f>
        <v>Mexican style corn cake</v>
      </c>
      <c r="F451" s="186" t="str">
        <f>IFERROR(__xludf.DUMMYFUNCTION("""COMPUTED_VALUE"""),"Mexicansk-inspireret majskage")</f>
        <v>Mexicansk-inspireret majskage</v>
      </c>
      <c r="G451" s="186" t="str">
        <f>IFERROR(__xludf.DUMMYFUNCTION("""COMPUTED_VALUE"""),"FE0121C")</f>
        <v>FE0121C</v>
      </c>
      <c r="H451" s="186">
        <f>IFERROR(__xludf.DUMMYFUNCTION("""COMPUTED_VALUE"""),565023.0)</f>
        <v>565023</v>
      </c>
      <c r="I451" s="186" t="str">
        <f>IFERROR(__xludf.DUMMYFUNCTION("""COMPUTED_VALUE"""),"HF Mex.stijl maiscake")</f>
        <v>HF Mex.stijl maiscake</v>
      </c>
      <c r="J451" s="189">
        <f>IFERROR(__xludf.DUMMYFUNCTION("""COMPUTED_VALUE"""),253.0)</f>
        <v>253</v>
      </c>
      <c r="K451" s="189">
        <f>IFERROR(__xludf.DUMMYFUNCTION("""COMPUTED_VALUE"""),331.0)</f>
        <v>331</v>
      </c>
      <c r="L451" s="189">
        <f>IFERROR(__xludf.DUMMYFUNCTION("""COMPUTED_VALUE"""),352.0)</f>
        <v>352</v>
      </c>
      <c r="M451" s="189">
        <f>IFERROR(__xludf.DUMMYFUNCTION("""COMPUTED_VALUE"""),452.0)</f>
        <v>452</v>
      </c>
      <c r="N451" s="189">
        <f>IFERROR(__xludf.DUMMYFUNCTION("""COMPUTED_VALUE"""),476.0)</f>
        <v>476</v>
      </c>
      <c r="O451" s="189">
        <f>IFERROR(__xludf.DUMMYFUNCTION("""COMPUTED_VALUE"""),439.0)</f>
        <v>439</v>
      </c>
      <c r="P451" s="189">
        <f>IFERROR(__xludf.DUMMYFUNCTION("""COMPUTED_VALUE"""),427.0)</f>
        <v>427</v>
      </c>
      <c r="Q451" s="189">
        <f>IFERROR(__xludf.DUMMYFUNCTION("""COMPUTED_VALUE"""),412.0)</f>
        <v>412</v>
      </c>
      <c r="R451" s="186"/>
      <c r="S451" s="189">
        <f>IFERROR(__xludf.DUMMYFUNCTION("""COMPUTED_VALUE"""),367.0)</f>
        <v>367</v>
      </c>
    </row>
    <row r="452">
      <c r="A452" s="186" t="str">
        <f>IFERROR(__xludf.DUMMYFUNCTION("""COMPUTED_VALUE"""),"NORDICS")</f>
        <v>NORDICS</v>
      </c>
      <c r="B452" s="186" t="str">
        <f>IFERROR(__xludf.DUMMYFUNCTION("""COMPUTED_VALUE"""),"W05")</f>
        <v>W05</v>
      </c>
      <c r="C452" s="186">
        <f>IFERROR(__xludf.DUMMYFUNCTION("""COMPUTED_VALUE"""),310.0)</f>
        <v>310</v>
      </c>
      <c r="D452" s="186" t="str">
        <f>IFERROR(__xludf.DUMMYFUNCTION("""COMPUTED_VALUE"""),"CON-00-147817-2")</f>
        <v>CON-00-147817-2</v>
      </c>
      <c r="E452" s="186" t="str">
        <f>IFERROR(__xludf.DUMMYFUNCTION("""COMPUTED_VALUE"""),"Ratatouille of zucchini and pepper")</f>
        <v>Ratatouille of zucchini and pepper</v>
      </c>
      <c r="F452" s="186" t="str">
        <f>IFERROR(__xludf.DUMMYFUNCTION("""COMPUTED_VALUE"""),"Squash- og peberfrugtsratatouille")</f>
        <v>Squash- og peberfrugtsratatouille</v>
      </c>
      <c r="G452" s="186" t="str">
        <f>IFERROR(__xludf.DUMMYFUNCTION("""COMPUTED_VALUE"""),"FE0090C")</f>
        <v>FE0090C</v>
      </c>
      <c r="H452" s="186">
        <f>IFERROR(__xludf.DUMMYFUNCTION("""COMPUTED_VALUE"""),565141.0)</f>
        <v>565141</v>
      </c>
      <c r="I452" s="186"/>
      <c r="J452" s="189">
        <f>IFERROR(__xludf.DUMMYFUNCTION("""COMPUTED_VALUE"""),273.0)</f>
        <v>273</v>
      </c>
      <c r="K452" s="189">
        <f>IFERROR(__xludf.DUMMYFUNCTION("""COMPUTED_VALUE"""),322.0)</f>
        <v>322</v>
      </c>
      <c r="L452" s="189">
        <f>IFERROR(__xludf.DUMMYFUNCTION("""COMPUTED_VALUE"""),232.0)</f>
        <v>232</v>
      </c>
      <c r="M452" s="189">
        <f>IFERROR(__xludf.DUMMYFUNCTION("""COMPUTED_VALUE"""),294.0)</f>
        <v>294</v>
      </c>
      <c r="N452" s="189">
        <f>IFERROR(__xludf.DUMMYFUNCTION("""COMPUTED_VALUE"""),312.0)</f>
        <v>312</v>
      </c>
      <c r="O452" s="189">
        <f>IFERROR(__xludf.DUMMYFUNCTION("""COMPUTED_VALUE"""),297.0)</f>
        <v>297</v>
      </c>
      <c r="P452" s="189">
        <f>IFERROR(__xludf.DUMMYFUNCTION("""COMPUTED_VALUE"""),304.0)</f>
        <v>304</v>
      </c>
      <c r="Q452" s="189">
        <f>IFERROR(__xludf.DUMMYFUNCTION("""COMPUTED_VALUE"""),284.0)</f>
        <v>284</v>
      </c>
      <c r="R452" s="186"/>
      <c r="S452" s="189">
        <f>IFERROR(__xludf.DUMMYFUNCTION("""COMPUTED_VALUE"""),256.0)</f>
        <v>256</v>
      </c>
    </row>
    <row r="453">
      <c r="A453" s="186" t="str">
        <f>IFERROR(__xludf.DUMMYFUNCTION("""COMPUTED_VALUE"""),"NORDICS")</f>
        <v>NORDICS</v>
      </c>
      <c r="B453" s="186" t="str">
        <f>IFERROR(__xludf.DUMMYFUNCTION("""COMPUTED_VALUE"""),"W05")</f>
        <v>W05</v>
      </c>
      <c r="C453" s="186">
        <f>IFERROR(__xludf.DUMMYFUNCTION("""COMPUTED_VALUE"""),311.0)</f>
        <v>311</v>
      </c>
      <c r="D453" s="186" t="str">
        <f>IFERROR(__xludf.DUMMYFUNCTION("""COMPUTED_VALUE"""),"CON-00-147870-2")</f>
        <v>CON-00-147870-2</v>
      </c>
      <c r="E453" s="186" t="str">
        <f>IFERROR(__xludf.DUMMYFUNCTION("""COMPUTED_VALUE"""),"Pork tenderloin in sundried tomato sauce")</f>
        <v>Pork tenderloin in sundried tomato sauce</v>
      </c>
      <c r="F453" s="186" t="str">
        <f>IFERROR(__xludf.DUMMYFUNCTION("""COMPUTED_VALUE"""),"Svinemørbrad i soltørret tomatsauce")</f>
        <v>Svinemørbrad i soltørret tomatsauce</v>
      </c>
      <c r="G453" s="186" t="str">
        <f>IFERROR(__xludf.DUMMYFUNCTION("""COMPUTED_VALUE"""),"FE4006A")</f>
        <v>FE4006A</v>
      </c>
      <c r="H453" s="186">
        <f>IFERROR(__xludf.DUMMYFUNCTION("""COMPUTED_VALUE"""),565063.0)</f>
        <v>565063</v>
      </c>
      <c r="I453" s="186" t="str">
        <f>IFERROR(__xludf.DUMMYFUNCTION("""COMPUTED_VALUE"""),"HF Varkenshaas met tomatensaus 384g")</f>
        <v>HF Varkenshaas met tomatensaus 384g</v>
      </c>
      <c r="J453" s="189">
        <f>IFERROR(__xludf.DUMMYFUNCTION("""COMPUTED_VALUE"""),778.0)</f>
        <v>778</v>
      </c>
      <c r="K453" s="189">
        <f>IFERROR(__xludf.DUMMYFUNCTION("""COMPUTED_VALUE"""),917.0)</f>
        <v>917</v>
      </c>
      <c r="L453" s="189">
        <f>IFERROR(__xludf.DUMMYFUNCTION("""COMPUTED_VALUE"""),820.0)</f>
        <v>820</v>
      </c>
      <c r="M453" s="189">
        <f>IFERROR(__xludf.DUMMYFUNCTION("""COMPUTED_VALUE"""),824.0)</f>
        <v>824</v>
      </c>
      <c r="N453" s="189">
        <f>IFERROR(__xludf.DUMMYFUNCTION("""COMPUTED_VALUE"""),857.0)</f>
        <v>857</v>
      </c>
      <c r="O453" s="189">
        <f>IFERROR(__xludf.DUMMYFUNCTION("""COMPUTED_VALUE"""),862.0)</f>
        <v>862</v>
      </c>
      <c r="P453" s="189">
        <f>IFERROR(__xludf.DUMMYFUNCTION("""COMPUTED_VALUE"""),855.0)</f>
        <v>855</v>
      </c>
      <c r="Q453" s="189">
        <f>IFERROR(__xludf.DUMMYFUNCTION("""COMPUTED_VALUE"""),813.0)</f>
        <v>813</v>
      </c>
      <c r="R453" s="186"/>
      <c r="S453" s="189">
        <f>IFERROR(__xludf.DUMMYFUNCTION("""COMPUTED_VALUE"""),715.0)</f>
        <v>715</v>
      </c>
    </row>
    <row r="454">
      <c r="A454" s="186" t="str">
        <f>IFERROR(__xludf.DUMMYFUNCTION("""COMPUTED_VALUE"""),"NORDICS")</f>
        <v>NORDICS</v>
      </c>
      <c r="B454" s="186" t="str">
        <f>IFERROR(__xludf.DUMMYFUNCTION("""COMPUTED_VALUE"""),"W05")</f>
        <v>W05</v>
      </c>
      <c r="C454" s="186">
        <f>IFERROR(__xludf.DUMMYFUNCTION("""COMPUTED_VALUE"""),312.0)</f>
        <v>312</v>
      </c>
      <c r="D454" s="186" t="str">
        <f>IFERROR(__xludf.DUMMYFUNCTION("""COMPUTED_VALUE"""),"CON-00-154556-2")</f>
        <v>CON-00-154556-2</v>
      </c>
      <c r="E454" s="186" t="str">
        <f>IFERROR(__xludf.DUMMYFUNCTION("""COMPUTED_VALUE"""),"Citrus–Miso Salmon Bowl")</f>
        <v>Citrus–Miso Salmon Bowl</v>
      </c>
      <c r="F454" s="186" t="str">
        <f>IFERROR(__xludf.DUMMYFUNCTION("""COMPUTED_VALUE"""),"Laksebowl med citrus-miso")</f>
        <v>Laksebowl med citrus-miso</v>
      </c>
      <c r="G454" s="186" t="str">
        <f>IFERROR(__xludf.DUMMYFUNCTION("""COMPUTED_VALUE"""),"FE1731A")</f>
        <v>FE1731A</v>
      </c>
      <c r="H454" s="186">
        <f>IFERROR(__xludf.DUMMYFUNCTION("""COMPUTED_VALUE"""),565221.0)</f>
        <v>565221</v>
      </c>
      <c r="I454" s="186" t="str">
        <f>IFERROR(__xludf.DUMMYFUNCTION("""COMPUTED_VALUE"""),"HF Citrus-miso zalm bowl")</f>
        <v>HF Citrus-miso zalm bowl</v>
      </c>
      <c r="J454" s="189">
        <f>IFERROR(__xludf.DUMMYFUNCTION("""COMPUTED_VALUE"""),1332.0)</f>
        <v>1332</v>
      </c>
      <c r="K454" s="189">
        <f>IFERROR(__xludf.DUMMYFUNCTION("""COMPUTED_VALUE"""),1711.0)</f>
        <v>1711</v>
      </c>
      <c r="L454" s="189">
        <f>IFERROR(__xludf.DUMMYFUNCTION("""COMPUTED_VALUE"""),2108.0)</f>
        <v>2108</v>
      </c>
      <c r="M454" s="189">
        <f>IFERROR(__xludf.DUMMYFUNCTION("""COMPUTED_VALUE"""),2266.0)</f>
        <v>2266</v>
      </c>
      <c r="N454" s="189">
        <f>IFERROR(__xludf.DUMMYFUNCTION("""COMPUTED_VALUE"""),2377.0)</f>
        <v>2377</v>
      </c>
      <c r="O454" s="189">
        <f>IFERROR(__xludf.DUMMYFUNCTION("""COMPUTED_VALUE"""),2400.0)</f>
        <v>2400</v>
      </c>
      <c r="P454" s="189">
        <f>IFERROR(__xludf.DUMMYFUNCTION("""COMPUTED_VALUE"""),2344.0)</f>
        <v>2344</v>
      </c>
      <c r="Q454" s="189">
        <f>IFERROR(__xludf.DUMMYFUNCTION("""COMPUTED_VALUE"""),2342.0)</f>
        <v>2342</v>
      </c>
      <c r="R454" s="186"/>
      <c r="S454" s="189">
        <f>IFERROR(__xludf.DUMMYFUNCTION("""COMPUTED_VALUE"""),2046.0)</f>
        <v>2046</v>
      </c>
    </row>
    <row r="455">
      <c r="A455" s="186" t="str">
        <f>IFERROR(__xludf.DUMMYFUNCTION("""COMPUTED_VALUE"""),"NORDICS")</f>
        <v>NORDICS</v>
      </c>
      <c r="B455" s="186" t="str">
        <f>IFERROR(__xludf.DUMMYFUNCTION("""COMPUTED_VALUE"""),"W05")</f>
        <v>W05</v>
      </c>
      <c r="C455" s="186">
        <f>IFERROR(__xludf.DUMMYFUNCTION("""COMPUTED_VALUE"""),313.0)</f>
        <v>313</v>
      </c>
      <c r="D455" s="186" t="str">
        <f>IFERROR(__xludf.DUMMYFUNCTION("""COMPUTED_VALUE"""),"CON-00-155018-2")</f>
        <v>CON-00-155018-2</v>
      </c>
      <c r="E455" s="186" t="str">
        <f>IFERROR(__xludf.DUMMYFUNCTION("""COMPUTED_VALUE"""),"Herb-Grilled Chicken")</f>
        <v>Herb-Grilled Chicken</v>
      </c>
      <c r="F455" s="186" t="str">
        <f>IFERROR(__xludf.DUMMYFUNCTION("""COMPUTED_VALUE"""),"Grillkylling med urter")</f>
        <v>Grillkylling med urter</v>
      </c>
      <c r="G455" s="186" t="str">
        <f>IFERROR(__xludf.DUMMYFUNCTION("""COMPUTED_VALUE"""),"FE4070A")</f>
        <v>FE4070A</v>
      </c>
      <c r="H455" s="186">
        <f>IFERROR(__xludf.DUMMYFUNCTION("""COMPUTED_VALUE"""),565242.0)</f>
        <v>565242</v>
      </c>
      <c r="I455" s="186" t="str">
        <f>IFERROR(__xludf.DUMMYFUNCTION("""COMPUTED_VALUE"""),"HF Kip met risotto geitenkaas")</f>
        <v>HF Kip met risotto geitenkaas</v>
      </c>
      <c r="J455" s="189">
        <f>IFERROR(__xludf.DUMMYFUNCTION("""COMPUTED_VALUE"""),1656.0)</f>
        <v>1656</v>
      </c>
      <c r="K455" s="189">
        <f>IFERROR(__xludf.DUMMYFUNCTION("""COMPUTED_VALUE"""),2150.0)</f>
        <v>2150</v>
      </c>
      <c r="L455" s="189">
        <f>IFERROR(__xludf.DUMMYFUNCTION("""COMPUTED_VALUE"""),2466.0)</f>
        <v>2466</v>
      </c>
      <c r="M455" s="189">
        <f>IFERROR(__xludf.DUMMYFUNCTION("""COMPUTED_VALUE"""),2506.0)</f>
        <v>2506</v>
      </c>
      <c r="N455" s="189">
        <f>IFERROR(__xludf.DUMMYFUNCTION("""COMPUTED_VALUE"""),2623.0)</f>
        <v>2623</v>
      </c>
      <c r="O455" s="189">
        <f>IFERROR(__xludf.DUMMYFUNCTION("""COMPUTED_VALUE"""),2609.0)</f>
        <v>2609</v>
      </c>
      <c r="P455" s="189">
        <f>IFERROR(__xludf.DUMMYFUNCTION("""COMPUTED_VALUE"""),2531.0)</f>
        <v>2531</v>
      </c>
      <c r="Q455" s="189">
        <f>IFERROR(__xludf.DUMMYFUNCTION("""COMPUTED_VALUE"""),2515.0)</f>
        <v>2515</v>
      </c>
      <c r="R455" s="186"/>
      <c r="S455" s="189">
        <f>IFERROR(__xludf.DUMMYFUNCTION("""COMPUTED_VALUE"""),2169.0)</f>
        <v>2169</v>
      </c>
    </row>
    <row r="456">
      <c r="A456" s="186" t="str">
        <f>IFERROR(__xludf.DUMMYFUNCTION("""COMPUTED_VALUE"""),"NORDICS")</f>
        <v>NORDICS</v>
      </c>
      <c r="B456" s="186" t="str">
        <f>IFERROR(__xludf.DUMMYFUNCTION("""COMPUTED_VALUE"""),"W05")</f>
        <v>W05</v>
      </c>
      <c r="C456" s="186">
        <f>IFERROR(__xludf.DUMMYFUNCTION("""COMPUTED_VALUE"""),314.0)</f>
        <v>314</v>
      </c>
      <c r="D456" s="186" t="str">
        <f>IFERROR(__xludf.DUMMYFUNCTION("""COMPUTED_VALUE"""),"CON-00-152040-2")</f>
        <v>CON-00-152040-2</v>
      </c>
      <c r="E456" s="186" t="str">
        <f>IFERROR(__xludf.DUMMYFUNCTION("""COMPUTED_VALUE"""),"Braised Beef Pasta &amp; Roasted Red Pepper")</f>
        <v>Braised Beef Pasta &amp; Roasted Red Pepper</v>
      </c>
      <c r="F456" s="186" t="str">
        <f>IFERROR(__xludf.DUMMYFUNCTION("""COMPUTED_VALUE"""),"Mac and Cheese med langtidsstegt oksekød og peberfrugt")</f>
        <v>Mac and Cheese med langtidsstegt oksekød og peberfrugt</v>
      </c>
      <c r="G456" s="186" t="str">
        <f>IFERROR(__xludf.DUMMYFUNCTION("""COMPUTED_VALUE"""),"FE0262C")</f>
        <v>FE0262C</v>
      </c>
      <c r="H456" s="186">
        <f>IFERROR(__xludf.DUMMYFUNCTION("""COMPUTED_VALUE"""),565215.0)</f>
        <v>565215</v>
      </c>
      <c r="I456" s="186" t="str">
        <f>IFERROR(__xludf.DUMMYFUNCTION("""COMPUTED_VALUE"""),"HF Pulled beef pasta kaasaus")</f>
        <v>HF Pulled beef pasta kaasaus</v>
      </c>
      <c r="J456" s="189">
        <f>IFERROR(__xludf.DUMMYFUNCTION("""COMPUTED_VALUE"""),958.0)</f>
        <v>958</v>
      </c>
      <c r="K456" s="189">
        <f>IFERROR(__xludf.DUMMYFUNCTION("""COMPUTED_VALUE"""),1275.0)</f>
        <v>1275</v>
      </c>
      <c r="L456" s="189">
        <f>IFERROR(__xludf.DUMMYFUNCTION("""COMPUTED_VALUE"""),1803.0)</f>
        <v>1803</v>
      </c>
      <c r="M456" s="189">
        <f>IFERROR(__xludf.DUMMYFUNCTION("""COMPUTED_VALUE"""),1710.0)</f>
        <v>1710</v>
      </c>
      <c r="N456" s="189">
        <f>IFERROR(__xludf.DUMMYFUNCTION("""COMPUTED_VALUE"""),1752.0)</f>
        <v>1752</v>
      </c>
      <c r="O456" s="189">
        <f>IFERROR(__xludf.DUMMYFUNCTION("""COMPUTED_VALUE"""),1773.0)</f>
        <v>1773</v>
      </c>
      <c r="P456" s="189">
        <f>IFERROR(__xludf.DUMMYFUNCTION("""COMPUTED_VALUE"""),1783.0)</f>
        <v>1783</v>
      </c>
      <c r="Q456" s="189">
        <f>IFERROR(__xludf.DUMMYFUNCTION("""COMPUTED_VALUE"""),1765.0)</f>
        <v>1765</v>
      </c>
      <c r="R456" s="186"/>
      <c r="S456" s="189">
        <f>IFERROR(__xludf.DUMMYFUNCTION("""COMPUTED_VALUE"""),1612.0)</f>
        <v>1612</v>
      </c>
    </row>
    <row r="457">
      <c r="A457" s="186" t="str">
        <f>IFERROR(__xludf.DUMMYFUNCTION("""COMPUTED_VALUE"""),"NORDICS")</f>
        <v>NORDICS</v>
      </c>
      <c r="B457" s="186" t="str">
        <f>IFERROR(__xludf.DUMMYFUNCTION("""COMPUTED_VALUE"""),"W05")</f>
        <v>W05</v>
      </c>
      <c r="C457" s="186">
        <f>IFERROR(__xludf.DUMMYFUNCTION("""COMPUTED_VALUE"""),315.0)</f>
        <v>315</v>
      </c>
      <c r="D457" s="186" t="str">
        <f>IFERROR(__xludf.DUMMYFUNCTION("""COMPUTED_VALUE"""),"CON-00-147906-2")</f>
        <v>CON-00-147906-2</v>
      </c>
      <c r="E457" s="186" t="str">
        <f>IFERROR(__xludf.DUMMYFUNCTION("""COMPUTED_VALUE"""),"Cheddar pulled beef")</f>
        <v>Cheddar pulled beef</v>
      </c>
      <c r="F457" s="186" t="str">
        <f>IFERROR(__xludf.DUMMYFUNCTION("""COMPUTED_VALUE"""),"Pulled beef med cheddar")</f>
        <v>Pulled beef med cheddar</v>
      </c>
      <c r="G457" s="186" t="str">
        <f>IFERROR(__xludf.DUMMYFUNCTION("""COMPUTED_VALUE"""),"FE4063A")</f>
        <v>FE4063A</v>
      </c>
      <c r="H457" s="186">
        <f>IFERROR(__xludf.DUMMYFUNCTION("""COMPUTED_VALUE"""),565136.0)</f>
        <v>565136</v>
      </c>
      <c r="I457" s="186"/>
      <c r="J457" s="189">
        <f>IFERROR(__xludf.DUMMYFUNCTION("""COMPUTED_VALUE"""),707.0)</f>
        <v>707</v>
      </c>
      <c r="K457" s="189">
        <f>IFERROR(__xludf.DUMMYFUNCTION("""COMPUTED_VALUE"""),943.0)</f>
        <v>943</v>
      </c>
      <c r="L457" s="189">
        <f>IFERROR(__xludf.DUMMYFUNCTION("""COMPUTED_VALUE"""),760.0)</f>
        <v>760</v>
      </c>
      <c r="M457" s="189">
        <f>IFERROR(__xludf.DUMMYFUNCTION("""COMPUTED_VALUE"""),830.0)</f>
        <v>830</v>
      </c>
      <c r="N457" s="189">
        <f>IFERROR(__xludf.DUMMYFUNCTION("""COMPUTED_VALUE"""),870.0)</f>
        <v>870</v>
      </c>
      <c r="O457" s="189">
        <f>IFERROR(__xludf.DUMMYFUNCTION("""COMPUTED_VALUE"""),862.0)</f>
        <v>862</v>
      </c>
      <c r="P457" s="189">
        <f>IFERROR(__xludf.DUMMYFUNCTION("""COMPUTED_VALUE"""),891.0)</f>
        <v>891</v>
      </c>
      <c r="Q457" s="189">
        <f>IFERROR(__xludf.DUMMYFUNCTION("""COMPUTED_VALUE"""),903.0)</f>
        <v>903</v>
      </c>
      <c r="R457" s="186"/>
      <c r="S457" s="189">
        <f>IFERROR(__xludf.DUMMYFUNCTION("""COMPUTED_VALUE"""),787.0)</f>
        <v>787</v>
      </c>
    </row>
    <row r="458">
      <c r="A458" s="186" t="str">
        <f>IFERROR(__xludf.DUMMYFUNCTION("""COMPUTED_VALUE"""),"NORDICS")</f>
        <v>NORDICS</v>
      </c>
      <c r="B458" s="186" t="str">
        <f>IFERROR(__xludf.DUMMYFUNCTION("""COMPUTED_VALUE"""),"W05")</f>
        <v>W05</v>
      </c>
      <c r="C458" s="186">
        <f>IFERROR(__xludf.DUMMYFUNCTION("""COMPUTED_VALUE"""),316.0)</f>
        <v>316</v>
      </c>
      <c r="D458" s="186" t="str">
        <f>IFERROR(__xludf.DUMMYFUNCTION("""COMPUTED_VALUE"""),"CON-00-155019-2")</f>
        <v>CON-00-155019-2</v>
      </c>
      <c r="E458" s="186" t="str">
        <f>IFERROR(__xludf.DUMMYFUNCTION("""COMPUTED_VALUE"""),"Tunisian-Style Beef &amp; Tomato Stew")</f>
        <v>Tunisian-Style Beef &amp; Tomato Stew</v>
      </c>
      <c r="F458" s="186" t="str">
        <f>IFERROR(__xludf.DUMMYFUNCTION("""COMPUTED_VALUE"""),"Tunisisk-inspireret okse- og tomatgryde")</f>
        <v>Tunisisk-inspireret okse- og tomatgryde</v>
      </c>
      <c r="G458" s="186" t="str">
        <f>IFERROR(__xludf.DUMMYFUNCTION("""COMPUTED_VALUE"""),"FE0092B")</f>
        <v>FE0092B</v>
      </c>
      <c r="H458" s="186">
        <f>IFERROR(__xludf.DUMMYFUNCTION("""COMPUTED_VALUE"""),565180.0)</f>
        <v>565180</v>
      </c>
      <c r="I458" s="186" t="str">
        <f>IFERROR(__xludf.DUMMYFUNCTION("""COMPUTED_VALUE"""),"HF Tunesian-style Beef Stew")</f>
        <v>HF Tunesian-style Beef Stew</v>
      </c>
      <c r="J458" s="189">
        <f>IFERROR(__xludf.DUMMYFUNCTION("""COMPUTED_VALUE"""),484.0)</f>
        <v>484</v>
      </c>
      <c r="K458" s="189">
        <f>IFERROR(__xludf.DUMMYFUNCTION("""COMPUTED_VALUE"""),474.0)</f>
        <v>474</v>
      </c>
      <c r="L458" s="189">
        <f>IFERROR(__xludf.DUMMYFUNCTION("""COMPUTED_VALUE"""),796.0)</f>
        <v>796</v>
      </c>
      <c r="M458" s="189">
        <f>IFERROR(__xludf.DUMMYFUNCTION("""COMPUTED_VALUE"""),872.0)</f>
        <v>872</v>
      </c>
      <c r="N458" s="189">
        <f>IFERROR(__xludf.DUMMYFUNCTION("""COMPUTED_VALUE"""),906.0)</f>
        <v>906</v>
      </c>
      <c r="O458" s="189">
        <f>IFERROR(__xludf.DUMMYFUNCTION("""COMPUTED_VALUE"""),869.0)</f>
        <v>869</v>
      </c>
      <c r="P458" s="189">
        <f>IFERROR(__xludf.DUMMYFUNCTION("""COMPUTED_VALUE"""),857.0)</f>
        <v>857</v>
      </c>
      <c r="Q458" s="189">
        <f>IFERROR(__xludf.DUMMYFUNCTION("""COMPUTED_VALUE"""),856.0)</f>
        <v>856</v>
      </c>
      <c r="R458" s="186"/>
      <c r="S458" s="189">
        <f>IFERROR(__xludf.DUMMYFUNCTION("""COMPUTED_VALUE"""),785.0)</f>
        <v>785</v>
      </c>
    </row>
    <row r="459">
      <c r="A459" s="186" t="str">
        <f>IFERROR(__xludf.DUMMYFUNCTION("""COMPUTED_VALUE"""),"NORDICS")</f>
        <v>NORDICS</v>
      </c>
      <c r="B459" s="186" t="str">
        <f>IFERROR(__xludf.DUMMYFUNCTION("""COMPUTED_VALUE"""),"W05")</f>
        <v>W05</v>
      </c>
      <c r="C459" s="186">
        <f>IFERROR(__xludf.DUMMYFUNCTION("""COMPUTED_VALUE"""),317.0)</f>
        <v>317</v>
      </c>
      <c r="D459" s="186"/>
      <c r="E459" s="186"/>
      <c r="F459" s="186"/>
      <c r="G459" s="186" t="str">
        <f>IFERROR(__xludf.DUMMYFUNCTION("""COMPUTED_VALUE"""),"FE4048A")</f>
        <v>FE4048A</v>
      </c>
      <c r="H459" s="186"/>
      <c r="I459" s="186"/>
      <c r="J459" s="189">
        <f>IFERROR(__xludf.DUMMYFUNCTION("""COMPUTED_VALUE"""),773.0)</f>
        <v>773</v>
      </c>
      <c r="K459" s="189">
        <f>IFERROR(__xludf.DUMMYFUNCTION("""COMPUTED_VALUE"""),1049.0)</f>
        <v>1049</v>
      </c>
      <c r="L459" s="189">
        <f>IFERROR(__xludf.DUMMYFUNCTION("""COMPUTED_VALUE"""),1002.0)</f>
        <v>1002</v>
      </c>
      <c r="M459" s="189">
        <f>IFERROR(__xludf.DUMMYFUNCTION("""COMPUTED_VALUE"""),1140.0)</f>
        <v>1140</v>
      </c>
      <c r="N459" s="189">
        <f>IFERROR(__xludf.DUMMYFUNCTION("""COMPUTED_VALUE"""),1217.0)</f>
        <v>1217</v>
      </c>
      <c r="O459" s="189">
        <f>IFERROR(__xludf.DUMMYFUNCTION("""COMPUTED_VALUE"""),1268.0)</f>
        <v>1268</v>
      </c>
      <c r="P459" s="189">
        <f>IFERROR(__xludf.DUMMYFUNCTION("""COMPUTED_VALUE"""),1288.0)</f>
        <v>1288</v>
      </c>
      <c r="Q459" s="189">
        <f>IFERROR(__xludf.DUMMYFUNCTION("""COMPUTED_VALUE"""),1305.0)</f>
        <v>1305</v>
      </c>
      <c r="R459" s="186"/>
      <c r="S459" s="189">
        <f>IFERROR(__xludf.DUMMYFUNCTION("""COMPUTED_VALUE"""),1127.0)</f>
        <v>1127</v>
      </c>
    </row>
    <row r="460">
      <c r="A460" s="186" t="str">
        <f>IFERROR(__xludf.DUMMYFUNCTION("""COMPUTED_VALUE"""),"NORDICS")</f>
        <v>NORDICS</v>
      </c>
      <c r="B460" s="186" t="str">
        <f>IFERROR(__xludf.DUMMYFUNCTION("""COMPUTED_VALUE"""),"W05")</f>
        <v>W05</v>
      </c>
      <c r="C460" s="186">
        <f>IFERROR(__xludf.DUMMYFUNCTION("""COMPUTED_VALUE"""),318.0)</f>
        <v>318</v>
      </c>
      <c r="D460" s="186" t="str">
        <f>IFERROR(__xludf.DUMMYFUNCTION("""COMPUTED_VALUE"""),"CON-00-147864-2")</f>
        <v>CON-00-147864-2</v>
      </c>
      <c r="E460" s="186" t="str">
        <f>IFERROR(__xludf.DUMMYFUNCTION("""COMPUTED_VALUE"""),"Pork tenderloin in spicy ancho chili sauce")</f>
        <v>Pork tenderloin in spicy ancho chili sauce</v>
      </c>
      <c r="F460" s="186" t="str">
        <f>IFERROR(__xludf.DUMMYFUNCTION("""COMPUTED_VALUE"""),"Svinemørbrad i ancho- og chilisauce")</f>
        <v>Svinemørbrad i ancho- og chilisauce</v>
      </c>
      <c r="G460" s="186" t="str">
        <f>IFERROR(__xludf.DUMMYFUNCTION("""COMPUTED_VALUE"""),"FE1072B")</f>
        <v>FE1072B</v>
      </c>
      <c r="H460" s="186">
        <f>IFERROR(__xludf.DUMMYFUNCTION("""COMPUTED_VALUE"""),565095.0)</f>
        <v>565095</v>
      </c>
      <c r="I460" s="186" t="str">
        <f>IFERROR(__xludf.DUMMYFUNCTION("""COMPUTED_VALUE"""),"HF V.haas pittige ancho chili")</f>
        <v>HF V.haas pittige ancho chili</v>
      </c>
      <c r="J460" s="189">
        <f>IFERROR(__xludf.DUMMYFUNCTION("""COMPUTED_VALUE"""),433.0)</f>
        <v>433</v>
      </c>
      <c r="K460" s="189">
        <f>IFERROR(__xludf.DUMMYFUNCTION("""COMPUTED_VALUE"""),503.0)</f>
        <v>503</v>
      </c>
      <c r="L460" s="189">
        <f>IFERROR(__xludf.DUMMYFUNCTION("""COMPUTED_VALUE"""),563.0)</f>
        <v>563</v>
      </c>
      <c r="M460" s="189">
        <f>IFERROR(__xludf.DUMMYFUNCTION("""COMPUTED_VALUE"""),650.0)</f>
        <v>650</v>
      </c>
      <c r="N460" s="189">
        <f>IFERROR(__xludf.DUMMYFUNCTION("""COMPUTED_VALUE"""),710.0)</f>
        <v>710</v>
      </c>
      <c r="O460" s="189">
        <f>IFERROR(__xludf.DUMMYFUNCTION("""COMPUTED_VALUE"""),780.0)</f>
        <v>780</v>
      </c>
      <c r="P460" s="189">
        <f>IFERROR(__xludf.DUMMYFUNCTION("""COMPUTED_VALUE"""),799.0)</f>
        <v>799</v>
      </c>
      <c r="Q460" s="189">
        <f>IFERROR(__xludf.DUMMYFUNCTION("""COMPUTED_VALUE"""),803.0)</f>
        <v>803</v>
      </c>
      <c r="R460" s="186"/>
      <c r="S460" s="189">
        <f>IFERROR(__xludf.DUMMYFUNCTION("""COMPUTED_VALUE"""),694.0)</f>
        <v>694</v>
      </c>
    </row>
    <row r="461">
      <c r="A461" s="186" t="str">
        <f>IFERROR(__xludf.DUMMYFUNCTION("""COMPUTED_VALUE"""),"NORDICS")</f>
        <v>NORDICS</v>
      </c>
      <c r="B461" s="186" t="str">
        <f>IFERROR(__xludf.DUMMYFUNCTION("""COMPUTED_VALUE"""),"W05")</f>
        <v>W05</v>
      </c>
      <c r="C461" s="186">
        <f>IFERROR(__xludf.DUMMYFUNCTION("""COMPUTED_VALUE"""),806.0)</f>
        <v>806</v>
      </c>
      <c r="D461" s="186" t="str">
        <f>IFERROR(__xludf.DUMMYFUNCTION("""COMPUTED_VALUE"""),"PTN-00-148223-2")</f>
        <v>PTN-00-148223-2</v>
      </c>
      <c r="E461" s="186" t="str">
        <f>IFERROR(__xludf.DUMMYFUNCTION("""COMPUTED_VALUE"""),"Garlic Herb Grilled Chicken")</f>
        <v>Garlic Herb Grilled Chicken</v>
      </c>
      <c r="F461" s="186" t="str">
        <f>IFERROR(__xludf.DUMMYFUNCTION("""COMPUTED_VALUE"""),"Grillet kylling med hvidlød og urter")</f>
        <v>Grillet kylling med hvidlød og urter</v>
      </c>
      <c r="G461" s="186" t="str">
        <f>IFERROR(__xludf.DUMMYFUNCTION("""COMPUTED_VALUE"""),"FEA006A")</f>
        <v>FEA006A</v>
      </c>
      <c r="H461" s="186">
        <f>IFERROR(__xludf.DUMMYFUNCTION("""COMPUTED_VALUE"""),565119.0)</f>
        <v>565119</v>
      </c>
      <c r="I461" s="186"/>
      <c r="J461" s="189">
        <f>IFERROR(__xludf.DUMMYFUNCTION("""COMPUTED_VALUE"""),48.0)</f>
        <v>48</v>
      </c>
      <c r="K461" s="189">
        <f>IFERROR(__xludf.DUMMYFUNCTION("""COMPUTED_VALUE"""),48.0)</f>
        <v>48</v>
      </c>
      <c r="L461" s="189">
        <f>IFERROR(__xludf.DUMMYFUNCTION("""COMPUTED_VALUE"""),48.0)</f>
        <v>48</v>
      </c>
      <c r="M461" s="189">
        <f>IFERROR(__xludf.DUMMYFUNCTION("""COMPUTED_VALUE"""),48.0)</f>
        <v>48</v>
      </c>
      <c r="N461" s="189">
        <f>IFERROR(__xludf.DUMMYFUNCTION("""COMPUTED_VALUE"""),48.0)</f>
        <v>48</v>
      </c>
      <c r="O461" s="189">
        <f>IFERROR(__xludf.DUMMYFUNCTION("""COMPUTED_VALUE"""),48.0)</f>
        <v>48</v>
      </c>
      <c r="P461" s="189">
        <f>IFERROR(__xludf.DUMMYFUNCTION("""COMPUTED_VALUE"""),48.0)</f>
        <v>48</v>
      </c>
      <c r="Q461" s="189">
        <f>IFERROR(__xludf.DUMMYFUNCTION("""COMPUTED_VALUE"""),48.0)</f>
        <v>48</v>
      </c>
      <c r="R461" s="186"/>
      <c r="S461" s="189">
        <f>IFERROR(__xludf.DUMMYFUNCTION("""COMPUTED_VALUE"""),65.0)</f>
        <v>65</v>
      </c>
    </row>
    <row r="462">
      <c r="A462" s="186" t="str">
        <f>IFERROR(__xludf.DUMMYFUNCTION("""COMPUTED_VALUE"""),"NORDICS")</f>
        <v>NORDICS</v>
      </c>
      <c r="B462" s="186" t="str">
        <f>IFERROR(__xludf.DUMMYFUNCTION("""COMPUTED_VALUE"""),"W05")</f>
        <v>W05</v>
      </c>
      <c r="C462" s="186"/>
      <c r="D462" s="186"/>
      <c r="E462" s="186"/>
      <c r="F462" s="186"/>
      <c r="G462" s="186"/>
      <c r="H462" s="186"/>
      <c r="I462" s="186"/>
      <c r="J462" s="189">
        <f>IFERROR(__xludf.DUMMYFUNCTION("""COMPUTED_VALUE"""),22418.0)</f>
        <v>22418</v>
      </c>
      <c r="K462" s="189">
        <f>IFERROR(__xludf.DUMMYFUNCTION("""COMPUTED_VALUE"""),28675.0)</f>
        <v>28675</v>
      </c>
      <c r="L462" s="189">
        <f>IFERROR(__xludf.DUMMYFUNCTION("""COMPUTED_VALUE"""),34063.0)</f>
        <v>34063</v>
      </c>
      <c r="M462" s="189">
        <f>IFERROR(__xludf.DUMMYFUNCTION("""COMPUTED_VALUE"""),36361.0)</f>
        <v>36361</v>
      </c>
      <c r="N462" s="189">
        <f>IFERROR(__xludf.DUMMYFUNCTION("""COMPUTED_VALUE"""),38162.0)</f>
        <v>38162</v>
      </c>
      <c r="O462" s="189">
        <f>IFERROR(__xludf.DUMMYFUNCTION("""COMPUTED_VALUE"""),38281.0)</f>
        <v>38281</v>
      </c>
      <c r="P462" s="189">
        <f>IFERROR(__xludf.DUMMYFUNCTION("""COMPUTED_VALUE"""),37880.0)</f>
        <v>37880</v>
      </c>
      <c r="Q462" s="189">
        <f>IFERROR(__xludf.DUMMYFUNCTION("""COMPUTED_VALUE"""),37390.0)</f>
        <v>37390</v>
      </c>
      <c r="R462" s="189">
        <f>IFERROR(__xludf.DUMMYFUNCTION("""COMPUTED_VALUE"""),0.0)</f>
        <v>0</v>
      </c>
      <c r="S462" s="189">
        <f>IFERROR(__xludf.DUMMYFUNCTION("""COMPUTED_VALUE"""),32211.0)</f>
        <v>32211</v>
      </c>
    </row>
    <row r="463">
      <c r="A463" s="186" t="str">
        <f>IFERROR(__xludf.DUMMYFUNCTION("""COMPUTED_VALUE"""),"DE")</f>
        <v>DE</v>
      </c>
      <c r="B463" s="186" t="str">
        <f>IFERROR(__xludf.DUMMYFUNCTION("""COMPUTED_VALUE"""),"W05")</f>
        <v>W05</v>
      </c>
      <c r="C463" s="186">
        <f>IFERROR(__xludf.DUMMYFUNCTION("""COMPUTED_VALUE"""),301.0)</f>
        <v>301</v>
      </c>
      <c r="D463" s="186"/>
      <c r="E463" s="186"/>
      <c r="F463" s="186"/>
      <c r="G463" s="186" t="str">
        <f>IFERROR(__xludf.DUMMYFUNCTION("""COMPUTED_VALUE"""),"FE0628B")</f>
        <v>FE0628B</v>
      </c>
      <c r="H463" s="186"/>
      <c r="I463" s="186"/>
      <c r="J463" s="189">
        <f>IFERROR(__xludf.DUMMYFUNCTION("""COMPUTED_VALUE"""),2277.0)</f>
        <v>2277</v>
      </c>
      <c r="K463" s="189">
        <f>IFERROR(__xludf.DUMMYFUNCTION("""COMPUTED_VALUE"""),2483.0)</f>
        <v>2483</v>
      </c>
      <c r="L463" s="189">
        <f>IFERROR(__xludf.DUMMYFUNCTION("""COMPUTED_VALUE"""),2834.0)</f>
        <v>2834</v>
      </c>
      <c r="M463" s="189">
        <f>IFERROR(__xludf.DUMMYFUNCTION("""COMPUTED_VALUE"""),2662.0)</f>
        <v>2662</v>
      </c>
      <c r="N463" s="189">
        <f>IFERROR(__xludf.DUMMYFUNCTION("""COMPUTED_VALUE"""),2780.0)</f>
        <v>2780</v>
      </c>
      <c r="O463" s="189">
        <f>IFERROR(__xludf.DUMMYFUNCTION("""COMPUTED_VALUE"""),3023.0)</f>
        <v>3023</v>
      </c>
      <c r="P463" s="189">
        <f>IFERROR(__xludf.DUMMYFUNCTION("""COMPUTED_VALUE"""),3026.0)</f>
        <v>3026</v>
      </c>
      <c r="Q463" s="189">
        <f>IFERROR(__xludf.DUMMYFUNCTION("""COMPUTED_VALUE"""),2991.0)</f>
        <v>2991</v>
      </c>
      <c r="R463" s="186"/>
      <c r="S463" s="189">
        <f>IFERROR(__xludf.DUMMYFUNCTION("""COMPUTED_VALUE"""),2891.0)</f>
        <v>2891</v>
      </c>
    </row>
    <row r="464">
      <c r="A464" s="186" t="str">
        <f>IFERROR(__xludf.DUMMYFUNCTION("""COMPUTED_VALUE"""),"DE")</f>
        <v>DE</v>
      </c>
      <c r="B464" s="186" t="str">
        <f>IFERROR(__xludf.DUMMYFUNCTION("""COMPUTED_VALUE"""),"W05")</f>
        <v>W05</v>
      </c>
      <c r="C464" s="186">
        <f>IFERROR(__xludf.DUMMYFUNCTION("""COMPUTED_VALUE"""),302.0)</f>
        <v>302</v>
      </c>
      <c r="D464" s="186" t="str">
        <f>IFERROR(__xludf.DUMMYFUNCTION("""COMPUTED_VALUE"""),"CON-00-136675-3")</f>
        <v>CON-00-136675-3</v>
      </c>
      <c r="E464" s="186" t="str">
        <f>IFERROR(__xludf.DUMMYFUNCTION("""COMPUTED_VALUE"""),"Creamy basil risotto with chicken")</f>
        <v>Creamy basil risotto with chicken</v>
      </c>
      <c r="F464" s="186" t="str">
        <f>IFERROR(__xludf.DUMMYFUNCTION("""COMPUTED_VALUE"""),"Cremiges Basilikum-Risotto")</f>
        <v>Cremiges Basilikum-Risotto</v>
      </c>
      <c r="G464" s="186" t="str">
        <f>IFERROR(__xludf.DUMMYFUNCTION("""COMPUTED_VALUE"""),"FE4014B")</f>
        <v>FE4014B</v>
      </c>
      <c r="H464" s="186">
        <f>IFERROR(__xludf.DUMMYFUNCTION("""COMPUTED_VALUE"""),565122.0)</f>
        <v>565122</v>
      </c>
      <c r="I464" s="186"/>
      <c r="J464" s="189">
        <f>IFERROR(__xludf.DUMMYFUNCTION("""COMPUTED_VALUE"""),1546.0)</f>
        <v>1546</v>
      </c>
      <c r="K464" s="189">
        <f>IFERROR(__xludf.DUMMYFUNCTION("""COMPUTED_VALUE"""),1656.0)</f>
        <v>1656</v>
      </c>
      <c r="L464" s="189">
        <f>IFERROR(__xludf.DUMMYFUNCTION("""COMPUTED_VALUE"""),1981.0)</f>
        <v>1981</v>
      </c>
      <c r="M464" s="189">
        <f>IFERROR(__xludf.DUMMYFUNCTION("""COMPUTED_VALUE"""),1904.0)</f>
        <v>1904</v>
      </c>
      <c r="N464" s="189">
        <f>IFERROR(__xludf.DUMMYFUNCTION("""COMPUTED_VALUE"""),2026.0)</f>
        <v>2026</v>
      </c>
      <c r="O464" s="189">
        <f>IFERROR(__xludf.DUMMYFUNCTION("""COMPUTED_VALUE"""),2151.0)</f>
        <v>2151</v>
      </c>
      <c r="P464" s="189">
        <f>IFERROR(__xludf.DUMMYFUNCTION("""COMPUTED_VALUE"""),2134.0)</f>
        <v>2134</v>
      </c>
      <c r="Q464" s="189">
        <f>IFERROR(__xludf.DUMMYFUNCTION("""COMPUTED_VALUE"""),2095.0)</f>
        <v>2095</v>
      </c>
      <c r="R464" s="186"/>
      <c r="S464" s="189">
        <f>IFERROR(__xludf.DUMMYFUNCTION("""COMPUTED_VALUE"""),1964.0)</f>
        <v>1964</v>
      </c>
    </row>
    <row r="465">
      <c r="A465" s="186" t="str">
        <f>IFERROR(__xludf.DUMMYFUNCTION("""COMPUTED_VALUE"""),"DE")</f>
        <v>DE</v>
      </c>
      <c r="B465" s="186" t="str">
        <f>IFERROR(__xludf.DUMMYFUNCTION("""COMPUTED_VALUE"""),"W05")</f>
        <v>W05</v>
      </c>
      <c r="C465" s="186">
        <f>IFERROR(__xludf.DUMMYFUNCTION("""COMPUTED_VALUE"""),303.0)</f>
        <v>303</v>
      </c>
      <c r="D465" s="186" t="str">
        <f>IFERROR(__xludf.DUMMYFUNCTION("""COMPUTED_VALUE"""),"CON-00-150388-2")</f>
        <v>CON-00-150388-2</v>
      </c>
      <c r="E465" s="186" t="str">
        <f>IFERROR(__xludf.DUMMYFUNCTION("""COMPUTED_VALUE"""),"Parmesan &amp; Garlic Cream Pulled Beef")</f>
        <v>Parmesan &amp; Garlic Cream Pulled Beef</v>
      </c>
      <c r="F465" s="186" t="str">
        <f>IFERROR(__xludf.DUMMYFUNCTION("""COMPUTED_VALUE"""),"Pulled Beef in Parmesan-Knoblauch-Creme")</f>
        <v>Pulled Beef in Parmesan-Knoblauch-Creme</v>
      </c>
      <c r="G465" s="186" t="str">
        <f>IFERROR(__xludf.DUMMYFUNCTION("""COMPUTED_VALUE"""),"FE1346B")</f>
        <v>FE1346B</v>
      </c>
      <c r="H465" s="186">
        <f>IFERROR(__xludf.DUMMYFUNCTION("""COMPUTED_VALUE"""),565184.0)</f>
        <v>565184</v>
      </c>
      <c r="I465" s="186" t="str">
        <f>IFERROR(__xludf.DUMMYFUNCTION("""COMPUTED_VALUE"""),"HF Pulled beef &amp; knoflook room")</f>
        <v>HF Pulled beef &amp; knoflook room</v>
      </c>
      <c r="J465" s="189">
        <f>IFERROR(__xludf.DUMMYFUNCTION("""COMPUTED_VALUE"""),1642.0)</f>
        <v>1642</v>
      </c>
      <c r="K465" s="189">
        <f>IFERROR(__xludf.DUMMYFUNCTION("""COMPUTED_VALUE"""),1670.0)</f>
        <v>1670</v>
      </c>
      <c r="L465" s="189">
        <f>IFERROR(__xludf.DUMMYFUNCTION("""COMPUTED_VALUE"""),2809.0)</f>
        <v>2809</v>
      </c>
      <c r="M465" s="189">
        <f>IFERROR(__xludf.DUMMYFUNCTION("""COMPUTED_VALUE"""),2988.0)</f>
        <v>2988</v>
      </c>
      <c r="N465" s="189">
        <f>IFERROR(__xludf.DUMMYFUNCTION("""COMPUTED_VALUE"""),3077.0)</f>
        <v>3077</v>
      </c>
      <c r="O465" s="189">
        <f>IFERROR(__xludf.DUMMYFUNCTION("""COMPUTED_VALUE"""),3177.0)</f>
        <v>3177</v>
      </c>
      <c r="P465" s="189">
        <f>IFERROR(__xludf.DUMMYFUNCTION("""COMPUTED_VALUE"""),3178.0)</f>
        <v>3178</v>
      </c>
      <c r="Q465" s="189">
        <f>IFERROR(__xludf.DUMMYFUNCTION("""COMPUTED_VALUE"""),3182.0)</f>
        <v>3182</v>
      </c>
      <c r="R465" s="186"/>
      <c r="S465" s="189">
        <f>IFERROR(__xludf.DUMMYFUNCTION("""COMPUTED_VALUE"""),3042.0)</f>
        <v>3042</v>
      </c>
    </row>
    <row r="466">
      <c r="A466" s="186" t="str">
        <f>IFERROR(__xludf.DUMMYFUNCTION("""COMPUTED_VALUE"""),"DE")</f>
        <v>DE</v>
      </c>
      <c r="B466" s="186" t="str">
        <f>IFERROR(__xludf.DUMMYFUNCTION("""COMPUTED_VALUE"""),"W05")</f>
        <v>W05</v>
      </c>
      <c r="C466" s="186">
        <f>IFERROR(__xludf.DUMMYFUNCTION("""COMPUTED_VALUE"""),304.0)</f>
        <v>304</v>
      </c>
      <c r="D466" s="186" t="str">
        <f>IFERROR(__xludf.DUMMYFUNCTION("""COMPUTED_VALUE"""),"CON-00-152025-2")</f>
        <v>CON-00-152025-2</v>
      </c>
      <c r="E466" s="186" t="str">
        <f>IFERROR(__xludf.DUMMYFUNCTION("""COMPUTED_VALUE"""),"Salmon Piccata")</f>
        <v>Salmon Piccata</v>
      </c>
      <c r="F466" s="186" t="str">
        <f>IFERROR(__xludf.DUMMYFUNCTION("""COMPUTED_VALUE"""),"Lachs Piccata")</f>
        <v>Lachs Piccata</v>
      </c>
      <c r="G466" s="186" t="str">
        <f>IFERROR(__xludf.DUMMYFUNCTION("""COMPUTED_VALUE"""),"FE0972B")</f>
        <v>FE0972B</v>
      </c>
      <c r="H466" s="186">
        <f>IFERROR(__xludf.DUMMYFUNCTION("""COMPUTED_VALUE"""),565189.0)</f>
        <v>565189</v>
      </c>
      <c r="I466" s="186" t="str">
        <f>IFERROR(__xludf.DUMMYFUNCTION("""COMPUTED_VALUE"""),"HF Zalm met piccata saus")</f>
        <v>HF Zalm met piccata saus</v>
      </c>
      <c r="J466" s="189">
        <f>IFERROR(__xludf.DUMMYFUNCTION("""COMPUTED_VALUE"""),1863.0)</f>
        <v>1863</v>
      </c>
      <c r="K466" s="189">
        <f>IFERROR(__xludf.DUMMYFUNCTION("""COMPUTED_VALUE"""),2142.0)</f>
        <v>2142</v>
      </c>
      <c r="L466" s="189">
        <f>IFERROR(__xludf.DUMMYFUNCTION("""COMPUTED_VALUE"""),2097.0)</f>
        <v>2097</v>
      </c>
      <c r="M466" s="189">
        <f>IFERROR(__xludf.DUMMYFUNCTION("""COMPUTED_VALUE"""),2030.0)</f>
        <v>2030</v>
      </c>
      <c r="N466" s="189">
        <f>IFERROR(__xludf.DUMMYFUNCTION("""COMPUTED_VALUE"""),2125.0)</f>
        <v>2125</v>
      </c>
      <c r="O466" s="189">
        <f>IFERROR(__xludf.DUMMYFUNCTION("""COMPUTED_VALUE"""),2165.0)</f>
        <v>2165</v>
      </c>
      <c r="P466" s="189">
        <f>IFERROR(__xludf.DUMMYFUNCTION("""COMPUTED_VALUE"""),2178.0)</f>
        <v>2178</v>
      </c>
      <c r="Q466" s="189">
        <f>IFERROR(__xludf.DUMMYFUNCTION("""COMPUTED_VALUE"""),2106.0)</f>
        <v>2106</v>
      </c>
      <c r="R466" s="186"/>
      <c r="S466" s="189">
        <f>IFERROR(__xludf.DUMMYFUNCTION("""COMPUTED_VALUE"""),1951.0)</f>
        <v>1951</v>
      </c>
    </row>
    <row r="467">
      <c r="A467" s="186" t="str">
        <f>IFERROR(__xludf.DUMMYFUNCTION("""COMPUTED_VALUE"""),"DE")</f>
        <v>DE</v>
      </c>
      <c r="B467" s="186" t="str">
        <f>IFERROR(__xludf.DUMMYFUNCTION("""COMPUTED_VALUE"""),"W05")</f>
        <v>W05</v>
      </c>
      <c r="C467" s="186">
        <f>IFERROR(__xludf.DUMMYFUNCTION("""COMPUTED_VALUE"""),305.0)</f>
        <v>305</v>
      </c>
      <c r="D467" s="186" t="str">
        <f>IFERROR(__xludf.DUMMYFUNCTION("""COMPUTED_VALUE"""),"CON-00-149480-2")</f>
        <v>CON-00-149480-2</v>
      </c>
      <c r="E467" s="186" t="str">
        <f>IFERROR(__xludf.DUMMYFUNCTION("""COMPUTED_VALUE"""),"Sour Cream &amp; Chive Chicken")</f>
        <v>Sour Cream &amp; Chive Chicken</v>
      </c>
      <c r="F467" s="186" t="str">
        <f>IFERROR(__xludf.DUMMYFUNCTION("""COMPUTED_VALUE"""),"Hähnchen mit Sauerrahm und Schnittlauch")</f>
        <v>Hähnchen mit Sauerrahm und Schnittlauch</v>
      </c>
      <c r="G467" s="186" t="str">
        <f>IFERROR(__xludf.DUMMYFUNCTION("""COMPUTED_VALUE"""),"FE0322O")</f>
        <v>FE0322O</v>
      </c>
      <c r="H467" s="186">
        <f>IFERROR(__xludf.DUMMYFUNCTION("""COMPUTED_VALUE"""),565163.0)</f>
        <v>565163</v>
      </c>
      <c r="I467" s="186" t="str">
        <f>IFERROR(__xludf.DUMMYFUNCTION("""COMPUTED_VALUE"""),"HF Kip bieslook aardappel pure")</f>
        <v>HF Kip bieslook aardappel pure</v>
      </c>
      <c r="J467" s="189">
        <f>IFERROR(__xludf.DUMMYFUNCTION("""COMPUTED_VALUE"""),1532.0)</f>
        <v>1532</v>
      </c>
      <c r="K467" s="189">
        <f>IFERROR(__xludf.DUMMYFUNCTION("""COMPUTED_VALUE"""),1681.0)</f>
        <v>1681</v>
      </c>
      <c r="L467" s="189">
        <f>IFERROR(__xludf.DUMMYFUNCTION("""COMPUTED_VALUE"""),1705.0)</f>
        <v>1705</v>
      </c>
      <c r="M467" s="189">
        <f>IFERROR(__xludf.DUMMYFUNCTION("""COMPUTED_VALUE"""),1741.0)</f>
        <v>1741</v>
      </c>
      <c r="N467" s="189">
        <f>IFERROR(__xludf.DUMMYFUNCTION("""COMPUTED_VALUE"""),1814.0)</f>
        <v>1814</v>
      </c>
      <c r="O467" s="189">
        <f>IFERROR(__xludf.DUMMYFUNCTION("""COMPUTED_VALUE"""),1900.0)</f>
        <v>1900</v>
      </c>
      <c r="P467" s="189">
        <f>IFERROR(__xludf.DUMMYFUNCTION("""COMPUTED_VALUE"""),1900.0)</f>
        <v>1900</v>
      </c>
      <c r="Q467" s="189">
        <f>IFERROR(__xludf.DUMMYFUNCTION("""COMPUTED_VALUE"""),1867.0)</f>
        <v>1867</v>
      </c>
      <c r="R467" s="186"/>
      <c r="S467" s="189">
        <f>IFERROR(__xludf.DUMMYFUNCTION("""COMPUTED_VALUE"""),1748.0)</f>
        <v>1748</v>
      </c>
    </row>
    <row r="468">
      <c r="A468" s="186" t="str">
        <f>IFERROR(__xludf.DUMMYFUNCTION("""COMPUTED_VALUE"""),"DE")</f>
        <v>DE</v>
      </c>
      <c r="B468" s="186" t="str">
        <f>IFERROR(__xludf.DUMMYFUNCTION("""COMPUTED_VALUE"""),"W05")</f>
        <v>W05</v>
      </c>
      <c r="C468" s="186">
        <f>IFERROR(__xludf.DUMMYFUNCTION("""COMPUTED_VALUE"""),306.0)</f>
        <v>306</v>
      </c>
      <c r="D468" s="186" t="str">
        <f>IFERROR(__xludf.DUMMYFUNCTION("""COMPUTED_VALUE"""),"CON-00-137744-2")</f>
        <v>CON-00-137744-2</v>
      </c>
      <c r="E468" s="186" t="str">
        <f>IFERROR(__xludf.DUMMYFUNCTION("""COMPUTED_VALUE"""),"Salmon in creamy gochugaru sauce")</f>
        <v>Salmon in creamy gochugaru sauce</v>
      </c>
      <c r="F468" s="186" t="str">
        <f>IFERROR(__xludf.DUMMYFUNCTION("""COMPUTED_VALUE"""),"Lachs in cremiger Gochugaru-Sauce")</f>
        <v>Lachs in cremiger Gochugaru-Sauce</v>
      </c>
      <c r="G468" s="186" t="str">
        <f>IFERROR(__xludf.DUMMYFUNCTION("""COMPUTED_VALUE"""),"FE4039C")</f>
        <v>FE4039C</v>
      </c>
      <c r="H468" s="186">
        <f>IFERROR(__xludf.DUMMYFUNCTION("""COMPUTED_VALUE"""),565102.0)</f>
        <v>565102</v>
      </c>
      <c r="I468" s="186" t="str">
        <f>IFERROR(__xludf.DUMMYFUNCTION("""COMPUTED_VALUE"""),"HF Zalm romige gochugaru sa")</f>
        <v>HF Zalm romige gochugaru sa</v>
      </c>
      <c r="J468" s="189">
        <f>IFERROR(__xludf.DUMMYFUNCTION("""COMPUTED_VALUE"""),1588.0)</f>
        <v>1588</v>
      </c>
      <c r="K468" s="189">
        <f>IFERROR(__xludf.DUMMYFUNCTION("""COMPUTED_VALUE"""),1742.0)</f>
        <v>1742</v>
      </c>
      <c r="L468" s="189">
        <f>IFERROR(__xludf.DUMMYFUNCTION("""COMPUTED_VALUE"""),2071.0)</f>
        <v>2071</v>
      </c>
      <c r="M468" s="189">
        <f>IFERROR(__xludf.DUMMYFUNCTION("""COMPUTED_VALUE"""),1911.0)</f>
        <v>1911</v>
      </c>
      <c r="N468" s="189">
        <f>IFERROR(__xludf.DUMMYFUNCTION("""COMPUTED_VALUE"""),1973.0)</f>
        <v>1973</v>
      </c>
      <c r="O468" s="189">
        <f>IFERROR(__xludf.DUMMYFUNCTION("""COMPUTED_VALUE"""),2091.0)</f>
        <v>2091</v>
      </c>
      <c r="P468" s="189">
        <f>IFERROR(__xludf.DUMMYFUNCTION("""COMPUTED_VALUE"""),2078.0)</f>
        <v>2078</v>
      </c>
      <c r="Q468" s="189">
        <f>IFERROR(__xludf.DUMMYFUNCTION("""COMPUTED_VALUE"""),2039.0)</f>
        <v>2039</v>
      </c>
      <c r="R468" s="186"/>
      <c r="S468" s="189">
        <f>IFERROR(__xludf.DUMMYFUNCTION("""COMPUTED_VALUE"""),1911.0)</f>
        <v>1911</v>
      </c>
    </row>
    <row r="469">
      <c r="A469" s="186" t="str">
        <f>IFERROR(__xludf.DUMMYFUNCTION("""COMPUTED_VALUE"""),"DE")</f>
        <v>DE</v>
      </c>
      <c r="B469" s="186" t="str">
        <f>IFERROR(__xludf.DUMMYFUNCTION("""COMPUTED_VALUE"""),"W05")</f>
        <v>W05</v>
      </c>
      <c r="C469" s="186">
        <f>IFERROR(__xludf.DUMMYFUNCTION("""COMPUTED_VALUE"""),307.0)</f>
        <v>307</v>
      </c>
      <c r="D469" s="186" t="str">
        <f>IFERROR(__xludf.DUMMYFUNCTION("""COMPUTED_VALUE"""),"CON-00-136714-3")</f>
        <v>CON-00-136714-3</v>
      </c>
      <c r="E469" s="186" t="str">
        <f>IFERROR(__xludf.DUMMYFUNCTION("""COMPUTED_VALUE"""),"Chicken in creamy basil sauce")</f>
        <v>Chicken in creamy basil sauce</v>
      </c>
      <c r="F469" s="186" t="str">
        <f>IFERROR(__xludf.DUMMYFUNCTION("""COMPUTED_VALUE"""),"Hähnchen in cremiger Basilikumsauce")</f>
        <v>Hähnchen in cremiger Basilikumsauce</v>
      </c>
      <c r="G469" s="186" t="str">
        <f>IFERROR(__xludf.DUMMYFUNCTION("""COMPUTED_VALUE"""),"FE4040B")</f>
        <v>FE4040B</v>
      </c>
      <c r="H469" s="186">
        <f>IFERROR(__xludf.DUMMYFUNCTION("""COMPUTED_VALUE"""),565172.0)</f>
        <v>565172</v>
      </c>
      <c r="I469" s="186"/>
      <c r="J469" s="189">
        <f>IFERROR(__xludf.DUMMYFUNCTION("""COMPUTED_VALUE"""),947.0)</f>
        <v>947</v>
      </c>
      <c r="K469" s="189">
        <f>IFERROR(__xludf.DUMMYFUNCTION("""COMPUTED_VALUE"""),1064.0)</f>
        <v>1064</v>
      </c>
      <c r="L469" s="189">
        <f>IFERROR(__xludf.DUMMYFUNCTION("""COMPUTED_VALUE"""),1558.0)</f>
        <v>1558</v>
      </c>
      <c r="M469" s="189">
        <f>IFERROR(__xludf.DUMMYFUNCTION("""COMPUTED_VALUE"""),1532.0)</f>
        <v>1532</v>
      </c>
      <c r="N469" s="189">
        <f>IFERROR(__xludf.DUMMYFUNCTION("""COMPUTED_VALUE"""),1603.0)</f>
        <v>1603</v>
      </c>
      <c r="O469" s="189">
        <f>IFERROR(__xludf.DUMMYFUNCTION("""COMPUTED_VALUE"""),1649.0)</f>
        <v>1649</v>
      </c>
      <c r="P469" s="189">
        <f>IFERROR(__xludf.DUMMYFUNCTION("""COMPUTED_VALUE"""),1604.0)</f>
        <v>1604</v>
      </c>
      <c r="Q469" s="189">
        <f>IFERROR(__xludf.DUMMYFUNCTION("""COMPUTED_VALUE"""),1583.0)</f>
        <v>1583</v>
      </c>
      <c r="R469" s="186"/>
      <c r="S469" s="189">
        <f>IFERROR(__xludf.DUMMYFUNCTION("""COMPUTED_VALUE"""),1489.0)</f>
        <v>1489</v>
      </c>
    </row>
    <row r="470">
      <c r="A470" s="186" t="str">
        <f>IFERROR(__xludf.DUMMYFUNCTION("""COMPUTED_VALUE"""),"DE")</f>
        <v>DE</v>
      </c>
      <c r="B470" s="186" t="str">
        <f>IFERROR(__xludf.DUMMYFUNCTION("""COMPUTED_VALUE"""),"W05")</f>
        <v>W05</v>
      </c>
      <c r="C470" s="186">
        <f>IFERROR(__xludf.DUMMYFUNCTION("""COMPUTED_VALUE"""),308.0)</f>
        <v>308</v>
      </c>
      <c r="D470" s="186" t="str">
        <f>IFERROR(__xludf.DUMMYFUNCTION("""COMPUTED_VALUE"""),"CON-00-136673-3")</f>
        <v>CON-00-136673-3</v>
      </c>
      <c r="E470" s="186" t="str">
        <f>IFERROR(__xludf.DUMMYFUNCTION("""COMPUTED_VALUE"""),"Chicken in tomato cream sauce")</f>
        <v>Chicken in tomato cream sauce</v>
      </c>
      <c r="F470" s="186" t="str">
        <f>IFERROR(__xludf.DUMMYFUNCTION("""COMPUTED_VALUE"""),"Hähnchen in Tomatencreme")</f>
        <v>Hähnchen in Tomatencreme</v>
      </c>
      <c r="G470" s="186" t="str">
        <f>IFERROR(__xludf.DUMMYFUNCTION("""COMPUTED_VALUE"""),"FE0024E")</f>
        <v>FE0024E</v>
      </c>
      <c r="H470" s="186">
        <f>IFERROR(__xludf.DUMMYFUNCTION("""COMPUTED_VALUE"""),565150.0)</f>
        <v>565150</v>
      </c>
      <c r="I470" s="186" t="str">
        <f>IFERROR(__xludf.DUMMYFUNCTION("""COMPUTED_VALUE"""),"HF RW Kipfilet in tom-roomsaus")</f>
        <v>HF RW Kipfilet in tom-roomsaus</v>
      </c>
      <c r="J470" s="189">
        <f>IFERROR(__xludf.DUMMYFUNCTION("""COMPUTED_VALUE"""),1356.0)</f>
        <v>1356</v>
      </c>
      <c r="K470" s="189">
        <f>IFERROR(__xludf.DUMMYFUNCTION("""COMPUTED_VALUE"""),1498.0)</f>
        <v>1498</v>
      </c>
      <c r="L470" s="189">
        <f>IFERROR(__xludf.DUMMYFUNCTION("""COMPUTED_VALUE"""),1591.0)</f>
        <v>1591</v>
      </c>
      <c r="M470" s="189">
        <f>IFERROR(__xludf.DUMMYFUNCTION("""COMPUTED_VALUE"""),1812.0)</f>
        <v>1812</v>
      </c>
      <c r="N470" s="189">
        <f>IFERROR(__xludf.DUMMYFUNCTION("""COMPUTED_VALUE"""),1872.0)</f>
        <v>1872</v>
      </c>
      <c r="O470" s="189">
        <f>IFERROR(__xludf.DUMMYFUNCTION("""COMPUTED_VALUE"""),1893.0)</f>
        <v>1893</v>
      </c>
      <c r="P470" s="189">
        <f>IFERROR(__xludf.DUMMYFUNCTION("""COMPUTED_VALUE"""),1859.0)</f>
        <v>1859</v>
      </c>
      <c r="Q470" s="189">
        <f>IFERROR(__xludf.DUMMYFUNCTION("""COMPUTED_VALUE"""),1842.0)</f>
        <v>1842</v>
      </c>
      <c r="R470" s="186"/>
      <c r="S470" s="189">
        <f>IFERROR(__xludf.DUMMYFUNCTION("""COMPUTED_VALUE"""),1723.0)</f>
        <v>1723</v>
      </c>
    </row>
    <row r="471">
      <c r="A471" s="186" t="str">
        <f>IFERROR(__xludf.DUMMYFUNCTION("""COMPUTED_VALUE"""),"DE")</f>
        <v>DE</v>
      </c>
      <c r="B471" s="186" t="str">
        <f>IFERROR(__xludf.DUMMYFUNCTION("""COMPUTED_VALUE"""),"W05")</f>
        <v>W05</v>
      </c>
      <c r="C471" s="186">
        <f>IFERROR(__xludf.DUMMYFUNCTION("""COMPUTED_VALUE"""),309.0)</f>
        <v>309</v>
      </c>
      <c r="D471" s="186" t="str">
        <f>IFERROR(__xludf.DUMMYFUNCTION("""COMPUTED_VALUE"""),"CON-00-136641-3")</f>
        <v>CON-00-136641-3</v>
      </c>
      <c r="E471" s="186" t="str">
        <f>IFERROR(__xludf.DUMMYFUNCTION("""COMPUTED_VALUE"""),"Mexican style corn cake")</f>
        <v>Mexican style corn cake</v>
      </c>
      <c r="F471" s="186" t="str">
        <f>IFERROR(__xludf.DUMMYFUNCTION("""COMPUTED_VALUE"""),"Mexikanischer Maiskuchen")</f>
        <v>Mexikanischer Maiskuchen</v>
      </c>
      <c r="G471" s="186" t="str">
        <f>IFERROR(__xludf.DUMMYFUNCTION("""COMPUTED_VALUE"""),"FE0121C")</f>
        <v>FE0121C</v>
      </c>
      <c r="H471" s="186">
        <f>IFERROR(__xludf.DUMMYFUNCTION("""COMPUTED_VALUE"""),565023.0)</f>
        <v>565023</v>
      </c>
      <c r="I471" s="186" t="str">
        <f>IFERROR(__xludf.DUMMYFUNCTION("""COMPUTED_VALUE"""),"HF Mex.stijl maiscake")</f>
        <v>HF Mex.stijl maiscake</v>
      </c>
      <c r="J471" s="189">
        <f>IFERROR(__xludf.DUMMYFUNCTION("""COMPUTED_VALUE"""),279.0)</f>
        <v>279</v>
      </c>
      <c r="K471" s="189">
        <f>IFERROR(__xludf.DUMMYFUNCTION("""COMPUTED_VALUE"""),311.0)</f>
        <v>311</v>
      </c>
      <c r="L471" s="189">
        <f>IFERROR(__xludf.DUMMYFUNCTION("""COMPUTED_VALUE"""),389.0)</f>
        <v>389</v>
      </c>
      <c r="M471" s="189">
        <f>IFERROR(__xludf.DUMMYFUNCTION("""COMPUTED_VALUE"""),429.0)</f>
        <v>429</v>
      </c>
      <c r="N471" s="189">
        <f>IFERROR(__xludf.DUMMYFUNCTION("""COMPUTED_VALUE"""),433.0)</f>
        <v>433</v>
      </c>
      <c r="O471" s="189">
        <f>IFERROR(__xludf.DUMMYFUNCTION("""COMPUTED_VALUE"""),431.0)</f>
        <v>431</v>
      </c>
      <c r="P471" s="189">
        <f>IFERROR(__xludf.DUMMYFUNCTION("""COMPUTED_VALUE"""),440.0)</f>
        <v>440</v>
      </c>
      <c r="Q471" s="189">
        <f>IFERROR(__xludf.DUMMYFUNCTION("""COMPUTED_VALUE"""),432.0)</f>
        <v>432</v>
      </c>
      <c r="R471" s="186"/>
      <c r="S471" s="189">
        <f>IFERROR(__xludf.DUMMYFUNCTION("""COMPUTED_VALUE"""),429.0)</f>
        <v>429</v>
      </c>
    </row>
    <row r="472">
      <c r="A472" s="186" t="str">
        <f>IFERROR(__xludf.DUMMYFUNCTION("""COMPUTED_VALUE"""),"DE")</f>
        <v>DE</v>
      </c>
      <c r="B472" s="186" t="str">
        <f>IFERROR(__xludf.DUMMYFUNCTION("""COMPUTED_VALUE"""),"W05")</f>
        <v>W05</v>
      </c>
      <c r="C472" s="186">
        <f>IFERROR(__xludf.DUMMYFUNCTION("""COMPUTED_VALUE"""),310.0)</f>
        <v>310</v>
      </c>
      <c r="D472" s="186" t="str">
        <f>IFERROR(__xludf.DUMMYFUNCTION("""COMPUTED_VALUE"""),"CON-00-136634-3")</f>
        <v>CON-00-136634-3</v>
      </c>
      <c r="E472" s="186" t="str">
        <f>IFERROR(__xludf.DUMMYFUNCTION("""COMPUTED_VALUE"""),"Ratatouille of zucchini and pepper")</f>
        <v>Ratatouille of zucchini and pepper</v>
      </c>
      <c r="F472" s="186" t="str">
        <f>IFERROR(__xludf.DUMMYFUNCTION("""COMPUTED_VALUE"""),"Zucchini-Paprika-Ratatouille")</f>
        <v>Zucchini-Paprika-Ratatouille</v>
      </c>
      <c r="G472" s="186" t="str">
        <f>IFERROR(__xludf.DUMMYFUNCTION("""COMPUTED_VALUE"""),"FE0090C")</f>
        <v>FE0090C</v>
      </c>
      <c r="H472" s="186">
        <f>IFERROR(__xludf.DUMMYFUNCTION("""COMPUTED_VALUE"""),565141.0)</f>
        <v>565141</v>
      </c>
      <c r="I472" s="186"/>
      <c r="J472" s="189">
        <f>IFERROR(__xludf.DUMMYFUNCTION("""COMPUTED_VALUE"""),306.0)</f>
        <v>306</v>
      </c>
      <c r="K472" s="189">
        <f>IFERROR(__xludf.DUMMYFUNCTION("""COMPUTED_VALUE"""),321.0)</f>
        <v>321</v>
      </c>
      <c r="L472" s="189">
        <f>IFERROR(__xludf.DUMMYFUNCTION("""COMPUTED_VALUE"""),292.0)</f>
        <v>292</v>
      </c>
      <c r="M472" s="189">
        <f>IFERROR(__xludf.DUMMYFUNCTION("""COMPUTED_VALUE"""),306.0)</f>
        <v>306</v>
      </c>
      <c r="N472" s="189">
        <f>IFERROR(__xludf.DUMMYFUNCTION("""COMPUTED_VALUE"""),335.0)</f>
        <v>335</v>
      </c>
      <c r="O472" s="189">
        <f>IFERROR(__xludf.DUMMYFUNCTION("""COMPUTED_VALUE"""),358.0)</f>
        <v>358</v>
      </c>
      <c r="P472" s="189">
        <f>IFERROR(__xludf.DUMMYFUNCTION("""COMPUTED_VALUE"""),379.0)</f>
        <v>379</v>
      </c>
      <c r="Q472" s="189">
        <f>IFERROR(__xludf.DUMMYFUNCTION("""COMPUTED_VALUE"""),391.0)</f>
        <v>391</v>
      </c>
      <c r="R472" s="186"/>
      <c r="S472" s="189">
        <f>IFERROR(__xludf.DUMMYFUNCTION("""COMPUTED_VALUE"""),367.0)</f>
        <v>367</v>
      </c>
    </row>
    <row r="473">
      <c r="A473" s="186" t="str">
        <f>IFERROR(__xludf.DUMMYFUNCTION("""COMPUTED_VALUE"""),"DE")</f>
        <v>DE</v>
      </c>
      <c r="B473" s="186" t="str">
        <f>IFERROR(__xludf.DUMMYFUNCTION("""COMPUTED_VALUE"""),"W05")</f>
        <v>W05</v>
      </c>
      <c r="C473" s="186">
        <f>IFERROR(__xludf.DUMMYFUNCTION("""COMPUTED_VALUE"""),311.0)</f>
        <v>311</v>
      </c>
      <c r="D473" s="186" t="str">
        <f>IFERROR(__xludf.DUMMYFUNCTION("""COMPUTED_VALUE"""),"CON-00-136664-3")</f>
        <v>CON-00-136664-3</v>
      </c>
      <c r="E473" s="186" t="str">
        <f>IFERROR(__xludf.DUMMYFUNCTION("""COMPUTED_VALUE"""),"Pork tenderloin in sundried tomato sauce")</f>
        <v>Pork tenderloin in sundried tomato sauce</v>
      </c>
      <c r="F473" s="186" t="str">
        <f>IFERROR(__xludf.DUMMYFUNCTION("""COMPUTED_VALUE"""),"Schweinefilet in Sonnentomaten-Sauce")</f>
        <v>Schweinefilet in Sonnentomaten-Sauce</v>
      </c>
      <c r="G473" s="186" t="str">
        <f>IFERROR(__xludf.DUMMYFUNCTION("""COMPUTED_VALUE"""),"FE4006A")</f>
        <v>FE4006A</v>
      </c>
      <c r="H473" s="186">
        <f>IFERROR(__xludf.DUMMYFUNCTION("""COMPUTED_VALUE"""),565063.0)</f>
        <v>565063</v>
      </c>
      <c r="I473" s="186" t="str">
        <f>IFERROR(__xludf.DUMMYFUNCTION("""COMPUTED_VALUE"""),"HF Varkenshaas met tomatensaus 384g")</f>
        <v>HF Varkenshaas met tomatensaus 384g</v>
      </c>
      <c r="J473" s="189">
        <f>IFERROR(__xludf.DUMMYFUNCTION("""COMPUTED_VALUE"""),793.0)</f>
        <v>793</v>
      </c>
      <c r="K473" s="189">
        <f>IFERROR(__xludf.DUMMYFUNCTION("""COMPUTED_VALUE"""),803.0)</f>
        <v>803</v>
      </c>
      <c r="L473" s="189">
        <f>IFERROR(__xludf.DUMMYFUNCTION("""COMPUTED_VALUE"""),513.0)</f>
        <v>513</v>
      </c>
      <c r="M473" s="189">
        <f>IFERROR(__xludf.DUMMYFUNCTION("""COMPUTED_VALUE"""),587.0)</f>
        <v>587</v>
      </c>
      <c r="N473" s="189">
        <f>IFERROR(__xludf.DUMMYFUNCTION("""COMPUTED_VALUE"""),613.0)</f>
        <v>613</v>
      </c>
      <c r="O473" s="189">
        <f>IFERROR(__xludf.DUMMYFUNCTION("""COMPUTED_VALUE"""),593.0)</f>
        <v>593</v>
      </c>
      <c r="P473" s="189">
        <f>IFERROR(__xludf.DUMMYFUNCTION("""COMPUTED_VALUE"""),591.0)</f>
        <v>591</v>
      </c>
      <c r="Q473" s="189">
        <f>IFERROR(__xludf.DUMMYFUNCTION("""COMPUTED_VALUE"""),597.0)</f>
        <v>597</v>
      </c>
      <c r="R473" s="186"/>
      <c r="S473" s="189">
        <f>IFERROR(__xludf.DUMMYFUNCTION("""COMPUTED_VALUE"""),584.0)</f>
        <v>584</v>
      </c>
    </row>
    <row r="474">
      <c r="A474" s="186" t="str">
        <f>IFERROR(__xludf.DUMMYFUNCTION("""COMPUTED_VALUE"""),"DE")</f>
        <v>DE</v>
      </c>
      <c r="B474" s="186" t="str">
        <f>IFERROR(__xludf.DUMMYFUNCTION("""COMPUTED_VALUE"""),"W05")</f>
        <v>W05</v>
      </c>
      <c r="C474" s="186">
        <f>IFERROR(__xludf.DUMMYFUNCTION("""COMPUTED_VALUE"""),312.0)</f>
        <v>312</v>
      </c>
      <c r="D474" s="186" t="str">
        <f>IFERROR(__xludf.DUMMYFUNCTION("""COMPUTED_VALUE"""),"CON-00-154547-2")</f>
        <v>CON-00-154547-2</v>
      </c>
      <c r="E474" s="186" t="str">
        <f>IFERROR(__xludf.DUMMYFUNCTION("""COMPUTED_VALUE"""),"Citrus–Miso Salmon Bowl")</f>
        <v>Citrus–Miso Salmon Bowl</v>
      </c>
      <c r="F474" s="186" t="str">
        <f>IFERROR(__xludf.DUMMYFUNCTION("""COMPUTED_VALUE"""),"Lachs-Bowl mit Zitrus-Miso")</f>
        <v>Lachs-Bowl mit Zitrus-Miso</v>
      </c>
      <c r="G474" s="186" t="str">
        <f>IFERROR(__xludf.DUMMYFUNCTION("""COMPUTED_VALUE"""),"FE1731A")</f>
        <v>FE1731A</v>
      </c>
      <c r="H474" s="186">
        <f>IFERROR(__xludf.DUMMYFUNCTION("""COMPUTED_VALUE"""),565221.0)</f>
        <v>565221</v>
      </c>
      <c r="I474" s="186" t="str">
        <f>IFERROR(__xludf.DUMMYFUNCTION("""COMPUTED_VALUE"""),"HF Citrus-miso zalm bowl")</f>
        <v>HF Citrus-miso zalm bowl</v>
      </c>
      <c r="J474" s="189">
        <f>IFERROR(__xludf.DUMMYFUNCTION("""COMPUTED_VALUE"""),1179.0)</f>
        <v>1179</v>
      </c>
      <c r="K474" s="189">
        <f>IFERROR(__xludf.DUMMYFUNCTION("""COMPUTED_VALUE"""),1339.0)</f>
        <v>1339</v>
      </c>
      <c r="L474" s="189">
        <f>IFERROR(__xludf.DUMMYFUNCTION("""COMPUTED_VALUE"""),1550.0)</f>
        <v>1550</v>
      </c>
      <c r="M474" s="189">
        <f>IFERROR(__xludf.DUMMYFUNCTION("""COMPUTED_VALUE"""),1655.0)</f>
        <v>1655</v>
      </c>
      <c r="N474" s="189">
        <f>IFERROR(__xludf.DUMMYFUNCTION("""COMPUTED_VALUE"""),1726.0)</f>
        <v>1726</v>
      </c>
      <c r="O474" s="189">
        <f>IFERROR(__xludf.DUMMYFUNCTION("""COMPUTED_VALUE"""),1780.0)</f>
        <v>1780</v>
      </c>
      <c r="P474" s="189">
        <f>IFERROR(__xludf.DUMMYFUNCTION("""COMPUTED_VALUE"""),1753.0)</f>
        <v>1753</v>
      </c>
      <c r="Q474" s="189">
        <f>IFERROR(__xludf.DUMMYFUNCTION("""COMPUTED_VALUE"""),1735.0)</f>
        <v>1735</v>
      </c>
      <c r="R474" s="186"/>
      <c r="S474" s="189">
        <f>IFERROR(__xludf.DUMMYFUNCTION("""COMPUTED_VALUE"""),1707.0)</f>
        <v>1707</v>
      </c>
    </row>
    <row r="475">
      <c r="A475" s="186" t="str">
        <f>IFERROR(__xludf.DUMMYFUNCTION("""COMPUTED_VALUE"""),"DE")</f>
        <v>DE</v>
      </c>
      <c r="B475" s="186" t="str">
        <f>IFERROR(__xludf.DUMMYFUNCTION("""COMPUTED_VALUE"""),"W05")</f>
        <v>W05</v>
      </c>
      <c r="C475" s="186">
        <f>IFERROR(__xludf.DUMMYFUNCTION("""COMPUTED_VALUE"""),313.0)</f>
        <v>313</v>
      </c>
      <c r="D475" s="186" t="str">
        <f>IFERROR(__xludf.DUMMYFUNCTION("""COMPUTED_VALUE"""),"CON-00-155022-2")</f>
        <v>CON-00-155022-2</v>
      </c>
      <c r="E475" s="186" t="str">
        <f>IFERROR(__xludf.DUMMYFUNCTION("""COMPUTED_VALUE"""),"Herb-Grilled Chicken")</f>
        <v>Herb-Grilled Chicken</v>
      </c>
      <c r="F475" s="186" t="str">
        <f>IFERROR(__xludf.DUMMYFUNCTION("""COMPUTED_VALUE"""),"Gegrilltes Hähnchen mit Kräutern")</f>
        <v>Gegrilltes Hähnchen mit Kräutern</v>
      </c>
      <c r="G475" s="186" t="str">
        <f>IFERROR(__xludf.DUMMYFUNCTION("""COMPUTED_VALUE"""),"FE4070A")</f>
        <v>FE4070A</v>
      </c>
      <c r="H475" s="186">
        <f>IFERROR(__xludf.DUMMYFUNCTION("""COMPUTED_VALUE"""),565242.0)</f>
        <v>565242</v>
      </c>
      <c r="I475" s="186" t="str">
        <f>IFERROR(__xludf.DUMMYFUNCTION("""COMPUTED_VALUE"""),"HF Kip met risotto geitenkaas")</f>
        <v>HF Kip met risotto geitenkaas</v>
      </c>
      <c r="J475" s="189">
        <f>IFERROR(__xludf.DUMMYFUNCTION("""COMPUTED_VALUE"""),1336.0)</f>
        <v>1336</v>
      </c>
      <c r="K475" s="189">
        <f>IFERROR(__xludf.DUMMYFUNCTION("""COMPUTED_VALUE"""),1492.0)</f>
        <v>1492</v>
      </c>
      <c r="L475" s="189">
        <f>IFERROR(__xludf.DUMMYFUNCTION("""COMPUTED_VALUE"""),1778.0)</f>
        <v>1778</v>
      </c>
      <c r="M475" s="189">
        <f>IFERROR(__xludf.DUMMYFUNCTION("""COMPUTED_VALUE"""),1914.0)</f>
        <v>1914</v>
      </c>
      <c r="N475" s="189">
        <f>IFERROR(__xludf.DUMMYFUNCTION("""COMPUTED_VALUE"""),2004.0)</f>
        <v>2004</v>
      </c>
      <c r="O475" s="189">
        <f>IFERROR(__xludf.DUMMYFUNCTION("""COMPUTED_VALUE"""),1929.0)</f>
        <v>1929</v>
      </c>
      <c r="P475" s="189">
        <f>IFERROR(__xludf.DUMMYFUNCTION("""COMPUTED_VALUE"""),1930.0)</f>
        <v>1930</v>
      </c>
      <c r="Q475" s="189">
        <f>IFERROR(__xludf.DUMMYFUNCTION("""COMPUTED_VALUE"""),1929.0)</f>
        <v>1929</v>
      </c>
      <c r="R475" s="186"/>
      <c r="S475" s="189">
        <f>IFERROR(__xludf.DUMMYFUNCTION("""COMPUTED_VALUE"""),1877.0)</f>
        <v>1877</v>
      </c>
    </row>
    <row r="476">
      <c r="A476" s="186" t="str">
        <f>IFERROR(__xludf.DUMMYFUNCTION("""COMPUTED_VALUE"""),"DE")</f>
        <v>DE</v>
      </c>
      <c r="B476" s="186" t="str">
        <f>IFERROR(__xludf.DUMMYFUNCTION("""COMPUTED_VALUE"""),"W05")</f>
        <v>W05</v>
      </c>
      <c r="C476" s="186">
        <f>IFERROR(__xludf.DUMMYFUNCTION("""COMPUTED_VALUE"""),314.0)</f>
        <v>314</v>
      </c>
      <c r="D476" s="186" t="str">
        <f>IFERROR(__xludf.DUMMYFUNCTION("""COMPUTED_VALUE"""),"CON-00-152035-2")</f>
        <v>CON-00-152035-2</v>
      </c>
      <c r="E476" s="186" t="str">
        <f>IFERROR(__xludf.DUMMYFUNCTION("""COMPUTED_VALUE"""),"Braised Beef Pasta &amp; Roasted Red Pepper")</f>
        <v>Braised Beef Pasta &amp; Roasted Red Pepper</v>
      </c>
      <c r="F476" s="186" t="str">
        <f>IFERROR(__xludf.DUMMYFUNCTION("""COMPUTED_VALUE"""),"Geschmorte Rindfleisch-Pasta &amp; geröstete rote Paprika")</f>
        <v>Geschmorte Rindfleisch-Pasta &amp; geröstete rote Paprika</v>
      </c>
      <c r="G476" s="186" t="str">
        <f>IFERROR(__xludf.DUMMYFUNCTION("""COMPUTED_VALUE"""),"FE0262C")</f>
        <v>FE0262C</v>
      </c>
      <c r="H476" s="186">
        <f>IFERROR(__xludf.DUMMYFUNCTION("""COMPUTED_VALUE"""),565215.0)</f>
        <v>565215</v>
      </c>
      <c r="I476" s="186" t="str">
        <f>IFERROR(__xludf.DUMMYFUNCTION("""COMPUTED_VALUE"""),"HF Pulled beef pasta kaasaus")</f>
        <v>HF Pulled beef pasta kaasaus</v>
      </c>
      <c r="J476" s="189">
        <f>IFERROR(__xludf.DUMMYFUNCTION("""COMPUTED_VALUE"""),737.0)</f>
        <v>737</v>
      </c>
      <c r="K476" s="189">
        <f>IFERROR(__xludf.DUMMYFUNCTION("""COMPUTED_VALUE"""),853.0)</f>
        <v>853</v>
      </c>
      <c r="L476" s="189">
        <f>IFERROR(__xludf.DUMMYFUNCTION("""COMPUTED_VALUE"""),1196.0)</f>
        <v>1196</v>
      </c>
      <c r="M476" s="189">
        <f>IFERROR(__xludf.DUMMYFUNCTION("""COMPUTED_VALUE"""),1227.0)</f>
        <v>1227</v>
      </c>
      <c r="N476" s="189">
        <f>IFERROR(__xludf.DUMMYFUNCTION("""COMPUTED_VALUE"""),1189.0)</f>
        <v>1189</v>
      </c>
      <c r="O476" s="189">
        <f>IFERROR(__xludf.DUMMYFUNCTION("""COMPUTED_VALUE"""),1166.0)</f>
        <v>1166</v>
      </c>
      <c r="P476" s="189">
        <f>IFERROR(__xludf.DUMMYFUNCTION("""COMPUTED_VALUE"""),1182.0)</f>
        <v>1182</v>
      </c>
      <c r="Q476" s="189">
        <f>IFERROR(__xludf.DUMMYFUNCTION("""COMPUTED_VALUE"""),1172.0)</f>
        <v>1172</v>
      </c>
      <c r="R476" s="186"/>
      <c r="S476" s="189">
        <f>IFERROR(__xludf.DUMMYFUNCTION("""COMPUTED_VALUE"""),1154.0)</f>
        <v>1154</v>
      </c>
    </row>
    <row r="477">
      <c r="A477" s="186" t="str">
        <f>IFERROR(__xludf.DUMMYFUNCTION("""COMPUTED_VALUE"""),"DE")</f>
        <v>DE</v>
      </c>
      <c r="B477" s="186" t="str">
        <f>IFERROR(__xludf.DUMMYFUNCTION("""COMPUTED_VALUE"""),"W05")</f>
        <v>W05</v>
      </c>
      <c r="C477" s="186">
        <f>IFERROR(__xludf.DUMMYFUNCTION("""COMPUTED_VALUE"""),315.0)</f>
        <v>315</v>
      </c>
      <c r="D477" s="186" t="str">
        <f>IFERROR(__xludf.DUMMYFUNCTION("""COMPUTED_VALUE"""),"CON-00-138996-2")</f>
        <v>CON-00-138996-2</v>
      </c>
      <c r="E477" s="186" t="str">
        <f>IFERROR(__xludf.DUMMYFUNCTION("""COMPUTED_VALUE"""),"Cheddar pulled beef")</f>
        <v>Cheddar pulled beef</v>
      </c>
      <c r="F477" s="186" t="str">
        <f>IFERROR(__xludf.DUMMYFUNCTION("""COMPUTED_VALUE"""),"Cheddar Pulled Beef")</f>
        <v>Cheddar Pulled Beef</v>
      </c>
      <c r="G477" s="186" t="str">
        <f>IFERROR(__xludf.DUMMYFUNCTION("""COMPUTED_VALUE"""),"FE4063A")</f>
        <v>FE4063A</v>
      </c>
      <c r="H477" s="186">
        <f>IFERROR(__xludf.DUMMYFUNCTION("""COMPUTED_VALUE"""),565136.0)</f>
        <v>565136</v>
      </c>
      <c r="I477" s="186"/>
      <c r="J477" s="189">
        <f>IFERROR(__xludf.DUMMYFUNCTION("""COMPUTED_VALUE"""),750.0)</f>
        <v>750</v>
      </c>
      <c r="K477" s="189">
        <f>IFERROR(__xludf.DUMMYFUNCTION("""COMPUTED_VALUE"""),832.0)</f>
        <v>832</v>
      </c>
      <c r="L477" s="189">
        <f>IFERROR(__xludf.DUMMYFUNCTION("""COMPUTED_VALUE"""),883.0)</f>
        <v>883</v>
      </c>
      <c r="M477" s="189">
        <f>IFERROR(__xludf.DUMMYFUNCTION("""COMPUTED_VALUE"""),975.0)</f>
        <v>975</v>
      </c>
      <c r="N477" s="189">
        <f>IFERROR(__xludf.DUMMYFUNCTION("""COMPUTED_VALUE"""),1030.0)</f>
        <v>1030</v>
      </c>
      <c r="O477" s="189">
        <f>IFERROR(__xludf.DUMMYFUNCTION("""COMPUTED_VALUE"""),1055.0)</f>
        <v>1055</v>
      </c>
      <c r="P477" s="189">
        <f>IFERROR(__xludf.DUMMYFUNCTION("""COMPUTED_VALUE"""),1056.0)</f>
        <v>1056</v>
      </c>
      <c r="Q477" s="189">
        <f>IFERROR(__xludf.DUMMYFUNCTION("""COMPUTED_VALUE"""),1059.0)</f>
        <v>1059</v>
      </c>
      <c r="R477" s="186"/>
      <c r="S477" s="189">
        <f>IFERROR(__xludf.DUMMYFUNCTION("""COMPUTED_VALUE"""),1011.0)</f>
        <v>1011</v>
      </c>
    </row>
    <row r="478">
      <c r="A478" s="186" t="str">
        <f>IFERROR(__xludf.DUMMYFUNCTION("""COMPUTED_VALUE"""),"DE")</f>
        <v>DE</v>
      </c>
      <c r="B478" s="186" t="str">
        <f>IFERROR(__xludf.DUMMYFUNCTION("""COMPUTED_VALUE"""),"W05")</f>
        <v>W05</v>
      </c>
      <c r="C478" s="186">
        <f>IFERROR(__xludf.DUMMYFUNCTION("""COMPUTED_VALUE"""),316.0)</f>
        <v>316</v>
      </c>
      <c r="D478" s="186" t="str">
        <f>IFERROR(__xludf.DUMMYFUNCTION("""COMPUTED_VALUE"""),"CON-00-155020-2")</f>
        <v>CON-00-155020-2</v>
      </c>
      <c r="E478" s="186" t="str">
        <f>IFERROR(__xludf.DUMMYFUNCTION("""COMPUTED_VALUE"""),"Tunisian-Style Beef &amp; Tomato Stew")</f>
        <v>Tunisian-Style Beef &amp; Tomato Stew</v>
      </c>
      <c r="F478" s="186" t="str">
        <f>IFERROR(__xludf.DUMMYFUNCTION("""COMPUTED_VALUE"""),"Rind-Tomaten-Eintopf nach tunesischer Art")</f>
        <v>Rind-Tomaten-Eintopf nach tunesischer Art</v>
      </c>
      <c r="G478" s="186" t="str">
        <f>IFERROR(__xludf.DUMMYFUNCTION("""COMPUTED_VALUE"""),"FE0092B")</f>
        <v>FE0092B</v>
      </c>
      <c r="H478" s="186">
        <f>IFERROR(__xludf.DUMMYFUNCTION("""COMPUTED_VALUE"""),565180.0)</f>
        <v>565180</v>
      </c>
      <c r="I478" s="186" t="str">
        <f>IFERROR(__xludf.DUMMYFUNCTION("""COMPUTED_VALUE"""),"HF Tunesian-style Beef Stew")</f>
        <v>HF Tunesian-style Beef Stew</v>
      </c>
      <c r="J478" s="189">
        <f>IFERROR(__xludf.DUMMYFUNCTION("""COMPUTED_VALUE"""),518.0)</f>
        <v>518</v>
      </c>
      <c r="K478" s="189">
        <f>IFERROR(__xludf.DUMMYFUNCTION("""COMPUTED_VALUE"""),494.0)</f>
        <v>494</v>
      </c>
      <c r="L478" s="189">
        <f>IFERROR(__xludf.DUMMYFUNCTION("""COMPUTED_VALUE"""),884.0)</f>
        <v>884</v>
      </c>
      <c r="M478" s="189">
        <f>IFERROR(__xludf.DUMMYFUNCTION("""COMPUTED_VALUE"""),933.0)</f>
        <v>933</v>
      </c>
      <c r="N478" s="189">
        <f>IFERROR(__xludf.DUMMYFUNCTION("""COMPUTED_VALUE"""),908.0)</f>
        <v>908</v>
      </c>
      <c r="O478" s="189">
        <f>IFERROR(__xludf.DUMMYFUNCTION("""COMPUTED_VALUE"""),816.0)</f>
        <v>816</v>
      </c>
      <c r="P478" s="189">
        <f>IFERROR(__xludf.DUMMYFUNCTION("""COMPUTED_VALUE"""),772.0)</f>
        <v>772</v>
      </c>
      <c r="Q478" s="189">
        <f>IFERROR(__xludf.DUMMYFUNCTION("""COMPUTED_VALUE"""),774.0)</f>
        <v>774</v>
      </c>
      <c r="R478" s="186"/>
      <c r="S478" s="189">
        <f>IFERROR(__xludf.DUMMYFUNCTION("""COMPUTED_VALUE"""),765.0)</f>
        <v>765</v>
      </c>
    </row>
    <row r="479">
      <c r="A479" s="186" t="str">
        <f>IFERROR(__xludf.DUMMYFUNCTION("""COMPUTED_VALUE"""),"DE")</f>
        <v>DE</v>
      </c>
      <c r="B479" s="186" t="str">
        <f>IFERROR(__xludf.DUMMYFUNCTION("""COMPUTED_VALUE"""),"W05")</f>
        <v>W05</v>
      </c>
      <c r="C479" s="186">
        <f>IFERROR(__xludf.DUMMYFUNCTION("""COMPUTED_VALUE"""),317.0)</f>
        <v>317</v>
      </c>
      <c r="D479" s="186"/>
      <c r="E479" s="186"/>
      <c r="F479" s="186"/>
      <c r="G479" s="186" t="str">
        <f>IFERROR(__xludf.DUMMYFUNCTION("""COMPUTED_VALUE"""),"FE4048A")</f>
        <v>FE4048A</v>
      </c>
      <c r="H479" s="186"/>
      <c r="I479" s="186"/>
      <c r="J479" s="189">
        <f>IFERROR(__xludf.DUMMYFUNCTION("""COMPUTED_VALUE"""),664.0)</f>
        <v>664</v>
      </c>
      <c r="K479" s="189">
        <f>IFERROR(__xludf.DUMMYFUNCTION("""COMPUTED_VALUE"""),754.0)</f>
        <v>754</v>
      </c>
      <c r="L479" s="189">
        <f>IFERROR(__xludf.DUMMYFUNCTION("""COMPUTED_VALUE"""),1024.0)</f>
        <v>1024</v>
      </c>
      <c r="M479" s="189">
        <f>IFERROR(__xludf.DUMMYFUNCTION("""COMPUTED_VALUE"""),1044.0)</f>
        <v>1044</v>
      </c>
      <c r="N479" s="189">
        <f>IFERROR(__xludf.DUMMYFUNCTION("""COMPUTED_VALUE"""),1083.0)</f>
        <v>1083</v>
      </c>
      <c r="O479" s="189">
        <f>IFERROR(__xludf.DUMMYFUNCTION("""COMPUTED_VALUE"""),1179.0)</f>
        <v>1179</v>
      </c>
      <c r="P479" s="189">
        <f>IFERROR(__xludf.DUMMYFUNCTION("""COMPUTED_VALUE"""),1205.0)</f>
        <v>1205</v>
      </c>
      <c r="Q479" s="189">
        <f>IFERROR(__xludf.DUMMYFUNCTION("""COMPUTED_VALUE"""),1221.0)</f>
        <v>1221</v>
      </c>
      <c r="R479" s="186"/>
      <c r="S479" s="189">
        <f>IFERROR(__xludf.DUMMYFUNCTION("""COMPUTED_VALUE"""),1214.0)</f>
        <v>1214</v>
      </c>
    </row>
    <row r="480">
      <c r="A480" s="186" t="str">
        <f>IFERROR(__xludf.DUMMYFUNCTION("""COMPUTED_VALUE"""),"DE")</f>
        <v>DE</v>
      </c>
      <c r="B480" s="186" t="str">
        <f>IFERROR(__xludf.DUMMYFUNCTION("""COMPUTED_VALUE"""),"W05")</f>
        <v>W05</v>
      </c>
      <c r="C480" s="186">
        <f>IFERROR(__xludf.DUMMYFUNCTION("""COMPUTED_VALUE"""),318.0)</f>
        <v>318</v>
      </c>
      <c r="D480" s="186" t="str">
        <f>IFERROR(__xludf.DUMMYFUNCTION("""COMPUTED_VALUE"""),"CON-00-136696-3")</f>
        <v>CON-00-136696-3</v>
      </c>
      <c r="E480" s="186" t="str">
        <f>IFERROR(__xludf.DUMMYFUNCTION("""COMPUTED_VALUE"""),"Pork tenderloin in spicy ancho chili sauce")</f>
        <v>Pork tenderloin in spicy ancho chili sauce</v>
      </c>
      <c r="F480" s="186" t="str">
        <f>IFERROR(__xludf.DUMMYFUNCTION("""COMPUTED_VALUE"""),"Schweinefilet in würziger Ancho-Chili-Sauce")</f>
        <v>Schweinefilet in würziger Ancho-Chili-Sauce</v>
      </c>
      <c r="G480" s="186" t="str">
        <f>IFERROR(__xludf.DUMMYFUNCTION("""COMPUTED_VALUE"""),"FE1072B")</f>
        <v>FE1072B</v>
      </c>
      <c r="H480" s="186">
        <f>IFERROR(__xludf.DUMMYFUNCTION("""COMPUTED_VALUE"""),565095.0)</f>
        <v>565095</v>
      </c>
      <c r="I480" s="186" t="str">
        <f>IFERROR(__xludf.DUMMYFUNCTION("""COMPUTED_VALUE"""),"HF V.haas pittige ancho chili")</f>
        <v>HF V.haas pittige ancho chili</v>
      </c>
      <c r="J480" s="189">
        <f>IFERROR(__xludf.DUMMYFUNCTION("""COMPUTED_VALUE"""),367.0)</f>
        <v>367</v>
      </c>
      <c r="K480" s="189">
        <f>IFERROR(__xludf.DUMMYFUNCTION("""COMPUTED_VALUE"""),404.0)</f>
        <v>404</v>
      </c>
      <c r="L480" s="189">
        <f>IFERROR(__xludf.DUMMYFUNCTION("""COMPUTED_VALUE"""),377.0)</f>
        <v>377</v>
      </c>
      <c r="M480" s="189">
        <f>IFERROR(__xludf.DUMMYFUNCTION("""COMPUTED_VALUE"""),458.0)</f>
        <v>458</v>
      </c>
      <c r="N480" s="189">
        <f>IFERROR(__xludf.DUMMYFUNCTION("""COMPUTED_VALUE"""),478.0)</f>
        <v>478</v>
      </c>
      <c r="O480" s="189">
        <f>IFERROR(__xludf.DUMMYFUNCTION("""COMPUTED_VALUE"""),457.0)</f>
        <v>457</v>
      </c>
      <c r="P480" s="189">
        <f>IFERROR(__xludf.DUMMYFUNCTION("""COMPUTED_VALUE"""),471.0)</f>
        <v>471</v>
      </c>
      <c r="Q480" s="189">
        <f>IFERROR(__xludf.DUMMYFUNCTION("""COMPUTED_VALUE"""),484.0)</f>
        <v>484</v>
      </c>
      <c r="R480" s="186"/>
      <c r="S480" s="189">
        <f>IFERROR(__xludf.DUMMYFUNCTION("""COMPUTED_VALUE"""),492.0)</f>
        <v>492</v>
      </c>
    </row>
    <row r="481">
      <c r="A481" s="186" t="str">
        <f>IFERROR(__xludf.DUMMYFUNCTION("""COMPUTED_VALUE"""),"DE")</f>
        <v>DE</v>
      </c>
      <c r="B481" s="186" t="str">
        <f>IFERROR(__xludf.DUMMYFUNCTION("""COMPUTED_VALUE"""),"W05")</f>
        <v>W05</v>
      </c>
      <c r="C481" s="186">
        <f>IFERROR(__xludf.DUMMYFUNCTION("""COMPUTED_VALUE"""),806.0)</f>
        <v>806</v>
      </c>
      <c r="D481" s="186" t="str">
        <f>IFERROR(__xludf.DUMMYFUNCTION("""COMPUTED_VALUE"""),"PTN-00-136930-3")</f>
        <v>PTN-00-136930-3</v>
      </c>
      <c r="E481" s="186" t="str">
        <f>IFERROR(__xludf.DUMMYFUNCTION("""COMPUTED_VALUE"""),"Garlic Herb Grilled Chicken")</f>
        <v>Garlic Herb Grilled Chicken</v>
      </c>
      <c r="F481" s="186" t="str">
        <f>IFERROR(__xludf.DUMMYFUNCTION("""COMPUTED_VALUE"""),"Gegrilltes Hähnchen mit Knoblauch-Kräutern")</f>
        <v>Gegrilltes Hähnchen mit Knoblauch-Kräutern</v>
      </c>
      <c r="G481" s="186" t="str">
        <f>IFERROR(__xludf.DUMMYFUNCTION("""COMPUTED_VALUE"""),"FEA006A")</f>
        <v>FEA006A</v>
      </c>
      <c r="H481" s="186">
        <f>IFERROR(__xludf.DUMMYFUNCTION("""COMPUTED_VALUE"""),565119.0)</f>
        <v>565119</v>
      </c>
      <c r="I481" s="186"/>
      <c r="J481" s="189">
        <f>IFERROR(__xludf.DUMMYFUNCTION("""COMPUTED_VALUE"""),79.0)</f>
        <v>79</v>
      </c>
      <c r="K481" s="189">
        <f>IFERROR(__xludf.DUMMYFUNCTION("""COMPUTED_VALUE"""),79.0)</f>
        <v>79</v>
      </c>
      <c r="L481" s="189">
        <f>IFERROR(__xludf.DUMMYFUNCTION("""COMPUTED_VALUE"""),79.0)</f>
        <v>79</v>
      </c>
      <c r="M481" s="189">
        <f>IFERROR(__xludf.DUMMYFUNCTION("""COMPUTED_VALUE"""),79.0)</f>
        <v>79</v>
      </c>
      <c r="N481" s="189">
        <f>IFERROR(__xludf.DUMMYFUNCTION("""COMPUTED_VALUE"""),79.0)</f>
        <v>79</v>
      </c>
      <c r="O481" s="189">
        <f>IFERROR(__xludf.DUMMYFUNCTION("""COMPUTED_VALUE"""),79.0)</f>
        <v>79</v>
      </c>
      <c r="P481" s="189">
        <f>IFERROR(__xludf.DUMMYFUNCTION("""COMPUTED_VALUE"""),79.0)</f>
        <v>79</v>
      </c>
      <c r="Q481" s="189">
        <f>IFERROR(__xludf.DUMMYFUNCTION("""COMPUTED_VALUE"""),79.0)</f>
        <v>79</v>
      </c>
      <c r="R481" s="186"/>
      <c r="S481" s="189">
        <f>IFERROR(__xludf.DUMMYFUNCTION("""COMPUTED_VALUE"""),78.0)</f>
        <v>78</v>
      </c>
    </row>
    <row r="482">
      <c r="A482" s="186" t="str">
        <f>IFERROR(__xludf.DUMMYFUNCTION("""COMPUTED_VALUE"""),"DE")</f>
        <v>DE</v>
      </c>
      <c r="B482" s="186" t="str">
        <f>IFERROR(__xludf.DUMMYFUNCTION("""COMPUTED_VALUE"""),"W05")</f>
        <v>W05</v>
      </c>
      <c r="C482" s="186"/>
      <c r="D482" s="186"/>
      <c r="E482" s="186"/>
      <c r="F482" s="186"/>
      <c r="G482" s="186"/>
      <c r="H482" s="186"/>
      <c r="I482" s="186"/>
      <c r="J482" s="189">
        <f>IFERROR(__xludf.DUMMYFUNCTION("""COMPUTED_VALUE"""),19759.0)</f>
        <v>19759</v>
      </c>
      <c r="K482" s="189">
        <f>IFERROR(__xludf.DUMMYFUNCTION("""COMPUTED_VALUE"""),21618.0)</f>
        <v>21618</v>
      </c>
      <c r="L482" s="189">
        <f>IFERROR(__xludf.DUMMYFUNCTION("""COMPUTED_VALUE"""),25611.0)</f>
        <v>25611</v>
      </c>
      <c r="M482" s="189">
        <f>IFERROR(__xludf.DUMMYFUNCTION("""COMPUTED_VALUE"""),26187.0)</f>
        <v>26187</v>
      </c>
      <c r="N482" s="189">
        <f>IFERROR(__xludf.DUMMYFUNCTION("""COMPUTED_VALUE"""),27148.0)</f>
        <v>27148</v>
      </c>
      <c r="O482" s="189">
        <f>IFERROR(__xludf.DUMMYFUNCTION("""COMPUTED_VALUE"""),27892.0)</f>
        <v>27892</v>
      </c>
      <c r="P482" s="189">
        <f>IFERROR(__xludf.DUMMYFUNCTION("""COMPUTED_VALUE"""),27815.0)</f>
        <v>27815</v>
      </c>
      <c r="Q482" s="189">
        <f>IFERROR(__xludf.DUMMYFUNCTION("""COMPUTED_VALUE"""),27578.0)</f>
        <v>27578</v>
      </c>
      <c r="R482" s="189">
        <f>IFERROR(__xludf.DUMMYFUNCTION("""COMPUTED_VALUE"""),0.0)</f>
        <v>0</v>
      </c>
      <c r="S482" s="189">
        <f>IFERROR(__xludf.DUMMYFUNCTION("""COMPUTED_VALUE"""),26397.0)</f>
        <v>26397</v>
      </c>
    </row>
    <row r="483">
      <c r="A483" s="186" t="str">
        <f>IFERROR(__xludf.DUMMYFUNCTION("""COMPUTED_VALUE"""),"NORDICS")</f>
        <v>NORDICS</v>
      </c>
      <c r="B483" s="186" t="str">
        <f>IFERROR(__xludf.DUMMYFUNCTION("""COMPUTED_VALUE"""),"W06")</f>
        <v>W06</v>
      </c>
      <c r="C483" s="186">
        <f>IFERROR(__xludf.DUMMYFUNCTION("""COMPUTED_VALUE"""),301.0)</f>
        <v>301</v>
      </c>
      <c r="D483" s="186" t="str">
        <f>IFERROR(__xludf.DUMMYFUNCTION("""COMPUTED_VALUE"""),"CON-00-147840-2")</f>
        <v>CON-00-147840-2</v>
      </c>
      <c r="E483" s="186" t="str">
        <f>IFERROR(__xludf.DUMMYFUNCTION("""COMPUTED_VALUE"""),"Grilled chicken fillet and potato leek mash")</f>
        <v>Grilled chicken fillet and potato leek mash</v>
      </c>
      <c r="F483" s="186" t="str">
        <f>IFERROR(__xludf.DUMMYFUNCTION("""COMPUTED_VALUE"""),"Grillet kyllingefilet og kartoffel-porremos")</f>
        <v>Grillet kyllingefilet og kartoffel-porremos</v>
      </c>
      <c r="G483" s="186" t="str">
        <f>IFERROR(__xludf.DUMMYFUNCTION("""COMPUTED_VALUE"""),"FE0426B")</f>
        <v>FE0426B</v>
      </c>
      <c r="H483" s="186">
        <f>IFERROR(__xludf.DUMMYFUNCTION("""COMPUTED_VALUE"""),565035.0)</f>
        <v>565035</v>
      </c>
      <c r="I483" s="186" t="str">
        <f>IFERROR(__xludf.DUMMYFUNCTION("""COMPUTED_VALUE"""),"HF Puree van aardappel en prei met gegrilde kip 416g")</f>
        <v>HF Puree van aardappel en prei met gegrilde kip 416g</v>
      </c>
      <c r="J483" s="189">
        <f>IFERROR(__xludf.DUMMYFUNCTION("""COMPUTED_VALUE"""),4037.0)</f>
        <v>4037</v>
      </c>
      <c r="K483" s="189">
        <f>IFERROR(__xludf.DUMMYFUNCTION("""COMPUTED_VALUE"""),4934.0)</f>
        <v>4934</v>
      </c>
      <c r="L483" s="189">
        <f>IFERROR(__xludf.DUMMYFUNCTION("""COMPUTED_VALUE"""),5745.0)</f>
        <v>5745</v>
      </c>
      <c r="M483" s="189">
        <f>IFERROR(__xludf.DUMMYFUNCTION("""COMPUTED_VALUE"""),5545.0)</f>
        <v>5545</v>
      </c>
      <c r="N483" s="189">
        <f>IFERROR(__xludf.DUMMYFUNCTION("""COMPUTED_VALUE"""),5030.0)</f>
        <v>5030</v>
      </c>
      <c r="O483" s="189">
        <f>IFERROR(__xludf.DUMMYFUNCTION("""COMPUTED_VALUE"""),5096.0)</f>
        <v>5096</v>
      </c>
      <c r="P483" s="189">
        <f>IFERROR(__xludf.DUMMYFUNCTION("""COMPUTED_VALUE"""),5151.0)</f>
        <v>5151</v>
      </c>
      <c r="Q483" s="189">
        <f>IFERROR(__xludf.DUMMYFUNCTION("""COMPUTED_VALUE"""),5216.0)</f>
        <v>5216</v>
      </c>
      <c r="R483" s="186"/>
      <c r="S483" s="189">
        <f>IFERROR(__xludf.DUMMYFUNCTION("""COMPUTED_VALUE"""),4726.0)</f>
        <v>4726</v>
      </c>
    </row>
    <row r="484">
      <c r="A484" s="186" t="str">
        <f>IFERROR(__xludf.DUMMYFUNCTION("""COMPUTED_VALUE"""),"NORDICS")</f>
        <v>NORDICS</v>
      </c>
      <c r="B484" s="186" t="str">
        <f>IFERROR(__xludf.DUMMYFUNCTION("""COMPUTED_VALUE"""),"W06")</f>
        <v>W06</v>
      </c>
      <c r="C484" s="186">
        <f>IFERROR(__xludf.DUMMYFUNCTION("""COMPUTED_VALUE"""),302.0)</f>
        <v>302</v>
      </c>
      <c r="D484" s="186"/>
      <c r="E484" s="186"/>
      <c r="F484" s="186"/>
      <c r="G484" s="186" t="str">
        <f>IFERROR(__xludf.DUMMYFUNCTION("""COMPUTED_VALUE"""),"FE4001C")</f>
        <v>FE4001C</v>
      </c>
      <c r="H484" s="186"/>
      <c r="I484" s="186"/>
      <c r="J484" s="189">
        <f>IFERROR(__xludf.DUMMYFUNCTION("""COMPUTED_VALUE"""),2555.0)</f>
        <v>2555</v>
      </c>
      <c r="K484" s="189">
        <f>IFERROR(__xludf.DUMMYFUNCTION("""COMPUTED_VALUE"""),3310.0)</f>
        <v>3310</v>
      </c>
      <c r="L484" s="189">
        <f>IFERROR(__xludf.DUMMYFUNCTION("""COMPUTED_VALUE"""),3226.0)</f>
        <v>3226</v>
      </c>
      <c r="M484" s="189">
        <f>IFERROR(__xludf.DUMMYFUNCTION("""COMPUTED_VALUE"""),3216.0)</f>
        <v>3216</v>
      </c>
      <c r="N484" s="189">
        <f>IFERROR(__xludf.DUMMYFUNCTION("""COMPUTED_VALUE"""),2982.0)</f>
        <v>2982</v>
      </c>
      <c r="O484" s="189">
        <f>IFERROR(__xludf.DUMMYFUNCTION("""COMPUTED_VALUE"""),2991.0)</f>
        <v>2991</v>
      </c>
      <c r="P484" s="189">
        <f>IFERROR(__xludf.DUMMYFUNCTION("""COMPUTED_VALUE"""),3040.0)</f>
        <v>3040</v>
      </c>
      <c r="Q484" s="189">
        <f>IFERROR(__xludf.DUMMYFUNCTION("""COMPUTED_VALUE"""),3087.0)</f>
        <v>3087</v>
      </c>
      <c r="R484" s="186"/>
      <c r="S484" s="189">
        <f>IFERROR(__xludf.DUMMYFUNCTION("""COMPUTED_VALUE"""),2714.0)</f>
        <v>2714</v>
      </c>
    </row>
    <row r="485">
      <c r="A485" s="186" t="str">
        <f>IFERROR(__xludf.DUMMYFUNCTION("""COMPUTED_VALUE"""),"NORDICS")</f>
        <v>NORDICS</v>
      </c>
      <c r="B485" s="186" t="str">
        <f>IFERROR(__xludf.DUMMYFUNCTION("""COMPUTED_VALUE"""),"W06")</f>
        <v>W06</v>
      </c>
      <c r="C485" s="186">
        <f>IFERROR(__xludf.DUMMYFUNCTION("""COMPUTED_VALUE"""),303.0)</f>
        <v>303</v>
      </c>
      <c r="D485" s="186" t="str">
        <f>IFERROR(__xludf.DUMMYFUNCTION("""COMPUTED_VALUE"""),"CON-00-147854-2")</f>
        <v>CON-00-147854-2</v>
      </c>
      <c r="E485" s="186" t="str">
        <f>IFERROR(__xludf.DUMMYFUNCTION("""COMPUTED_VALUE"""),"Cabbage in cheese sauce with minced beef")</f>
        <v>Cabbage in cheese sauce with minced beef</v>
      </c>
      <c r="F485" s="186" t="str">
        <f>IFERROR(__xludf.DUMMYFUNCTION("""COMPUTED_VALUE"""),"Kål i ostesauce med hakket oksekød")</f>
        <v>Kål i ostesauce med hakket oksekød</v>
      </c>
      <c r="G485" s="186" t="str">
        <f>IFERROR(__xludf.DUMMYFUNCTION("""COMPUTED_VALUE"""),"FE0713B")</f>
        <v>FE0713B</v>
      </c>
      <c r="H485" s="186">
        <f>IFERROR(__xludf.DUMMYFUNCTION("""COMPUTED_VALUE"""),565240.0)</f>
        <v>565240</v>
      </c>
      <c r="I485" s="186" t="str">
        <f>IFERROR(__xludf.DUMMYFUNCTION("""COMPUTED_VALUE"""),"HF RW Kool in kaassaus")</f>
        <v>HF RW Kool in kaassaus</v>
      </c>
      <c r="J485" s="189">
        <f>IFERROR(__xludf.DUMMYFUNCTION("""COMPUTED_VALUE"""),2788.0)</f>
        <v>2788</v>
      </c>
      <c r="K485" s="189">
        <f>IFERROR(__xludf.DUMMYFUNCTION("""COMPUTED_VALUE"""),3212.0)</f>
        <v>3212</v>
      </c>
      <c r="L485" s="189">
        <f>IFERROR(__xludf.DUMMYFUNCTION("""COMPUTED_VALUE"""),2779.0)</f>
        <v>2779</v>
      </c>
      <c r="M485" s="189">
        <f>IFERROR(__xludf.DUMMYFUNCTION("""COMPUTED_VALUE"""),2931.0)</f>
        <v>2931</v>
      </c>
      <c r="N485" s="189">
        <f>IFERROR(__xludf.DUMMYFUNCTION("""COMPUTED_VALUE"""),2700.0)</f>
        <v>2700</v>
      </c>
      <c r="O485" s="189">
        <f>IFERROR(__xludf.DUMMYFUNCTION("""COMPUTED_VALUE"""),2671.0)</f>
        <v>2671</v>
      </c>
      <c r="P485" s="189">
        <f>IFERROR(__xludf.DUMMYFUNCTION("""COMPUTED_VALUE"""),2667.0)</f>
        <v>2667</v>
      </c>
      <c r="Q485" s="189">
        <f>IFERROR(__xludf.DUMMYFUNCTION("""COMPUTED_VALUE"""),2673.0)</f>
        <v>2673</v>
      </c>
      <c r="R485" s="186"/>
      <c r="S485" s="189">
        <f>IFERROR(__xludf.DUMMYFUNCTION("""COMPUTED_VALUE"""),2367.0)</f>
        <v>2367</v>
      </c>
    </row>
    <row r="486">
      <c r="A486" s="186" t="str">
        <f>IFERROR(__xludf.DUMMYFUNCTION("""COMPUTED_VALUE"""),"NORDICS")</f>
        <v>NORDICS</v>
      </c>
      <c r="B486" s="186" t="str">
        <f>IFERROR(__xludf.DUMMYFUNCTION("""COMPUTED_VALUE"""),"W06")</f>
        <v>W06</v>
      </c>
      <c r="C486" s="186">
        <f>IFERROR(__xludf.DUMMYFUNCTION("""COMPUTED_VALUE"""),304.0)</f>
        <v>304</v>
      </c>
      <c r="D486" s="186" t="str">
        <f>IFERROR(__xludf.DUMMYFUNCTION("""COMPUTED_VALUE"""),"CON-00-151098-2")</f>
        <v>CON-00-151098-2</v>
      </c>
      <c r="E486" s="186" t="str">
        <f>IFERROR(__xludf.DUMMYFUNCTION("""COMPUTED_VALUE"""),"Roasted Salmon &amp; Dill Yogurt")</f>
        <v>Roasted Salmon &amp; Dill Yogurt</v>
      </c>
      <c r="F486" s="186" t="str">
        <f>IFERROR(__xludf.DUMMYFUNCTION("""COMPUTED_VALUE"""),"Ovnbagt laks med dild-yoghurtsauce")</f>
        <v>Ovnbagt laks med dild-yoghurtsauce</v>
      </c>
      <c r="G486" s="186" t="str">
        <f>IFERROR(__xludf.DUMMYFUNCTION("""COMPUTED_VALUE"""),"FE1145B")</f>
        <v>FE1145B</v>
      </c>
      <c r="H486" s="186">
        <f>IFERROR(__xludf.DUMMYFUNCTION("""COMPUTED_VALUE"""),565206.0)</f>
        <v>565206</v>
      </c>
      <c r="I486" s="186" t="str">
        <f>IFERROR(__xludf.DUMMYFUNCTION("""COMPUTED_VALUE"""),"HF Zalm citroen dille yoghurt")</f>
        <v>HF Zalm citroen dille yoghurt</v>
      </c>
      <c r="J486" s="189">
        <f>IFERROR(__xludf.DUMMYFUNCTION("""COMPUTED_VALUE"""),2752.0)</f>
        <v>2752</v>
      </c>
      <c r="K486" s="189">
        <f>IFERROR(__xludf.DUMMYFUNCTION("""COMPUTED_VALUE"""),3850.0)</f>
        <v>3850</v>
      </c>
      <c r="L486" s="189">
        <f>IFERROR(__xludf.DUMMYFUNCTION("""COMPUTED_VALUE"""),3654.0)</f>
        <v>3654</v>
      </c>
      <c r="M486" s="189">
        <f>IFERROR(__xludf.DUMMYFUNCTION("""COMPUTED_VALUE"""),3945.0)</f>
        <v>3945</v>
      </c>
      <c r="N486" s="189">
        <f>IFERROR(__xludf.DUMMYFUNCTION("""COMPUTED_VALUE"""),3649.0)</f>
        <v>3649</v>
      </c>
      <c r="O486" s="189">
        <f>IFERROR(__xludf.DUMMYFUNCTION("""COMPUTED_VALUE"""),3653.0)</f>
        <v>3653</v>
      </c>
      <c r="P486" s="189">
        <f>IFERROR(__xludf.DUMMYFUNCTION("""COMPUTED_VALUE"""),3655.0)</f>
        <v>3655</v>
      </c>
      <c r="Q486" s="189">
        <f>IFERROR(__xludf.DUMMYFUNCTION("""COMPUTED_VALUE"""),3713.0)</f>
        <v>3713</v>
      </c>
      <c r="R486" s="186"/>
      <c r="S486" s="189">
        <f>IFERROR(__xludf.DUMMYFUNCTION("""COMPUTED_VALUE"""),3419.0)</f>
        <v>3419</v>
      </c>
    </row>
    <row r="487">
      <c r="A487" s="186" t="str">
        <f>IFERROR(__xludf.DUMMYFUNCTION("""COMPUTED_VALUE"""),"NORDICS")</f>
        <v>NORDICS</v>
      </c>
      <c r="B487" s="186" t="str">
        <f>IFERROR(__xludf.DUMMYFUNCTION("""COMPUTED_VALUE"""),"W06")</f>
        <v>W06</v>
      </c>
      <c r="C487" s="186">
        <f>IFERROR(__xludf.DUMMYFUNCTION("""COMPUTED_VALUE"""),305.0)</f>
        <v>305</v>
      </c>
      <c r="D487" s="186" t="str">
        <f>IFERROR(__xludf.DUMMYFUNCTION("""COMPUTED_VALUE"""),"CON-00-147878-2")</f>
        <v>CON-00-147878-2</v>
      </c>
      <c r="E487" s="186" t="str">
        <f>IFERROR(__xludf.DUMMYFUNCTION("""COMPUTED_VALUE"""),"Grilled chicken and ratatouille")</f>
        <v>Grilled chicken and ratatouille</v>
      </c>
      <c r="F487" s="186" t="str">
        <f>IFERROR(__xludf.DUMMYFUNCTION("""COMPUTED_VALUE"""),"Grillet kylling og ratatouille")</f>
        <v>Grillet kylling og ratatouille</v>
      </c>
      <c r="G487" s="186" t="str">
        <f>IFERROR(__xludf.DUMMYFUNCTION("""COMPUTED_VALUE"""),"FE4015A")</f>
        <v>FE4015A</v>
      </c>
      <c r="H487" s="186">
        <f>IFERROR(__xludf.DUMMYFUNCTION("""COMPUTED_VALUE"""),565072.0)</f>
        <v>565072</v>
      </c>
      <c r="I487" s="186" t="str">
        <f>IFERROR(__xludf.DUMMYFUNCTION("""COMPUTED_VALUE"""),"HF Gegrilde kipfilet en ratatouille 429g")</f>
        <v>HF Gegrilde kipfilet en ratatouille 429g</v>
      </c>
      <c r="J487" s="189">
        <f>IFERROR(__xludf.DUMMYFUNCTION("""COMPUTED_VALUE"""),2207.0)</f>
        <v>2207</v>
      </c>
      <c r="K487" s="189">
        <f>IFERROR(__xludf.DUMMYFUNCTION("""COMPUTED_VALUE"""),3210.0)</f>
        <v>3210</v>
      </c>
      <c r="L487" s="189">
        <f>IFERROR(__xludf.DUMMYFUNCTION("""COMPUTED_VALUE"""),2829.0)</f>
        <v>2829</v>
      </c>
      <c r="M487" s="189">
        <f>IFERROR(__xludf.DUMMYFUNCTION("""COMPUTED_VALUE"""),2739.0)</f>
        <v>2739</v>
      </c>
      <c r="N487" s="189">
        <f>IFERROR(__xludf.DUMMYFUNCTION("""COMPUTED_VALUE"""),2561.0)</f>
        <v>2561</v>
      </c>
      <c r="O487" s="189">
        <f>IFERROR(__xludf.DUMMYFUNCTION("""COMPUTED_VALUE"""),2582.0)</f>
        <v>2582</v>
      </c>
      <c r="P487" s="189">
        <f>IFERROR(__xludf.DUMMYFUNCTION("""COMPUTED_VALUE"""),2648.0)</f>
        <v>2648</v>
      </c>
      <c r="Q487" s="189">
        <f>IFERROR(__xludf.DUMMYFUNCTION("""COMPUTED_VALUE"""),2704.0)</f>
        <v>2704</v>
      </c>
      <c r="R487" s="186"/>
      <c r="S487" s="189">
        <f>IFERROR(__xludf.DUMMYFUNCTION("""COMPUTED_VALUE"""),2462.0)</f>
        <v>2462</v>
      </c>
    </row>
    <row r="488">
      <c r="A488" s="186" t="str">
        <f>IFERROR(__xludf.DUMMYFUNCTION("""COMPUTED_VALUE"""),"NORDICS")</f>
        <v>NORDICS</v>
      </c>
      <c r="B488" s="186" t="str">
        <f>IFERROR(__xludf.DUMMYFUNCTION("""COMPUTED_VALUE"""),"W06")</f>
        <v>W06</v>
      </c>
      <c r="C488" s="186">
        <f>IFERROR(__xludf.DUMMYFUNCTION("""COMPUTED_VALUE"""),306.0)</f>
        <v>306</v>
      </c>
      <c r="D488" s="186" t="str">
        <f>IFERROR(__xludf.DUMMYFUNCTION("""COMPUTED_VALUE"""),"CON-00-147896-2")</f>
        <v>CON-00-147896-2</v>
      </c>
      <c r="E488" s="186" t="str">
        <f>IFERROR(__xludf.DUMMYFUNCTION("""COMPUTED_VALUE"""),"Chicken in creamy basil sauce")</f>
        <v>Chicken in creamy basil sauce</v>
      </c>
      <c r="F488" s="186" t="str">
        <f>IFERROR(__xludf.DUMMYFUNCTION("""COMPUTED_VALUE"""),"Kylling i cremet basilikumssauce")</f>
        <v>Kylling i cremet basilikumssauce</v>
      </c>
      <c r="G488" s="186" t="str">
        <f>IFERROR(__xludf.DUMMYFUNCTION("""COMPUTED_VALUE"""),"FE4040B")</f>
        <v>FE4040B</v>
      </c>
      <c r="H488" s="186">
        <f>IFERROR(__xludf.DUMMYFUNCTION("""COMPUTED_VALUE"""),565172.0)</f>
        <v>565172</v>
      </c>
      <c r="I488" s="186"/>
      <c r="J488" s="189">
        <f>IFERROR(__xludf.DUMMYFUNCTION("""COMPUTED_VALUE"""),2028.0)</f>
        <v>2028</v>
      </c>
      <c r="K488" s="189">
        <f>IFERROR(__xludf.DUMMYFUNCTION("""COMPUTED_VALUE"""),2300.0)</f>
        <v>2300</v>
      </c>
      <c r="L488" s="189">
        <f>IFERROR(__xludf.DUMMYFUNCTION("""COMPUTED_VALUE"""),2216.0)</f>
        <v>2216</v>
      </c>
      <c r="M488" s="189">
        <f>IFERROR(__xludf.DUMMYFUNCTION("""COMPUTED_VALUE"""),2172.0)</f>
        <v>2172</v>
      </c>
      <c r="N488" s="189">
        <f>IFERROR(__xludf.DUMMYFUNCTION("""COMPUTED_VALUE"""),2016.0)</f>
        <v>2016</v>
      </c>
      <c r="O488" s="189">
        <f>IFERROR(__xludf.DUMMYFUNCTION("""COMPUTED_VALUE"""),2099.0)</f>
        <v>2099</v>
      </c>
      <c r="P488" s="189">
        <f>IFERROR(__xludf.DUMMYFUNCTION("""COMPUTED_VALUE"""),2140.0)</f>
        <v>2140</v>
      </c>
      <c r="Q488" s="189">
        <f>IFERROR(__xludf.DUMMYFUNCTION("""COMPUTED_VALUE"""),2178.0)</f>
        <v>2178</v>
      </c>
      <c r="R488" s="186"/>
      <c r="S488" s="189">
        <f>IFERROR(__xludf.DUMMYFUNCTION("""COMPUTED_VALUE"""),1994.0)</f>
        <v>1994</v>
      </c>
    </row>
    <row r="489">
      <c r="A489" s="186" t="str">
        <f>IFERROR(__xludf.DUMMYFUNCTION("""COMPUTED_VALUE"""),"NORDICS")</f>
        <v>NORDICS</v>
      </c>
      <c r="B489" s="186" t="str">
        <f>IFERROR(__xludf.DUMMYFUNCTION("""COMPUTED_VALUE"""),"W06")</f>
        <v>W06</v>
      </c>
      <c r="C489" s="186">
        <f>IFERROR(__xludf.DUMMYFUNCTION("""COMPUTED_VALUE"""),307.0)</f>
        <v>307</v>
      </c>
      <c r="D489" s="186" t="str">
        <f>IFERROR(__xludf.DUMMYFUNCTION("""COMPUTED_VALUE"""),"CON-00-148196-2")</f>
        <v>CON-00-148196-2</v>
      </c>
      <c r="E489" s="186" t="str">
        <f>IFERROR(__xludf.DUMMYFUNCTION("""COMPUTED_VALUE"""),"Caramelized Onion &amp; Emmental Fondue Chicken")</f>
        <v>Caramelized Onion &amp; Emmental Fondue Chicken</v>
      </c>
      <c r="F489" s="186" t="str">
        <f>IFERROR(__xludf.DUMMYFUNCTION("""COMPUTED_VALUE"""),"Kylling i Emmental-fondue med karamelliseret løg")</f>
        <v>Kylling i Emmental-fondue med karamelliseret løg</v>
      </c>
      <c r="G489" s="186" t="str">
        <f>IFERROR(__xludf.DUMMYFUNCTION("""COMPUTED_VALUE"""),"FE0970B")</f>
        <v>FE0970B</v>
      </c>
      <c r="H489" s="186">
        <f>IFERROR(__xludf.DUMMYFUNCTION("""COMPUTED_VALUE"""),565164.0)</f>
        <v>565164</v>
      </c>
      <c r="I489" s="186"/>
      <c r="J489" s="189">
        <f>IFERROR(__xludf.DUMMYFUNCTION("""COMPUTED_VALUE"""),1431.0)</f>
        <v>1431</v>
      </c>
      <c r="K489" s="189">
        <f>IFERROR(__xludf.DUMMYFUNCTION("""COMPUTED_VALUE"""),1746.0)</f>
        <v>1746</v>
      </c>
      <c r="L489" s="189">
        <f>IFERROR(__xludf.DUMMYFUNCTION("""COMPUTED_VALUE"""),2151.0)</f>
        <v>2151</v>
      </c>
      <c r="M489" s="189">
        <f>IFERROR(__xludf.DUMMYFUNCTION("""COMPUTED_VALUE"""),1982.0)</f>
        <v>1982</v>
      </c>
      <c r="N489" s="189">
        <f>IFERROR(__xludf.DUMMYFUNCTION("""COMPUTED_VALUE"""),1825.0)</f>
        <v>1825</v>
      </c>
      <c r="O489" s="189">
        <f>IFERROR(__xludf.DUMMYFUNCTION("""COMPUTED_VALUE"""),1893.0)</f>
        <v>1893</v>
      </c>
      <c r="P489" s="189">
        <f>IFERROR(__xludf.DUMMYFUNCTION("""COMPUTED_VALUE"""),1898.0)</f>
        <v>1898</v>
      </c>
      <c r="Q489" s="189">
        <f>IFERROR(__xludf.DUMMYFUNCTION("""COMPUTED_VALUE"""),1888.0)</f>
        <v>1888</v>
      </c>
      <c r="R489" s="186"/>
      <c r="S489" s="189">
        <f>IFERROR(__xludf.DUMMYFUNCTION("""COMPUTED_VALUE"""),1680.0)</f>
        <v>1680</v>
      </c>
    </row>
    <row r="490">
      <c r="A490" s="186" t="str">
        <f>IFERROR(__xludf.DUMMYFUNCTION("""COMPUTED_VALUE"""),"NORDICS")</f>
        <v>NORDICS</v>
      </c>
      <c r="B490" s="186" t="str">
        <f>IFERROR(__xludf.DUMMYFUNCTION("""COMPUTED_VALUE"""),"W06")</f>
        <v>W06</v>
      </c>
      <c r="C490" s="186">
        <f>IFERROR(__xludf.DUMMYFUNCTION("""COMPUTED_VALUE"""),308.0)</f>
        <v>308</v>
      </c>
      <c r="D490" s="186"/>
      <c r="E490" s="186"/>
      <c r="F490" s="186"/>
      <c r="G490" s="186" t="str">
        <f>IFERROR(__xludf.DUMMYFUNCTION("""COMPUTED_VALUE"""),"FE4053A")</f>
        <v>FE4053A</v>
      </c>
      <c r="H490" s="186"/>
      <c r="I490" s="186"/>
      <c r="J490" s="189">
        <f>IFERROR(__xludf.DUMMYFUNCTION("""COMPUTED_VALUE"""),1862.0)</f>
        <v>1862</v>
      </c>
      <c r="K490" s="189">
        <f>IFERROR(__xludf.DUMMYFUNCTION("""COMPUTED_VALUE"""),2117.0)</f>
        <v>2117</v>
      </c>
      <c r="L490" s="189">
        <f>IFERROR(__xludf.DUMMYFUNCTION("""COMPUTED_VALUE"""),2908.0)</f>
        <v>2908</v>
      </c>
      <c r="M490" s="189">
        <f>IFERROR(__xludf.DUMMYFUNCTION("""COMPUTED_VALUE"""),2439.0)</f>
        <v>2439</v>
      </c>
      <c r="N490" s="189">
        <f>IFERROR(__xludf.DUMMYFUNCTION("""COMPUTED_VALUE"""),2324.0)</f>
        <v>2324</v>
      </c>
      <c r="O490" s="189">
        <f>IFERROR(__xludf.DUMMYFUNCTION("""COMPUTED_VALUE"""),2334.0)</f>
        <v>2334</v>
      </c>
      <c r="P490" s="189">
        <f>IFERROR(__xludf.DUMMYFUNCTION("""COMPUTED_VALUE"""),2432.0)</f>
        <v>2432</v>
      </c>
      <c r="Q490" s="189">
        <f>IFERROR(__xludf.DUMMYFUNCTION("""COMPUTED_VALUE"""),2458.0)</f>
        <v>2458</v>
      </c>
      <c r="R490" s="186"/>
      <c r="S490" s="189">
        <f>IFERROR(__xludf.DUMMYFUNCTION("""COMPUTED_VALUE"""),2215.0)</f>
        <v>2215</v>
      </c>
    </row>
    <row r="491">
      <c r="A491" s="186" t="str">
        <f>IFERROR(__xludf.DUMMYFUNCTION("""COMPUTED_VALUE"""),"NORDICS")</f>
        <v>NORDICS</v>
      </c>
      <c r="B491" s="186" t="str">
        <f>IFERROR(__xludf.DUMMYFUNCTION("""COMPUTED_VALUE"""),"W06")</f>
        <v>W06</v>
      </c>
      <c r="C491" s="186">
        <f>IFERROR(__xludf.DUMMYFUNCTION("""COMPUTED_VALUE"""),309.0)</f>
        <v>309</v>
      </c>
      <c r="D491" s="186" t="str">
        <f>IFERROR(__xludf.DUMMYFUNCTION("""COMPUTED_VALUE"""),"CON-00-147816-2")</f>
        <v>CON-00-147816-2</v>
      </c>
      <c r="E491" s="186" t="str">
        <f>IFERROR(__xludf.DUMMYFUNCTION("""COMPUTED_VALUE"""),"Creamy tomato risotto")</f>
        <v>Creamy tomato risotto</v>
      </c>
      <c r="F491" s="186" t="str">
        <f>IFERROR(__xludf.DUMMYFUNCTION("""COMPUTED_VALUE"""),"Cremet tomatrisotto")</f>
        <v>Cremet tomatrisotto</v>
      </c>
      <c r="G491" s="186" t="str">
        <f>IFERROR(__xludf.DUMMYFUNCTION("""COMPUTED_VALUE"""),"FE0031C")</f>
        <v>FE0031C</v>
      </c>
      <c r="H491" s="186">
        <f>IFERROR(__xludf.DUMMYFUNCTION("""COMPUTED_VALUE"""),565244.0)</f>
        <v>565244</v>
      </c>
      <c r="I491" s="186" t="str">
        <f>IFERROR(__xludf.DUMMYFUNCTION("""COMPUTED_VALUE"""),"IO HF Romige tomatenrisotto V2")</f>
        <v>IO HF Romige tomatenrisotto V2</v>
      </c>
      <c r="J491" s="189">
        <f>IFERROR(__xludf.DUMMYFUNCTION("""COMPUTED_VALUE"""),345.0)</f>
        <v>345</v>
      </c>
      <c r="K491" s="189">
        <f>IFERROR(__xludf.DUMMYFUNCTION("""COMPUTED_VALUE"""),321.0)</f>
        <v>321</v>
      </c>
      <c r="L491" s="189">
        <f>IFERROR(__xludf.DUMMYFUNCTION("""COMPUTED_VALUE"""),167.0)</f>
        <v>167</v>
      </c>
      <c r="M491" s="189">
        <f>IFERROR(__xludf.DUMMYFUNCTION("""COMPUTED_VALUE"""),414.0)</f>
        <v>414</v>
      </c>
      <c r="N491" s="189">
        <f>IFERROR(__xludf.DUMMYFUNCTION("""COMPUTED_VALUE"""),332.0)</f>
        <v>332</v>
      </c>
      <c r="O491" s="189">
        <f>IFERROR(__xludf.DUMMYFUNCTION("""COMPUTED_VALUE"""),361.0)</f>
        <v>361</v>
      </c>
      <c r="P491" s="189">
        <f>IFERROR(__xludf.DUMMYFUNCTION("""COMPUTED_VALUE"""),368.0)</f>
        <v>368</v>
      </c>
      <c r="Q491" s="189">
        <f>IFERROR(__xludf.DUMMYFUNCTION("""COMPUTED_VALUE"""),391.0)</f>
        <v>391</v>
      </c>
      <c r="R491" s="186"/>
      <c r="S491" s="189">
        <f>IFERROR(__xludf.DUMMYFUNCTION("""COMPUTED_VALUE"""),373.0)</f>
        <v>373</v>
      </c>
    </row>
    <row r="492">
      <c r="A492" s="186" t="str">
        <f>IFERROR(__xludf.DUMMYFUNCTION("""COMPUTED_VALUE"""),"NORDICS")</f>
        <v>NORDICS</v>
      </c>
      <c r="B492" s="186" t="str">
        <f>IFERROR(__xludf.DUMMYFUNCTION("""COMPUTED_VALUE"""),"W06")</f>
        <v>W06</v>
      </c>
      <c r="C492" s="186">
        <f>IFERROR(__xludf.DUMMYFUNCTION("""COMPUTED_VALUE"""),310.0)</f>
        <v>310</v>
      </c>
      <c r="D492" s="186" t="str">
        <f>IFERROR(__xludf.DUMMYFUNCTION("""COMPUTED_VALUE"""),"CON-00-147818-2")</f>
        <v>CON-00-147818-2</v>
      </c>
      <c r="E492" s="186" t="str">
        <f>IFERROR(__xludf.DUMMYFUNCTION("""COMPUTED_VALUE"""),"Mexican style corn cake")</f>
        <v>Mexican style corn cake</v>
      </c>
      <c r="F492" s="186" t="str">
        <f>IFERROR(__xludf.DUMMYFUNCTION("""COMPUTED_VALUE"""),"Mexicansk-inspireret majskage")</f>
        <v>Mexicansk-inspireret majskage</v>
      </c>
      <c r="G492" s="186" t="str">
        <f>IFERROR(__xludf.DUMMYFUNCTION("""COMPUTED_VALUE"""),"FE0121C")</f>
        <v>FE0121C</v>
      </c>
      <c r="H492" s="186">
        <f>IFERROR(__xludf.DUMMYFUNCTION("""COMPUTED_VALUE"""),565023.0)</f>
        <v>565023</v>
      </c>
      <c r="I492" s="186" t="str">
        <f>IFERROR(__xludf.DUMMYFUNCTION("""COMPUTED_VALUE"""),"HF Mex.stijl maiscake")</f>
        <v>HF Mex.stijl maiscake</v>
      </c>
      <c r="J492" s="189">
        <f>IFERROR(__xludf.DUMMYFUNCTION("""COMPUTED_VALUE"""),332.0)</f>
        <v>332</v>
      </c>
      <c r="K492" s="189">
        <f>IFERROR(__xludf.DUMMYFUNCTION("""COMPUTED_VALUE"""),369.0)</f>
        <v>369</v>
      </c>
      <c r="L492" s="189">
        <f>IFERROR(__xludf.DUMMYFUNCTION("""COMPUTED_VALUE"""),608.0)</f>
        <v>608</v>
      </c>
      <c r="M492" s="189">
        <f>IFERROR(__xludf.DUMMYFUNCTION("""COMPUTED_VALUE"""),392.0)</f>
        <v>392</v>
      </c>
      <c r="N492" s="189">
        <f>IFERROR(__xludf.DUMMYFUNCTION("""COMPUTED_VALUE"""),348.0)</f>
        <v>348</v>
      </c>
      <c r="O492" s="189">
        <f>IFERROR(__xludf.DUMMYFUNCTION("""COMPUTED_VALUE"""),380.0)</f>
        <v>380</v>
      </c>
      <c r="P492" s="189">
        <f>IFERROR(__xludf.DUMMYFUNCTION("""COMPUTED_VALUE"""),392.0)</f>
        <v>392</v>
      </c>
      <c r="Q492" s="189">
        <f>IFERROR(__xludf.DUMMYFUNCTION("""COMPUTED_VALUE"""),408.0)</f>
        <v>408</v>
      </c>
      <c r="R492" s="186"/>
      <c r="S492" s="189">
        <f>IFERROR(__xludf.DUMMYFUNCTION("""COMPUTED_VALUE"""),363.0)</f>
        <v>363</v>
      </c>
    </row>
    <row r="493">
      <c r="A493" s="186" t="str">
        <f>IFERROR(__xludf.DUMMYFUNCTION("""COMPUTED_VALUE"""),"NORDICS")</f>
        <v>NORDICS</v>
      </c>
      <c r="B493" s="186" t="str">
        <f>IFERROR(__xludf.DUMMYFUNCTION("""COMPUTED_VALUE"""),"W06")</f>
        <v>W06</v>
      </c>
      <c r="C493" s="186">
        <f>IFERROR(__xludf.DUMMYFUNCTION("""COMPUTED_VALUE"""),311.0)</f>
        <v>311</v>
      </c>
      <c r="D493" s="186" t="str">
        <f>IFERROR(__xludf.DUMMYFUNCTION("""COMPUTED_VALUE"""),"CON-00-147824-2")</f>
        <v>CON-00-147824-2</v>
      </c>
      <c r="E493" s="186" t="str">
        <f>IFERROR(__xludf.DUMMYFUNCTION("""COMPUTED_VALUE"""),"Pork tenderloin in creamy garlic-mustard sauce")</f>
        <v>Pork tenderloin in creamy garlic-mustard sauce</v>
      </c>
      <c r="F493" s="186" t="str">
        <f>IFERROR(__xludf.DUMMYFUNCTION("""COMPUTED_VALUE"""),"Svinemørbrad i cremet hvidløg-sennepssauce")</f>
        <v>Svinemørbrad i cremet hvidløg-sennepssauce</v>
      </c>
      <c r="G493" s="186" t="str">
        <f>IFERROR(__xludf.DUMMYFUNCTION("""COMPUTED_VALUE"""),"FE0169H")</f>
        <v>FE0169H</v>
      </c>
      <c r="H493" s="186">
        <f>IFERROR(__xludf.DUMMYFUNCTION("""COMPUTED_VALUE"""),565143.0)</f>
        <v>565143</v>
      </c>
      <c r="I493" s="186" t="str">
        <f>IFERROR(__xludf.DUMMYFUNCTION("""COMPUTED_VALUE"""),"Varkenshaas in romige knoflook-mosterdsaus")</f>
        <v>Varkenshaas in romige knoflook-mosterdsaus</v>
      </c>
      <c r="J493" s="189">
        <f>IFERROR(__xludf.DUMMYFUNCTION("""COMPUTED_VALUE"""),946.0)</f>
        <v>946</v>
      </c>
      <c r="K493" s="189">
        <f>IFERROR(__xludf.DUMMYFUNCTION("""COMPUTED_VALUE"""),1042.0)</f>
        <v>1042</v>
      </c>
      <c r="L493" s="189">
        <f>IFERROR(__xludf.DUMMYFUNCTION("""COMPUTED_VALUE"""),820.0)</f>
        <v>820</v>
      </c>
      <c r="M493" s="189">
        <f>IFERROR(__xludf.DUMMYFUNCTION("""COMPUTED_VALUE"""),723.0)</f>
        <v>723</v>
      </c>
      <c r="N493" s="189">
        <f>IFERROR(__xludf.DUMMYFUNCTION("""COMPUTED_VALUE"""),736.0)</f>
        <v>736</v>
      </c>
      <c r="O493" s="189">
        <f>IFERROR(__xludf.DUMMYFUNCTION("""COMPUTED_VALUE"""),746.0)</f>
        <v>746</v>
      </c>
      <c r="P493" s="189">
        <f>IFERROR(__xludf.DUMMYFUNCTION("""COMPUTED_VALUE"""),768.0)</f>
        <v>768</v>
      </c>
      <c r="Q493" s="189">
        <f>IFERROR(__xludf.DUMMYFUNCTION("""COMPUTED_VALUE"""),799.0)</f>
        <v>799</v>
      </c>
      <c r="R493" s="186"/>
      <c r="S493" s="189">
        <f>IFERROR(__xludf.DUMMYFUNCTION("""COMPUTED_VALUE"""),754.0)</f>
        <v>754</v>
      </c>
    </row>
    <row r="494">
      <c r="A494" s="186" t="str">
        <f>IFERROR(__xludf.DUMMYFUNCTION("""COMPUTED_VALUE"""),"NORDICS")</f>
        <v>NORDICS</v>
      </c>
      <c r="B494" s="186" t="str">
        <f>IFERROR(__xludf.DUMMYFUNCTION("""COMPUTED_VALUE"""),"W06")</f>
        <v>W06</v>
      </c>
      <c r="C494" s="186">
        <f>IFERROR(__xludf.DUMMYFUNCTION("""COMPUTED_VALUE"""),312.0)</f>
        <v>312</v>
      </c>
      <c r="D494" s="186" t="str">
        <f>IFERROR(__xludf.DUMMYFUNCTION("""COMPUTED_VALUE"""),"CON-00-147871-2")</f>
        <v>CON-00-147871-2</v>
      </c>
      <c r="E494" s="186" t="str">
        <f>IFERROR(__xludf.DUMMYFUNCTION("""COMPUTED_VALUE"""),"Salmon in mustard-dill sauce")</f>
        <v>Salmon in mustard-dill sauce</v>
      </c>
      <c r="F494" s="186" t="str">
        <f>IFERROR(__xludf.DUMMYFUNCTION("""COMPUTED_VALUE"""),"Laks i senneps-dild sauce")</f>
        <v>Laks i senneps-dild sauce</v>
      </c>
      <c r="G494" s="186" t="str">
        <f>IFERROR(__xludf.DUMMYFUNCTION("""COMPUTED_VALUE"""),"FE4009D")</f>
        <v>FE4009D</v>
      </c>
      <c r="H494" s="186">
        <f>IFERROR(__xludf.DUMMYFUNCTION("""COMPUTED_VALUE"""),565064.0)</f>
        <v>565064</v>
      </c>
      <c r="I494" s="186" t="str">
        <f>IFERROR(__xludf.DUMMYFUNCTION("""COMPUTED_VALUE"""),"HF Zalm in mosterd dillesaus")</f>
        <v>HF Zalm in mosterd dillesaus</v>
      </c>
      <c r="J494" s="189">
        <f>IFERROR(__xludf.DUMMYFUNCTION("""COMPUTED_VALUE"""),1771.0)</f>
        <v>1771</v>
      </c>
      <c r="K494" s="189">
        <f>IFERROR(__xludf.DUMMYFUNCTION("""COMPUTED_VALUE"""),2094.0)</f>
        <v>2094</v>
      </c>
      <c r="L494" s="189">
        <f>IFERROR(__xludf.DUMMYFUNCTION("""COMPUTED_VALUE"""),2521.0)</f>
        <v>2521</v>
      </c>
      <c r="M494" s="189">
        <f>IFERROR(__xludf.DUMMYFUNCTION("""COMPUTED_VALUE"""),2394.0)</f>
        <v>2394</v>
      </c>
      <c r="N494" s="189">
        <f>IFERROR(__xludf.DUMMYFUNCTION("""COMPUTED_VALUE"""),2203.0)</f>
        <v>2203</v>
      </c>
      <c r="O494" s="189">
        <f>IFERROR(__xludf.DUMMYFUNCTION("""COMPUTED_VALUE"""),2237.0)</f>
        <v>2237</v>
      </c>
      <c r="P494" s="189">
        <f>IFERROR(__xludf.DUMMYFUNCTION("""COMPUTED_VALUE"""),2257.0)</f>
        <v>2257</v>
      </c>
      <c r="Q494" s="189">
        <f>IFERROR(__xludf.DUMMYFUNCTION("""COMPUTED_VALUE"""),2305.0)</f>
        <v>2305</v>
      </c>
      <c r="R494" s="186"/>
      <c r="S494" s="189">
        <f>IFERROR(__xludf.DUMMYFUNCTION("""COMPUTED_VALUE"""),2140.0)</f>
        <v>2140</v>
      </c>
    </row>
    <row r="495">
      <c r="A495" s="186" t="str">
        <f>IFERROR(__xludf.DUMMYFUNCTION("""COMPUTED_VALUE"""),"NORDICS")</f>
        <v>NORDICS</v>
      </c>
      <c r="B495" s="186" t="str">
        <f>IFERROR(__xludf.DUMMYFUNCTION("""COMPUTED_VALUE"""),"W06")</f>
        <v>W06</v>
      </c>
      <c r="C495" s="186">
        <f>IFERROR(__xludf.DUMMYFUNCTION("""COMPUTED_VALUE"""),313.0)</f>
        <v>313</v>
      </c>
      <c r="D495" s="186" t="str">
        <f>IFERROR(__xludf.DUMMYFUNCTION("""COMPUTED_VALUE"""),"CON-00-151115-2")</f>
        <v>CON-00-151115-2</v>
      </c>
      <c r="E495" s="186" t="str">
        <f>IFERROR(__xludf.DUMMYFUNCTION("""COMPUTED_VALUE"""),"Cheddar &amp; Bell Pepper Pulled Beef Bowl")</f>
        <v>Cheddar &amp; Bell Pepper Pulled Beef Bowl</v>
      </c>
      <c r="F495" s="186" t="str">
        <f>IFERROR(__xludf.DUMMYFUNCTION("""COMPUTED_VALUE"""),"Pulled beef bowl med cheddar og peberfrugt")</f>
        <v>Pulled beef bowl med cheddar og peberfrugt</v>
      </c>
      <c r="G495" s="186" t="str">
        <f>IFERROR(__xludf.DUMMYFUNCTION("""COMPUTED_VALUE"""),"FE1348B")</f>
        <v>FE1348B</v>
      </c>
      <c r="H495" s="186">
        <f>IFERROR(__xludf.DUMMYFUNCTION("""COMPUTED_VALUE"""),565186.0)</f>
        <v>565186</v>
      </c>
      <c r="I495" s="186" t="str">
        <f>IFERROR(__xludf.DUMMYFUNCTION("""COMPUTED_VALUE"""),"HF Pulled beef salsa bowl")</f>
        <v>HF Pulled beef salsa bowl</v>
      </c>
      <c r="J495" s="189">
        <f>IFERROR(__xludf.DUMMYFUNCTION("""COMPUTED_VALUE"""),2224.0)</f>
        <v>2224</v>
      </c>
      <c r="K495" s="189">
        <f>IFERROR(__xludf.DUMMYFUNCTION("""COMPUTED_VALUE"""),2534.0)</f>
        <v>2534</v>
      </c>
      <c r="L495" s="189">
        <f>IFERROR(__xludf.DUMMYFUNCTION("""COMPUTED_VALUE"""),2994.0)</f>
        <v>2994</v>
      </c>
      <c r="M495" s="189">
        <f>IFERROR(__xludf.DUMMYFUNCTION("""COMPUTED_VALUE"""),3329.0)</f>
        <v>3329</v>
      </c>
      <c r="N495" s="189">
        <f>IFERROR(__xludf.DUMMYFUNCTION("""COMPUTED_VALUE"""),3409.0)</f>
        <v>3409</v>
      </c>
      <c r="O495" s="189">
        <f>IFERROR(__xludf.DUMMYFUNCTION("""COMPUTED_VALUE"""),3577.0)</f>
        <v>3577</v>
      </c>
      <c r="P495" s="189">
        <f>IFERROR(__xludf.DUMMYFUNCTION("""COMPUTED_VALUE"""),3685.0)</f>
        <v>3685</v>
      </c>
      <c r="Q495" s="189">
        <f>IFERROR(__xludf.DUMMYFUNCTION("""COMPUTED_VALUE"""),3787.0)</f>
        <v>3787</v>
      </c>
      <c r="R495" s="186"/>
      <c r="S495" s="189">
        <f>IFERROR(__xludf.DUMMYFUNCTION("""COMPUTED_VALUE"""),3490.0)</f>
        <v>3490</v>
      </c>
    </row>
    <row r="496">
      <c r="A496" s="186" t="str">
        <f>IFERROR(__xludf.DUMMYFUNCTION("""COMPUTED_VALUE"""),"NORDICS")</f>
        <v>NORDICS</v>
      </c>
      <c r="B496" s="186" t="str">
        <f>IFERROR(__xludf.DUMMYFUNCTION("""COMPUTED_VALUE"""),"W06")</f>
        <v>W06</v>
      </c>
      <c r="C496" s="186">
        <f>IFERROR(__xludf.DUMMYFUNCTION("""COMPUTED_VALUE"""),314.0)</f>
        <v>314</v>
      </c>
      <c r="D496" s="186" t="str">
        <f>IFERROR(__xludf.DUMMYFUNCTION("""COMPUTED_VALUE"""),"CON-00-155188-2")</f>
        <v>CON-00-155188-2</v>
      </c>
      <c r="E496" s="186" t="str">
        <f>IFERROR(__xludf.DUMMYFUNCTION("""COMPUTED_VALUE"""),"Sun-Dried Tomato Beef Ragu &amp; Pasta")</f>
        <v>Sun-Dried Tomato Beef Ragu &amp; Pasta</v>
      </c>
      <c r="F496" s="186" t="str">
        <f>IFERROR(__xludf.DUMMYFUNCTION("""COMPUTED_VALUE"""),"Pasta med oksekødsragù og soltørrede tomater")</f>
        <v>Pasta med oksekødsragù og soltørrede tomater</v>
      </c>
      <c r="G496" s="186" t="str">
        <f>IFERROR(__xludf.DUMMYFUNCTION("""COMPUTED_VALUE"""),"FE4075A")</f>
        <v>FE4075A</v>
      </c>
      <c r="H496" s="186">
        <f>IFERROR(__xludf.DUMMYFUNCTION("""COMPUTED_VALUE"""),565252.0)</f>
        <v>565252</v>
      </c>
      <c r="I496" s="186" t="str">
        <f>IFERROR(__xludf.DUMMYFUNCTION("""COMPUTED_VALUE"""),"HF Tomato Beef Ragu &amp; Pasta")</f>
        <v>HF Tomato Beef Ragu &amp; Pasta</v>
      </c>
      <c r="J496" s="189">
        <f>IFERROR(__xludf.DUMMYFUNCTION("""COMPUTED_VALUE"""),1324.0)</f>
        <v>1324</v>
      </c>
      <c r="K496" s="189">
        <f>IFERROR(__xludf.DUMMYFUNCTION("""COMPUTED_VALUE"""),1397.0)</f>
        <v>1397</v>
      </c>
      <c r="L496" s="189">
        <f>IFERROR(__xludf.DUMMYFUNCTION("""COMPUTED_VALUE"""),2012.0)</f>
        <v>2012</v>
      </c>
      <c r="M496" s="189">
        <f>IFERROR(__xludf.DUMMYFUNCTION("""COMPUTED_VALUE"""),1788.0)</f>
        <v>1788</v>
      </c>
      <c r="N496" s="189">
        <f>IFERROR(__xludf.DUMMYFUNCTION("""COMPUTED_VALUE"""),1470.0)</f>
        <v>1470</v>
      </c>
      <c r="O496" s="189">
        <f>IFERROR(__xludf.DUMMYFUNCTION("""COMPUTED_VALUE"""),1442.0)</f>
        <v>1442</v>
      </c>
      <c r="P496" s="189">
        <f>IFERROR(__xludf.DUMMYFUNCTION("""COMPUTED_VALUE"""),1471.0)</f>
        <v>1471</v>
      </c>
      <c r="Q496" s="189">
        <f>IFERROR(__xludf.DUMMYFUNCTION("""COMPUTED_VALUE"""),1478.0)</f>
        <v>1478</v>
      </c>
      <c r="R496" s="186"/>
      <c r="S496" s="189">
        <f>IFERROR(__xludf.DUMMYFUNCTION("""COMPUTED_VALUE"""),1364.0)</f>
        <v>1364</v>
      </c>
    </row>
    <row r="497">
      <c r="A497" s="186" t="str">
        <f>IFERROR(__xludf.DUMMYFUNCTION("""COMPUTED_VALUE"""),"NORDICS")</f>
        <v>NORDICS</v>
      </c>
      <c r="B497" s="186" t="str">
        <f>IFERROR(__xludf.DUMMYFUNCTION("""COMPUTED_VALUE"""),"W06")</f>
        <v>W06</v>
      </c>
      <c r="C497" s="186">
        <f>IFERROR(__xludf.DUMMYFUNCTION("""COMPUTED_VALUE"""),315.0)</f>
        <v>315</v>
      </c>
      <c r="D497" s="186" t="str">
        <f>IFERROR(__xludf.DUMMYFUNCTION("""COMPUTED_VALUE"""),"CON-00-147857-2")</f>
        <v>CON-00-147857-2</v>
      </c>
      <c r="E497" s="186" t="str">
        <f>IFERROR(__xludf.DUMMYFUNCTION("""COMPUTED_VALUE"""),"Spicy ground beef with jalapenos")</f>
        <v>Spicy ground beef with jalapenos</v>
      </c>
      <c r="F497" s="186" t="str">
        <f>IFERROR(__xludf.DUMMYFUNCTION("""COMPUTED_VALUE"""),"Krydret hakket oksekød med jalapenos")</f>
        <v>Krydret hakket oksekød med jalapenos</v>
      </c>
      <c r="G497" s="186" t="str">
        <f>IFERROR(__xludf.DUMMYFUNCTION("""COMPUTED_VALUE"""),"FE0746A")</f>
        <v>FE0746A</v>
      </c>
      <c r="H497" s="186">
        <f>IFERROR(__xludf.DUMMYFUNCTION("""COMPUTED_VALUE"""),565091.0)</f>
        <v>565091</v>
      </c>
      <c r="I497" s="186" t="str">
        <f>IFERROR(__xludf.DUMMYFUNCTION("""COMPUTED_VALUE"""),"HF Beef burrito bowl")</f>
        <v>HF Beef burrito bowl</v>
      </c>
      <c r="J497" s="189">
        <f>IFERROR(__xludf.DUMMYFUNCTION("""COMPUTED_VALUE"""),976.0)</f>
        <v>976</v>
      </c>
      <c r="K497" s="189">
        <f>IFERROR(__xludf.DUMMYFUNCTION("""COMPUTED_VALUE"""),1092.0)</f>
        <v>1092</v>
      </c>
      <c r="L497" s="189">
        <f>IFERROR(__xludf.DUMMYFUNCTION("""COMPUTED_VALUE"""),993.0)</f>
        <v>993</v>
      </c>
      <c r="M497" s="189">
        <f>IFERROR(__xludf.DUMMYFUNCTION("""COMPUTED_VALUE"""),991.0)</f>
        <v>991</v>
      </c>
      <c r="N497" s="189">
        <f>IFERROR(__xludf.DUMMYFUNCTION("""COMPUTED_VALUE"""),948.0)</f>
        <v>948</v>
      </c>
      <c r="O497" s="189">
        <f>IFERROR(__xludf.DUMMYFUNCTION("""COMPUTED_VALUE"""),949.0)</f>
        <v>949</v>
      </c>
      <c r="P497" s="189">
        <f>IFERROR(__xludf.DUMMYFUNCTION("""COMPUTED_VALUE"""),963.0)</f>
        <v>963</v>
      </c>
      <c r="Q497" s="189">
        <f>IFERROR(__xludf.DUMMYFUNCTION("""COMPUTED_VALUE"""),1002.0)</f>
        <v>1002</v>
      </c>
      <c r="R497" s="186"/>
      <c r="S497" s="189">
        <f>IFERROR(__xludf.DUMMYFUNCTION("""COMPUTED_VALUE"""),871.0)</f>
        <v>871</v>
      </c>
    </row>
    <row r="498">
      <c r="A498" s="186" t="str">
        <f>IFERROR(__xludf.DUMMYFUNCTION("""COMPUTED_VALUE"""),"NORDICS")</f>
        <v>NORDICS</v>
      </c>
      <c r="B498" s="186" t="str">
        <f>IFERROR(__xludf.DUMMYFUNCTION("""COMPUTED_VALUE"""),"W06")</f>
        <v>W06</v>
      </c>
      <c r="C498" s="186">
        <f>IFERROR(__xludf.DUMMYFUNCTION("""COMPUTED_VALUE"""),316.0)</f>
        <v>316</v>
      </c>
      <c r="D498" s="186" t="str">
        <f>IFERROR(__xludf.DUMMYFUNCTION("""COMPUTED_VALUE"""),"CON-00-155187-2")</f>
        <v>CON-00-155187-2</v>
      </c>
      <c r="E498" s="186" t="str">
        <f>IFERROR(__xludf.DUMMYFUNCTION("""COMPUTED_VALUE"""),"Fiery Kung Pao Peanut Chicken")</f>
        <v>Fiery Kung Pao Peanut Chicken</v>
      </c>
      <c r="F498" s="186" t="str">
        <f>IFERROR(__xludf.DUMMYFUNCTION("""COMPUTED_VALUE"""),"Kung pao-kylling med peanuts")</f>
        <v>Kung pao-kylling med peanuts</v>
      </c>
      <c r="G498" s="186" t="str">
        <f>IFERROR(__xludf.DUMMYFUNCTION("""COMPUTED_VALUE"""),"FE1712A")</f>
        <v>FE1712A</v>
      </c>
      <c r="H498" s="186">
        <f>IFERROR(__xludf.DUMMYFUNCTION("""COMPUTED_VALUE"""),565250.0)</f>
        <v>565250</v>
      </c>
      <c r="I498" s="186" t="str">
        <f>IFERROR(__xludf.DUMMYFUNCTION("""COMPUTED_VALUE"""),"HF Kung pao peanut chicken")</f>
        <v>HF Kung pao peanut chicken</v>
      </c>
      <c r="J498" s="189">
        <f>IFERROR(__xludf.DUMMYFUNCTION("""COMPUTED_VALUE"""),490.0)</f>
        <v>490</v>
      </c>
      <c r="K498" s="189">
        <f>IFERROR(__xludf.DUMMYFUNCTION("""COMPUTED_VALUE"""),693.0)</f>
        <v>693</v>
      </c>
      <c r="L498" s="189">
        <f>IFERROR(__xludf.DUMMYFUNCTION("""COMPUTED_VALUE"""),1859.0)</f>
        <v>1859</v>
      </c>
      <c r="M498" s="189">
        <f>IFERROR(__xludf.DUMMYFUNCTION("""COMPUTED_VALUE"""),1344.0)</f>
        <v>1344</v>
      </c>
      <c r="N498" s="189">
        <f>IFERROR(__xludf.DUMMYFUNCTION("""COMPUTED_VALUE"""),1237.0)</f>
        <v>1237</v>
      </c>
      <c r="O498" s="189">
        <f>IFERROR(__xludf.DUMMYFUNCTION("""COMPUTED_VALUE"""),1319.0)</f>
        <v>1319</v>
      </c>
      <c r="P498" s="189">
        <f>IFERROR(__xludf.DUMMYFUNCTION("""COMPUTED_VALUE"""),1393.0)</f>
        <v>1393</v>
      </c>
      <c r="Q498" s="189">
        <f>IFERROR(__xludf.DUMMYFUNCTION("""COMPUTED_VALUE"""),1441.0)</f>
        <v>1441</v>
      </c>
      <c r="R498" s="186"/>
      <c r="S498" s="189">
        <f>IFERROR(__xludf.DUMMYFUNCTION("""COMPUTED_VALUE"""),1327.0)</f>
        <v>1327</v>
      </c>
    </row>
    <row r="499">
      <c r="A499" s="186" t="str">
        <f>IFERROR(__xludf.DUMMYFUNCTION("""COMPUTED_VALUE"""),"NORDICS")</f>
        <v>NORDICS</v>
      </c>
      <c r="B499" s="186" t="str">
        <f>IFERROR(__xludf.DUMMYFUNCTION("""COMPUTED_VALUE"""),"W06")</f>
        <v>W06</v>
      </c>
      <c r="C499" s="186">
        <f>IFERROR(__xludf.DUMMYFUNCTION("""COMPUTED_VALUE"""),317.0)</f>
        <v>317</v>
      </c>
      <c r="D499" s="186" t="str">
        <f>IFERROR(__xludf.DUMMYFUNCTION("""COMPUTED_VALUE"""),"CON-00-147907-2")</f>
        <v>CON-00-147907-2</v>
      </c>
      <c r="E499" s="186" t="str">
        <f>IFERROR(__xludf.DUMMYFUNCTION("""COMPUTED_VALUE"""),"Artichoke &amp; Spinach Pork tenderloin")</f>
        <v>Artichoke &amp; Spinach Pork tenderloin</v>
      </c>
      <c r="F499" s="186" t="str">
        <f>IFERROR(__xludf.DUMMYFUNCTION("""COMPUTED_VALUE"""),"Svinemørbrad med artiskok og spinat ")</f>
        <v>Svinemørbrad med artiskok og spinat </v>
      </c>
      <c r="G499" s="186" t="str">
        <f>IFERROR(__xludf.DUMMYFUNCTION("""COMPUTED_VALUE"""),"FE4060A")</f>
        <v>FE4060A</v>
      </c>
      <c r="H499" s="186">
        <f>IFERROR(__xludf.DUMMYFUNCTION("""COMPUTED_VALUE"""),565134.0)</f>
        <v>565134</v>
      </c>
      <c r="I499" s="186"/>
      <c r="J499" s="189">
        <f>IFERROR(__xludf.DUMMYFUNCTION("""COMPUTED_VALUE"""),1082.0)</f>
        <v>1082</v>
      </c>
      <c r="K499" s="189">
        <f>IFERROR(__xludf.DUMMYFUNCTION("""COMPUTED_VALUE"""),953.0)</f>
        <v>953</v>
      </c>
      <c r="L499" s="189">
        <f>IFERROR(__xludf.DUMMYFUNCTION("""COMPUTED_VALUE"""),1024.0)</f>
        <v>1024</v>
      </c>
      <c r="M499" s="189">
        <f>IFERROR(__xludf.DUMMYFUNCTION("""COMPUTED_VALUE"""),1446.0)</f>
        <v>1446</v>
      </c>
      <c r="N499" s="189">
        <f>IFERROR(__xludf.DUMMYFUNCTION("""COMPUTED_VALUE"""),1359.0)</f>
        <v>1359</v>
      </c>
      <c r="O499" s="189">
        <f>IFERROR(__xludf.DUMMYFUNCTION("""COMPUTED_VALUE"""),1398.0)</f>
        <v>1398</v>
      </c>
      <c r="P499" s="189">
        <f>IFERROR(__xludf.DUMMYFUNCTION("""COMPUTED_VALUE"""),1378.0)</f>
        <v>1378</v>
      </c>
      <c r="Q499" s="189">
        <f>IFERROR(__xludf.DUMMYFUNCTION("""COMPUTED_VALUE"""),1395.0)</f>
        <v>1395</v>
      </c>
      <c r="R499" s="186"/>
      <c r="S499" s="189">
        <f>IFERROR(__xludf.DUMMYFUNCTION("""COMPUTED_VALUE"""),1298.0)</f>
        <v>1298</v>
      </c>
    </row>
    <row r="500">
      <c r="A500" s="186" t="str">
        <f>IFERROR(__xludf.DUMMYFUNCTION("""COMPUTED_VALUE"""),"NORDICS")</f>
        <v>NORDICS</v>
      </c>
      <c r="B500" s="186" t="str">
        <f>IFERROR(__xludf.DUMMYFUNCTION("""COMPUTED_VALUE"""),"W06")</f>
        <v>W06</v>
      </c>
      <c r="C500" s="186">
        <f>IFERROR(__xludf.DUMMYFUNCTION("""COMPUTED_VALUE"""),318.0)</f>
        <v>318</v>
      </c>
      <c r="D500" s="186" t="str">
        <f>IFERROR(__xludf.DUMMYFUNCTION("""COMPUTED_VALUE"""),"CON-00-147848-2")</f>
        <v>CON-00-147848-2</v>
      </c>
      <c r="E500" s="186" t="str">
        <f>IFERROR(__xludf.DUMMYFUNCTION("""COMPUTED_VALUE"""),"Pork tenderloin in red pepper sauce")</f>
        <v>Pork tenderloin in red pepper sauce</v>
      </c>
      <c r="F500" s="186" t="str">
        <f>IFERROR(__xludf.DUMMYFUNCTION("""COMPUTED_VALUE"""),"Svinemørbrad i rød peberfrugtsauce")</f>
        <v>Svinemørbrad i rød peberfrugtsauce</v>
      </c>
      <c r="G500" s="186" t="str">
        <f>IFERROR(__xludf.DUMMYFUNCTION("""COMPUTED_VALUE"""),"FE0430E")</f>
        <v>FE0430E</v>
      </c>
      <c r="H500" s="186">
        <f>IFERROR(__xludf.DUMMYFUNCTION("""COMPUTED_VALUE"""),565140.0)</f>
        <v>565140</v>
      </c>
      <c r="I500" s="186"/>
      <c r="J500" s="189">
        <f>IFERROR(__xludf.DUMMYFUNCTION("""COMPUTED_VALUE"""),519.0)</f>
        <v>519</v>
      </c>
      <c r="K500" s="189">
        <f>IFERROR(__xludf.DUMMYFUNCTION("""COMPUTED_VALUE"""),660.0)</f>
        <v>660</v>
      </c>
      <c r="L500" s="189">
        <f>IFERROR(__xludf.DUMMYFUNCTION("""COMPUTED_VALUE"""),555.0)</f>
        <v>555</v>
      </c>
      <c r="M500" s="189">
        <f>IFERROR(__xludf.DUMMYFUNCTION("""COMPUTED_VALUE"""),801.0)</f>
        <v>801</v>
      </c>
      <c r="N500" s="189">
        <f>IFERROR(__xludf.DUMMYFUNCTION("""COMPUTED_VALUE"""),822.0)</f>
        <v>822</v>
      </c>
      <c r="O500" s="189">
        <f>IFERROR(__xludf.DUMMYFUNCTION("""COMPUTED_VALUE"""),853.0)</f>
        <v>853</v>
      </c>
      <c r="P500" s="189">
        <f>IFERROR(__xludf.DUMMYFUNCTION("""COMPUTED_VALUE"""),918.0)</f>
        <v>918</v>
      </c>
      <c r="Q500" s="189">
        <f>IFERROR(__xludf.DUMMYFUNCTION("""COMPUTED_VALUE"""),949.0)</f>
        <v>949</v>
      </c>
      <c r="R500" s="186"/>
      <c r="S500" s="189">
        <f>IFERROR(__xludf.DUMMYFUNCTION("""COMPUTED_VALUE"""),907.0)</f>
        <v>907</v>
      </c>
    </row>
    <row r="501">
      <c r="A501" s="186" t="str">
        <f>IFERROR(__xludf.DUMMYFUNCTION("""COMPUTED_VALUE"""),"NORDICS")</f>
        <v>NORDICS</v>
      </c>
      <c r="B501" s="186" t="str">
        <f>IFERROR(__xludf.DUMMYFUNCTION("""COMPUTED_VALUE"""),"W06")</f>
        <v>W06</v>
      </c>
      <c r="C501" s="186">
        <f>IFERROR(__xludf.DUMMYFUNCTION("""COMPUTED_VALUE"""),806.0)</f>
        <v>806</v>
      </c>
      <c r="D501" s="186" t="str">
        <f>IFERROR(__xludf.DUMMYFUNCTION("""COMPUTED_VALUE"""),"PTN-00-148223-2")</f>
        <v>PTN-00-148223-2</v>
      </c>
      <c r="E501" s="186" t="str">
        <f>IFERROR(__xludf.DUMMYFUNCTION("""COMPUTED_VALUE"""),"Garlic Herb Grilled Chicken")</f>
        <v>Garlic Herb Grilled Chicken</v>
      </c>
      <c r="F501" s="186" t="str">
        <f>IFERROR(__xludf.DUMMYFUNCTION("""COMPUTED_VALUE"""),"Grillet kylling med hvidlød og urter")</f>
        <v>Grillet kylling med hvidlød og urter</v>
      </c>
      <c r="G501" s="186" t="str">
        <f>IFERROR(__xludf.DUMMYFUNCTION("""COMPUTED_VALUE"""),"FEA006A")</f>
        <v>FEA006A</v>
      </c>
      <c r="H501" s="186">
        <f>IFERROR(__xludf.DUMMYFUNCTION("""COMPUTED_VALUE"""),565119.0)</f>
        <v>565119</v>
      </c>
      <c r="I501" s="186"/>
      <c r="J501" s="189">
        <f>IFERROR(__xludf.DUMMYFUNCTION("""COMPUTED_VALUE"""),48.0)</f>
        <v>48</v>
      </c>
      <c r="K501" s="189">
        <f>IFERROR(__xludf.DUMMYFUNCTION("""COMPUTED_VALUE"""),48.0)</f>
        <v>48</v>
      </c>
      <c r="L501" s="189">
        <f>IFERROR(__xludf.DUMMYFUNCTION("""COMPUTED_VALUE"""),48.0)</f>
        <v>48</v>
      </c>
      <c r="M501" s="189">
        <f>IFERROR(__xludf.DUMMYFUNCTION("""COMPUTED_VALUE"""),48.0)</f>
        <v>48</v>
      </c>
      <c r="N501" s="189">
        <f>IFERROR(__xludf.DUMMYFUNCTION("""COMPUTED_VALUE"""),56.0)</f>
        <v>56</v>
      </c>
      <c r="O501" s="189">
        <f>IFERROR(__xludf.DUMMYFUNCTION("""COMPUTED_VALUE"""),56.0)</f>
        <v>56</v>
      </c>
      <c r="P501" s="189">
        <f>IFERROR(__xludf.DUMMYFUNCTION("""COMPUTED_VALUE"""),56.0)</f>
        <v>56</v>
      </c>
      <c r="Q501" s="189">
        <f>IFERROR(__xludf.DUMMYFUNCTION("""COMPUTED_VALUE"""),56.0)</f>
        <v>56</v>
      </c>
      <c r="R501" s="186"/>
      <c r="S501" s="189">
        <f>IFERROR(__xludf.DUMMYFUNCTION("""COMPUTED_VALUE"""),78.0)</f>
        <v>78</v>
      </c>
    </row>
    <row r="502">
      <c r="A502" s="186" t="str">
        <f>IFERROR(__xludf.DUMMYFUNCTION("""COMPUTED_VALUE"""),"NORDICS")</f>
        <v>NORDICS</v>
      </c>
      <c r="B502" s="186" t="str">
        <f>IFERROR(__xludf.DUMMYFUNCTION("""COMPUTED_VALUE"""),"W06")</f>
        <v>W06</v>
      </c>
      <c r="C502" s="186"/>
      <c r="D502" s="186"/>
      <c r="E502" s="186"/>
      <c r="F502" s="186"/>
      <c r="G502" s="186"/>
      <c r="H502" s="186"/>
      <c r="I502" s="186"/>
      <c r="J502" s="189">
        <f>IFERROR(__xludf.DUMMYFUNCTION("""COMPUTED_VALUE"""),29717.0)</f>
        <v>29717</v>
      </c>
      <c r="K502" s="189">
        <f>IFERROR(__xludf.DUMMYFUNCTION("""COMPUTED_VALUE"""),35834.0)</f>
        <v>35834</v>
      </c>
      <c r="L502" s="189">
        <f>IFERROR(__xludf.DUMMYFUNCTION("""COMPUTED_VALUE"""),39061.0)</f>
        <v>39061</v>
      </c>
      <c r="M502" s="189">
        <f>IFERROR(__xludf.DUMMYFUNCTION("""COMPUTED_VALUE"""),38591.0)</f>
        <v>38591</v>
      </c>
      <c r="N502" s="189">
        <f>IFERROR(__xludf.DUMMYFUNCTION("""COMPUTED_VALUE"""),35951.0)</f>
        <v>35951</v>
      </c>
      <c r="O502" s="189">
        <f>IFERROR(__xludf.DUMMYFUNCTION("""COMPUTED_VALUE"""),36581.0)</f>
        <v>36581</v>
      </c>
      <c r="P502" s="189">
        <f>IFERROR(__xludf.DUMMYFUNCTION("""COMPUTED_VALUE"""),37224.0)</f>
        <v>37224</v>
      </c>
      <c r="Q502" s="189">
        <f>IFERROR(__xludf.DUMMYFUNCTION("""COMPUTED_VALUE"""),37872.0)</f>
        <v>37872</v>
      </c>
      <c r="R502" s="189">
        <f>IFERROR(__xludf.DUMMYFUNCTION("""COMPUTED_VALUE"""),0.0)</f>
        <v>0</v>
      </c>
      <c r="S502" s="189">
        <f>IFERROR(__xludf.DUMMYFUNCTION("""COMPUTED_VALUE"""),34464.0)</f>
        <v>34464</v>
      </c>
    </row>
    <row r="503">
      <c r="A503" s="186" t="str">
        <f>IFERROR(__xludf.DUMMYFUNCTION("""COMPUTED_VALUE"""),"DE")</f>
        <v>DE</v>
      </c>
      <c r="B503" s="186" t="str">
        <f>IFERROR(__xludf.DUMMYFUNCTION("""COMPUTED_VALUE"""),"W06")</f>
        <v>W06</v>
      </c>
      <c r="C503" s="186">
        <f>IFERROR(__xludf.DUMMYFUNCTION("""COMPUTED_VALUE"""),301.0)</f>
        <v>301</v>
      </c>
      <c r="D503" s="186" t="str">
        <f>IFERROR(__xludf.DUMMYFUNCTION("""COMPUTED_VALUE"""),"CON-00-136649-3")</f>
        <v>CON-00-136649-3</v>
      </c>
      <c r="E503" s="186" t="str">
        <f>IFERROR(__xludf.DUMMYFUNCTION("""COMPUTED_VALUE"""),"Grilled chicken fillet and potato leek mash")</f>
        <v>Grilled chicken fillet and potato leek mash</v>
      </c>
      <c r="F503" s="186" t="str">
        <f>IFERROR(__xludf.DUMMYFUNCTION("""COMPUTED_VALUE"""),"Gegrilltes Hähnchenfilet mit Kartoffel-Lauch-Püree")</f>
        <v>Gegrilltes Hähnchenfilet mit Kartoffel-Lauch-Püree</v>
      </c>
      <c r="G503" s="186" t="str">
        <f>IFERROR(__xludf.DUMMYFUNCTION("""COMPUTED_VALUE"""),"FE0426B")</f>
        <v>FE0426B</v>
      </c>
      <c r="H503" s="186">
        <f>IFERROR(__xludf.DUMMYFUNCTION("""COMPUTED_VALUE"""),565035.0)</f>
        <v>565035</v>
      </c>
      <c r="I503" s="186" t="str">
        <f>IFERROR(__xludf.DUMMYFUNCTION("""COMPUTED_VALUE"""),"HF Puree van aardappel en prei met gegrilde kip 416g")</f>
        <v>HF Puree van aardappel en prei met gegrilde kip 416g</v>
      </c>
      <c r="J503" s="189">
        <f>IFERROR(__xludf.DUMMYFUNCTION("""COMPUTED_VALUE"""),2488.0)</f>
        <v>2488</v>
      </c>
      <c r="K503" s="189">
        <f>IFERROR(__xludf.DUMMYFUNCTION("""COMPUTED_VALUE"""),2979.0)</f>
        <v>2979</v>
      </c>
      <c r="L503" s="189">
        <f>IFERROR(__xludf.DUMMYFUNCTION("""COMPUTED_VALUE"""),2918.0)</f>
        <v>2918</v>
      </c>
      <c r="M503" s="189">
        <f>IFERROR(__xludf.DUMMYFUNCTION("""COMPUTED_VALUE"""),3216.0)</f>
        <v>3216</v>
      </c>
      <c r="N503" s="189">
        <f>IFERROR(__xludf.DUMMYFUNCTION("""COMPUTED_VALUE"""),3168.0)</f>
        <v>3168</v>
      </c>
      <c r="O503" s="189">
        <f>IFERROR(__xludf.DUMMYFUNCTION("""COMPUTED_VALUE"""),3222.0)</f>
        <v>3222</v>
      </c>
      <c r="P503" s="189">
        <f>IFERROR(__xludf.DUMMYFUNCTION("""COMPUTED_VALUE"""),3281.0)</f>
        <v>3281</v>
      </c>
      <c r="Q503" s="189">
        <f>IFERROR(__xludf.DUMMYFUNCTION("""COMPUTED_VALUE"""),3215.0)</f>
        <v>3215</v>
      </c>
      <c r="R503" s="186"/>
      <c r="S503" s="189">
        <f>IFERROR(__xludf.DUMMYFUNCTION("""COMPUTED_VALUE"""),3322.0)</f>
        <v>3322</v>
      </c>
    </row>
    <row r="504">
      <c r="A504" s="186" t="str">
        <f>IFERROR(__xludf.DUMMYFUNCTION("""COMPUTED_VALUE"""),"DE")</f>
        <v>DE</v>
      </c>
      <c r="B504" s="186" t="str">
        <f>IFERROR(__xludf.DUMMYFUNCTION("""COMPUTED_VALUE"""),"W06")</f>
        <v>W06</v>
      </c>
      <c r="C504" s="186">
        <f>IFERROR(__xludf.DUMMYFUNCTION("""COMPUTED_VALUE"""),302.0)</f>
        <v>302</v>
      </c>
      <c r="D504" s="186"/>
      <c r="E504" s="186"/>
      <c r="F504" s="186"/>
      <c r="G504" s="186" t="str">
        <f>IFERROR(__xludf.DUMMYFUNCTION("""COMPUTED_VALUE"""),"FE4001C")</f>
        <v>FE4001C</v>
      </c>
      <c r="H504" s="186"/>
      <c r="I504" s="186"/>
      <c r="J504" s="189">
        <f>IFERROR(__xludf.DUMMYFUNCTION("""COMPUTED_VALUE"""),1658.0)</f>
        <v>1658</v>
      </c>
      <c r="K504" s="189">
        <f>IFERROR(__xludf.DUMMYFUNCTION("""COMPUTED_VALUE"""),2031.0)</f>
        <v>2031</v>
      </c>
      <c r="L504" s="189">
        <f>IFERROR(__xludf.DUMMYFUNCTION("""COMPUTED_VALUE"""),2079.0)</f>
        <v>2079</v>
      </c>
      <c r="M504" s="189">
        <f>IFERROR(__xludf.DUMMYFUNCTION("""COMPUTED_VALUE"""),2063.0)</f>
        <v>2063</v>
      </c>
      <c r="N504" s="189">
        <f>IFERROR(__xludf.DUMMYFUNCTION("""COMPUTED_VALUE"""),1974.0)</f>
        <v>1974</v>
      </c>
      <c r="O504" s="189">
        <f>IFERROR(__xludf.DUMMYFUNCTION("""COMPUTED_VALUE"""),1936.0)</f>
        <v>1936</v>
      </c>
      <c r="P504" s="189">
        <f>IFERROR(__xludf.DUMMYFUNCTION("""COMPUTED_VALUE"""),2013.0)</f>
        <v>2013</v>
      </c>
      <c r="Q504" s="189">
        <f>IFERROR(__xludf.DUMMYFUNCTION("""COMPUTED_VALUE"""),1980.0)</f>
        <v>1980</v>
      </c>
      <c r="R504" s="186"/>
      <c r="S504" s="189">
        <f>IFERROR(__xludf.DUMMYFUNCTION("""COMPUTED_VALUE"""),2041.0)</f>
        <v>2041</v>
      </c>
    </row>
    <row r="505">
      <c r="A505" s="186" t="str">
        <f>IFERROR(__xludf.DUMMYFUNCTION("""COMPUTED_VALUE"""),"DE")</f>
        <v>DE</v>
      </c>
      <c r="B505" s="186" t="str">
        <f>IFERROR(__xludf.DUMMYFUNCTION("""COMPUTED_VALUE"""),"W06")</f>
        <v>W06</v>
      </c>
      <c r="C505" s="186">
        <f>IFERROR(__xludf.DUMMYFUNCTION("""COMPUTED_VALUE"""),303.0)</f>
        <v>303</v>
      </c>
      <c r="D505" s="186" t="str">
        <f>IFERROR(__xludf.DUMMYFUNCTION("""COMPUTED_VALUE"""),"CON-00-136671-3")</f>
        <v>CON-00-136671-3</v>
      </c>
      <c r="E505" s="186" t="str">
        <f>IFERROR(__xludf.DUMMYFUNCTION("""COMPUTED_VALUE"""),"Cabbage in cheese sauce with minced beef")</f>
        <v>Cabbage in cheese sauce with minced beef</v>
      </c>
      <c r="F505" s="186" t="str">
        <f>IFERROR(__xludf.DUMMYFUNCTION("""COMPUTED_VALUE"""),"Wirsing in Käsesauce mit Hackfleisch")</f>
        <v>Wirsing in Käsesauce mit Hackfleisch</v>
      </c>
      <c r="G505" s="186" t="str">
        <f>IFERROR(__xludf.DUMMYFUNCTION("""COMPUTED_VALUE"""),"FE0713B")</f>
        <v>FE0713B</v>
      </c>
      <c r="H505" s="186">
        <f>IFERROR(__xludf.DUMMYFUNCTION("""COMPUTED_VALUE"""),565240.0)</f>
        <v>565240</v>
      </c>
      <c r="I505" s="186" t="str">
        <f>IFERROR(__xludf.DUMMYFUNCTION("""COMPUTED_VALUE"""),"HF RW Kool in kaassaus")</f>
        <v>HF RW Kool in kaassaus</v>
      </c>
      <c r="J505" s="189">
        <f>IFERROR(__xludf.DUMMYFUNCTION("""COMPUTED_VALUE"""),1673.0)</f>
        <v>1673</v>
      </c>
      <c r="K505" s="189">
        <f>IFERROR(__xludf.DUMMYFUNCTION("""COMPUTED_VALUE"""),2271.0)</f>
        <v>2271</v>
      </c>
      <c r="L505" s="189">
        <f>IFERROR(__xludf.DUMMYFUNCTION("""COMPUTED_VALUE"""),1933.0)</f>
        <v>1933</v>
      </c>
      <c r="M505" s="189">
        <f>IFERROR(__xludf.DUMMYFUNCTION("""COMPUTED_VALUE"""),2164.0)</f>
        <v>2164</v>
      </c>
      <c r="N505" s="189">
        <f>IFERROR(__xludf.DUMMYFUNCTION("""COMPUTED_VALUE"""),2155.0)</f>
        <v>2155</v>
      </c>
      <c r="O505" s="189">
        <f>IFERROR(__xludf.DUMMYFUNCTION("""COMPUTED_VALUE"""),2142.0)</f>
        <v>2142</v>
      </c>
      <c r="P505" s="189">
        <f>IFERROR(__xludf.DUMMYFUNCTION("""COMPUTED_VALUE"""),2204.0)</f>
        <v>2204</v>
      </c>
      <c r="Q505" s="189">
        <f>IFERROR(__xludf.DUMMYFUNCTION("""COMPUTED_VALUE"""),2176.0)</f>
        <v>2176</v>
      </c>
      <c r="R505" s="186"/>
      <c r="S505" s="189">
        <f>IFERROR(__xludf.DUMMYFUNCTION("""COMPUTED_VALUE"""),2144.0)</f>
        <v>2144</v>
      </c>
    </row>
    <row r="506">
      <c r="A506" s="186" t="str">
        <f>IFERROR(__xludf.DUMMYFUNCTION("""COMPUTED_VALUE"""),"DE")</f>
        <v>DE</v>
      </c>
      <c r="B506" s="186" t="str">
        <f>IFERROR(__xludf.DUMMYFUNCTION("""COMPUTED_VALUE"""),"W06")</f>
        <v>W06</v>
      </c>
      <c r="C506" s="186">
        <f>IFERROR(__xludf.DUMMYFUNCTION("""COMPUTED_VALUE"""),304.0)</f>
        <v>304</v>
      </c>
      <c r="D506" s="186" t="str">
        <f>IFERROR(__xludf.DUMMYFUNCTION("""COMPUTED_VALUE"""),"CON-00-151097-2")</f>
        <v>CON-00-151097-2</v>
      </c>
      <c r="E506" s="186" t="str">
        <f>IFERROR(__xludf.DUMMYFUNCTION("""COMPUTED_VALUE"""),"Roasted Salmon &amp; Dill Yogurt")</f>
        <v>Roasted Salmon &amp; Dill Yogurt</v>
      </c>
      <c r="F506" s="186" t="str">
        <f>IFERROR(__xludf.DUMMYFUNCTION("""COMPUTED_VALUE"""),"Ofengerösteter Lachs &amp; Dill-Joghurt")</f>
        <v>Ofengerösteter Lachs &amp; Dill-Joghurt</v>
      </c>
      <c r="G506" s="186" t="str">
        <f>IFERROR(__xludf.DUMMYFUNCTION("""COMPUTED_VALUE"""),"FE1145B")</f>
        <v>FE1145B</v>
      </c>
      <c r="H506" s="186">
        <f>IFERROR(__xludf.DUMMYFUNCTION("""COMPUTED_VALUE"""),565206.0)</f>
        <v>565206</v>
      </c>
      <c r="I506" s="186" t="str">
        <f>IFERROR(__xludf.DUMMYFUNCTION("""COMPUTED_VALUE"""),"HF Zalm citroen dille yoghurt")</f>
        <v>HF Zalm citroen dille yoghurt</v>
      </c>
      <c r="J506" s="189">
        <f>IFERROR(__xludf.DUMMYFUNCTION("""COMPUTED_VALUE"""),2147.0)</f>
        <v>2147</v>
      </c>
      <c r="K506" s="189">
        <f>IFERROR(__xludf.DUMMYFUNCTION("""COMPUTED_VALUE"""),2469.0)</f>
        <v>2469</v>
      </c>
      <c r="L506" s="189">
        <f>IFERROR(__xludf.DUMMYFUNCTION("""COMPUTED_VALUE"""),2412.0)</f>
        <v>2412</v>
      </c>
      <c r="M506" s="189">
        <f>IFERROR(__xludf.DUMMYFUNCTION("""COMPUTED_VALUE"""),2395.0)</f>
        <v>2395</v>
      </c>
      <c r="N506" s="189">
        <f>IFERROR(__xludf.DUMMYFUNCTION("""COMPUTED_VALUE"""),2387.0)</f>
        <v>2387</v>
      </c>
      <c r="O506" s="189">
        <f>IFERROR(__xludf.DUMMYFUNCTION("""COMPUTED_VALUE"""),2476.0)</f>
        <v>2476</v>
      </c>
      <c r="P506" s="189">
        <f>IFERROR(__xludf.DUMMYFUNCTION("""COMPUTED_VALUE"""),2533.0)</f>
        <v>2533</v>
      </c>
      <c r="Q506" s="189">
        <f>IFERROR(__xludf.DUMMYFUNCTION("""COMPUTED_VALUE"""),2476.0)</f>
        <v>2476</v>
      </c>
      <c r="R506" s="186"/>
      <c r="S506" s="189">
        <f>IFERROR(__xludf.DUMMYFUNCTION("""COMPUTED_VALUE"""),2549.0)</f>
        <v>2549</v>
      </c>
    </row>
    <row r="507">
      <c r="A507" s="186" t="str">
        <f>IFERROR(__xludf.DUMMYFUNCTION("""COMPUTED_VALUE"""),"DE")</f>
        <v>DE</v>
      </c>
      <c r="B507" s="186" t="str">
        <f>IFERROR(__xludf.DUMMYFUNCTION("""COMPUTED_VALUE"""),"W06")</f>
        <v>W06</v>
      </c>
      <c r="C507" s="186">
        <f>IFERROR(__xludf.DUMMYFUNCTION("""COMPUTED_VALUE"""),305.0)</f>
        <v>305</v>
      </c>
      <c r="D507" s="186" t="str">
        <f>IFERROR(__xludf.DUMMYFUNCTION("""COMPUTED_VALUE"""),"CON-00-136674-3")</f>
        <v>CON-00-136674-3</v>
      </c>
      <c r="E507" s="186" t="str">
        <f>IFERROR(__xludf.DUMMYFUNCTION("""COMPUTED_VALUE"""),"Grilled chicken and ratatouille")</f>
        <v>Grilled chicken and ratatouille</v>
      </c>
      <c r="F507" s="186" t="str">
        <f>IFERROR(__xludf.DUMMYFUNCTION("""COMPUTED_VALUE"""),"Grillhähnchen und Ratatouille")</f>
        <v>Grillhähnchen und Ratatouille</v>
      </c>
      <c r="G507" s="186" t="str">
        <f>IFERROR(__xludf.DUMMYFUNCTION("""COMPUTED_VALUE"""),"FE4015A")</f>
        <v>FE4015A</v>
      </c>
      <c r="H507" s="186">
        <f>IFERROR(__xludf.DUMMYFUNCTION("""COMPUTED_VALUE"""),565072.0)</f>
        <v>565072</v>
      </c>
      <c r="I507" s="186" t="str">
        <f>IFERROR(__xludf.DUMMYFUNCTION("""COMPUTED_VALUE"""),"HF Gegrilde kipfilet en ratatouille 429g")</f>
        <v>HF Gegrilde kipfilet en ratatouille 429g</v>
      </c>
      <c r="J507" s="189">
        <f>IFERROR(__xludf.DUMMYFUNCTION("""COMPUTED_VALUE"""),1684.0)</f>
        <v>1684</v>
      </c>
      <c r="K507" s="189">
        <f>IFERROR(__xludf.DUMMYFUNCTION("""COMPUTED_VALUE"""),2005.0)</f>
        <v>2005</v>
      </c>
      <c r="L507" s="189">
        <f>IFERROR(__xludf.DUMMYFUNCTION("""COMPUTED_VALUE"""),2020.0)</f>
        <v>2020</v>
      </c>
      <c r="M507" s="189">
        <f>IFERROR(__xludf.DUMMYFUNCTION("""COMPUTED_VALUE"""),1887.0)</f>
        <v>1887</v>
      </c>
      <c r="N507" s="189">
        <f>IFERROR(__xludf.DUMMYFUNCTION("""COMPUTED_VALUE"""),1910.0)</f>
        <v>1910</v>
      </c>
      <c r="O507" s="189">
        <f>IFERROR(__xludf.DUMMYFUNCTION("""COMPUTED_VALUE"""),1968.0)</f>
        <v>1968</v>
      </c>
      <c r="P507" s="189">
        <f>IFERROR(__xludf.DUMMYFUNCTION("""COMPUTED_VALUE"""),2074.0)</f>
        <v>2074</v>
      </c>
      <c r="Q507" s="189">
        <f>IFERROR(__xludf.DUMMYFUNCTION("""COMPUTED_VALUE"""),2033.0)</f>
        <v>2033</v>
      </c>
      <c r="R507" s="186"/>
      <c r="S507" s="189">
        <f>IFERROR(__xludf.DUMMYFUNCTION("""COMPUTED_VALUE"""),2080.0)</f>
        <v>2080</v>
      </c>
    </row>
    <row r="508">
      <c r="A508" s="186" t="str">
        <f>IFERROR(__xludf.DUMMYFUNCTION("""COMPUTED_VALUE"""),"DE")</f>
        <v>DE</v>
      </c>
      <c r="B508" s="186" t="str">
        <f>IFERROR(__xludf.DUMMYFUNCTION("""COMPUTED_VALUE"""),"W06")</f>
        <v>W06</v>
      </c>
      <c r="C508" s="186">
        <f>IFERROR(__xludf.DUMMYFUNCTION("""COMPUTED_VALUE"""),306.0)</f>
        <v>306</v>
      </c>
      <c r="D508" s="186" t="str">
        <f>IFERROR(__xludf.DUMMYFUNCTION("""COMPUTED_VALUE"""),"CON-00-136714-3")</f>
        <v>CON-00-136714-3</v>
      </c>
      <c r="E508" s="186" t="str">
        <f>IFERROR(__xludf.DUMMYFUNCTION("""COMPUTED_VALUE"""),"Chicken in creamy basil sauce")</f>
        <v>Chicken in creamy basil sauce</v>
      </c>
      <c r="F508" s="186" t="str">
        <f>IFERROR(__xludf.DUMMYFUNCTION("""COMPUTED_VALUE"""),"Hähnchen in cremiger Basilikumsauce")</f>
        <v>Hähnchen in cremiger Basilikumsauce</v>
      </c>
      <c r="G508" s="186" t="str">
        <f>IFERROR(__xludf.DUMMYFUNCTION("""COMPUTED_VALUE"""),"FE4040B")</f>
        <v>FE4040B</v>
      </c>
      <c r="H508" s="186">
        <f>IFERROR(__xludf.DUMMYFUNCTION("""COMPUTED_VALUE"""),565172.0)</f>
        <v>565172</v>
      </c>
      <c r="I508" s="186"/>
      <c r="J508" s="189">
        <f>IFERROR(__xludf.DUMMYFUNCTION("""COMPUTED_VALUE"""),1747.0)</f>
        <v>1747</v>
      </c>
      <c r="K508" s="189">
        <f>IFERROR(__xludf.DUMMYFUNCTION("""COMPUTED_VALUE"""),1960.0)</f>
        <v>1960</v>
      </c>
      <c r="L508" s="189">
        <f>IFERROR(__xludf.DUMMYFUNCTION("""COMPUTED_VALUE"""),2107.0)</f>
        <v>2107</v>
      </c>
      <c r="M508" s="189">
        <f>IFERROR(__xludf.DUMMYFUNCTION("""COMPUTED_VALUE"""),2060.0)</f>
        <v>2060</v>
      </c>
      <c r="N508" s="189">
        <f>IFERROR(__xludf.DUMMYFUNCTION("""COMPUTED_VALUE"""),2056.0)</f>
        <v>2056</v>
      </c>
      <c r="O508" s="189">
        <f>IFERROR(__xludf.DUMMYFUNCTION("""COMPUTED_VALUE"""),2100.0)</f>
        <v>2100</v>
      </c>
      <c r="P508" s="189">
        <f>IFERROR(__xludf.DUMMYFUNCTION("""COMPUTED_VALUE"""),2197.0)</f>
        <v>2197</v>
      </c>
      <c r="Q508" s="189">
        <f>IFERROR(__xludf.DUMMYFUNCTION("""COMPUTED_VALUE"""),2154.0)</f>
        <v>2154</v>
      </c>
      <c r="R508" s="186"/>
      <c r="S508" s="189">
        <f>IFERROR(__xludf.DUMMYFUNCTION("""COMPUTED_VALUE"""),2198.0)</f>
        <v>2198</v>
      </c>
    </row>
    <row r="509">
      <c r="A509" s="186" t="str">
        <f>IFERROR(__xludf.DUMMYFUNCTION("""COMPUTED_VALUE"""),"DE")</f>
        <v>DE</v>
      </c>
      <c r="B509" s="186" t="str">
        <f>IFERROR(__xludf.DUMMYFUNCTION("""COMPUTED_VALUE"""),"W06")</f>
        <v>W06</v>
      </c>
      <c r="C509" s="186">
        <f>IFERROR(__xludf.DUMMYFUNCTION("""COMPUTED_VALUE"""),307.0)</f>
        <v>307</v>
      </c>
      <c r="D509" s="186" t="str">
        <f>IFERROR(__xludf.DUMMYFUNCTION("""COMPUTED_VALUE"""),"CON-00-148220-2")</f>
        <v>CON-00-148220-2</v>
      </c>
      <c r="E509" s="186" t="str">
        <f>IFERROR(__xludf.DUMMYFUNCTION("""COMPUTED_VALUE"""),"Caramelized Onion &amp; Emmental Fondue Chicken")</f>
        <v>Caramelized Onion &amp; Emmental Fondue Chicken</v>
      </c>
      <c r="F509" s="186" t="str">
        <f>IFERROR(__xludf.DUMMYFUNCTION("""COMPUTED_VALUE"""),"Hähnchen mit karamellisierten Zwiebeln &amp; Emmentaler-Fondue")</f>
        <v>Hähnchen mit karamellisierten Zwiebeln &amp; Emmentaler-Fondue</v>
      </c>
      <c r="G509" s="186" t="str">
        <f>IFERROR(__xludf.DUMMYFUNCTION("""COMPUTED_VALUE"""),"FE0970B")</f>
        <v>FE0970B</v>
      </c>
      <c r="H509" s="186">
        <f>IFERROR(__xludf.DUMMYFUNCTION("""COMPUTED_VALUE"""),565164.0)</f>
        <v>565164</v>
      </c>
      <c r="I509" s="186"/>
      <c r="J509" s="189">
        <f>IFERROR(__xludf.DUMMYFUNCTION("""COMPUTED_VALUE"""),1065.0)</f>
        <v>1065</v>
      </c>
      <c r="K509" s="189">
        <f>IFERROR(__xludf.DUMMYFUNCTION("""COMPUTED_VALUE"""),1264.0)</f>
        <v>1264</v>
      </c>
      <c r="L509" s="189">
        <f>IFERROR(__xludf.DUMMYFUNCTION("""COMPUTED_VALUE"""),1648.0)</f>
        <v>1648</v>
      </c>
      <c r="M509" s="189">
        <f>IFERROR(__xludf.DUMMYFUNCTION("""COMPUTED_VALUE"""),1788.0)</f>
        <v>1788</v>
      </c>
      <c r="N509" s="189">
        <f>IFERROR(__xludf.DUMMYFUNCTION("""COMPUTED_VALUE"""),1729.0)</f>
        <v>1729</v>
      </c>
      <c r="O509" s="189">
        <f>IFERROR(__xludf.DUMMYFUNCTION("""COMPUTED_VALUE"""),1703.0)</f>
        <v>1703</v>
      </c>
      <c r="P509" s="189">
        <f>IFERROR(__xludf.DUMMYFUNCTION("""COMPUTED_VALUE"""),1791.0)</f>
        <v>1791</v>
      </c>
      <c r="Q509" s="189">
        <f>IFERROR(__xludf.DUMMYFUNCTION("""COMPUTED_VALUE"""),1768.0)</f>
        <v>1768</v>
      </c>
      <c r="R509" s="186"/>
      <c r="S509" s="189">
        <f>IFERROR(__xludf.DUMMYFUNCTION("""COMPUTED_VALUE"""),1738.0)</f>
        <v>1738</v>
      </c>
    </row>
    <row r="510">
      <c r="A510" s="186" t="str">
        <f>IFERROR(__xludf.DUMMYFUNCTION("""COMPUTED_VALUE"""),"DE")</f>
        <v>DE</v>
      </c>
      <c r="B510" s="186" t="str">
        <f>IFERROR(__xludf.DUMMYFUNCTION("""COMPUTED_VALUE"""),"W06")</f>
        <v>W06</v>
      </c>
      <c r="C510" s="186">
        <f>IFERROR(__xludf.DUMMYFUNCTION("""COMPUTED_VALUE"""),308.0)</f>
        <v>308</v>
      </c>
      <c r="D510" s="186"/>
      <c r="E510" s="186"/>
      <c r="F510" s="186"/>
      <c r="G510" s="186" t="str">
        <f>IFERROR(__xludf.DUMMYFUNCTION("""COMPUTED_VALUE"""),"FE4053A")</f>
        <v>FE4053A</v>
      </c>
      <c r="H510" s="186"/>
      <c r="I510" s="186"/>
      <c r="J510" s="189">
        <f>IFERROR(__xludf.DUMMYFUNCTION("""COMPUTED_VALUE"""),1501.0)</f>
        <v>1501</v>
      </c>
      <c r="K510" s="189">
        <f>IFERROR(__xludf.DUMMYFUNCTION("""COMPUTED_VALUE"""),1674.0)</f>
        <v>1674</v>
      </c>
      <c r="L510" s="189">
        <f>IFERROR(__xludf.DUMMYFUNCTION("""COMPUTED_VALUE"""),1937.0)</f>
        <v>1937</v>
      </c>
      <c r="M510" s="189">
        <f>IFERROR(__xludf.DUMMYFUNCTION("""COMPUTED_VALUE"""),1925.0)</f>
        <v>1925</v>
      </c>
      <c r="N510" s="189">
        <f>IFERROR(__xludf.DUMMYFUNCTION("""COMPUTED_VALUE"""),1915.0)</f>
        <v>1915</v>
      </c>
      <c r="O510" s="189">
        <f>IFERROR(__xludf.DUMMYFUNCTION("""COMPUTED_VALUE"""),1864.0)</f>
        <v>1864</v>
      </c>
      <c r="P510" s="189">
        <f>IFERROR(__xludf.DUMMYFUNCTION("""COMPUTED_VALUE"""),1943.0)</f>
        <v>1943</v>
      </c>
      <c r="Q510" s="189">
        <f>IFERROR(__xludf.DUMMYFUNCTION("""COMPUTED_VALUE"""),1912.0)</f>
        <v>1912</v>
      </c>
      <c r="R510" s="186"/>
      <c r="S510" s="189">
        <f>IFERROR(__xludf.DUMMYFUNCTION("""COMPUTED_VALUE"""),1904.0)</f>
        <v>1904</v>
      </c>
    </row>
    <row r="511">
      <c r="A511" s="186" t="str">
        <f>IFERROR(__xludf.DUMMYFUNCTION("""COMPUTED_VALUE"""),"DE")</f>
        <v>DE</v>
      </c>
      <c r="B511" s="186" t="str">
        <f>IFERROR(__xludf.DUMMYFUNCTION("""COMPUTED_VALUE"""),"W06")</f>
        <v>W06</v>
      </c>
      <c r="C511" s="186">
        <f>IFERROR(__xludf.DUMMYFUNCTION("""COMPUTED_VALUE"""),309.0)</f>
        <v>309</v>
      </c>
      <c r="D511" s="186" t="str">
        <f>IFERROR(__xludf.DUMMYFUNCTION("""COMPUTED_VALUE"""),"CON-00-136629-3")</f>
        <v>CON-00-136629-3</v>
      </c>
      <c r="E511" s="186" t="str">
        <f>IFERROR(__xludf.DUMMYFUNCTION("""COMPUTED_VALUE"""),"Creamy tomato risotto")</f>
        <v>Creamy tomato risotto</v>
      </c>
      <c r="F511" s="186" t="str">
        <f>IFERROR(__xludf.DUMMYFUNCTION("""COMPUTED_VALUE"""),"Cremiges Tomaten-Risotto")</f>
        <v>Cremiges Tomaten-Risotto</v>
      </c>
      <c r="G511" s="186" t="str">
        <f>IFERROR(__xludf.DUMMYFUNCTION("""COMPUTED_VALUE"""),"FE0031C")</f>
        <v>FE0031C</v>
      </c>
      <c r="H511" s="186">
        <f>IFERROR(__xludf.DUMMYFUNCTION("""COMPUTED_VALUE"""),565244.0)</f>
        <v>565244</v>
      </c>
      <c r="I511" s="186" t="str">
        <f>IFERROR(__xludf.DUMMYFUNCTION("""COMPUTED_VALUE"""),"IO HF Romige tomatenrisotto V2")</f>
        <v>IO HF Romige tomatenrisotto V2</v>
      </c>
      <c r="J511" s="189">
        <f>IFERROR(__xludf.DUMMYFUNCTION("""COMPUTED_VALUE"""),312.0)</f>
        <v>312</v>
      </c>
      <c r="K511" s="189">
        <f>IFERROR(__xludf.DUMMYFUNCTION("""COMPUTED_VALUE"""),329.0)</f>
        <v>329</v>
      </c>
      <c r="L511" s="189">
        <f>IFERROR(__xludf.DUMMYFUNCTION("""COMPUTED_VALUE"""),390.0)</f>
        <v>390</v>
      </c>
      <c r="M511" s="189">
        <f>IFERROR(__xludf.DUMMYFUNCTION("""COMPUTED_VALUE"""),498.0)</f>
        <v>498</v>
      </c>
      <c r="N511" s="189">
        <f>IFERROR(__xludf.DUMMYFUNCTION("""COMPUTED_VALUE"""),463.0)</f>
        <v>463</v>
      </c>
      <c r="O511" s="189">
        <f>IFERROR(__xludf.DUMMYFUNCTION("""COMPUTED_VALUE"""),510.0)</f>
        <v>510</v>
      </c>
      <c r="P511" s="189">
        <f>IFERROR(__xludf.DUMMYFUNCTION("""COMPUTED_VALUE"""),521.0)</f>
        <v>521</v>
      </c>
      <c r="Q511" s="189">
        <f>IFERROR(__xludf.DUMMYFUNCTION("""COMPUTED_VALUE"""),509.0)</f>
        <v>509</v>
      </c>
      <c r="R511" s="186"/>
      <c r="S511" s="189">
        <f>IFERROR(__xludf.DUMMYFUNCTION("""COMPUTED_VALUE"""),543.0)</f>
        <v>543</v>
      </c>
    </row>
    <row r="512">
      <c r="A512" s="186" t="str">
        <f>IFERROR(__xludf.DUMMYFUNCTION("""COMPUTED_VALUE"""),"DE")</f>
        <v>DE</v>
      </c>
      <c r="B512" s="186" t="str">
        <f>IFERROR(__xludf.DUMMYFUNCTION("""COMPUTED_VALUE"""),"W06")</f>
        <v>W06</v>
      </c>
      <c r="C512" s="186">
        <f>IFERROR(__xludf.DUMMYFUNCTION("""COMPUTED_VALUE"""),310.0)</f>
        <v>310</v>
      </c>
      <c r="D512" s="186" t="str">
        <f>IFERROR(__xludf.DUMMYFUNCTION("""COMPUTED_VALUE"""),"CON-00-136641-3")</f>
        <v>CON-00-136641-3</v>
      </c>
      <c r="E512" s="186" t="str">
        <f>IFERROR(__xludf.DUMMYFUNCTION("""COMPUTED_VALUE"""),"Mexican style corn cake")</f>
        <v>Mexican style corn cake</v>
      </c>
      <c r="F512" s="186" t="str">
        <f>IFERROR(__xludf.DUMMYFUNCTION("""COMPUTED_VALUE"""),"Mexikanischer Maiskuchen")</f>
        <v>Mexikanischer Maiskuchen</v>
      </c>
      <c r="G512" s="186" t="str">
        <f>IFERROR(__xludf.DUMMYFUNCTION("""COMPUTED_VALUE"""),"FE0121C")</f>
        <v>FE0121C</v>
      </c>
      <c r="H512" s="186">
        <f>IFERROR(__xludf.DUMMYFUNCTION("""COMPUTED_VALUE"""),565023.0)</f>
        <v>565023</v>
      </c>
      <c r="I512" s="186" t="str">
        <f>IFERROR(__xludf.DUMMYFUNCTION("""COMPUTED_VALUE"""),"HF Mex.stijl maiscake")</f>
        <v>HF Mex.stijl maiscake</v>
      </c>
      <c r="J512" s="189">
        <f>IFERROR(__xludf.DUMMYFUNCTION("""COMPUTED_VALUE"""),321.0)</f>
        <v>321</v>
      </c>
      <c r="K512" s="189">
        <f>IFERROR(__xludf.DUMMYFUNCTION("""COMPUTED_VALUE"""),372.0)</f>
        <v>372</v>
      </c>
      <c r="L512" s="189">
        <f>IFERROR(__xludf.DUMMYFUNCTION("""COMPUTED_VALUE"""),322.0)</f>
        <v>322</v>
      </c>
      <c r="M512" s="189">
        <f>IFERROR(__xludf.DUMMYFUNCTION("""COMPUTED_VALUE"""),332.0)</f>
        <v>332</v>
      </c>
      <c r="N512" s="189">
        <f>IFERROR(__xludf.DUMMYFUNCTION("""COMPUTED_VALUE"""),335.0)</f>
        <v>335</v>
      </c>
      <c r="O512" s="189">
        <f>IFERROR(__xludf.DUMMYFUNCTION("""COMPUTED_VALUE"""),353.0)</f>
        <v>353</v>
      </c>
      <c r="P512" s="189">
        <f>IFERROR(__xludf.DUMMYFUNCTION("""COMPUTED_VALUE"""),376.0)</f>
        <v>376</v>
      </c>
      <c r="Q512" s="189">
        <f>IFERROR(__xludf.DUMMYFUNCTION("""COMPUTED_VALUE"""),365.0)</f>
        <v>365</v>
      </c>
      <c r="R512" s="186"/>
      <c r="S512" s="189">
        <f>IFERROR(__xludf.DUMMYFUNCTION("""COMPUTED_VALUE"""),391.0)</f>
        <v>391</v>
      </c>
    </row>
    <row r="513">
      <c r="A513" s="186" t="str">
        <f>IFERROR(__xludf.DUMMYFUNCTION("""COMPUTED_VALUE"""),"DE")</f>
        <v>DE</v>
      </c>
      <c r="B513" s="186" t="str">
        <f>IFERROR(__xludf.DUMMYFUNCTION("""COMPUTED_VALUE"""),"W06")</f>
        <v>W06</v>
      </c>
      <c r="C513" s="186">
        <f>IFERROR(__xludf.DUMMYFUNCTION("""COMPUTED_VALUE"""),311.0)</f>
        <v>311</v>
      </c>
      <c r="D513" s="186" t="str">
        <f>IFERROR(__xludf.DUMMYFUNCTION("""COMPUTED_VALUE"""),"CON-00-136637-3")</f>
        <v>CON-00-136637-3</v>
      </c>
      <c r="E513" s="186" t="str">
        <f>IFERROR(__xludf.DUMMYFUNCTION("""COMPUTED_VALUE"""),"Pork tenderloin in creamy garlic-mustard sauce")</f>
        <v>Pork tenderloin in creamy garlic-mustard sauce</v>
      </c>
      <c r="F513" s="186" t="str">
        <f>IFERROR(__xludf.DUMMYFUNCTION("""COMPUTED_VALUE"""),"Schweinefilet in cremiger Knoblauch-Senf-Sauce")</f>
        <v>Schweinefilet in cremiger Knoblauch-Senf-Sauce</v>
      </c>
      <c r="G513" s="186" t="str">
        <f>IFERROR(__xludf.DUMMYFUNCTION("""COMPUTED_VALUE"""),"FE0169H")</f>
        <v>FE0169H</v>
      </c>
      <c r="H513" s="186">
        <f>IFERROR(__xludf.DUMMYFUNCTION("""COMPUTED_VALUE"""),565143.0)</f>
        <v>565143</v>
      </c>
      <c r="I513" s="186" t="str">
        <f>IFERROR(__xludf.DUMMYFUNCTION("""COMPUTED_VALUE"""),"Varkenshaas in romige knoflook-mosterdsaus")</f>
        <v>Varkenshaas in romige knoflook-mosterdsaus</v>
      </c>
      <c r="J513" s="189">
        <f>IFERROR(__xludf.DUMMYFUNCTION("""COMPUTED_VALUE"""),807.0)</f>
        <v>807</v>
      </c>
      <c r="K513" s="189">
        <f>IFERROR(__xludf.DUMMYFUNCTION("""COMPUTED_VALUE"""),869.0)</f>
        <v>869</v>
      </c>
      <c r="L513" s="189">
        <f>IFERROR(__xludf.DUMMYFUNCTION("""COMPUTED_VALUE"""),723.0)</f>
        <v>723</v>
      </c>
      <c r="M513" s="189">
        <f>IFERROR(__xludf.DUMMYFUNCTION("""COMPUTED_VALUE"""),744.0)</f>
        <v>744</v>
      </c>
      <c r="N513" s="189">
        <f>IFERROR(__xludf.DUMMYFUNCTION("""COMPUTED_VALUE"""),718.0)</f>
        <v>718</v>
      </c>
      <c r="O513" s="189">
        <f>IFERROR(__xludf.DUMMYFUNCTION("""COMPUTED_VALUE"""),686.0)</f>
        <v>686</v>
      </c>
      <c r="P513" s="189">
        <f>IFERROR(__xludf.DUMMYFUNCTION("""COMPUTED_VALUE"""),679.0)</f>
        <v>679</v>
      </c>
      <c r="Q513" s="189">
        <f>IFERROR(__xludf.DUMMYFUNCTION("""COMPUTED_VALUE"""),659.0)</f>
        <v>659</v>
      </c>
      <c r="R513" s="186"/>
      <c r="S513" s="189">
        <f>IFERROR(__xludf.DUMMYFUNCTION("""COMPUTED_VALUE"""),691.0)</f>
        <v>691</v>
      </c>
    </row>
    <row r="514">
      <c r="A514" s="186" t="str">
        <f>IFERROR(__xludf.DUMMYFUNCTION("""COMPUTED_VALUE"""),"DE")</f>
        <v>DE</v>
      </c>
      <c r="B514" s="186" t="str">
        <f>IFERROR(__xludf.DUMMYFUNCTION("""COMPUTED_VALUE"""),"W06")</f>
        <v>W06</v>
      </c>
      <c r="C514" s="186">
        <f>IFERROR(__xludf.DUMMYFUNCTION("""COMPUTED_VALUE"""),312.0)</f>
        <v>312</v>
      </c>
      <c r="D514" s="186" t="str">
        <f>IFERROR(__xludf.DUMMYFUNCTION("""COMPUTED_VALUE"""),"CON-00-137745-2")</f>
        <v>CON-00-137745-2</v>
      </c>
      <c r="E514" s="186" t="str">
        <f>IFERROR(__xludf.DUMMYFUNCTION("""COMPUTED_VALUE"""),"Salmon in mustard-dill sauce")</f>
        <v>Salmon in mustard-dill sauce</v>
      </c>
      <c r="F514" s="186" t="str">
        <f>IFERROR(__xludf.DUMMYFUNCTION("""COMPUTED_VALUE"""),"Lachs in Senf-Dill-Sauce")</f>
        <v>Lachs in Senf-Dill-Sauce</v>
      </c>
      <c r="G514" s="186" t="str">
        <f>IFERROR(__xludf.DUMMYFUNCTION("""COMPUTED_VALUE"""),"FE4009D")</f>
        <v>FE4009D</v>
      </c>
      <c r="H514" s="186">
        <f>IFERROR(__xludf.DUMMYFUNCTION("""COMPUTED_VALUE"""),565064.0)</f>
        <v>565064</v>
      </c>
      <c r="I514" s="186" t="str">
        <f>IFERROR(__xludf.DUMMYFUNCTION("""COMPUTED_VALUE"""),"HF Zalm in mosterd dillesaus")</f>
        <v>HF Zalm in mosterd dillesaus</v>
      </c>
      <c r="J514" s="189">
        <f>IFERROR(__xludf.DUMMYFUNCTION("""COMPUTED_VALUE"""),1344.0)</f>
        <v>1344</v>
      </c>
      <c r="K514" s="189">
        <f>IFERROR(__xludf.DUMMYFUNCTION("""COMPUTED_VALUE"""),1546.0)</f>
        <v>1546</v>
      </c>
      <c r="L514" s="189">
        <f>IFERROR(__xludf.DUMMYFUNCTION("""COMPUTED_VALUE"""),1504.0)</f>
        <v>1504</v>
      </c>
      <c r="M514" s="189">
        <f>IFERROR(__xludf.DUMMYFUNCTION("""COMPUTED_VALUE"""),1786.0)</f>
        <v>1786</v>
      </c>
      <c r="N514" s="189">
        <f>IFERROR(__xludf.DUMMYFUNCTION("""COMPUTED_VALUE"""),1781.0)</f>
        <v>1781</v>
      </c>
      <c r="O514" s="189">
        <f>IFERROR(__xludf.DUMMYFUNCTION("""COMPUTED_VALUE"""),1746.0)</f>
        <v>1746</v>
      </c>
      <c r="P514" s="189">
        <f>IFERROR(__xludf.DUMMYFUNCTION("""COMPUTED_VALUE"""),1780.0)</f>
        <v>1780</v>
      </c>
      <c r="Q514" s="189">
        <f>IFERROR(__xludf.DUMMYFUNCTION("""COMPUTED_VALUE"""),1774.0)</f>
        <v>1774</v>
      </c>
      <c r="R514" s="186"/>
      <c r="S514" s="189">
        <f>IFERROR(__xludf.DUMMYFUNCTION("""COMPUTED_VALUE"""),1837.0)</f>
        <v>1837</v>
      </c>
    </row>
    <row r="515">
      <c r="A515" s="186" t="str">
        <f>IFERROR(__xludf.DUMMYFUNCTION("""COMPUTED_VALUE"""),"DE")</f>
        <v>DE</v>
      </c>
      <c r="B515" s="186" t="str">
        <f>IFERROR(__xludf.DUMMYFUNCTION("""COMPUTED_VALUE"""),"W06")</f>
        <v>W06</v>
      </c>
      <c r="C515" s="186">
        <f>IFERROR(__xludf.DUMMYFUNCTION("""COMPUTED_VALUE"""),313.0)</f>
        <v>313</v>
      </c>
      <c r="D515" s="186" t="str">
        <f>IFERROR(__xludf.DUMMYFUNCTION("""COMPUTED_VALUE"""),"CON-00-151114-2")</f>
        <v>CON-00-151114-2</v>
      </c>
      <c r="E515" s="186" t="str">
        <f>IFERROR(__xludf.DUMMYFUNCTION("""COMPUTED_VALUE"""),"Cheddar &amp; Bell Pepper Pulled Beef Bowl")</f>
        <v>Cheddar &amp; Bell Pepper Pulled Beef Bowl</v>
      </c>
      <c r="F515" s="186" t="str">
        <f>IFERROR(__xludf.DUMMYFUNCTION("""COMPUTED_VALUE"""),"Pulled-Beef-Bowl mit Cheddar und Paprika")</f>
        <v>Pulled-Beef-Bowl mit Cheddar und Paprika</v>
      </c>
      <c r="G515" s="186" t="str">
        <f>IFERROR(__xludf.DUMMYFUNCTION("""COMPUTED_VALUE"""),"FE1348B")</f>
        <v>FE1348B</v>
      </c>
      <c r="H515" s="186">
        <f>IFERROR(__xludf.DUMMYFUNCTION("""COMPUTED_VALUE"""),565186.0)</f>
        <v>565186</v>
      </c>
      <c r="I515" s="186" t="str">
        <f>IFERROR(__xludf.DUMMYFUNCTION("""COMPUTED_VALUE"""),"HF Pulled beef salsa bowl")</f>
        <v>HF Pulled beef salsa bowl</v>
      </c>
      <c r="J515" s="189">
        <f>IFERROR(__xludf.DUMMYFUNCTION("""COMPUTED_VALUE"""),1493.0)</f>
        <v>1493</v>
      </c>
      <c r="K515" s="189">
        <f>IFERROR(__xludf.DUMMYFUNCTION("""COMPUTED_VALUE"""),1700.0)</f>
        <v>1700</v>
      </c>
      <c r="L515" s="189">
        <f>IFERROR(__xludf.DUMMYFUNCTION("""COMPUTED_VALUE"""),1944.0)</f>
        <v>1944</v>
      </c>
      <c r="M515" s="189">
        <f>IFERROR(__xludf.DUMMYFUNCTION("""COMPUTED_VALUE"""),2209.0)</f>
        <v>2209</v>
      </c>
      <c r="N515" s="189">
        <f>IFERROR(__xludf.DUMMYFUNCTION("""COMPUTED_VALUE"""),2284.0)</f>
        <v>2284</v>
      </c>
      <c r="O515" s="189">
        <f>IFERROR(__xludf.DUMMYFUNCTION("""COMPUTED_VALUE"""),2253.0)</f>
        <v>2253</v>
      </c>
      <c r="P515" s="189">
        <f>IFERROR(__xludf.DUMMYFUNCTION("""COMPUTED_VALUE"""),2299.0)</f>
        <v>2299</v>
      </c>
      <c r="Q515" s="189">
        <f>IFERROR(__xludf.DUMMYFUNCTION("""COMPUTED_VALUE"""),2273.0)</f>
        <v>2273</v>
      </c>
      <c r="R515" s="186"/>
      <c r="S515" s="189">
        <f>IFERROR(__xludf.DUMMYFUNCTION("""COMPUTED_VALUE"""),2373.0)</f>
        <v>2373</v>
      </c>
    </row>
    <row r="516">
      <c r="A516" s="186" t="str">
        <f>IFERROR(__xludf.DUMMYFUNCTION("""COMPUTED_VALUE"""),"DE")</f>
        <v>DE</v>
      </c>
      <c r="B516" s="186" t="str">
        <f>IFERROR(__xludf.DUMMYFUNCTION("""COMPUTED_VALUE"""),"W06")</f>
        <v>W06</v>
      </c>
      <c r="C516" s="186">
        <f>IFERROR(__xludf.DUMMYFUNCTION("""COMPUTED_VALUE"""),314.0)</f>
        <v>314</v>
      </c>
      <c r="D516" s="186" t="str">
        <f>IFERROR(__xludf.DUMMYFUNCTION("""COMPUTED_VALUE"""),"CON-00-155185-3")</f>
        <v>CON-00-155185-3</v>
      </c>
      <c r="E516" s="186" t="str">
        <f>IFERROR(__xludf.DUMMYFUNCTION("""COMPUTED_VALUE"""),"Sun-Dried Tomato Beef Ragu &amp; Pasta")</f>
        <v>Sun-Dried Tomato Beef Ragu &amp; Pasta</v>
      </c>
      <c r="F516" s="186" t="str">
        <f>IFERROR(__xludf.DUMMYFUNCTION("""COMPUTED_VALUE"""),"Rinderragù mit sonnengetrockneten Tomaten und Pasta")</f>
        <v>Rinderragù mit sonnengetrockneten Tomaten und Pasta</v>
      </c>
      <c r="G516" s="186" t="str">
        <f>IFERROR(__xludf.DUMMYFUNCTION("""COMPUTED_VALUE"""),"FE4075A")</f>
        <v>FE4075A</v>
      </c>
      <c r="H516" s="186">
        <f>IFERROR(__xludf.DUMMYFUNCTION("""COMPUTED_VALUE"""),565252.0)</f>
        <v>565252</v>
      </c>
      <c r="I516" s="186" t="str">
        <f>IFERROR(__xludf.DUMMYFUNCTION("""COMPUTED_VALUE"""),"HF Tomato Beef Ragu &amp; Pasta")</f>
        <v>HF Tomato Beef Ragu &amp; Pasta</v>
      </c>
      <c r="J516" s="189">
        <f>IFERROR(__xludf.DUMMYFUNCTION("""COMPUTED_VALUE"""),856.0)</f>
        <v>856</v>
      </c>
      <c r="K516" s="189">
        <f>IFERROR(__xludf.DUMMYFUNCTION("""COMPUTED_VALUE"""),868.0)</f>
        <v>868</v>
      </c>
      <c r="L516" s="189">
        <f>IFERROR(__xludf.DUMMYFUNCTION("""COMPUTED_VALUE"""),1141.0)</f>
        <v>1141</v>
      </c>
      <c r="M516" s="189">
        <f>IFERROR(__xludf.DUMMYFUNCTION("""COMPUTED_VALUE"""),1223.0)</f>
        <v>1223</v>
      </c>
      <c r="N516" s="189">
        <f>IFERROR(__xludf.DUMMYFUNCTION("""COMPUTED_VALUE"""),1164.0)</f>
        <v>1164</v>
      </c>
      <c r="O516" s="189">
        <f>IFERROR(__xludf.DUMMYFUNCTION("""COMPUTED_VALUE"""),1086.0)</f>
        <v>1086</v>
      </c>
      <c r="P516" s="189">
        <f>IFERROR(__xludf.DUMMYFUNCTION("""COMPUTED_VALUE"""),1116.0)</f>
        <v>1116</v>
      </c>
      <c r="Q516" s="189">
        <f>IFERROR(__xludf.DUMMYFUNCTION("""COMPUTED_VALUE"""),1091.0)</f>
        <v>1091</v>
      </c>
      <c r="R516" s="186"/>
      <c r="S516" s="189">
        <f>IFERROR(__xludf.DUMMYFUNCTION("""COMPUTED_VALUE"""),1131.0)</f>
        <v>1131</v>
      </c>
    </row>
    <row r="517">
      <c r="A517" s="186" t="str">
        <f>IFERROR(__xludf.DUMMYFUNCTION("""COMPUTED_VALUE"""),"DE")</f>
        <v>DE</v>
      </c>
      <c r="B517" s="186" t="str">
        <f>IFERROR(__xludf.DUMMYFUNCTION("""COMPUTED_VALUE"""),"W06")</f>
        <v>W06</v>
      </c>
      <c r="C517" s="186">
        <f>IFERROR(__xludf.DUMMYFUNCTION("""COMPUTED_VALUE"""),315.0)</f>
        <v>315</v>
      </c>
      <c r="D517" s="186" t="str">
        <f>IFERROR(__xludf.DUMMYFUNCTION("""COMPUTED_VALUE"""),"CON-00-136694-3")</f>
        <v>CON-00-136694-3</v>
      </c>
      <c r="E517" s="186" t="str">
        <f>IFERROR(__xludf.DUMMYFUNCTION("""COMPUTED_VALUE"""),"Spicy ground beef with jalapenos")</f>
        <v>Spicy ground beef with jalapenos</v>
      </c>
      <c r="F517" s="186" t="str">
        <f>IFERROR(__xludf.DUMMYFUNCTION("""COMPUTED_VALUE"""),"Scharfes Rinderhack mit Jalapeños")</f>
        <v>Scharfes Rinderhack mit Jalapeños</v>
      </c>
      <c r="G517" s="186" t="str">
        <f>IFERROR(__xludf.DUMMYFUNCTION("""COMPUTED_VALUE"""),"FE0746A")</f>
        <v>FE0746A</v>
      </c>
      <c r="H517" s="186">
        <f>IFERROR(__xludf.DUMMYFUNCTION("""COMPUTED_VALUE"""),565091.0)</f>
        <v>565091</v>
      </c>
      <c r="I517" s="186" t="str">
        <f>IFERROR(__xludf.DUMMYFUNCTION("""COMPUTED_VALUE"""),"HF Beef burrito bowl")</f>
        <v>HF Beef burrito bowl</v>
      </c>
      <c r="J517" s="189">
        <f>IFERROR(__xludf.DUMMYFUNCTION("""COMPUTED_VALUE"""),832.0)</f>
        <v>832</v>
      </c>
      <c r="K517" s="189">
        <f>IFERROR(__xludf.DUMMYFUNCTION("""COMPUTED_VALUE"""),994.0)</f>
        <v>994</v>
      </c>
      <c r="L517" s="189">
        <f>IFERROR(__xludf.DUMMYFUNCTION("""COMPUTED_VALUE"""),653.0)</f>
        <v>653</v>
      </c>
      <c r="M517" s="189">
        <f>IFERROR(__xludf.DUMMYFUNCTION("""COMPUTED_VALUE"""),811.0)</f>
        <v>811</v>
      </c>
      <c r="N517" s="189">
        <f>IFERROR(__xludf.DUMMYFUNCTION("""COMPUTED_VALUE"""),840.0)</f>
        <v>840</v>
      </c>
      <c r="O517" s="189">
        <f>IFERROR(__xludf.DUMMYFUNCTION("""COMPUTED_VALUE"""),825.0)</f>
        <v>825</v>
      </c>
      <c r="P517" s="189">
        <f>IFERROR(__xludf.DUMMYFUNCTION("""COMPUTED_VALUE"""),858.0)</f>
        <v>858</v>
      </c>
      <c r="Q517" s="189">
        <f>IFERROR(__xludf.DUMMYFUNCTION("""COMPUTED_VALUE"""),829.0)</f>
        <v>829</v>
      </c>
      <c r="R517" s="186"/>
      <c r="S517" s="189">
        <f>IFERROR(__xludf.DUMMYFUNCTION("""COMPUTED_VALUE"""),835.0)</f>
        <v>835</v>
      </c>
    </row>
    <row r="518">
      <c r="A518" s="186" t="str">
        <f>IFERROR(__xludf.DUMMYFUNCTION("""COMPUTED_VALUE"""),"DE")</f>
        <v>DE</v>
      </c>
      <c r="B518" s="186" t="str">
        <f>IFERROR(__xludf.DUMMYFUNCTION("""COMPUTED_VALUE"""),"W06")</f>
        <v>W06</v>
      </c>
      <c r="C518" s="186">
        <f>IFERROR(__xludf.DUMMYFUNCTION("""COMPUTED_VALUE"""),316.0)</f>
        <v>316</v>
      </c>
      <c r="D518" s="186" t="str">
        <f>IFERROR(__xludf.DUMMYFUNCTION("""COMPUTED_VALUE"""),"CON-00-155186-2")</f>
        <v>CON-00-155186-2</v>
      </c>
      <c r="E518" s="186" t="str">
        <f>IFERROR(__xludf.DUMMYFUNCTION("""COMPUTED_VALUE"""),"Fiery Kung Pao Peanut Chicken")</f>
        <v>Fiery Kung Pao Peanut Chicken</v>
      </c>
      <c r="F518" s="186" t="str">
        <f>IFERROR(__xludf.DUMMYFUNCTION("""COMPUTED_VALUE"""),"Feuriges Kung-Pao-Hähnchen mit Erdnüssen")</f>
        <v>Feuriges Kung-Pao-Hähnchen mit Erdnüssen</v>
      </c>
      <c r="G518" s="186" t="str">
        <f>IFERROR(__xludf.DUMMYFUNCTION("""COMPUTED_VALUE"""),"FE1712A")</f>
        <v>FE1712A</v>
      </c>
      <c r="H518" s="186">
        <f>IFERROR(__xludf.DUMMYFUNCTION("""COMPUTED_VALUE"""),565250.0)</f>
        <v>565250</v>
      </c>
      <c r="I518" s="186" t="str">
        <f>IFERROR(__xludf.DUMMYFUNCTION("""COMPUTED_VALUE"""),"HF Kung pao peanut chicken")</f>
        <v>HF Kung pao peanut chicken</v>
      </c>
      <c r="J518" s="189">
        <f>IFERROR(__xludf.DUMMYFUNCTION("""COMPUTED_VALUE"""),496.0)</f>
        <v>496</v>
      </c>
      <c r="K518" s="189">
        <f>IFERROR(__xludf.DUMMYFUNCTION("""COMPUTED_VALUE"""),609.0)</f>
        <v>609</v>
      </c>
      <c r="L518" s="189">
        <f>IFERROR(__xludf.DUMMYFUNCTION("""COMPUTED_VALUE"""),716.0)</f>
        <v>716</v>
      </c>
      <c r="M518" s="189">
        <f>IFERROR(__xludf.DUMMYFUNCTION("""COMPUTED_VALUE"""),987.0)</f>
        <v>987</v>
      </c>
      <c r="N518" s="189">
        <f>IFERROR(__xludf.DUMMYFUNCTION("""COMPUTED_VALUE"""),937.0)</f>
        <v>937</v>
      </c>
      <c r="O518" s="189">
        <f>IFERROR(__xludf.DUMMYFUNCTION("""COMPUTED_VALUE"""),898.0)</f>
        <v>898</v>
      </c>
      <c r="P518" s="189">
        <f>IFERROR(__xludf.DUMMYFUNCTION("""COMPUTED_VALUE"""),916.0)</f>
        <v>916</v>
      </c>
      <c r="Q518" s="189">
        <f>IFERROR(__xludf.DUMMYFUNCTION("""COMPUTED_VALUE"""),894.0)</f>
        <v>894</v>
      </c>
      <c r="R518" s="186"/>
      <c r="S518" s="189">
        <f>IFERROR(__xludf.DUMMYFUNCTION("""COMPUTED_VALUE"""),940.0)</f>
        <v>940</v>
      </c>
    </row>
    <row r="519">
      <c r="A519" s="186" t="str">
        <f>IFERROR(__xludf.DUMMYFUNCTION("""COMPUTED_VALUE"""),"DE")</f>
        <v>DE</v>
      </c>
      <c r="B519" s="186" t="str">
        <f>IFERROR(__xludf.DUMMYFUNCTION("""COMPUTED_VALUE"""),"W06")</f>
        <v>W06</v>
      </c>
      <c r="C519" s="186">
        <f>IFERROR(__xludf.DUMMYFUNCTION("""COMPUTED_VALUE"""),317.0)</f>
        <v>317</v>
      </c>
      <c r="D519" s="186" t="str">
        <f>IFERROR(__xludf.DUMMYFUNCTION("""COMPUTED_VALUE"""),"CON-00-139494-2")</f>
        <v>CON-00-139494-2</v>
      </c>
      <c r="E519" s="186" t="str">
        <f>IFERROR(__xludf.DUMMYFUNCTION("""COMPUTED_VALUE"""),"Artichoke &amp; Spinach Pork tenderloin")</f>
        <v>Artichoke &amp; Spinach Pork tenderloin</v>
      </c>
      <c r="F519" s="186" t="str">
        <f>IFERROR(__xludf.DUMMYFUNCTION("""COMPUTED_VALUE"""),"Schweinefilet mit Artischocken und Spinat")</f>
        <v>Schweinefilet mit Artischocken und Spinat</v>
      </c>
      <c r="G519" s="186" t="str">
        <f>IFERROR(__xludf.DUMMYFUNCTION("""COMPUTED_VALUE"""),"FE4060A")</f>
        <v>FE4060A</v>
      </c>
      <c r="H519" s="186">
        <f>IFERROR(__xludf.DUMMYFUNCTION("""COMPUTED_VALUE"""),565134.0)</f>
        <v>565134</v>
      </c>
      <c r="I519" s="186"/>
      <c r="J519" s="189">
        <f>IFERROR(__xludf.DUMMYFUNCTION("""COMPUTED_VALUE"""),756.0)</f>
        <v>756</v>
      </c>
      <c r="K519" s="189">
        <f>IFERROR(__xludf.DUMMYFUNCTION("""COMPUTED_VALUE"""),832.0)</f>
        <v>832</v>
      </c>
      <c r="L519" s="189">
        <f>IFERROR(__xludf.DUMMYFUNCTION("""COMPUTED_VALUE"""),875.0)</f>
        <v>875</v>
      </c>
      <c r="M519" s="189">
        <f>IFERROR(__xludf.DUMMYFUNCTION("""COMPUTED_VALUE"""),917.0)</f>
        <v>917</v>
      </c>
      <c r="N519" s="189">
        <f>IFERROR(__xludf.DUMMYFUNCTION("""COMPUTED_VALUE"""),938.0)</f>
        <v>938</v>
      </c>
      <c r="O519" s="189">
        <f>IFERROR(__xludf.DUMMYFUNCTION("""COMPUTED_VALUE"""),988.0)</f>
        <v>988</v>
      </c>
      <c r="P519" s="189">
        <f>IFERROR(__xludf.DUMMYFUNCTION("""COMPUTED_VALUE"""),1014.0)</f>
        <v>1014</v>
      </c>
      <c r="Q519" s="189">
        <f>IFERROR(__xludf.DUMMYFUNCTION("""COMPUTED_VALUE"""),1008.0)</f>
        <v>1008</v>
      </c>
      <c r="R519" s="186"/>
      <c r="S519" s="189">
        <f>IFERROR(__xludf.DUMMYFUNCTION("""COMPUTED_VALUE"""),1028.0)</f>
        <v>1028</v>
      </c>
    </row>
    <row r="520">
      <c r="A520" s="186" t="str">
        <f>IFERROR(__xludf.DUMMYFUNCTION("""COMPUTED_VALUE"""),"DE")</f>
        <v>DE</v>
      </c>
      <c r="B520" s="186" t="str">
        <f>IFERROR(__xludf.DUMMYFUNCTION("""COMPUTED_VALUE"""),"W06")</f>
        <v>W06</v>
      </c>
      <c r="C520" s="186">
        <f>IFERROR(__xludf.DUMMYFUNCTION("""COMPUTED_VALUE"""),318.0)</f>
        <v>318</v>
      </c>
      <c r="D520" s="186" t="str">
        <f>IFERROR(__xludf.DUMMYFUNCTION("""COMPUTED_VALUE"""),"CON-00-136639-3")</f>
        <v>CON-00-136639-3</v>
      </c>
      <c r="E520" s="186" t="str">
        <f>IFERROR(__xludf.DUMMYFUNCTION("""COMPUTED_VALUE"""),"Pork tenderloin in red pepper sauce")</f>
        <v>Pork tenderloin in red pepper sauce</v>
      </c>
      <c r="F520" s="186" t="str">
        <f>IFERROR(__xludf.DUMMYFUNCTION("""COMPUTED_VALUE"""),"Schweinefilet in Paprikasauce")</f>
        <v>Schweinefilet in Paprikasauce</v>
      </c>
      <c r="G520" s="186" t="str">
        <f>IFERROR(__xludf.DUMMYFUNCTION("""COMPUTED_VALUE"""),"FE0430E")</f>
        <v>FE0430E</v>
      </c>
      <c r="H520" s="186">
        <f>IFERROR(__xludf.DUMMYFUNCTION("""COMPUTED_VALUE"""),565140.0)</f>
        <v>565140</v>
      </c>
      <c r="I520" s="186"/>
      <c r="J520" s="189">
        <f>IFERROR(__xludf.DUMMYFUNCTION("""COMPUTED_VALUE"""),406.0)</f>
        <v>406</v>
      </c>
      <c r="K520" s="189">
        <f>IFERROR(__xludf.DUMMYFUNCTION("""COMPUTED_VALUE"""),404.0)</f>
        <v>404</v>
      </c>
      <c r="L520" s="189">
        <f>IFERROR(__xludf.DUMMYFUNCTION("""COMPUTED_VALUE"""),500.0)</f>
        <v>500</v>
      </c>
      <c r="M520" s="189">
        <f>IFERROR(__xludf.DUMMYFUNCTION("""COMPUTED_VALUE"""),580.0)</f>
        <v>580</v>
      </c>
      <c r="N520" s="189">
        <f>IFERROR(__xludf.DUMMYFUNCTION("""COMPUTED_VALUE"""),581.0)</f>
        <v>581</v>
      </c>
      <c r="O520" s="189">
        <f>IFERROR(__xludf.DUMMYFUNCTION("""COMPUTED_VALUE"""),575.0)</f>
        <v>575</v>
      </c>
      <c r="P520" s="189">
        <f>IFERROR(__xludf.DUMMYFUNCTION("""COMPUTED_VALUE"""),580.0)</f>
        <v>580</v>
      </c>
      <c r="Q520" s="189">
        <f>IFERROR(__xludf.DUMMYFUNCTION("""COMPUTED_VALUE"""),577.0)</f>
        <v>577</v>
      </c>
      <c r="R520" s="186"/>
      <c r="S520" s="189">
        <f>IFERROR(__xludf.DUMMYFUNCTION("""COMPUTED_VALUE"""),593.0)</f>
        <v>593</v>
      </c>
    </row>
    <row r="521">
      <c r="A521" s="186" t="str">
        <f>IFERROR(__xludf.DUMMYFUNCTION("""COMPUTED_VALUE"""),"DE")</f>
        <v>DE</v>
      </c>
      <c r="B521" s="186" t="str">
        <f>IFERROR(__xludf.DUMMYFUNCTION("""COMPUTED_VALUE"""),"W06")</f>
        <v>W06</v>
      </c>
      <c r="C521" s="186">
        <f>IFERROR(__xludf.DUMMYFUNCTION("""COMPUTED_VALUE"""),806.0)</f>
        <v>806</v>
      </c>
      <c r="D521" s="186" t="str">
        <f>IFERROR(__xludf.DUMMYFUNCTION("""COMPUTED_VALUE"""),"PTN-00-136930-3")</f>
        <v>PTN-00-136930-3</v>
      </c>
      <c r="E521" s="186" t="str">
        <f>IFERROR(__xludf.DUMMYFUNCTION("""COMPUTED_VALUE"""),"Garlic Herb Grilled Chicken")</f>
        <v>Garlic Herb Grilled Chicken</v>
      </c>
      <c r="F521" s="186" t="str">
        <f>IFERROR(__xludf.DUMMYFUNCTION("""COMPUTED_VALUE"""),"Gegrilltes Hähnchen mit Knoblauch-Kräutern")</f>
        <v>Gegrilltes Hähnchen mit Knoblauch-Kräutern</v>
      </c>
      <c r="G521" s="186" t="str">
        <f>IFERROR(__xludf.DUMMYFUNCTION("""COMPUTED_VALUE"""),"FEA006A")</f>
        <v>FEA006A</v>
      </c>
      <c r="H521" s="186">
        <f>IFERROR(__xludf.DUMMYFUNCTION("""COMPUTED_VALUE"""),565119.0)</f>
        <v>565119</v>
      </c>
      <c r="I521" s="186"/>
      <c r="J521" s="189">
        <f>IFERROR(__xludf.DUMMYFUNCTION("""COMPUTED_VALUE"""),79.0)</f>
        <v>79</v>
      </c>
      <c r="K521" s="189">
        <f>IFERROR(__xludf.DUMMYFUNCTION("""COMPUTED_VALUE"""),79.0)</f>
        <v>79</v>
      </c>
      <c r="L521" s="189">
        <f>IFERROR(__xludf.DUMMYFUNCTION("""COMPUTED_VALUE"""),79.0)</f>
        <v>79</v>
      </c>
      <c r="M521" s="189">
        <f>IFERROR(__xludf.DUMMYFUNCTION("""COMPUTED_VALUE"""),79.0)</f>
        <v>79</v>
      </c>
      <c r="N521" s="189">
        <f>IFERROR(__xludf.DUMMYFUNCTION("""COMPUTED_VALUE"""),87.0)</f>
        <v>87</v>
      </c>
      <c r="O521" s="189">
        <f>IFERROR(__xludf.DUMMYFUNCTION("""COMPUTED_VALUE"""),87.0)</f>
        <v>87</v>
      </c>
      <c r="P521" s="189">
        <f>IFERROR(__xludf.DUMMYFUNCTION("""COMPUTED_VALUE"""),87.0)</f>
        <v>87</v>
      </c>
      <c r="Q521" s="189">
        <f>IFERROR(__xludf.DUMMYFUNCTION("""COMPUTED_VALUE"""),87.0)</f>
        <v>87</v>
      </c>
      <c r="R521" s="186"/>
      <c r="S521" s="189">
        <f>IFERROR(__xludf.DUMMYFUNCTION("""COMPUTED_VALUE"""),63.0)</f>
        <v>63</v>
      </c>
    </row>
    <row r="522">
      <c r="A522" s="186" t="str">
        <f>IFERROR(__xludf.DUMMYFUNCTION("""COMPUTED_VALUE"""),"DE")</f>
        <v>DE</v>
      </c>
      <c r="B522" s="186" t="str">
        <f>IFERROR(__xludf.DUMMYFUNCTION("""COMPUTED_VALUE"""),"W06")</f>
        <v>W06</v>
      </c>
      <c r="C522" s="186"/>
      <c r="D522" s="186"/>
      <c r="E522" s="186"/>
      <c r="F522" s="186"/>
      <c r="G522" s="186"/>
      <c r="H522" s="186"/>
      <c r="I522" s="186"/>
      <c r="J522" s="189">
        <f>IFERROR(__xludf.DUMMYFUNCTION("""COMPUTED_VALUE"""),21665.0)</f>
        <v>21665</v>
      </c>
      <c r="K522" s="189">
        <f>IFERROR(__xludf.DUMMYFUNCTION("""COMPUTED_VALUE"""),25255.0)</f>
        <v>25255</v>
      </c>
      <c r="L522" s="189">
        <f>IFERROR(__xludf.DUMMYFUNCTION("""COMPUTED_VALUE"""),25901.0)</f>
        <v>25901</v>
      </c>
      <c r="M522" s="189">
        <f>IFERROR(__xludf.DUMMYFUNCTION("""COMPUTED_VALUE"""),27664.0)</f>
        <v>27664</v>
      </c>
      <c r="N522" s="189">
        <f>IFERROR(__xludf.DUMMYFUNCTION("""COMPUTED_VALUE"""),27422.0)</f>
        <v>27422</v>
      </c>
      <c r="O522" s="189">
        <f>IFERROR(__xludf.DUMMYFUNCTION("""COMPUTED_VALUE"""),27418.0)</f>
        <v>27418</v>
      </c>
      <c r="P522" s="189">
        <f>IFERROR(__xludf.DUMMYFUNCTION("""COMPUTED_VALUE"""),28262.0)</f>
        <v>28262</v>
      </c>
      <c r="Q522" s="189">
        <f>IFERROR(__xludf.DUMMYFUNCTION("""COMPUTED_VALUE"""),27780.0)</f>
        <v>27780</v>
      </c>
      <c r="R522" s="189">
        <f>IFERROR(__xludf.DUMMYFUNCTION("""COMPUTED_VALUE"""),0.0)</f>
        <v>0</v>
      </c>
      <c r="S522" s="189">
        <f>IFERROR(__xludf.DUMMYFUNCTION("""COMPUTED_VALUE"""),28401.0)</f>
        <v>28401</v>
      </c>
    </row>
    <row r="523">
      <c r="A523" s="186" t="str">
        <f>IFERROR(__xludf.DUMMYFUNCTION("""COMPUTED_VALUE"""),"NORDICS")</f>
        <v>NORDICS</v>
      </c>
      <c r="B523" s="186" t="str">
        <f>IFERROR(__xludf.DUMMYFUNCTION("""COMPUTED_VALUE"""),"W07")</f>
        <v>W07</v>
      </c>
      <c r="C523" s="186">
        <f>IFERROR(__xludf.DUMMYFUNCTION("""COMPUTED_VALUE"""),301.0)</f>
        <v>301</v>
      </c>
      <c r="D523" s="186" t="str">
        <f>IFERROR(__xludf.DUMMYFUNCTION("""COMPUTED_VALUE"""),"CON-00-147827-2")</f>
        <v>CON-00-147827-2</v>
      </c>
      <c r="E523" s="186" t="str">
        <f>IFERROR(__xludf.DUMMYFUNCTION("""COMPUTED_VALUE"""),"Chicken à la Florentine")</f>
        <v>Chicken à la Florentine</v>
      </c>
      <c r="F523" s="186" t="str">
        <f>IFERROR(__xludf.DUMMYFUNCTION("""COMPUTED_VALUE"""),"Kylling à la Florentine")</f>
        <v>Kylling à la Florentine</v>
      </c>
      <c r="G523" s="186" t="str">
        <f>IFERROR(__xludf.DUMMYFUNCTION("""COMPUTED_VALUE"""),"FE0224C")</f>
        <v>FE0224C</v>
      </c>
      <c r="H523" s="186">
        <f>IFERROR(__xludf.DUMMYFUNCTION("""COMPUTED_VALUE"""),565047.0)</f>
        <v>565047</v>
      </c>
      <c r="I523" s="186" t="str">
        <f>IFERROR(__xludf.DUMMYFUNCTION("""COMPUTED_VALUE"""),"HF Kip Florentine 404g")</f>
        <v>HF Kip Florentine 404g</v>
      </c>
      <c r="J523" s="189">
        <f>IFERROR(__xludf.DUMMYFUNCTION("""COMPUTED_VALUE"""),5241.0)</f>
        <v>5241</v>
      </c>
      <c r="K523" s="189">
        <f>IFERROR(__xludf.DUMMYFUNCTION("""COMPUTED_VALUE"""),5743.0)</f>
        <v>5743</v>
      </c>
      <c r="L523" s="189">
        <f>IFERROR(__xludf.DUMMYFUNCTION("""COMPUTED_VALUE"""),5114.0)</f>
        <v>5114</v>
      </c>
      <c r="M523" s="189">
        <f>IFERROR(__xludf.DUMMYFUNCTION("""COMPUTED_VALUE"""),5324.0)</f>
        <v>5324</v>
      </c>
      <c r="N523" s="189">
        <f>IFERROR(__xludf.DUMMYFUNCTION("""COMPUTED_VALUE"""),5071.0)</f>
        <v>5071</v>
      </c>
      <c r="O523" s="189">
        <f>IFERROR(__xludf.DUMMYFUNCTION("""COMPUTED_VALUE"""),5039.0)</f>
        <v>5039</v>
      </c>
      <c r="P523" s="189">
        <f>IFERROR(__xludf.DUMMYFUNCTION("""COMPUTED_VALUE"""),4973.0)</f>
        <v>4973</v>
      </c>
      <c r="Q523" s="189">
        <f>IFERROR(__xludf.DUMMYFUNCTION("""COMPUTED_VALUE"""),4936.0)</f>
        <v>4936</v>
      </c>
      <c r="R523" s="186"/>
      <c r="S523" s="189">
        <f>IFERROR(__xludf.DUMMYFUNCTION("""COMPUTED_VALUE"""),4535.0)</f>
        <v>4535</v>
      </c>
    </row>
    <row r="524">
      <c r="A524" s="186" t="str">
        <f>IFERROR(__xludf.DUMMYFUNCTION("""COMPUTED_VALUE"""),"NORDICS")</f>
        <v>NORDICS</v>
      </c>
      <c r="B524" s="186" t="str">
        <f>IFERROR(__xludf.DUMMYFUNCTION("""COMPUTED_VALUE"""),"W07")</f>
        <v>W07</v>
      </c>
      <c r="C524" s="186">
        <f>IFERROR(__xludf.DUMMYFUNCTION("""COMPUTED_VALUE"""),302.0)</f>
        <v>302</v>
      </c>
      <c r="D524" s="186" t="str">
        <f>IFERROR(__xludf.DUMMYFUNCTION("""COMPUTED_VALUE"""),"CON-00-147840-2")</f>
        <v>CON-00-147840-2</v>
      </c>
      <c r="E524" s="186" t="str">
        <f>IFERROR(__xludf.DUMMYFUNCTION("""COMPUTED_VALUE"""),"Grilled chicken fillet and potato leek mash")</f>
        <v>Grilled chicken fillet and potato leek mash</v>
      </c>
      <c r="F524" s="186" t="str">
        <f>IFERROR(__xludf.DUMMYFUNCTION("""COMPUTED_VALUE"""),"Grillet kyllingefilet og kartoffel-porremos")</f>
        <v>Grillet kyllingefilet og kartoffel-porremos</v>
      </c>
      <c r="G524" s="186" t="str">
        <f>IFERROR(__xludf.DUMMYFUNCTION("""COMPUTED_VALUE"""),"FE0426B")</f>
        <v>FE0426B</v>
      </c>
      <c r="H524" s="186">
        <f>IFERROR(__xludf.DUMMYFUNCTION("""COMPUTED_VALUE"""),565035.0)</f>
        <v>565035</v>
      </c>
      <c r="I524" s="186" t="str">
        <f>IFERROR(__xludf.DUMMYFUNCTION("""COMPUTED_VALUE"""),"HF Puree van aardappel en prei met gegrilde kip 416g")</f>
        <v>HF Puree van aardappel en prei met gegrilde kip 416g</v>
      </c>
      <c r="J524" s="189">
        <f>IFERROR(__xludf.DUMMYFUNCTION("""COMPUTED_VALUE"""),3519.0)</f>
        <v>3519</v>
      </c>
      <c r="K524" s="189">
        <f>IFERROR(__xludf.DUMMYFUNCTION("""COMPUTED_VALUE"""),3980.0)</f>
        <v>3980</v>
      </c>
      <c r="L524" s="189">
        <f>IFERROR(__xludf.DUMMYFUNCTION("""COMPUTED_VALUE"""),3238.0)</f>
        <v>3238</v>
      </c>
      <c r="M524" s="189">
        <f>IFERROR(__xludf.DUMMYFUNCTION("""COMPUTED_VALUE"""),3333.0)</f>
        <v>3333</v>
      </c>
      <c r="N524" s="189">
        <f>IFERROR(__xludf.DUMMYFUNCTION("""COMPUTED_VALUE"""),3130.0)</f>
        <v>3130</v>
      </c>
      <c r="O524" s="189">
        <f>IFERROR(__xludf.DUMMYFUNCTION("""COMPUTED_VALUE"""),3223.0)</f>
        <v>3223</v>
      </c>
      <c r="P524" s="189">
        <f>IFERROR(__xludf.DUMMYFUNCTION("""COMPUTED_VALUE"""),3218.0)</f>
        <v>3218</v>
      </c>
      <c r="Q524" s="189">
        <f>IFERROR(__xludf.DUMMYFUNCTION("""COMPUTED_VALUE"""),3199.0)</f>
        <v>3199</v>
      </c>
      <c r="R524" s="186"/>
      <c r="S524" s="189">
        <f>IFERROR(__xludf.DUMMYFUNCTION("""COMPUTED_VALUE"""),2956.0)</f>
        <v>2956</v>
      </c>
    </row>
    <row r="525">
      <c r="A525" s="186" t="str">
        <f>IFERROR(__xludf.DUMMYFUNCTION("""COMPUTED_VALUE"""),"NORDICS")</f>
        <v>NORDICS</v>
      </c>
      <c r="B525" s="186" t="str">
        <f>IFERROR(__xludf.DUMMYFUNCTION("""COMPUTED_VALUE"""),"W07")</f>
        <v>W07</v>
      </c>
      <c r="C525" s="186">
        <f>IFERROR(__xludf.DUMMYFUNCTION("""COMPUTED_VALUE"""),303.0)</f>
        <v>303</v>
      </c>
      <c r="D525" s="186" t="str">
        <f>IFERROR(__xludf.DUMMYFUNCTION("""COMPUTED_VALUE"""),"CON-00-147896-2")</f>
        <v>CON-00-147896-2</v>
      </c>
      <c r="E525" s="186" t="str">
        <f>IFERROR(__xludf.DUMMYFUNCTION("""COMPUTED_VALUE"""),"Chicken in creamy basil sauce")</f>
        <v>Chicken in creamy basil sauce</v>
      </c>
      <c r="F525" s="186" t="str">
        <f>IFERROR(__xludf.DUMMYFUNCTION("""COMPUTED_VALUE"""),"Kylling i cremet basilikumssauce")</f>
        <v>Kylling i cremet basilikumssauce</v>
      </c>
      <c r="G525" s="186" t="str">
        <f>IFERROR(__xludf.DUMMYFUNCTION("""COMPUTED_VALUE"""),"FE4040B")</f>
        <v>FE4040B</v>
      </c>
      <c r="H525" s="186">
        <f>IFERROR(__xludf.DUMMYFUNCTION("""COMPUTED_VALUE"""),565172.0)</f>
        <v>565172</v>
      </c>
      <c r="I525" s="186"/>
      <c r="J525" s="189">
        <f>IFERROR(__xludf.DUMMYFUNCTION("""COMPUTED_VALUE"""),3420.0)</f>
        <v>3420</v>
      </c>
      <c r="K525" s="189">
        <f>IFERROR(__xludf.DUMMYFUNCTION("""COMPUTED_VALUE"""),3546.0)</f>
        <v>3546</v>
      </c>
      <c r="L525" s="189">
        <f>IFERROR(__xludf.DUMMYFUNCTION("""COMPUTED_VALUE"""),2503.0)</f>
        <v>2503</v>
      </c>
      <c r="M525" s="189">
        <f>IFERROR(__xludf.DUMMYFUNCTION("""COMPUTED_VALUE"""),2651.0)</f>
        <v>2651</v>
      </c>
      <c r="N525" s="189">
        <f>IFERROR(__xludf.DUMMYFUNCTION("""COMPUTED_VALUE"""),2577.0)</f>
        <v>2577</v>
      </c>
      <c r="O525" s="189">
        <f>IFERROR(__xludf.DUMMYFUNCTION("""COMPUTED_VALUE"""),2578.0)</f>
        <v>2578</v>
      </c>
      <c r="P525" s="189">
        <f>IFERROR(__xludf.DUMMYFUNCTION("""COMPUTED_VALUE"""),2541.0)</f>
        <v>2541</v>
      </c>
      <c r="Q525" s="189">
        <f>IFERROR(__xludf.DUMMYFUNCTION("""COMPUTED_VALUE"""),2548.0)</f>
        <v>2548</v>
      </c>
      <c r="R525" s="186"/>
      <c r="S525" s="189">
        <f>IFERROR(__xludf.DUMMYFUNCTION("""COMPUTED_VALUE"""),2356.0)</f>
        <v>2356</v>
      </c>
    </row>
    <row r="526">
      <c r="A526" s="186" t="str">
        <f>IFERROR(__xludf.DUMMYFUNCTION("""COMPUTED_VALUE"""),"NORDICS")</f>
        <v>NORDICS</v>
      </c>
      <c r="B526" s="186" t="str">
        <f>IFERROR(__xludf.DUMMYFUNCTION("""COMPUTED_VALUE"""),"W07")</f>
        <v>W07</v>
      </c>
      <c r="C526" s="186">
        <f>IFERROR(__xludf.DUMMYFUNCTION("""COMPUTED_VALUE"""),304.0)</f>
        <v>304</v>
      </c>
      <c r="D526" s="186" t="str">
        <f>IFERROR(__xludf.DUMMYFUNCTION("""COMPUTED_VALUE"""),"CON-00-150389-2")</f>
        <v>CON-00-150389-2</v>
      </c>
      <c r="E526" s="186" t="str">
        <f>IFERROR(__xludf.DUMMYFUNCTION("""COMPUTED_VALUE"""),"Parmesan &amp; Garlic Cream Pulled Beef")</f>
        <v>Parmesan &amp; Garlic Cream Pulled Beef</v>
      </c>
      <c r="F526" s="186" t="str">
        <f>IFERROR(__xludf.DUMMYFUNCTION("""COMPUTED_VALUE"""),"Pulled beef med cremet parmesan og hvidløg")</f>
        <v>Pulled beef med cremet parmesan og hvidløg</v>
      </c>
      <c r="G526" s="186" t="str">
        <f>IFERROR(__xludf.DUMMYFUNCTION("""COMPUTED_VALUE"""),"FE1346B")</f>
        <v>FE1346B</v>
      </c>
      <c r="H526" s="186">
        <f>IFERROR(__xludf.DUMMYFUNCTION("""COMPUTED_VALUE"""),565184.0)</f>
        <v>565184</v>
      </c>
      <c r="I526" s="186" t="str">
        <f>IFERROR(__xludf.DUMMYFUNCTION("""COMPUTED_VALUE"""),"HF Pulled beef &amp; knoflook room")</f>
        <v>HF Pulled beef &amp; knoflook room</v>
      </c>
      <c r="J526" s="189">
        <f>IFERROR(__xludf.DUMMYFUNCTION("""COMPUTED_VALUE"""),4086.0)</f>
        <v>4086</v>
      </c>
      <c r="K526" s="189">
        <f>IFERROR(__xludf.DUMMYFUNCTION("""COMPUTED_VALUE"""),4554.0)</f>
        <v>4554</v>
      </c>
      <c r="L526" s="189">
        <f>IFERROR(__xludf.DUMMYFUNCTION("""COMPUTED_VALUE"""),5244.0)</f>
        <v>5244</v>
      </c>
      <c r="M526" s="189">
        <f>IFERROR(__xludf.DUMMYFUNCTION("""COMPUTED_VALUE"""),5084.0)</f>
        <v>5084</v>
      </c>
      <c r="N526" s="189">
        <f>IFERROR(__xludf.DUMMYFUNCTION("""COMPUTED_VALUE"""),4842.0)</f>
        <v>4842</v>
      </c>
      <c r="O526" s="189">
        <f>IFERROR(__xludf.DUMMYFUNCTION("""COMPUTED_VALUE"""),4885.0)</f>
        <v>4885</v>
      </c>
      <c r="P526" s="189">
        <f>IFERROR(__xludf.DUMMYFUNCTION("""COMPUTED_VALUE"""),4831.0)</f>
        <v>4831</v>
      </c>
      <c r="Q526" s="189">
        <f>IFERROR(__xludf.DUMMYFUNCTION("""COMPUTED_VALUE"""),4808.0)</f>
        <v>4808</v>
      </c>
      <c r="R526" s="186"/>
      <c r="S526" s="189">
        <f>IFERROR(__xludf.DUMMYFUNCTION("""COMPUTED_VALUE"""),4411.0)</f>
        <v>4411</v>
      </c>
    </row>
    <row r="527">
      <c r="A527" s="186" t="str">
        <f>IFERROR(__xludf.DUMMYFUNCTION("""COMPUTED_VALUE"""),"NORDICS")</f>
        <v>NORDICS</v>
      </c>
      <c r="B527" s="186" t="str">
        <f>IFERROR(__xludf.DUMMYFUNCTION("""COMPUTED_VALUE"""),"W07")</f>
        <v>W07</v>
      </c>
      <c r="C527" s="186">
        <f>IFERROR(__xludf.DUMMYFUNCTION("""COMPUTED_VALUE"""),305.0)</f>
        <v>305</v>
      </c>
      <c r="D527" s="186" t="str">
        <f>IFERROR(__xludf.DUMMYFUNCTION("""COMPUTED_VALUE"""),"CON-00-147877-2")</f>
        <v>CON-00-147877-2</v>
      </c>
      <c r="E527" s="186" t="str">
        <f>IFERROR(__xludf.DUMMYFUNCTION("""COMPUTED_VALUE"""),"Creamy basil risotto with chicken")</f>
        <v>Creamy basil risotto with chicken</v>
      </c>
      <c r="F527" s="186" t="str">
        <f>IFERROR(__xludf.DUMMYFUNCTION("""COMPUTED_VALUE"""),"Cremet basilikumrisotto med kylling")</f>
        <v>Cremet basilikumrisotto med kylling</v>
      </c>
      <c r="G527" s="186" t="str">
        <f>IFERROR(__xludf.DUMMYFUNCTION("""COMPUTED_VALUE"""),"FE4014B")</f>
        <v>FE4014B</v>
      </c>
      <c r="H527" s="186">
        <f>IFERROR(__xludf.DUMMYFUNCTION("""COMPUTED_VALUE"""),565122.0)</f>
        <v>565122</v>
      </c>
      <c r="I527" s="186"/>
      <c r="J527" s="189">
        <f>IFERROR(__xludf.DUMMYFUNCTION("""COMPUTED_VALUE"""),3406.0)</f>
        <v>3406</v>
      </c>
      <c r="K527" s="189">
        <f>IFERROR(__xludf.DUMMYFUNCTION("""COMPUTED_VALUE"""),3262.0)</f>
        <v>3262</v>
      </c>
      <c r="L527" s="189">
        <f>IFERROR(__xludf.DUMMYFUNCTION("""COMPUTED_VALUE"""),2594.0)</f>
        <v>2594</v>
      </c>
      <c r="M527" s="189">
        <f>IFERROR(__xludf.DUMMYFUNCTION("""COMPUTED_VALUE"""),2535.0)</f>
        <v>2535</v>
      </c>
      <c r="N527" s="189">
        <f>IFERROR(__xludf.DUMMYFUNCTION("""COMPUTED_VALUE"""),2371.0)</f>
        <v>2371</v>
      </c>
      <c r="O527" s="189">
        <f>IFERROR(__xludf.DUMMYFUNCTION("""COMPUTED_VALUE"""),2327.0)</f>
        <v>2327</v>
      </c>
      <c r="P527" s="189">
        <f>IFERROR(__xludf.DUMMYFUNCTION("""COMPUTED_VALUE"""),2320.0)</f>
        <v>2320</v>
      </c>
      <c r="Q527" s="189">
        <f>IFERROR(__xludf.DUMMYFUNCTION("""COMPUTED_VALUE"""),2319.0)</f>
        <v>2319</v>
      </c>
      <c r="R527" s="186"/>
      <c r="S527" s="189">
        <f>IFERROR(__xludf.DUMMYFUNCTION("""COMPUTED_VALUE"""),2140.0)</f>
        <v>2140</v>
      </c>
    </row>
    <row r="528">
      <c r="A528" s="186" t="str">
        <f>IFERROR(__xludf.DUMMYFUNCTION("""COMPUTED_VALUE"""),"NORDICS")</f>
        <v>NORDICS</v>
      </c>
      <c r="B528" s="186" t="str">
        <f>IFERROR(__xludf.DUMMYFUNCTION("""COMPUTED_VALUE"""),"W07")</f>
        <v>W07</v>
      </c>
      <c r="C528" s="186">
        <f>IFERROR(__xludf.DUMMYFUNCTION("""COMPUTED_VALUE"""),306.0)</f>
        <v>306</v>
      </c>
      <c r="D528" s="186" t="str">
        <f>IFERROR(__xludf.DUMMYFUNCTION("""COMPUTED_VALUE"""),"CON-00-147814-2")</f>
        <v>CON-00-147814-2</v>
      </c>
      <c r="E528" s="186" t="str">
        <f>IFERROR(__xludf.DUMMYFUNCTION("""COMPUTED_VALUE"""),"Salmon on cheesy cauliflower rice")</f>
        <v>Salmon on cheesy cauliflower rice</v>
      </c>
      <c r="F528" s="186" t="str">
        <f>IFERROR(__xludf.DUMMYFUNCTION("""COMPUTED_VALUE"""),"Laks og ostegratineret blomkålsris")</f>
        <v>Laks og ostegratineret blomkålsris</v>
      </c>
      <c r="G528" s="186" t="str">
        <f>IFERROR(__xludf.DUMMYFUNCTION("""COMPUTED_VALUE"""),"FE0036E")</f>
        <v>FE0036E</v>
      </c>
      <c r="H528" s="186">
        <f>IFERROR(__xludf.DUMMYFUNCTION("""COMPUTED_VALUE"""),565042.0)</f>
        <v>565042</v>
      </c>
      <c r="I528" s="186" t="str">
        <f>IFERROR(__xludf.DUMMYFUNCTION("""COMPUTED_VALUE"""),"HF Zalm+cheesy bloemk rijst")</f>
        <v>HF Zalm+cheesy bloemk rijst</v>
      </c>
      <c r="J528" s="189">
        <f>IFERROR(__xludf.DUMMYFUNCTION("""COMPUTED_VALUE"""),2445.0)</f>
        <v>2445</v>
      </c>
      <c r="K528" s="189">
        <f>IFERROR(__xludf.DUMMYFUNCTION("""COMPUTED_VALUE"""),2701.0)</f>
        <v>2701</v>
      </c>
      <c r="L528" s="189">
        <f>IFERROR(__xludf.DUMMYFUNCTION("""COMPUTED_VALUE"""),2920.0)</f>
        <v>2920</v>
      </c>
      <c r="M528" s="189">
        <f>IFERROR(__xludf.DUMMYFUNCTION("""COMPUTED_VALUE"""),2967.0)</f>
        <v>2967</v>
      </c>
      <c r="N528" s="189">
        <f>IFERROR(__xludf.DUMMYFUNCTION("""COMPUTED_VALUE"""),2736.0)</f>
        <v>2736</v>
      </c>
      <c r="O528" s="189">
        <f>IFERROR(__xludf.DUMMYFUNCTION("""COMPUTED_VALUE"""),2714.0)</f>
        <v>2714</v>
      </c>
      <c r="P528" s="189">
        <f>IFERROR(__xludf.DUMMYFUNCTION("""COMPUTED_VALUE"""),2643.0)</f>
        <v>2643</v>
      </c>
      <c r="Q528" s="189">
        <f>IFERROR(__xludf.DUMMYFUNCTION("""COMPUTED_VALUE"""),2606.0)</f>
        <v>2606</v>
      </c>
      <c r="R528" s="186"/>
      <c r="S528" s="189">
        <f>IFERROR(__xludf.DUMMYFUNCTION("""COMPUTED_VALUE"""),2390.0)</f>
        <v>2390</v>
      </c>
    </row>
    <row r="529">
      <c r="A529" s="186" t="str">
        <f>IFERROR(__xludf.DUMMYFUNCTION("""COMPUTED_VALUE"""),"NORDICS")</f>
        <v>NORDICS</v>
      </c>
      <c r="B529" s="186" t="str">
        <f>IFERROR(__xludf.DUMMYFUNCTION("""COMPUTED_VALUE"""),"W07")</f>
        <v>W07</v>
      </c>
      <c r="C529" s="186">
        <f>IFERROR(__xludf.DUMMYFUNCTION("""COMPUTED_VALUE"""),307.0)</f>
        <v>307</v>
      </c>
      <c r="D529" s="186" t="str">
        <f>IFERROR(__xludf.DUMMYFUNCTION("""COMPUTED_VALUE"""),"CON-00-147825-2")</f>
        <v>CON-00-147825-2</v>
      </c>
      <c r="E529" s="186" t="str">
        <f>IFERROR(__xludf.DUMMYFUNCTION("""COMPUTED_VALUE"""),"Chicken in creamy spinach")</f>
        <v>Chicken in creamy spinach</v>
      </c>
      <c r="F529" s="186" t="str">
        <f>IFERROR(__xludf.DUMMYFUNCTION("""COMPUTED_VALUE"""),"Kylling i cremet spinat")</f>
        <v>Kylling i cremet spinat</v>
      </c>
      <c r="G529" s="186" t="str">
        <f>IFERROR(__xludf.DUMMYFUNCTION("""COMPUTED_VALUE"""),"FE0207I")</f>
        <v>FE0207I</v>
      </c>
      <c r="H529" s="186">
        <f>IFERROR(__xludf.DUMMYFUNCTION("""COMPUTED_VALUE"""),565148.0)</f>
        <v>565148</v>
      </c>
      <c r="I529" s="186" t="str">
        <f>IFERROR(__xludf.DUMMYFUNCTION("""COMPUTED_VALUE"""),"HF RW Kipfilet in rom spinazie")</f>
        <v>HF RW Kipfilet in rom spinazie</v>
      </c>
      <c r="J529" s="189">
        <f>IFERROR(__xludf.DUMMYFUNCTION("""COMPUTED_VALUE"""),1856.0)</f>
        <v>1856</v>
      </c>
      <c r="K529" s="189">
        <f>IFERROR(__xludf.DUMMYFUNCTION("""COMPUTED_VALUE"""),2082.0)</f>
        <v>2082</v>
      </c>
      <c r="L529" s="189">
        <f>IFERROR(__xludf.DUMMYFUNCTION("""COMPUTED_VALUE"""),1573.0)</f>
        <v>1573</v>
      </c>
      <c r="M529" s="189">
        <f>IFERROR(__xludf.DUMMYFUNCTION("""COMPUTED_VALUE"""),1628.0)</f>
        <v>1628</v>
      </c>
      <c r="N529" s="189">
        <f>IFERROR(__xludf.DUMMYFUNCTION("""COMPUTED_VALUE"""),1553.0)</f>
        <v>1553</v>
      </c>
      <c r="O529" s="189">
        <f>IFERROR(__xludf.DUMMYFUNCTION("""COMPUTED_VALUE"""),1569.0)</f>
        <v>1569</v>
      </c>
      <c r="P529" s="189">
        <f>IFERROR(__xludf.DUMMYFUNCTION("""COMPUTED_VALUE"""),1555.0)</f>
        <v>1555</v>
      </c>
      <c r="Q529" s="189">
        <f>IFERROR(__xludf.DUMMYFUNCTION("""COMPUTED_VALUE"""),1495.0)</f>
        <v>1495</v>
      </c>
      <c r="R529" s="186"/>
      <c r="S529" s="189">
        <f>IFERROR(__xludf.DUMMYFUNCTION("""COMPUTED_VALUE"""),1349.0)</f>
        <v>1349</v>
      </c>
    </row>
    <row r="530">
      <c r="A530" s="186" t="str">
        <f>IFERROR(__xludf.DUMMYFUNCTION("""COMPUTED_VALUE"""),"NORDICS")</f>
        <v>NORDICS</v>
      </c>
      <c r="B530" s="186" t="str">
        <f>IFERROR(__xludf.DUMMYFUNCTION("""COMPUTED_VALUE"""),"W07")</f>
        <v>W07</v>
      </c>
      <c r="C530" s="186">
        <f>IFERROR(__xludf.DUMMYFUNCTION("""COMPUTED_VALUE"""),308.0)</f>
        <v>308</v>
      </c>
      <c r="D530" s="186" t="str">
        <f>IFERROR(__xludf.DUMMYFUNCTION("""COMPUTED_VALUE"""),"CON-00-147884-2")</f>
        <v>CON-00-147884-2</v>
      </c>
      <c r="E530" s="186" t="str">
        <f>IFERROR(__xludf.DUMMYFUNCTION("""COMPUTED_VALUE"""),"Chicken in chive cream sauce")</f>
        <v>Chicken in chive cream sauce</v>
      </c>
      <c r="F530" s="186" t="str">
        <f>IFERROR(__xludf.DUMMYFUNCTION("""COMPUTED_VALUE"""),"Kylling i purløg-flødesauce")</f>
        <v>Kylling i purløg-flødesauce</v>
      </c>
      <c r="G530" s="186" t="str">
        <f>IFERROR(__xludf.DUMMYFUNCTION("""COMPUTED_VALUE"""),"FE4023B")</f>
        <v>FE4023B</v>
      </c>
      <c r="H530" s="186">
        <f>IFERROR(__xludf.DUMMYFUNCTION("""COMPUTED_VALUE"""),565161.0)</f>
        <v>565161</v>
      </c>
      <c r="I530" s="186" t="str">
        <f>IFERROR(__xludf.DUMMYFUNCTION("""COMPUTED_VALUE"""),"HF RW Kipf in bieslookroomsaus")</f>
        <v>HF RW Kipf in bieslookroomsaus</v>
      </c>
      <c r="J530" s="189">
        <f>IFERROR(__xludf.DUMMYFUNCTION("""COMPUTED_VALUE"""),2255.0)</f>
        <v>2255</v>
      </c>
      <c r="K530" s="189">
        <f>IFERROR(__xludf.DUMMYFUNCTION("""COMPUTED_VALUE"""),2767.0)</f>
        <v>2767</v>
      </c>
      <c r="L530" s="189">
        <f>IFERROR(__xludf.DUMMYFUNCTION("""COMPUTED_VALUE"""),1780.0)</f>
        <v>1780</v>
      </c>
      <c r="M530" s="189">
        <f>IFERROR(__xludf.DUMMYFUNCTION("""COMPUTED_VALUE"""),1736.0)</f>
        <v>1736</v>
      </c>
      <c r="N530" s="189">
        <f>IFERROR(__xludf.DUMMYFUNCTION("""COMPUTED_VALUE"""),1560.0)</f>
        <v>1560</v>
      </c>
      <c r="O530" s="189">
        <f>IFERROR(__xludf.DUMMYFUNCTION("""COMPUTED_VALUE"""),1538.0)</f>
        <v>1538</v>
      </c>
      <c r="P530" s="189">
        <f>IFERROR(__xludf.DUMMYFUNCTION("""COMPUTED_VALUE"""),1495.0)</f>
        <v>1495</v>
      </c>
      <c r="Q530" s="189">
        <f>IFERROR(__xludf.DUMMYFUNCTION("""COMPUTED_VALUE"""),1436.0)</f>
        <v>1436</v>
      </c>
      <c r="R530" s="186"/>
      <c r="S530" s="189">
        <f>IFERROR(__xludf.DUMMYFUNCTION("""COMPUTED_VALUE"""),1292.0)</f>
        <v>1292</v>
      </c>
    </row>
    <row r="531">
      <c r="A531" s="186" t="str">
        <f>IFERROR(__xludf.DUMMYFUNCTION("""COMPUTED_VALUE"""),"NORDICS")</f>
        <v>NORDICS</v>
      </c>
      <c r="B531" s="186" t="str">
        <f>IFERROR(__xludf.DUMMYFUNCTION("""COMPUTED_VALUE"""),"W07")</f>
        <v>W07</v>
      </c>
      <c r="C531" s="186">
        <f>IFERROR(__xludf.DUMMYFUNCTION("""COMPUTED_VALUE"""),309.0)</f>
        <v>309</v>
      </c>
      <c r="D531" s="186" t="str">
        <f>IFERROR(__xludf.DUMMYFUNCTION("""COMPUTED_VALUE"""),"CON-00-147818-2")</f>
        <v>CON-00-147818-2</v>
      </c>
      <c r="E531" s="186" t="str">
        <f>IFERROR(__xludf.DUMMYFUNCTION("""COMPUTED_VALUE"""),"Mexican style corn cake")</f>
        <v>Mexican style corn cake</v>
      </c>
      <c r="F531" s="186" t="str">
        <f>IFERROR(__xludf.DUMMYFUNCTION("""COMPUTED_VALUE"""),"Mexicansk-inspireret majskage")</f>
        <v>Mexicansk-inspireret majskage</v>
      </c>
      <c r="G531" s="186" t="str">
        <f>IFERROR(__xludf.DUMMYFUNCTION("""COMPUTED_VALUE"""),"FE0121C")</f>
        <v>FE0121C</v>
      </c>
      <c r="H531" s="186">
        <f>IFERROR(__xludf.DUMMYFUNCTION("""COMPUTED_VALUE"""),565023.0)</f>
        <v>565023</v>
      </c>
      <c r="I531" s="186" t="str">
        <f>IFERROR(__xludf.DUMMYFUNCTION("""COMPUTED_VALUE"""),"HF Mex.stijl maiscake")</f>
        <v>HF Mex.stijl maiscake</v>
      </c>
      <c r="J531" s="189">
        <f>IFERROR(__xludf.DUMMYFUNCTION("""COMPUTED_VALUE"""),343.0)</f>
        <v>343</v>
      </c>
      <c r="K531" s="189">
        <f>IFERROR(__xludf.DUMMYFUNCTION("""COMPUTED_VALUE"""),418.0)</f>
        <v>418</v>
      </c>
      <c r="L531" s="189">
        <f>IFERROR(__xludf.DUMMYFUNCTION("""COMPUTED_VALUE"""),270.0)</f>
        <v>270</v>
      </c>
      <c r="M531" s="189">
        <f>IFERROR(__xludf.DUMMYFUNCTION("""COMPUTED_VALUE"""),394.0)</f>
        <v>394</v>
      </c>
      <c r="N531" s="189">
        <f>IFERROR(__xludf.DUMMYFUNCTION("""COMPUTED_VALUE"""),420.0)</f>
        <v>420</v>
      </c>
      <c r="O531" s="189">
        <f>IFERROR(__xludf.DUMMYFUNCTION("""COMPUTED_VALUE"""),433.0)</f>
        <v>433</v>
      </c>
      <c r="P531" s="189">
        <f>IFERROR(__xludf.DUMMYFUNCTION("""COMPUTED_VALUE"""),423.0)</f>
        <v>423</v>
      </c>
      <c r="Q531" s="189">
        <f>IFERROR(__xludf.DUMMYFUNCTION("""COMPUTED_VALUE"""),405.0)</f>
        <v>405</v>
      </c>
      <c r="R531" s="186"/>
      <c r="S531" s="189">
        <f>IFERROR(__xludf.DUMMYFUNCTION("""COMPUTED_VALUE"""),380.0)</f>
        <v>380</v>
      </c>
    </row>
    <row r="532">
      <c r="A532" s="186" t="str">
        <f>IFERROR(__xludf.DUMMYFUNCTION("""COMPUTED_VALUE"""),"NORDICS")</f>
        <v>NORDICS</v>
      </c>
      <c r="B532" s="186" t="str">
        <f>IFERROR(__xludf.DUMMYFUNCTION("""COMPUTED_VALUE"""),"W07")</f>
        <v>W07</v>
      </c>
      <c r="C532" s="186">
        <f>IFERROR(__xludf.DUMMYFUNCTION("""COMPUTED_VALUE"""),310.0)</f>
        <v>310</v>
      </c>
      <c r="D532" s="186" t="str">
        <f>IFERROR(__xludf.DUMMYFUNCTION("""COMPUTED_VALUE"""),"CON-00-147817-2")</f>
        <v>CON-00-147817-2</v>
      </c>
      <c r="E532" s="186" t="str">
        <f>IFERROR(__xludf.DUMMYFUNCTION("""COMPUTED_VALUE"""),"Ratatouille of zucchini and pepper")</f>
        <v>Ratatouille of zucchini and pepper</v>
      </c>
      <c r="F532" s="186" t="str">
        <f>IFERROR(__xludf.DUMMYFUNCTION("""COMPUTED_VALUE"""),"Squash- og peberfrugtsratatouille")</f>
        <v>Squash- og peberfrugtsratatouille</v>
      </c>
      <c r="G532" s="186" t="str">
        <f>IFERROR(__xludf.DUMMYFUNCTION("""COMPUTED_VALUE"""),"FE0090C")</f>
        <v>FE0090C</v>
      </c>
      <c r="H532" s="186">
        <f>IFERROR(__xludf.DUMMYFUNCTION("""COMPUTED_VALUE"""),565141.0)</f>
        <v>565141</v>
      </c>
      <c r="I532" s="186"/>
      <c r="J532" s="189">
        <f>IFERROR(__xludf.DUMMYFUNCTION("""COMPUTED_VALUE"""),396.0)</f>
        <v>396</v>
      </c>
      <c r="K532" s="189">
        <f>IFERROR(__xludf.DUMMYFUNCTION("""COMPUTED_VALUE"""),450.0)</f>
        <v>450</v>
      </c>
      <c r="L532" s="189">
        <f>IFERROR(__xludf.DUMMYFUNCTION("""COMPUTED_VALUE"""),394.0)</f>
        <v>394</v>
      </c>
      <c r="M532" s="189">
        <f>IFERROR(__xludf.DUMMYFUNCTION("""COMPUTED_VALUE"""),349.0)</f>
        <v>349</v>
      </c>
      <c r="N532" s="189">
        <f>IFERROR(__xludf.DUMMYFUNCTION("""COMPUTED_VALUE"""),315.0)</f>
        <v>315</v>
      </c>
      <c r="O532" s="189">
        <f>IFERROR(__xludf.DUMMYFUNCTION("""COMPUTED_VALUE"""),316.0)</f>
        <v>316</v>
      </c>
      <c r="P532" s="189">
        <f>IFERROR(__xludf.DUMMYFUNCTION("""COMPUTED_VALUE"""),315.0)</f>
        <v>315</v>
      </c>
      <c r="Q532" s="189">
        <f>IFERROR(__xludf.DUMMYFUNCTION("""COMPUTED_VALUE"""),280.0)</f>
        <v>280</v>
      </c>
      <c r="R532" s="186"/>
      <c r="S532" s="189">
        <f>IFERROR(__xludf.DUMMYFUNCTION("""COMPUTED_VALUE"""),256.0)</f>
        <v>256</v>
      </c>
    </row>
    <row r="533">
      <c r="A533" s="186" t="str">
        <f>IFERROR(__xludf.DUMMYFUNCTION("""COMPUTED_VALUE"""),"NORDICS")</f>
        <v>NORDICS</v>
      </c>
      <c r="B533" s="186" t="str">
        <f>IFERROR(__xludf.DUMMYFUNCTION("""COMPUTED_VALUE"""),"W07")</f>
        <v>W07</v>
      </c>
      <c r="C533" s="186">
        <f>IFERROR(__xludf.DUMMYFUNCTION("""COMPUTED_VALUE"""),311.0)</f>
        <v>311</v>
      </c>
      <c r="D533" s="186" t="str">
        <f>IFERROR(__xludf.DUMMYFUNCTION("""COMPUTED_VALUE"""),"CON-00-147870-2")</f>
        <v>CON-00-147870-2</v>
      </c>
      <c r="E533" s="186" t="str">
        <f>IFERROR(__xludf.DUMMYFUNCTION("""COMPUTED_VALUE"""),"Pork tenderloin in sundried tomato sauce")</f>
        <v>Pork tenderloin in sundried tomato sauce</v>
      </c>
      <c r="F533" s="186" t="str">
        <f>IFERROR(__xludf.DUMMYFUNCTION("""COMPUTED_VALUE"""),"Svinemørbrad i soltørret tomatsauce")</f>
        <v>Svinemørbrad i soltørret tomatsauce</v>
      </c>
      <c r="G533" s="186" t="str">
        <f>IFERROR(__xludf.DUMMYFUNCTION("""COMPUTED_VALUE"""),"FE4006A")</f>
        <v>FE4006A</v>
      </c>
      <c r="H533" s="186">
        <f>IFERROR(__xludf.DUMMYFUNCTION("""COMPUTED_VALUE"""),565063.0)</f>
        <v>565063</v>
      </c>
      <c r="I533" s="186" t="str">
        <f>IFERROR(__xludf.DUMMYFUNCTION("""COMPUTED_VALUE"""),"HF Varkenshaas met tomatensaus 384g")</f>
        <v>HF Varkenshaas met tomatensaus 384g</v>
      </c>
      <c r="J533" s="189">
        <f>IFERROR(__xludf.DUMMYFUNCTION("""COMPUTED_VALUE"""),1109.0)</f>
        <v>1109</v>
      </c>
      <c r="K533" s="189">
        <f>IFERROR(__xludf.DUMMYFUNCTION("""COMPUTED_VALUE"""),1238.0)</f>
        <v>1238</v>
      </c>
      <c r="L533" s="189">
        <f>IFERROR(__xludf.DUMMYFUNCTION("""COMPUTED_VALUE"""),812.0)</f>
        <v>812</v>
      </c>
      <c r="M533" s="189">
        <f>IFERROR(__xludf.DUMMYFUNCTION("""COMPUTED_VALUE"""),781.0)</f>
        <v>781</v>
      </c>
      <c r="N533" s="189">
        <f>IFERROR(__xludf.DUMMYFUNCTION("""COMPUTED_VALUE"""),761.0)</f>
        <v>761</v>
      </c>
      <c r="O533" s="189">
        <f>IFERROR(__xludf.DUMMYFUNCTION("""COMPUTED_VALUE"""),840.0)</f>
        <v>840</v>
      </c>
      <c r="P533" s="189">
        <f>IFERROR(__xludf.DUMMYFUNCTION("""COMPUTED_VALUE"""),839.0)</f>
        <v>839</v>
      </c>
      <c r="Q533" s="189">
        <f>IFERROR(__xludf.DUMMYFUNCTION("""COMPUTED_VALUE"""),833.0)</f>
        <v>833</v>
      </c>
      <c r="R533" s="186"/>
      <c r="S533" s="189">
        <f>IFERROR(__xludf.DUMMYFUNCTION("""COMPUTED_VALUE"""),762.0)</f>
        <v>762</v>
      </c>
    </row>
    <row r="534">
      <c r="A534" s="186" t="str">
        <f>IFERROR(__xludf.DUMMYFUNCTION("""COMPUTED_VALUE"""),"NORDICS")</f>
        <v>NORDICS</v>
      </c>
      <c r="B534" s="186" t="str">
        <f>IFERROR(__xludf.DUMMYFUNCTION("""COMPUTED_VALUE"""),"W07")</f>
        <v>W07</v>
      </c>
      <c r="C534" s="186">
        <f>IFERROR(__xludf.DUMMYFUNCTION("""COMPUTED_VALUE"""),312.0)</f>
        <v>312</v>
      </c>
      <c r="D534" s="186" t="str">
        <f>IFERROR(__xludf.DUMMYFUNCTION("""COMPUTED_VALUE"""),"CON-00-155260-2")</f>
        <v>CON-00-155260-2</v>
      </c>
      <c r="E534" s="186" t="str">
        <f>IFERROR(__xludf.DUMMYFUNCTION("""COMPUTED_VALUE"""),"Honey Mustard Salmon")</f>
        <v>Honey Mustard Salmon</v>
      </c>
      <c r="F534" s="186" t="str">
        <f>IFERROR(__xludf.DUMMYFUNCTION("""COMPUTED_VALUE"""),"Laks med honning og sennep")</f>
        <v>Laks med honning og sennep</v>
      </c>
      <c r="G534" s="186" t="str">
        <f>IFERROR(__xludf.DUMMYFUNCTION("""COMPUTED_VALUE"""),"FE4077A")</f>
        <v>FE4077A</v>
      </c>
      <c r="H534" s="186">
        <f>IFERROR(__xludf.DUMMYFUNCTION("""COMPUTED_VALUE"""),565253.0)</f>
        <v>565253</v>
      </c>
      <c r="I534" s="186" t="str">
        <f>IFERROR(__xludf.DUMMYFUNCTION("""COMPUTED_VALUE"""),"HF Honing mosterd zalm")</f>
        <v>HF Honing mosterd zalm</v>
      </c>
      <c r="J534" s="189">
        <f>IFERROR(__xludf.DUMMYFUNCTION("""COMPUTED_VALUE"""),2226.0)</f>
        <v>2226</v>
      </c>
      <c r="K534" s="189">
        <f>IFERROR(__xludf.DUMMYFUNCTION("""COMPUTED_VALUE"""),2617.0)</f>
        <v>2617</v>
      </c>
      <c r="L534" s="189">
        <f>IFERROR(__xludf.DUMMYFUNCTION("""COMPUTED_VALUE"""),3265.0)</f>
        <v>3265</v>
      </c>
      <c r="M534" s="189">
        <f>IFERROR(__xludf.DUMMYFUNCTION("""COMPUTED_VALUE"""),3005.0)</f>
        <v>3005</v>
      </c>
      <c r="N534" s="189">
        <f>IFERROR(__xludf.DUMMYFUNCTION("""COMPUTED_VALUE"""),2829.0)</f>
        <v>2829</v>
      </c>
      <c r="O534" s="189">
        <f>IFERROR(__xludf.DUMMYFUNCTION("""COMPUTED_VALUE"""),2908.0)</f>
        <v>2908</v>
      </c>
      <c r="P534" s="189">
        <f>IFERROR(__xludf.DUMMYFUNCTION("""COMPUTED_VALUE"""),2885.0)</f>
        <v>2885</v>
      </c>
      <c r="Q534" s="189">
        <f>IFERROR(__xludf.DUMMYFUNCTION("""COMPUTED_VALUE"""),2822.0)</f>
        <v>2822</v>
      </c>
      <c r="R534" s="186"/>
      <c r="S534" s="189">
        <f>IFERROR(__xludf.DUMMYFUNCTION("""COMPUTED_VALUE"""),2546.0)</f>
        <v>2546</v>
      </c>
    </row>
    <row r="535">
      <c r="A535" s="186" t="str">
        <f>IFERROR(__xludf.DUMMYFUNCTION("""COMPUTED_VALUE"""),"NORDICS")</f>
        <v>NORDICS</v>
      </c>
      <c r="B535" s="186" t="str">
        <f>IFERROR(__xludf.DUMMYFUNCTION("""COMPUTED_VALUE"""),"W07")</f>
        <v>W07</v>
      </c>
      <c r="C535" s="186">
        <f>IFERROR(__xludf.DUMMYFUNCTION("""COMPUTED_VALUE"""),313.0)</f>
        <v>313</v>
      </c>
      <c r="D535" s="186" t="str">
        <f>IFERROR(__xludf.DUMMYFUNCTION("""COMPUTED_VALUE"""),"CON-00-155261-2")</f>
        <v>CON-00-155261-2</v>
      </c>
      <c r="E535" s="186" t="str">
        <f>IFERROR(__xludf.DUMMYFUNCTION("""COMPUTED_VALUE"""),"Chicken &amp; Eggplant Mozzarella Pomodoro")</f>
        <v>Chicken &amp; Eggplant Mozzarella Pomodoro</v>
      </c>
      <c r="F535" s="186" t="str">
        <f>IFERROR(__xludf.DUMMYFUNCTION("""COMPUTED_VALUE"""),"Pomodoro med kylling, aubergine og mozzarella")</f>
        <v>Pomodoro med kylling, aubergine og mozzarella</v>
      </c>
      <c r="G535" s="186" t="str">
        <f>IFERROR(__xludf.DUMMYFUNCTION("""COMPUTED_VALUE"""),"FE4072A")</f>
        <v>FE4072A</v>
      </c>
      <c r="H535" s="186">
        <f>IFERROR(__xludf.DUMMYFUNCTION("""COMPUTED_VALUE"""),565249.0)</f>
        <v>565249</v>
      </c>
      <c r="I535" s="186" t="str">
        <f>IFERROR(__xludf.DUMMYFUNCTION("""COMPUTED_VALUE"""),"HF Kip Mozzarella Aubergine")</f>
        <v>HF Kip Mozzarella Aubergine</v>
      </c>
      <c r="J535" s="189">
        <f>IFERROR(__xludf.DUMMYFUNCTION("""COMPUTED_VALUE"""),2694.0)</f>
        <v>2694</v>
      </c>
      <c r="K535" s="189">
        <f>IFERROR(__xludf.DUMMYFUNCTION("""COMPUTED_VALUE"""),2954.0)</f>
        <v>2954</v>
      </c>
      <c r="L535" s="189">
        <f>IFERROR(__xludf.DUMMYFUNCTION("""COMPUTED_VALUE"""),2667.0)</f>
        <v>2667</v>
      </c>
      <c r="M535" s="189">
        <f>IFERROR(__xludf.DUMMYFUNCTION("""COMPUTED_VALUE"""),2858.0)</f>
        <v>2858</v>
      </c>
      <c r="N535" s="189">
        <f>IFERROR(__xludf.DUMMYFUNCTION("""COMPUTED_VALUE"""),2668.0)</f>
        <v>2668</v>
      </c>
      <c r="O535" s="189">
        <f>IFERROR(__xludf.DUMMYFUNCTION("""COMPUTED_VALUE"""),2684.0)</f>
        <v>2684</v>
      </c>
      <c r="P535" s="189">
        <f>IFERROR(__xludf.DUMMYFUNCTION("""COMPUTED_VALUE"""),2673.0)</f>
        <v>2673</v>
      </c>
      <c r="Q535" s="189">
        <f>IFERROR(__xludf.DUMMYFUNCTION("""COMPUTED_VALUE"""),2660.0)</f>
        <v>2660</v>
      </c>
      <c r="R535" s="186"/>
      <c r="S535" s="189">
        <f>IFERROR(__xludf.DUMMYFUNCTION("""COMPUTED_VALUE"""),2424.0)</f>
        <v>2424</v>
      </c>
    </row>
    <row r="536">
      <c r="A536" s="186" t="str">
        <f>IFERROR(__xludf.DUMMYFUNCTION("""COMPUTED_VALUE"""),"NORDICS")</f>
        <v>NORDICS</v>
      </c>
      <c r="B536" s="186" t="str">
        <f>IFERROR(__xludf.DUMMYFUNCTION("""COMPUTED_VALUE"""),"W07")</f>
        <v>W07</v>
      </c>
      <c r="C536" s="186">
        <f>IFERROR(__xludf.DUMMYFUNCTION("""COMPUTED_VALUE"""),314.0)</f>
        <v>314</v>
      </c>
      <c r="D536" s="186" t="str">
        <f>IFERROR(__xludf.DUMMYFUNCTION("""COMPUTED_VALUE"""),"CON-00-152208-2")</f>
        <v>CON-00-152208-2</v>
      </c>
      <c r="E536" s="186" t="str">
        <f>IFERROR(__xludf.DUMMYFUNCTION("""COMPUTED_VALUE"""),"Green Chile Chicken &amp; Salsa Quinoa")</f>
        <v>Green Chile Chicken &amp; Salsa Quinoa</v>
      </c>
      <c r="F536" s="186" t="str">
        <f>IFERROR(__xludf.DUMMYFUNCTION("""COMPUTED_VALUE"""),"Chilensk inspireret kylling med salsa-quinoa")</f>
        <v>Chilensk inspireret kylling med salsa-quinoa</v>
      </c>
      <c r="G536" s="186" t="str">
        <f>IFERROR(__xludf.DUMMYFUNCTION("""COMPUTED_VALUE"""),"FE1636A")</f>
        <v>FE1636A</v>
      </c>
      <c r="H536" s="186">
        <f>IFERROR(__xludf.DUMMYFUNCTION("""COMPUTED_VALUE"""),565209.0)</f>
        <v>565209</v>
      </c>
      <c r="I536" s="186" t="str">
        <f>IFERROR(__xludf.DUMMYFUNCTION("""COMPUTED_VALUE"""),"HF Quinoa witte bonen salsa")</f>
        <v>HF Quinoa witte bonen salsa</v>
      </c>
      <c r="J536" s="189">
        <f>IFERROR(__xludf.DUMMYFUNCTION("""COMPUTED_VALUE"""),1486.0)</f>
        <v>1486</v>
      </c>
      <c r="K536" s="189">
        <f>IFERROR(__xludf.DUMMYFUNCTION("""COMPUTED_VALUE"""),1542.0)</f>
        <v>1542</v>
      </c>
      <c r="L536" s="189">
        <f>IFERROR(__xludf.DUMMYFUNCTION("""COMPUTED_VALUE"""),2179.0)</f>
        <v>2179</v>
      </c>
      <c r="M536" s="189">
        <f>IFERROR(__xludf.DUMMYFUNCTION("""COMPUTED_VALUE"""),1548.0)</f>
        <v>1548</v>
      </c>
      <c r="N536" s="189">
        <f>IFERROR(__xludf.DUMMYFUNCTION("""COMPUTED_VALUE"""),1394.0)</f>
        <v>1394</v>
      </c>
      <c r="O536" s="189">
        <f>IFERROR(__xludf.DUMMYFUNCTION("""COMPUTED_VALUE"""),1368.0)</f>
        <v>1368</v>
      </c>
      <c r="P536" s="189">
        <f>IFERROR(__xludf.DUMMYFUNCTION("""COMPUTED_VALUE"""),1336.0)</f>
        <v>1336</v>
      </c>
      <c r="Q536" s="189">
        <f>IFERROR(__xludf.DUMMYFUNCTION("""COMPUTED_VALUE"""),1309.0)</f>
        <v>1309</v>
      </c>
      <c r="R536" s="186"/>
      <c r="S536" s="189">
        <f>IFERROR(__xludf.DUMMYFUNCTION("""COMPUTED_VALUE"""),1154.0)</f>
        <v>1154</v>
      </c>
    </row>
    <row r="537">
      <c r="A537" s="186" t="str">
        <f>IFERROR(__xludf.DUMMYFUNCTION("""COMPUTED_VALUE"""),"NORDICS")</f>
        <v>NORDICS</v>
      </c>
      <c r="B537" s="186" t="str">
        <f>IFERROR(__xludf.DUMMYFUNCTION("""COMPUTED_VALUE"""),"W07")</f>
        <v>W07</v>
      </c>
      <c r="C537" s="186">
        <f>IFERROR(__xludf.DUMMYFUNCTION("""COMPUTED_VALUE"""),315.0)</f>
        <v>315</v>
      </c>
      <c r="D537" s="186" t="str">
        <f>IFERROR(__xludf.DUMMYFUNCTION("""COMPUTED_VALUE"""),"CON-00-147860-2")</f>
        <v>CON-00-147860-2</v>
      </c>
      <c r="E537" s="186" t="str">
        <f>IFERROR(__xludf.DUMMYFUNCTION("""COMPUTED_VALUE"""),"Courgette-spaghetti bolognese")</f>
        <v>Courgette-spaghetti bolognese</v>
      </c>
      <c r="F537" s="186" t="str">
        <f>IFERROR(__xludf.DUMMYFUNCTION("""COMPUTED_VALUE"""),"Zucchini-spaghetti bolognese")</f>
        <v>Zucchini-spaghetti bolognese</v>
      </c>
      <c r="G537" s="186" t="str">
        <f>IFERROR(__xludf.DUMMYFUNCTION("""COMPUTED_VALUE"""),"FE0849B")</f>
        <v>FE0849B</v>
      </c>
      <c r="H537" s="186">
        <f>IFERROR(__xludf.DUMMYFUNCTION("""COMPUTED_VALUE"""),565260.0)</f>
        <v>565260</v>
      </c>
      <c r="I537" s="186" t="str">
        <f>IFERROR(__xludf.DUMMYFUNCTION("""COMPUTED_VALUE"""),"HF RW Courgette-spagh bolognes")</f>
        <v>HF RW Courgette-spagh bolognes</v>
      </c>
      <c r="J537" s="189">
        <f>IFERROR(__xludf.DUMMYFUNCTION("""COMPUTED_VALUE"""),1165.0)</f>
        <v>1165</v>
      </c>
      <c r="K537" s="189">
        <f>IFERROR(__xludf.DUMMYFUNCTION("""COMPUTED_VALUE"""),1486.0)</f>
        <v>1486</v>
      </c>
      <c r="L537" s="189">
        <f>IFERROR(__xludf.DUMMYFUNCTION("""COMPUTED_VALUE"""),1709.0)</f>
        <v>1709</v>
      </c>
      <c r="M537" s="189">
        <f>IFERROR(__xludf.DUMMYFUNCTION("""COMPUTED_VALUE"""),1596.0)</f>
        <v>1596</v>
      </c>
      <c r="N537" s="189">
        <f>IFERROR(__xludf.DUMMYFUNCTION("""COMPUTED_VALUE"""),1455.0)</f>
        <v>1455</v>
      </c>
      <c r="O537" s="189">
        <f>IFERROR(__xludf.DUMMYFUNCTION("""COMPUTED_VALUE"""),1433.0)</f>
        <v>1433</v>
      </c>
      <c r="P537" s="189">
        <f>IFERROR(__xludf.DUMMYFUNCTION("""COMPUTED_VALUE"""),1424.0)</f>
        <v>1424</v>
      </c>
      <c r="Q537" s="189">
        <f>IFERROR(__xludf.DUMMYFUNCTION("""COMPUTED_VALUE"""),1397.0)</f>
        <v>1397</v>
      </c>
      <c r="R537" s="186"/>
      <c r="S537" s="189">
        <f>IFERROR(__xludf.DUMMYFUNCTION("""COMPUTED_VALUE"""),1205.0)</f>
        <v>1205</v>
      </c>
    </row>
    <row r="538">
      <c r="A538" s="186" t="str">
        <f>IFERROR(__xludf.DUMMYFUNCTION("""COMPUTED_VALUE"""),"NORDICS")</f>
        <v>NORDICS</v>
      </c>
      <c r="B538" s="186" t="str">
        <f>IFERROR(__xludf.DUMMYFUNCTION("""COMPUTED_VALUE"""),"W07")</f>
        <v>W07</v>
      </c>
      <c r="C538" s="186">
        <f>IFERROR(__xludf.DUMMYFUNCTION("""COMPUTED_VALUE"""),316.0)</f>
        <v>316</v>
      </c>
      <c r="D538" s="186" t="str">
        <f>IFERROR(__xludf.DUMMYFUNCTION("""COMPUTED_VALUE"""),"CON-00-147823-2")</f>
        <v>CON-00-147823-2</v>
      </c>
      <c r="E538" s="186" t="str">
        <f>IFERROR(__xludf.DUMMYFUNCTION("""COMPUTED_VALUE"""),"Beef Shepherd's Pie")</f>
        <v>Beef Shepherd's Pie</v>
      </c>
      <c r="F538" s="186" t="str">
        <f>IFERROR(__xludf.DUMMYFUNCTION("""COMPUTED_VALUE"""),"Shepherd's Pie med oksekød ")</f>
        <v>Shepherd's Pie med oksekød </v>
      </c>
      <c r="G538" s="186" t="str">
        <f>IFERROR(__xludf.DUMMYFUNCTION("""COMPUTED_VALUE"""),"FE0160C")</f>
        <v>FE0160C</v>
      </c>
      <c r="H538" s="186">
        <f>IFERROR(__xludf.DUMMYFUNCTION("""COMPUTED_VALUE"""),565153.0)</f>
        <v>565153</v>
      </c>
      <c r="I538" s="186" t="str">
        <f>IFERROR(__xludf.DUMMYFUNCTION("""COMPUTED_VALUE"""),"HF Beef Shephards Pie")</f>
        <v>HF Beef Shephards Pie</v>
      </c>
      <c r="J538" s="189">
        <f>IFERROR(__xludf.DUMMYFUNCTION("""COMPUTED_VALUE"""),738.0)</f>
        <v>738</v>
      </c>
      <c r="K538" s="189">
        <f>IFERROR(__xludf.DUMMYFUNCTION("""COMPUTED_VALUE"""),782.0)</f>
        <v>782</v>
      </c>
      <c r="L538" s="189">
        <f>IFERROR(__xludf.DUMMYFUNCTION("""COMPUTED_VALUE"""),1439.0)</f>
        <v>1439</v>
      </c>
      <c r="M538" s="189">
        <f>IFERROR(__xludf.DUMMYFUNCTION("""COMPUTED_VALUE"""),1277.0)</f>
        <v>1277</v>
      </c>
      <c r="N538" s="189">
        <f>IFERROR(__xludf.DUMMYFUNCTION("""COMPUTED_VALUE"""),1194.0)</f>
        <v>1194</v>
      </c>
      <c r="O538" s="189">
        <f>IFERROR(__xludf.DUMMYFUNCTION("""COMPUTED_VALUE"""),1218.0)</f>
        <v>1218</v>
      </c>
      <c r="P538" s="189">
        <f>IFERROR(__xludf.DUMMYFUNCTION("""COMPUTED_VALUE"""),1220.0)</f>
        <v>1220</v>
      </c>
      <c r="Q538" s="189">
        <f>IFERROR(__xludf.DUMMYFUNCTION("""COMPUTED_VALUE"""),1199.0)</f>
        <v>1199</v>
      </c>
      <c r="R538" s="186"/>
      <c r="S538" s="189">
        <f>IFERROR(__xludf.DUMMYFUNCTION("""COMPUTED_VALUE"""),1057.0)</f>
        <v>1057</v>
      </c>
    </row>
    <row r="539">
      <c r="A539" s="186" t="str">
        <f>IFERROR(__xludf.DUMMYFUNCTION("""COMPUTED_VALUE"""),"NORDICS")</f>
        <v>NORDICS</v>
      </c>
      <c r="B539" s="186" t="str">
        <f>IFERROR(__xludf.DUMMYFUNCTION("""COMPUTED_VALUE"""),"W07")</f>
        <v>W07</v>
      </c>
      <c r="C539" s="186">
        <f>IFERROR(__xludf.DUMMYFUNCTION("""COMPUTED_VALUE"""),317.0)</f>
        <v>317</v>
      </c>
      <c r="D539" s="186" t="str">
        <f>IFERROR(__xludf.DUMMYFUNCTION("""COMPUTED_VALUE"""),"CON-00-147849-2")</f>
        <v>CON-00-147849-2</v>
      </c>
      <c r="E539" s="186" t="str">
        <f>IFERROR(__xludf.DUMMYFUNCTION("""COMPUTED_VALUE"""),"Pork tenderloin with caramelized onion")</f>
        <v>Pork tenderloin with caramelized onion</v>
      </c>
      <c r="F539" s="186" t="str">
        <f>IFERROR(__xludf.DUMMYFUNCTION("""COMPUTED_VALUE"""),"Svinemørbrad med karameliseret løg")</f>
        <v>Svinemørbrad med karameliseret løg</v>
      </c>
      <c r="G539" s="186" t="str">
        <f>IFERROR(__xludf.DUMMYFUNCTION("""COMPUTED_VALUE"""),"FE0565D")</f>
        <v>FE0565D</v>
      </c>
      <c r="H539" s="186">
        <f>IFERROR(__xludf.DUMMYFUNCTION("""COMPUTED_VALUE"""),565147.0)</f>
        <v>565147</v>
      </c>
      <c r="I539" s="186" t="str">
        <f>IFERROR(__xludf.DUMMYFUNCTION("""COMPUTED_VALUE"""),"HF RW Varkenshaas gekaram. ui")</f>
        <v>HF RW Varkenshaas gekaram. ui</v>
      </c>
      <c r="J539" s="189">
        <f>IFERROR(__xludf.DUMMYFUNCTION("""COMPUTED_VALUE"""),1016.0)</f>
        <v>1016</v>
      </c>
      <c r="K539" s="189">
        <f>IFERROR(__xludf.DUMMYFUNCTION("""COMPUTED_VALUE"""),1602.0)</f>
        <v>1602</v>
      </c>
      <c r="L539" s="189">
        <f>IFERROR(__xludf.DUMMYFUNCTION("""COMPUTED_VALUE"""),1847.0)</f>
        <v>1847</v>
      </c>
      <c r="M539" s="189">
        <f>IFERROR(__xludf.DUMMYFUNCTION("""COMPUTED_VALUE"""),1979.0)</f>
        <v>1979</v>
      </c>
      <c r="N539" s="189">
        <f>IFERROR(__xludf.DUMMYFUNCTION("""COMPUTED_VALUE"""),1808.0)</f>
        <v>1808</v>
      </c>
      <c r="O539" s="189">
        <f>IFERROR(__xludf.DUMMYFUNCTION("""COMPUTED_VALUE"""),1814.0)</f>
        <v>1814</v>
      </c>
      <c r="P539" s="189">
        <f>IFERROR(__xludf.DUMMYFUNCTION("""COMPUTED_VALUE"""),1833.0)</f>
        <v>1833</v>
      </c>
      <c r="Q539" s="189">
        <f>IFERROR(__xludf.DUMMYFUNCTION("""COMPUTED_VALUE"""),1803.0)</f>
        <v>1803</v>
      </c>
      <c r="R539" s="186"/>
      <c r="S539" s="189">
        <f>IFERROR(__xludf.DUMMYFUNCTION("""COMPUTED_VALUE"""),1618.0)</f>
        <v>1618</v>
      </c>
    </row>
    <row r="540">
      <c r="A540" s="186" t="str">
        <f>IFERROR(__xludf.DUMMYFUNCTION("""COMPUTED_VALUE"""),"NORDICS")</f>
        <v>NORDICS</v>
      </c>
      <c r="B540" s="186" t="str">
        <f>IFERROR(__xludf.DUMMYFUNCTION("""COMPUTED_VALUE"""),"W07")</f>
        <v>W07</v>
      </c>
      <c r="C540" s="186">
        <f>IFERROR(__xludf.DUMMYFUNCTION("""COMPUTED_VALUE"""),318.0)</f>
        <v>318</v>
      </c>
      <c r="D540" s="186" t="str">
        <f>IFERROR(__xludf.DUMMYFUNCTION("""COMPUTED_VALUE"""),"CON-00-147895-2")</f>
        <v>CON-00-147895-2</v>
      </c>
      <c r="E540" s="186" t="str">
        <f>IFERROR(__xludf.DUMMYFUNCTION("""COMPUTED_VALUE"""),"Pork tenderloin and Mediterranean mash")</f>
        <v>Pork tenderloin and Mediterranean mash</v>
      </c>
      <c r="F540" s="186" t="str">
        <f>IFERROR(__xludf.DUMMYFUNCTION("""COMPUTED_VALUE"""),"Svinemørbrad og middelhavsinspireret kartoffelmos ")</f>
        <v>Svinemørbrad og middelhavsinspireret kartoffelmos </v>
      </c>
      <c r="G540" s="186" t="str">
        <f>IFERROR(__xludf.DUMMYFUNCTION("""COMPUTED_VALUE"""),"FE4042A")</f>
        <v>FE4042A</v>
      </c>
      <c r="H540" s="186">
        <f>IFERROR(__xludf.DUMMYFUNCTION("""COMPUTED_VALUE"""),565109.0)</f>
        <v>565109</v>
      </c>
      <c r="I540" s="186"/>
      <c r="J540" s="189">
        <f>IFERROR(__xludf.DUMMYFUNCTION("""COMPUTED_VALUE"""),702.0)</f>
        <v>702</v>
      </c>
      <c r="K540" s="189">
        <f>IFERROR(__xludf.DUMMYFUNCTION("""COMPUTED_VALUE"""),889.0)</f>
        <v>889</v>
      </c>
      <c r="L540" s="189">
        <f>IFERROR(__xludf.DUMMYFUNCTION("""COMPUTED_VALUE"""),782.0)</f>
        <v>782</v>
      </c>
      <c r="M540" s="189">
        <f>IFERROR(__xludf.DUMMYFUNCTION("""COMPUTED_VALUE"""),872.0)</f>
        <v>872</v>
      </c>
      <c r="N540" s="189">
        <f>IFERROR(__xludf.DUMMYFUNCTION("""COMPUTED_VALUE"""),822.0)</f>
        <v>822</v>
      </c>
      <c r="O540" s="189">
        <f>IFERROR(__xludf.DUMMYFUNCTION("""COMPUTED_VALUE"""),905.0)</f>
        <v>905</v>
      </c>
      <c r="P540" s="189">
        <f>IFERROR(__xludf.DUMMYFUNCTION("""COMPUTED_VALUE"""),921.0)</f>
        <v>921</v>
      </c>
      <c r="Q540" s="189">
        <f>IFERROR(__xludf.DUMMYFUNCTION("""COMPUTED_VALUE"""),931.0)</f>
        <v>931</v>
      </c>
      <c r="R540" s="186"/>
      <c r="S540" s="189">
        <f>IFERROR(__xludf.DUMMYFUNCTION("""COMPUTED_VALUE"""),851.0)</f>
        <v>851</v>
      </c>
    </row>
    <row r="541">
      <c r="A541" s="186" t="str">
        <f>IFERROR(__xludf.DUMMYFUNCTION("""COMPUTED_VALUE"""),"NORDICS")</f>
        <v>NORDICS</v>
      </c>
      <c r="B541" s="186" t="str">
        <f>IFERROR(__xludf.DUMMYFUNCTION("""COMPUTED_VALUE"""),"W07")</f>
        <v>W07</v>
      </c>
      <c r="C541" s="186">
        <f>IFERROR(__xludf.DUMMYFUNCTION("""COMPUTED_VALUE"""),806.0)</f>
        <v>806</v>
      </c>
      <c r="D541" s="186" t="str">
        <f>IFERROR(__xludf.DUMMYFUNCTION("""COMPUTED_VALUE"""),"PTN-00-148223-2")</f>
        <v>PTN-00-148223-2</v>
      </c>
      <c r="E541" s="186" t="str">
        <f>IFERROR(__xludf.DUMMYFUNCTION("""COMPUTED_VALUE"""),"Garlic Herb Grilled Chicken")</f>
        <v>Garlic Herb Grilled Chicken</v>
      </c>
      <c r="F541" s="186" t="str">
        <f>IFERROR(__xludf.DUMMYFUNCTION("""COMPUTED_VALUE"""),"Grillet kylling med hvidlød og urter")</f>
        <v>Grillet kylling med hvidlød og urter</v>
      </c>
      <c r="G541" s="186" t="str">
        <f>IFERROR(__xludf.DUMMYFUNCTION("""COMPUTED_VALUE"""),"FEA006A")</f>
        <v>FEA006A</v>
      </c>
      <c r="H541" s="186">
        <f>IFERROR(__xludf.DUMMYFUNCTION("""COMPUTED_VALUE"""),565119.0)</f>
        <v>565119</v>
      </c>
      <c r="I541" s="186"/>
      <c r="J541" s="189">
        <f>IFERROR(__xludf.DUMMYFUNCTION("""COMPUTED_VALUE"""),48.0)</f>
        <v>48</v>
      </c>
      <c r="K541" s="189">
        <f>IFERROR(__xludf.DUMMYFUNCTION("""COMPUTED_VALUE"""),48.0)</f>
        <v>48</v>
      </c>
      <c r="L541" s="189">
        <f>IFERROR(__xludf.DUMMYFUNCTION("""COMPUTED_VALUE"""),48.0)</f>
        <v>48</v>
      </c>
      <c r="M541" s="189">
        <f>IFERROR(__xludf.DUMMYFUNCTION("""COMPUTED_VALUE"""),56.0)</f>
        <v>56</v>
      </c>
      <c r="N541" s="189">
        <f>IFERROR(__xludf.DUMMYFUNCTION("""COMPUTED_VALUE"""),56.0)</f>
        <v>56</v>
      </c>
      <c r="O541" s="189">
        <f>IFERROR(__xludf.DUMMYFUNCTION("""COMPUTED_VALUE"""),56.0)</f>
        <v>56</v>
      </c>
      <c r="P541" s="189">
        <f>IFERROR(__xludf.DUMMYFUNCTION("""COMPUTED_VALUE"""),56.0)</f>
        <v>56</v>
      </c>
      <c r="Q541" s="189">
        <f>IFERROR(__xludf.DUMMYFUNCTION("""COMPUTED_VALUE"""),36.0)</f>
        <v>36</v>
      </c>
      <c r="R541" s="186"/>
      <c r="S541" s="189">
        <f>IFERROR(__xludf.DUMMYFUNCTION("""COMPUTED_VALUE"""),75.0)</f>
        <v>75</v>
      </c>
    </row>
    <row r="542">
      <c r="A542" s="186" t="str">
        <f>IFERROR(__xludf.DUMMYFUNCTION("""COMPUTED_VALUE"""),"NORDICS")</f>
        <v>NORDICS</v>
      </c>
      <c r="B542" s="186" t="str">
        <f>IFERROR(__xludf.DUMMYFUNCTION("""COMPUTED_VALUE"""),"W07")</f>
        <v>W07</v>
      </c>
      <c r="C542" s="186"/>
      <c r="D542" s="186"/>
      <c r="E542" s="186"/>
      <c r="F542" s="186"/>
      <c r="G542" s="186"/>
      <c r="H542" s="186"/>
      <c r="I542" s="186"/>
      <c r="J542" s="189">
        <f>IFERROR(__xludf.DUMMYFUNCTION("""COMPUTED_VALUE"""),38151.0)</f>
        <v>38151</v>
      </c>
      <c r="K542" s="189">
        <f>IFERROR(__xludf.DUMMYFUNCTION("""COMPUTED_VALUE"""),42613.0)</f>
        <v>42613</v>
      </c>
      <c r="L542" s="189">
        <f>IFERROR(__xludf.DUMMYFUNCTION("""COMPUTED_VALUE"""),40330.0)</f>
        <v>40330</v>
      </c>
      <c r="M542" s="189">
        <f>IFERROR(__xludf.DUMMYFUNCTION("""COMPUTED_VALUE"""),39917.0)</f>
        <v>39917</v>
      </c>
      <c r="N542" s="189">
        <f>IFERROR(__xludf.DUMMYFUNCTION("""COMPUTED_VALUE"""),37506.0)</f>
        <v>37506</v>
      </c>
      <c r="O542" s="189">
        <f>IFERROR(__xludf.DUMMYFUNCTION("""COMPUTED_VALUE"""),37792.0)</f>
        <v>37792</v>
      </c>
      <c r="P542" s="189">
        <f>IFERROR(__xludf.DUMMYFUNCTION("""COMPUTED_VALUE"""),37445.0)</f>
        <v>37445</v>
      </c>
      <c r="Q542" s="189">
        <f>IFERROR(__xludf.DUMMYFUNCTION("""COMPUTED_VALUE"""),36986.0)</f>
        <v>36986</v>
      </c>
      <c r="R542" s="189">
        <f>IFERROR(__xludf.DUMMYFUNCTION("""COMPUTED_VALUE"""),0.0)</f>
        <v>0</v>
      </c>
      <c r="S542" s="189">
        <f>IFERROR(__xludf.DUMMYFUNCTION("""COMPUTED_VALUE"""),33682.0)</f>
        <v>33682</v>
      </c>
    </row>
    <row r="543">
      <c r="A543" s="186" t="str">
        <f>IFERROR(__xludf.DUMMYFUNCTION("""COMPUTED_VALUE"""),"DE")</f>
        <v>DE</v>
      </c>
      <c r="B543" s="186" t="str">
        <f>IFERROR(__xludf.DUMMYFUNCTION("""COMPUTED_VALUE"""),"W07")</f>
        <v>W07</v>
      </c>
      <c r="C543" s="186">
        <f>IFERROR(__xludf.DUMMYFUNCTION("""COMPUTED_VALUE"""),301.0)</f>
        <v>301</v>
      </c>
      <c r="D543" s="186" t="str">
        <f>IFERROR(__xludf.DUMMYFUNCTION("""COMPUTED_VALUE"""),"CON-00-136620-3")</f>
        <v>CON-00-136620-3</v>
      </c>
      <c r="E543" s="186" t="str">
        <f>IFERROR(__xludf.DUMMYFUNCTION("""COMPUTED_VALUE"""),"Chicken à la Florentine")</f>
        <v>Chicken à la Florentine</v>
      </c>
      <c r="F543" s="186" t="str">
        <f>IFERROR(__xludf.DUMMYFUNCTION("""COMPUTED_VALUE"""),"Hähnchen à la Florentine")</f>
        <v>Hähnchen à la Florentine</v>
      </c>
      <c r="G543" s="186" t="str">
        <f>IFERROR(__xludf.DUMMYFUNCTION("""COMPUTED_VALUE"""),"FE0224C")</f>
        <v>FE0224C</v>
      </c>
      <c r="H543" s="186">
        <f>IFERROR(__xludf.DUMMYFUNCTION("""COMPUTED_VALUE"""),565047.0)</f>
        <v>565047</v>
      </c>
      <c r="I543" s="186" t="str">
        <f>IFERROR(__xludf.DUMMYFUNCTION("""COMPUTED_VALUE"""),"HF Kip Florentine 404g")</f>
        <v>HF Kip Florentine 404g</v>
      </c>
      <c r="J543" s="189">
        <f>IFERROR(__xludf.DUMMYFUNCTION("""COMPUTED_VALUE"""),2965.0)</f>
        <v>2965</v>
      </c>
      <c r="K543" s="189">
        <f>IFERROR(__xludf.DUMMYFUNCTION("""COMPUTED_VALUE"""),2979.0)</f>
        <v>2979</v>
      </c>
      <c r="L543" s="189">
        <f>IFERROR(__xludf.DUMMYFUNCTION("""COMPUTED_VALUE"""),3534.0)</f>
        <v>3534</v>
      </c>
      <c r="M543" s="189">
        <f>IFERROR(__xludf.DUMMYFUNCTION("""COMPUTED_VALUE"""),3345.0)</f>
        <v>3345</v>
      </c>
      <c r="N543" s="189">
        <f>IFERROR(__xludf.DUMMYFUNCTION("""COMPUTED_VALUE"""),3492.0)</f>
        <v>3492</v>
      </c>
      <c r="O543" s="189">
        <f>IFERROR(__xludf.DUMMYFUNCTION("""COMPUTED_VALUE"""),3556.0)</f>
        <v>3556</v>
      </c>
      <c r="P543" s="189">
        <f>IFERROR(__xludf.DUMMYFUNCTION("""COMPUTED_VALUE"""),3571.0)</f>
        <v>3571</v>
      </c>
      <c r="Q543" s="189">
        <f>IFERROR(__xludf.DUMMYFUNCTION("""COMPUTED_VALUE"""),3488.0)</f>
        <v>3488</v>
      </c>
      <c r="R543" s="186"/>
      <c r="S543" s="189">
        <f>IFERROR(__xludf.DUMMYFUNCTION("""COMPUTED_VALUE"""),3576.0)</f>
        <v>3576</v>
      </c>
    </row>
    <row r="544">
      <c r="A544" s="186" t="str">
        <f>IFERROR(__xludf.DUMMYFUNCTION("""COMPUTED_VALUE"""),"DE")</f>
        <v>DE</v>
      </c>
      <c r="B544" s="186" t="str">
        <f>IFERROR(__xludf.DUMMYFUNCTION("""COMPUTED_VALUE"""),"W07")</f>
        <v>W07</v>
      </c>
      <c r="C544" s="186">
        <f>IFERROR(__xludf.DUMMYFUNCTION("""COMPUTED_VALUE"""),302.0)</f>
        <v>302</v>
      </c>
      <c r="D544" s="186" t="str">
        <f>IFERROR(__xludf.DUMMYFUNCTION("""COMPUTED_VALUE"""),"CON-00-136649-3")</f>
        <v>CON-00-136649-3</v>
      </c>
      <c r="E544" s="186" t="str">
        <f>IFERROR(__xludf.DUMMYFUNCTION("""COMPUTED_VALUE"""),"Grilled chicken fillet and potato leek mash")</f>
        <v>Grilled chicken fillet and potato leek mash</v>
      </c>
      <c r="F544" s="186" t="str">
        <f>IFERROR(__xludf.DUMMYFUNCTION("""COMPUTED_VALUE"""),"Gegrilltes Hähnchenfilet mit Kartoffel-Lauch-Püree")</f>
        <v>Gegrilltes Hähnchenfilet mit Kartoffel-Lauch-Püree</v>
      </c>
      <c r="G544" s="186" t="str">
        <f>IFERROR(__xludf.DUMMYFUNCTION("""COMPUTED_VALUE"""),"FE0426B")</f>
        <v>FE0426B</v>
      </c>
      <c r="H544" s="186">
        <f>IFERROR(__xludf.DUMMYFUNCTION("""COMPUTED_VALUE"""),565035.0)</f>
        <v>565035</v>
      </c>
      <c r="I544" s="186" t="str">
        <f>IFERROR(__xludf.DUMMYFUNCTION("""COMPUTED_VALUE"""),"HF Puree van aardappel en prei met gegrilde kip 416g")</f>
        <v>HF Puree van aardappel en prei met gegrilde kip 416g</v>
      </c>
      <c r="J544" s="189">
        <f>IFERROR(__xludf.DUMMYFUNCTION("""COMPUTED_VALUE"""),2023.0)</f>
        <v>2023</v>
      </c>
      <c r="K544" s="189">
        <f>IFERROR(__xludf.DUMMYFUNCTION("""COMPUTED_VALUE"""),2068.0)</f>
        <v>2068</v>
      </c>
      <c r="L544" s="189">
        <f>IFERROR(__xludf.DUMMYFUNCTION("""COMPUTED_VALUE"""),1909.0)</f>
        <v>1909</v>
      </c>
      <c r="M544" s="189">
        <f>IFERROR(__xludf.DUMMYFUNCTION("""COMPUTED_VALUE"""),1857.0)</f>
        <v>1857</v>
      </c>
      <c r="N544" s="189">
        <f>IFERROR(__xludf.DUMMYFUNCTION("""COMPUTED_VALUE"""),1915.0)</f>
        <v>1915</v>
      </c>
      <c r="O544" s="189">
        <f>IFERROR(__xludf.DUMMYFUNCTION("""COMPUTED_VALUE"""),2022.0)</f>
        <v>2022</v>
      </c>
      <c r="P544" s="189">
        <f>IFERROR(__xludf.DUMMYFUNCTION("""COMPUTED_VALUE"""),2027.0)</f>
        <v>2027</v>
      </c>
      <c r="Q544" s="189">
        <f>IFERROR(__xludf.DUMMYFUNCTION("""COMPUTED_VALUE"""),2028.0)</f>
        <v>2028</v>
      </c>
      <c r="R544" s="186"/>
      <c r="S544" s="189">
        <f>IFERROR(__xludf.DUMMYFUNCTION("""COMPUTED_VALUE"""),2070.0)</f>
        <v>2070</v>
      </c>
    </row>
    <row r="545">
      <c r="A545" s="186" t="str">
        <f>IFERROR(__xludf.DUMMYFUNCTION("""COMPUTED_VALUE"""),"DE")</f>
        <v>DE</v>
      </c>
      <c r="B545" s="186" t="str">
        <f>IFERROR(__xludf.DUMMYFUNCTION("""COMPUTED_VALUE"""),"W07")</f>
        <v>W07</v>
      </c>
      <c r="C545" s="186">
        <f>IFERROR(__xludf.DUMMYFUNCTION("""COMPUTED_VALUE"""),303.0)</f>
        <v>303</v>
      </c>
      <c r="D545" s="186" t="str">
        <f>IFERROR(__xludf.DUMMYFUNCTION("""COMPUTED_VALUE"""),"CON-00-136714-3")</f>
        <v>CON-00-136714-3</v>
      </c>
      <c r="E545" s="186" t="str">
        <f>IFERROR(__xludf.DUMMYFUNCTION("""COMPUTED_VALUE"""),"Chicken in creamy basil sauce")</f>
        <v>Chicken in creamy basil sauce</v>
      </c>
      <c r="F545" s="186" t="str">
        <f>IFERROR(__xludf.DUMMYFUNCTION("""COMPUTED_VALUE"""),"Hähnchen in cremiger Basilikumsauce")</f>
        <v>Hähnchen in cremiger Basilikumsauce</v>
      </c>
      <c r="G545" s="186" t="str">
        <f>IFERROR(__xludf.DUMMYFUNCTION("""COMPUTED_VALUE"""),"FE4040B")</f>
        <v>FE4040B</v>
      </c>
      <c r="H545" s="186">
        <f>IFERROR(__xludf.DUMMYFUNCTION("""COMPUTED_VALUE"""),565172.0)</f>
        <v>565172</v>
      </c>
      <c r="I545" s="186"/>
      <c r="J545" s="189">
        <f>IFERROR(__xludf.DUMMYFUNCTION("""COMPUTED_VALUE"""),2262.0)</f>
        <v>2262</v>
      </c>
      <c r="K545" s="189">
        <f>IFERROR(__xludf.DUMMYFUNCTION("""COMPUTED_VALUE"""),2106.0)</f>
        <v>2106</v>
      </c>
      <c r="L545" s="189">
        <f>IFERROR(__xludf.DUMMYFUNCTION("""COMPUTED_VALUE"""),2112.0)</f>
        <v>2112</v>
      </c>
      <c r="M545" s="189">
        <f>IFERROR(__xludf.DUMMYFUNCTION("""COMPUTED_VALUE"""),2061.0)</f>
        <v>2061</v>
      </c>
      <c r="N545" s="189">
        <f>IFERROR(__xludf.DUMMYFUNCTION("""COMPUTED_VALUE"""),2086.0)</f>
        <v>2086</v>
      </c>
      <c r="O545" s="189">
        <f>IFERROR(__xludf.DUMMYFUNCTION("""COMPUTED_VALUE"""),2093.0)</f>
        <v>2093</v>
      </c>
      <c r="P545" s="189">
        <f>IFERROR(__xludf.DUMMYFUNCTION("""COMPUTED_VALUE"""),2127.0)</f>
        <v>2127</v>
      </c>
      <c r="Q545" s="189">
        <f>IFERROR(__xludf.DUMMYFUNCTION("""COMPUTED_VALUE"""),2098.0)</f>
        <v>2098</v>
      </c>
      <c r="R545" s="186"/>
      <c r="S545" s="189">
        <f>IFERROR(__xludf.DUMMYFUNCTION("""COMPUTED_VALUE"""),2101.0)</f>
        <v>2101</v>
      </c>
    </row>
    <row r="546">
      <c r="A546" s="186" t="str">
        <f>IFERROR(__xludf.DUMMYFUNCTION("""COMPUTED_VALUE"""),"DE")</f>
        <v>DE</v>
      </c>
      <c r="B546" s="186" t="str">
        <f>IFERROR(__xludf.DUMMYFUNCTION("""COMPUTED_VALUE"""),"W07")</f>
        <v>W07</v>
      </c>
      <c r="C546" s="186">
        <f>IFERROR(__xludf.DUMMYFUNCTION("""COMPUTED_VALUE"""),304.0)</f>
        <v>304</v>
      </c>
      <c r="D546" s="186" t="str">
        <f>IFERROR(__xludf.DUMMYFUNCTION("""COMPUTED_VALUE"""),"CON-00-150388-2")</f>
        <v>CON-00-150388-2</v>
      </c>
      <c r="E546" s="186" t="str">
        <f>IFERROR(__xludf.DUMMYFUNCTION("""COMPUTED_VALUE"""),"Parmesan &amp; Garlic Cream Pulled Beef")</f>
        <v>Parmesan &amp; Garlic Cream Pulled Beef</v>
      </c>
      <c r="F546" s="186" t="str">
        <f>IFERROR(__xludf.DUMMYFUNCTION("""COMPUTED_VALUE"""),"Pulled Beef in Parmesan-Knoblauch-Creme")</f>
        <v>Pulled Beef in Parmesan-Knoblauch-Creme</v>
      </c>
      <c r="G546" s="186" t="str">
        <f>IFERROR(__xludf.DUMMYFUNCTION("""COMPUTED_VALUE"""),"FE1346B")</f>
        <v>FE1346B</v>
      </c>
      <c r="H546" s="186">
        <f>IFERROR(__xludf.DUMMYFUNCTION("""COMPUTED_VALUE"""),565184.0)</f>
        <v>565184</v>
      </c>
      <c r="I546" s="186" t="str">
        <f>IFERROR(__xludf.DUMMYFUNCTION("""COMPUTED_VALUE"""),"HF Pulled beef &amp; knoflook room")</f>
        <v>HF Pulled beef &amp; knoflook room</v>
      </c>
      <c r="J546" s="189">
        <f>IFERROR(__xludf.DUMMYFUNCTION("""COMPUTED_VALUE"""),2459.0)</f>
        <v>2459</v>
      </c>
      <c r="K546" s="189">
        <f>IFERROR(__xludf.DUMMYFUNCTION("""COMPUTED_VALUE"""),2759.0)</f>
        <v>2759</v>
      </c>
      <c r="L546" s="189">
        <f>IFERROR(__xludf.DUMMYFUNCTION("""COMPUTED_VALUE"""),3047.0)</f>
        <v>3047</v>
      </c>
      <c r="M546" s="189">
        <f>IFERROR(__xludf.DUMMYFUNCTION("""COMPUTED_VALUE"""),3215.0)</f>
        <v>3215</v>
      </c>
      <c r="N546" s="189">
        <f>IFERROR(__xludf.DUMMYFUNCTION("""COMPUTED_VALUE"""),3260.0)</f>
        <v>3260</v>
      </c>
      <c r="O546" s="189">
        <f>IFERROR(__xludf.DUMMYFUNCTION("""COMPUTED_VALUE"""),3298.0)</f>
        <v>3298</v>
      </c>
      <c r="P546" s="189">
        <f>IFERROR(__xludf.DUMMYFUNCTION("""COMPUTED_VALUE"""),3372.0)</f>
        <v>3372</v>
      </c>
      <c r="Q546" s="189">
        <f>IFERROR(__xludf.DUMMYFUNCTION("""COMPUTED_VALUE"""),3335.0)</f>
        <v>3335</v>
      </c>
      <c r="R546" s="186"/>
      <c r="S546" s="189">
        <f>IFERROR(__xludf.DUMMYFUNCTION("""COMPUTED_VALUE"""),3396.0)</f>
        <v>3396</v>
      </c>
    </row>
    <row r="547">
      <c r="A547" s="186" t="str">
        <f>IFERROR(__xludf.DUMMYFUNCTION("""COMPUTED_VALUE"""),"DE")</f>
        <v>DE</v>
      </c>
      <c r="B547" s="186" t="str">
        <f>IFERROR(__xludf.DUMMYFUNCTION("""COMPUTED_VALUE"""),"W07")</f>
        <v>W07</v>
      </c>
      <c r="C547" s="186">
        <f>IFERROR(__xludf.DUMMYFUNCTION("""COMPUTED_VALUE"""),305.0)</f>
        <v>305</v>
      </c>
      <c r="D547" s="186" t="str">
        <f>IFERROR(__xludf.DUMMYFUNCTION("""COMPUTED_VALUE"""),"CON-00-136675-3")</f>
        <v>CON-00-136675-3</v>
      </c>
      <c r="E547" s="186" t="str">
        <f>IFERROR(__xludf.DUMMYFUNCTION("""COMPUTED_VALUE"""),"Creamy basil risotto with chicken")</f>
        <v>Creamy basil risotto with chicken</v>
      </c>
      <c r="F547" s="186" t="str">
        <f>IFERROR(__xludf.DUMMYFUNCTION("""COMPUTED_VALUE"""),"Cremiges Basilikum-Risotto")</f>
        <v>Cremiges Basilikum-Risotto</v>
      </c>
      <c r="G547" s="186" t="str">
        <f>IFERROR(__xludf.DUMMYFUNCTION("""COMPUTED_VALUE"""),"FE4014B")</f>
        <v>FE4014B</v>
      </c>
      <c r="H547" s="186">
        <f>IFERROR(__xludf.DUMMYFUNCTION("""COMPUTED_VALUE"""),565122.0)</f>
        <v>565122</v>
      </c>
      <c r="I547" s="186"/>
      <c r="J547" s="189">
        <f>IFERROR(__xludf.DUMMYFUNCTION("""COMPUTED_VALUE"""),1994.0)</f>
        <v>1994</v>
      </c>
      <c r="K547" s="189">
        <f>IFERROR(__xludf.DUMMYFUNCTION("""COMPUTED_VALUE"""),2105.0)</f>
        <v>2105</v>
      </c>
      <c r="L547" s="189">
        <f>IFERROR(__xludf.DUMMYFUNCTION("""COMPUTED_VALUE"""),1759.0)</f>
        <v>1759</v>
      </c>
      <c r="M547" s="189">
        <f>IFERROR(__xludf.DUMMYFUNCTION("""COMPUTED_VALUE"""),1780.0)</f>
        <v>1780</v>
      </c>
      <c r="N547" s="189">
        <f>IFERROR(__xludf.DUMMYFUNCTION("""COMPUTED_VALUE"""),1814.0)</f>
        <v>1814</v>
      </c>
      <c r="O547" s="189">
        <f>IFERROR(__xludf.DUMMYFUNCTION("""COMPUTED_VALUE"""),1831.0)</f>
        <v>1831</v>
      </c>
      <c r="P547" s="189">
        <f>IFERROR(__xludf.DUMMYFUNCTION("""COMPUTED_VALUE"""),1817.0)</f>
        <v>1817</v>
      </c>
      <c r="Q547" s="189">
        <f>IFERROR(__xludf.DUMMYFUNCTION("""COMPUTED_VALUE"""),1814.0)</f>
        <v>1814</v>
      </c>
      <c r="R547" s="186"/>
      <c r="S547" s="189">
        <f>IFERROR(__xludf.DUMMYFUNCTION("""COMPUTED_VALUE"""),1838.0)</f>
        <v>1838</v>
      </c>
    </row>
    <row r="548">
      <c r="A548" s="186" t="str">
        <f>IFERROR(__xludf.DUMMYFUNCTION("""COMPUTED_VALUE"""),"DE")</f>
        <v>DE</v>
      </c>
      <c r="B548" s="186" t="str">
        <f>IFERROR(__xludf.DUMMYFUNCTION("""COMPUTED_VALUE"""),"W07")</f>
        <v>W07</v>
      </c>
      <c r="C548" s="186">
        <f>IFERROR(__xludf.DUMMYFUNCTION("""COMPUTED_VALUE"""),306.0)</f>
        <v>306</v>
      </c>
      <c r="D548" s="186" t="str">
        <f>IFERROR(__xludf.DUMMYFUNCTION("""COMPUTED_VALUE"""),"CON-00-136617-3")</f>
        <v>CON-00-136617-3</v>
      </c>
      <c r="E548" s="186" t="str">
        <f>IFERROR(__xludf.DUMMYFUNCTION("""COMPUTED_VALUE"""),"Salmon on cheesy cauliflower rice")</f>
        <v>Salmon on cheesy cauliflower rice</v>
      </c>
      <c r="F548" s="186" t="str">
        <f>IFERROR(__xludf.DUMMYFUNCTION("""COMPUTED_VALUE"""),"Lachs auf Blumenkohlreis in Käsecreme")</f>
        <v>Lachs auf Blumenkohlreis in Käsecreme</v>
      </c>
      <c r="G548" s="186" t="str">
        <f>IFERROR(__xludf.DUMMYFUNCTION("""COMPUTED_VALUE"""),"FE0036E")</f>
        <v>FE0036E</v>
      </c>
      <c r="H548" s="186">
        <f>IFERROR(__xludf.DUMMYFUNCTION("""COMPUTED_VALUE"""),565042.0)</f>
        <v>565042</v>
      </c>
      <c r="I548" s="186" t="str">
        <f>IFERROR(__xludf.DUMMYFUNCTION("""COMPUTED_VALUE"""),"HF Zalm+cheesy bloemk rijst")</f>
        <v>HF Zalm+cheesy bloemk rijst</v>
      </c>
      <c r="J548" s="189">
        <f>IFERROR(__xludf.DUMMYFUNCTION("""COMPUTED_VALUE"""),1952.0)</f>
        <v>1952</v>
      </c>
      <c r="K548" s="189">
        <f>IFERROR(__xludf.DUMMYFUNCTION("""COMPUTED_VALUE"""),1983.0)</f>
        <v>1983</v>
      </c>
      <c r="L548" s="189">
        <f>IFERROR(__xludf.DUMMYFUNCTION("""COMPUTED_VALUE"""),2355.0)</f>
        <v>2355</v>
      </c>
      <c r="M548" s="189">
        <f>IFERROR(__xludf.DUMMYFUNCTION("""COMPUTED_VALUE"""),2371.0)</f>
        <v>2371</v>
      </c>
      <c r="N548" s="189">
        <f>IFERROR(__xludf.DUMMYFUNCTION("""COMPUTED_VALUE"""),2366.0)</f>
        <v>2366</v>
      </c>
      <c r="O548" s="189">
        <f>IFERROR(__xludf.DUMMYFUNCTION("""COMPUTED_VALUE"""),2412.0)</f>
        <v>2412</v>
      </c>
      <c r="P548" s="189">
        <f>IFERROR(__xludf.DUMMYFUNCTION("""COMPUTED_VALUE"""),2458.0)</f>
        <v>2458</v>
      </c>
      <c r="Q548" s="189">
        <f>IFERROR(__xludf.DUMMYFUNCTION("""COMPUTED_VALUE"""),2366.0)</f>
        <v>2366</v>
      </c>
      <c r="R548" s="186"/>
      <c r="S548" s="189">
        <f>IFERROR(__xludf.DUMMYFUNCTION("""COMPUTED_VALUE"""),2419.0)</f>
        <v>2419</v>
      </c>
    </row>
    <row r="549">
      <c r="A549" s="186" t="str">
        <f>IFERROR(__xludf.DUMMYFUNCTION("""COMPUTED_VALUE"""),"DE")</f>
        <v>DE</v>
      </c>
      <c r="B549" s="186" t="str">
        <f>IFERROR(__xludf.DUMMYFUNCTION("""COMPUTED_VALUE"""),"W07")</f>
        <v>W07</v>
      </c>
      <c r="C549" s="186">
        <f>IFERROR(__xludf.DUMMYFUNCTION("""COMPUTED_VALUE"""),307.0)</f>
        <v>307</v>
      </c>
      <c r="D549" s="186" t="str">
        <f>IFERROR(__xludf.DUMMYFUNCTION("""COMPUTED_VALUE"""),"CON-00-136619-3")</f>
        <v>CON-00-136619-3</v>
      </c>
      <c r="E549" s="186" t="str">
        <f>IFERROR(__xludf.DUMMYFUNCTION("""COMPUTED_VALUE"""),"Chicken in creamy spinach")</f>
        <v>Chicken in creamy spinach</v>
      </c>
      <c r="F549" s="186" t="str">
        <f>IFERROR(__xludf.DUMMYFUNCTION("""COMPUTED_VALUE"""),"Hähnchen in Spinat-Creme")</f>
        <v>Hähnchen in Spinat-Creme</v>
      </c>
      <c r="G549" s="186" t="str">
        <f>IFERROR(__xludf.DUMMYFUNCTION("""COMPUTED_VALUE"""),"FE0207I")</f>
        <v>FE0207I</v>
      </c>
      <c r="H549" s="186">
        <f>IFERROR(__xludf.DUMMYFUNCTION("""COMPUTED_VALUE"""),565148.0)</f>
        <v>565148</v>
      </c>
      <c r="I549" s="186" t="str">
        <f>IFERROR(__xludf.DUMMYFUNCTION("""COMPUTED_VALUE"""),"HF RW Kipfilet in rom spinazie")</f>
        <v>HF RW Kipfilet in rom spinazie</v>
      </c>
      <c r="J549" s="189">
        <f>IFERROR(__xludf.DUMMYFUNCTION("""COMPUTED_VALUE"""),1260.0)</f>
        <v>1260</v>
      </c>
      <c r="K549" s="189">
        <f>IFERROR(__xludf.DUMMYFUNCTION("""COMPUTED_VALUE"""),1319.0)</f>
        <v>1319</v>
      </c>
      <c r="L549" s="189">
        <f>IFERROR(__xludf.DUMMYFUNCTION("""COMPUTED_VALUE"""),1369.0)</f>
        <v>1369</v>
      </c>
      <c r="M549" s="189">
        <f>IFERROR(__xludf.DUMMYFUNCTION("""COMPUTED_VALUE"""),1312.0)</f>
        <v>1312</v>
      </c>
      <c r="N549" s="189">
        <f>IFERROR(__xludf.DUMMYFUNCTION("""COMPUTED_VALUE"""),1293.0)</f>
        <v>1293</v>
      </c>
      <c r="O549" s="189">
        <f>IFERROR(__xludf.DUMMYFUNCTION("""COMPUTED_VALUE"""),1346.0)</f>
        <v>1346</v>
      </c>
      <c r="P549" s="189">
        <f>IFERROR(__xludf.DUMMYFUNCTION("""COMPUTED_VALUE"""),1368.0)</f>
        <v>1368</v>
      </c>
      <c r="Q549" s="189">
        <f>IFERROR(__xludf.DUMMYFUNCTION("""COMPUTED_VALUE"""),1335.0)</f>
        <v>1335</v>
      </c>
      <c r="R549" s="186"/>
      <c r="S549" s="189">
        <f>IFERROR(__xludf.DUMMYFUNCTION("""COMPUTED_VALUE"""),1291.0)</f>
        <v>1291</v>
      </c>
    </row>
    <row r="550">
      <c r="A550" s="186" t="str">
        <f>IFERROR(__xludf.DUMMYFUNCTION("""COMPUTED_VALUE"""),"DE")</f>
        <v>DE</v>
      </c>
      <c r="B550" s="186" t="str">
        <f>IFERROR(__xludf.DUMMYFUNCTION("""COMPUTED_VALUE"""),"W07")</f>
        <v>W07</v>
      </c>
      <c r="C550" s="186">
        <f>IFERROR(__xludf.DUMMYFUNCTION("""COMPUTED_VALUE"""),308.0)</f>
        <v>308</v>
      </c>
      <c r="D550" s="186" t="str">
        <f>IFERROR(__xludf.DUMMYFUNCTION("""COMPUTED_VALUE"""),"CON-00-136687-3")</f>
        <v>CON-00-136687-3</v>
      </c>
      <c r="E550" s="186" t="str">
        <f>IFERROR(__xludf.DUMMYFUNCTION("""COMPUTED_VALUE"""),"Chicken in chive cream sauce")</f>
        <v>Chicken in chive cream sauce</v>
      </c>
      <c r="F550" s="186" t="str">
        <f>IFERROR(__xludf.DUMMYFUNCTION("""COMPUTED_VALUE"""),"Hähnchen in Schnittlauchcreme")</f>
        <v>Hähnchen in Schnittlauchcreme</v>
      </c>
      <c r="G550" s="186" t="str">
        <f>IFERROR(__xludf.DUMMYFUNCTION("""COMPUTED_VALUE"""),"FE4023B")</f>
        <v>FE4023B</v>
      </c>
      <c r="H550" s="186">
        <f>IFERROR(__xludf.DUMMYFUNCTION("""COMPUTED_VALUE"""),565161.0)</f>
        <v>565161</v>
      </c>
      <c r="I550" s="186" t="str">
        <f>IFERROR(__xludf.DUMMYFUNCTION("""COMPUTED_VALUE"""),"HF RW Kipf in bieslookroomsaus")</f>
        <v>HF RW Kipf in bieslookroomsaus</v>
      </c>
      <c r="J550" s="189">
        <f>IFERROR(__xludf.DUMMYFUNCTION("""COMPUTED_VALUE"""),1670.0)</f>
        <v>1670</v>
      </c>
      <c r="K550" s="189">
        <f>IFERROR(__xludf.DUMMYFUNCTION("""COMPUTED_VALUE"""),1867.0)</f>
        <v>1867</v>
      </c>
      <c r="L550" s="189">
        <f>IFERROR(__xludf.DUMMYFUNCTION("""COMPUTED_VALUE"""),1642.0)</f>
        <v>1642</v>
      </c>
      <c r="M550" s="189">
        <f>IFERROR(__xludf.DUMMYFUNCTION("""COMPUTED_VALUE"""),1432.0)</f>
        <v>1432</v>
      </c>
      <c r="N550" s="189">
        <f>IFERROR(__xludf.DUMMYFUNCTION("""COMPUTED_VALUE"""),1407.0)</f>
        <v>1407</v>
      </c>
      <c r="O550" s="189">
        <f>IFERROR(__xludf.DUMMYFUNCTION("""COMPUTED_VALUE"""),1415.0)</f>
        <v>1415</v>
      </c>
      <c r="P550" s="189">
        <f>IFERROR(__xludf.DUMMYFUNCTION("""COMPUTED_VALUE"""),1411.0)</f>
        <v>1411</v>
      </c>
      <c r="Q550" s="189">
        <f>IFERROR(__xludf.DUMMYFUNCTION("""COMPUTED_VALUE"""),1368.0)</f>
        <v>1368</v>
      </c>
      <c r="R550" s="186"/>
      <c r="S550" s="189">
        <f>IFERROR(__xludf.DUMMYFUNCTION("""COMPUTED_VALUE"""),1340.0)</f>
        <v>1340</v>
      </c>
    </row>
    <row r="551">
      <c r="A551" s="186" t="str">
        <f>IFERROR(__xludf.DUMMYFUNCTION("""COMPUTED_VALUE"""),"DE")</f>
        <v>DE</v>
      </c>
      <c r="B551" s="186" t="str">
        <f>IFERROR(__xludf.DUMMYFUNCTION("""COMPUTED_VALUE"""),"W07")</f>
        <v>W07</v>
      </c>
      <c r="C551" s="186">
        <f>IFERROR(__xludf.DUMMYFUNCTION("""COMPUTED_VALUE"""),309.0)</f>
        <v>309</v>
      </c>
      <c r="D551" s="186" t="str">
        <f>IFERROR(__xludf.DUMMYFUNCTION("""COMPUTED_VALUE"""),"CON-00-136641-3")</f>
        <v>CON-00-136641-3</v>
      </c>
      <c r="E551" s="186" t="str">
        <f>IFERROR(__xludf.DUMMYFUNCTION("""COMPUTED_VALUE"""),"Mexican style corn cake")</f>
        <v>Mexican style corn cake</v>
      </c>
      <c r="F551" s="186" t="str">
        <f>IFERROR(__xludf.DUMMYFUNCTION("""COMPUTED_VALUE"""),"Mexikanischer Maiskuchen")</f>
        <v>Mexikanischer Maiskuchen</v>
      </c>
      <c r="G551" s="186" t="str">
        <f>IFERROR(__xludf.DUMMYFUNCTION("""COMPUTED_VALUE"""),"FE0121C")</f>
        <v>FE0121C</v>
      </c>
      <c r="H551" s="186">
        <f>IFERROR(__xludf.DUMMYFUNCTION("""COMPUTED_VALUE"""),565023.0)</f>
        <v>565023</v>
      </c>
      <c r="I551" s="186" t="str">
        <f>IFERROR(__xludf.DUMMYFUNCTION("""COMPUTED_VALUE"""),"HF Mex.stijl maiscake")</f>
        <v>HF Mex.stijl maiscake</v>
      </c>
      <c r="J551" s="189">
        <f>IFERROR(__xludf.DUMMYFUNCTION("""COMPUTED_VALUE"""),327.0)</f>
        <v>327</v>
      </c>
      <c r="K551" s="189">
        <f>IFERROR(__xludf.DUMMYFUNCTION("""COMPUTED_VALUE"""),387.0)</f>
        <v>387</v>
      </c>
      <c r="L551" s="189">
        <f>IFERROR(__xludf.DUMMYFUNCTION("""COMPUTED_VALUE"""),372.0)</f>
        <v>372</v>
      </c>
      <c r="M551" s="189">
        <f>IFERROR(__xludf.DUMMYFUNCTION("""COMPUTED_VALUE"""),409.0)</f>
        <v>409</v>
      </c>
      <c r="N551" s="189">
        <f>IFERROR(__xludf.DUMMYFUNCTION("""COMPUTED_VALUE"""),397.0)</f>
        <v>397</v>
      </c>
      <c r="O551" s="189">
        <f>IFERROR(__xludf.DUMMYFUNCTION("""COMPUTED_VALUE"""),411.0)</f>
        <v>411</v>
      </c>
      <c r="P551" s="189">
        <f>IFERROR(__xludf.DUMMYFUNCTION("""COMPUTED_VALUE"""),417.0)</f>
        <v>417</v>
      </c>
      <c r="Q551" s="189">
        <f>IFERROR(__xludf.DUMMYFUNCTION("""COMPUTED_VALUE"""),412.0)</f>
        <v>412</v>
      </c>
      <c r="R551" s="186"/>
      <c r="S551" s="189">
        <f>IFERROR(__xludf.DUMMYFUNCTION("""COMPUTED_VALUE"""),419.0)</f>
        <v>419</v>
      </c>
    </row>
    <row r="552">
      <c r="A552" s="186" t="str">
        <f>IFERROR(__xludf.DUMMYFUNCTION("""COMPUTED_VALUE"""),"DE")</f>
        <v>DE</v>
      </c>
      <c r="B552" s="186" t="str">
        <f>IFERROR(__xludf.DUMMYFUNCTION("""COMPUTED_VALUE"""),"W07")</f>
        <v>W07</v>
      </c>
      <c r="C552" s="186">
        <f>IFERROR(__xludf.DUMMYFUNCTION("""COMPUTED_VALUE"""),310.0)</f>
        <v>310</v>
      </c>
      <c r="D552" s="186" t="str">
        <f>IFERROR(__xludf.DUMMYFUNCTION("""COMPUTED_VALUE"""),"CON-00-136634-3")</f>
        <v>CON-00-136634-3</v>
      </c>
      <c r="E552" s="186" t="str">
        <f>IFERROR(__xludf.DUMMYFUNCTION("""COMPUTED_VALUE"""),"Ratatouille of zucchini and pepper")</f>
        <v>Ratatouille of zucchini and pepper</v>
      </c>
      <c r="F552" s="186" t="str">
        <f>IFERROR(__xludf.DUMMYFUNCTION("""COMPUTED_VALUE"""),"Zucchini-Paprika-Ratatouille")</f>
        <v>Zucchini-Paprika-Ratatouille</v>
      </c>
      <c r="G552" s="186" t="str">
        <f>IFERROR(__xludf.DUMMYFUNCTION("""COMPUTED_VALUE"""),"FE0090C")</f>
        <v>FE0090C</v>
      </c>
      <c r="H552" s="186">
        <f>IFERROR(__xludf.DUMMYFUNCTION("""COMPUTED_VALUE"""),565141.0)</f>
        <v>565141</v>
      </c>
      <c r="I552" s="186"/>
      <c r="J552" s="189">
        <f>IFERROR(__xludf.DUMMYFUNCTION("""COMPUTED_VALUE"""),372.0)</f>
        <v>372</v>
      </c>
      <c r="K552" s="189">
        <f>IFERROR(__xludf.DUMMYFUNCTION("""COMPUTED_VALUE"""),383.0)</f>
        <v>383</v>
      </c>
      <c r="L552" s="189">
        <f>IFERROR(__xludf.DUMMYFUNCTION("""COMPUTED_VALUE"""),422.0)</f>
        <v>422</v>
      </c>
      <c r="M552" s="189">
        <f>IFERROR(__xludf.DUMMYFUNCTION("""COMPUTED_VALUE"""),403.0)</f>
        <v>403</v>
      </c>
      <c r="N552" s="189">
        <f>IFERROR(__xludf.DUMMYFUNCTION("""COMPUTED_VALUE"""),411.0)</f>
        <v>411</v>
      </c>
      <c r="O552" s="189">
        <f>IFERROR(__xludf.DUMMYFUNCTION("""COMPUTED_VALUE"""),410.0)</f>
        <v>410</v>
      </c>
      <c r="P552" s="189">
        <f>IFERROR(__xludf.DUMMYFUNCTION("""COMPUTED_VALUE"""),395.0)</f>
        <v>395</v>
      </c>
      <c r="Q552" s="189">
        <f>IFERROR(__xludf.DUMMYFUNCTION("""COMPUTED_VALUE"""),340.0)</f>
        <v>340</v>
      </c>
      <c r="R552" s="186"/>
      <c r="S552" s="189">
        <f>IFERROR(__xludf.DUMMYFUNCTION("""COMPUTED_VALUE"""),383.0)</f>
        <v>383</v>
      </c>
    </row>
    <row r="553">
      <c r="A553" s="186" t="str">
        <f>IFERROR(__xludf.DUMMYFUNCTION("""COMPUTED_VALUE"""),"DE")</f>
        <v>DE</v>
      </c>
      <c r="B553" s="186" t="str">
        <f>IFERROR(__xludf.DUMMYFUNCTION("""COMPUTED_VALUE"""),"W07")</f>
        <v>W07</v>
      </c>
      <c r="C553" s="186">
        <f>IFERROR(__xludf.DUMMYFUNCTION("""COMPUTED_VALUE"""),311.0)</f>
        <v>311</v>
      </c>
      <c r="D553" s="186" t="str">
        <f>IFERROR(__xludf.DUMMYFUNCTION("""COMPUTED_VALUE"""),"CON-00-136664-3")</f>
        <v>CON-00-136664-3</v>
      </c>
      <c r="E553" s="186" t="str">
        <f>IFERROR(__xludf.DUMMYFUNCTION("""COMPUTED_VALUE"""),"Pork tenderloin in sundried tomato sauce")</f>
        <v>Pork tenderloin in sundried tomato sauce</v>
      </c>
      <c r="F553" s="186" t="str">
        <f>IFERROR(__xludf.DUMMYFUNCTION("""COMPUTED_VALUE"""),"Schweinefilet in Sonnentomaten-Sauce")</f>
        <v>Schweinefilet in Sonnentomaten-Sauce</v>
      </c>
      <c r="G553" s="186" t="str">
        <f>IFERROR(__xludf.DUMMYFUNCTION("""COMPUTED_VALUE"""),"FE4006A")</f>
        <v>FE4006A</v>
      </c>
      <c r="H553" s="186">
        <f>IFERROR(__xludf.DUMMYFUNCTION("""COMPUTED_VALUE"""),565063.0)</f>
        <v>565063</v>
      </c>
      <c r="I553" s="186" t="str">
        <f>IFERROR(__xludf.DUMMYFUNCTION("""COMPUTED_VALUE"""),"HF Varkenshaas met tomatensaus 384g")</f>
        <v>HF Varkenshaas met tomatensaus 384g</v>
      </c>
      <c r="J553" s="189">
        <f>IFERROR(__xludf.DUMMYFUNCTION("""COMPUTED_VALUE"""),872.0)</f>
        <v>872</v>
      </c>
      <c r="K553" s="189">
        <f>IFERROR(__xludf.DUMMYFUNCTION("""COMPUTED_VALUE"""),925.0)</f>
        <v>925</v>
      </c>
      <c r="L553" s="189">
        <f>IFERROR(__xludf.DUMMYFUNCTION("""COMPUTED_VALUE"""),485.0)</f>
        <v>485</v>
      </c>
      <c r="M553" s="189">
        <f>IFERROR(__xludf.DUMMYFUNCTION("""COMPUTED_VALUE"""),666.0)</f>
        <v>666</v>
      </c>
      <c r="N553" s="189">
        <f>IFERROR(__xludf.DUMMYFUNCTION("""COMPUTED_VALUE"""),670.0)</f>
        <v>670</v>
      </c>
      <c r="O553" s="189">
        <f>IFERROR(__xludf.DUMMYFUNCTION("""COMPUTED_VALUE"""),662.0)</f>
        <v>662</v>
      </c>
      <c r="P553" s="189">
        <f>IFERROR(__xludf.DUMMYFUNCTION("""COMPUTED_VALUE"""),675.0)</f>
        <v>675</v>
      </c>
      <c r="Q553" s="189">
        <f>IFERROR(__xludf.DUMMYFUNCTION("""COMPUTED_VALUE"""),658.0)</f>
        <v>658</v>
      </c>
      <c r="R553" s="186"/>
      <c r="S553" s="189">
        <f>IFERROR(__xludf.DUMMYFUNCTION("""COMPUTED_VALUE"""),653.0)</f>
        <v>653</v>
      </c>
    </row>
    <row r="554">
      <c r="A554" s="186" t="str">
        <f>IFERROR(__xludf.DUMMYFUNCTION("""COMPUTED_VALUE"""),"DE")</f>
        <v>DE</v>
      </c>
      <c r="B554" s="186" t="str">
        <f>IFERROR(__xludf.DUMMYFUNCTION("""COMPUTED_VALUE"""),"W07")</f>
        <v>W07</v>
      </c>
      <c r="C554" s="186">
        <f>IFERROR(__xludf.DUMMYFUNCTION("""COMPUTED_VALUE"""),312.0)</f>
        <v>312</v>
      </c>
      <c r="D554" s="186" t="str">
        <f>IFERROR(__xludf.DUMMYFUNCTION("""COMPUTED_VALUE"""),"CON-00-155224-2")</f>
        <v>CON-00-155224-2</v>
      </c>
      <c r="E554" s="186" t="str">
        <f>IFERROR(__xludf.DUMMYFUNCTION("""COMPUTED_VALUE"""),"Honey Mustard Salmon")</f>
        <v>Honey Mustard Salmon</v>
      </c>
      <c r="F554" s="186" t="str">
        <f>IFERROR(__xludf.DUMMYFUNCTION("""COMPUTED_VALUE"""),"Honig-Senf-Lachs")</f>
        <v>Honig-Senf-Lachs</v>
      </c>
      <c r="G554" s="186" t="str">
        <f>IFERROR(__xludf.DUMMYFUNCTION("""COMPUTED_VALUE"""),"FE4077A")</f>
        <v>FE4077A</v>
      </c>
      <c r="H554" s="186">
        <f>IFERROR(__xludf.DUMMYFUNCTION("""COMPUTED_VALUE"""),565253.0)</f>
        <v>565253</v>
      </c>
      <c r="I554" s="186" t="str">
        <f>IFERROR(__xludf.DUMMYFUNCTION("""COMPUTED_VALUE"""),"HF Honing mosterd zalm")</f>
        <v>HF Honing mosterd zalm</v>
      </c>
      <c r="J554" s="189">
        <f>IFERROR(__xludf.DUMMYFUNCTION("""COMPUTED_VALUE"""),1545.0)</f>
        <v>1545</v>
      </c>
      <c r="K554" s="189">
        <f>IFERROR(__xludf.DUMMYFUNCTION("""COMPUTED_VALUE"""),1659.0)</f>
        <v>1659</v>
      </c>
      <c r="L554" s="189">
        <f>IFERROR(__xludf.DUMMYFUNCTION("""COMPUTED_VALUE"""),1937.0)</f>
        <v>1937</v>
      </c>
      <c r="M554" s="189">
        <f>IFERROR(__xludf.DUMMYFUNCTION("""COMPUTED_VALUE"""),2037.0)</f>
        <v>2037</v>
      </c>
      <c r="N554" s="189">
        <f>IFERROR(__xludf.DUMMYFUNCTION("""COMPUTED_VALUE"""),2065.0)</f>
        <v>2065</v>
      </c>
      <c r="O554" s="189">
        <f>IFERROR(__xludf.DUMMYFUNCTION("""COMPUTED_VALUE"""),2108.0)</f>
        <v>2108</v>
      </c>
      <c r="P554" s="189">
        <f>IFERROR(__xludf.DUMMYFUNCTION("""COMPUTED_VALUE"""),2102.0)</f>
        <v>2102</v>
      </c>
      <c r="Q554" s="189">
        <f>IFERROR(__xludf.DUMMYFUNCTION("""COMPUTED_VALUE"""),2140.0)</f>
        <v>2140</v>
      </c>
      <c r="R554" s="186"/>
      <c r="S554" s="189">
        <f>IFERROR(__xludf.DUMMYFUNCTION("""COMPUTED_VALUE"""),2125.0)</f>
        <v>2125</v>
      </c>
    </row>
    <row r="555">
      <c r="A555" s="186" t="str">
        <f>IFERROR(__xludf.DUMMYFUNCTION("""COMPUTED_VALUE"""),"DE")</f>
        <v>DE</v>
      </c>
      <c r="B555" s="186" t="str">
        <f>IFERROR(__xludf.DUMMYFUNCTION("""COMPUTED_VALUE"""),"W07")</f>
        <v>W07</v>
      </c>
      <c r="C555" s="186">
        <f>IFERROR(__xludf.DUMMYFUNCTION("""COMPUTED_VALUE"""),313.0)</f>
        <v>313</v>
      </c>
      <c r="D555" s="186" t="str">
        <f>IFERROR(__xludf.DUMMYFUNCTION("""COMPUTED_VALUE"""),"CON-00-155262-2")</f>
        <v>CON-00-155262-2</v>
      </c>
      <c r="E555" s="186" t="str">
        <f>IFERROR(__xludf.DUMMYFUNCTION("""COMPUTED_VALUE"""),"Chicken &amp; Eggplant Mozzarella Pomodoro")</f>
        <v>Chicken &amp; Eggplant Mozzarella Pomodoro</v>
      </c>
      <c r="F555" s="186" t="str">
        <f>IFERROR(__xludf.DUMMYFUNCTION("""COMPUTED_VALUE"""),"Hähnchen-Auberginen-Pomodoro mit Mozzarella")</f>
        <v>Hähnchen-Auberginen-Pomodoro mit Mozzarella</v>
      </c>
      <c r="G555" s="186" t="str">
        <f>IFERROR(__xludf.DUMMYFUNCTION("""COMPUTED_VALUE"""),"FE4072A")</f>
        <v>FE4072A</v>
      </c>
      <c r="H555" s="186">
        <f>IFERROR(__xludf.DUMMYFUNCTION("""COMPUTED_VALUE"""),565249.0)</f>
        <v>565249</v>
      </c>
      <c r="I555" s="186" t="str">
        <f>IFERROR(__xludf.DUMMYFUNCTION("""COMPUTED_VALUE"""),"HF Kip Mozzarella Aubergine")</f>
        <v>HF Kip Mozzarella Aubergine</v>
      </c>
      <c r="J555" s="189">
        <f>IFERROR(__xludf.DUMMYFUNCTION("""COMPUTED_VALUE"""),1697.0)</f>
        <v>1697</v>
      </c>
      <c r="K555" s="189">
        <f>IFERROR(__xludf.DUMMYFUNCTION("""COMPUTED_VALUE"""),1753.0)</f>
        <v>1753</v>
      </c>
      <c r="L555" s="189">
        <f>IFERROR(__xludf.DUMMYFUNCTION("""COMPUTED_VALUE"""),1757.0)</f>
        <v>1757</v>
      </c>
      <c r="M555" s="189">
        <f>IFERROR(__xludf.DUMMYFUNCTION("""COMPUTED_VALUE"""),1863.0)</f>
        <v>1863</v>
      </c>
      <c r="N555" s="189">
        <f>IFERROR(__xludf.DUMMYFUNCTION("""COMPUTED_VALUE"""),1840.0)</f>
        <v>1840</v>
      </c>
      <c r="O555" s="189">
        <f>IFERROR(__xludf.DUMMYFUNCTION("""COMPUTED_VALUE"""),1762.0)</f>
        <v>1762</v>
      </c>
      <c r="P555" s="189">
        <f>IFERROR(__xludf.DUMMYFUNCTION("""COMPUTED_VALUE"""),1742.0)</f>
        <v>1742</v>
      </c>
      <c r="Q555" s="189">
        <f>IFERROR(__xludf.DUMMYFUNCTION("""COMPUTED_VALUE"""),1729.0)</f>
        <v>1729</v>
      </c>
      <c r="R555" s="186"/>
      <c r="S555" s="189">
        <f>IFERROR(__xludf.DUMMYFUNCTION("""COMPUTED_VALUE"""),1730.0)</f>
        <v>1730</v>
      </c>
    </row>
    <row r="556">
      <c r="A556" s="186" t="str">
        <f>IFERROR(__xludf.DUMMYFUNCTION("""COMPUTED_VALUE"""),"DE")</f>
        <v>DE</v>
      </c>
      <c r="B556" s="186" t="str">
        <f>IFERROR(__xludf.DUMMYFUNCTION("""COMPUTED_VALUE"""),"W07")</f>
        <v>W07</v>
      </c>
      <c r="C556" s="186">
        <f>IFERROR(__xludf.DUMMYFUNCTION("""COMPUTED_VALUE"""),314.0)</f>
        <v>314</v>
      </c>
      <c r="D556" s="186" t="str">
        <f>IFERROR(__xludf.DUMMYFUNCTION("""COMPUTED_VALUE"""),"CON-00-152205-2")</f>
        <v>CON-00-152205-2</v>
      </c>
      <c r="E556" s="186" t="str">
        <f>IFERROR(__xludf.DUMMYFUNCTION("""COMPUTED_VALUE"""),"Green Chile Chicken &amp; Salsa Quinoa")</f>
        <v>Green Chile Chicken &amp; Salsa Quinoa</v>
      </c>
      <c r="F556" s="186" t="str">
        <f>IFERROR(__xludf.DUMMYFUNCTION("""COMPUTED_VALUE"""),"Grünes Chili-Hähnchen mit Quinoa-Salsa")</f>
        <v>Grünes Chili-Hähnchen mit Quinoa-Salsa</v>
      </c>
      <c r="G556" s="186" t="str">
        <f>IFERROR(__xludf.DUMMYFUNCTION("""COMPUTED_VALUE"""),"FE1636A")</f>
        <v>FE1636A</v>
      </c>
      <c r="H556" s="186">
        <f>IFERROR(__xludf.DUMMYFUNCTION("""COMPUTED_VALUE"""),565209.0)</f>
        <v>565209</v>
      </c>
      <c r="I556" s="186" t="str">
        <f>IFERROR(__xludf.DUMMYFUNCTION("""COMPUTED_VALUE"""),"HF Quinoa witte bonen salsa")</f>
        <v>HF Quinoa witte bonen salsa</v>
      </c>
      <c r="J556" s="189">
        <f>IFERROR(__xludf.DUMMYFUNCTION("""COMPUTED_VALUE"""),867.0)</f>
        <v>867</v>
      </c>
      <c r="K556" s="189">
        <f>IFERROR(__xludf.DUMMYFUNCTION("""COMPUTED_VALUE"""),883.0)</f>
        <v>883</v>
      </c>
      <c r="L556" s="189">
        <f>IFERROR(__xludf.DUMMYFUNCTION("""COMPUTED_VALUE"""),1300.0)</f>
        <v>1300</v>
      </c>
      <c r="M556" s="189">
        <f>IFERROR(__xludf.DUMMYFUNCTION("""COMPUTED_VALUE"""),1175.0)</f>
        <v>1175</v>
      </c>
      <c r="N556" s="189">
        <f>IFERROR(__xludf.DUMMYFUNCTION("""COMPUTED_VALUE"""),1133.0)</f>
        <v>1133</v>
      </c>
      <c r="O556" s="189">
        <f>IFERROR(__xludf.DUMMYFUNCTION("""COMPUTED_VALUE"""),1040.0)</f>
        <v>1040</v>
      </c>
      <c r="P556" s="189">
        <f>IFERROR(__xludf.DUMMYFUNCTION("""COMPUTED_VALUE"""),1015.0)</f>
        <v>1015</v>
      </c>
      <c r="Q556" s="189">
        <f>IFERROR(__xludf.DUMMYFUNCTION("""COMPUTED_VALUE"""),1018.0)</f>
        <v>1018</v>
      </c>
      <c r="R556" s="186"/>
      <c r="S556" s="189">
        <f>IFERROR(__xludf.DUMMYFUNCTION("""COMPUTED_VALUE"""),1013.0)</f>
        <v>1013</v>
      </c>
    </row>
    <row r="557">
      <c r="A557" s="186" t="str">
        <f>IFERROR(__xludf.DUMMYFUNCTION("""COMPUTED_VALUE"""),"DE")</f>
        <v>DE</v>
      </c>
      <c r="B557" s="186" t="str">
        <f>IFERROR(__xludf.DUMMYFUNCTION("""COMPUTED_VALUE"""),"W07")</f>
        <v>W07</v>
      </c>
      <c r="C557" s="186">
        <f>IFERROR(__xludf.DUMMYFUNCTION("""COMPUTED_VALUE"""),315.0)</f>
        <v>315</v>
      </c>
      <c r="D557" s="186" t="str">
        <f>IFERROR(__xludf.DUMMYFUNCTION("""COMPUTED_VALUE"""),"CON-00-136657-3")</f>
        <v>CON-00-136657-3</v>
      </c>
      <c r="E557" s="186" t="str">
        <f>IFERROR(__xludf.DUMMYFUNCTION("""COMPUTED_VALUE"""),"Courgette-spaghetti bolognese")</f>
        <v>Courgette-spaghetti bolognese</v>
      </c>
      <c r="F557" s="186" t="str">
        <f>IFERROR(__xludf.DUMMYFUNCTION("""COMPUTED_VALUE"""),"Zucchini-Spaghetti Bolognese")</f>
        <v>Zucchini-Spaghetti Bolognese</v>
      </c>
      <c r="G557" s="186" t="str">
        <f>IFERROR(__xludf.DUMMYFUNCTION("""COMPUTED_VALUE"""),"FE0849B")</f>
        <v>FE0849B</v>
      </c>
      <c r="H557" s="186">
        <f>IFERROR(__xludf.DUMMYFUNCTION("""COMPUTED_VALUE"""),565260.0)</f>
        <v>565260</v>
      </c>
      <c r="I557" s="186" t="str">
        <f>IFERROR(__xludf.DUMMYFUNCTION("""COMPUTED_VALUE"""),"HF RW Courgette-spagh bolognes")</f>
        <v>HF RW Courgette-spagh bolognes</v>
      </c>
      <c r="J557" s="189">
        <f>IFERROR(__xludf.DUMMYFUNCTION("""COMPUTED_VALUE"""),994.0)</f>
        <v>994</v>
      </c>
      <c r="K557" s="189">
        <f>IFERROR(__xludf.DUMMYFUNCTION("""COMPUTED_VALUE"""),1019.0)</f>
        <v>1019</v>
      </c>
      <c r="L557" s="189">
        <f>IFERROR(__xludf.DUMMYFUNCTION("""COMPUTED_VALUE"""),1000.0)</f>
        <v>1000</v>
      </c>
      <c r="M557" s="189">
        <f>IFERROR(__xludf.DUMMYFUNCTION("""COMPUTED_VALUE"""),1141.0)</f>
        <v>1141</v>
      </c>
      <c r="N557" s="189">
        <f>IFERROR(__xludf.DUMMYFUNCTION("""COMPUTED_VALUE"""),1088.0)</f>
        <v>1088</v>
      </c>
      <c r="O557" s="189">
        <f>IFERROR(__xludf.DUMMYFUNCTION("""COMPUTED_VALUE"""),1045.0)</f>
        <v>1045</v>
      </c>
      <c r="P557" s="189">
        <f>IFERROR(__xludf.DUMMYFUNCTION("""COMPUTED_VALUE"""),1047.0)</f>
        <v>1047</v>
      </c>
      <c r="Q557" s="189">
        <f>IFERROR(__xludf.DUMMYFUNCTION("""COMPUTED_VALUE"""),1037.0)</f>
        <v>1037</v>
      </c>
      <c r="R557" s="186"/>
      <c r="S557" s="189">
        <f>IFERROR(__xludf.DUMMYFUNCTION("""COMPUTED_VALUE"""),1032.0)</f>
        <v>1032</v>
      </c>
    </row>
    <row r="558">
      <c r="A558" s="186" t="str">
        <f>IFERROR(__xludf.DUMMYFUNCTION("""COMPUTED_VALUE"""),"DE")</f>
        <v>DE</v>
      </c>
      <c r="B558" s="186" t="str">
        <f>IFERROR(__xludf.DUMMYFUNCTION("""COMPUTED_VALUE"""),"W07")</f>
        <v>W07</v>
      </c>
      <c r="C558" s="186">
        <f>IFERROR(__xludf.DUMMYFUNCTION("""COMPUTED_VALUE"""),316.0)</f>
        <v>316</v>
      </c>
      <c r="D558" s="186" t="str">
        <f>IFERROR(__xludf.DUMMYFUNCTION("""COMPUTED_VALUE"""),"CON-00-137164-3")</f>
        <v>CON-00-137164-3</v>
      </c>
      <c r="E558" s="186" t="str">
        <f>IFERROR(__xludf.DUMMYFUNCTION("""COMPUTED_VALUE"""),"Beef Shepherd's Pie")</f>
        <v>Beef Shepherd's Pie</v>
      </c>
      <c r="F558" s="186" t="str">
        <f>IFERROR(__xludf.DUMMYFUNCTION("""COMPUTED_VALUE"""),"Shepherd’s Pie mit Rindfleisch")</f>
        <v>Shepherd’s Pie mit Rindfleisch</v>
      </c>
      <c r="G558" s="186" t="str">
        <f>IFERROR(__xludf.DUMMYFUNCTION("""COMPUTED_VALUE"""),"FE0160C")</f>
        <v>FE0160C</v>
      </c>
      <c r="H558" s="186">
        <f>IFERROR(__xludf.DUMMYFUNCTION("""COMPUTED_VALUE"""),565153.0)</f>
        <v>565153</v>
      </c>
      <c r="I558" s="186" t="str">
        <f>IFERROR(__xludf.DUMMYFUNCTION("""COMPUTED_VALUE"""),"HF Beef Shephards Pie")</f>
        <v>HF Beef Shephards Pie</v>
      </c>
      <c r="J558" s="189">
        <f>IFERROR(__xludf.DUMMYFUNCTION("""COMPUTED_VALUE"""),609.0)</f>
        <v>609</v>
      </c>
      <c r="K558" s="189">
        <f>IFERROR(__xludf.DUMMYFUNCTION("""COMPUTED_VALUE"""),673.0)</f>
        <v>673</v>
      </c>
      <c r="L558" s="189">
        <f>IFERROR(__xludf.DUMMYFUNCTION("""COMPUTED_VALUE"""),981.0)</f>
        <v>981</v>
      </c>
      <c r="M558" s="189">
        <f>IFERROR(__xludf.DUMMYFUNCTION("""COMPUTED_VALUE"""),1065.0)</f>
        <v>1065</v>
      </c>
      <c r="N558" s="189">
        <f>IFERROR(__xludf.DUMMYFUNCTION("""COMPUTED_VALUE"""),1054.0)</f>
        <v>1054</v>
      </c>
      <c r="O558" s="189">
        <f>IFERROR(__xludf.DUMMYFUNCTION("""COMPUTED_VALUE"""),1052.0)</f>
        <v>1052</v>
      </c>
      <c r="P558" s="189">
        <f>IFERROR(__xludf.DUMMYFUNCTION("""COMPUTED_VALUE"""),1032.0)</f>
        <v>1032</v>
      </c>
      <c r="Q558" s="189">
        <f>IFERROR(__xludf.DUMMYFUNCTION("""COMPUTED_VALUE"""),981.0)</f>
        <v>981</v>
      </c>
      <c r="R558" s="186"/>
      <c r="S558" s="189">
        <f>IFERROR(__xludf.DUMMYFUNCTION("""COMPUTED_VALUE"""),1008.0)</f>
        <v>1008</v>
      </c>
    </row>
    <row r="559">
      <c r="A559" s="186" t="str">
        <f>IFERROR(__xludf.DUMMYFUNCTION("""COMPUTED_VALUE"""),"DE")</f>
        <v>DE</v>
      </c>
      <c r="B559" s="186" t="str">
        <f>IFERROR(__xludf.DUMMYFUNCTION("""COMPUTED_VALUE"""),"W07")</f>
        <v>W07</v>
      </c>
      <c r="C559" s="186">
        <f>IFERROR(__xludf.DUMMYFUNCTION("""COMPUTED_VALUE"""),317.0)</f>
        <v>317</v>
      </c>
      <c r="D559" s="186" t="str">
        <f>IFERROR(__xludf.DUMMYFUNCTION("""COMPUTED_VALUE"""),"CON-00-136655-3")</f>
        <v>CON-00-136655-3</v>
      </c>
      <c r="E559" s="186" t="str">
        <f>IFERROR(__xludf.DUMMYFUNCTION("""COMPUTED_VALUE"""),"Pork tenderloin with caramelized onion")</f>
        <v>Pork tenderloin with caramelized onion</v>
      </c>
      <c r="F559" s="186" t="str">
        <f>IFERROR(__xludf.DUMMYFUNCTION("""COMPUTED_VALUE"""),"Schweinefilet mit karamellisierten Zwiebeln")</f>
        <v>Schweinefilet mit karamellisierten Zwiebeln</v>
      </c>
      <c r="G559" s="186" t="str">
        <f>IFERROR(__xludf.DUMMYFUNCTION("""COMPUTED_VALUE"""),"FE0565D")</f>
        <v>FE0565D</v>
      </c>
      <c r="H559" s="186">
        <f>IFERROR(__xludf.DUMMYFUNCTION("""COMPUTED_VALUE"""),565147.0)</f>
        <v>565147</v>
      </c>
      <c r="I559" s="186" t="str">
        <f>IFERROR(__xludf.DUMMYFUNCTION("""COMPUTED_VALUE"""),"HF RW Varkenshaas gekaram. ui")</f>
        <v>HF RW Varkenshaas gekaram. ui</v>
      </c>
      <c r="J559" s="189">
        <f>IFERROR(__xludf.DUMMYFUNCTION("""COMPUTED_VALUE"""),829.0)</f>
        <v>829</v>
      </c>
      <c r="K559" s="189">
        <f>IFERROR(__xludf.DUMMYFUNCTION("""COMPUTED_VALUE"""),886.0)</f>
        <v>886</v>
      </c>
      <c r="L559" s="189">
        <f>IFERROR(__xludf.DUMMYFUNCTION("""COMPUTED_VALUE"""),1176.0)</f>
        <v>1176</v>
      </c>
      <c r="M559" s="189">
        <f>IFERROR(__xludf.DUMMYFUNCTION("""COMPUTED_VALUE"""),1303.0)</f>
        <v>1303</v>
      </c>
      <c r="N559" s="189">
        <f>IFERROR(__xludf.DUMMYFUNCTION("""COMPUTED_VALUE"""),1305.0)</f>
        <v>1305</v>
      </c>
      <c r="O559" s="189">
        <f>IFERROR(__xludf.DUMMYFUNCTION("""COMPUTED_VALUE"""),1395.0)</f>
        <v>1395</v>
      </c>
      <c r="P559" s="189">
        <f>IFERROR(__xludf.DUMMYFUNCTION("""COMPUTED_VALUE"""),1387.0)</f>
        <v>1387</v>
      </c>
      <c r="Q559" s="189">
        <f>IFERROR(__xludf.DUMMYFUNCTION("""COMPUTED_VALUE"""),1395.0)</f>
        <v>1395</v>
      </c>
      <c r="R559" s="186"/>
      <c r="S559" s="189">
        <f>IFERROR(__xludf.DUMMYFUNCTION("""COMPUTED_VALUE"""),1426.0)</f>
        <v>1426</v>
      </c>
    </row>
    <row r="560">
      <c r="A560" s="186" t="str">
        <f>IFERROR(__xludf.DUMMYFUNCTION("""COMPUTED_VALUE"""),"DE")</f>
        <v>DE</v>
      </c>
      <c r="B560" s="186" t="str">
        <f>IFERROR(__xludf.DUMMYFUNCTION("""COMPUTED_VALUE"""),"W07")</f>
        <v>W07</v>
      </c>
      <c r="C560" s="186">
        <f>IFERROR(__xludf.DUMMYFUNCTION("""COMPUTED_VALUE"""),318.0)</f>
        <v>318</v>
      </c>
      <c r="D560" s="186" t="str">
        <f>IFERROR(__xludf.DUMMYFUNCTION("""COMPUTED_VALUE"""),"CON-00-136717-3")</f>
        <v>CON-00-136717-3</v>
      </c>
      <c r="E560" s="186" t="str">
        <f>IFERROR(__xludf.DUMMYFUNCTION("""COMPUTED_VALUE"""),"Pork tenderloin and Mediterranean mash")</f>
        <v>Pork tenderloin and Mediterranean mash</v>
      </c>
      <c r="F560" s="186" t="str">
        <f>IFERROR(__xludf.DUMMYFUNCTION("""COMPUTED_VALUE"""),"Schweinefilet auf mediterranem Püree")</f>
        <v>Schweinefilet auf mediterranem Püree</v>
      </c>
      <c r="G560" s="186" t="str">
        <f>IFERROR(__xludf.DUMMYFUNCTION("""COMPUTED_VALUE"""),"FE4042A")</f>
        <v>FE4042A</v>
      </c>
      <c r="H560" s="186">
        <f>IFERROR(__xludf.DUMMYFUNCTION("""COMPUTED_VALUE"""),565109.0)</f>
        <v>565109</v>
      </c>
      <c r="I560" s="186"/>
      <c r="J560" s="189">
        <f>IFERROR(__xludf.DUMMYFUNCTION("""COMPUTED_VALUE"""),404.0)</f>
        <v>404</v>
      </c>
      <c r="K560" s="189">
        <f>IFERROR(__xludf.DUMMYFUNCTION("""COMPUTED_VALUE"""),514.0)</f>
        <v>514</v>
      </c>
      <c r="L560" s="189">
        <f>IFERROR(__xludf.DUMMYFUNCTION("""COMPUTED_VALUE"""),621.0)</f>
        <v>621</v>
      </c>
      <c r="M560" s="189">
        <f>IFERROR(__xludf.DUMMYFUNCTION("""COMPUTED_VALUE"""),653.0)</f>
        <v>653</v>
      </c>
      <c r="N560" s="189">
        <f>IFERROR(__xludf.DUMMYFUNCTION("""COMPUTED_VALUE"""),669.0)</f>
        <v>669</v>
      </c>
      <c r="O560" s="189">
        <f>IFERROR(__xludf.DUMMYFUNCTION("""COMPUTED_VALUE"""),695.0)</f>
        <v>695</v>
      </c>
      <c r="P560" s="189">
        <f>IFERROR(__xludf.DUMMYFUNCTION("""COMPUTED_VALUE"""),682.0)</f>
        <v>682</v>
      </c>
      <c r="Q560" s="189">
        <f>IFERROR(__xludf.DUMMYFUNCTION("""COMPUTED_VALUE"""),667.0)</f>
        <v>667</v>
      </c>
      <c r="R560" s="186"/>
      <c r="S560" s="189">
        <f>IFERROR(__xludf.DUMMYFUNCTION("""COMPUTED_VALUE"""),639.0)</f>
        <v>639</v>
      </c>
    </row>
    <row r="561">
      <c r="A561" s="186" t="str">
        <f>IFERROR(__xludf.DUMMYFUNCTION("""COMPUTED_VALUE"""),"DE")</f>
        <v>DE</v>
      </c>
      <c r="B561" s="186" t="str">
        <f>IFERROR(__xludf.DUMMYFUNCTION("""COMPUTED_VALUE"""),"W07")</f>
        <v>W07</v>
      </c>
      <c r="C561" s="186">
        <f>IFERROR(__xludf.DUMMYFUNCTION("""COMPUTED_VALUE"""),806.0)</f>
        <v>806</v>
      </c>
      <c r="D561" s="186" t="str">
        <f>IFERROR(__xludf.DUMMYFUNCTION("""COMPUTED_VALUE"""),"PTN-00-136930-3")</f>
        <v>PTN-00-136930-3</v>
      </c>
      <c r="E561" s="186" t="str">
        <f>IFERROR(__xludf.DUMMYFUNCTION("""COMPUTED_VALUE"""),"Garlic Herb Grilled Chicken")</f>
        <v>Garlic Herb Grilled Chicken</v>
      </c>
      <c r="F561" s="186" t="str">
        <f>IFERROR(__xludf.DUMMYFUNCTION("""COMPUTED_VALUE"""),"Gegrilltes Hähnchen mit Knoblauch-Kräutern")</f>
        <v>Gegrilltes Hähnchen mit Knoblauch-Kräutern</v>
      </c>
      <c r="G561" s="186" t="str">
        <f>IFERROR(__xludf.DUMMYFUNCTION("""COMPUTED_VALUE"""),"FEA006A")</f>
        <v>FEA006A</v>
      </c>
      <c r="H561" s="186">
        <f>IFERROR(__xludf.DUMMYFUNCTION("""COMPUTED_VALUE"""),565119.0)</f>
        <v>565119</v>
      </c>
      <c r="I561" s="186"/>
      <c r="J561" s="189">
        <f>IFERROR(__xludf.DUMMYFUNCTION("""COMPUTED_VALUE"""),79.0)</f>
        <v>79</v>
      </c>
      <c r="K561" s="189">
        <f>IFERROR(__xludf.DUMMYFUNCTION("""COMPUTED_VALUE"""),79.0)</f>
        <v>79</v>
      </c>
      <c r="L561" s="189">
        <f>IFERROR(__xludf.DUMMYFUNCTION("""COMPUTED_VALUE"""),79.0)</f>
        <v>79</v>
      </c>
      <c r="M561" s="189">
        <f>IFERROR(__xludf.DUMMYFUNCTION("""COMPUTED_VALUE"""),87.0)</f>
        <v>87</v>
      </c>
      <c r="N561" s="189">
        <f>IFERROR(__xludf.DUMMYFUNCTION("""COMPUTED_VALUE"""),87.0)</f>
        <v>87</v>
      </c>
      <c r="O561" s="189">
        <f>IFERROR(__xludf.DUMMYFUNCTION("""COMPUTED_VALUE"""),87.0)</f>
        <v>87</v>
      </c>
      <c r="P561" s="189">
        <f>IFERROR(__xludf.DUMMYFUNCTION("""COMPUTED_VALUE"""),87.0)</f>
        <v>87</v>
      </c>
      <c r="Q561" s="189">
        <f>IFERROR(__xludf.DUMMYFUNCTION("""COMPUTED_VALUE"""),67.0)</f>
        <v>67</v>
      </c>
      <c r="R561" s="186"/>
      <c r="S561" s="189">
        <f>IFERROR(__xludf.DUMMYFUNCTION("""COMPUTED_VALUE"""),65.0)</f>
        <v>65</v>
      </c>
    </row>
    <row r="562">
      <c r="A562" s="186" t="str">
        <f>IFERROR(__xludf.DUMMYFUNCTION("""COMPUTED_VALUE"""),"DE")</f>
        <v>DE</v>
      </c>
      <c r="B562" s="186" t="str">
        <f>IFERROR(__xludf.DUMMYFUNCTION("""COMPUTED_VALUE"""),"W07")</f>
        <v>W07</v>
      </c>
      <c r="C562" s="186"/>
      <c r="D562" s="186"/>
      <c r="E562" s="186"/>
      <c r="F562" s="186"/>
      <c r="G562" s="186"/>
      <c r="H562" s="186"/>
      <c r="I562" s="186"/>
      <c r="J562" s="189">
        <f>IFERROR(__xludf.DUMMYFUNCTION("""COMPUTED_VALUE"""),25180.0)</f>
        <v>25180</v>
      </c>
      <c r="K562" s="189">
        <f>IFERROR(__xludf.DUMMYFUNCTION("""COMPUTED_VALUE"""),26347.0)</f>
        <v>26347</v>
      </c>
      <c r="L562" s="189">
        <f>IFERROR(__xludf.DUMMYFUNCTION("""COMPUTED_VALUE"""),27857.0)</f>
        <v>27857</v>
      </c>
      <c r="M562" s="189">
        <f>IFERROR(__xludf.DUMMYFUNCTION("""COMPUTED_VALUE"""),28175.0)</f>
        <v>28175</v>
      </c>
      <c r="N562" s="189">
        <f>IFERROR(__xludf.DUMMYFUNCTION("""COMPUTED_VALUE"""),28352.0)</f>
        <v>28352</v>
      </c>
      <c r="O562" s="189">
        <f>IFERROR(__xludf.DUMMYFUNCTION("""COMPUTED_VALUE"""),28640.0)</f>
        <v>28640</v>
      </c>
      <c r="P562" s="189">
        <f>IFERROR(__xludf.DUMMYFUNCTION("""COMPUTED_VALUE"""),28732.0)</f>
        <v>28732</v>
      </c>
      <c r="Q562" s="189">
        <f>IFERROR(__xludf.DUMMYFUNCTION("""COMPUTED_VALUE"""),28276.0)</f>
        <v>28276</v>
      </c>
      <c r="R562" s="189">
        <f>IFERROR(__xludf.DUMMYFUNCTION("""COMPUTED_VALUE"""),0.0)</f>
        <v>0</v>
      </c>
      <c r="S562" s="189">
        <f>IFERROR(__xludf.DUMMYFUNCTION("""COMPUTED_VALUE"""),28524.0)</f>
        <v>28524</v>
      </c>
    </row>
    <row r="563">
      <c r="A563" s="186" t="str">
        <f>IFERROR(__xludf.DUMMYFUNCTION("""COMPUTED_VALUE"""),"NORDICS")</f>
        <v>NORDICS</v>
      </c>
      <c r="B563" s="186" t="str">
        <f>IFERROR(__xludf.DUMMYFUNCTION("""COMPUTED_VALUE"""),"W08")</f>
        <v>W08</v>
      </c>
      <c r="C563" s="186">
        <f>IFERROR(__xludf.DUMMYFUNCTION("""COMPUTED_VALUE"""),301.0)</f>
        <v>301</v>
      </c>
      <c r="D563" s="186" t="str">
        <f>IFERROR(__xludf.DUMMYFUNCTION("""COMPUTED_VALUE"""),"CON-00-147878-2")</f>
        <v>CON-00-147878-2</v>
      </c>
      <c r="E563" s="186" t="str">
        <f>IFERROR(__xludf.DUMMYFUNCTION("""COMPUTED_VALUE"""),"Grilled chicken and ratatouille")</f>
        <v>Grilled chicken and ratatouille</v>
      </c>
      <c r="F563" s="186" t="str">
        <f>IFERROR(__xludf.DUMMYFUNCTION("""COMPUTED_VALUE"""),"Grillet kylling med ratatouille")</f>
        <v>Grillet kylling med ratatouille</v>
      </c>
      <c r="G563" s="186" t="str">
        <f>IFERROR(__xludf.DUMMYFUNCTION("""COMPUTED_VALUE"""),"FE4015B")</f>
        <v>FE4015B</v>
      </c>
      <c r="H563" s="186">
        <f>IFERROR(__xludf.DUMMYFUNCTION("""COMPUTED_VALUE"""),565072.0)</f>
        <v>565072</v>
      </c>
      <c r="I563" s="186" t="str">
        <f>IFERROR(__xludf.DUMMYFUNCTION("""COMPUTED_VALUE"""),"HF Kipfilet met Ratatouille")</f>
        <v>HF Kipfilet met Ratatouille</v>
      </c>
      <c r="J563" s="189">
        <f>IFERROR(__xludf.DUMMYFUNCTION("""COMPUTED_VALUE"""),5743.0)</f>
        <v>5743</v>
      </c>
      <c r="K563" s="189">
        <f>IFERROR(__xludf.DUMMYFUNCTION("""COMPUTED_VALUE"""),5808.0)</f>
        <v>5808</v>
      </c>
      <c r="L563" s="189">
        <f>IFERROR(__xludf.DUMMYFUNCTION("""COMPUTED_VALUE"""),5610.0)</f>
        <v>5610</v>
      </c>
      <c r="M563" s="189">
        <f>IFERROR(__xludf.DUMMYFUNCTION("""COMPUTED_VALUE"""),5327.0)</f>
        <v>5327</v>
      </c>
      <c r="N563" s="189">
        <f>IFERROR(__xludf.DUMMYFUNCTION("""COMPUTED_VALUE"""),5150.0)</f>
        <v>5150</v>
      </c>
      <c r="O563" s="189">
        <f>IFERROR(__xludf.DUMMYFUNCTION("""COMPUTED_VALUE"""),4835.0)</f>
        <v>4835</v>
      </c>
      <c r="P563" s="189">
        <f>IFERROR(__xludf.DUMMYFUNCTION("""COMPUTED_VALUE"""),4654.0)</f>
        <v>4654</v>
      </c>
      <c r="Q563" s="189">
        <f>IFERROR(__xludf.DUMMYFUNCTION("""COMPUTED_VALUE"""),4646.0)</f>
        <v>4646</v>
      </c>
      <c r="R563" s="186"/>
      <c r="S563" s="189">
        <f>IFERROR(__xludf.DUMMYFUNCTION("""COMPUTED_VALUE"""),4700.0)</f>
        <v>4700</v>
      </c>
    </row>
    <row r="564">
      <c r="A564" s="186" t="str">
        <f>IFERROR(__xludf.DUMMYFUNCTION("""COMPUTED_VALUE"""),"NORDICS")</f>
        <v>NORDICS</v>
      </c>
      <c r="B564" s="186" t="str">
        <f>IFERROR(__xludf.DUMMYFUNCTION("""COMPUTED_VALUE"""),"W08")</f>
        <v>W08</v>
      </c>
      <c r="C564" s="186">
        <f>IFERROR(__xludf.DUMMYFUNCTION("""COMPUTED_VALUE"""),302.0)</f>
        <v>302</v>
      </c>
      <c r="D564" s="186" t="str">
        <f>IFERROR(__xludf.DUMMYFUNCTION("""COMPUTED_VALUE"""),"CON-00-147877-2")</f>
        <v>CON-00-147877-2</v>
      </c>
      <c r="E564" s="186" t="str">
        <f>IFERROR(__xludf.DUMMYFUNCTION("""COMPUTED_VALUE"""),"Creamy basil risotto with chicken")</f>
        <v>Creamy basil risotto with chicken</v>
      </c>
      <c r="F564" s="186" t="str">
        <f>IFERROR(__xludf.DUMMYFUNCTION("""COMPUTED_VALUE"""),"Cremet basilikumrisotto med kylling")</f>
        <v>Cremet basilikumrisotto med kylling</v>
      </c>
      <c r="G564" s="186" t="str">
        <f>IFERROR(__xludf.DUMMYFUNCTION("""COMPUTED_VALUE"""),"FE4014B")</f>
        <v>FE4014B</v>
      </c>
      <c r="H564" s="186">
        <f>IFERROR(__xludf.DUMMYFUNCTION("""COMPUTED_VALUE"""),565122.0)</f>
        <v>565122</v>
      </c>
      <c r="I564" s="186"/>
      <c r="J564" s="189">
        <f>IFERROR(__xludf.DUMMYFUNCTION("""COMPUTED_VALUE"""),3980.0)</f>
        <v>3980</v>
      </c>
      <c r="K564" s="189">
        <f>IFERROR(__xludf.DUMMYFUNCTION("""COMPUTED_VALUE"""),3838.0)</f>
        <v>3838</v>
      </c>
      <c r="L564" s="189">
        <f>IFERROR(__xludf.DUMMYFUNCTION("""COMPUTED_VALUE"""),3419.0)</f>
        <v>3419</v>
      </c>
      <c r="M564" s="189">
        <f>IFERROR(__xludf.DUMMYFUNCTION("""COMPUTED_VALUE"""),3025.0)</f>
        <v>3025</v>
      </c>
      <c r="N564" s="189">
        <f>IFERROR(__xludf.DUMMYFUNCTION("""COMPUTED_VALUE"""),3127.0)</f>
        <v>3127</v>
      </c>
      <c r="O564" s="189">
        <f>IFERROR(__xludf.DUMMYFUNCTION("""COMPUTED_VALUE"""),3069.0)</f>
        <v>3069</v>
      </c>
      <c r="P564" s="189">
        <f>IFERROR(__xludf.DUMMYFUNCTION("""COMPUTED_VALUE"""),2988.0)</f>
        <v>2988</v>
      </c>
      <c r="Q564" s="189">
        <f>IFERROR(__xludf.DUMMYFUNCTION("""COMPUTED_VALUE"""),3013.0)</f>
        <v>3013</v>
      </c>
      <c r="R564" s="186"/>
      <c r="S564" s="189">
        <f>IFERROR(__xludf.DUMMYFUNCTION("""COMPUTED_VALUE"""),3063.0)</f>
        <v>3063</v>
      </c>
    </row>
    <row r="565">
      <c r="A565" s="186" t="str">
        <f>IFERROR(__xludf.DUMMYFUNCTION("""COMPUTED_VALUE"""),"NORDICS")</f>
        <v>NORDICS</v>
      </c>
      <c r="B565" s="186" t="str">
        <f>IFERROR(__xludf.DUMMYFUNCTION("""COMPUTED_VALUE"""),"W08")</f>
        <v>W08</v>
      </c>
      <c r="C565" s="186">
        <f>IFERROR(__xludf.DUMMYFUNCTION("""COMPUTED_VALUE"""),303.0)</f>
        <v>303</v>
      </c>
      <c r="D565" s="186" t="str">
        <f>IFERROR(__xludf.DUMMYFUNCTION("""COMPUTED_VALUE"""),"CON-00-147854-2")</f>
        <v>CON-00-147854-2</v>
      </c>
      <c r="E565" s="186" t="str">
        <f>IFERROR(__xludf.DUMMYFUNCTION("""COMPUTED_VALUE"""),"Cabbage in cheese sauce with minced beef")</f>
        <v>Cabbage in cheese sauce with minced beef</v>
      </c>
      <c r="F565" s="186" t="str">
        <f>IFERROR(__xludf.DUMMYFUNCTION("""COMPUTED_VALUE"""),"Kål i ostesauce med hakket oksekød")</f>
        <v>Kål i ostesauce med hakket oksekød</v>
      </c>
      <c r="G565" s="186" t="str">
        <f>IFERROR(__xludf.DUMMYFUNCTION("""COMPUTED_VALUE"""),"FE0713B")</f>
        <v>FE0713B</v>
      </c>
      <c r="H565" s="186">
        <f>IFERROR(__xludf.DUMMYFUNCTION("""COMPUTED_VALUE"""),565240.0)</f>
        <v>565240</v>
      </c>
      <c r="I565" s="186" t="str">
        <f>IFERROR(__xludf.DUMMYFUNCTION("""COMPUTED_VALUE"""),"HF RW Kool in kaassaus")</f>
        <v>HF RW Kool in kaassaus</v>
      </c>
      <c r="J565" s="189">
        <f>IFERROR(__xludf.DUMMYFUNCTION("""COMPUTED_VALUE"""),3546.0)</f>
        <v>3546</v>
      </c>
      <c r="K565" s="189">
        <f>IFERROR(__xludf.DUMMYFUNCTION("""COMPUTED_VALUE"""),3671.0)</f>
        <v>3671</v>
      </c>
      <c r="L565" s="189">
        <f>IFERROR(__xludf.DUMMYFUNCTION("""COMPUTED_VALUE"""),2844.0)</f>
        <v>2844</v>
      </c>
      <c r="M565" s="189">
        <f>IFERROR(__xludf.DUMMYFUNCTION("""COMPUTED_VALUE"""),2804.0)</f>
        <v>2804</v>
      </c>
      <c r="N565" s="189">
        <f>IFERROR(__xludf.DUMMYFUNCTION("""COMPUTED_VALUE"""),2689.0)</f>
        <v>2689</v>
      </c>
      <c r="O565" s="189">
        <f>IFERROR(__xludf.DUMMYFUNCTION("""COMPUTED_VALUE"""),2557.0)</f>
        <v>2557</v>
      </c>
      <c r="P565" s="189">
        <f>IFERROR(__xludf.DUMMYFUNCTION("""COMPUTED_VALUE"""),2476.0)</f>
        <v>2476</v>
      </c>
      <c r="Q565" s="189">
        <f>IFERROR(__xludf.DUMMYFUNCTION("""COMPUTED_VALUE"""),2515.0)</f>
        <v>2515</v>
      </c>
      <c r="R565" s="186"/>
      <c r="S565" s="189">
        <f>IFERROR(__xludf.DUMMYFUNCTION("""COMPUTED_VALUE"""),2471.0)</f>
        <v>2471</v>
      </c>
    </row>
    <row r="566">
      <c r="A566" s="186" t="str">
        <f>IFERROR(__xludf.DUMMYFUNCTION("""COMPUTED_VALUE"""),"NORDICS")</f>
        <v>NORDICS</v>
      </c>
      <c r="B566" s="186" t="str">
        <f>IFERROR(__xludf.DUMMYFUNCTION("""COMPUTED_VALUE"""),"W08")</f>
        <v>W08</v>
      </c>
      <c r="C566" s="186">
        <f>IFERROR(__xludf.DUMMYFUNCTION("""COMPUTED_VALUE"""),304.0)</f>
        <v>304</v>
      </c>
      <c r="D566" s="186" t="str">
        <f>IFERROR(__xludf.DUMMYFUNCTION("""COMPUTED_VALUE"""),"CON-00-147888-2")</f>
        <v>CON-00-147888-2</v>
      </c>
      <c r="E566" s="186" t="str">
        <f>IFERROR(__xludf.DUMMYFUNCTION("""COMPUTED_VALUE"""),"Beef &amp; BBQ sauce")</f>
        <v>Beef &amp; BBQ sauce</v>
      </c>
      <c r="F566" s="186" t="str">
        <f>IFERROR(__xludf.DUMMYFUNCTION("""COMPUTED_VALUE"""),"Pulled beef med BBQ sauce")</f>
        <v>Pulled beef med BBQ sauce</v>
      </c>
      <c r="G566" s="186" t="str">
        <f>IFERROR(__xludf.DUMMYFUNCTION("""COMPUTED_VALUE"""),"FE4027B")</f>
        <v>FE4027B</v>
      </c>
      <c r="H566" s="186">
        <f>IFERROR(__xludf.DUMMYFUNCTION("""COMPUTED_VALUE"""),565142.0)</f>
        <v>565142</v>
      </c>
      <c r="I566" s="186" t="str">
        <f>IFERROR(__xludf.DUMMYFUNCTION("""COMPUTED_VALUE"""),"HF RW Rundvlees &amp; BBQ saus RW565085 / FE4027A / CS P+")</f>
        <v>HF RW Rundvlees &amp; BBQ saus RW565085 / FE4027A / CS P+</v>
      </c>
      <c r="J566" s="189">
        <f>IFERROR(__xludf.DUMMYFUNCTION("""COMPUTED_VALUE"""),4554.0)</f>
        <v>4554</v>
      </c>
      <c r="K566" s="189">
        <f>IFERROR(__xludf.DUMMYFUNCTION("""COMPUTED_VALUE"""),4091.0)</f>
        <v>4091</v>
      </c>
      <c r="L566" s="189">
        <f>IFERROR(__xludf.DUMMYFUNCTION("""COMPUTED_VALUE"""),4905.0)</f>
        <v>4905</v>
      </c>
      <c r="M566" s="189">
        <f>IFERROR(__xludf.DUMMYFUNCTION("""COMPUTED_VALUE"""),4632.0)</f>
        <v>4632</v>
      </c>
      <c r="N566" s="189">
        <f>IFERROR(__xludf.DUMMYFUNCTION("""COMPUTED_VALUE"""),4472.0)</f>
        <v>4472</v>
      </c>
      <c r="O566" s="189">
        <f>IFERROR(__xludf.DUMMYFUNCTION("""COMPUTED_VALUE"""),4225.0)</f>
        <v>4225</v>
      </c>
      <c r="P566" s="189">
        <f>IFERROR(__xludf.DUMMYFUNCTION("""COMPUTED_VALUE"""),4138.0)</f>
        <v>4138</v>
      </c>
      <c r="Q566" s="189">
        <f>IFERROR(__xludf.DUMMYFUNCTION("""COMPUTED_VALUE"""),4164.0)</f>
        <v>4164</v>
      </c>
      <c r="R566" s="186"/>
      <c r="S566" s="189">
        <f>IFERROR(__xludf.DUMMYFUNCTION("""COMPUTED_VALUE"""),4140.0)</f>
        <v>4140</v>
      </c>
    </row>
    <row r="567">
      <c r="A567" s="186" t="str">
        <f>IFERROR(__xludf.DUMMYFUNCTION("""COMPUTED_VALUE"""),"NORDICS")</f>
        <v>NORDICS</v>
      </c>
      <c r="B567" s="186" t="str">
        <f>IFERROR(__xludf.DUMMYFUNCTION("""COMPUTED_VALUE"""),"W08")</f>
        <v>W08</v>
      </c>
      <c r="C567" s="186">
        <f>IFERROR(__xludf.DUMMYFUNCTION("""COMPUTED_VALUE"""),305.0)</f>
        <v>305</v>
      </c>
      <c r="D567" s="186" t="str">
        <f>IFERROR(__xludf.DUMMYFUNCTION("""COMPUTED_VALUE"""),"CON-00-152027-2")</f>
        <v>CON-00-152027-2</v>
      </c>
      <c r="E567" s="186" t="str">
        <f>IFERROR(__xludf.DUMMYFUNCTION("""COMPUTED_VALUE"""),"Chive &amp; Garlic Chicken")</f>
        <v>Chive &amp; Garlic Chicken</v>
      </c>
      <c r="F567" s="186" t="str">
        <f>IFERROR(__xludf.DUMMYFUNCTION("""COMPUTED_VALUE"""),"Kylling med purløg og hvidløg")</f>
        <v>Kylling med purløg og hvidløg</v>
      </c>
      <c r="G567" s="186" t="str">
        <f>IFERROR(__xludf.DUMMYFUNCTION("""COMPUTED_VALUE"""),"FE0384K")</f>
        <v>FE0384K</v>
      </c>
      <c r="H567" s="186">
        <f>IFERROR(__xludf.DUMMYFUNCTION("""COMPUTED_VALUE"""),565203.0)</f>
        <v>565203</v>
      </c>
      <c r="I567" s="186" t="str">
        <f>IFERROR(__xludf.DUMMYFUNCTION("""COMPUTED_VALUE"""),"HF Kip cheddar-aardappelpuree")</f>
        <v>HF Kip cheddar-aardappelpuree</v>
      </c>
      <c r="J567" s="189">
        <f>IFERROR(__xludf.DUMMYFUNCTION("""COMPUTED_VALUE"""),3262.0)</f>
        <v>3262</v>
      </c>
      <c r="K567" s="189">
        <f>IFERROR(__xludf.DUMMYFUNCTION("""COMPUTED_VALUE"""),2948.0)</f>
        <v>2948</v>
      </c>
      <c r="L567" s="189">
        <f>IFERROR(__xludf.DUMMYFUNCTION("""COMPUTED_VALUE"""),3020.0)</f>
        <v>3020</v>
      </c>
      <c r="M567" s="189">
        <f>IFERROR(__xludf.DUMMYFUNCTION("""COMPUTED_VALUE"""),2788.0)</f>
        <v>2788</v>
      </c>
      <c r="N567" s="189">
        <f>IFERROR(__xludf.DUMMYFUNCTION("""COMPUTED_VALUE"""),2765.0)</f>
        <v>2765</v>
      </c>
      <c r="O567" s="189">
        <f>IFERROR(__xludf.DUMMYFUNCTION("""COMPUTED_VALUE"""),2685.0)</f>
        <v>2685</v>
      </c>
      <c r="P567" s="189">
        <f>IFERROR(__xludf.DUMMYFUNCTION("""COMPUTED_VALUE"""),2590.0)</f>
        <v>2590</v>
      </c>
      <c r="Q567" s="189">
        <f>IFERROR(__xludf.DUMMYFUNCTION("""COMPUTED_VALUE"""),2617.0)</f>
        <v>2617</v>
      </c>
      <c r="R567" s="186"/>
      <c r="S567" s="189">
        <f>IFERROR(__xludf.DUMMYFUNCTION("""COMPUTED_VALUE"""),2558.0)</f>
        <v>2558</v>
      </c>
    </row>
    <row r="568">
      <c r="A568" s="186" t="str">
        <f>IFERROR(__xludf.DUMMYFUNCTION("""COMPUTED_VALUE"""),"NORDICS")</f>
        <v>NORDICS</v>
      </c>
      <c r="B568" s="186" t="str">
        <f>IFERROR(__xludf.DUMMYFUNCTION("""COMPUTED_VALUE"""),"W08")</f>
        <v>W08</v>
      </c>
      <c r="C568" s="186">
        <f>IFERROR(__xludf.DUMMYFUNCTION("""COMPUTED_VALUE"""),306.0)</f>
        <v>306</v>
      </c>
      <c r="D568" s="186" t="str">
        <f>IFERROR(__xludf.DUMMYFUNCTION("""COMPUTED_VALUE"""),"CON-00-152023-2")</f>
        <v>CON-00-152023-2</v>
      </c>
      <c r="E568" s="186" t="str">
        <f>IFERROR(__xludf.DUMMYFUNCTION("""COMPUTED_VALUE"""),"Salmon Piccata")</f>
        <v>Salmon Piccata</v>
      </c>
      <c r="F568" s="186" t="str">
        <f>IFERROR(__xludf.DUMMYFUNCTION("""COMPUTED_VALUE"""),"Laks Piccata ")</f>
        <v>Laks Piccata </v>
      </c>
      <c r="G568" s="186" t="str">
        <f>IFERROR(__xludf.DUMMYFUNCTION("""COMPUTED_VALUE"""),"FE0972B")</f>
        <v>FE0972B</v>
      </c>
      <c r="H568" s="186">
        <f>IFERROR(__xludf.DUMMYFUNCTION("""COMPUTED_VALUE"""),565189.0)</f>
        <v>565189</v>
      </c>
      <c r="I568" s="186" t="str">
        <f>IFERROR(__xludf.DUMMYFUNCTION("""COMPUTED_VALUE"""),"HF Zalm met piccata saus")</f>
        <v>HF Zalm met piccata saus</v>
      </c>
      <c r="J568" s="189">
        <f>IFERROR(__xludf.DUMMYFUNCTION("""COMPUTED_VALUE"""),2701.0)</f>
        <v>2701</v>
      </c>
      <c r="K568" s="189">
        <f>IFERROR(__xludf.DUMMYFUNCTION("""COMPUTED_VALUE"""),2578.0)</f>
        <v>2578</v>
      </c>
      <c r="L568" s="189">
        <f>IFERROR(__xludf.DUMMYFUNCTION("""COMPUTED_VALUE"""),2589.0)</f>
        <v>2589</v>
      </c>
      <c r="M568" s="189">
        <f>IFERROR(__xludf.DUMMYFUNCTION("""COMPUTED_VALUE"""),2409.0)</f>
        <v>2409</v>
      </c>
      <c r="N568" s="189">
        <f>IFERROR(__xludf.DUMMYFUNCTION("""COMPUTED_VALUE"""),2386.0)</f>
        <v>2386</v>
      </c>
      <c r="O568" s="189">
        <f>IFERROR(__xludf.DUMMYFUNCTION("""COMPUTED_VALUE"""),2305.0)</f>
        <v>2305</v>
      </c>
      <c r="P568" s="189">
        <f>IFERROR(__xludf.DUMMYFUNCTION("""COMPUTED_VALUE"""),2262.0)</f>
        <v>2262</v>
      </c>
      <c r="Q568" s="189">
        <f>IFERROR(__xludf.DUMMYFUNCTION("""COMPUTED_VALUE"""),2269.0)</f>
        <v>2269</v>
      </c>
      <c r="R568" s="186"/>
      <c r="S568" s="189">
        <f>IFERROR(__xludf.DUMMYFUNCTION("""COMPUTED_VALUE"""),2209.0)</f>
        <v>2209</v>
      </c>
    </row>
    <row r="569">
      <c r="A569" s="186" t="str">
        <f>IFERROR(__xludf.DUMMYFUNCTION("""COMPUTED_VALUE"""),"NORDICS")</f>
        <v>NORDICS</v>
      </c>
      <c r="B569" s="186" t="str">
        <f>IFERROR(__xludf.DUMMYFUNCTION("""COMPUTED_VALUE"""),"W08")</f>
        <v>W08</v>
      </c>
      <c r="C569" s="186">
        <f>IFERROR(__xludf.DUMMYFUNCTION("""COMPUTED_VALUE"""),307.0)</f>
        <v>307</v>
      </c>
      <c r="D569" s="186"/>
      <c r="E569" s="186"/>
      <c r="F569" s="186"/>
      <c r="G569" s="186" t="str">
        <f>IFERROR(__xludf.DUMMYFUNCTION("""COMPUTED_VALUE"""),"FE4053A")</f>
        <v>FE4053A</v>
      </c>
      <c r="H569" s="186"/>
      <c r="I569" s="186"/>
      <c r="J569" s="189">
        <f>IFERROR(__xludf.DUMMYFUNCTION("""COMPUTED_VALUE"""),2082.0)</f>
        <v>2082</v>
      </c>
      <c r="K569" s="189">
        <f>IFERROR(__xludf.DUMMYFUNCTION("""COMPUTED_VALUE"""),2103.0)</f>
        <v>2103</v>
      </c>
      <c r="L569" s="189">
        <f>IFERROR(__xludf.DUMMYFUNCTION("""COMPUTED_VALUE"""),2817.0)</f>
        <v>2817</v>
      </c>
      <c r="M569" s="189">
        <f>IFERROR(__xludf.DUMMYFUNCTION("""COMPUTED_VALUE"""),2591.0)</f>
        <v>2591</v>
      </c>
      <c r="N569" s="189">
        <f>IFERROR(__xludf.DUMMYFUNCTION("""COMPUTED_VALUE"""),2535.0)</f>
        <v>2535</v>
      </c>
      <c r="O569" s="189">
        <f>IFERROR(__xludf.DUMMYFUNCTION("""COMPUTED_VALUE"""),2339.0)</f>
        <v>2339</v>
      </c>
      <c r="P569" s="189">
        <f>IFERROR(__xludf.DUMMYFUNCTION("""COMPUTED_VALUE"""),2242.0)</f>
        <v>2242</v>
      </c>
      <c r="Q569" s="189">
        <f>IFERROR(__xludf.DUMMYFUNCTION("""COMPUTED_VALUE"""),2262.0)</f>
        <v>2262</v>
      </c>
      <c r="R569" s="186"/>
      <c r="S569" s="189">
        <f>IFERROR(__xludf.DUMMYFUNCTION("""COMPUTED_VALUE"""),2133.0)</f>
        <v>2133</v>
      </c>
    </row>
    <row r="570">
      <c r="A570" s="186" t="str">
        <f>IFERROR(__xludf.DUMMYFUNCTION("""COMPUTED_VALUE"""),"NORDICS")</f>
        <v>NORDICS</v>
      </c>
      <c r="B570" s="186" t="str">
        <f>IFERROR(__xludf.DUMMYFUNCTION("""COMPUTED_VALUE"""),"W08")</f>
        <v>W08</v>
      </c>
      <c r="C570" s="186">
        <f>IFERROR(__xludf.DUMMYFUNCTION("""COMPUTED_VALUE"""),308.0)</f>
        <v>308</v>
      </c>
      <c r="D570" s="186" t="str">
        <f>IFERROR(__xludf.DUMMYFUNCTION("""COMPUTED_VALUE"""),"CON-00-147894-2")</f>
        <v>CON-00-147894-2</v>
      </c>
      <c r="E570" s="186" t="str">
        <f>IFERROR(__xludf.DUMMYFUNCTION("""COMPUTED_VALUE"""),"Chicken in mushroom sauce")</f>
        <v>Chicken in mushroom sauce</v>
      </c>
      <c r="F570" s="186" t="str">
        <f>IFERROR(__xludf.DUMMYFUNCTION("""COMPUTED_VALUE"""),"Kylling i svampesauce     ")</f>
        <v>Kylling i svampesauce     </v>
      </c>
      <c r="G570" s="186" t="str">
        <f>IFERROR(__xludf.DUMMYFUNCTION("""COMPUTED_VALUE"""),"FE4038B")</f>
        <v>FE4038B</v>
      </c>
      <c r="H570" s="186">
        <f>IFERROR(__xludf.DUMMYFUNCTION("""COMPUTED_VALUE"""),565160.0)</f>
        <v>565160</v>
      </c>
      <c r="I570" s="186"/>
      <c r="J570" s="189">
        <f>IFERROR(__xludf.DUMMYFUNCTION("""COMPUTED_VALUE"""),2767.0)</f>
        <v>2767</v>
      </c>
      <c r="K570" s="189">
        <f>IFERROR(__xludf.DUMMYFUNCTION("""COMPUTED_VALUE"""),2575.0)</f>
        <v>2575</v>
      </c>
      <c r="L570" s="189">
        <f>IFERROR(__xludf.DUMMYFUNCTION("""COMPUTED_VALUE"""),2068.0)</f>
        <v>2068</v>
      </c>
      <c r="M570" s="189">
        <f>IFERROR(__xludf.DUMMYFUNCTION("""COMPUTED_VALUE"""),1809.0)</f>
        <v>1809</v>
      </c>
      <c r="N570" s="189">
        <f>IFERROR(__xludf.DUMMYFUNCTION("""COMPUTED_VALUE"""),1783.0)</f>
        <v>1783</v>
      </c>
      <c r="O570" s="189">
        <f>IFERROR(__xludf.DUMMYFUNCTION("""COMPUTED_VALUE"""),1754.0)</f>
        <v>1754</v>
      </c>
      <c r="P570" s="189">
        <f>IFERROR(__xludf.DUMMYFUNCTION("""COMPUTED_VALUE"""),1740.0)</f>
        <v>1740</v>
      </c>
      <c r="Q570" s="189">
        <f>IFERROR(__xludf.DUMMYFUNCTION("""COMPUTED_VALUE"""),1777.0)</f>
        <v>1777</v>
      </c>
      <c r="R570" s="186"/>
      <c r="S570" s="189">
        <f>IFERROR(__xludf.DUMMYFUNCTION("""COMPUTED_VALUE"""),1680.0)</f>
        <v>1680</v>
      </c>
    </row>
    <row r="571">
      <c r="A571" s="186" t="str">
        <f>IFERROR(__xludf.DUMMYFUNCTION("""COMPUTED_VALUE"""),"NORDICS")</f>
        <v>NORDICS</v>
      </c>
      <c r="B571" s="186" t="str">
        <f>IFERROR(__xludf.DUMMYFUNCTION("""COMPUTED_VALUE"""),"W08")</f>
        <v>W08</v>
      </c>
      <c r="C571" s="186">
        <f>IFERROR(__xludf.DUMMYFUNCTION("""COMPUTED_VALUE"""),309.0)</f>
        <v>309</v>
      </c>
      <c r="D571" s="186" t="str">
        <f>IFERROR(__xludf.DUMMYFUNCTION("""COMPUTED_VALUE"""),"CON-00-147818-2")</f>
        <v>CON-00-147818-2</v>
      </c>
      <c r="E571" s="186" t="str">
        <f>IFERROR(__xludf.DUMMYFUNCTION("""COMPUTED_VALUE"""),"Mexican style corn cake")</f>
        <v>Mexican style corn cake</v>
      </c>
      <c r="F571" s="186" t="str">
        <f>IFERROR(__xludf.DUMMYFUNCTION("""COMPUTED_VALUE"""),"Mexicansk-inspireret majskage")</f>
        <v>Mexicansk-inspireret majskage</v>
      </c>
      <c r="G571" s="186" t="str">
        <f>IFERROR(__xludf.DUMMYFUNCTION("""COMPUTED_VALUE"""),"FE0121C")</f>
        <v>FE0121C</v>
      </c>
      <c r="H571" s="186">
        <f>IFERROR(__xludf.DUMMYFUNCTION("""COMPUTED_VALUE"""),565023.0)</f>
        <v>565023</v>
      </c>
      <c r="I571" s="186" t="str">
        <f>IFERROR(__xludf.DUMMYFUNCTION("""COMPUTED_VALUE"""),"HF Mex.stijl maiscake")</f>
        <v>HF Mex.stijl maiscake</v>
      </c>
      <c r="J571" s="189">
        <f>IFERROR(__xludf.DUMMYFUNCTION("""COMPUTED_VALUE"""),418.0)</f>
        <v>418</v>
      </c>
      <c r="K571" s="189">
        <f>IFERROR(__xludf.DUMMYFUNCTION("""COMPUTED_VALUE"""),383.0)</f>
        <v>383</v>
      </c>
      <c r="L571" s="189">
        <f>IFERROR(__xludf.DUMMYFUNCTION("""COMPUTED_VALUE"""),317.0)</f>
        <v>317</v>
      </c>
      <c r="M571" s="189">
        <f>IFERROR(__xludf.DUMMYFUNCTION("""COMPUTED_VALUE"""),283.0)</f>
        <v>283</v>
      </c>
      <c r="N571" s="189">
        <f>IFERROR(__xludf.DUMMYFUNCTION("""COMPUTED_VALUE"""),315.0)</f>
        <v>315</v>
      </c>
      <c r="O571" s="189">
        <f>IFERROR(__xludf.DUMMYFUNCTION("""COMPUTED_VALUE"""),347.0)</f>
        <v>347</v>
      </c>
      <c r="P571" s="189">
        <f>IFERROR(__xludf.DUMMYFUNCTION("""COMPUTED_VALUE"""),353.0)</f>
        <v>353</v>
      </c>
      <c r="Q571" s="189">
        <f>IFERROR(__xludf.DUMMYFUNCTION("""COMPUTED_VALUE"""),360.0)</f>
        <v>360</v>
      </c>
      <c r="R571" s="186"/>
      <c r="S571" s="189">
        <f>IFERROR(__xludf.DUMMYFUNCTION("""COMPUTED_VALUE"""),339.0)</f>
        <v>339</v>
      </c>
    </row>
    <row r="572">
      <c r="A572" s="186" t="str">
        <f>IFERROR(__xludf.DUMMYFUNCTION("""COMPUTED_VALUE"""),"NORDICS")</f>
        <v>NORDICS</v>
      </c>
      <c r="B572" s="186" t="str">
        <f>IFERROR(__xludf.DUMMYFUNCTION("""COMPUTED_VALUE"""),"W08")</f>
        <v>W08</v>
      </c>
      <c r="C572" s="186">
        <f>IFERROR(__xludf.DUMMYFUNCTION("""COMPUTED_VALUE"""),310.0)</f>
        <v>310</v>
      </c>
      <c r="D572" s="186" t="str">
        <f>IFERROR(__xludf.DUMMYFUNCTION("""COMPUTED_VALUE"""),"CON-00-147816-2")</f>
        <v>CON-00-147816-2</v>
      </c>
      <c r="E572" s="186" t="str">
        <f>IFERROR(__xludf.DUMMYFUNCTION("""COMPUTED_VALUE"""),"Creamy tomato risotto")</f>
        <v>Creamy tomato risotto</v>
      </c>
      <c r="F572" s="186" t="str">
        <f>IFERROR(__xludf.DUMMYFUNCTION("""COMPUTED_VALUE"""),"Cremet tomatrisotto")</f>
        <v>Cremet tomatrisotto</v>
      </c>
      <c r="G572" s="186" t="str">
        <f>IFERROR(__xludf.DUMMYFUNCTION("""COMPUTED_VALUE"""),"FE0031C")</f>
        <v>FE0031C</v>
      </c>
      <c r="H572" s="186">
        <f>IFERROR(__xludf.DUMMYFUNCTION("""COMPUTED_VALUE"""),565244.0)</f>
        <v>565244</v>
      </c>
      <c r="I572" s="186" t="str">
        <f>IFERROR(__xludf.DUMMYFUNCTION("""COMPUTED_VALUE"""),"IO HF Romige tomatenrisotto V2")</f>
        <v>IO HF Romige tomatenrisotto V2</v>
      </c>
      <c r="J572" s="189">
        <f>IFERROR(__xludf.DUMMYFUNCTION("""COMPUTED_VALUE"""),450.0)</f>
        <v>450</v>
      </c>
      <c r="K572" s="189">
        <f>IFERROR(__xludf.DUMMYFUNCTION("""COMPUTED_VALUE"""),383.0)</f>
        <v>383</v>
      </c>
      <c r="L572" s="189">
        <f>IFERROR(__xludf.DUMMYFUNCTION("""COMPUTED_VALUE"""),409.0)</f>
        <v>409</v>
      </c>
      <c r="M572" s="189">
        <f>IFERROR(__xludf.DUMMYFUNCTION("""COMPUTED_VALUE"""),364.0)</f>
        <v>364</v>
      </c>
      <c r="N572" s="189">
        <f>IFERROR(__xludf.DUMMYFUNCTION("""COMPUTED_VALUE"""),363.0)</f>
        <v>363</v>
      </c>
      <c r="O572" s="189">
        <f>IFERROR(__xludf.DUMMYFUNCTION("""COMPUTED_VALUE"""),365.0)</f>
        <v>365</v>
      </c>
      <c r="P572" s="189">
        <f>IFERROR(__xludf.DUMMYFUNCTION("""COMPUTED_VALUE"""),341.0)</f>
        <v>341</v>
      </c>
      <c r="Q572" s="189">
        <f>IFERROR(__xludf.DUMMYFUNCTION("""COMPUTED_VALUE"""),353.0)</f>
        <v>353</v>
      </c>
      <c r="R572" s="186"/>
      <c r="S572" s="189">
        <f>IFERROR(__xludf.DUMMYFUNCTION("""COMPUTED_VALUE"""),319.0)</f>
        <v>319</v>
      </c>
    </row>
    <row r="573">
      <c r="A573" s="186" t="str">
        <f>IFERROR(__xludf.DUMMYFUNCTION("""COMPUTED_VALUE"""),"NORDICS")</f>
        <v>NORDICS</v>
      </c>
      <c r="B573" s="186" t="str">
        <f>IFERROR(__xludf.DUMMYFUNCTION("""COMPUTED_VALUE"""),"W08")</f>
        <v>W08</v>
      </c>
      <c r="C573" s="186">
        <f>IFERROR(__xludf.DUMMYFUNCTION("""COMPUTED_VALUE"""),311.0)</f>
        <v>311</v>
      </c>
      <c r="D573" s="186" t="str">
        <f>IFERROR(__xludf.DUMMYFUNCTION("""COMPUTED_VALUE"""),"CON-00-147848-2")</f>
        <v>CON-00-147848-2</v>
      </c>
      <c r="E573" s="186" t="str">
        <f>IFERROR(__xludf.DUMMYFUNCTION("""COMPUTED_VALUE"""),"Pork tenderloin in red pepper sauce")</f>
        <v>Pork tenderloin in red pepper sauce</v>
      </c>
      <c r="F573" s="186" t="str">
        <f>IFERROR(__xludf.DUMMYFUNCTION("""COMPUTED_VALUE"""),"Svinemørbrad i rød peberfrugtsauce")</f>
        <v>Svinemørbrad i rød peberfrugtsauce</v>
      </c>
      <c r="G573" s="186" t="str">
        <f>IFERROR(__xludf.DUMMYFUNCTION("""COMPUTED_VALUE"""),"FE0430E")</f>
        <v>FE0430E</v>
      </c>
      <c r="H573" s="186">
        <f>IFERROR(__xludf.DUMMYFUNCTION("""COMPUTED_VALUE"""),565140.0)</f>
        <v>565140</v>
      </c>
      <c r="I573" s="186"/>
      <c r="J573" s="189">
        <f>IFERROR(__xludf.DUMMYFUNCTION("""COMPUTED_VALUE"""),1238.0)</f>
        <v>1238</v>
      </c>
      <c r="K573" s="189">
        <f>IFERROR(__xludf.DUMMYFUNCTION("""COMPUTED_VALUE"""),1005.0)</f>
        <v>1005</v>
      </c>
      <c r="L573" s="189">
        <f>IFERROR(__xludf.DUMMYFUNCTION("""COMPUTED_VALUE"""),1154.0)</f>
        <v>1154</v>
      </c>
      <c r="M573" s="189">
        <f>IFERROR(__xludf.DUMMYFUNCTION("""COMPUTED_VALUE"""),966.0)</f>
        <v>966</v>
      </c>
      <c r="N573" s="189">
        <f>IFERROR(__xludf.DUMMYFUNCTION("""COMPUTED_VALUE"""),899.0)</f>
        <v>899</v>
      </c>
      <c r="O573" s="189">
        <f>IFERROR(__xludf.DUMMYFUNCTION("""COMPUTED_VALUE"""),894.0)</f>
        <v>894</v>
      </c>
      <c r="P573" s="189">
        <f>IFERROR(__xludf.DUMMYFUNCTION("""COMPUTED_VALUE"""),896.0)</f>
        <v>896</v>
      </c>
      <c r="Q573" s="189">
        <f>IFERROR(__xludf.DUMMYFUNCTION("""COMPUTED_VALUE"""),939.0)</f>
        <v>939</v>
      </c>
      <c r="R573" s="186"/>
      <c r="S573" s="189">
        <f>IFERROR(__xludf.DUMMYFUNCTION("""COMPUTED_VALUE"""),893.0)</f>
        <v>893</v>
      </c>
    </row>
    <row r="574">
      <c r="A574" s="186" t="str">
        <f>IFERROR(__xludf.DUMMYFUNCTION("""COMPUTED_VALUE"""),"NORDICS")</f>
        <v>NORDICS</v>
      </c>
      <c r="B574" s="186" t="str">
        <f>IFERROR(__xludf.DUMMYFUNCTION("""COMPUTED_VALUE"""),"W08")</f>
        <v>W08</v>
      </c>
      <c r="C574" s="186">
        <f>IFERROR(__xludf.DUMMYFUNCTION("""COMPUTED_VALUE"""),312.0)</f>
        <v>312</v>
      </c>
      <c r="D574" s="186" t="str">
        <f>IFERROR(__xludf.DUMMYFUNCTION("""COMPUTED_VALUE"""),"CON-00-155004-2")</f>
        <v>CON-00-155004-2</v>
      </c>
      <c r="E574" s="186" t="str">
        <f>IFERROR(__xludf.DUMMYFUNCTION("""COMPUTED_VALUE"""),"Tzatziki Salmon &amp; Lemon Rice")</f>
        <v>Tzatziki Salmon &amp; Lemon Rice</v>
      </c>
      <c r="F574" s="186" t="str">
        <f>IFERROR(__xludf.DUMMYFUNCTION("""COMPUTED_VALUE"""),"Laks med tzatziki og citronris")</f>
        <v>Laks med tzatziki og citronris</v>
      </c>
      <c r="G574" s="186" t="str">
        <f>IFERROR(__xludf.DUMMYFUNCTION("""COMPUTED_VALUE"""),"FE1439A")</f>
        <v>FE1439A</v>
      </c>
      <c r="H574" s="186">
        <f>IFERROR(__xludf.DUMMYFUNCTION("""COMPUTED_VALUE"""),565236.0)</f>
        <v>565236</v>
      </c>
      <c r="I574" s="186" t="str">
        <f>IFERROR(__xludf.DUMMYFUNCTION("""COMPUTED_VALUE"""),"HF Zalm met citroen rijst")</f>
        <v>HF Zalm met citroen rijst</v>
      </c>
      <c r="J574" s="189">
        <f>IFERROR(__xludf.DUMMYFUNCTION("""COMPUTED_VALUE"""),2617.0)</f>
        <v>2617</v>
      </c>
      <c r="K574" s="189">
        <f>IFERROR(__xludf.DUMMYFUNCTION("""COMPUTED_VALUE"""),2674.0)</f>
        <v>2674</v>
      </c>
      <c r="L574" s="189">
        <f>IFERROR(__xludf.DUMMYFUNCTION("""COMPUTED_VALUE"""),2799.0)</f>
        <v>2799</v>
      </c>
      <c r="M574" s="189">
        <f>IFERROR(__xludf.DUMMYFUNCTION("""COMPUTED_VALUE"""),2766.0)</f>
        <v>2766</v>
      </c>
      <c r="N574" s="189">
        <f>IFERROR(__xludf.DUMMYFUNCTION("""COMPUTED_VALUE"""),2746.0)</f>
        <v>2746</v>
      </c>
      <c r="O574" s="189">
        <f>IFERROR(__xludf.DUMMYFUNCTION("""COMPUTED_VALUE"""),2608.0)</f>
        <v>2608</v>
      </c>
      <c r="P574" s="189">
        <f>IFERROR(__xludf.DUMMYFUNCTION("""COMPUTED_VALUE"""),2566.0)</f>
        <v>2566</v>
      </c>
      <c r="Q574" s="189">
        <f>IFERROR(__xludf.DUMMYFUNCTION("""COMPUTED_VALUE"""),2599.0)</f>
        <v>2599</v>
      </c>
      <c r="R574" s="186"/>
      <c r="S574" s="189">
        <f>IFERROR(__xludf.DUMMYFUNCTION("""COMPUTED_VALUE"""),2508.0)</f>
        <v>2508</v>
      </c>
    </row>
    <row r="575">
      <c r="A575" s="186" t="str">
        <f>IFERROR(__xludf.DUMMYFUNCTION("""COMPUTED_VALUE"""),"NORDICS")</f>
        <v>NORDICS</v>
      </c>
      <c r="B575" s="186" t="str">
        <f>IFERROR(__xludf.DUMMYFUNCTION("""COMPUTED_VALUE"""),"W08")</f>
        <v>W08</v>
      </c>
      <c r="C575" s="186">
        <f>IFERROR(__xludf.DUMMYFUNCTION("""COMPUTED_VALUE"""),313.0)</f>
        <v>313</v>
      </c>
      <c r="D575" s="186" t="str">
        <f>IFERROR(__xludf.DUMMYFUNCTION("""COMPUTED_VALUE"""),"CON-00-152026-2")</f>
        <v>CON-00-152026-2</v>
      </c>
      <c r="E575" s="186" t="str">
        <f>IFERROR(__xludf.DUMMYFUNCTION("""COMPUTED_VALUE"""),"Ginger Garlic Grilled Chicken")</f>
        <v>Ginger Garlic Grilled Chicken</v>
      </c>
      <c r="F575" s="186" t="str">
        <f>IFERROR(__xludf.DUMMYFUNCTION("""COMPUTED_VALUE"""),"Grillet kylling med ingefær og hvidløg")</f>
        <v>Grillet kylling med ingefær og hvidløg</v>
      </c>
      <c r="G575" s="186" t="str">
        <f>IFERROR(__xludf.DUMMYFUNCTION("""COMPUTED_VALUE"""),"FE4064A")</f>
        <v>FE4064A</v>
      </c>
      <c r="H575" s="186">
        <f>IFERROR(__xludf.DUMMYFUNCTION("""COMPUTED_VALUE"""),565211.0)</f>
        <v>565211</v>
      </c>
      <c r="I575" s="186" t="str">
        <f>IFERROR(__xludf.DUMMYFUNCTION("""COMPUTED_VALUE"""),"HF Gember knoflook kip")</f>
        <v>HF Gember knoflook kip</v>
      </c>
      <c r="J575" s="189">
        <f>IFERROR(__xludf.DUMMYFUNCTION("""COMPUTED_VALUE"""),2954.0)</f>
        <v>2954</v>
      </c>
      <c r="K575" s="189">
        <f>IFERROR(__xludf.DUMMYFUNCTION("""COMPUTED_VALUE"""),3024.0)</f>
        <v>3024</v>
      </c>
      <c r="L575" s="189">
        <f>IFERROR(__xludf.DUMMYFUNCTION("""COMPUTED_VALUE"""),3132.0)</f>
        <v>3132</v>
      </c>
      <c r="M575" s="189">
        <f>IFERROR(__xludf.DUMMYFUNCTION("""COMPUTED_VALUE"""),2293.0)</f>
        <v>2293</v>
      </c>
      <c r="N575" s="189">
        <f>IFERROR(__xludf.DUMMYFUNCTION("""COMPUTED_VALUE"""),2252.0)</f>
        <v>2252</v>
      </c>
      <c r="O575" s="189">
        <f>IFERROR(__xludf.DUMMYFUNCTION("""COMPUTED_VALUE"""),2122.0)</f>
        <v>2122</v>
      </c>
      <c r="P575" s="189">
        <f>IFERROR(__xludf.DUMMYFUNCTION("""COMPUTED_VALUE"""),2082.0)</f>
        <v>2082</v>
      </c>
      <c r="Q575" s="189">
        <f>IFERROR(__xludf.DUMMYFUNCTION("""COMPUTED_VALUE"""),2103.0)</f>
        <v>2103</v>
      </c>
      <c r="R575" s="186"/>
      <c r="S575" s="189">
        <f>IFERROR(__xludf.DUMMYFUNCTION("""COMPUTED_VALUE"""),2075.0)</f>
        <v>2075</v>
      </c>
    </row>
    <row r="576">
      <c r="A576" s="186" t="str">
        <f>IFERROR(__xludf.DUMMYFUNCTION("""COMPUTED_VALUE"""),"NORDICS")</f>
        <v>NORDICS</v>
      </c>
      <c r="B576" s="186" t="str">
        <f>IFERROR(__xludf.DUMMYFUNCTION("""COMPUTED_VALUE"""),"W08")</f>
        <v>W08</v>
      </c>
      <c r="C576" s="186">
        <f>IFERROR(__xludf.DUMMYFUNCTION("""COMPUTED_VALUE"""),314.0)</f>
        <v>314</v>
      </c>
      <c r="D576" s="186" t="str">
        <f>IFERROR(__xludf.DUMMYFUNCTION("""COMPUTED_VALUE"""),"CON-00-155386-2")</f>
        <v>CON-00-155386-2</v>
      </c>
      <c r="E576" s="186" t="str">
        <f>IFERROR(__xludf.DUMMYFUNCTION("""COMPUTED_VALUE"""),"Moussaka-Style Ground Beef, Eggplant &amp; Bechamel")</f>
        <v>Moussaka-Style Ground Beef, Eggplant &amp; Bechamel</v>
      </c>
      <c r="F576" s="186" t="str">
        <f>IFERROR(__xludf.DUMMYFUNCTION("""COMPUTED_VALUE"""),"Moussaka-style oksekød med aubergine &amp; béchamel")</f>
        <v>Moussaka-style oksekød med aubergine &amp; béchamel</v>
      </c>
      <c r="G576" s="186" t="str">
        <f>IFERROR(__xludf.DUMMYFUNCTION("""COMPUTED_VALUE"""),"FE4078A")</f>
        <v>FE4078A</v>
      </c>
      <c r="H576" s="186">
        <f>IFERROR(__xludf.DUMMYFUNCTION("""COMPUTED_VALUE"""),565247.0)</f>
        <v>565247</v>
      </c>
      <c r="I576" s="186" t="str">
        <f>IFERROR(__xludf.DUMMYFUNCTION("""COMPUTED_VALUE"""),"HF Moussaka gehakt schotel")</f>
        <v>HF Moussaka gehakt schotel</v>
      </c>
      <c r="J576" s="189">
        <f>IFERROR(__xludf.DUMMYFUNCTION("""COMPUTED_VALUE"""),1542.0)</f>
        <v>1542</v>
      </c>
      <c r="K576" s="189">
        <f>IFERROR(__xludf.DUMMYFUNCTION("""COMPUTED_VALUE"""),1395.0)</f>
        <v>1395</v>
      </c>
      <c r="L576" s="189">
        <f>IFERROR(__xludf.DUMMYFUNCTION("""COMPUTED_VALUE"""),1491.0)</f>
        <v>1491</v>
      </c>
      <c r="M576" s="189">
        <f>IFERROR(__xludf.DUMMYFUNCTION("""COMPUTED_VALUE"""),1345.0)</f>
        <v>1345</v>
      </c>
      <c r="N576" s="189">
        <f>IFERROR(__xludf.DUMMYFUNCTION("""COMPUTED_VALUE"""),1206.0)</f>
        <v>1206</v>
      </c>
      <c r="O576" s="189">
        <f>IFERROR(__xludf.DUMMYFUNCTION("""COMPUTED_VALUE"""),1212.0)</f>
        <v>1212</v>
      </c>
      <c r="P576" s="189">
        <f>IFERROR(__xludf.DUMMYFUNCTION("""COMPUTED_VALUE"""),1181.0)</f>
        <v>1181</v>
      </c>
      <c r="Q576" s="189">
        <f>IFERROR(__xludf.DUMMYFUNCTION("""COMPUTED_VALUE"""),1222.0)</f>
        <v>1222</v>
      </c>
      <c r="R576" s="186"/>
      <c r="S576" s="189">
        <f>IFERROR(__xludf.DUMMYFUNCTION("""COMPUTED_VALUE"""),1116.0)</f>
        <v>1116</v>
      </c>
    </row>
    <row r="577">
      <c r="A577" s="186" t="str">
        <f>IFERROR(__xludf.DUMMYFUNCTION("""COMPUTED_VALUE"""),"NORDICS")</f>
        <v>NORDICS</v>
      </c>
      <c r="B577" s="186" t="str">
        <f>IFERROR(__xludf.DUMMYFUNCTION("""COMPUTED_VALUE"""),"W08")</f>
        <v>W08</v>
      </c>
      <c r="C577" s="186">
        <f>IFERROR(__xludf.DUMMYFUNCTION("""COMPUTED_VALUE"""),315.0)</f>
        <v>315</v>
      </c>
      <c r="D577" s="186" t="str">
        <f>IFERROR(__xludf.DUMMYFUNCTION("""COMPUTED_VALUE"""),"CON-00-147906-2")</f>
        <v>CON-00-147906-2</v>
      </c>
      <c r="E577" s="186" t="str">
        <f>IFERROR(__xludf.DUMMYFUNCTION("""COMPUTED_VALUE"""),"Cheddar pulled beef")</f>
        <v>Cheddar pulled beef</v>
      </c>
      <c r="F577" s="186" t="str">
        <f>IFERROR(__xludf.DUMMYFUNCTION("""COMPUTED_VALUE"""),"Pulled beef med cheddar")</f>
        <v>Pulled beef med cheddar</v>
      </c>
      <c r="G577" s="186" t="str">
        <f>IFERROR(__xludf.DUMMYFUNCTION("""COMPUTED_VALUE"""),"FE4063A")</f>
        <v>FE4063A</v>
      </c>
      <c r="H577" s="186">
        <f>IFERROR(__xludf.DUMMYFUNCTION("""COMPUTED_VALUE"""),565136.0)</f>
        <v>565136</v>
      </c>
      <c r="I577" s="186"/>
      <c r="J577" s="189">
        <f>IFERROR(__xludf.DUMMYFUNCTION("""COMPUTED_VALUE"""),1486.0)</f>
        <v>1486</v>
      </c>
      <c r="K577" s="189">
        <f>IFERROR(__xludf.DUMMYFUNCTION("""COMPUTED_VALUE"""),1454.0)</f>
        <v>1454</v>
      </c>
      <c r="L577" s="189">
        <f>IFERROR(__xludf.DUMMYFUNCTION("""COMPUTED_VALUE"""),1053.0)</f>
        <v>1053</v>
      </c>
      <c r="M577" s="189">
        <f>IFERROR(__xludf.DUMMYFUNCTION("""COMPUTED_VALUE"""),1082.0)</f>
        <v>1082</v>
      </c>
      <c r="N577" s="189">
        <f>IFERROR(__xludf.DUMMYFUNCTION("""COMPUTED_VALUE"""),1084.0)</f>
        <v>1084</v>
      </c>
      <c r="O577" s="189">
        <f>IFERROR(__xludf.DUMMYFUNCTION("""COMPUTED_VALUE"""),1061.0)</f>
        <v>1061</v>
      </c>
      <c r="P577" s="189">
        <f>IFERROR(__xludf.DUMMYFUNCTION("""COMPUTED_VALUE"""),1043.0)</f>
        <v>1043</v>
      </c>
      <c r="Q577" s="189">
        <f>IFERROR(__xludf.DUMMYFUNCTION("""COMPUTED_VALUE"""),1081.0)</f>
        <v>1081</v>
      </c>
      <c r="R577" s="186"/>
      <c r="S577" s="189">
        <f>IFERROR(__xludf.DUMMYFUNCTION("""COMPUTED_VALUE"""),994.0)</f>
        <v>994</v>
      </c>
    </row>
    <row r="578">
      <c r="A578" s="186" t="str">
        <f>IFERROR(__xludf.DUMMYFUNCTION("""COMPUTED_VALUE"""),"NORDICS")</f>
        <v>NORDICS</v>
      </c>
      <c r="B578" s="186" t="str">
        <f>IFERROR(__xludf.DUMMYFUNCTION("""COMPUTED_VALUE"""),"W08")</f>
        <v>W08</v>
      </c>
      <c r="C578" s="186">
        <f>IFERROR(__xludf.DUMMYFUNCTION("""COMPUTED_VALUE"""),316.0)</f>
        <v>316</v>
      </c>
      <c r="D578" s="186" t="str">
        <f>IFERROR(__xludf.DUMMYFUNCTION("""COMPUTED_VALUE"""),"CON-00-155018-2")</f>
        <v>CON-00-155018-2</v>
      </c>
      <c r="E578" s="186" t="str">
        <f>IFERROR(__xludf.DUMMYFUNCTION("""COMPUTED_VALUE"""),"Herb-Grilled Chicken")</f>
        <v>Herb-Grilled Chicken</v>
      </c>
      <c r="F578" s="186" t="str">
        <f>IFERROR(__xludf.DUMMYFUNCTION("""COMPUTED_VALUE"""),"Grillkylling med urter")</f>
        <v>Grillkylling med urter</v>
      </c>
      <c r="G578" s="186" t="str">
        <f>IFERROR(__xludf.DUMMYFUNCTION("""COMPUTED_VALUE"""),"FE4070A")</f>
        <v>FE4070A</v>
      </c>
      <c r="H578" s="186">
        <f>IFERROR(__xludf.DUMMYFUNCTION("""COMPUTED_VALUE"""),565242.0)</f>
        <v>565242</v>
      </c>
      <c r="I578" s="186" t="str">
        <f>IFERROR(__xludf.DUMMYFUNCTION("""COMPUTED_VALUE"""),"HF Kip met risotto geitenkaas")</f>
        <v>HF Kip met risotto geitenkaas</v>
      </c>
      <c r="J578" s="189">
        <f>IFERROR(__xludf.DUMMYFUNCTION("""COMPUTED_VALUE"""),782.0)</f>
        <v>782</v>
      </c>
      <c r="K578" s="189">
        <f>IFERROR(__xludf.DUMMYFUNCTION("""COMPUTED_VALUE"""),989.0)</f>
        <v>989</v>
      </c>
      <c r="L578" s="189">
        <f>IFERROR(__xludf.DUMMYFUNCTION("""COMPUTED_VALUE"""),972.0)</f>
        <v>972</v>
      </c>
      <c r="M578" s="189">
        <f>IFERROR(__xludf.DUMMYFUNCTION("""COMPUTED_VALUE"""),705.0)</f>
        <v>705</v>
      </c>
      <c r="N578" s="189">
        <f>IFERROR(__xludf.DUMMYFUNCTION("""COMPUTED_VALUE"""),724.0)</f>
        <v>724</v>
      </c>
      <c r="O578" s="189">
        <f>IFERROR(__xludf.DUMMYFUNCTION("""COMPUTED_VALUE"""),734.0)</f>
        <v>734</v>
      </c>
      <c r="P578" s="189">
        <f>IFERROR(__xludf.DUMMYFUNCTION("""COMPUTED_VALUE"""),691.0)</f>
        <v>691</v>
      </c>
      <c r="Q578" s="189">
        <f>IFERROR(__xludf.DUMMYFUNCTION("""COMPUTED_VALUE"""),699.0)</f>
        <v>699</v>
      </c>
      <c r="R578" s="186"/>
      <c r="S578" s="189">
        <f>IFERROR(__xludf.DUMMYFUNCTION("""COMPUTED_VALUE"""),636.0)</f>
        <v>636</v>
      </c>
    </row>
    <row r="579">
      <c r="A579" s="186" t="str">
        <f>IFERROR(__xludf.DUMMYFUNCTION("""COMPUTED_VALUE"""),"NORDICS")</f>
        <v>NORDICS</v>
      </c>
      <c r="B579" s="186" t="str">
        <f>IFERROR(__xludf.DUMMYFUNCTION("""COMPUTED_VALUE"""),"W08")</f>
        <v>W08</v>
      </c>
      <c r="C579" s="186">
        <f>IFERROR(__xludf.DUMMYFUNCTION("""COMPUTED_VALUE"""),317.0)</f>
        <v>317</v>
      </c>
      <c r="D579" s="186" t="str">
        <f>IFERROR(__xludf.DUMMYFUNCTION("""COMPUTED_VALUE"""),"CON-00-155388-2")</f>
        <v>CON-00-155388-2</v>
      </c>
      <c r="E579" s="186" t="str">
        <f>IFERROR(__xludf.DUMMYFUNCTION("""COMPUTED_VALUE"""),"Creamy Pistou Pork Tenderloin")</f>
        <v>Creamy Pistou Pork Tenderloin</v>
      </c>
      <c r="F579" s="186" t="str">
        <f>IFERROR(__xludf.DUMMYFUNCTION("""COMPUTED_VALUE"""),"Svinefilet i cremet pistou-sauce")</f>
        <v>Svinefilet i cremet pistou-sauce</v>
      </c>
      <c r="G579" s="186" t="str">
        <f>IFERROR(__xludf.DUMMYFUNCTION("""COMPUTED_VALUE"""),"FE0959A")</f>
        <v>FE0959A</v>
      </c>
      <c r="H579" s="186">
        <f>IFERROR(__xludf.DUMMYFUNCTION("""COMPUTED_VALUE"""),565256.0)</f>
        <v>565256</v>
      </c>
      <c r="I579" s="186" t="str">
        <f>IFERROR(__xludf.DUMMYFUNCTION("""COMPUTED_VALUE"""),"HF Varkenshaas romige pesto")</f>
        <v>HF Varkenshaas romige pesto</v>
      </c>
      <c r="J579" s="189">
        <f>IFERROR(__xludf.DUMMYFUNCTION("""COMPUTED_VALUE"""),1602.0)</f>
        <v>1602</v>
      </c>
      <c r="K579" s="189">
        <f>IFERROR(__xludf.DUMMYFUNCTION("""COMPUTED_VALUE"""),1692.0)</f>
        <v>1692</v>
      </c>
      <c r="L579" s="189">
        <f>IFERROR(__xludf.DUMMYFUNCTION("""COMPUTED_VALUE"""),1495.0)</f>
        <v>1495</v>
      </c>
      <c r="M579" s="189">
        <f>IFERROR(__xludf.DUMMYFUNCTION("""COMPUTED_VALUE"""),1226.0)</f>
        <v>1226</v>
      </c>
      <c r="N579" s="189">
        <f>IFERROR(__xludf.DUMMYFUNCTION("""COMPUTED_VALUE"""),1265.0)</f>
        <v>1265</v>
      </c>
      <c r="O579" s="189">
        <f>IFERROR(__xludf.DUMMYFUNCTION("""COMPUTED_VALUE"""),1218.0)</f>
        <v>1218</v>
      </c>
      <c r="P579" s="189">
        <f>IFERROR(__xludf.DUMMYFUNCTION("""COMPUTED_VALUE"""),1223.0)</f>
        <v>1223</v>
      </c>
      <c r="Q579" s="189">
        <f>IFERROR(__xludf.DUMMYFUNCTION("""COMPUTED_VALUE"""),1225.0)</f>
        <v>1225</v>
      </c>
      <c r="R579" s="186"/>
      <c r="S579" s="189">
        <f>IFERROR(__xludf.DUMMYFUNCTION("""COMPUTED_VALUE"""),1217.0)</f>
        <v>1217</v>
      </c>
    </row>
    <row r="580">
      <c r="A580" s="186" t="str">
        <f>IFERROR(__xludf.DUMMYFUNCTION("""COMPUTED_VALUE"""),"NORDICS")</f>
        <v>NORDICS</v>
      </c>
      <c r="B580" s="186" t="str">
        <f>IFERROR(__xludf.DUMMYFUNCTION("""COMPUTED_VALUE"""),"W08")</f>
        <v>W08</v>
      </c>
      <c r="C580" s="186">
        <f>IFERROR(__xludf.DUMMYFUNCTION("""COMPUTED_VALUE"""),318.0)</f>
        <v>318</v>
      </c>
      <c r="D580" s="186" t="str">
        <f>IFERROR(__xludf.DUMMYFUNCTION("""COMPUTED_VALUE"""),"CON-00-147861-2")</f>
        <v>CON-00-147861-2</v>
      </c>
      <c r="E580" s="186" t="str">
        <f>IFERROR(__xludf.DUMMYFUNCTION("""COMPUTED_VALUE"""),"Pork tenderloin with apple-mustard sauce")</f>
        <v>Pork tenderloin with apple-mustard sauce</v>
      </c>
      <c r="F580" s="186" t="str">
        <f>IFERROR(__xludf.DUMMYFUNCTION("""COMPUTED_VALUE"""),"Svinemørbrad med æble-sennepssauce ")</f>
        <v>Svinemørbrad med æble-sennepssauce </v>
      </c>
      <c r="G580" s="186" t="str">
        <f>IFERROR(__xludf.DUMMYFUNCTION("""COMPUTED_VALUE"""),"FE0890B")</f>
        <v>FE0890B</v>
      </c>
      <c r="H580" s="186">
        <f>IFERROR(__xludf.DUMMYFUNCTION("""COMPUTED_VALUE"""),565117.0)</f>
        <v>565117</v>
      </c>
      <c r="I580" s="186"/>
      <c r="J580" s="189">
        <f>IFERROR(__xludf.DUMMYFUNCTION("""COMPUTED_VALUE"""),889.0)</f>
        <v>889</v>
      </c>
      <c r="K580" s="189">
        <f>IFERROR(__xludf.DUMMYFUNCTION("""COMPUTED_VALUE"""),953.0)</f>
        <v>953</v>
      </c>
      <c r="L580" s="189">
        <f>IFERROR(__xludf.DUMMYFUNCTION("""COMPUTED_VALUE"""),1245.0)</f>
        <v>1245</v>
      </c>
      <c r="M580" s="189">
        <f>IFERROR(__xludf.DUMMYFUNCTION("""COMPUTED_VALUE"""),1071.0)</f>
        <v>1071</v>
      </c>
      <c r="N580" s="189">
        <f>IFERROR(__xludf.DUMMYFUNCTION("""COMPUTED_VALUE"""),1092.0)</f>
        <v>1092</v>
      </c>
      <c r="O580" s="189">
        <f>IFERROR(__xludf.DUMMYFUNCTION("""COMPUTED_VALUE"""),1071.0)</f>
        <v>1071</v>
      </c>
      <c r="P580" s="189">
        <f>IFERROR(__xludf.DUMMYFUNCTION("""COMPUTED_VALUE"""),1020.0)</f>
        <v>1020</v>
      </c>
      <c r="Q580" s="189">
        <f>IFERROR(__xludf.DUMMYFUNCTION("""COMPUTED_VALUE"""),1042.0)</f>
        <v>1042</v>
      </c>
      <c r="R580" s="186"/>
      <c r="S580" s="189">
        <f>IFERROR(__xludf.DUMMYFUNCTION("""COMPUTED_VALUE"""),1009.0)</f>
        <v>1009</v>
      </c>
    </row>
    <row r="581">
      <c r="A581" s="186" t="str">
        <f>IFERROR(__xludf.DUMMYFUNCTION("""COMPUTED_VALUE"""),"NORDICS")</f>
        <v>NORDICS</v>
      </c>
      <c r="B581" s="186" t="str">
        <f>IFERROR(__xludf.DUMMYFUNCTION("""COMPUTED_VALUE"""),"W08")</f>
        <v>W08</v>
      </c>
      <c r="C581" s="186">
        <f>IFERROR(__xludf.DUMMYFUNCTION("""COMPUTED_VALUE"""),806.0)</f>
        <v>806</v>
      </c>
      <c r="D581" s="186" t="str">
        <f>IFERROR(__xludf.DUMMYFUNCTION("""COMPUTED_VALUE"""),"PTN-00-148223-2")</f>
        <v>PTN-00-148223-2</v>
      </c>
      <c r="E581" s="186" t="str">
        <f>IFERROR(__xludf.DUMMYFUNCTION("""COMPUTED_VALUE"""),"Garlic Herb Grilled Chicken")</f>
        <v>Garlic Herb Grilled Chicken</v>
      </c>
      <c r="F581" s="186" t="str">
        <f>IFERROR(__xludf.DUMMYFUNCTION("""COMPUTED_VALUE"""),"Grillet kylling med hvidlød og urter")</f>
        <v>Grillet kylling med hvidlød og urter</v>
      </c>
      <c r="G581" s="186" t="str">
        <f>IFERROR(__xludf.DUMMYFUNCTION("""COMPUTED_VALUE"""),"FEA006A")</f>
        <v>FEA006A</v>
      </c>
      <c r="H581" s="186">
        <f>IFERROR(__xludf.DUMMYFUNCTION("""COMPUTED_VALUE"""),565119.0)</f>
        <v>565119</v>
      </c>
      <c r="I581" s="186"/>
      <c r="J581" s="189">
        <f>IFERROR(__xludf.DUMMYFUNCTION("""COMPUTED_VALUE"""),48.0)</f>
        <v>48</v>
      </c>
      <c r="K581" s="189">
        <f>IFERROR(__xludf.DUMMYFUNCTION("""COMPUTED_VALUE"""),48.0)</f>
        <v>48</v>
      </c>
      <c r="L581" s="189">
        <f>IFERROR(__xludf.DUMMYFUNCTION("""COMPUTED_VALUE"""),56.0)</f>
        <v>56</v>
      </c>
      <c r="M581" s="189">
        <f>IFERROR(__xludf.DUMMYFUNCTION("""COMPUTED_VALUE"""),36.0)</f>
        <v>36</v>
      </c>
      <c r="N581" s="189">
        <f>IFERROR(__xludf.DUMMYFUNCTION("""COMPUTED_VALUE"""),56.0)</f>
        <v>56</v>
      </c>
      <c r="O581" s="189">
        <f>IFERROR(__xludf.DUMMYFUNCTION("""COMPUTED_VALUE"""),56.0)</f>
        <v>56</v>
      </c>
      <c r="P581" s="189">
        <f>IFERROR(__xludf.DUMMYFUNCTION("""COMPUTED_VALUE"""),56.0)</f>
        <v>56</v>
      </c>
      <c r="Q581" s="189">
        <f>IFERROR(__xludf.DUMMYFUNCTION("""COMPUTED_VALUE"""),56.0)</f>
        <v>56</v>
      </c>
      <c r="R581" s="186"/>
      <c r="S581" s="189">
        <f>IFERROR(__xludf.DUMMYFUNCTION("""COMPUTED_VALUE"""),88.0)</f>
        <v>88</v>
      </c>
    </row>
    <row r="582">
      <c r="A582" s="186" t="str">
        <f>IFERROR(__xludf.DUMMYFUNCTION("""COMPUTED_VALUE"""),"NORDICS")</f>
        <v>NORDICS</v>
      </c>
      <c r="B582" s="186" t="str">
        <f>IFERROR(__xludf.DUMMYFUNCTION("""COMPUTED_VALUE"""),"W08")</f>
        <v>W08</v>
      </c>
      <c r="C582" s="186"/>
      <c r="D582" s="186"/>
      <c r="E582" s="186"/>
      <c r="F582" s="186"/>
      <c r="G582" s="186"/>
      <c r="H582" s="186"/>
      <c r="I582" s="186"/>
      <c r="J582" s="189">
        <f>IFERROR(__xludf.DUMMYFUNCTION("""COMPUTED_VALUE"""),42661.0)</f>
        <v>42661</v>
      </c>
      <c r="K582" s="189">
        <f>IFERROR(__xludf.DUMMYFUNCTION("""COMPUTED_VALUE"""),41564.0)</f>
        <v>41564</v>
      </c>
      <c r="L582" s="189">
        <f>IFERROR(__xludf.DUMMYFUNCTION("""COMPUTED_VALUE"""),41339.0)</f>
        <v>41339</v>
      </c>
      <c r="M582" s="189">
        <f>IFERROR(__xludf.DUMMYFUNCTION("""COMPUTED_VALUE"""),37486.0)</f>
        <v>37486</v>
      </c>
      <c r="N582" s="189">
        <f>IFERROR(__xludf.DUMMYFUNCTION("""COMPUTED_VALUE"""),36853.0)</f>
        <v>36853</v>
      </c>
      <c r="O582" s="189">
        <f>IFERROR(__xludf.DUMMYFUNCTION("""COMPUTED_VALUE"""),35401.0)</f>
        <v>35401</v>
      </c>
      <c r="P582" s="189">
        <f>IFERROR(__xludf.DUMMYFUNCTION("""COMPUTED_VALUE"""),34486.0)</f>
        <v>34486</v>
      </c>
      <c r="Q582" s="189">
        <f>IFERROR(__xludf.DUMMYFUNCTION("""COMPUTED_VALUE"""),34886.0)</f>
        <v>34886</v>
      </c>
      <c r="R582" s="189">
        <f>IFERROR(__xludf.DUMMYFUNCTION("""COMPUTED_VALUE"""),0.0)</f>
        <v>0</v>
      </c>
      <c r="S582" s="189">
        <f>IFERROR(__xludf.DUMMYFUNCTION("""COMPUTED_VALUE"""),34060.0)</f>
        <v>34060</v>
      </c>
    </row>
    <row r="583">
      <c r="A583" s="186" t="str">
        <f>IFERROR(__xludf.DUMMYFUNCTION("""COMPUTED_VALUE"""),"DE")</f>
        <v>DE</v>
      </c>
      <c r="B583" s="186" t="str">
        <f>IFERROR(__xludf.DUMMYFUNCTION("""COMPUTED_VALUE"""),"W08")</f>
        <v>W08</v>
      </c>
      <c r="C583" s="186">
        <f>IFERROR(__xludf.DUMMYFUNCTION("""COMPUTED_VALUE"""),301.0)</f>
        <v>301</v>
      </c>
      <c r="D583" s="186" t="str">
        <f>IFERROR(__xludf.DUMMYFUNCTION("""COMPUTED_VALUE"""),"CON-00-136674-3")</f>
        <v>CON-00-136674-3</v>
      </c>
      <c r="E583" s="186" t="str">
        <f>IFERROR(__xludf.DUMMYFUNCTION("""COMPUTED_VALUE"""),"Grilled chicken and ratatouille")</f>
        <v>Grilled chicken and ratatouille</v>
      </c>
      <c r="F583" s="186" t="str">
        <f>IFERROR(__xludf.DUMMYFUNCTION("""COMPUTED_VALUE"""),"Gegrilltes Hähnchen mit Ratatouille")</f>
        <v>Gegrilltes Hähnchen mit Ratatouille</v>
      </c>
      <c r="G583" s="186" t="str">
        <f>IFERROR(__xludf.DUMMYFUNCTION("""COMPUTED_VALUE"""),"FE4015B")</f>
        <v>FE4015B</v>
      </c>
      <c r="H583" s="186">
        <f>IFERROR(__xludf.DUMMYFUNCTION("""COMPUTED_VALUE"""),565072.0)</f>
        <v>565072</v>
      </c>
      <c r="I583" s="186" t="str">
        <f>IFERROR(__xludf.DUMMYFUNCTION("""COMPUTED_VALUE"""),"HF Kipfilet met Ratatouille")</f>
        <v>HF Kipfilet met Ratatouille</v>
      </c>
      <c r="J583" s="189">
        <f>IFERROR(__xludf.DUMMYFUNCTION("""COMPUTED_VALUE"""),3072.0)</f>
        <v>3072</v>
      </c>
      <c r="K583" s="189">
        <f>IFERROR(__xludf.DUMMYFUNCTION("""COMPUTED_VALUE"""),3134.0)</f>
        <v>3134</v>
      </c>
      <c r="L583" s="189">
        <f>IFERROR(__xludf.DUMMYFUNCTION("""COMPUTED_VALUE"""),2957.0)</f>
        <v>2957</v>
      </c>
      <c r="M583" s="189">
        <f>IFERROR(__xludf.DUMMYFUNCTION("""COMPUTED_VALUE"""),3211.0)</f>
        <v>3211</v>
      </c>
      <c r="N583" s="189">
        <f>IFERROR(__xludf.DUMMYFUNCTION("""COMPUTED_VALUE"""),3407.0)</f>
        <v>3407</v>
      </c>
      <c r="O583" s="189">
        <f>IFERROR(__xludf.DUMMYFUNCTION("""COMPUTED_VALUE"""),3450.0)</f>
        <v>3450</v>
      </c>
      <c r="P583" s="189">
        <f>IFERROR(__xludf.DUMMYFUNCTION("""COMPUTED_VALUE"""),3460.0)</f>
        <v>3460</v>
      </c>
      <c r="Q583" s="189">
        <f>IFERROR(__xludf.DUMMYFUNCTION("""COMPUTED_VALUE"""),3449.0)</f>
        <v>3449</v>
      </c>
      <c r="R583" s="186"/>
      <c r="S583" s="189">
        <f>IFERROR(__xludf.DUMMYFUNCTION("""COMPUTED_VALUE"""),3379.0)</f>
        <v>3379</v>
      </c>
    </row>
    <row r="584">
      <c r="A584" s="186" t="str">
        <f>IFERROR(__xludf.DUMMYFUNCTION("""COMPUTED_VALUE"""),"DE")</f>
        <v>DE</v>
      </c>
      <c r="B584" s="186" t="str">
        <f>IFERROR(__xludf.DUMMYFUNCTION("""COMPUTED_VALUE"""),"W08")</f>
        <v>W08</v>
      </c>
      <c r="C584" s="186">
        <f>IFERROR(__xludf.DUMMYFUNCTION("""COMPUTED_VALUE"""),302.0)</f>
        <v>302</v>
      </c>
      <c r="D584" s="186" t="str">
        <f>IFERROR(__xludf.DUMMYFUNCTION("""COMPUTED_VALUE"""),"CON-00-136675-3")</f>
        <v>CON-00-136675-3</v>
      </c>
      <c r="E584" s="186" t="str">
        <f>IFERROR(__xludf.DUMMYFUNCTION("""COMPUTED_VALUE"""),"Creamy basil risotto with chicken")</f>
        <v>Creamy basil risotto with chicken</v>
      </c>
      <c r="F584" s="186" t="str">
        <f>IFERROR(__xludf.DUMMYFUNCTION("""COMPUTED_VALUE"""),"Cremiges Basilikum-Risotto")</f>
        <v>Cremiges Basilikum-Risotto</v>
      </c>
      <c r="G584" s="186" t="str">
        <f>IFERROR(__xludf.DUMMYFUNCTION("""COMPUTED_VALUE"""),"FE4014B")</f>
        <v>FE4014B</v>
      </c>
      <c r="H584" s="186">
        <f>IFERROR(__xludf.DUMMYFUNCTION("""COMPUTED_VALUE"""),565122.0)</f>
        <v>565122</v>
      </c>
      <c r="I584" s="186"/>
      <c r="J584" s="189">
        <f>IFERROR(__xludf.DUMMYFUNCTION("""COMPUTED_VALUE"""),2126.0)</f>
        <v>2126</v>
      </c>
      <c r="K584" s="189">
        <f>IFERROR(__xludf.DUMMYFUNCTION("""COMPUTED_VALUE"""),2156.0)</f>
        <v>2156</v>
      </c>
      <c r="L584" s="189">
        <f>IFERROR(__xludf.DUMMYFUNCTION("""COMPUTED_VALUE"""),1749.0)</f>
        <v>1749</v>
      </c>
      <c r="M584" s="189">
        <f>IFERROR(__xludf.DUMMYFUNCTION("""COMPUTED_VALUE"""),1787.0)</f>
        <v>1787</v>
      </c>
      <c r="N584" s="189">
        <f>IFERROR(__xludf.DUMMYFUNCTION("""COMPUTED_VALUE"""),1872.0)</f>
        <v>1872</v>
      </c>
      <c r="O584" s="189">
        <f>IFERROR(__xludf.DUMMYFUNCTION("""COMPUTED_VALUE"""),2040.0)</f>
        <v>2040</v>
      </c>
      <c r="P584" s="189">
        <f>IFERROR(__xludf.DUMMYFUNCTION("""COMPUTED_VALUE"""),2062.0)</f>
        <v>2062</v>
      </c>
      <c r="Q584" s="189">
        <f>IFERROR(__xludf.DUMMYFUNCTION("""COMPUTED_VALUE"""),2092.0)</f>
        <v>2092</v>
      </c>
      <c r="R584" s="186"/>
      <c r="S584" s="189">
        <f>IFERROR(__xludf.DUMMYFUNCTION("""COMPUTED_VALUE"""),2029.0)</f>
        <v>2029</v>
      </c>
    </row>
    <row r="585">
      <c r="A585" s="186" t="str">
        <f>IFERROR(__xludf.DUMMYFUNCTION("""COMPUTED_VALUE"""),"DE")</f>
        <v>DE</v>
      </c>
      <c r="B585" s="186" t="str">
        <f>IFERROR(__xludf.DUMMYFUNCTION("""COMPUTED_VALUE"""),"W08")</f>
        <v>W08</v>
      </c>
      <c r="C585" s="186">
        <f>IFERROR(__xludf.DUMMYFUNCTION("""COMPUTED_VALUE"""),303.0)</f>
        <v>303</v>
      </c>
      <c r="D585" s="186" t="str">
        <f>IFERROR(__xludf.DUMMYFUNCTION("""COMPUTED_VALUE"""),"CON-00-136671-3")</f>
        <v>CON-00-136671-3</v>
      </c>
      <c r="E585" s="186" t="str">
        <f>IFERROR(__xludf.DUMMYFUNCTION("""COMPUTED_VALUE"""),"Cabbage in cheese sauce with minced beef")</f>
        <v>Cabbage in cheese sauce with minced beef</v>
      </c>
      <c r="F585" s="186" t="str">
        <f>IFERROR(__xludf.DUMMYFUNCTION("""COMPUTED_VALUE"""),"Wirsing in Käsesauce mit Hackfleisch")</f>
        <v>Wirsing in Käsesauce mit Hackfleisch</v>
      </c>
      <c r="G585" s="186" t="str">
        <f>IFERROR(__xludf.DUMMYFUNCTION("""COMPUTED_VALUE"""),"FE0713B")</f>
        <v>FE0713B</v>
      </c>
      <c r="H585" s="186">
        <f>IFERROR(__xludf.DUMMYFUNCTION("""COMPUTED_VALUE"""),565240.0)</f>
        <v>565240</v>
      </c>
      <c r="I585" s="186" t="str">
        <f>IFERROR(__xludf.DUMMYFUNCTION("""COMPUTED_VALUE"""),"HF RW Kool in kaassaus")</f>
        <v>HF RW Kool in kaassaus</v>
      </c>
      <c r="J585" s="189">
        <f>IFERROR(__xludf.DUMMYFUNCTION("""COMPUTED_VALUE"""),2167.0)</f>
        <v>2167</v>
      </c>
      <c r="K585" s="189">
        <f>IFERROR(__xludf.DUMMYFUNCTION("""COMPUTED_VALUE"""),2201.0)</f>
        <v>2201</v>
      </c>
      <c r="L585" s="189">
        <f>IFERROR(__xludf.DUMMYFUNCTION("""COMPUTED_VALUE"""),2236.0)</f>
        <v>2236</v>
      </c>
      <c r="M585" s="189">
        <f>IFERROR(__xludf.DUMMYFUNCTION("""COMPUTED_VALUE"""),2018.0)</f>
        <v>2018</v>
      </c>
      <c r="N585" s="189">
        <f>IFERROR(__xludf.DUMMYFUNCTION("""COMPUTED_VALUE"""),2083.0)</f>
        <v>2083</v>
      </c>
      <c r="O585" s="189">
        <f>IFERROR(__xludf.DUMMYFUNCTION("""COMPUTED_VALUE"""),2057.0)</f>
        <v>2057</v>
      </c>
      <c r="P585" s="189">
        <f>IFERROR(__xludf.DUMMYFUNCTION("""COMPUTED_VALUE"""),2099.0)</f>
        <v>2099</v>
      </c>
      <c r="Q585" s="189">
        <f>IFERROR(__xludf.DUMMYFUNCTION("""COMPUTED_VALUE"""),2112.0)</f>
        <v>2112</v>
      </c>
      <c r="R585" s="186"/>
      <c r="S585" s="189">
        <f>IFERROR(__xludf.DUMMYFUNCTION("""COMPUTED_VALUE"""),2045.0)</f>
        <v>2045</v>
      </c>
    </row>
    <row r="586">
      <c r="A586" s="186" t="str">
        <f>IFERROR(__xludf.DUMMYFUNCTION("""COMPUTED_VALUE"""),"DE")</f>
        <v>DE</v>
      </c>
      <c r="B586" s="186" t="str">
        <f>IFERROR(__xludf.DUMMYFUNCTION("""COMPUTED_VALUE"""),"W08")</f>
        <v>W08</v>
      </c>
      <c r="C586" s="186">
        <f>IFERROR(__xludf.DUMMYFUNCTION("""COMPUTED_VALUE"""),304.0)</f>
        <v>304</v>
      </c>
      <c r="D586" s="186" t="str">
        <f>IFERROR(__xludf.DUMMYFUNCTION("""COMPUTED_VALUE"""),"CON-00-136693-3")</f>
        <v>CON-00-136693-3</v>
      </c>
      <c r="E586" s="186" t="str">
        <f>IFERROR(__xludf.DUMMYFUNCTION("""COMPUTED_VALUE"""),"Beef &amp; BBQ sauce")</f>
        <v>Beef &amp; BBQ sauce</v>
      </c>
      <c r="F586" s="186" t="str">
        <f>IFERROR(__xludf.DUMMYFUNCTION("""COMPUTED_VALUE"""),"Rindfleisch mit BBQ-Sauce")</f>
        <v>Rindfleisch mit BBQ-Sauce</v>
      </c>
      <c r="G586" s="186" t="str">
        <f>IFERROR(__xludf.DUMMYFUNCTION("""COMPUTED_VALUE"""),"FE4027B")</f>
        <v>FE4027B</v>
      </c>
      <c r="H586" s="186">
        <f>IFERROR(__xludf.DUMMYFUNCTION("""COMPUTED_VALUE"""),565142.0)</f>
        <v>565142</v>
      </c>
      <c r="I586" s="186" t="str">
        <f>IFERROR(__xludf.DUMMYFUNCTION("""COMPUTED_VALUE"""),"HF RW Rundvlees &amp; BBQ saus RW565085 / FE4027A / CS P+")</f>
        <v>HF RW Rundvlees &amp; BBQ saus RW565085 / FE4027A / CS P+</v>
      </c>
      <c r="J586" s="189">
        <f>IFERROR(__xludf.DUMMYFUNCTION("""COMPUTED_VALUE"""),2838.0)</f>
        <v>2838</v>
      </c>
      <c r="K586" s="189">
        <f>IFERROR(__xludf.DUMMYFUNCTION("""COMPUTED_VALUE"""),2688.0)</f>
        <v>2688</v>
      </c>
      <c r="L586" s="189">
        <f>IFERROR(__xludf.DUMMYFUNCTION("""COMPUTED_VALUE"""),2856.0)</f>
        <v>2856</v>
      </c>
      <c r="M586" s="189">
        <f>IFERROR(__xludf.DUMMYFUNCTION("""COMPUTED_VALUE"""),3012.0)</f>
        <v>3012</v>
      </c>
      <c r="N586" s="189">
        <f>IFERROR(__xludf.DUMMYFUNCTION("""COMPUTED_VALUE"""),3039.0)</f>
        <v>3039</v>
      </c>
      <c r="O586" s="189">
        <f>IFERROR(__xludf.DUMMYFUNCTION("""COMPUTED_VALUE"""),2994.0)</f>
        <v>2994</v>
      </c>
      <c r="P586" s="189">
        <f>IFERROR(__xludf.DUMMYFUNCTION("""COMPUTED_VALUE"""),3004.0)</f>
        <v>3004</v>
      </c>
      <c r="Q586" s="189">
        <f>IFERROR(__xludf.DUMMYFUNCTION("""COMPUTED_VALUE"""),2994.0)</f>
        <v>2994</v>
      </c>
      <c r="R586" s="186"/>
      <c r="S586" s="189">
        <f>IFERROR(__xludf.DUMMYFUNCTION("""COMPUTED_VALUE"""),2896.0)</f>
        <v>2896</v>
      </c>
    </row>
    <row r="587">
      <c r="A587" s="186" t="str">
        <f>IFERROR(__xludf.DUMMYFUNCTION("""COMPUTED_VALUE"""),"DE")</f>
        <v>DE</v>
      </c>
      <c r="B587" s="186" t="str">
        <f>IFERROR(__xludf.DUMMYFUNCTION("""COMPUTED_VALUE"""),"W08")</f>
        <v>W08</v>
      </c>
      <c r="C587" s="186">
        <f>IFERROR(__xludf.DUMMYFUNCTION("""COMPUTED_VALUE"""),305.0)</f>
        <v>305</v>
      </c>
      <c r="D587" s="186" t="str">
        <f>IFERROR(__xludf.DUMMYFUNCTION("""COMPUTED_VALUE"""),"CON-00-152028-2")</f>
        <v>CON-00-152028-2</v>
      </c>
      <c r="E587" s="186" t="str">
        <f>IFERROR(__xludf.DUMMYFUNCTION("""COMPUTED_VALUE"""),"Chive &amp; Garlic Chicken")</f>
        <v>Chive &amp; Garlic Chicken</v>
      </c>
      <c r="F587" s="186" t="str">
        <f>IFERROR(__xludf.DUMMYFUNCTION("""COMPUTED_VALUE"""),"Hähnchenbrust mit Schnittlauch und Knoblauch")</f>
        <v>Hähnchenbrust mit Schnittlauch und Knoblauch</v>
      </c>
      <c r="G587" s="186" t="str">
        <f>IFERROR(__xludf.DUMMYFUNCTION("""COMPUTED_VALUE"""),"FE0384K")</f>
        <v>FE0384K</v>
      </c>
      <c r="H587" s="186">
        <f>IFERROR(__xludf.DUMMYFUNCTION("""COMPUTED_VALUE"""),565203.0)</f>
        <v>565203</v>
      </c>
      <c r="I587" s="186" t="str">
        <f>IFERROR(__xludf.DUMMYFUNCTION("""COMPUTED_VALUE"""),"HF Kip cheddar-aardappelpuree")</f>
        <v>HF Kip cheddar-aardappelpuree</v>
      </c>
      <c r="J587" s="189">
        <f>IFERROR(__xludf.DUMMYFUNCTION("""COMPUTED_VALUE"""),2162.0)</f>
        <v>2162</v>
      </c>
      <c r="K587" s="189">
        <f>IFERROR(__xludf.DUMMYFUNCTION("""COMPUTED_VALUE"""),2076.0)</f>
        <v>2076</v>
      </c>
      <c r="L587" s="189">
        <f>IFERROR(__xludf.DUMMYFUNCTION("""COMPUTED_VALUE"""),2297.0)</f>
        <v>2297</v>
      </c>
      <c r="M587" s="189">
        <f>IFERROR(__xludf.DUMMYFUNCTION("""COMPUTED_VALUE"""),2160.0)</f>
        <v>2160</v>
      </c>
      <c r="N587" s="189">
        <f>IFERROR(__xludf.DUMMYFUNCTION("""COMPUTED_VALUE"""),2314.0)</f>
        <v>2314</v>
      </c>
      <c r="O587" s="189">
        <f>IFERROR(__xludf.DUMMYFUNCTION("""COMPUTED_VALUE"""),2344.0)</f>
        <v>2344</v>
      </c>
      <c r="P587" s="189">
        <f>IFERROR(__xludf.DUMMYFUNCTION("""COMPUTED_VALUE"""),2357.0)</f>
        <v>2357</v>
      </c>
      <c r="Q587" s="189">
        <f>IFERROR(__xludf.DUMMYFUNCTION("""COMPUTED_VALUE"""),2358.0)</f>
        <v>2358</v>
      </c>
      <c r="R587" s="186"/>
      <c r="S587" s="189">
        <f>IFERROR(__xludf.DUMMYFUNCTION("""COMPUTED_VALUE"""),2256.0)</f>
        <v>2256</v>
      </c>
    </row>
    <row r="588">
      <c r="A588" s="186" t="str">
        <f>IFERROR(__xludf.DUMMYFUNCTION("""COMPUTED_VALUE"""),"DE")</f>
        <v>DE</v>
      </c>
      <c r="B588" s="186" t="str">
        <f>IFERROR(__xludf.DUMMYFUNCTION("""COMPUTED_VALUE"""),"W08")</f>
        <v>W08</v>
      </c>
      <c r="C588" s="186">
        <f>IFERROR(__xludf.DUMMYFUNCTION("""COMPUTED_VALUE"""),306.0)</f>
        <v>306</v>
      </c>
      <c r="D588" s="186" t="str">
        <f>IFERROR(__xludf.DUMMYFUNCTION("""COMPUTED_VALUE"""),"CON-00-152025-2")</f>
        <v>CON-00-152025-2</v>
      </c>
      <c r="E588" s="186" t="str">
        <f>IFERROR(__xludf.DUMMYFUNCTION("""COMPUTED_VALUE"""),"Salmon Piccata")</f>
        <v>Salmon Piccata</v>
      </c>
      <c r="F588" s="186" t="str">
        <f>IFERROR(__xludf.DUMMYFUNCTION("""COMPUTED_VALUE"""),"Lachs Piccata")</f>
        <v>Lachs Piccata</v>
      </c>
      <c r="G588" s="186" t="str">
        <f>IFERROR(__xludf.DUMMYFUNCTION("""COMPUTED_VALUE"""),"FE0972B")</f>
        <v>FE0972B</v>
      </c>
      <c r="H588" s="186">
        <f>IFERROR(__xludf.DUMMYFUNCTION("""COMPUTED_VALUE"""),565189.0)</f>
        <v>565189</v>
      </c>
      <c r="I588" s="186" t="str">
        <f>IFERROR(__xludf.DUMMYFUNCTION("""COMPUTED_VALUE"""),"HF Zalm met piccata saus")</f>
        <v>HF Zalm met piccata saus</v>
      </c>
      <c r="J588" s="189">
        <f>IFERROR(__xludf.DUMMYFUNCTION("""COMPUTED_VALUE"""),2039.0)</f>
        <v>2039</v>
      </c>
      <c r="K588" s="189">
        <f>IFERROR(__xludf.DUMMYFUNCTION("""COMPUTED_VALUE"""),2041.0)</f>
        <v>2041</v>
      </c>
      <c r="L588" s="189">
        <f>IFERROR(__xludf.DUMMYFUNCTION("""COMPUTED_VALUE"""),2271.0)</f>
        <v>2271</v>
      </c>
      <c r="M588" s="189">
        <f>IFERROR(__xludf.DUMMYFUNCTION("""COMPUTED_VALUE"""),2067.0)</f>
        <v>2067</v>
      </c>
      <c r="N588" s="189">
        <f>IFERROR(__xludf.DUMMYFUNCTION("""COMPUTED_VALUE"""),2086.0)</f>
        <v>2086</v>
      </c>
      <c r="O588" s="189">
        <f>IFERROR(__xludf.DUMMYFUNCTION("""COMPUTED_VALUE"""),2168.0)</f>
        <v>2168</v>
      </c>
      <c r="P588" s="189">
        <f>IFERROR(__xludf.DUMMYFUNCTION("""COMPUTED_VALUE"""),2184.0)</f>
        <v>2184</v>
      </c>
      <c r="Q588" s="189">
        <f>IFERROR(__xludf.DUMMYFUNCTION("""COMPUTED_VALUE"""),2206.0)</f>
        <v>2206</v>
      </c>
      <c r="R588" s="186"/>
      <c r="S588" s="189">
        <f>IFERROR(__xludf.DUMMYFUNCTION("""COMPUTED_VALUE"""),2140.0)</f>
        <v>2140</v>
      </c>
    </row>
    <row r="589">
      <c r="A589" s="186" t="str">
        <f>IFERROR(__xludf.DUMMYFUNCTION("""COMPUTED_VALUE"""),"DE")</f>
        <v>DE</v>
      </c>
      <c r="B589" s="186" t="str">
        <f>IFERROR(__xludf.DUMMYFUNCTION("""COMPUTED_VALUE"""),"W08")</f>
        <v>W08</v>
      </c>
      <c r="C589" s="186">
        <f>IFERROR(__xludf.DUMMYFUNCTION("""COMPUTED_VALUE"""),307.0)</f>
        <v>307</v>
      </c>
      <c r="D589" s="186"/>
      <c r="E589" s="186"/>
      <c r="F589" s="186"/>
      <c r="G589" s="186" t="str">
        <f>IFERROR(__xludf.DUMMYFUNCTION("""COMPUTED_VALUE"""),"FE4053A")</f>
        <v>FE4053A</v>
      </c>
      <c r="H589" s="186"/>
      <c r="I589" s="186"/>
      <c r="J589" s="189">
        <f>IFERROR(__xludf.DUMMYFUNCTION("""COMPUTED_VALUE"""),1352.0)</f>
        <v>1352</v>
      </c>
      <c r="K589" s="189">
        <f>IFERROR(__xludf.DUMMYFUNCTION("""COMPUTED_VALUE"""),1466.0)</f>
        <v>1466</v>
      </c>
      <c r="L589" s="189">
        <f>IFERROR(__xludf.DUMMYFUNCTION("""COMPUTED_VALUE"""),1681.0)</f>
        <v>1681</v>
      </c>
      <c r="M589" s="189">
        <f>IFERROR(__xludf.DUMMYFUNCTION("""COMPUTED_VALUE"""),1929.0)</f>
        <v>1929</v>
      </c>
      <c r="N589" s="189">
        <f>IFERROR(__xludf.DUMMYFUNCTION("""COMPUTED_VALUE"""),1962.0)</f>
        <v>1962</v>
      </c>
      <c r="O589" s="189">
        <f>IFERROR(__xludf.DUMMYFUNCTION("""COMPUTED_VALUE"""),2000.0)</f>
        <v>2000</v>
      </c>
      <c r="P589" s="189">
        <f>IFERROR(__xludf.DUMMYFUNCTION("""COMPUTED_VALUE"""),2016.0)</f>
        <v>2016</v>
      </c>
      <c r="Q589" s="189">
        <f>IFERROR(__xludf.DUMMYFUNCTION("""COMPUTED_VALUE"""),2070.0)</f>
        <v>2070</v>
      </c>
      <c r="R589" s="186"/>
      <c r="S589" s="189">
        <f>IFERROR(__xludf.DUMMYFUNCTION("""COMPUTED_VALUE"""),1956.0)</f>
        <v>1956</v>
      </c>
    </row>
    <row r="590">
      <c r="A590" s="186" t="str">
        <f>IFERROR(__xludf.DUMMYFUNCTION("""COMPUTED_VALUE"""),"DE")</f>
        <v>DE</v>
      </c>
      <c r="B590" s="186" t="str">
        <f>IFERROR(__xludf.DUMMYFUNCTION("""COMPUTED_VALUE"""),"W08")</f>
        <v>W08</v>
      </c>
      <c r="C590" s="186">
        <f>IFERROR(__xludf.DUMMYFUNCTION("""COMPUTED_VALUE"""),308.0)</f>
        <v>308</v>
      </c>
      <c r="D590" s="186" t="str">
        <f>IFERROR(__xludf.DUMMYFUNCTION("""COMPUTED_VALUE"""),"CON-00-136711-3")</f>
        <v>CON-00-136711-3</v>
      </c>
      <c r="E590" s="186" t="str">
        <f>IFERROR(__xludf.DUMMYFUNCTION("""COMPUTED_VALUE"""),"Chicken in mushroom sauce")</f>
        <v>Chicken in mushroom sauce</v>
      </c>
      <c r="F590" s="186" t="str">
        <f>IFERROR(__xludf.DUMMYFUNCTION("""COMPUTED_VALUE"""),"Hähnchen in Pilzsauce")</f>
        <v>Hähnchen in Pilzsauce</v>
      </c>
      <c r="G590" s="186" t="str">
        <f>IFERROR(__xludf.DUMMYFUNCTION("""COMPUTED_VALUE"""),"FE4038B")</f>
        <v>FE4038B</v>
      </c>
      <c r="H590" s="186">
        <f>IFERROR(__xludf.DUMMYFUNCTION("""COMPUTED_VALUE"""),565160.0)</f>
        <v>565160</v>
      </c>
      <c r="I590" s="186"/>
      <c r="J590" s="189">
        <f>IFERROR(__xludf.DUMMYFUNCTION("""COMPUTED_VALUE"""),1913.0)</f>
        <v>1913</v>
      </c>
      <c r="K590" s="189">
        <f>IFERROR(__xludf.DUMMYFUNCTION("""COMPUTED_VALUE"""),1837.0)</f>
        <v>1837</v>
      </c>
      <c r="L590" s="189">
        <f>IFERROR(__xludf.DUMMYFUNCTION("""COMPUTED_VALUE"""),1820.0)</f>
        <v>1820</v>
      </c>
      <c r="M590" s="189">
        <f>IFERROR(__xludf.DUMMYFUNCTION("""COMPUTED_VALUE"""),1643.0)</f>
        <v>1643</v>
      </c>
      <c r="N590" s="189">
        <f>IFERROR(__xludf.DUMMYFUNCTION("""COMPUTED_VALUE"""),1701.0)</f>
        <v>1701</v>
      </c>
      <c r="O590" s="189">
        <f>IFERROR(__xludf.DUMMYFUNCTION("""COMPUTED_VALUE"""),1681.0)</f>
        <v>1681</v>
      </c>
      <c r="P590" s="189">
        <f>IFERROR(__xludf.DUMMYFUNCTION("""COMPUTED_VALUE"""),1687.0)</f>
        <v>1687</v>
      </c>
      <c r="Q590" s="189">
        <f>IFERROR(__xludf.DUMMYFUNCTION("""COMPUTED_VALUE"""),1673.0)</f>
        <v>1673</v>
      </c>
      <c r="R590" s="186"/>
      <c r="S590" s="189">
        <f>IFERROR(__xludf.DUMMYFUNCTION("""COMPUTED_VALUE"""),1525.0)</f>
        <v>1525</v>
      </c>
    </row>
    <row r="591">
      <c r="A591" s="186" t="str">
        <f>IFERROR(__xludf.DUMMYFUNCTION("""COMPUTED_VALUE"""),"DE")</f>
        <v>DE</v>
      </c>
      <c r="B591" s="186" t="str">
        <f>IFERROR(__xludf.DUMMYFUNCTION("""COMPUTED_VALUE"""),"W08")</f>
        <v>W08</v>
      </c>
      <c r="C591" s="186">
        <f>IFERROR(__xludf.DUMMYFUNCTION("""COMPUTED_VALUE"""),309.0)</f>
        <v>309</v>
      </c>
      <c r="D591" s="186" t="str">
        <f>IFERROR(__xludf.DUMMYFUNCTION("""COMPUTED_VALUE"""),"CON-00-136641-3")</f>
        <v>CON-00-136641-3</v>
      </c>
      <c r="E591" s="186" t="str">
        <f>IFERROR(__xludf.DUMMYFUNCTION("""COMPUTED_VALUE"""),"Mexican style corn cake")</f>
        <v>Mexican style corn cake</v>
      </c>
      <c r="F591" s="186" t="str">
        <f>IFERROR(__xludf.DUMMYFUNCTION("""COMPUTED_VALUE"""),"Mexikanischer Maiskuchen")</f>
        <v>Mexikanischer Maiskuchen</v>
      </c>
      <c r="G591" s="186" t="str">
        <f>IFERROR(__xludf.DUMMYFUNCTION("""COMPUTED_VALUE"""),"FE0121C")</f>
        <v>FE0121C</v>
      </c>
      <c r="H591" s="186">
        <f>IFERROR(__xludf.DUMMYFUNCTION("""COMPUTED_VALUE"""),565023.0)</f>
        <v>565023</v>
      </c>
      <c r="I591" s="186" t="str">
        <f>IFERROR(__xludf.DUMMYFUNCTION("""COMPUTED_VALUE"""),"HF Mex.stijl maiscake")</f>
        <v>HF Mex.stijl maiscake</v>
      </c>
      <c r="J591" s="189">
        <f>IFERROR(__xludf.DUMMYFUNCTION("""COMPUTED_VALUE"""),395.0)</f>
        <v>395</v>
      </c>
      <c r="K591" s="189">
        <f>IFERROR(__xludf.DUMMYFUNCTION("""COMPUTED_VALUE"""),418.0)</f>
        <v>418</v>
      </c>
      <c r="L591" s="189">
        <f>IFERROR(__xludf.DUMMYFUNCTION("""COMPUTED_VALUE"""),373.0)</f>
        <v>373</v>
      </c>
      <c r="M591" s="189">
        <f>IFERROR(__xludf.DUMMYFUNCTION("""COMPUTED_VALUE"""),313.0)</f>
        <v>313</v>
      </c>
      <c r="N591" s="189">
        <f>IFERROR(__xludf.DUMMYFUNCTION("""COMPUTED_VALUE"""),371.0)</f>
        <v>371</v>
      </c>
      <c r="O591" s="189">
        <f>IFERROR(__xludf.DUMMYFUNCTION("""COMPUTED_VALUE"""),396.0)</f>
        <v>396</v>
      </c>
      <c r="P591" s="189">
        <f>IFERROR(__xludf.DUMMYFUNCTION("""COMPUTED_VALUE"""),390.0)</f>
        <v>390</v>
      </c>
      <c r="Q591" s="189">
        <f>IFERROR(__xludf.DUMMYFUNCTION("""COMPUTED_VALUE"""),405.0)</f>
        <v>405</v>
      </c>
      <c r="R591" s="186"/>
      <c r="S591" s="189">
        <f>IFERROR(__xludf.DUMMYFUNCTION("""COMPUTED_VALUE"""),370.0)</f>
        <v>370</v>
      </c>
    </row>
    <row r="592">
      <c r="A592" s="186" t="str">
        <f>IFERROR(__xludf.DUMMYFUNCTION("""COMPUTED_VALUE"""),"DE")</f>
        <v>DE</v>
      </c>
      <c r="B592" s="186" t="str">
        <f>IFERROR(__xludf.DUMMYFUNCTION("""COMPUTED_VALUE"""),"W08")</f>
        <v>W08</v>
      </c>
      <c r="C592" s="186">
        <f>IFERROR(__xludf.DUMMYFUNCTION("""COMPUTED_VALUE"""),310.0)</f>
        <v>310</v>
      </c>
      <c r="D592" s="186" t="str">
        <f>IFERROR(__xludf.DUMMYFUNCTION("""COMPUTED_VALUE"""),"CON-00-136629-3")</f>
        <v>CON-00-136629-3</v>
      </c>
      <c r="E592" s="186" t="str">
        <f>IFERROR(__xludf.DUMMYFUNCTION("""COMPUTED_VALUE"""),"Creamy tomato risotto")</f>
        <v>Creamy tomato risotto</v>
      </c>
      <c r="F592" s="186" t="str">
        <f>IFERROR(__xludf.DUMMYFUNCTION("""COMPUTED_VALUE"""),"Cremiges Tomaten-Risotto")</f>
        <v>Cremiges Tomaten-Risotto</v>
      </c>
      <c r="G592" s="186" t="str">
        <f>IFERROR(__xludf.DUMMYFUNCTION("""COMPUTED_VALUE"""),"FE0031C")</f>
        <v>FE0031C</v>
      </c>
      <c r="H592" s="186">
        <f>IFERROR(__xludf.DUMMYFUNCTION("""COMPUTED_VALUE"""),565244.0)</f>
        <v>565244</v>
      </c>
      <c r="I592" s="186" t="str">
        <f>IFERROR(__xludf.DUMMYFUNCTION("""COMPUTED_VALUE"""),"IO HF Romige tomatenrisotto V2")</f>
        <v>IO HF Romige tomatenrisotto V2</v>
      </c>
      <c r="J592" s="189">
        <f>IFERROR(__xludf.DUMMYFUNCTION("""COMPUTED_VALUE"""),393.0)</f>
        <v>393</v>
      </c>
      <c r="K592" s="189">
        <f>IFERROR(__xludf.DUMMYFUNCTION("""COMPUTED_VALUE"""),401.0)</f>
        <v>401</v>
      </c>
      <c r="L592" s="189">
        <f>IFERROR(__xludf.DUMMYFUNCTION("""COMPUTED_VALUE"""),365.0)</f>
        <v>365</v>
      </c>
      <c r="M592" s="189">
        <f>IFERROR(__xludf.DUMMYFUNCTION("""COMPUTED_VALUE"""),388.0)</f>
        <v>388</v>
      </c>
      <c r="N592" s="189">
        <f>IFERROR(__xludf.DUMMYFUNCTION("""COMPUTED_VALUE"""),443.0)</f>
        <v>443</v>
      </c>
      <c r="O592" s="189">
        <f>IFERROR(__xludf.DUMMYFUNCTION("""COMPUTED_VALUE"""),461.0)</f>
        <v>461</v>
      </c>
      <c r="P592" s="189">
        <f>IFERROR(__xludf.DUMMYFUNCTION("""COMPUTED_VALUE"""),484.0)</f>
        <v>484</v>
      </c>
      <c r="Q592" s="189">
        <f>IFERROR(__xludf.DUMMYFUNCTION("""COMPUTED_VALUE"""),501.0)</f>
        <v>501</v>
      </c>
      <c r="R592" s="186"/>
      <c r="S592" s="189">
        <f>IFERROR(__xludf.DUMMYFUNCTION("""COMPUTED_VALUE"""),445.0)</f>
        <v>445</v>
      </c>
    </row>
    <row r="593">
      <c r="A593" s="186" t="str">
        <f>IFERROR(__xludf.DUMMYFUNCTION("""COMPUTED_VALUE"""),"DE")</f>
        <v>DE</v>
      </c>
      <c r="B593" s="186" t="str">
        <f>IFERROR(__xludf.DUMMYFUNCTION("""COMPUTED_VALUE"""),"W08")</f>
        <v>W08</v>
      </c>
      <c r="C593" s="186">
        <f>IFERROR(__xludf.DUMMYFUNCTION("""COMPUTED_VALUE"""),311.0)</f>
        <v>311</v>
      </c>
      <c r="D593" s="186" t="str">
        <f>IFERROR(__xludf.DUMMYFUNCTION("""COMPUTED_VALUE"""),"CON-00-136639-3")</f>
        <v>CON-00-136639-3</v>
      </c>
      <c r="E593" s="186" t="str">
        <f>IFERROR(__xludf.DUMMYFUNCTION("""COMPUTED_VALUE"""),"Pork tenderloin in red pepper sauce")</f>
        <v>Pork tenderloin in red pepper sauce</v>
      </c>
      <c r="F593" s="186" t="str">
        <f>IFERROR(__xludf.DUMMYFUNCTION("""COMPUTED_VALUE"""),"Schweinefilet in Paprikasauce")</f>
        <v>Schweinefilet in Paprikasauce</v>
      </c>
      <c r="G593" s="186" t="str">
        <f>IFERROR(__xludf.DUMMYFUNCTION("""COMPUTED_VALUE"""),"FE0430E")</f>
        <v>FE0430E</v>
      </c>
      <c r="H593" s="186">
        <f>IFERROR(__xludf.DUMMYFUNCTION("""COMPUTED_VALUE"""),565140.0)</f>
        <v>565140</v>
      </c>
      <c r="I593" s="186"/>
      <c r="J593" s="189">
        <f>IFERROR(__xludf.DUMMYFUNCTION("""COMPUTED_VALUE"""),942.0)</f>
        <v>942</v>
      </c>
      <c r="K593" s="189">
        <f>IFERROR(__xludf.DUMMYFUNCTION("""COMPUTED_VALUE"""),752.0)</f>
        <v>752</v>
      </c>
      <c r="L593" s="189">
        <f>IFERROR(__xludf.DUMMYFUNCTION("""COMPUTED_VALUE"""),537.0)</f>
        <v>537</v>
      </c>
      <c r="M593" s="189">
        <f>IFERROR(__xludf.DUMMYFUNCTION("""COMPUTED_VALUE"""),660.0)</f>
        <v>660</v>
      </c>
      <c r="N593" s="189">
        <f>IFERROR(__xludf.DUMMYFUNCTION("""COMPUTED_VALUE"""),696.0)</f>
        <v>696</v>
      </c>
      <c r="O593" s="189">
        <f>IFERROR(__xludf.DUMMYFUNCTION("""COMPUTED_VALUE"""),664.0)</f>
        <v>664</v>
      </c>
      <c r="P593" s="189">
        <f>IFERROR(__xludf.DUMMYFUNCTION("""COMPUTED_VALUE"""),678.0)</f>
        <v>678</v>
      </c>
      <c r="Q593" s="189">
        <f>IFERROR(__xludf.DUMMYFUNCTION("""COMPUTED_VALUE"""),695.0)</f>
        <v>695</v>
      </c>
      <c r="R593" s="186"/>
      <c r="S593" s="189">
        <f>IFERROR(__xludf.DUMMYFUNCTION("""COMPUTED_VALUE"""),593.0)</f>
        <v>593</v>
      </c>
    </row>
    <row r="594">
      <c r="A594" s="186" t="str">
        <f>IFERROR(__xludf.DUMMYFUNCTION("""COMPUTED_VALUE"""),"DE")</f>
        <v>DE</v>
      </c>
      <c r="B594" s="186" t="str">
        <f>IFERROR(__xludf.DUMMYFUNCTION("""COMPUTED_VALUE"""),"W08")</f>
        <v>W08</v>
      </c>
      <c r="C594" s="186">
        <f>IFERROR(__xludf.DUMMYFUNCTION("""COMPUTED_VALUE"""),312.0)</f>
        <v>312</v>
      </c>
      <c r="D594" s="186" t="str">
        <f>IFERROR(__xludf.DUMMYFUNCTION("""COMPUTED_VALUE"""),"CON-00-154552-2")</f>
        <v>CON-00-154552-2</v>
      </c>
      <c r="E594" s="186" t="str">
        <f>IFERROR(__xludf.DUMMYFUNCTION("""COMPUTED_VALUE"""),"Tzatziki Salmon &amp; Lemon Rice")</f>
        <v>Tzatziki Salmon &amp; Lemon Rice</v>
      </c>
      <c r="F594" s="186" t="str">
        <f>IFERROR(__xludf.DUMMYFUNCTION("""COMPUTED_VALUE"""),"Tzatziki-Lachs &amp; Zitronenreis")</f>
        <v>Tzatziki-Lachs &amp; Zitronenreis</v>
      </c>
      <c r="G594" s="186" t="str">
        <f>IFERROR(__xludf.DUMMYFUNCTION("""COMPUTED_VALUE"""),"FE1439A")</f>
        <v>FE1439A</v>
      </c>
      <c r="H594" s="186">
        <f>IFERROR(__xludf.DUMMYFUNCTION("""COMPUTED_VALUE"""),565236.0)</f>
        <v>565236</v>
      </c>
      <c r="I594" s="186" t="str">
        <f>IFERROR(__xludf.DUMMYFUNCTION("""COMPUTED_VALUE"""),"HF Zalm met citroen rijst")</f>
        <v>HF Zalm met citroen rijst</v>
      </c>
      <c r="J594" s="189">
        <f>IFERROR(__xludf.DUMMYFUNCTION("""COMPUTED_VALUE"""),1703.0)</f>
        <v>1703</v>
      </c>
      <c r="K594" s="189">
        <f>IFERROR(__xludf.DUMMYFUNCTION("""COMPUTED_VALUE"""),1716.0)</f>
        <v>1716</v>
      </c>
      <c r="L594" s="189">
        <f>IFERROR(__xludf.DUMMYFUNCTION("""COMPUTED_VALUE"""),1889.0)</f>
        <v>1889</v>
      </c>
      <c r="M594" s="189">
        <f>IFERROR(__xludf.DUMMYFUNCTION("""COMPUTED_VALUE"""),1850.0)</f>
        <v>1850</v>
      </c>
      <c r="N594" s="189">
        <f>IFERROR(__xludf.DUMMYFUNCTION("""COMPUTED_VALUE"""),1946.0)</f>
        <v>1946</v>
      </c>
      <c r="O594" s="189">
        <f>IFERROR(__xludf.DUMMYFUNCTION("""COMPUTED_VALUE"""),2001.0)</f>
        <v>2001</v>
      </c>
      <c r="P594" s="189">
        <f>IFERROR(__xludf.DUMMYFUNCTION("""COMPUTED_VALUE"""),1979.0)</f>
        <v>1979</v>
      </c>
      <c r="Q594" s="189">
        <f>IFERROR(__xludf.DUMMYFUNCTION("""COMPUTED_VALUE"""),1956.0)</f>
        <v>1956</v>
      </c>
      <c r="R594" s="186"/>
      <c r="S594" s="189">
        <f>IFERROR(__xludf.DUMMYFUNCTION("""COMPUTED_VALUE"""),1907.0)</f>
        <v>1907</v>
      </c>
    </row>
    <row r="595">
      <c r="A595" s="186" t="str">
        <f>IFERROR(__xludf.DUMMYFUNCTION("""COMPUTED_VALUE"""),"DE")</f>
        <v>DE</v>
      </c>
      <c r="B595" s="186" t="str">
        <f>IFERROR(__xludf.DUMMYFUNCTION("""COMPUTED_VALUE"""),"W08")</f>
        <v>W08</v>
      </c>
      <c r="C595" s="186">
        <f>IFERROR(__xludf.DUMMYFUNCTION("""COMPUTED_VALUE"""),313.0)</f>
        <v>313</v>
      </c>
      <c r="D595" s="186" t="str">
        <f>IFERROR(__xludf.DUMMYFUNCTION("""COMPUTED_VALUE"""),"CON-00-152024-2")</f>
        <v>CON-00-152024-2</v>
      </c>
      <c r="E595" s="186" t="str">
        <f>IFERROR(__xludf.DUMMYFUNCTION("""COMPUTED_VALUE"""),"Ginger Garlic Grilled Chicken")</f>
        <v>Ginger Garlic Grilled Chicken</v>
      </c>
      <c r="F595" s="186" t="str">
        <f>IFERROR(__xludf.DUMMYFUNCTION("""COMPUTED_VALUE"""),"Gegrilltes Hähnchen in Ingwer-Knoblauch-Marinade")</f>
        <v>Gegrilltes Hähnchen in Ingwer-Knoblauch-Marinade</v>
      </c>
      <c r="G595" s="186" t="str">
        <f>IFERROR(__xludf.DUMMYFUNCTION("""COMPUTED_VALUE"""),"FE4064A")</f>
        <v>FE4064A</v>
      </c>
      <c r="H595" s="186">
        <f>IFERROR(__xludf.DUMMYFUNCTION("""COMPUTED_VALUE"""),565211.0)</f>
        <v>565211</v>
      </c>
      <c r="I595" s="186" t="str">
        <f>IFERROR(__xludf.DUMMYFUNCTION("""COMPUTED_VALUE"""),"HF Gember knoflook kip")</f>
        <v>HF Gember knoflook kip</v>
      </c>
      <c r="J595" s="189">
        <f>IFERROR(__xludf.DUMMYFUNCTION("""COMPUTED_VALUE"""),1798.0)</f>
        <v>1798</v>
      </c>
      <c r="K595" s="189">
        <f>IFERROR(__xludf.DUMMYFUNCTION("""COMPUTED_VALUE"""),1942.0)</f>
        <v>1942</v>
      </c>
      <c r="L595" s="189">
        <f>IFERROR(__xludf.DUMMYFUNCTION("""COMPUTED_VALUE"""),1762.0)</f>
        <v>1762</v>
      </c>
      <c r="M595" s="189">
        <f>IFERROR(__xludf.DUMMYFUNCTION("""COMPUTED_VALUE"""),1653.0)</f>
        <v>1653</v>
      </c>
      <c r="N595" s="189">
        <f>IFERROR(__xludf.DUMMYFUNCTION("""COMPUTED_VALUE"""),1816.0)</f>
        <v>1816</v>
      </c>
      <c r="O595" s="189">
        <f>IFERROR(__xludf.DUMMYFUNCTION("""COMPUTED_VALUE"""),1835.0)</f>
        <v>1835</v>
      </c>
      <c r="P595" s="189">
        <f>IFERROR(__xludf.DUMMYFUNCTION("""COMPUTED_VALUE"""),1842.0)</f>
        <v>1842</v>
      </c>
      <c r="Q595" s="189">
        <f>IFERROR(__xludf.DUMMYFUNCTION("""COMPUTED_VALUE"""),1804.0)</f>
        <v>1804</v>
      </c>
      <c r="R595" s="186"/>
      <c r="S595" s="189">
        <f>IFERROR(__xludf.DUMMYFUNCTION("""COMPUTED_VALUE"""),1761.0)</f>
        <v>1761</v>
      </c>
    </row>
    <row r="596">
      <c r="A596" s="186" t="str">
        <f>IFERROR(__xludf.DUMMYFUNCTION("""COMPUTED_VALUE"""),"DE")</f>
        <v>DE</v>
      </c>
      <c r="B596" s="186" t="str">
        <f>IFERROR(__xludf.DUMMYFUNCTION("""COMPUTED_VALUE"""),"W08")</f>
        <v>W08</v>
      </c>
      <c r="C596" s="186">
        <f>IFERROR(__xludf.DUMMYFUNCTION("""COMPUTED_VALUE"""),314.0)</f>
        <v>314</v>
      </c>
      <c r="D596" s="186" t="str">
        <f>IFERROR(__xludf.DUMMYFUNCTION("""COMPUTED_VALUE"""),"CON-00-155385-2")</f>
        <v>CON-00-155385-2</v>
      </c>
      <c r="E596" s="186" t="str">
        <f>IFERROR(__xludf.DUMMYFUNCTION("""COMPUTED_VALUE"""),"Moussaka-Style Ground Beef, Eggplant &amp; Bechamel")</f>
        <v>Moussaka-Style Ground Beef, Eggplant &amp; Bechamel</v>
      </c>
      <c r="F596" s="186" t="str">
        <f>IFERROR(__xludf.DUMMYFUNCTION("""COMPUTED_VALUE"""),"Moussaka-Style Rinderhack mit Aubergine &amp; Béchamel sauce")</f>
        <v>Moussaka-Style Rinderhack mit Aubergine &amp; Béchamel sauce</v>
      </c>
      <c r="G596" s="186" t="str">
        <f>IFERROR(__xludf.DUMMYFUNCTION("""COMPUTED_VALUE"""),"FE4078A")</f>
        <v>FE4078A</v>
      </c>
      <c r="H596" s="186">
        <f>IFERROR(__xludf.DUMMYFUNCTION("""COMPUTED_VALUE"""),565247.0)</f>
        <v>565247</v>
      </c>
      <c r="I596" s="186" t="str">
        <f>IFERROR(__xludf.DUMMYFUNCTION("""COMPUTED_VALUE"""),"HF Moussaka gehakt schotel")</f>
        <v>HF Moussaka gehakt schotel</v>
      </c>
      <c r="J596" s="189">
        <f>IFERROR(__xludf.DUMMYFUNCTION("""COMPUTED_VALUE"""),901.0)</f>
        <v>901</v>
      </c>
      <c r="K596" s="189">
        <f>IFERROR(__xludf.DUMMYFUNCTION("""COMPUTED_VALUE"""),905.0)</f>
        <v>905</v>
      </c>
      <c r="L596" s="189">
        <f>IFERROR(__xludf.DUMMYFUNCTION("""COMPUTED_VALUE"""),1345.0)</f>
        <v>1345</v>
      </c>
      <c r="M596" s="189">
        <f>IFERROR(__xludf.DUMMYFUNCTION("""COMPUTED_VALUE"""),1182.0)</f>
        <v>1182</v>
      </c>
      <c r="N596" s="189">
        <f>IFERROR(__xludf.DUMMYFUNCTION("""COMPUTED_VALUE"""),1197.0)</f>
        <v>1197</v>
      </c>
      <c r="O596" s="189">
        <f>IFERROR(__xludf.DUMMYFUNCTION("""COMPUTED_VALUE"""),1075.0)</f>
        <v>1075</v>
      </c>
      <c r="P596" s="189">
        <f>IFERROR(__xludf.DUMMYFUNCTION("""COMPUTED_VALUE"""),1070.0)</f>
        <v>1070</v>
      </c>
      <c r="Q596" s="189">
        <f>IFERROR(__xludf.DUMMYFUNCTION("""COMPUTED_VALUE"""),1055.0)</f>
        <v>1055</v>
      </c>
      <c r="R596" s="186"/>
      <c r="S596" s="189">
        <f>IFERROR(__xludf.DUMMYFUNCTION("""COMPUTED_VALUE"""),990.0)</f>
        <v>990</v>
      </c>
    </row>
    <row r="597">
      <c r="A597" s="186" t="str">
        <f>IFERROR(__xludf.DUMMYFUNCTION("""COMPUTED_VALUE"""),"DE")</f>
        <v>DE</v>
      </c>
      <c r="B597" s="186" t="str">
        <f>IFERROR(__xludf.DUMMYFUNCTION("""COMPUTED_VALUE"""),"W08")</f>
        <v>W08</v>
      </c>
      <c r="C597" s="186">
        <f>IFERROR(__xludf.DUMMYFUNCTION("""COMPUTED_VALUE"""),315.0)</f>
        <v>315</v>
      </c>
      <c r="D597" s="186" t="str">
        <f>IFERROR(__xludf.DUMMYFUNCTION("""COMPUTED_VALUE"""),"CON-00-138996-2")</f>
        <v>CON-00-138996-2</v>
      </c>
      <c r="E597" s="186" t="str">
        <f>IFERROR(__xludf.DUMMYFUNCTION("""COMPUTED_VALUE"""),"Cheddar pulled beef")</f>
        <v>Cheddar pulled beef</v>
      </c>
      <c r="F597" s="186" t="str">
        <f>IFERROR(__xludf.DUMMYFUNCTION("""COMPUTED_VALUE"""),"Cheddar Pulled Beef")</f>
        <v>Cheddar Pulled Beef</v>
      </c>
      <c r="G597" s="186" t="str">
        <f>IFERROR(__xludf.DUMMYFUNCTION("""COMPUTED_VALUE"""),"FE4063A")</f>
        <v>FE4063A</v>
      </c>
      <c r="H597" s="186">
        <f>IFERROR(__xludf.DUMMYFUNCTION("""COMPUTED_VALUE"""),565136.0)</f>
        <v>565136</v>
      </c>
      <c r="I597" s="186"/>
      <c r="J597" s="189">
        <f>IFERROR(__xludf.DUMMYFUNCTION("""COMPUTED_VALUE"""),1042.0)</f>
        <v>1042</v>
      </c>
      <c r="K597" s="189">
        <f>IFERROR(__xludf.DUMMYFUNCTION("""COMPUTED_VALUE"""),1078.0)</f>
        <v>1078</v>
      </c>
      <c r="L597" s="189">
        <f>IFERROR(__xludf.DUMMYFUNCTION("""COMPUTED_VALUE"""),1313.0)</f>
        <v>1313</v>
      </c>
      <c r="M597" s="189">
        <f>IFERROR(__xludf.DUMMYFUNCTION("""COMPUTED_VALUE"""),1172.0)</f>
        <v>1172</v>
      </c>
      <c r="N597" s="189">
        <f>IFERROR(__xludf.DUMMYFUNCTION("""COMPUTED_VALUE"""),1203.0)</f>
        <v>1203</v>
      </c>
      <c r="O597" s="189">
        <f>IFERROR(__xludf.DUMMYFUNCTION("""COMPUTED_VALUE"""),1151.0)</f>
        <v>1151</v>
      </c>
      <c r="P597" s="189">
        <f>IFERROR(__xludf.DUMMYFUNCTION("""COMPUTED_VALUE"""),1135.0)</f>
        <v>1135</v>
      </c>
      <c r="Q597" s="189">
        <f>IFERROR(__xludf.DUMMYFUNCTION("""COMPUTED_VALUE"""),1171.0)</f>
        <v>1171</v>
      </c>
      <c r="R597" s="186"/>
      <c r="S597" s="189">
        <f>IFERROR(__xludf.DUMMYFUNCTION("""COMPUTED_VALUE"""),1130.0)</f>
        <v>1130</v>
      </c>
    </row>
    <row r="598">
      <c r="A598" s="186" t="str">
        <f>IFERROR(__xludf.DUMMYFUNCTION("""COMPUTED_VALUE"""),"DE")</f>
        <v>DE</v>
      </c>
      <c r="B598" s="186" t="str">
        <f>IFERROR(__xludf.DUMMYFUNCTION("""COMPUTED_VALUE"""),"W08")</f>
        <v>W08</v>
      </c>
      <c r="C598" s="186">
        <f>IFERROR(__xludf.DUMMYFUNCTION("""COMPUTED_VALUE"""),316.0)</f>
        <v>316</v>
      </c>
      <c r="D598" s="186" t="str">
        <f>IFERROR(__xludf.DUMMYFUNCTION("""COMPUTED_VALUE"""),"CON-00-155022-2")</f>
        <v>CON-00-155022-2</v>
      </c>
      <c r="E598" s="186" t="str">
        <f>IFERROR(__xludf.DUMMYFUNCTION("""COMPUTED_VALUE"""),"Herb-Grilled Chicken")</f>
        <v>Herb-Grilled Chicken</v>
      </c>
      <c r="F598" s="186" t="str">
        <f>IFERROR(__xludf.DUMMYFUNCTION("""COMPUTED_VALUE"""),"Gegrilltes Hähnchen mit Kräutern")</f>
        <v>Gegrilltes Hähnchen mit Kräutern</v>
      </c>
      <c r="G598" s="186" t="str">
        <f>IFERROR(__xludf.DUMMYFUNCTION("""COMPUTED_VALUE"""),"FE4070A")</f>
        <v>FE4070A</v>
      </c>
      <c r="H598" s="186">
        <f>IFERROR(__xludf.DUMMYFUNCTION("""COMPUTED_VALUE"""),565242.0)</f>
        <v>565242</v>
      </c>
      <c r="I598" s="186" t="str">
        <f>IFERROR(__xludf.DUMMYFUNCTION("""COMPUTED_VALUE"""),"HF Kip met risotto geitenkaas")</f>
        <v>HF Kip met risotto geitenkaas</v>
      </c>
      <c r="J598" s="189">
        <f>IFERROR(__xludf.DUMMYFUNCTION("""COMPUTED_VALUE"""),685.0)</f>
        <v>685</v>
      </c>
      <c r="K598" s="189">
        <f>IFERROR(__xludf.DUMMYFUNCTION("""COMPUTED_VALUE"""),815.0)</f>
        <v>815</v>
      </c>
      <c r="L598" s="189">
        <f>IFERROR(__xludf.DUMMYFUNCTION("""COMPUTED_VALUE"""),781.0)</f>
        <v>781</v>
      </c>
      <c r="M598" s="189">
        <f>IFERROR(__xludf.DUMMYFUNCTION("""COMPUTED_VALUE"""),746.0)</f>
        <v>746</v>
      </c>
      <c r="N598" s="189">
        <f>IFERROR(__xludf.DUMMYFUNCTION("""COMPUTED_VALUE"""),796.0)</f>
        <v>796</v>
      </c>
      <c r="O598" s="189">
        <f>IFERROR(__xludf.DUMMYFUNCTION("""COMPUTED_VALUE"""),825.0)</f>
        <v>825</v>
      </c>
      <c r="P598" s="189">
        <f>IFERROR(__xludf.DUMMYFUNCTION("""COMPUTED_VALUE"""),821.0)</f>
        <v>821</v>
      </c>
      <c r="Q598" s="189">
        <f>IFERROR(__xludf.DUMMYFUNCTION("""COMPUTED_VALUE"""),828.0)</f>
        <v>828</v>
      </c>
      <c r="R598" s="186"/>
      <c r="S598" s="189">
        <f>IFERROR(__xludf.DUMMYFUNCTION("""COMPUTED_VALUE"""),740.0)</f>
        <v>740</v>
      </c>
    </row>
    <row r="599">
      <c r="A599" s="186" t="str">
        <f>IFERROR(__xludf.DUMMYFUNCTION("""COMPUTED_VALUE"""),"DE")</f>
        <v>DE</v>
      </c>
      <c r="B599" s="186" t="str">
        <f>IFERROR(__xludf.DUMMYFUNCTION("""COMPUTED_VALUE"""),"W08")</f>
        <v>W08</v>
      </c>
      <c r="C599" s="186">
        <f>IFERROR(__xludf.DUMMYFUNCTION("""COMPUTED_VALUE"""),317.0)</f>
        <v>317</v>
      </c>
      <c r="D599" s="186" t="str">
        <f>IFERROR(__xludf.DUMMYFUNCTION("""COMPUTED_VALUE"""),"CON-00-155387-2")</f>
        <v>CON-00-155387-2</v>
      </c>
      <c r="E599" s="186" t="str">
        <f>IFERROR(__xludf.DUMMYFUNCTION("""COMPUTED_VALUE"""),"Creamy Pistou Pork Tenderloin")</f>
        <v>Creamy Pistou Pork Tenderloin</v>
      </c>
      <c r="F599" s="186" t="str">
        <f>IFERROR(__xludf.DUMMYFUNCTION("""COMPUTED_VALUE"""),"Schweinefilet mit cremigem Pistou")</f>
        <v>Schweinefilet mit cremigem Pistou</v>
      </c>
      <c r="G599" s="186" t="str">
        <f>IFERROR(__xludf.DUMMYFUNCTION("""COMPUTED_VALUE"""),"FE0959A")</f>
        <v>FE0959A</v>
      </c>
      <c r="H599" s="186">
        <f>IFERROR(__xludf.DUMMYFUNCTION("""COMPUTED_VALUE"""),565256.0)</f>
        <v>565256</v>
      </c>
      <c r="I599" s="186" t="str">
        <f>IFERROR(__xludf.DUMMYFUNCTION("""COMPUTED_VALUE"""),"HF Varkenshaas romige pesto")</f>
        <v>HF Varkenshaas romige pesto</v>
      </c>
      <c r="J599" s="189">
        <f>IFERROR(__xludf.DUMMYFUNCTION("""COMPUTED_VALUE"""),910.0)</f>
        <v>910</v>
      </c>
      <c r="K599" s="189">
        <f>IFERROR(__xludf.DUMMYFUNCTION("""COMPUTED_VALUE"""),1031.0)</f>
        <v>1031</v>
      </c>
      <c r="L599" s="189">
        <f>IFERROR(__xludf.DUMMYFUNCTION("""COMPUTED_VALUE"""),1287.0)</f>
        <v>1287</v>
      </c>
      <c r="M599" s="189">
        <f>IFERROR(__xludf.DUMMYFUNCTION("""COMPUTED_VALUE"""),1112.0)</f>
        <v>1112</v>
      </c>
      <c r="N599" s="189">
        <f>IFERROR(__xludf.DUMMYFUNCTION("""COMPUTED_VALUE"""),1152.0)</f>
        <v>1152</v>
      </c>
      <c r="O599" s="189">
        <f>IFERROR(__xludf.DUMMYFUNCTION("""COMPUTED_VALUE"""),1114.0)</f>
        <v>1114</v>
      </c>
      <c r="P599" s="189">
        <f>IFERROR(__xludf.DUMMYFUNCTION("""COMPUTED_VALUE"""),1094.0)</f>
        <v>1094</v>
      </c>
      <c r="Q599" s="189">
        <f>IFERROR(__xludf.DUMMYFUNCTION("""COMPUTED_VALUE"""),1070.0)</f>
        <v>1070</v>
      </c>
      <c r="R599" s="186"/>
      <c r="S599" s="189">
        <f>IFERROR(__xludf.DUMMYFUNCTION("""COMPUTED_VALUE"""),1053.0)</f>
        <v>1053</v>
      </c>
    </row>
    <row r="600">
      <c r="A600" s="186" t="str">
        <f>IFERROR(__xludf.DUMMYFUNCTION("""COMPUTED_VALUE"""),"DE")</f>
        <v>DE</v>
      </c>
      <c r="B600" s="186" t="str">
        <f>IFERROR(__xludf.DUMMYFUNCTION("""COMPUTED_VALUE"""),"W08")</f>
        <v>W08</v>
      </c>
      <c r="C600" s="186">
        <f>IFERROR(__xludf.DUMMYFUNCTION("""COMPUTED_VALUE"""),318.0)</f>
        <v>318</v>
      </c>
      <c r="D600" s="186" t="str">
        <f>IFERROR(__xludf.DUMMYFUNCTION("""COMPUTED_VALUE"""),"CON-00-136726-3")</f>
        <v>CON-00-136726-3</v>
      </c>
      <c r="E600" s="186" t="str">
        <f>IFERROR(__xludf.DUMMYFUNCTION("""COMPUTED_VALUE"""),"Pork tenderloin with apple-mustard sauce")</f>
        <v>Pork tenderloin with apple-mustard sauce</v>
      </c>
      <c r="F600" s="186" t="str">
        <f>IFERROR(__xludf.DUMMYFUNCTION("""COMPUTED_VALUE"""),"Schweinefilet mit Apfel-Senf-Soße")</f>
        <v>Schweinefilet mit Apfel-Senf-Soße</v>
      </c>
      <c r="G600" s="186" t="str">
        <f>IFERROR(__xludf.DUMMYFUNCTION("""COMPUTED_VALUE"""),"FE0890B")</f>
        <v>FE0890B</v>
      </c>
      <c r="H600" s="186">
        <f>IFERROR(__xludf.DUMMYFUNCTION("""COMPUTED_VALUE"""),565117.0)</f>
        <v>565117</v>
      </c>
      <c r="I600" s="186"/>
      <c r="J600" s="189">
        <f>IFERROR(__xludf.DUMMYFUNCTION("""COMPUTED_VALUE"""),526.0)</f>
        <v>526</v>
      </c>
      <c r="K600" s="189">
        <f>IFERROR(__xludf.DUMMYFUNCTION("""COMPUTED_VALUE"""),565.0)</f>
        <v>565</v>
      </c>
      <c r="L600" s="189">
        <f>IFERROR(__xludf.DUMMYFUNCTION("""COMPUTED_VALUE"""),752.0)</f>
        <v>752</v>
      </c>
      <c r="M600" s="189">
        <f>IFERROR(__xludf.DUMMYFUNCTION("""COMPUTED_VALUE"""),554.0)</f>
        <v>554</v>
      </c>
      <c r="N600" s="189">
        <f>IFERROR(__xludf.DUMMYFUNCTION("""COMPUTED_VALUE"""),623.0)</f>
        <v>623</v>
      </c>
      <c r="O600" s="189">
        <f>IFERROR(__xludf.DUMMYFUNCTION("""COMPUTED_VALUE"""),572.0)</f>
        <v>572</v>
      </c>
      <c r="P600" s="189">
        <f>IFERROR(__xludf.DUMMYFUNCTION("""COMPUTED_VALUE"""),585.0)</f>
        <v>585</v>
      </c>
      <c r="Q600" s="189">
        <f>IFERROR(__xludf.DUMMYFUNCTION("""COMPUTED_VALUE"""),582.0)</f>
        <v>582</v>
      </c>
      <c r="R600" s="186"/>
      <c r="S600" s="189">
        <f>IFERROR(__xludf.DUMMYFUNCTION("""COMPUTED_VALUE"""),526.0)</f>
        <v>526</v>
      </c>
    </row>
    <row r="601">
      <c r="A601" s="186" t="str">
        <f>IFERROR(__xludf.DUMMYFUNCTION("""COMPUTED_VALUE"""),"DE")</f>
        <v>DE</v>
      </c>
      <c r="B601" s="186" t="str">
        <f>IFERROR(__xludf.DUMMYFUNCTION("""COMPUTED_VALUE"""),"W08")</f>
        <v>W08</v>
      </c>
      <c r="C601" s="186">
        <f>IFERROR(__xludf.DUMMYFUNCTION("""COMPUTED_VALUE"""),806.0)</f>
        <v>806</v>
      </c>
      <c r="D601" s="186" t="str">
        <f>IFERROR(__xludf.DUMMYFUNCTION("""COMPUTED_VALUE"""),"PTN-00-136930-3")</f>
        <v>PTN-00-136930-3</v>
      </c>
      <c r="E601" s="186" t="str">
        <f>IFERROR(__xludf.DUMMYFUNCTION("""COMPUTED_VALUE"""),"Garlic Herb Grilled Chicken")</f>
        <v>Garlic Herb Grilled Chicken</v>
      </c>
      <c r="F601" s="186" t="str">
        <f>IFERROR(__xludf.DUMMYFUNCTION("""COMPUTED_VALUE"""),"Gegrilltes Hähnchen mit Knoblauch-Kräutern")</f>
        <v>Gegrilltes Hähnchen mit Knoblauch-Kräutern</v>
      </c>
      <c r="G601" s="186" t="str">
        <f>IFERROR(__xludf.DUMMYFUNCTION("""COMPUTED_VALUE"""),"FEA006A")</f>
        <v>FEA006A</v>
      </c>
      <c r="H601" s="186">
        <f>IFERROR(__xludf.DUMMYFUNCTION("""COMPUTED_VALUE"""),565119.0)</f>
        <v>565119</v>
      </c>
      <c r="I601" s="186"/>
      <c r="J601" s="189">
        <f>IFERROR(__xludf.DUMMYFUNCTION("""COMPUTED_VALUE"""),79.0)</f>
        <v>79</v>
      </c>
      <c r="K601" s="189">
        <f>IFERROR(__xludf.DUMMYFUNCTION("""COMPUTED_VALUE"""),79.0)</f>
        <v>79</v>
      </c>
      <c r="L601" s="189">
        <f>IFERROR(__xludf.DUMMYFUNCTION("""COMPUTED_VALUE"""),87.0)</f>
        <v>87</v>
      </c>
      <c r="M601" s="189">
        <f>IFERROR(__xludf.DUMMYFUNCTION("""COMPUTED_VALUE"""),67.0)</f>
        <v>67</v>
      </c>
      <c r="N601" s="189">
        <f>IFERROR(__xludf.DUMMYFUNCTION("""COMPUTED_VALUE"""),87.0)</f>
        <v>87</v>
      </c>
      <c r="O601" s="189">
        <f>IFERROR(__xludf.DUMMYFUNCTION("""COMPUTED_VALUE"""),87.0)</f>
        <v>87</v>
      </c>
      <c r="P601" s="189">
        <f>IFERROR(__xludf.DUMMYFUNCTION("""COMPUTED_VALUE"""),87.0)</f>
        <v>87</v>
      </c>
      <c r="Q601" s="189">
        <f>IFERROR(__xludf.DUMMYFUNCTION("""COMPUTED_VALUE"""),87.0)</f>
        <v>87</v>
      </c>
      <c r="R601" s="186"/>
      <c r="S601" s="189">
        <f>IFERROR(__xludf.DUMMYFUNCTION("""COMPUTED_VALUE"""),55.0)</f>
        <v>55</v>
      </c>
    </row>
    <row r="602">
      <c r="A602" s="186" t="str">
        <f>IFERROR(__xludf.DUMMYFUNCTION("""COMPUTED_VALUE"""),"DE")</f>
        <v>DE</v>
      </c>
      <c r="B602" s="186" t="str">
        <f>IFERROR(__xludf.DUMMYFUNCTION("""COMPUTED_VALUE"""),"W08")</f>
        <v>W08</v>
      </c>
      <c r="C602" s="186"/>
      <c r="D602" s="186"/>
      <c r="E602" s="186"/>
      <c r="F602" s="186"/>
      <c r="G602" s="186"/>
      <c r="H602" s="186"/>
      <c r="I602" s="186"/>
      <c r="J602" s="189">
        <f>IFERROR(__xludf.DUMMYFUNCTION("""COMPUTED_VALUE"""),27043.0)</f>
        <v>27043</v>
      </c>
      <c r="K602" s="189">
        <f>IFERROR(__xludf.DUMMYFUNCTION("""COMPUTED_VALUE"""),27301.0)</f>
        <v>27301</v>
      </c>
      <c r="L602" s="189">
        <f>IFERROR(__xludf.DUMMYFUNCTION("""COMPUTED_VALUE"""),28358.0)</f>
        <v>28358</v>
      </c>
      <c r="M602" s="189">
        <f>IFERROR(__xludf.DUMMYFUNCTION("""COMPUTED_VALUE"""),27524.0)</f>
        <v>27524</v>
      </c>
      <c r="N602" s="189">
        <f>IFERROR(__xludf.DUMMYFUNCTION("""COMPUTED_VALUE"""),28794.0)</f>
        <v>28794</v>
      </c>
      <c r="O602" s="189">
        <f>IFERROR(__xludf.DUMMYFUNCTION("""COMPUTED_VALUE"""),28915.0)</f>
        <v>28915</v>
      </c>
      <c r="P602" s="189">
        <f>IFERROR(__xludf.DUMMYFUNCTION("""COMPUTED_VALUE"""),29034.0)</f>
        <v>29034</v>
      </c>
      <c r="Q602" s="189">
        <f>IFERROR(__xludf.DUMMYFUNCTION("""COMPUTED_VALUE"""),29108.0)</f>
        <v>29108</v>
      </c>
      <c r="R602" s="189">
        <f>IFERROR(__xludf.DUMMYFUNCTION("""COMPUTED_VALUE"""),0.0)</f>
        <v>0</v>
      </c>
      <c r="S602" s="189">
        <f>IFERROR(__xludf.DUMMYFUNCTION("""COMPUTED_VALUE"""),27796.0)</f>
        <v>27796</v>
      </c>
    </row>
    <row r="603">
      <c r="A603" s="186" t="str">
        <f>IFERROR(__xludf.DUMMYFUNCTION("""COMPUTED_VALUE"""),"NORDICS")</f>
        <v>NORDICS</v>
      </c>
      <c r="B603" s="186" t="str">
        <f>IFERROR(__xludf.DUMMYFUNCTION("""COMPUTED_VALUE"""),"W09")</f>
        <v>W09</v>
      </c>
      <c r="C603" s="186">
        <f>IFERROR(__xludf.DUMMYFUNCTION("""COMPUTED_VALUE"""),601.0)</f>
        <v>601</v>
      </c>
      <c r="D603" s="186" t="str">
        <f>IFERROR(__xludf.DUMMYFUNCTION("""COMPUTED_VALUE"""),"CON-00-147840-2")</f>
        <v>CON-00-147840-2</v>
      </c>
      <c r="E603" s="186" t="str">
        <f>IFERROR(__xludf.DUMMYFUNCTION("""COMPUTED_VALUE"""),"Grilled chicken fillet and potato leek mash")</f>
        <v>Grilled chicken fillet and potato leek mash</v>
      </c>
      <c r="F603" s="186" t="str">
        <f>IFERROR(__xludf.DUMMYFUNCTION("""COMPUTED_VALUE"""),"Grillet kyllingefilet og kartoffel-porremos")</f>
        <v>Grillet kyllingefilet og kartoffel-porremos</v>
      </c>
      <c r="G603" s="186" t="str">
        <f>IFERROR(__xludf.DUMMYFUNCTION("""COMPUTED_VALUE"""),"FE0426B")</f>
        <v>FE0426B</v>
      </c>
      <c r="H603" s="186">
        <f>IFERROR(__xludf.DUMMYFUNCTION("""COMPUTED_VALUE"""),565035.0)</f>
        <v>565035</v>
      </c>
      <c r="I603" s="186" t="str">
        <f>IFERROR(__xludf.DUMMYFUNCTION("""COMPUTED_VALUE"""),"HF Puree van aardappel en prei met gegrilde kip 416g")</f>
        <v>HF Puree van aardappel en prei met gegrilde kip 416g</v>
      </c>
      <c r="J603" s="189">
        <f>IFERROR(__xludf.DUMMYFUNCTION("""COMPUTED_VALUE"""),5426.0)</f>
        <v>5426</v>
      </c>
      <c r="K603" s="189">
        <f>IFERROR(__xludf.DUMMYFUNCTION("""COMPUTED_VALUE"""),5888.0)</f>
        <v>5888</v>
      </c>
      <c r="L603" s="189">
        <f>IFERROR(__xludf.DUMMYFUNCTION("""COMPUTED_VALUE"""),5263.0)</f>
        <v>5263</v>
      </c>
      <c r="M603" s="189">
        <f>IFERROR(__xludf.DUMMYFUNCTION("""COMPUTED_VALUE"""),5118.0)</f>
        <v>5118</v>
      </c>
      <c r="N603" s="189">
        <f>IFERROR(__xludf.DUMMYFUNCTION("""COMPUTED_VALUE"""),4872.0)</f>
        <v>4872</v>
      </c>
      <c r="O603" s="189">
        <f>IFERROR(__xludf.DUMMYFUNCTION("""COMPUTED_VALUE"""),4825.0)</f>
        <v>4825</v>
      </c>
      <c r="P603" s="189">
        <f>IFERROR(__xludf.DUMMYFUNCTION("""COMPUTED_VALUE"""),4860.0)</f>
        <v>4860</v>
      </c>
      <c r="Q603" s="189">
        <f>IFERROR(__xludf.DUMMYFUNCTION("""COMPUTED_VALUE"""),4699.0)</f>
        <v>4699</v>
      </c>
      <c r="R603" s="186"/>
      <c r="S603" s="189">
        <f>IFERROR(__xludf.DUMMYFUNCTION("""COMPUTED_VALUE"""),4731.0)</f>
        <v>4731</v>
      </c>
    </row>
    <row r="604">
      <c r="A604" s="186" t="str">
        <f>IFERROR(__xludf.DUMMYFUNCTION("""COMPUTED_VALUE"""),"NORDICS")</f>
        <v>NORDICS</v>
      </c>
      <c r="B604" s="186" t="str">
        <f>IFERROR(__xludf.DUMMYFUNCTION("""COMPUTED_VALUE"""),"W09")</f>
        <v>W09</v>
      </c>
      <c r="C604" s="186">
        <f>IFERROR(__xludf.DUMMYFUNCTION("""COMPUTED_VALUE"""),602.0)</f>
        <v>602</v>
      </c>
      <c r="D604" s="186" t="str">
        <f>IFERROR(__xludf.DUMMYFUNCTION("""COMPUTED_VALUE"""),"CON-00-147827-2")</f>
        <v>CON-00-147827-2</v>
      </c>
      <c r="E604" s="186" t="str">
        <f>IFERROR(__xludf.DUMMYFUNCTION("""COMPUTED_VALUE"""),"Chicken à la Florentine")</f>
        <v>Chicken à la Florentine</v>
      </c>
      <c r="F604" s="186" t="str">
        <f>IFERROR(__xludf.DUMMYFUNCTION("""COMPUTED_VALUE"""),"Kylling à la Florentine")</f>
        <v>Kylling à la Florentine</v>
      </c>
      <c r="G604" s="186" t="str">
        <f>IFERROR(__xludf.DUMMYFUNCTION("""COMPUTED_VALUE"""),"FE0224C")</f>
        <v>FE0224C</v>
      </c>
      <c r="H604" s="186">
        <f>IFERROR(__xludf.DUMMYFUNCTION("""COMPUTED_VALUE"""),565047.0)</f>
        <v>565047</v>
      </c>
      <c r="I604" s="186" t="str">
        <f>IFERROR(__xludf.DUMMYFUNCTION("""COMPUTED_VALUE"""),"HF Kip Florentine 404g")</f>
        <v>HF Kip Florentine 404g</v>
      </c>
      <c r="J604" s="189">
        <f>IFERROR(__xludf.DUMMYFUNCTION("""COMPUTED_VALUE"""),3575.0)</f>
        <v>3575</v>
      </c>
      <c r="K604" s="189">
        <f>IFERROR(__xludf.DUMMYFUNCTION("""COMPUTED_VALUE"""),3982.0)</f>
        <v>3982</v>
      </c>
      <c r="L604" s="189">
        <f>IFERROR(__xludf.DUMMYFUNCTION("""COMPUTED_VALUE"""),2976.0)</f>
        <v>2976</v>
      </c>
      <c r="M604" s="189">
        <f>IFERROR(__xludf.DUMMYFUNCTION("""COMPUTED_VALUE"""),3038.0)</f>
        <v>3038</v>
      </c>
      <c r="N604" s="189">
        <f>IFERROR(__xludf.DUMMYFUNCTION("""COMPUTED_VALUE"""),2914.0)</f>
        <v>2914</v>
      </c>
      <c r="O604" s="189">
        <f>IFERROR(__xludf.DUMMYFUNCTION("""COMPUTED_VALUE"""),2915.0)</f>
        <v>2915</v>
      </c>
      <c r="P604" s="189">
        <f>IFERROR(__xludf.DUMMYFUNCTION("""COMPUTED_VALUE"""),2959.0)</f>
        <v>2959</v>
      </c>
      <c r="Q604" s="189">
        <f>IFERROR(__xludf.DUMMYFUNCTION("""COMPUTED_VALUE"""),2850.0)</f>
        <v>2850</v>
      </c>
      <c r="R604" s="186"/>
      <c r="S604" s="189">
        <f>IFERROR(__xludf.DUMMYFUNCTION("""COMPUTED_VALUE"""),2834.0)</f>
        <v>2834</v>
      </c>
    </row>
    <row r="605">
      <c r="A605" s="186" t="str">
        <f>IFERROR(__xludf.DUMMYFUNCTION("""COMPUTED_VALUE"""),"NORDICS")</f>
        <v>NORDICS</v>
      </c>
      <c r="B605" s="186" t="str">
        <f>IFERROR(__xludf.DUMMYFUNCTION("""COMPUTED_VALUE"""),"W09")</f>
        <v>W09</v>
      </c>
      <c r="C605" s="186">
        <f>IFERROR(__xludf.DUMMYFUNCTION("""COMPUTED_VALUE"""),603.0)</f>
        <v>603</v>
      </c>
      <c r="D605" s="186" t="str">
        <f>IFERROR(__xludf.DUMMYFUNCTION("""COMPUTED_VALUE"""),"CON-00-147860-2")</f>
        <v>CON-00-147860-2</v>
      </c>
      <c r="E605" s="186" t="str">
        <f>IFERROR(__xludf.DUMMYFUNCTION("""COMPUTED_VALUE"""),"Courgette-spaghetti bolognese")</f>
        <v>Courgette-spaghetti bolognese</v>
      </c>
      <c r="F605" s="186" t="str">
        <f>IFERROR(__xludf.DUMMYFUNCTION("""COMPUTED_VALUE"""),"Zucchini-spaghetti bolognese")</f>
        <v>Zucchini-spaghetti bolognese</v>
      </c>
      <c r="G605" s="186" t="str">
        <f>IFERROR(__xludf.DUMMYFUNCTION("""COMPUTED_VALUE"""),"FE0849B")</f>
        <v>FE0849B</v>
      </c>
      <c r="H605" s="186">
        <f>IFERROR(__xludf.DUMMYFUNCTION("""COMPUTED_VALUE"""),565260.0)</f>
        <v>565260</v>
      </c>
      <c r="I605" s="186" t="str">
        <f>IFERROR(__xludf.DUMMYFUNCTION("""COMPUTED_VALUE"""),"HF RW Courgette-spagh bolognes")</f>
        <v>HF RW Courgette-spagh bolognes</v>
      </c>
      <c r="J605" s="189">
        <f>IFERROR(__xludf.DUMMYFUNCTION("""COMPUTED_VALUE"""),3370.0)</f>
        <v>3370</v>
      </c>
      <c r="K605" s="189">
        <f>IFERROR(__xludf.DUMMYFUNCTION("""COMPUTED_VALUE"""),4043.0)</f>
        <v>4043</v>
      </c>
      <c r="L605" s="189">
        <f>IFERROR(__xludf.DUMMYFUNCTION("""COMPUTED_VALUE"""),3309.0)</f>
        <v>3309</v>
      </c>
      <c r="M605" s="189">
        <f>IFERROR(__xludf.DUMMYFUNCTION("""COMPUTED_VALUE"""),3067.0)</f>
        <v>3067</v>
      </c>
      <c r="N605" s="189">
        <f>IFERROR(__xludf.DUMMYFUNCTION("""COMPUTED_VALUE"""),2894.0)</f>
        <v>2894</v>
      </c>
      <c r="O605" s="189">
        <f>IFERROR(__xludf.DUMMYFUNCTION("""COMPUTED_VALUE"""),2885.0)</f>
        <v>2885</v>
      </c>
      <c r="P605" s="189">
        <f>IFERROR(__xludf.DUMMYFUNCTION("""COMPUTED_VALUE"""),2914.0)</f>
        <v>2914</v>
      </c>
      <c r="Q605" s="189">
        <f>IFERROR(__xludf.DUMMYFUNCTION("""COMPUTED_VALUE"""),2848.0)</f>
        <v>2848</v>
      </c>
      <c r="R605" s="186"/>
      <c r="S605" s="189">
        <f>IFERROR(__xludf.DUMMYFUNCTION("""COMPUTED_VALUE"""),2827.0)</f>
        <v>2827</v>
      </c>
    </row>
    <row r="606">
      <c r="A606" s="186" t="str">
        <f>IFERROR(__xludf.DUMMYFUNCTION("""COMPUTED_VALUE"""),"NORDICS")</f>
        <v>NORDICS</v>
      </c>
      <c r="B606" s="186" t="str">
        <f>IFERROR(__xludf.DUMMYFUNCTION("""COMPUTED_VALUE"""),"W09")</f>
        <v>W09</v>
      </c>
      <c r="C606" s="186">
        <f>IFERROR(__xludf.DUMMYFUNCTION("""COMPUTED_VALUE"""),604.0)</f>
        <v>604</v>
      </c>
      <c r="D606" s="186" t="str">
        <f>IFERROR(__xludf.DUMMYFUNCTION("""COMPUTED_VALUE"""),"CON-00-150389-2")</f>
        <v>CON-00-150389-2</v>
      </c>
      <c r="E606" s="186" t="str">
        <f>IFERROR(__xludf.DUMMYFUNCTION("""COMPUTED_VALUE"""),"Parmesan &amp; Garlic Cream Pulled Beef")</f>
        <v>Parmesan &amp; Garlic Cream Pulled Beef</v>
      </c>
      <c r="F606" s="186" t="str">
        <f>IFERROR(__xludf.DUMMYFUNCTION("""COMPUTED_VALUE"""),"Pulled beef med cremet parmesan og hvidløg")</f>
        <v>Pulled beef med cremet parmesan og hvidløg</v>
      </c>
      <c r="G606" s="186" t="str">
        <f>IFERROR(__xludf.DUMMYFUNCTION("""COMPUTED_VALUE"""),"FE1346B")</f>
        <v>FE1346B</v>
      </c>
      <c r="H606" s="186">
        <f>IFERROR(__xludf.DUMMYFUNCTION("""COMPUTED_VALUE"""),565184.0)</f>
        <v>565184</v>
      </c>
      <c r="I606" s="186" t="str">
        <f>IFERROR(__xludf.DUMMYFUNCTION("""COMPUTED_VALUE"""),"HF Pulled beef &amp; knoflook room")</f>
        <v>HF Pulled beef &amp; knoflook room</v>
      </c>
      <c r="J606" s="189">
        <f>IFERROR(__xludf.DUMMYFUNCTION("""COMPUTED_VALUE"""),3791.0)</f>
        <v>3791</v>
      </c>
      <c r="K606" s="189">
        <f>IFERROR(__xludf.DUMMYFUNCTION("""COMPUTED_VALUE"""),3960.0)</f>
        <v>3960</v>
      </c>
      <c r="L606" s="189">
        <f>IFERROR(__xludf.DUMMYFUNCTION("""COMPUTED_VALUE"""),4834.0)</f>
        <v>4834</v>
      </c>
      <c r="M606" s="189">
        <f>IFERROR(__xludf.DUMMYFUNCTION("""COMPUTED_VALUE"""),4481.0)</f>
        <v>4481</v>
      </c>
      <c r="N606" s="189">
        <f>IFERROR(__xludf.DUMMYFUNCTION("""COMPUTED_VALUE"""),4293.0)</f>
        <v>4293</v>
      </c>
      <c r="O606" s="189">
        <f>IFERROR(__xludf.DUMMYFUNCTION("""COMPUTED_VALUE"""),4373.0)</f>
        <v>4373</v>
      </c>
      <c r="P606" s="189">
        <f>IFERROR(__xludf.DUMMYFUNCTION("""COMPUTED_VALUE"""),4378.0)</f>
        <v>4378</v>
      </c>
      <c r="Q606" s="189">
        <f>IFERROR(__xludf.DUMMYFUNCTION("""COMPUTED_VALUE"""),4228.0)</f>
        <v>4228</v>
      </c>
      <c r="R606" s="186"/>
      <c r="S606" s="189">
        <f>IFERROR(__xludf.DUMMYFUNCTION("""COMPUTED_VALUE"""),4252.0)</f>
        <v>4252</v>
      </c>
    </row>
    <row r="607">
      <c r="A607" s="186" t="str">
        <f>IFERROR(__xludf.DUMMYFUNCTION("""COMPUTED_VALUE"""),"NORDICS")</f>
        <v>NORDICS</v>
      </c>
      <c r="B607" s="186" t="str">
        <f>IFERROR(__xludf.DUMMYFUNCTION("""COMPUTED_VALUE"""),"W09")</f>
        <v>W09</v>
      </c>
      <c r="C607" s="186">
        <f>IFERROR(__xludf.DUMMYFUNCTION("""COMPUTED_VALUE"""),605.0)</f>
        <v>605</v>
      </c>
      <c r="D607" s="186" t="str">
        <f>IFERROR(__xludf.DUMMYFUNCTION("""COMPUTED_VALUE"""),"CON-00-149481-2")</f>
        <v>CON-00-149481-2</v>
      </c>
      <c r="E607" s="186" t="str">
        <f>IFERROR(__xludf.DUMMYFUNCTION("""COMPUTED_VALUE"""),"Sour Cream &amp; Chive Chicken")</f>
        <v>Sour Cream &amp; Chive Chicken</v>
      </c>
      <c r="F607" s="186" t="str">
        <f>IFERROR(__xludf.DUMMYFUNCTION("""COMPUTED_VALUE"""),"Kylling med syrnet fløde og purløg")</f>
        <v>Kylling med syrnet fløde og purløg</v>
      </c>
      <c r="G607" s="186" t="str">
        <f>IFERROR(__xludf.DUMMYFUNCTION("""COMPUTED_VALUE"""),"FE0322O")</f>
        <v>FE0322O</v>
      </c>
      <c r="H607" s="186">
        <f>IFERROR(__xludf.DUMMYFUNCTION("""COMPUTED_VALUE"""),565163.0)</f>
        <v>565163</v>
      </c>
      <c r="I607" s="186" t="str">
        <f>IFERROR(__xludf.DUMMYFUNCTION("""COMPUTED_VALUE"""),"HF Kip bieslook aardappel pure")</f>
        <v>HF Kip bieslook aardappel pure</v>
      </c>
      <c r="J607" s="189">
        <f>IFERROR(__xludf.DUMMYFUNCTION("""COMPUTED_VALUE"""),2762.0)</f>
        <v>2762</v>
      </c>
      <c r="K607" s="189">
        <f>IFERROR(__xludf.DUMMYFUNCTION("""COMPUTED_VALUE"""),3189.0)</f>
        <v>3189</v>
      </c>
      <c r="L607" s="189">
        <f>IFERROR(__xludf.DUMMYFUNCTION("""COMPUTED_VALUE"""),2681.0)</f>
        <v>2681</v>
      </c>
      <c r="M607" s="189">
        <f>IFERROR(__xludf.DUMMYFUNCTION("""COMPUTED_VALUE"""),2451.0)</f>
        <v>2451</v>
      </c>
      <c r="N607" s="189">
        <f>IFERROR(__xludf.DUMMYFUNCTION("""COMPUTED_VALUE"""),2298.0)</f>
        <v>2298</v>
      </c>
      <c r="O607" s="189">
        <f>IFERROR(__xludf.DUMMYFUNCTION("""COMPUTED_VALUE"""),2267.0)</f>
        <v>2267</v>
      </c>
      <c r="P607" s="189">
        <f>IFERROR(__xludf.DUMMYFUNCTION("""COMPUTED_VALUE"""),2283.0)</f>
        <v>2283</v>
      </c>
      <c r="Q607" s="189">
        <f>IFERROR(__xludf.DUMMYFUNCTION("""COMPUTED_VALUE"""),2200.0)</f>
        <v>2200</v>
      </c>
      <c r="R607" s="186"/>
      <c r="S607" s="189">
        <f>IFERROR(__xludf.DUMMYFUNCTION("""COMPUTED_VALUE"""),2137.0)</f>
        <v>2137</v>
      </c>
    </row>
    <row r="608">
      <c r="A608" s="186" t="str">
        <f>IFERROR(__xludf.DUMMYFUNCTION("""COMPUTED_VALUE"""),"NORDICS")</f>
        <v>NORDICS</v>
      </c>
      <c r="B608" s="186" t="str">
        <f>IFERROR(__xludf.DUMMYFUNCTION("""COMPUTED_VALUE"""),"W09")</f>
        <v>W09</v>
      </c>
      <c r="C608" s="186">
        <f>IFERROR(__xludf.DUMMYFUNCTION("""COMPUTED_VALUE"""),606.0)</f>
        <v>606</v>
      </c>
      <c r="D608" s="186" t="str">
        <f>IFERROR(__xludf.DUMMYFUNCTION("""COMPUTED_VALUE"""),"CON-00-152030-2")</f>
        <v>CON-00-152030-2</v>
      </c>
      <c r="E608" s="186" t="str">
        <f>IFERROR(__xludf.DUMMYFUNCTION("""COMPUTED_VALUE"""),"Salmon Dijonnaise")</f>
        <v>Salmon Dijonnaise</v>
      </c>
      <c r="F608" s="186" t="str">
        <f>IFERROR(__xludf.DUMMYFUNCTION("""COMPUTED_VALUE"""),"Laks med dijonnaise")</f>
        <v>Laks med dijonnaise</v>
      </c>
      <c r="G608" s="186" t="str">
        <f>IFERROR(__xludf.DUMMYFUNCTION("""COMPUTED_VALUE"""),"FE1031A")</f>
        <v>FE1031A</v>
      </c>
      <c r="H608" s="186">
        <f>IFERROR(__xludf.DUMMYFUNCTION("""COMPUTED_VALUE"""),565207.0)</f>
        <v>565207</v>
      </c>
      <c r="I608" s="186" t="str">
        <f>IFERROR(__xludf.DUMMYFUNCTION("""COMPUTED_VALUE"""),"HF Zalm dijonnaise")</f>
        <v>HF Zalm dijonnaise</v>
      </c>
      <c r="J608" s="189">
        <f>IFERROR(__xludf.DUMMYFUNCTION("""COMPUTED_VALUE"""),2390.0)</f>
        <v>2390</v>
      </c>
      <c r="K608" s="189">
        <f>IFERROR(__xludf.DUMMYFUNCTION("""COMPUTED_VALUE"""),2599.0)</f>
        <v>2599</v>
      </c>
      <c r="L608" s="189">
        <f>IFERROR(__xludf.DUMMYFUNCTION("""COMPUTED_VALUE"""),3094.0)</f>
        <v>3094</v>
      </c>
      <c r="M608" s="189">
        <f>IFERROR(__xludf.DUMMYFUNCTION("""COMPUTED_VALUE"""),2706.0)</f>
        <v>2706</v>
      </c>
      <c r="N608" s="189">
        <f>IFERROR(__xludf.DUMMYFUNCTION("""COMPUTED_VALUE"""),2509.0)</f>
        <v>2509</v>
      </c>
      <c r="O608" s="189">
        <f>IFERROR(__xludf.DUMMYFUNCTION("""COMPUTED_VALUE"""),2474.0)</f>
        <v>2474</v>
      </c>
      <c r="P608" s="189">
        <f>IFERROR(__xludf.DUMMYFUNCTION("""COMPUTED_VALUE"""),2472.0)</f>
        <v>2472</v>
      </c>
      <c r="Q608" s="189">
        <f>IFERROR(__xludf.DUMMYFUNCTION("""COMPUTED_VALUE"""),2392.0)</f>
        <v>2392</v>
      </c>
      <c r="R608" s="186"/>
      <c r="S608" s="189">
        <f>IFERROR(__xludf.DUMMYFUNCTION("""COMPUTED_VALUE"""),2313.0)</f>
        <v>2313</v>
      </c>
    </row>
    <row r="609">
      <c r="A609" s="186" t="str">
        <f>IFERROR(__xludf.DUMMYFUNCTION("""COMPUTED_VALUE"""),"NORDICS")</f>
        <v>NORDICS</v>
      </c>
      <c r="B609" s="186" t="str">
        <f>IFERROR(__xludf.DUMMYFUNCTION("""COMPUTED_VALUE"""),"W09")</f>
        <v>W09</v>
      </c>
      <c r="C609" s="186">
        <f>IFERROR(__xludf.DUMMYFUNCTION("""COMPUTED_VALUE"""),607.0)</f>
        <v>607</v>
      </c>
      <c r="D609" s="186" t="str">
        <f>IFERROR(__xludf.DUMMYFUNCTION("""COMPUTED_VALUE"""),"CON-00-147825-2")</f>
        <v>CON-00-147825-2</v>
      </c>
      <c r="E609" s="186" t="str">
        <f>IFERROR(__xludf.DUMMYFUNCTION("""COMPUTED_VALUE"""),"Chicken in creamy spinach")</f>
        <v>Chicken in creamy spinach</v>
      </c>
      <c r="F609" s="186" t="str">
        <f>IFERROR(__xludf.DUMMYFUNCTION("""COMPUTED_VALUE"""),"Kylling i cremet spinat")</f>
        <v>Kylling i cremet spinat</v>
      </c>
      <c r="G609" s="186" t="str">
        <f>IFERROR(__xludf.DUMMYFUNCTION("""COMPUTED_VALUE"""),"FE0207I")</f>
        <v>FE0207I</v>
      </c>
      <c r="H609" s="186">
        <f>IFERROR(__xludf.DUMMYFUNCTION("""COMPUTED_VALUE"""),565148.0)</f>
        <v>565148</v>
      </c>
      <c r="I609" s="186" t="str">
        <f>IFERROR(__xludf.DUMMYFUNCTION("""COMPUTED_VALUE"""),"HF RW Kipfilet in rom spinazie")</f>
        <v>HF RW Kipfilet in rom spinazie</v>
      </c>
      <c r="J609" s="189">
        <f>IFERROR(__xludf.DUMMYFUNCTION("""COMPUTED_VALUE"""),1952.0)</f>
        <v>1952</v>
      </c>
      <c r="K609" s="189">
        <f>IFERROR(__xludf.DUMMYFUNCTION("""COMPUTED_VALUE"""),2247.0)</f>
        <v>2247</v>
      </c>
      <c r="L609" s="189">
        <f>IFERROR(__xludf.DUMMYFUNCTION("""COMPUTED_VALUE"""),1721.0)</f>
        <v>1721</v>
      </c>
      <c r="M609" s="189">
        <f>IFERROR(__xludf.DUMMYFUNCTION("""COMPUTED_VALUE"""),1647.0)</f>
        <v>1647</v>
      </c>
      <c r="N609" s="189">
        <f>IFERROR(__xludf.DUMMYFUNCTION("""COMPUTED_VALUE"""),1523.0)</f>
        <v>1523</v>
      </c>
      <c r="O609" s="189">
        <f>IFERROR(__xludf.DUMMYFUNCTION("""COMPUTED_VALUE"""),1485.0)</f>
        <v>1485</v>
      </c>
      <c r="P609" s="189">
        <f>IFERROR(__xludf.DUMMYFUNCTION("""COMPUTED_VALUE"""),1513.0)</f>
        <v>1513</v>
      </c>
      <c r="Q609" s="189">
        <f>IFERROR(__xludf.DUMMYFUNCTION("""COMPUTED_VALUE"""),1456.0)</f>
        <v>1456</v>
      </c>
      <c r="R609" s="186"/>
      <c r="S609" s="189">
        <f>IFERROR(__xludf.DUMMYFUNCTION("""COMPUTED_VALUE"""),1389.0)</f>
        <v>1389</v>
      </c>
    </row>
    <row r="610">
      <c r="A610" s="186" t="str">
        <f>IFERROR(__xludf.DUMMYFUNCTION("""COMPUTED_VALUE"""),"NORDICS")</f>
        <v>NORDICS</v>
      </c>
      <c r="B610" s="186" t="str">
        <f>IFERROR(__xludf.DUMMYFUNCTION("""COMPUTED_VALUE"""),"W09")</f>
        <v>W09</v>
      </c>
      <c r="C610" s="186">
        <f>IFERROR(__xludf.DUMMYFUNCTION("""COMPUTED_VALUE"""),608.0)</f>
        <v>608</v>
      </c>
      <c r="D610" s="186" t="str">
        <f>IFERROR(__xludf.DUMMYFUNCTION("""COMPUTED_VALUE"""),"CON-00-147819-2")</f>
        <v>CON-00-147819-2</v>
      </c>
      <c r="E610" s="186" t="str">
        <f>IFERROR(__xludf.DUMMYFUNCTION("""COMPUTED_VALUE"""),"Peruvian style chicken breast")</f>
        <v>Peruvian style chicken breast</v>
      </c>
      <c r="F610" s="186" t="str">
        <f>IFERROR(__xludf.DUMMYFUNCTION("""COMPUTED_VALUE"""),"Peruviansk inspireret kyllingebryst")</f>
        <v>Peruviansk inspireret kyllingebryst</v>
      </c>
      <c r="G610" s="186" t="str">
        <f>IFERROR(__xludf.DUMMYFUNCTION("""COMPUTED_VALUE"""),"FE0129G")</f>
        <v>FE0129G</v>
      </c>
      <c r="H610" s="186">
        <f>IFERROR(__xludf.DUMMYFUNCTION("""COMPUTED_VALUE"""),565193.0)</f>
        <v>565193</v>
      </c>
      <c r="I610" s="186" t="str">
        <f>IFERROR(__xludf.DUMMYFUNCTION("""COMPUTED_VALUE"""),"HF RW Peruaanse stijl kipfilet")</f>
        <v>HF RW Peruaanse stijl kipfilet</v>
      </c>
      <c r="J610" s="189">
        <f>IFERROR(__xludf.DUMMYFUNCTION("""COMPUTED_VALUE"""),2396.0)</f>
        <v>2396</v>
      </c>
      <c r="K610" s="189">
        <f>IFERROR(__xludf.DUMMYFUNCTION("""COMPUTED_VALUE"""),2497.0)</f>
        <v>2497</v>
      </c>
      <c r="L610" s="189">
        <f>IFERROR(__xludf.DUMMYFUNCTION("""COMPUTED_VALUE"""),1800.0)</f>
        <v>1800</v>
      </c>
      <c r="M610" s="189">
        <f>IFERROR(__xludf.DUMMYFUNCTION("""COMPUTED_VALUE"""),1595.0)</f>
        <v>1595</v>
      </c>
      <c r="N610" s="189">
        <f>IFERROR(__xludf.DUMMYFUNCTION("""COMPUTED_VALUE"""),1498.0)</f>
        <v>1498</v>
      </c>
      <c r="O610" s="189">
        <f>IFERROR(__xludf.DUMMYFUNCTION("""COMPUTED_VALUE"""),1431.0)</f>
        <v>1431</v>
      </c>
      <c r="P610" s="189">
        <f>IFERROR(__xludf.DUMMYFUNCTION("""COMPUTED_VALUE"""),1438.0)</f>
        <v>1438</v>
      </c>
      <c r="Q610" s="189">
        <f>IFERROR(__xludf.DUMMYFUNCTION("""COMPUTED_VALUE"""),1372.0)</f>
        <v>1372</v>
      </c>
      <c r="R610" s="186"/>
      <c r="S610" s="189">
        <f>IFERROR(__xludf.DUMMYFUNCTION("""COMPUTED_VALUE"""),1320.0)</f>
        <v>1320</v>
      </c>
    </row>
    <row r="611">
      <c r="A611" s="186" t="str">
        <f>IFERROR(__xludf.DUMMYFUNCTION("""COMPUTED_VALUE"""),"NORDICS")</f>
        <v>NORDICS</v>
      </c>
      <c r="B611" s="186" t="str">
        <f>IFERROR(__xludf.DUMMYFUNCTION("""COMPUTED_VALUE"""),"W09")</f>
        <v>W09</v>
      </c>
      <c r="C611" s="186">
        <f>IFERROR(__xludf.DUMMYFUNCTION("""COMPUTED_VALUE"""),609.0)</f>
        <v>609</v>
      </c>
      <c r="D611" s="186" t="str">
        <f>IFERROR(__xludf.DUMMYFUNCTION("""COMPUTED_VALUE"""),"CON-00-147817-2")</f>
        <v>CON-00-147817-2</v>
      </c>
      <c r="E611" s="186" t="str">
        <f>IFERROR(__xludf.DUMMYFUNCTION("""COMPUTED_VALUE"""),"Ratatouille of zucchini and pepper")</f>
        <v>Ratatouille of zucchini and pepper</v>
      </c>
      <c r="F611" s="186" t="str">
        <f>IFERROR(__xludf.DUMMYFUNCTION("""COMPUTED_VALUE"""),"Squash- og peberfrugtsratatouille")</f>
        <v>Squash- og peberfrugtsratatouille</v>
      </c>
      <c r="G611" s="186" t="str">
        <f>IFERROR(__xludf.DUMMYFUNCTION("""COMPUTED_VALUE"""),"FE0090C")</f>
        <v>FE0090C</v>
      </c>
      <c r="H611" s="186">
        <f>IFERROR(__xludf.DUMMYFUNCTION("""COMPUTED_VALUE"""),565141.0)</f>
        <v>565141</v>
      </c>
      <c r="I611" s="186"/>
      <c r="J611" s="189">
        <f>IFERROR(__xludf.DUMMYFUNCTION("""COMPUTED_VALUE"""),350.0)</f>
        <v>350</v>
      </c>
      <c r="K611" s="189">
        <f>IFERROR(__xludf.DUMMYFUNCTION("""COMPUTED_VALUE"""),425.0)</f>
        <v>425</v>
      </c>
      <c r="L611" s="189">
        <f>IFERROR(__xludf.DUMMYFUNCTION("""COMPUTED_VALUE"""),226.0)</f>
        <v>226</v>
      </c>
      <c r="M611" s="189">
        <f>IFERROR(__xludf.DUMMYFUNCTION("""COMPUTED_VALUE"""),316.0)</f>
        <v>316</v>
      </c>
      <c r="N611" s="189">
        <f>IFERROR(__xludf.DUMMYFUNCTION("""COMPUTED_VALUE"""),293.0)</f>
        <v>293</v>
      </c>
      <c r="O611" s="189">
        <f>IFERROR(__xludf.DUMMYFUNCTION("""COMPUTED_VALUE"""),278.0)</f>
        <v>278</v>
      </c>
      <c r="P611" s="189">
        <f>IFERROR(__xludf.DUMMYFUNCTION("""COMPUTED_VALUE"""),291.0)</f>
        <v>291</v>
      </c>
      <c r="Q611" s="189">
        <f>IFERROR(__xludf.DUMMYFUNCTION("""COMPUTED_VALUE"""),286.0)</f>
        <v>286</v>
      </c>
      <c r="R611" s="186"/>
      <c r="S611" s="189">
        <f>IFERROR(__xludf.DUMMYFUNCTION("""COMPUTED_VALUE"""),284.0)</f>
        <v>284</v>
      </c>
    </row>
    <row r="612">
      <c r="A612" s="186" t="str">
        <f>IFERROR(__xludf.DUMMYFUNCTION("""COMPUTED_VALUE"""),"NORDICS")</f>
        <v>NORDICS</v>
      </c>
      <c r="B612" s="186" t="str">
        <f>IFERROR(__xludf.DUMMYFUNCTION("""COMPUTED_VALUE"""),"W09")</f>
        <v>W09</v>
      </c>
      <c r="C612" s="186">
        <f>IFERROR(__xludf.DUMMYFUNCTION("""COMPUTED_VALUE"""),610.0)</f>
        <v>610</v>
      </c>
      <c r="D612" s="186" t="str">
        <f>IFERROR(__xludf.DUMMYFUNCTION("""COMPUTED_VALUE"""),"CON-00-147816-2")</f>
        <v>CON-00-147816-2</v>
      </c>
      <c r="E612" s="186" t="str">
        <f>IFERROR(__xludf.DUMMYFUNCTION("""COMPUTED_VALUE"""),"Creamy tomato risotto")</f>
        <v>Creamy tomato risotto</v>
      </c>
      <c r="F612" s="186" t="str">
        <f>IFERROR(__xludf.DUMMYFUNCTION("""COMPUTED_VALUE"""),"Cremet tomatrisotto")</f>
        <v>Cremet tomatrisotto</v>
      </c>
      <c r="G612" s="186" t="str">
        <f>IFERROR(__xludf.DUMMYFUNCTION("""COMPUTED_VALUE"""),"FE0031C")</f>
        <v>FE0031C</v>
      </c>
      <c r="H612" s="186">
        <f>IFERROR(__xludf.DUMMYFUNCTION("""COMPUTED_VALUE"""),565244.0)</f>
        <v>565244</v>
      </c>
      <c r="I612" s="186" t="str">
        <f>IFERROR(__xludf.DUMMYFUNCTION("""COMPUTED_VALUE"""),"IO HF Romige tomatenrisotto V2")</f>
        <v>IO HF Romige tomatenrisotto V2</v>
      </c>
      <c r="J612" s="189">
        <f>IFERROR(__xludf.DUMMYFUNCTION("""COMPUTED_VALUE"""),359.0)</f>
        <v>359</v>
      </c>
      <c r="K612" s="189">
        <f>IFERROR(__xludf.DUMMYFUNCTION("""COMPUTED_VALUE"""),397.0)</f>
        <v>397</v>
      </c>
      <c r="L612" s="189">
        <f>IFERROR(__xludf.DUMMYFUNCTION("""COMPUTED_VALUE"""),328.0)</f>
        <v>328</v>
      </c>
      <c r="M612" s="189">
        <f>IFERROR(__xludf.DUMMYFUNCTION("""COMPUTED_VALUE"""),339.0)</f>
        <v>339</v>
      </c>
      <c r="N612" s="189">
        <f>IFERROR(__xludf.DUMMYFUNCTION("""COMPUTED_VALUE"""),341.0)</f>
        <v>341</v>
      </c>
      <c r="O612" s="189">
        <f>IFERROR(__xludf.DUMMYFUNCTION("""COMPUTED_VALUE"""),334.0)</f>
        <v>334</v>
      </c>
      <c r="P612" s="189">
        <f>IFERROR(__xludf.DUMMYFUNCTION("""COMPUTED_VALUE"""),373.0)</f>
        <v>373</v>
      </c>
      <c r="Q612" s="189">
        <f>IFERROR(__xludf.DUMMYFUNCTION("""COMPUTED_VALUE"""),366.0)</f>
        <v>366</v>
      </c>
      <c r="R612" s="186"/>
      <c r="S612" s="189">
        <f>IFERROR(__xludf.DUMMYFUNCTION("""COMPUTED_VALUE"""),352.0)</f>
        <v>352</v>
      </c>
    </row>
    <row r="613">
      <c r="A613" s="186" t="str">
        <f>IFERROR(__xludf.DUMMYFUNCTION("""COMPUTED_VALUE"""),"NORDICS")</f>
        <v>NORDICS</v>
      </c>
      <c r="B613" s="186" t="str">
        <f>IFERROR(__xludf.DUMMYFUNCTION("""COMPUTED_VALUE"""),"W09")</f>
        <v>W09</v>
      </c>
      <c r="C613" s="186">
        <f>IFERROR(__xludf.DUMMYFUNCTION("""COMPUTED_VALUE"""),611.0)</f>
        <v>611</v>
      </c>
      <c r="D613" s="186" t="str">
        <f>IFERROR(__xludf.DUMMYFUNCTION("""COMPUTED_VALUE"""),"CON-00-147870-2")</f>
        <v>CON-00-147870-2</v>
      </c>
      <c r="E613" s="186" t="str">
        <f>IFERROR(__xludf.DUMMYFUNCTION("""COMPUTED_VALUE"""),"Pork tenderloin in sundried tomato sauce")</f>
        <v>Pork tenderloin in sundried tomato sauce</v>
      </c>
      <c r="F613" s="186" t="str">
        <f>IFERROR(__xludf.DUMMYFUNCTION("""COMPUTED_VALUE"""),"Svinemørbrad i soltørret tomatsauce")</f>
        <v>Svinemørbrad i soltørret tomatsauce</v>
      </c>
      <c r="G613" s="186" t="str">
        <f>IFERROR(__xludf.DUMMYFUNCTION("""COMPUTED_VALUE"""),"FE4006A")</f>
        <v>FE4006A</v>
      </c>
      <c r="H613" s="186">
        <f>IFERROR(__xludf.DUMMYFUNCTION("""COMPUTED_VALUE"""),565063.0)</f>
        <v>565063</v>
      </c>
      <c r="I613" s="186" t="str">
        <f>IFERROR(__xludf.DUMMYFUNCTION("""COMPUTED_VALUE"""),"HF Varkenshaas met tomatensaus 384g")</f>
        <v>HF Varkenshaas met tomatensaus 384g</v>
      </c>
      <c r="J613" s="189">
        <f>IFERROR(__xludf.DUMMYFUNCTION("""COMPUTED_VALUE"""),936.0)</f>
        <v>936</v>
      </c>
      <c r="K613" s="189">
        <f>IFERROR(__xludf.DUMMYFUNCTION("""COMPUTED_VALUE"""),931.0)</f>
        <v>931</v>
      </c>
      <c r="L613" s="189">
        <f>IFERROR(__xludf.DUMMYFUNCTION("""COMPUTED_VALUE"""),634.0)</f>
        <v>634</v>
      </c>
      <c r="M613" s="189">
        <f>IFERROR(__xludf.DUMMYFUNCTION("""COMPUTED_VALUE"""),660.0)</f>
        <v>660</v>
      </c>
      <c r="N613" s="189">
        <f>IFERROR(__xludf.DUMMYFUNCTION("""COMPUTED_VALUE"""),685.0)</f>
        <v>685</v>
      </c>
      <c r="O613" s="189">
        <f>IFERROR(__xludf.DUMMYFUNCTION("""COMPUTED_VALUE"""),684.0)</f>
        <v>684</v>
      </c>
      <c r="P613" s="189">
        <f>IFERROR(__xludf.DUMMYFUNCTION("""COMPUTED_VALUE"""),694.0)</f>
        <v>694</v>
      </c>
      <c r="Q613" s="189">
        <f>IFERROR(__xludf.DUMMYFUNCTION("""COMPUTED_VALUE"""),705.0)</f>
        <v>705</v>
      </c>
      <c r="R613" s="186"/>
      <c r="S613" s="189">
        <f>IFERROR(__xludf.DUMMYFUNCTION("""COMPUTED_VALUE"""),690.0)</f>
        <v>690</v>
      </c>
    </row>
    <row r="614">
      <c r="A614" s="186" t="str">
        <f>IFERROR(__xludf.DUMMYFUNCTION("""COMPUTED_VALUE"""),"NORDICS")</f>
        <v>NORDICS</v>
      </c>
      <c r="B614" s="186" t="str">
        <f>IFERROR(__xludf.DUMMYFUNCTION("""COMPUTED_VALUE"""),"W09")</f>
        <v>W09</v>
      </c>
      <c r="C614" s="186">
        <f>IFERROR(__xludf.DUMMYFUNCTION("""COMPUTED_VALUE"""),612.0)</f>
        <v>612</v>
      </c>
      <c r="D614" s="186" t="str">
        <f>IFERROR(__xludf.DUMMYFUNCTION("""COMPUTED_VALUE"""),"CON-00-154556-2")</f>
        <v>CON-00-154556-2</v>
      </c>
      <c r="E614" s="186" t="str">
        <f>IFERROR(__xludf.DUMMYFUNCTION("""COMPUTED_VALUE"""),"Citrus–Miso Salmon Bowl")</f>
        <v>Citrus–Miso Salmon Bowl</v>
      </c>
      <c r="F614" s="186" t="str">
        <f>IFERROR(__xludf.DUMMYFUNCTION("""COMPUTED_VALUE"""),"Laksebowl med citrus-miso")</f>
        <v>Laksebowl med citrus-miso</v>
      </c>
      <c r="G614" s="186" t="str">
        <f>IFERROR(__xludf.DUMMYFUNCTION("""COMPUTED_VALUE"""),"FE1731A")</f>
        <v>FE1731A</v>
      </c>
      <c r="H614" s="186">
        <f>IFERROR(__xludf.DUMMYFUNCTION("""COMPUTED_VALUE"""),565221.0)</f>
        <v>565221</v>
      </c>
      <c r="I614" s="186" t="str">
        <f>IFERROR(__xludf.DUMMYFUNCTION("""COMPUTED_VALUE"""),"HF Citrus-miso zalm bowl")</f>
        <v>HF Citrus-miso zalm bowl</v>
      </c>
      <c r="J614" s="189">
        <f>IFERROR(__xludf.DUMMYFUNCTION("""COMPUTED_VALUE"""),2513.0)</f>
        <v>2513</v>
      </c>
      <c r="K614" s="189">
        <f>IFERROR(__xludf.DUMMYFUNCTION("""COMPUTED_VALUE"""),2872.0)</f>
        <v>2872</v>
      </c>
      <c r="L614" s="189">
        <f>IFERROR(__xludf.DUMMYFUNCTION("""COMPUTED_VALUE"""),2579.0)</f>
        <v>2579</v>
      </c>
      <c r="M614" s="189">
        <f>IFERROR(__xludf.DUMMYFUNCTION("""COMPUTED_VALUE"""),2441.0)</f>
        <v>2441</v>
      </c>
      <c r="N614" s="189">
        <f>IFERROR(__xludf.DUMMYFUNCTION("""COMPUTED_VALUE"""),2345.0)</f>
        <v>2345</v>
      </c>
      <c r="O614" s="189">
        <f>IFERROR(__xludf.DUMMYFUNCTION("""COMPUTED_VALUE"""),2348.0)</f>
        <v>2348</v>
      </c>
      <c r="P614" s="189">
        <f>IFERROR(__xludf.DUMMYFUNCTION("""COMPUTED_VALUE"""),2364.0)</f>
        <v>2364</v>
      </c>
      <c r="Q614" s="189">
        <f>IFERROR(__xludf.DUMMYFUNCTION("""COMPUTED_VALUE"""),2295.0)</f>
        <v>2295</v>
      </c>
      <c r="R614" s="186"/>
      <c r="S614" s="189">
        <f>IFERROR(__xludf.DUMMYFUNCTION("""COMPUTED_VALUE"""),2234.0)</f>
        <v>2234</v>
      </c>
    </row>
    <row r="615">
      <c r="A615" s="186" t="str">
        <f>IFERROR(__xludf.DUMMYFUNCTION("""COMPUTED_VALUE"""),"NORDICS")</f>
        <v>NORDICS</v>
      </c>
      <c r="B615" s="186" t="str">
        <f>IFERROR(__xludf.DUMMYFUNCTION("""COMPUTED_VALUE"""),"W09")</f>
        <v>W09</v>
      </c>
      <c r="C615" s="186">
        <f>IFERROR(__xludf.DUMMYFUNCTION("""COMPUTED_VALUE"""),613.0)</f>
        <v>613</v>
      </c>
      <c r="D615" s="186" t="str">
        <f>IFERROR(__xludf.DUMMYFUNCTION("""COMPUTED_VALUE"""),"CON-00-155634-2")</f>
        <v>CON-00-155634-2</v>
      </c>
      <c r="E615" s="186" t="str">
        <f>IFERROR(__xludf.DUMMYFUNCTION("""COMPUTED_VALUE"""),"Cajun Chicken, Tomato Gravy &amp; Mashed Potatoes")</f>
        <v>Cajun Chicken, Tomato Gravy &amp; Mashed Potatoes</v>
      </c>
      <c r="F615" s="186" t="str">
        <f>IFERROR(__xludf.DUMMYFUNCTION("""COMPUTED_VALUE"""),"Cajun-krydret kylling med tomatsauce og kartoffelmos")</f>
        <v>Cajun-krydret kylling med tomatsauce og kartoffelmos</v>
      </c>
      <c r="G615" s="186" t="str">
        <f>IFERROR(__xludf.DUMMYFUNCTION("""COMPUTED_VALUE"""),"FE4081A")</f>
        <v>FE4081A</v>
      </c>
      <c r="H615" s="186">
        <f>IFERROR(__xludf.DUMMYFUNCTION("""COMPUTED_VALUE"""),565255.0)</f>
        <v>565255</v>
      </c>
      <c r="I615" s="186" t="str">
        <f>IFERROR(__xludf.DUMMYFUNCTION("""COMPUTED_VALUE"""),"HF Cajun chicken tomato gravy")</f>
        <v>HF Cajun chicken tomato gravy</v>
      </c>
      <c r="J615" s="189">
        <f>IFERROR(__xludf.DUMMYFUNCTION("""COMPUTED_VALUE"""),2836.0)</f>
        <v>2836</v>
      </c>
      <c r="K615" s="189">
        <f>IFERROR(__xludf.DUMMYFUNCTION("""COMPUTED_VALUE"""),3085.0)</f>
        <v>3085</v>
      </c>
      <c r="L615" s="189">
        <f>IFERROR(__xludf.DUMMYFUNCTION("""COMPUTED_VALUE"""),3189.0)</f>
        <v>3189</v>
      </c>
      <c r="M615" s="189">
        <f>IFERROR(__xludf.DUMMYFUNCTION("""COMPUTED_VALUE"""),2966.0)</f>
        <v>2966</v>
      </c>
      <c r="N615" s="189">
        <f>IFERROR(__xludf.DUMMYFUNCTION("""COMPUTED_VALUE"""),2770.0)</f>
        <v>2770</v>
      </c>
      <c r="O615" s="189">
        <f>IFERROR(__xludf.DUMMYFUNCTION("""COMPUTED_VALUE"""),2713.0)</f>
        <v>2713</v>
      </c>
      <c r="P615" s="189">
        <f>IFERROR(__xludf.DUMMYFUNCTION("""COMPUTED_VALUE"""),2708.0)</f>
        <v>2708</v>
      </c>
      <c r="Q615" s="189">
        <f>IFERROR(__xludf.DUMMYFUNCTION("""COMPUTED_VALUE"""),2600.0)</f>
        <v>2600</v>
      </c>
      <c r="R615" s="186"/>
      <c r="S615" s="189">
        <f>IFERROR(__xludf.DUMMYFUNCTION("""COMPUTED_VALUE"""),2553.0)</f>
        <v>2553</v>
      </c>
    </row>
    <row r="616">
      <c r="A616" s="186" t="str">
        <f>IFERROR(__xludf.DUMMYFUNCTION("""COMPUTED_VALUE"""),"NORDICS")</f>
        <v>NORDICS</v>
      </c>
      <c r="B616" s="186" t="str">
        <f>IFERROR(__xludf.DUMMYFUNCTION("""COMPUTED_VALUE"""),"W09")</f>
        <v>W09</v>
      </c>
      <c r="C616" s="186">
        <f>IFERROR(__xludf.DUMMYFUNCTION("""COMPUTED_VALUE"""),614.0)</f>
        <v>614</v>
      </c>
      <c r="D616" s="186" t="str">
        <f>IFERROR(__xludf.DUMMYFUNCTION("""COMPUTED_VALUE"""),"CON-00-154554-2")</f>
        <v>CON-00-154554-2</v>
      </c>
      <c r="E616" s="186" t="str">
        <f>IFERROR(__xludf.DUMMYFUNCTION("""COMPUTED_VALUE"""),"Pulled Jerk Chicken &amp; Rice")</f>
        <v>Pulled Jerk Chicken &amp; Rice</v>
      </c>
      <c r="F616" s="186" t="str">
        <f>IFERROR(__xludf.DUMMYFUNCTION("""COMPUTED_VALUE"""),"Pulled jerk chicken med ris")</f>
        <v>Pulled jerk chicken med ris</v>
      </c>
      <c r="G616" s="186" t="str">
        <f>IFERROR(__xludf.DUMMYFUNCTION("""COMPUTED_VALUE"""),"FE4071A")</f>
        <v>FE4071A</v>
      </c>
      <c r="H616" s="186">
        <f>IFERROR(__xludf.DUMMYFUNCTION("""COMPUTED_VALUE"""),565219.0)</f>
        <v>565219</v>
      </c>
      <c r="I616" s="186" t="str">
        <f>IFERROR(__xludf.DUMMYFUNCTION("""COMPUTED_VALUE"""),"HF Jerk chicken en rijst")</f>
        <v>HF Jerk chicken en rijst</v>
      </c>
      <c r="J616" s="189">
        <f>IFERROR(__xludf.DUMMYFUNCTION("""COMPUTED_VALUE"""),1315.0)</f>
        <v>1315</v>
      </c>
      <c r="K616" s="189">
        <f>IFERROR(__xludf.DUMMYFUNCTION("""COMPUTED_VALUE"""),1120.0)</f>
        <v>1120</v>
      </c>
      <c r="L616" s="189">
        <f>IFERROR(__xludf.DUMMYFUNCTION("""COMPUTED_VALUE"""),1218.0)</f>
        <v>1218</v>
      </c>
      <c r="M616" s="189">
        <f>IFERROR(__xludf.DUMMYFUNCTION("""COMPUTED_VALUE"""),1030.0)</f>
        <v>1030</v>
      </c>
      <c r="N616" s="189">
        <f>IFERROR(__xludf.DUMMYFUNCTION("""COMPUTED_VALUE"""),1006.0)</f>
        <v>1006</v>
      </c>
      <c r="O616" s="189">
        <f>IFERROR(__xludf.DUMMYFUNCTION("""COMPUTED_VALUE"""),989.0)</f>
        <v>989</v>
      </c>
      <c r="P616" s="189">
        <f>IFERROR(__xludf.DUMMYFUNCTION("""COMPUTED_VALUE"""),1039.0)</f>
        <v>1039</v>
      </c>
      <c r="Q616" s="189">
        <f>IFERROR(__xludf.DUMMYFUNCTION("""COMPUTED_VALUE"""),1036.0)</f>
        <v>1036</v>
      </c>
      <c r="R616" s="186"/>
      <c r="S616" s="189">
        <f>IFERROR(__xludf.DUMMYFUNCTION("""COMPUTED_VALUE"""),981.0)</f>
        <v>981</v>
      </c>
    </row>
    <row r="617">
      <c r="A617" s="186" t="str">
        <f>IFERROR(__xludf.DUMMYFUNCTION("""COMPUTED_VALUE"""),"NORDICS")</f>
        <v>NORDICS</v>
      </c>
      <c r="B617" s="186" t="str">
        <f>IFERROR(__xludf.DUMMYFUNCTION("""COMPUTED_VALUE"""),"W09")</f>
        <v>W09</v>
      </c>
      <c r="C617" s="186">
        <f>IFERROR(__xludf.DUMMYFUNCTION("""COMPUTED_VALUE"""),615.0)</f>
        <v>615</v>
      </c>
      <c r="D617" s="186" t="str">
        <f>IFERROR(__xludf.DUMMYFUNCTION("""COMPUTED_VALUE"""),"CON-00-147839-2")</f>
        <v>CON-00-147839-2</v>
      </c>
      <c r="E617" s="186" t="str">
        <f>IFERROR(__xludf.DUMMYFUNCTION("""COMPUTED_VALUE"""),"Braised beef in herby jus")</f>
        <v>Braised beef in herby jus</v>
      </c>
      <c r="F617" s="186" t="str">
        <f>IFERROR(__xludf.DUMMYFUNCTION("""COMPUTED_VALUE"""),"Braiseret oksekød i urtesauce")</f>
        <v>Braiseret oksekød i urtesauce</v>
      </c>
      <c r="G617" s="186" t="str">
        <f>IFERROR(__xludf.DUMMYFUNCTION("""COMPUTED_VALUE"""),"FE0413F")</f>
        <v>FE0413F</v>
      </c>
      <c r="H617" s="186">
        <f>IFERROR(__xludf.DUMMYFUNCTION("""COMPUTED_VALUE"""),565089.0)</f>
        <v>565089</v>
      </c>
      <c r="I617" s="186" t="str">
        <f>IFERROR(__xludf.DUMMYFUNCTION("""COMPUTED_VALUE"""),"HF Franse stijl rundvlees")</f>
        <v>HF Franse stijl rundvlees</v>
      </c>
      <c r="J617" s="189">
        <f>IFERROR(__xludf.DUMMYFUNCTION("""COMPUTED_VALUE"""),1358.0)</f>
        <v>1358</v>
      </c>
      <c r="K617" s="189">
        <f>IFERROR(__xludf.DUMMYFUNCTION("""COMPUTED_VALUE"""),1421.0)</f>
        <v>1421</v>
      </c>
      <c r="L617" s="189">
        <f>IFERROR(__xludf.DUMMYFUNCTION("""COMPUTED_VALUE"""),1402.0)</f>
        <v>1402</v>
      </c>
      <c r="M617" s="189">
        <f>IFERROR(__xludf.DUMMYFUNCTION("""COMPUTED_VALUE"""),1359.0)</f>
        <v>1359</v>
      </c>
      <c r="N617" s="189">
        <f>IFERROR(__xludf.DUMMYFUNCTION("""COMPUTED_VALUE"""),1315.0)</f>
        <v>1315</v>
      </c>
      <c r="O617" s="189">
        <f>IFERROR(__xludf.DUMMYFUNCTION("""COMPUTED_VALUE"""),1263.0)</f>
        <v>1263</v>
      </c>
      <c r="P617" s="189">
        <f>IFERROR(__xludf.DUMMYFUNCTION("""COMPUTED_VALUE"""),1283.0)</f>
        <v>1283</v>
      </c>
      <c r="Q617" s="189">
        <f>IFERROR(__xludf.DUMMYFUNCTION("""COMPUTED_VALUE"""),1242.0)</f>
        <v>1242</v>
      </c>
      <c r="R617" s="186"/>
      <c r="S617" s="189">
        <f>IFERROR(__xludf.DUMMYFUNCTION("""COMPUTED_VALUE"""),1185.0)</f>
        <v>1185</v>
      </c>
    </row>
    <row r="618">
      <c r="A618" s="186" t="str">
        <f>IFERROR(__xludf.DUMMYFUNCTION("""COMPUTED_VALUE"""),"NORDICS")</f>
        <v>NORDICS</v>
      </c>
      <c r="B618" s="186" t="str">
        <f>IFERROR(__xludf.DUMMYFUNCTION("""COMPUTED_VALUE"""),"W09")</f>
        <v>W09</v>
      </c>
      <c r="C618" s="186">
        <f>IFERROR(__xludf.DUMMYFUNCTION("""COMPUTED_VALUE"""),616.0)</f>
        <v>616</v>
      </c>
      <c r="D618" s="186" t="str">
        <f>IFERROR(__xludf.DUMMYFUNCTION("""COMPUTED_VALUE"""),"CON-00-154557-2")</f>
        <v>CON-00-154557-2</v>
      </c>
      <c r="E618" s="186" t="str">
        <f>IFERROR(__xludf.DUMMYFUNCTION("""COMPUTED_VALUE"""),"Fire-Roasted Tomato &amp; Feta Shrimp")</f>
        <v>Fire-Roasted Tomato &amp; Feta Shrimp</v>
      </c>
      <c r="F618" s="186" t="str">
        <f>IFERROR(__xludf.DUMMYFUNCTION("""COMPUTED_VALUE"""),"Rejer med grillede tomater og feta")</f>
        <v>Rejer med grillede tomater og feta</v>
      </c>
      <c r="G618" s="186" t="str">
        <f>IFERROR(__xludf.DUMMYFUNCTION("""COMPUTED_VALUE"""),"FE1776A")</f>
        <v>FE1776A</v>
      </c>
      <c r="H618" s="186">
        <f>IFERROR(__xludf.DUMMYFUNCTION("""COMPUTED_VALUE"""),565229.0)</f>
        <v>565229</v>
      </c>
      <c r="I618" s="186" t="str">
        <f>IFERROR(__xludf.DUMMYFUNCTION("""COMPUTED_VALUE"""),"HF Garnaal tomaat feta saus")</f>
        <v>HF Garnaal tomaat feta saus</v>
      </c>
      <c r="J618" s="189">
        <f>IFERROR(__xludf.DUMMYFUNCTION("""COMPUTED_VALUE"""),913.0)</f>
        <v>913</v>
      </c>
      <c r="K618" s="189">
        <f>IFERROR(__xludf.DUMMYFUNCTION("""COMPUTED_VALUE"""),1089.0)</f>
        <v>1089</v>
      </c>
      <c r="L618" s="189">
        <f>IFERROR(__xludf.DUMMYFUNCTION("""COMPUTED_VALUE"""),766.0)</f>
        <v>766</v>
      </c>
      <c r="M618" s="189">
        <f>IFERROR(__xludf.DUMMYFUNCTION("""COMPUTED_VALUE"""),743.0)</f>
        <v>743</v>
      </c>
      <c r="N618" s="189">
        <f>IFERROR(__xludf.DUMMYFUNCTION("""COMPUTED_VALUE"""),711.0)</f>
        <v>711</v>
      </c>
      <c r="O618" s="189">
        <f>IFERROR(__xludf.DUMMYFUNCTION("""COMPUTED_VALUE"""),674.0)</f>
        <v>674</v>
      </c>
      <c r="P618" s="189">
        <f>IFERROR(__xludf.DUMMYFUNCTION("""COMPUTED_VALUE"""),689.0)</f>
        <v>689</v>
      </c>
      <c r="Q618" s="189">
        <f>IFERROR(__xludf.DUMMYFUNCTION("""COMPUTED_VALUE"""),678.0)</f>
        <v>678</v>
      </c>
      <c r="R618" s="186"/>
      <c r="S618" s="189">
        <f>IFERROR(__xludf.DUMMYFUNCTION("""COMPUTED_VALUE"""),603.0)</f>
        <v>603</v>
      </c>
    </row>
    <row r="619">
      <c r="A619" s="186" t="str">
        <f>IFERROR(__xludf.DUMMYFUNCTION("""COMPUTED_VALUE"""),"NORDICS")</f>
        <v>NORDICS</v>
      </c>
      <c r="B619" s="186" t="str">
        <f>IFERROR(__xludf.DUMMYFUNCTION("""COMPUTED_VALUE"""),"W09")</f>
        <v>W09</v>
      </c>
      <c r="C619" s="186">
        <f>IFERROR(__xludf.DUMMYFUNCTION("""COMPUTED_VALUE"""),617.0)</f>
        <v>617</v>
      </c>
      <c r="D619" s="186"/>
      <c r="E619" s="186"/>
      <c r="F619" s="186"/>
      <c r="G619" s="186" t="str">
        <f>IFERROR(__xludf.DUMMYFUNCTION("""COMPUTED_VALUE"""),"FE4048A")</f>
        <v>FE4048A</v>
      </c>
      <c r="H619" s="186"/>
      <c r="I619" s="186"/>
      <c r="J619" s="189">
        <f>IFERROR(__xludf.DUMMYFUNCTION("""COMPUTED_VALUE"""),1584.0)</f>
        <v>1584</v>
      </c>
      <c r="K619" s="189">
        <f>IFERROR(__xludf.DUMMYFUNCTION("""COMPUTED_VALUE"""),1764.0)</f>
        <v>1764</v>
      </c>
      <c r="L619" s="189">
        <f>IFERROR(__xludf.DUMMYFUNCTION("""COMPUTED_VALUE"""),1810.0)</f>
        <v>1810</v>
      </c>
      <c r="M619" s="189">
        <f>IFERROR(__xludf.DUMMYFUNCTION("""COMPUTED_VALUE"""),1651.0)</f>
        <v>1651</v>
      </c>
      <c r="N619" s="189">
        <f>IFERROR(__xludf.DUMMYFUNCTION("""COMPUTED_VALUE"""),1590.0)</f>
        <v>1590</v>
      </c>
      <c r="O619" s="189">
        <f>IFERROR(__xludf.DUMMYFUNCTION("""COMPUTED_VALUE"""),1627.0)</f>
        <v>1627</v>
      </c>
      <c r="P619" s="189">
        <f>IFERROR(__xludf.DUMMYFUNCTION("""COMPUTED_VALUE"""),1662.0)</f>
        <v>1662</v>
      </c>
      <c r="Q619" s="189">
        <f>IFERROR(__xludf.DUMMYFUNCTION("""COMPUTED_VALUE"""),1634.0)</f>
        <v>1634</v>
      </c>
      <c r="R619" s="186"/>
      <c r="S619" s="189">
        <f>IFERROR(__xludf.DUMMYFUNCTION("""COMPUTED_VALUE"""),1616.0)</f>
        <v>1616</v>
      </c>
    </row>
    <row r="620">
      <c r="A620" s="186" t="str">
        <f>IFERROR(__xludf.DUMMYFUNCTION("""COMPUTED_VALUE"""),"NORDICS")</f>
        <v>NORDICS</v>
      </c>
      <c r="B620" s="186" t="str">
        <f>IFERROR(__xludf.DUMMYFUNCTION("""COMPUTED_VALUE"""),"W09")</f>
        <v>W09</v>
      </c>
      <c r="C620" s="186">
        <f>IFERROR(__xludf.DUMMYFUNCTION("""COMPUTED_VALUE"""),618.0)</f>
        <v>618</v>
      </c>
      <c r="D620" s="186" t="str">
        <f>IFERROR(__xludf.DUMMYFUNCTION("""COMPUTED_VALUE"""),"CON-00-147901-2")</f>
        <v>CON-00-147901-2</v>
      </c>
      <c r="E620" s="186" t="str">
        <f>IFERROR(__xludf.DUMMYFUNCTION("""COMPUTED_VALUE"""),"Red chile pulled pork")</f>
        <v>Red chile pulled pork</v>
      </c>
      <c r="F620" s="186" t="str">
        <f>IFERROR(__xludf.DUMMYFUNCTION("""COMPUTED_VALUE"""),"Chilikryddet pulled pork")</f>
        <v>Chilikryddet pulled pork</v>
      </c>
      <c r="G620" s="186" t="str">
        <f>IFERROR(__xludf.DUMMYFUNCTION("""COMPUTED_VALUE"""),"FE4049B")</f>
        <v>FE4049B</v>
      </c>
      <c r="H620" s="186">
        <f>IFERROR(__xludf.DUMMYFUNCTION("""COMPUTED_VALUE"""),565130.0)</f>
        <v>565130</v>
      </c>
      <c r="I620" s="186" t="str">
        <f>IFERROR(__xludf.DUMMYFUNCTION("""COMPUTED_VALUE"""),"HF Rode Chili &amp; Pulled Pork")</f>
        <v>HF Rode Chili &amp; Pulled Pork</v>
      </c>
      <c r="J620" s="189">
        <f>IFERROR(__xludf.DUMMYFUNCTION("""COMPUTED_VALUE"""),887.0)</f>
        <v>887</v>
      </c>
      <c r="K620" s="189">
        <f>IFERROR(__xludf.DUMMYFUNCTION("""COMPUTED_VALUE"""),1354.0)</f>
        <v>1354</v>
      </c>
      <c r="L620" s="189">
        <f>IFERROR(__xludf.DUMMYFUNCTION("""COMPUTED_VALUE"""),1274.0)</f>
        <v>1274</v>
      </c>
      <c r="M620" s="189">
        <f>IFERROR(__xludf.DUMMYFUNCTION("""COMPUTED_VALUE"""),1006.0)</f>
        <v>1006</v>
      </c>
      <c r="N620" s="189">
        <f>IFERROR(__xludf.DUMMYFUNCTION("""COMPUTED_VALUE"""),972.0)</f>
        <v>972</v>
      </c>
      <c r="O620" s="189">
        <f>IFERROR(__xludf.DUMMYFUNCTION("""COMPUTED_VALUE"""),945.0)</f>
        <v>945</v>
      </c>
      <c r="P620" s="189">
        <f>IFERROR(__xludf.DUMMYFUNCTION("""COMPUTED_VALUE"""),981.0)</f>
        <v>981</v>
      </c>
      <c r="Q620" s="189">
        <f>IFERROR(__xludf.DUMMYFUNCTION("""COMPUTED_VALUE"""),969.0)</f>
        <v>969</v>
      </c>
      <c r="R620" s="186"/>
      <c r="S620" s="189">
        <f>IFERROR(__xludf.DUMMYFUNCTION("""COMPUTED_VALUE"""),969.0)</f>
        <v>969</v>
      </c>
    </row>
    <row r="621">
      <c r="A621" s="186" t="str">
        <f>IFERROR(__xludf.DUMMYFUNCTION("""COMPUTED_VALUE"""),"NORDICS")</f>
        <v>NORDICS</v>
      </c>
      <c r="B621" s="186" t="str">
        <f>IFERROR(__xludf.DUMMYFUNCTION("""COMPUTED_VALUE"""),"W09")</f>
        <v>W09</v>
      </c>
      <c r="C621" s="186">
        <f>IFERROR(__xludf.DUMMYFUNCTION("""COMPUTED_VALUE"""),706.0)</f>
        <v>706</v>
      </c>
      <c r="D621" s="186" t="str">
        <f>IFERROR(__xludf.DUMMYFUNCTION("""COMPUTED_VALUE"""),"PTN-00-148223-2")</f>
        <v>PTN-00-148223-2</v>
      </c>
      <c r="E621" s="186" t="str">
        <f>IFERROR(__xludf.DUMMYFUNCTION("""COMPUTED_VALUE"""),"Garlic Herb Grilled Chicken")</f>
        <v>Garlic Herb Grilled Chicken</v>
      </c>
      <c r="F621" s="186" t="str">
        <f>IFERROR(__xludf.DUMMYFUNCTION("""COMPUTED_VALUE"""),"Grillet kylling med hvidlød og urter")</f>
        <v>Grillet kylling med hvidlød og urter</v>
      </c>
      <c r="G621" s="186" t="str">
        <f>IFERROR(__xludf.DUMMYFUNCTION("""COMPUTED_VALUE"""),"FEA006A")</f>
        <v>FEA006A</v>
      </c>
      <c r="H621" s="186">
        <f>IFERROR(__xludf.DUMMYFUNCTION("""COMPUTED_VALUE"""),565119.0)</f>
        <v>565119</v>
      </c>
      <c r="I621" s="186"/>
      <c r="J621" s="189">
        <f>IFERROR(__xludf.DUMMYFUNCTION("""COMPUTED_VALUE"""),48.0)</f>
        <v>48</v>
      </c>
      <c r="K621" s="189">
        <f>IFERROR(__xludf.DUMMYFUNCTION("""COMPUTED_VALUE"""),56.0)</f>
        <v>56</v>
      </c>
      <c r="L621" s="189">
        <f>IFERROR(__xludf.DUMMYFUNCTION("""COMPUTED_VALUE"""),36.0)</f>
        <v>36</v>
      </c>
      <c r="M621" s="189">
        <f>IFERROR(__xludf.DUMMYFUNCTION("""COMPUTED_VALUE"""),56.0)</f>
        <v>56</v>
      </c>
      <c r="N621" s="189">
        <f>IFERROR(__xludf.DUMMYFUNCTION("""COMPUTED_VALUE"""),56.0)</f>
        <v>56</v>
      </c>
      <c r="O621" s="189">
        <f>IFERROR(__xludf.DUMMYFUNCTION("""COMPUTED_VALUE"""),36.0)</f>
        <v>36</v>
      </c>
      <c r="P621" s="189">
        <f>IFERROR(__xludf.DUMMYFUNCTION("""COMPUTED_VALUE"""),56.0)</f>
        <v>56</v>
      </c>
      <c r="Q621" s="189">
        <f>IFERROR(__xludf.DUMMYFUNCTION("""COMPUTED_VALUE"""),56.0)</f>
        <v>56</v>
      </c>
      <c r="R621" s="186"/>
      <c r="S621" s="189">
        <f>IFERROR(__xludf.DUMMYFUNCTION("""COMPUTED_VALUE"""),72.0)</f>
        <v>72</v>
      </c>
    </row>
    <row r="622">
      <c r="A622" s="186" t="str">
        <f>IFERROR(__xludf.DUMMYFUNCTION("""COMPUTED_VALUE"""),"NORDICS")</f>
        <v>NORDICS</v>
      </c>
      <c r="B622" s="186" t="str">
        <f>IFERROR(__xludf.DUMMYFUNCTION("""COMPUTED_VALUE"""),"W09")</f>
        <v>W09</v>
      </c>
      <c r="C622" s="186"/>
      <c r="D622" s="186"/>
      <c r="E622" s="186"/>
      <c r="F622" s="186"/>
      <c r="G622" s="186"/>
      <c r="H622" s="186"/>
      <c r="I622" s="186"/>
      <c r="J622" s="189">
        <f>IFERROR(__xludf.DUMMYFUNCTION("""COMPUTED_VALUE"""),38761.0)</f>
        <v>38761</v>
      </c>
      <c r="K622" s="189">
        <f>IFERROR(__xludf.DUMMYFUNCTION("""COMPUTED_VALUE"""),42863.0)</f>
        <v>42863</v>
      </c>
      <c r="L622" s="189">
        <f>IFERROR(__xludf.DUMMYFUNCTION("""COMPUTED_VALUE"""),39104.0)</f>
        <v>39104</v>
      </c>
      <c r="M622" s="189">
        <f>IFERROR(__xludf.DUMMYFUNCTION("""COMPUTED_VALUE"""),36614.0)</f>
        <v>36614</v>
      </c>
      <c r="N622" s="189">
        <f>IFERROR(__xludf.DUMMYFUNCTION("""COMPUTED_VALUE"""),34829.0)</f>
        <v>34829</v>
      </c>
      <c r="O622" s="189">
        <f>IFERROR(__xludf.DUMMYFUNCTION("""COMPUTED_VALUE"""),34510.0)</f>
        <v>34510</v>
      </c>
      <c r="P622" s="189">
        <f>IFERROR(__xludf.DUMMYFUNCTION("""COMPUTED_VALUE"""),34901.0)</f>
        <v>34901</v>
      </c>
      <c r="Q622" s="189">
        <f>IFERROR(__xludf.DUMMYFUNCTION("""COMPUTED_VALUE"""),33856.0)</f>
        <v>33856</v>
      </c>
      <c r="R622" s="189">
        <f>IFERROR(__xludf.DUMMYFUNCTION("""COMPUTED_VALUE"""),0.0)</f>
        <v>0</v>
      </c>
      <c r="S622" s="189">
        <f>IFERROR(__xludf.DUMMYFUNCTION("""COMPUTED_VALUE"""),33270.0)</f>
        <v>33270</v>
      </c>
    </row>
    <row r="623">
      <c r="A623" s="186" t="str">
        <f>IFERROR(__xludf.DUMMYFUNCTION("""COMPUTED_VALUE"""),"DE")</f>
        <v>DE</v>
      </c>
      <c r="B623" s="186" t="str">
        <f>IFERROR(__xludf.DUMMYFUNCTION("""COMPUTED_VALUE"""),"W09")</f>
        <v>W09</v>
      </c>
      <c r="C623" s="186">
        <f>IFERROR(__xludf.DUMMYFUNCTION("""COMPUTED_VALUE"""),301.0)</f>
        <v>301</v>
      </c>
      <c r="D623" s="186" t="str">
        <f>IFERROR(__xludf.DUMMYFUNCTION("""COMPUTED_VALUE"""),"CON-00-136649-3")</f>
        <v>CON-00-136649-3</v>
      </c>
      <c r="E623" s="186" t="str">
        <f>IFERROR(__xludf.DUMMYFUNCTION("""COMPUTED_VALUE"""),"Grilled chicken fillet and potato leek mash")</f>
        <v>Grilled chicken fillet and potato leek mash</v>
      </c>
      <c r="F623" s="186" t="str">
        <f>IFERROR(__xludf.DUMMYFUNCTION("""COMPUTED_VALUE"""),"Gegrilltes Hähnchenfilet mit Kartoffel-Lauch-Püree")</f>
        <v>Gegrilltes Hähnchenfilet mit Kartoffel-Lauch-Püree</v>
      </c>
      <c r="G623" s="186" t="str">
        <f>IFERROR(__xludf.DUMMYFUNCTION("""COMPUTED_VALUE"""),"FE0426B")</f>
        <v>FE0426B</v>
      </c>
      <c r="H623" s="186">
        <f>IFERROR(__xludf.DUMMYFUNCTION("""COMPUTED_VALUE"""),565035.0)</f>
        <v>565035</v>
      </c>
      <c r="I623" s="186" t="str">
        <f>IFERROR(__xludf.DUMMYFUNCTION("""COMPUTED_VALUE"""),"HF Puree van aardappel en prei met gegrilde kip 416g")</f>
        <v>HF Puree van aardappel en prei met gegrilde kip 416g</v>
      </c>
      <c r="J623" s="189">
        <f>IFERROR(__xludf.DUMMYFUNCTION("""COMPUTED_VALUE"""),3098.0)</f>
        <v>3098</v>
      </c>
      <c r="K623" s="189">
        <f>IFERROR(__xludf.DUMMYFUNCTION("""COMPUTED_VALUE"""),3231.0)</f>
        <v>3231</v>
      </c>
      <c r="L623" s="189">
        <f>IFERROR(__xludf.DUMMYFUNCTION("""COMPUTED_VALUE"""),3170.0)</f>
        <v>3170</v>
      </c>
      <c r="M623" s="189">
        <f>IFERROR(__xludf.DUMMYFUNCTION("""COMPUTED_VALUE"""),3152.0)</f>
        <v>3152</v>
      </c>
      <c r="N623" s="189">
        <f>IFERROR(__xludf.DUMMYFUNCTION("""COMPUTED_VALUE"""),3144.0)</f>
        <v>3144</v>
      </c>
      <c r="O623" s="189">
        <f>IFERROR(__xludf.DUMMYFUNCTION("""COMPUTED_VALUE"""),3262.0)</f>
        <v>3262</v>
      </c>
      <c r="P623" s="189">
        <f>IFERROR(__xludf.DUMMYFUNCTION("""COMPUTED_VALUE"""),3360.0)</f>
        <v>3360</v>
      </c>
      <c r="Q623" s="189">
        <f>IFERROR(__xludf.DUMMYFUNCTION("""COMPUTED_VALUE"""),3418.0)</f>
        <v>3418</v>
      </c>
      <c r="R623" s="186"/>
      <c r="S623" s="189">
        <f>IFERROR(__xludf.DUMMYFUNCTION("""COMPUTED_VALUE"""),3343.0)</f>
        <v>3343</v>
      </c>
    </row>
    <row r="624">
      <c r="A624" s="186" t="str">
        <f>IFERROR(__xludf.DUMMYFUNCTION("""COMPUTED_VALUE"""),"DE")</f>
        <v>DE</v>
      </c>
      <c r="B624" s="186" t="str">
        <f>IFERROR(__xludf.DUMMYFUNCTION("""COMPUTED_VALUE"""),"W09")</f>
        <v>W09</v>
      </c>
      <c r="C624" s="186">
        <f>IFERROR(__xludf.DUMMYFUNCTION("""COMPUTED_VALUE"""),302.0)</f>
        <v>302</v>
      </c>
      <c r="D624" s="186" t="str">
        <f>IFERROR(__xludf.DUMMYFUNCTION("""COMPUTED_VALUE"""),"CON-00-136620-3")</f>
        <v>CON-00-136620-3</v>
      </c>
      <c r="E624" s="186" t="str">
        <f>IFERROR(__xludf.DUMMYFUNCTION("""COMPUTED_VALUE"""),"Chicken à la Florentine")</f>
        <v>Chicken à la Florentine</v>
      </c>
      <c r="F624" s="186" t="str">
        <f>IFERROR(__xludf.DUMMYFUNCTION("""COMPUTED_VALUE"""),"Hähnchen à la Florentine")</f>
        <v>Hähnchen à la Florentine</v>
      </c>
      <c r="G624" s="186" t="str">
        <f>IFERROR(__xludf.DUMMYFUNCTION("""COMPUTED_VALUE"""),"FE0224C")</f>
        <v>FE0224C</v>
      </c>
      <c r="H624" s="186">
        <f>IFERROR(__xludf.DUMMYFUNCTION("""COMPUTED_VALUE"""),565047.0)</f>
        <v>565047</v>
      </c>
      <c r="I624" s="186" t="str">
        <f>IFERROR(__xludf.DUMMYFUNCTION("""COMPUTED_VALUE"""),"HF Kip Florentine 404g")</f>
        <v>HF Kip Florentine 404g</v>
      </c>
      <c r="J624" s="189">
        <f>IFERROR(__xludf.DUMMYFUNCTION("""COMPUTED_VALUE"""),2134.0)</f>
        <v>2134</v>
      </c>
      <c r="K624" s="189">
        <f>IFERROR(__xludf.DUMMYFUNCTION("""COMPUTED_VALUE"""),2234.0)</f>
        <v>2234</v>
      </c>
      <c r="L624" s="189">
        <f>IFERROR(__xludf.DUMMYFUNCTION("""COMPUTED_VALUE"""),1940.0)</f>
        <v>1940</v>
      </c>
      <c r="M624" s="189">
        <f>IFERROR(__xludf.DUMMYFUNCTION("""COMPUTED_VALUE"""),2159.0)</f>
        <v>2159</v>
      </c>
      <c r="N624" s="189">
        <f>IFERROR(__xludf.DUMMYFUNCTION("""COMPUTED_VALUE"""),2193.0)</f>
        <v>2193</v>
      </c>
      <c r="O624" s="189">
        <f>IFERROR(__xludf.DUMMYFUNCTION("""COMPUTED_VALUE"""),2173.0)</f>
        <v>2173</v>
      </c>
      <c r="P624" s="189">
        <f>IFERROR(__xludf.DUMMYFUNCTION("""COMPUTED_VALUE"""),2243.0)</f>
        <v>2243</v>
      </c>
      <c r="Q624" s="189">
        <f>IFERROR(__xludf.DUMMYFUNCTION("""COMPUTED_VALUE"""),2258.0)</f>
        <v>2258</v>
      </c>
      <c r="R624" s="186"/>
      <c r="S624" s="189">
        <f>IFERROR(__xludf.DUMMYFUNCTION("""COMPUTED_VALUE"""),2106.0)</f>
        <v>2106</v>
      </c>
    </row>
    <row r="625">
      <c r="A625" s="186" t="str">
        <f>IFERROR(__xludf.DUMMYFUNCTION("""COMPUTED_VALUE"""),"DE")</f>
        <v>DE</v>
      </c>
      <c r="B625" s="186" t="str">
        <f>IFERROR(__xludf.DUMMYFUNCTION("""COMPUTED_VALUE"""),"W09")</f>
        <v>W09</v>
      </c>
      <c r="C625" s="186">
        <f>IFERROR(__xludf.DUMMYFUNCTION("""COMPUTED_VALUE"""),303.0)</f>
        <v>303</v>
      </c>
      <c r="D625" s="186" t="str">
        <f>IFERROR(__xludf.DUMMYFUNCTION("""COMPUTED_VALUE"""),"CON-00-136657-3")</f>
        <v>CON-00-136657-3</v>
      </c>
      <c r="E625" s="186" t="str">
        <f>IFERROR(__xludf.DUMMYFUNCTION("""COMPUTED_VALUE"""),"Courgette-spaghetti bolognese")</f>
        <v>Courgette-spaghetti bolognese</v>
      </c>
      <c r="F625" s="186" t="str">
        <f>IFERROR(__xludf.DUMMYFUNCTION("""COMPUTED_VALUE"""),"Zucchini-Spaghetti Bolognese")</f>
        <v>Zucchini-Spaghetti Bolognese</v>
      </c>
      <c r="G625" s="186" t="str">
        <f>IFERROR(__xludf.DUMMYFUNCTION("""COMPUTED_VALUE"""),"FE0849B")</f>
        <v>FE0849B</v>
      </c>
      <c r="H625" s="186">
        <f>IFERROR(__xludf.DUMMYFUNCTION("""COMPUTED_VALUE"""),565260.0)</f>
        <v>565260</v>
      </c>
      <c r="I625" s="186" t="str">
        <f>IFERROR(__xludf.DUMMYFUNCTION("""COMPUTED_VALUE"""),"HF RW Courgette-spagh bolognes")</f>
        <v>HF RW Courgette-spagh bolognes</v>
      </c>
      <c r="J625" s="189">
        <f>IFERROR(__xludf.DUMMYFUNCTION("""COMPUTED_VALUE"""),2181.0)</f>
        <v>2181</v>
      </c>
      <c r="K625" s="189">
        <f>IFERROR(__xludf.DUMMYFUNCTION("""COMPUTED_VALUE"""),2541.0)</f>
        <v>2541</v>
      </c>
      <c r="L625" s="189">
        <f>IFERROR(__xludf.DUMMYFUNCTION("""COMPUTED_VALUE"""),1945.0)</f>
        <v>1945</v>
      </c>
      <c r="M625" s="189">
        <f>IFERROR(__xludf.DUMMYFUNCTION("""COMPUTED_VALUE"""),2217.0)</f>
        <v>2217</v>
      </c>
      <c r="N625" s="189">
        <f>IFERROR(__xludf.DUMMYFUNCTION("""COMPUTED_VALUE"""),2159.0)</f>
        <v>2159</v>
      </c>
      <c r="O625" s="189">
        <f>IFERROR(__xludf.DUMMYFUNCTION("""COMPUTED_VALUE"""),2101.0)</f>
        <v>2101</v>
      </c>
      <c r="P625" s="189">
        <f>IFERROR(__xludf.DUMMYFUNCTION("""COMPUTED_VALUE"""),2159.0)</f>
        <v>2159</v>
      </c>
      <c r="Q625" s="189">
        <f>IFERROR(__xludf.DUMMYFUNCTION("""COMPUTED_VALUE"""),2187.0)</f>
        <v>2187</v>
      </c>
      <c r="R625" s="186"/>
      <c r="S625" s="189">
        <f>IFERROR(__xludf.DUMMYFUNCTION("""COMPUTED_VALUE"""),2060.0)</f>
        <v>2060</v>
      </c>
    </row>
    <row r="626">
      <c r="A626" s="186" t="str">
        <f>IFERROR(__xludf.DUMMYFUNCTION("""COMPUTED_VALUE"""),"DE")</f>
        <v>DE</v>
      </c>
      <c r="B626" s="186" t="str">
        <f>IFERROR(__xludf.DUMMYFUNCTION("""COMPUTED_VALUE"""),"W09")</f>
        <v>W09</v>
      </c>
      <c r="C626" s="186">
        <f>IFERROR(__xludf.DUMMYFUNCTION("""COMPUTED_VALUE"""),304.0)</f>
        <v>304</v>
      </c>
      <c r="D626" s="186" t="str">
        <f>IFERROR(__xludf.DUMMYFUNCTION("""COMPUTED_VALUE"""),"CON-00-150388-2")</f>
        <v>CON-00-150388-2</v>
      </c>
      <c r="E626" s="186" t="str">
        <f>IFERROR(__xludf.DUMMYFUNCTION("""COMPUTED_VALUE"""),"Parmesan &amp; Garlic Cream Pulled Beef")</f>
        <v>Parmesan &amp; Garlic Cream Pulled Beef</v>
      </c>
      <c r="F626" s="186" t="str">
        <f>IFERROR(__xludf.DUMMYFUNCTION("""COMPUTED_VALUE"""),"Pulled Beef in Parmesan-Knoblauch-Creme")</f>
        <v>Pulled Beef in Parmesan-Knoblauch-Creme</v>
      </c>
      <c r="G626" s="186" t="str">
        <f>IFERROR(__xludf.DUMMYFUNCTION("""COMPUTED_VALUE"""),"FE1346B")</f>
        <v>FE1346B</v>
      </c>
      <c r="H626" s="186">
        <f>IFERROR(__xludf.DUMMYFUNCTION("""COMPUTED_VALUE"""),565184.0)</f>
        <v>565184</v>
      </c>
      <c r="I626" s="186" t="str">
        <f>IFERROR(__xludf.DUMMYFUNCTION("""COMPUTED_VALUE"""),"HF Pulled beef &amp; knoflook room")</f>
        <v>HF Pulled beef &amp; knoflook room</v>
      </c>
      <c r="J626" s="189">
        <f>IFERROR(__xludf.DUMMYFUNCTION("""COMPUTED_VALUE"""),2662.0)</f>
        <v>2662</v>
      </c>
      <c r="K626" s="189">
        <f>IFERROR(__xludf.DUMMYFUNCTION("""COMPUTED_VALUE"""),2612.0)</f>
        <v>2612</v>
      </c>
      <c r="L626" s="189">
        <f>IFERROR(__xludf.DUMMYFUNCTION("""COMPUTED_VALUE"""),2893.0)</f>
        <v>2893</v>
      </c>
      <c r="M626" s="189">
        <f>IFERROR(__xludf.DUMMYFUNCTION("""COMPUTED_VALUE"""),3007.0)</f>
        <v>3007</v>
      </c>
      <c r="N626" s="189">
        <f>IFERROR(__xludf.DUMMYFUNCTION("""COMPUTED_VALUE"""),3031.0)</f>
        <v>3031</v>
      </c>
      <c r="O626" s="189">
        <f>IFERROR(__xludf.DUMMYFUNCTION("""COMPUTED_VALUE"""),3109.0)</f>
        <v>3109</v>
      </c>
      <c r="P626" s="189">
        <f>IFERROR(__xludf.DUMMYFUNCTION("""COMPUTED_VALUE"""),3204.0)</f>
        <v>3204</v>
      </c>
      <c r="Q626" s="189">
        <f>IFERROR(__xludf.DUMMYFUNCTION("""COMPUTED_VALUE"""),3278.0)</f>
        <v>3278</v>
      </c>
      <c r="R626" s="186"/>
      <c r="S626" s="189">
        <f>IFERROR(__xludf.DUMMYFUNCTION("""COMPUTED_VALUE"""),3117.0)</f>
        <v>3117</v>
      </c>
    </row>
    <row r="627">
      <c r="A627" s="186" t="str">
        <f>IFERROR(__xludf.DUMMYFUNCTION("""COMPUTED_VALUE"""),"DE")</f>
        <v>DE</v>
      </c>
      <c r="B627" s="186" t="str">
        <f>IFERROR(__xludf.DUMMYFUNCTION("""COMPUTED_VALUE"""),"W09")</f>
        <v>W09</v>
      </c>
      <c r="C627" s="186">
        <f>IFERROR(__xludf.DUMMYFUNCTION("""COMPUTED_VALUE"""),305.0)</f>
        <v>305</v>
      </c>
      <c r="D627" s="186" t="str">
        <f>IFERROR(__xludf.DUMMYFUNCTION("""COMPUTED_VALUE"""),"CON-00-149480-2")</f>
        <v>CON-00-149480-2</v>
      </c>
      <c r="E627" s="186" t="str">
        <f>IFERROR(__xludf.DUMMYFUNCTION("""COMPUTED_VALUE"""),"Sour Cream &amp; Chive Chicken")</f>
        <v>Sour Cream &amp; Chive Chicken</v>
      </c>
      <c r="F627" s="186" t="str">
        <f>IFERROR(__xludf.DUMMYFUNCTION("""COMPUTED_VALUE"""),"Hähnchen mit Sauerrahm und Schnittlauch")</f>
        <v>Hähnchen mit Sauerrahm und Schnittlauch</v>
      </c>
      <c r="G627" s="186" t="str">
        <f>IFERROR(__xludf.DUMMYFUNCTION("""COMPUTED_VALUE"""),"FE0322O")</f>
        <v>FE0322O</v>
      </c>
      <c r="H627" s="186">
        <f>IFERROR(__xludf.DUMMYFUNCTION("""COMPUTED_VALUE"""),565163.0)</f>
        <v>565163</v>
      </c>
      <c r="I627" s="186" t="str">
        <f>IFERROR(__xludf.DUMMYFUNCTION("""COMPUTED_VALUE"""),"HF Kip bieslook aardappel pure")</f>
        <v>HF Kip bieslook aardappel pure</v>
      </c>
      <c r="J627" s="189">
        <f>IFERROR(__xludf.DUMMYFUNCTION("""COMPUTED_VALUE"""),2059.0)</f>
        <v>2059</v>
      </c>
      <c r="K627" s="189">
        <f>IFERROR(__xludf.DUMMYFUNCTION("""COMPUTED_VALUE"""),2047.0)</f>
        <v>2047</v>
      </c>
      <c r="L627" s="189">
        <f>IFERROR(__xludf.DUMMYFUNCTION("""COMPUTED_VALUE"""),2004.0)</f>
        <v>2004</v>
      </c>
      <c r="M627" s="189">
        <f>IFERROR(__xludf.DUMMYFUNCTION("""COMPUTED_VALUE"""),1809.0)</f>
        <v>1809</v>
      </c>
      <c r="N627" s="189">
        <f>IFERROR(__xludf.DUMMYFUNCTION("""COMPUTED_VALUE"""),1808.0)</f>
        <v>1808</v>
      </c>
      <c r="O627" s="189">
        <f>IFERROR(__xludf.DUMMYFUNCTION("""COMPUTED_VALUE"""),1807.0)</f>
        <v>1807</v>
      </c>
      <c r="P627" s="189">
        <f>IFERROR(__xludf.DUMMYFUNCTION("""COMPUTED_VALUE"""),1880.0)</f>
        <v>1880</v>
      </c>
      <c r="Q627" s="189">
        <f>IFERROR(__xludf.DUMMYFUNCTION("""COMPUTED_VALUE"""),1891.0)</f>
        <v>1891</v>
      </c>
      <c r="R627" s="186"/>
      <c r="S627" s="189">
        <f>IFERROR(__xludf.DUMMYFUNCTION("""COMPUTED_VALUE"""),1773.0)</f>
        <v>1773</v>
      </c>
    </row>
    <row r="628">
      <c r="A628" s="186" t="str">
        <f>IFERROR(__xludf.DUMMYFUNCTION("""COMPUTED_VALUE"""),"DE")</f>
        <v>DE</v>
      </c>
      <c r="B628" s="186" t="str">
        <f>IFERROR(__xludf.DUMMYFUNCTION("""COMPUTED_VALUE"""),"W09")</f>
        <v>W09</v>
      </c>
      <c r="C628" s="186">
        <f>IFERROR(__xludf.DUMMYFUNCTION("""COMPUTED_VALUE"""),306.0)</f>
        <v>306</v>
      </c>
      <c r="D628" s="186" t="str">
        <f>IFERROR(__xludf.DUMMYFUNCTION("""COMPUTED_VALUE"""),"CON-00-152029-2")</f>
        <v>CON-00-152029-2</v>
      </c>
      <c r="E628" s="186" t="str">
        <f>IFERROR(__xludf.DUMMYFUNCTION("""COMPUTED_VALUE"""),"Salmon Dijonnaise")</f>
        <v>Salmon Dijonnaise</v>
      </c>
      <c r="F628" s="186" t="str">
        <f>IFERROR(__xludf.DUMMYFUNCTION("""COMPUTED_VALUE"""),"Lachs Dijonnaise")</f>
        <v>Lachs Dijonnaise</v>
      </c>
      <c r="G628" s="186" t="str">
        <f>IFERROR(__xludf.DUMMYFUNCTION("""COMPUTED_VALUE"""),"FE1031A")</f>
        <v>FE1031A</v>
      </c>
      <c r="H628" s="186">
        <f>IFERROR(__xludf.DUMMYFUNCTION("""COMPUTED_VALUE"""),565207.0)</f>
        <v>565207</v>
      </c>
      <c r="I628" s="186" t="str">
        <f>IFERROR(__xludf.DUMMYFUNCTION("""COMPUTED_VALUE"""),"HF Zalm dijonnaise")</f>
        <v>HF Zalm dijonnaise</v>
      </c>
      <c r="J628" s="189">
        <f>IFERROR(__xludf.DUMMYFUNCTION("""COMPUTED_VALUE"""),2022.0)</f>
        <v>2022</v>
      </c>
      <c r="K628" s="189">
        <f>IFERROR(__xludf.DUMMYFUNCTION("""COMPUTED_VALUE"""),2092.0)</f>
        <v>2092</v>
      </c>
      <c r="L628" s="189">
        <f>IFERROR(__xludf.DUMMYFUNCTION("""COMPUTED_VALUE"""),2410.0)</f>
        <v>2410</v>
      </c>
      <c r="M628" s="189">
        <f>IFERROR(__xludf.DUMMYFUNCTION("""COMPUTED_VALUE"""),2308.0)</f>
        <v>2308</v>
      </c>
      <c r="N628" s="189">
        <f>IFERROR(__xludf.DUMMYFUNCTION("""COMPUTED_VALUE"""),2283.0)</f>
        <v>2283</v>
      </c>
      <c r="O628" s="189">
        <f>IFERROR(__xludf.DUMMYFUNCTION("""COMPUTED_VALUE"""),2293.0)</f>
        <v>2293</v>
      </c>
      <c r="P628" s="189">
        <f>IFERROR(__xludf.DUMMYFUNCTION("""COMPUTED_VALUE"""),2341.0)</f>
        <v>2341</v>
      </c>
      <c r="Q628" s="189">
        <f>IFERROR(__xludf.DUMMYFUNCTION("""COMPUTED_VALUE"""),2375.0)</f>
        <v>2375</v>
      </c>
      <c r="R628" s="186"/>
      <c r="S628" s="189">
        <f>IFERROR(__xludf.DUMMYFUNCTION("""COMPUTED_VALUE"""),2251.0)</f>
        <v>2251</v>
      </c>
    </row>
    <row r="629">
      <c r="A629" s="186" t="str">
        <f>IFERROR(__xludf.DUMMYFUNCTION("""COMPUTED_VALUE"""),"DE")</f>
        <v>DE</v>
      </c>
      <c r="B629" s="186" t="str">
        <f>IFERROR(__xludf.DUMMYFUNCTION("""COMPUTED_VALUE"""),"W09")</f>
        <v>W09</v>
      </c>
      <c r="C629" s="186">
        <f>IFERROR(__xludf.DUMMYFUNCTION("""COMPUTED_VALUE"""),307.0)</f>
        <v>307</v>
      </c>
      <c r="D629" s="186" t="str">
        <f>IFERROR(__xludf.DUMMYFUNCTION("""COMPUTED_VALUE"""),"CON-00-136619-3")</f>
        <v>CON-00-136619-3</v>
      </c>
      <c r="E629" s="186" t="str">
        <f>IFERROR(__xludf.DUMMYFUNCTION("""COMPUTED_VALUE"""),"Chicken in creamy spinach")</f>
        <v>Chicken in creamy spinach</v>
      </c>
      <c r="F629" s="186" t="str">
        <f>IFERROR(__xludf.DUMMYFUNCTION("""COMPUTED_VALUE"""),"Hähnchen in Spinat-Creme")</f>
        <v>Hähnchen in Spinat-Creme</v>
      </c>
      <c r="G629" s="186" t="str">
        <f>IFERROR(__xludf.DUMMYFUNCTION("""COMPUTED_VALUE"""),"FE0207I")</f>
        <v>FE0207I</v>
      </c>
      <c r="H629" s="186">
        <f>IFERROR(__xludf.DUMMYFUNCTION("""COMPUTED_VALUE"""),565148.0)</f>
        <v>565148</v>
      </c>
      <c r="I629" s="186" t="str">
        <f>IFERROR(__xludf.DUMMYFUNCTION("""COMPUTED_VALUE"""),"HF RW Kipfilet in rom spinazie")</f>
        <v>HF RW Kipfilet in rom spinazie</v>
      </c>
      <c r="J629" s="189">
        <f>IFERROR(__xludf.DUMMYFUNCTION("""COMPUTED_VALUE"""),1424.0)</f>
        <v>1424</v>
      </c>
      <c r="K629" s="189">
        <f>IFERROR(__xludf.DUMMYFUNCTION("""COMPUTED_VALUE"""),1611.0)</f>
        <v>1611</v>
      </c>
      <c r="L629" s="189">
        <f>IFERROR(__xludf.DUMMYFUNCTION("""COMPUTED_VALUE"""),1436.0)</f>
        <v>1436</v>
      </c>
      <c r="M629" s="189">
        <f>IFERROR(__xludf.DUMMYFUNCTION("""COMPUTED_VALUE"""),1436.0)</f>
        <v>1436</v>
      </c>
      <c r="N629" s="189">
        <f>IFERROR(__xludf.DUMMYFUNCTION("""COMPUTED_VALUE"""),1410.0)</f>
        <v>1410</v>
      </c>
      <c r="O629" s="189">
        <f>IFERROR(__xludf.DUMMYFUNCTION("""COMPUTED_VALUE"""),1414.0)</f>
        <v>1414</v>
      </c>
      <c r="P629" s="189">
        <f>IFERROR(__xludf.DUMMYFUNCTION("""COMPUTED_VALUE"""),1467.0)</f>
        <v>1467</v>
      </c>
      <c r="Q629" s="189">
        <f>IFERROR(__xludf.DUMMYFUNCTION("""COMPUTED_VALUE"""),1450.0)</f>
        <v>1450</v>
      </c>
      <c r="R629" s="186"/>
      <c r="S629" s="189">
        <f>IFERROR(__xludf.DUMMYFUNCTION("""COMPUTED_VALUE"""),1362.0)</f>
        <v>1362</v>
      </c>
    </row>
    <row r="630">
      <c r="A630" s="186" t="str">
        <f>IFERROR(__xludf.DUMMYFUNCTION("""COMPUTED_VALUE"""),"DE")</f>
        <v>DE</v>
      </c>
      <c r="B630" s="186" t="str">
        <f>IFERROR(__xludf.DUMMYFUNCTION("""COMPUTED_VALUE"""),"W09")</f>
        <v>W09</v>
      </c>
      <c r="C630" s="186">
        <f>IFERROR(__xludf.DUMMYFUNCTION("""COMPUTED_VALUE"""),308.0)</f>
        <v>308</v>
      </c>
      <c r="D630" s="186" t="str">
        <f>IFERROR(__xludf.DUMMYFUNCTION("""COMPUTED_VALUE"""),"CON-00-136727-3")</f>
        <v>CON-00-136727-3</v>
      </c>
      <c r="E630" s="186" t="str">
        <f>IFERROR(__xludf.DUMMYFUNCTION("""COMPUTED_VALUE"""),"Peruvian style chicken breast")</f>
        <v>Peruvian style chicken breast</v>
      </c>
      <c r="F630" s="186" t="str">
        <f>IFERROR(__xludf.DUMMYFUNCTION("""COMPUTED_VALUE"""),"Hähnchenbrust nach peruanischer Art")</f>
        <v>Hähnchenbrust nach peruanischer Art</v>
      </c>
      <c r="G630" s="186" t="str">
        <f>IFERROR(__xludf.DUMMYFUNCTION("""COMPUTED_VALUE"""),"FE0129G")</f>
        <v>FE0129G</v>
      </c>
      <c r="H630" s="186">
        <f>IFERROR(__xludf.DUMMYFUNCTION("""COMPUTED_VALUE"""),565193.0)</f>
        <v>565193</v>
      </c>
      <c r="I630" s="186" t="str">
        <f>IFERROR(__xludf.DUMMYFUNCTION("""COMPUTED_VALUE"""),"HF RW Peruaanse stijl kipfilet")</f>
        <v>HF RW Peruaanse stijl kipfilet</v>
      </c>
      <c r="J630" s="189">
        <f>IFERROR(__xludf.DUMMYFUNCTION("""COMPUTED_VALUE"""),1827.0)</f>
        <v>1827</v>
      </c>
      <c r="K630" s="189">
        <f>IFERROR(__xludf.DUMMYFUNCTION("""COMPUTED_VALUE"""),1842.0)</f>
        <v>1842</v>
      </c>
      <c r="L630" s="189">
        <f>IFERROR(__xludf.DUMMYFUNCTION("""COMPUTED_VALUE"""),1515.0)</f>
        <v>1515</v>
      </c>
      <c r="M630" s="189">
        <f>IFERROR(__xludf.DUMMYFUNCTION("""COMPUTED_VALUE"""),1374.0)</f>
        <v>1374</v>
      </c>
      <c r="N630" s="189">
        <f>IFERROR(__xludf.DUMMYFUNCTION("""COMPUTED_VALUE"""),1324.0)</f>
        <v>1324</v>
      </c>
      <c r="O630" s="189">
        <f>IFERROR(__xludf.DUMMYFUNCTION("""COMPUTED_VALUE"""),1339.0)</f>
        <v>1339</v>
      </c>
      <c r="P630" s="189">
        <f>IFERROR(__xludf.DUMMYFUNCTION("""COMPUTED_VALUE"""),1354.0)</f>
        <v>1354</v>
      </c>
      <c r="Q630" s="189">
        <f>IFERROR(__xludf.DUMMYFUNCTION("""COMPUTED_VALUE"""),1340.0)</f>
        <v>1340</v>
      </c>
      <c r="R630" s="186"/>
      <c r="S630" s="189">
        <f>IFERROR(__xludf.DUMMYFUNCTION("""COMPUTED_VALUE"""),1260.0)</f>
        <v>1260</v>
      </c>
    </row>
    <row r="631">
      <c r="A631" s="186" t="str">
        <f>IFERROR(__xludf.DUMMYFUNCTION("""COMPUTED_VALUE"""),"DE")</f>
        <v>DE</v>
      </c>
      <c r="B631" s="186" t="str">
        <f>IFERROR(__xludf.DUMMYFUNCTION("""COMPUTED_VALUE"""),"W09")</f>
        <v>W09</v>
      </c>
      <c r="C631" s="186">
        <f>IFERROR(__xludf.DUMMYFUNCTION("""COMPUTED_VALUE"""),309.0)</f>
        <v>309</v>
      </c>
      <c r="D631" s="186" t="str">
        <f>IFERROR(__xludf.DUMMYFUNCTION("""COMPUTED_VALUE"""),"CON-00-136634-3")</f>
        <v>CON-00-136634-3</v>
      </c>
      <c r="E631" s="186" t="str">
        <f>IFERROR(__xludf.DUMMYFUNCTION("""COMPUTED_VALUE"""),"Ratatouille of zucchini and pepper")</f>
        <v>Ratatouille of zucchini and pepper</v>
      </c>
      <c r="F631" s="186" t="str">
        <f>IFERROR(__xludf.DUMMYFUNCTION("""COMPUTED_VALUE"""),"Zucchini-Paprika-Ratatouille")</f>
        <v>Zucchini-Paprika-Ratatouille</v>
      </c>
      <c r="G631" s="186" t="str">
        <f>IFERROR(__xludf.DUMMYFUNCTION("""COMPUTED_VALUE"""),"FE0090C")</f>
        <v>FE0090C</v>
      </c>
      <c r="H631" s="186">
        <f>IFERROR(__xludf.DUMMYFUNCTION("""COMPUTED_VALUE"""),565141.0)</f>
        <v>565141</v>
      </c>
      <c r="I631" s="186"/>
      <c r="J631" s="189">
        <f>IFERROR(__xludf.DUMMYFUNCTION("""COMPUTED_VALUE"""),417.0)</f>
        <v>417</v>
      </c>
      <c r="K631" s="189">
        <f>IFERROR(__xludf.DUMMYFUNCTION("""COMPUTED_VALUE"""),454.0)</f>
        <v>454</v>
      </c>
      <c r="L631" s="189">
        <f>IFERROR(__xludf.DUMMYFUNCTION("""COMPUTED_VALUE"""),263.0)</f>
        <v>263</v>
      </c>
      <c r="M631" s="189">
        <f>IFERROR(__xludf.DUMMYFUNCTION("""COMPUTED_VALUE"""),378.0)</f>
        <v>378</v>
      </c>
      <c r="N631" s="189">
        <f>IFERROR(__xludf.DUMMYFUNCTION("""COMPUTED_VALUE"""),395.0)</f>
        <v>395</v>
      </c>
      <c r="O631" s="189">
        <f>IFERROR(__xludf.DUMMYFUNCTION("""COMPUTED_VALUE"""),329.0)</f>
        <v>329</v>
      </c>
      <c r="P631" s="189">
        <f>IFERROR(__xludf.DUMMYFUNCTION("""COMPUTED_VALUE"""),387.0)</f>
        <v>387</v>
      </c>
      <c r="Q631" s="189">
        <f>IFERROR(__xludf.DUMMYFUNCTION("""COMPUTED_VALUE"""),420.0)</f>
        <v>420</v>
      </c>
      <c r="R631" s="186"/>
      <c r="S631" s="189">
        <f>IFERROR(__xludf.DUMMYFUNCTION("""COMPUTED_VALUE"""),414.0)</f>
        <v>414</v>
      </c>
    </row>
    <row r="632">
      <c r="A632" s="186" t="str">
        <f>IFERROR(__xludf.DUMMYFUNCTION("""COMPUTED_VALUE"""),"DE")</f>
        <v>DE</v>
      </c>
      <c r="B632" s="186" t="str">
        <f>IFERROR(__xludf.DUMMYFUNCTION("""COMPUTED_VALUE"""),"W09")</f>
        <v>W09</v>
      </c>
      <c r="C632" s="186">
        <f>IFERROR(__xludf.DUMMYFUNCTION("""COMPUTED_VALUE"""),310.0)</f>
        <v>310</v>
      </c>
      <c r="D632" s="186" t="str">
        <f>IFERROR(__xludf.DUMMYFUNCTION("""COMPUTED_VALUE"""),"CON-00-136629-3")</f>
        <v>CON-00-136629-3</v>
      </c>
      <c r="E632" s="186" t="str">
        <f>IFERROR(__xludf.DUMMYFUNCTION("""COMPUTED_VALUE"""),"Creamy tomato risotto")</f>
        <v>Creamy tomato risotto</v>
      </c>
      <c r="F632" s="186" t="str">
        <f>IFERROR(__xludf.DUMMYFUNCTION("""COMPUTED_VALUE"""),"Cremiges Tomaten-Risotto")</f>
        <v>Cremiges Tomaten-Risotto</v>
      </c>
      <c r="G632" s="186" t="str">
        <f>IFERROR(__xludf.DUMMYFUNCTION("""COMPUTED_VALUE"""),"FE0031C")</f>
        <v>FE0031C</v>
      </c>
      <c r="H632" s="186">
        <f>IFERROR(__xludf.DUMMYFUNCTION("""COMPUTED_VALUE"""),565244.0)</f>
        <v>565244</v>
      </c>
      <c r="I632" s="186" t="str">
        <f>IFERROR(__xludf.DUMMYFUNCTION("""COMPUTED_VALUE"""),"IO HF Romige tomatenrisotto V2")</f>
        <v>IO HF Romige tomatenrisotto V2</v>
      </c>
      <c r="J632" s="189">
        <f>IFERROR(__xludf.DUMMYFUNCTION("""COMPUTED_VALUE"""),368.0)</f>
        <v>368</v>
      </c>
      <c r="K632" s="189">
        <f>IFERROR(__xludf.DUMMYFUNCTION("""COMPUTED_VALUE"""),394.0)</f>
        <v>394</v>
      </c>
      <c r="L632" s="189">
        <f>IFERROR(__xludf.DUMMYFUNCTION("""COMPUTED_VALUE"""),351.0)</f>
        <v>351</v>
      </c>
      <c r="M632" s="189">
        <f>IFERROR(__xludf.DUMMYFUNCTION("""COMPUTED_VALUE"""),437.0)</f>
        <v>437</v>
      </c>
      <c r="N632" s="189">
        <f>IFERROR(__xludf.DUMMYFUNCTION("""COMPUTED_VALUE"""),459.0)</f>
        <v>459</v>
      </c>
      <c r="O632" s="189">
        <f>IFERROR(__xludf.DUMMYFUNCTION("""COMPUTED_VALUE"""),420.0)</f>
        <v>420</v>
      </c>
      <c r="P632" s="189">
        <f>IFERROR(__xludf.DUMMYFUNCTION("""COMPUTED_VALUE"""),462.0)</f>
        <v>462</v>
      </c>
      <c r="Q632" s="189">
        <f>IFERROR(__xludf.DUMMYFUNCTION("""COMPUTED_VALUE"""),495.0)</f>
        <v>495</v>
      </c>
      <c r="R632" s="186"/>
      <c r="S632" s="189">
        <f>IFERROR(__xludf.DUMMYFUNCTION("""COMPUTED_VALUE"""),453.0)</f>
        <v>453</v>
      </c>
    </row>
    <row r="633">
      <c r="A633" s="186" t="str">
        <f>IFERROR(__xludf.DUMMYFUNCTION("""COMPUTED_VALUE"""),"DE")</f>
        <v>DE</v>
      </c>
      <c r="B633" s="186" t="str">
        <f>IFERROR(__xludf.DUMMYFUNCTION("""COMPUTED_VALUE"""),"W09")</f>
        <v>W09</v>
      </c>
      <c r="C633" s="186">
        <f>IFERROR(__xludf.DUMMYFUNCTION("""COMPUTED_VALUE"""),311.0)</f>
        <v>311</v>
      </c>
      <c r="D633" s="186" t="str">
        <f>IFERROR(__xludf.DUMMYFUNCTION("""COMPUTED_VALUE"""),"CON-00-136664-3")</f>
        <v>CON-00-136664-3</v>
      </c>
      <c r="E633" s="186" t="str">
        <f>IFERROR(__xludf.DUMMYFUNCTION("""COMPUTED_VALUE"""),"Pork tenderloin in sundried tomato sauce")</f>
        <v>Pork tenderloin in sundried tomato sauce</v>
      </c>
      <c r="F633" s="186" t="str">
        <f>IFERROR(__xludf.DUMMYFUNCTION("""COMPUTED_VALUE"""),"Schweinefilet in Sonnentomaten-Sauce")</f>
        <v>Schweinefilet in Sonnentomaten-Sauce</v>
      </c>
      <c r="G633" s="186" t="str">
        <f>IFERROR(__xludf.DUMMYFUNCTION("""COMPUTED_VALUE"""),"FE4006A")</f>
        <v>FE4006A</v>
      </c>
      <c r="H633" s="186">
        <f>IFERROR(__xludf.DUMMYFUNCTION("""COMPUTED_VALUE"""),565063.0)</f>
        <v>565063</v>
      </c>
      <c r="I633" s="186" t="str">
        <f>IFERROR(__xludf.DUMMYFUNCTION("""COMPUTED_VALUE"""),"HF Varkenshaas met tomatensaus 384g")</f>
        <v>HF Varkenshaas met tomatensaus 384g</v>
      </c>
      <c r="J633" s="189">
        <f>IFERROR(__xludf.DUMMYFUNCTION("""COMPUTED_VALUE"""),720.0)</f>
        <v>720</v>
      </c>
      <c r="K633" s="189">
        <f>IFERROR(__xludf.DUMMYFUNCTION("""COMPUTED_VALUE"""),651.0)</f>
        <v>651</v>
      </c>
      <c r="L633" s="189">
        <f>IFERROR(__xludf.DUMMYFUNCTION("""COMPUTED_VALUE"""),591.0)</f>
        <v>591</v>
      </c>
      <c r="M633" s="189">
        <f>IFERROR(__xludf.DUMMYFUNCTION("""COMPUTED_VALUE"""),590.0)</f>
        <v>590</v>
      </c>
      <c r="N633" s="189">
        <f>IFERROR(__xludf.DUMMYFUNCTION("""COMPUTED_VALUE"""),640.0)</f>
        <v>640</v>
      </c>
      <c r="O633" s="189">
        <f>IFERROR(__xludf.DUMMYFUNCTION("""COMPUTED_VALUE"""),609.0)</f>
        <v>609</v>
      </c>
      <c r="P633" s="189">
        <f>IFERROR(__xludf.DUMMYFUNCTION("""COMPUTED_VALUE"""),631.0)</f>
        <v>631</v>
      </c>
      <c r="Q633" s="189">
        <f>IFERROR(__xludf.DUMMYFUNCTION("""COMPUTED_VALUE"""),646.0)</f>
        <v>646</v>
      </c>
      <c r="R633" s="186"/>
      <c r="S633" s="189">
        <f>IFERROR(__xludf.DUMMYFUNCTION("""COMPUTED_VALUE"""),585.0)</f>
        <v>585</v>
      </c>
    </row>
    <row r="634">
      <c r="A634" s="186" t="str">
        <f>IFERROR(__xludf.DUMMYFUNCTION("""COMPUTED_VALUE"""),"DE")</f>
        <v>DE</v>
      </c>
      <c r="B634" s="186" t="str">
        <f>IFERROR(__xludf.DUMMYFUNCTION("""COMPUTED_VALUE"""),"W09")</f>
        <v>W09</v>
      </c>
      <c r="C634" s="186">
        <f>IFERROR(__xludf.DUMMYFUNCTION("""COMPUTED_VALUE"""),312.0)</f>
        <v>312</v>
      </c>
      <c r="D634" s="186" t="str">
        <f>IFERROR(__xludf.DUMMYFUNCTION("""COMPUTED_VALUE"""),"CON-00-154547-2")</f>
        <v>CON-00-154547-2</v>
      </c>
      <c r="E634" s="186" t="str">
        <f>IFERROR(__xludf.DUMMYFUNCTION("""COMPUTED_VALUE"""),"Citrus–Miso Salmon Bowl")</f>
        <v>Citrus–Miso Salmon Bowl</v>
      </c>
      <c r="F634" s="186" t="str">
        <f>IFERROR(__xludf.DUMMYFUNCTION("""COMPUTED_VALUE"""),"Lachs-Bowl mit Zitrus-Miso")</f>
        <v>Lachs-Bowl mit Zitrus-Miso</v>
      </c>
      <c r="G634" s="186" t="str">
        <f>IFERROR(__xludf.DUMMYFUNCTION("""COMPUTED_VALUE"""),"FE1731A")</f>
        <v>FE1731A</v>
      </c>
      <c r="H634" s="186">
        <f>IFERROR(__xludf.DUMMYFUNCTION("""COMPUTED_VALUE"""),565221.0)</f>
        <v>565221</v>
      </c>
      <c r="I634" s="186" t="str">
        <f>IFERROR(__xludf.DUMMYFUNCTION("""COMPUTED_VALUE"""),"HF Citrus-miso zalm bowl")</f>
        <v>HF Citrus-miso zalm bowl</v>
      </c>
      <c r="J634" s="189">
        <f>IFERROR(__xludf.DUMMYFUNCTION("""COMPUTED_VALUE"""),1678.0)</f>
        <v>1678</v>
      </c>
      <c r="K634" s="189">
        <f>IFERROR(__xludf.DUMMYFUNCTION("""COMPUTED_VALUE"""),1801.0)</f>
        <v>1801</v>
      </c>
      <c r="L634" s="189">
        <f>IFERROR(__xludf.DUMMYFUNCTION("""COMPUTED_VALUE"""),1996.0)</f>
        <v>1996</v>
      </c>
      <c r="M634" s="189">
        <f>IFERROR(__xludf.DUMMYFUNCTION("""COMPUTED_VALUE"""),1867.0)</f>
        <v>1867</v>
      </c>
      <c r="N634" s="189">
        <f>IFERROR(__xludf.DUMMYFUNCTION("""COMPUTED_VALUE"""),1870.0)</f>
        <v>1870</v>
      </c>
      <c r="O634" s="189">
        <f>IFERROR(__xludf.DUMMYFUNCTION("""COMPUTED_VALUE"""),1784.0)</f>
        <v>1784</v>
      </c>
      <c r="P634" s="189">
        <f>IFERROR(__xludf.DUMMYFUNCTION("""COMPUTED_VALUE"""),1834.0)</f>
        <v>1834</v>
      </c>
      <c r="Q634" s="189">
        <f>IFERROR(__xludf.DUMMYFUNCTION("""COMPUTED_VALUE"""),1875.0)</f>
        <v>1875</v>
      </c>
      <c r="R634" s="186"/>
      <c r="S634" s="189">
        <f>IFERROR(__xludf.DUMMYFUNCTION("""COMPUTED_VALUE"""),1853.0)</f>
        <v>1853</v>
      </c>
    </row>
    <row r="635">
      <c r="A635" s="186" t="str">
        <f>IFERROR(__xludf.DUMMYFUNCTION("""COMPUTED_VALUE"""),"DE")</f>
        <v>DE</v>
      </c>
      <c r="B635" s="186" t="str">
        <f>IFERROR(__xludf.DUMMYFUNCTION("""COMPUTED_VALUE"""),"W09")</f>
        <v>W09</v>
      </c>
      <c r="C635" s="186">
        <f>IFERROR(__xludf.DUMMYFUNCTION("""COMPUTED_VALUE"""),313.0)</f>
        <v>313</v>
      </c>
      <c r="D635" s="186" t="str">
        <f>IFERROR(__xludf.DUMMYFUNCTION("""COMPUTED_VALUE"""),"CON-00-155633-2")</f>
        <v>CON-00-155633-2</v>
      </c>
      <c r="E635" s="186" t="str">
        <f>IFERROR(__xludf.DUMMYFUNCTION("""COMPUTED_VALUE"""),"Cajun Chicken, Tomato Gravy &amp; Mashed Potatoes")</f>
        <v>Cajun Chicken, Tomato Gravy &amp; Mashed Potatoes</v>
      </c>
      <c r="F635" s="186" t="str">
        <f>IFERROR(__xludf.DUMMYFUNCTION("""COMPUTED_VALUE"""),"Cajun-Hähnchen mit Tomatensauce &amp; Kartoffelpüree")</f>
        <v>Cajun-Hähnchen mit Tomatensauce &amp; Kartoffelpüree</v>
      </c>
      <c r="G635" s="186" t="str">
        <f>IFERROR(__xludf.DUMMYFUNCTION("""COMPUTED_VALUE"""),"FE4081A")</f>
        <v>FE4081A</v>
      </c>
      <c r="H635" s="186">
        <f>IFERROR(__xludf.DUMMYFUNCTION("""COMPUTED_VALUE"""),565255.0)</f>
        <v>565255</v>
      </c>
      <c r="I635" s="186" t="str">
        <f>IFERROR(__xludf.DUMMYFUNCTION("""COMPUTED_VALUE"""),"HF Cajun chicken tomato gravy")</f>
        <v>HF Cajun chicken tomato gravy</v>
      </c>
      <c r="J635" s="189">
        <f>IFERROR(__xludf.DUMMYFUNCTION("""COMPUTED_VALUE"""),1886.0)</f>
        <v>1886</v>
      </c>
      <c r="K635" s="189">
        <f>IFERROR(__xludf.DUMMYFUNCTION("""COMPUTED_VALUE"""),1969.0)</f>
        <v>1969</v>
      </c>
      <c r="L635" s="189">
        <f>IFERROR(__xludf.DUMMYFUNCTION("""COMPUTED_VALUE"""),2381.0)</f>
        <v>2381</v>
      </c>
      <c r="M635" s="189">
        <f>IFERROR(__xludf.DUMMYFUNCTION("""COMPUTED_VALUE"""),2219.0)</f>
        <v>2219</v>
      </c>
      <c r="N635" s="189">
        <f>IFERROR(__xludf.DUMMYFUNCTION("""COMPUTED_VALUE"""),2227.0)</f>
        <v>2227</v>
      </c>
      <c r="O635" s="189">
        <f>IFERROR(__xludf.DUMMYFUNCTION("""COMPUTED_VALUE"""),2094.0)</f>
        <v>2094</v>
      </c>
      <c r="P635" s="189">
        <f>IFERROR(__xludf.DUMMYFUNCTION("""COMPUTED_VALUE"""),2093.0)</f>
        <v>2093</v>
      </c>
      <c r="Q635" s="189">
        <f>IFERROR(__xludf.DUMMYFUNCTION("""COMPUTED_VALUE"""),2093.0)</f>
        <v>2093</v>
      </c>
      <c r="R635" s="186"/>
      <c r="S635" s="189">
        <f>IFERROR(__xludf.DUMMYFUNCTION("""COMPUTED_VALUE"""),2027.0)</f>
        <v>2027</v>
      </c>
    </row>
    <row r="636">
      <c r="A636" s="186" t="str">
        <f>IFERROR(__xludf.DUMMYFUNCTION("""COMPUTED_VALUE"""),"DE")</f>
        <v>DE</v>
      </c>
      <c r="B636" s="186" t="str">
        <f>IFERROR(__xludf.DUMMYFUNCTION("""COMPUTED_VALUE"""),"W09")</f>
        <v>W09</v>
      </c>
      <c r="C636" s="186">
        <f>IFERROR(__xludf.DUMMYFUNCTION("""COMPUTED_VALUE"""),314.0)</f>
        <v>314</v>
      </c>
      <c r="D636" s="186" t="str">
        <f>IFERROR(__xludf.DUMMYFUNCTION("""COMPUTED_VALUE"""),"CON-00-154545-2")</f>
        <v>CON-00-154545-2</v>
      </c>
      <c r="E636" s="186" t="str">
        <f>IFERROR(__xludf.DUMMYFUNCTION("""COMPUTED_VALUE"""),"Pulled Jerk Chicken &amp; Rice")</f>
        <v>Pulled Jerk Chicken &amp; Rice</v>
      </c>
      <c r="F636" s="186" t="str">
        <f>IFERROR(__xludf.DUMMYFUNCTION("""COMPUTED_VALUE"""),"Pulled Jerk Chicken mit Reis")</f>
        <v>Pulled Jerk Chicken mit Reis</v>
      </c>
      <c r="G636" s="186" t="str">
        <f>IFERROR(__xludf.DUMMYFUNCTION("""COMPUTED_VALUE"""),"FE4071A")</f>
        <v>FE4071A</v>
      </c>
      <c r="H636" s="186">
        <f>IFERROR(__xludf.DUMMYFUNCTION("""COMPUTED_VALUE"""),565219.0)</f>
        <v>565219</v>
      </c>
      <c r="I636" s="186" t="str">
        <f>IFERROR(__xludf.DUMMYFUNCTION("""COMPUTED_VALUE"""),"HF Jerk chicken en rijst")</f>
        <v>HF Jerk chicken en rijst</v>
      </c>
      <c r="J636" s="189">
        <f>IFERROR(__xludf.DUMMYFUNCTION("""COMPUTED_VALUE"""),904.0)</f>
        <v>904</v>
      </c>
      <c r="K636" s="189">
        <f>IFERROR(__xludf.DUMMYFUNCTION("""COMPUTED_VALUE"""),900.0)</f>
        <v>900</v>
      </c>
      <c r="L636" s="189">
        <f>IFERROR(__xludf.DUMMYFUNCTION("""COMPUTED_VALUE"""),1083.0)</f>
        <v>1083</v>
      </c>
      <c r="M636" s="189">
        <f>IFERROR(__xludf.DUMMYFUNCTION("""COMPUTED_VALUE"""),1083.0)</f>
        <v>1083</v>
      </c>
      <c r="N636" s="189">
        <f>IFERROR(__xludf.DUMMYFUNCTION("""COMPUTED_VALUE"""),1077.0)</f>
        <v>1077</v>
      </c>
      <c r="O636" s="189">
        <f>IFERROR(__xludf.DUMMYFUNCTION("""COMPUTED_VALUE"""),947.0)</f>
        <v>947</v>
      </c>
      <c r="P636" s="189">
        <f>IFERROR(__xludf.DUMMYFUNCTION("""COMPUTED_VALUE"""),1012.0)</f>
        <v>1012</v>
      </c>
      <c r="Q636" s="189">
        <f>IFERROR(__xludf.DUMMYFUNCTION("""COMPUTED_VALUE"""),1018.0)</f>
        <v>1018</v>
      </c>
      <c r="R636" s="186"/>
      <c r="S636" s="189">
        <f>IFERROR(__xludf.DUMMYFUNCTION("""COMPUTED_VALUE"""),977.0)</f>
        <v>977</v>
      </c>
    </row>
    <row r="637">
      <c r="A637" s="186" t="str">
        <f>IFERROR(__xludf.DUMMYFUNCTION("""COMPUTED_VALUE"""),"DE")</f>
        <v>DE</v>
      </c>
      <c r="B637" s="186" t="str">
        <f>IFERROR(__xludf.DUMMYFUNCTION("""COMPUTED_VALUE"""),"W09")</f>
        <v>W09</v>
      </c>
      <c r="C637" s="186">
        <f>IFERROR(__xludf.DUMMYFUNCTION("""COMPUTED_VALUE"""),315.0)</f>
        <v>315</v>
      </c>
      <c r="D637" s="186" t="str">
        <f>IFERROR(__xludf.DUMMYFUNCTION("""COMPUTED_VALUE"""),"CON-00-136698-3")</f>
        <v>CON-00-136698-3</v>
      </c>
      <c r="E637" s="186" t="str">
        <f>IFERROR(__xludf.DUMMYFUNCTION("""COMPUTED_VALUE"""),"Braised beef in herby jus")</f>
        <v>Braised beef in herby jus</v>
      </c>
      <c r="F637" s="186" t="str">
        <f>IFERROR(__xludf.DUMMYFUNCTION("""COMPUTED_VALUE"""),"Geschmortes Rindfleisch in Kräuterjus")</f>
        <v>Geschmortes Rindfleisch in Kräuterjus</v>
      </c>
      <c r="G637" s="186" t="str">
        <f>IFERROR(__xludf.DUMMYFUNCTION("""COMPUTED_VALUE"""),"FE0413F")</f>
        <v>FE0413F</v>
      </c>
      <c r="H637" s="186">
        <f>IFERROR(__xludf.DUMMYFUNCTION("""COMPUTED_VALUE"""),565089.0)</f>
        <v>565089</v>
      </c>
      <c r="I637" s="186" t="str">
        <f>IFERROR(__xludf.DUMMYFUNCTION("""COMPUTED_VALUE"""),"HF Franse stijl rundvlees")</f>
        <v>HF Franse stijl rundvlees</v>
      </c>
      <c r="J637" s="189">
        <f>IFERROR(__xludf.DUMMYFUNCTION("""COMPUTED_VALUE"""),1077.0)</f>
        <v>1077</v>
      </c>
      <c r="K637" s="189">
        <f>IFERROR(__xludf.DUMMYFUNCTION("""COMPUTED_VALUE"""),1167.0)</f>
        <v>1167</v>
      </c>
      <c r="L637" s="189">
        <f>IFERROR(__xludf.DUMMYFUNCTION("""COMPUTED_VALUE"""),1435.0)</f>
        <v>1435</v>
      </c>
      <c r="M637" s="189">
        <f>IFERROR(__xludf.DUMMYFUNCTION("""COMPUTED_VALUE"""),1299.0)</f>
        <v>1299</v>
      </c>
      <c r="N637" s="189">
        <f>IFERROR(__xludf.DUMMYFUNCTION("""COMPUTED_VALUE"""),1297.0)</f>
        <v>1297</v>
      </c>
      <c r="O637" s="189">
        <f>IFERROR(__xludf.DUMMYFUNCTION("""COMPUTED_VALUE"""),1277.0)</f>
        <v>1277</v>
      </c>
      <c r="P637" s="189">
        <f>IFERROR(__xludf.DUMMYFUNCTION("""COMPUTED_VALUE"""),1309.0)</f>
        <v>1309</v>
      </c>
      <c r="Q637" s="189">
        <f>IFERROR(__xludf.DUMMYFUNCTION("""COMPUTED_VALUE"""),1315.0)</f>
        <v>1315</v>
      </c>
      <c r="R637" s="186"/>
      <c r="S637" s="189">
        <f>IFERROR(__xludf.DUMMYFUNCTION("""COMPUTED_VALUE"""),1175.0)</f>
        <v>1175</v>
      </c>
    </row>
    <row r="638">
      <c r="A638" s="186" t="str">
        <f>IFERROR(__xludf.DUMMYFUNCTION("""COMPUTED_VALUE"""),"DE")</f>
        <v>DE</v>
      </c>
      <c r="B638" s="186" t="str">
        <f>IFERROR(__xludf.DUMMYFUNCTION("""COMPUTED_VALUE"""),"W09")</f>
        <v>W09</v>
      </c>
      <c r="C638" s="186">
        <f>IFERROR(__xludf.DUMMYFUNCTION("""COMPUTED_VALUE"""),316.0)</f>
        <v>316</v>
      </c>
      <c r="D638" s="186" t="str">
        <f>IFERROR(__xludf.DUMMYFUNCTION("""COMPUTED_VALUE"""),"CON-00-154550-2")</f>
        <v>CON-00-154550-2</v>
      </c>
      <c r="E638" s="186" t="str">
        <f>IFERROR(__xludf.DUMMYFUNCTION("""COMPUTED_VALUE"""),"Fire-Roasted Tomato &amp; Feta Shrimp")</f>
        <v>Fire-Roasted Tomato &amp; Feta Shrimp</v>
      </c>
      <c r="F638" s="186" t="str">
        <f>IFERROR(__xludf.DUMMYFUNCTION("""COMPUTED_VALUE"""),"Feuergeröstete Tomaten- und Feta-Garnelen")</f>
        <v>Feuergeröstete Tomaten- und Feta-Garnelen</v>
      </c>
      <c r="G638" s="186" t="str">
        <f>IFERROR(__xludf.DUMMYFUNCTION("""COMPUTED_VALUE"""),"FE1776A")</f>
        <v>FE1776A</v>
      </c>
      <c r="H638" s="186">
        <f>IFERROR(__xludf.DUMMYFUNCTION("""COMPUTED_VALUE"""),565229.0)</f>
        <v>565229</v>
      </c>
      <c r="I638" s="186" t="str">
        <f>IFERROR(__xludf.DUMMYFUNCTION("""COMPUTED_VALUE"""),"HF Garnaal tomaat feta saus")</f>
        <v>HF Garnaal tomaat feta saus</v>
      </c>
      <c r="J638" s="189">
        <f>IFERROR(__xludf.DUMMYFUNCTION("""COMPUTED_VALUE"""),816.0)</f>
        <v>816</v>
      </c>
      <c r="K638" s="189">
        <f>IFERROR(__xludf.DUMMYFUNCTION("""COMPUTED_VALUE"""),881.0)</f>
        <v>881</v>
      </c>
      <c r="L638" s="189">
        <f>IFERROR(__xludf.DUMMYFUNCTION("""COMPUTED_VALUE"""),588.0)</f>
        <v>588</v>
      </c>
      <c r="M638" s="189">
        <f>IFERROR(__xludf.DUMMYFUNCTION("""COMPUTED_VALUE"""),639.0)</f>
        <v>639</v>
      </c>
      <c r="N638" s="189">
        <f>IFERROR(__xludf.DUMMYFUNCTION("""COMPUTED_VALUE"""),636.0)</f>
        <v>636</v>
      </c>
      <c r="O638" s="189">
        <f>IFERROR(__xludf.DUMMYFUNCTION("""COMPUTED_VALUE"""),586.0)</f>
        <v>586</v>
      </c>
      <c r="P638" s="189">
        <f>IFERROR(__xludf.DUMMYFUNCTION("""COMPUTED_VALUE"""),637.0)</f>
        <v>637</v>
      </c>
      <c r="Q638" s="189">
        <f>IFERROR(__xludf.DUMMYFUNCTION("""COMPUTED_VALUE"""),639.0)</f>
        <v>639</v>
      </c>
      <c r="R638" s="186"/>
      <c r="S638" s="189">
        <f>IFERROR(__xludf.DUMMYFUNCTION("""COMPUTED_VALUE"""),528.0)</f>
        <v>528</v>
      </c>
    </row>
    <row r="639">
      <c r="A639" s="186" t="str">
        <f>IFERROR(__xludf.DUMMYFUNCTION("""COMPUTED_VALUE"""),"DE")</f>
        <v>DE</v>
      </c>
      <c r="B639" s="186" t="str">
        <f>IFERROR(__xludf.DUMMYFUNCTION("""COMPUTED_VALUE"""),"W09")</f>
        <v>W09</v>
      </c>
      <c r="C639" s="186">
        <f>IFERROR(__xludf.DUMMYFUNCTION("""COMPUTED_VALUE"""),317.0)</f>
        <v>317</v>
      </c>
      <c r="D639" s="186"/>
      <c r="E639" s="186"/>
      <c r="F639" s="186"/>
      <c r="G639" s="186" t="str">
        <f>IFERROR(__xludf.DUMMYFUNCTION("""COMPUTED_VALUE"""),"FE4048A")</f>
        <v>FE4048A</v>
      </c>
      <c r="H639" s="186"/>
      <c r="I639" s="186"/>
      <c r="J639" s="189">
        <f>IFERROR(__xludf.DUMMYFUNCTION("""COMPUTED_VALUE"""),1024.0)</f>
        <v>1024</v>
      </c>
      <c r="K639" s="189">
        <f>IFERROR(__xludf.DUMMYFUNCTION("""COMPUTED_VALUE"""),1144.0)</f>
        <v>1144</v>
      </c>
      <c r="L639" s="189">
        <f>IFERROR(__xludf.DUMMYFUNCTION("""COMPUTED_VALUE"""),1170.0)</f>
        <v>1170</v>
      </c>
      <c r="M639" s="189">
        <f>IFERROR(__xludf.DUMMYFUNCTION("""COMPUTED_VALUE"""),1213.0)</f>
        <v>1213</v>
      </c>
      <c r="N639" s="189">
        <f>IFERROR(__xludf.DUMMYFUNCTION("""COMPUTED_VALUE"""),1220.0)</f>
        <v>1220</v>
      </c>
      <c r="O639" s="189">
        <f>IFERROR(__xludf.DUMMYFUNCTION("""COMPUTED_VALUE"""),1206.0)</f>
        <v>1206</v>
      </c>
      <c r="P639" s="189">
        <f>IFERROR(__xludf.DUMMYFUNCTION("""COMPUTED_VALUE"""),1245.0)</f>
        <v>1245</v>
      </c>
      <c r="Q639" s="189">
        <f>IFERROR(__xludf.DUMMYFUNCTION("""COMPUTED_VALUE"""),1282.0)</f>
        <v>1282</v>
      </c>
      <c r="R639" s="186"/>
      <c r="S639" s="189">
        <f>IFERROR(__xludf.DUMMYFUNCTION("""COMPUTED_VALUE"""),1221.0)</f>
        <v>1221</v>
      </c>
    </row>
    <row r="640">
      <c r="A640" s="186" t="str">
        <f>IFERROR(__xludf.DUMMYFUNCTION("""COMPUTED_VALUE"""),"DE")</f>
        <v>DE</v>
      </c>
      <c r="B640" s="186" t="str">
        <f>IFERROR(__xludf.DUMMYFUNCTION("""COMPUTED_VALUE"""),"W09")</f>
        <v>W09</v>
      </c>
      <c r="C640" s="186">
        <f>IFERROR(__xludf.DUMMYFUNCTION("""COMPUTED_VALUE"""),318.0)</f>
        <v>318</v>
      </c>
      <c r="D640" s="186" t="str">
        <f>IFERROR(__xludf.DUMMYFUNCTION("""COMPUTED_VALUE"""),"CON-00-138152-2")</f>
        <v>CON-00-138152-2</v>
      </c>
      <c r="E640" s="186" t="str">
        <f>IFERROR(__xludf.DUMMYFUNCTION("""COMPUTED_VALUE"""),"Red chile pulled pork")</f>
        <v>Red chile pulled pork</v>
      </c>
      <c r="F640" s="186" t="str">
        <f>IFERROR(__xludf.DUMMYFUNCTION("""COMPUTED_VALUE"""),"Pulled Pork mit roter Chilisauce")</f>
        <v>Pulled Pork mit roter Chilisauce</v>
      </c>
      <c r="G640" s="186" t="str">
        <f>IFERROR(__xludf.DUMMYFUNCTION("""COMPUTED_VALUE"""),"FE4049B")</f>
        <v>FE4049B</v>
      </c>
      <c r="H640" s="186">
        <f>IFERROR(__xludf.DUMMYFUNCTION("""COMPUTED_VALUE"""),565130.0)</f>
        <v>565130</v>
      </c>
      <c r="I640" s="186" t="str">
        <f>IFERROR(__xludf.DUMMYFUNCTION("""COMPUTED_VALUE"""),"HF Rode Chili &amp; Pulled Pork")</f>
        <v>HF Rode Chili &amp; Pulled Pork</v>
      </c>
      <c r="J640" s="189">
        <f>IFERROR(__xludf.DUMMYFUNCTION("""COMPUTED_VALUE"""),568.0)</f>
        <v>568</v>
      </c>
      <c r="K640" s="189">
        <f>IFERROR(__xludf.DUMMYFUNCTION("""COMPUTED_VALUE"""),588.0)</f>
        <v>588</v>
      </c>
      <c r="L640" s="189">
        <f>IFERROR(__xludf.DUMMYFUNCTION("""COMPUTED_VALUE"""),686.0)</f>
        <v>686</v>
      </c>
      <c r="M640" s="189">
        <f>IFERROR(__xludf.DUMMYFUNCTION("""COMPUTED_VALUE"""),619.0)</f>
        <v>619</v>
      </c>
      <c r="N640" s="189">
        <f>IFERROR(__xludf.DUMMYFUNCTION("""COMPUTED_VALUE"""),613.0)</f>
        <v>613</v>
      </c>
      <c r="O640" s="189">
        <f>IFERROR(__xludf.DUMMYFUNCTION("""COMPUTED_VALUE"""),572.0)</f>
        <v>572</v>
      </c>
      <c r="P640" s="189">
        <f>IFERROR(__xludf.DUMMYFUNCTION("""COMPUTED_VALUE"""),579.0)</f>
        <v>579</v>
      </c>
      <c r="Q640" s="189">
        <f>IFERROR(__xludf.DUMMYFUNCTION("""COMPUTED_VALUE"""),577.0)</f>
        <v>577</v>
      </c>
      <c r="R640" s="186"/>
      <c r="S640" s="189">
        <f>IFERROR(__xludf.DUMMYFUNCTION("""COMPUTED_VALUE"""),587.0)</f>
        <v>587</v>
      </c>
    </row>
    <row r="641">
      <c r="A641" s="186" t="str">
        <f>IFERROR(__xludf.DUMMYFUNCTION("""COMPUTED_VALUE"""),"DE")</f>
        <v>DE</v>
      </c>
      <c r="B641" s="186" t="str">
        <f>IFERROR(__xludf.DUMMYFUNCTION("""COMPUTED_VALUE"""),"W09")</f>
        <v>W09</v>
      </c>
      <c r="C641" s="186">
        <f>IFERROR(__xludf.DUMMYFUNCTION("""COMPUTED_VALUE"""),206.0)</f>
        <v>206</v>
      </c>
      <c r="D641" s="186" t="str">
        <f>IFERROR(__xludf.DUMMYFUNCTION("""COMPUTED_VALUE"""),"PTN-00-136930-3")</f>
        <v>PTN-00-136930-3</v>
      </c>
      <c r="E641" s="186" t="str">
        <f>IFERROR(__xludf.DUMMYFUNCTION("""COMPUTED_VALUE"""),"Garlic Herb Grilled Chicken")</f>
        <v>Garlic Herb Grilled Chicken</v>
      </c>
      <c r="F641" s="186" t="str">
        <f>IFERROR(__xludf.DUMMYFUNCTION("""COMPUTED_VALUE"""),"Gegrilltes Hähnchen mit Knoblauch-Kräutern")</f>
        <v>Gegrilltes Hähnchen mit Knoblauch-Kräutern</v>
      </c>
      <c r="G641" s="186" t="str">
        <f>IFERROR(__xludf.DUMMYFUNCTION("""COMPUTED_VALUE"""),"FEA006A")</f>
        <v>FEA006A</v>
      </c>
      <c r="H641" s="186">
        <f>IFERROR(__xludf.DUMMYFUNCTION("""COMPUTED_VALUE"""),565119.0)</f>
        <v>565119</v>
      </c>
      <c r="I641" s="186"/>
      <c r="J641" s="189">
        <f>IFERROR(__xludf.DUMMYFUNCTION("""COMPUTED_VALUE"""),79.0)</f>
        <v>79</v>
      </c>
      <c r="K641" s="189">
        <f>IFERROR(__xludf.DUMMYFUNCTION("""COMPUTED_VALUE"""),87.0)</f>
        <v>87</v>
      </c>
      <c r="L641" s="189">
        <f>IFERROR(__xludf.DUMMYFUNCTION("""COMPUTED_VALUE"""),67.0)</f>
        <v>67</v>
      </c>
      <c r="M641" s="189">
        <f>IFERROR(__xludf.DUMMYFUNCTION("""COMPUTED_VALUE"""),87.0)</f>
        <v>87</v>
      </c>
      <c r="N641" s="189">
        <f>IFERROR(__xludf.DUMMYFUNCTION("""COMPUTED_VALUE"""),87.0)</f>
        <v>87</v>
      </c>
      <c r="O641" s="189">
        <f>IFERROR(__xludf.DUMMYFUNCTION("""COMPUTED_VALUE"""),67.0)</f>
        <v>67</v>
      </c>
      <c r="P641" s="189">
        <f>IFERROR(__xludf.DUMMYFUNCTION("""COMPUTED_VALUE"""),87.0)</f>
        <v>87</v>
      </c>
      <c r="Q641" s="189">
        <f>IFERROR(__xludf.DUMMYFUNCTION("""COMPUTED_VALUE"""),87.0)</f>
        <v>87</v>
      </c>
      <c r="R641" s="186"/>
      <c r="S641" s="189">
        <f>IFERROR(__xludf.DUMMYFUNCTION("""COMPUTED_VALUE"""),48.0)</f>
        <v>48</v>
      </c>
    </row>
    <row r="642">
      <c r="A642" s="186" t="str">
        <f>IFERROR(__xludf.DUMMYFUNCTION("""COMPUTED_VALUE"""),"DE")</f>
        <v>DE</v>
      </c>
      <c r="B642" s="186" t="str">
        <f>IFERROR(__xludf.DUMMYFUNCTION("""COMPUTED_VALUE"""),"W09")</f>
        <v>W09</v>
      </c>
      <c r="C642" s="186"/>
      <c r="D642" s="186"/>
      <c r="E642" s="186"/>
      <c r="F642" s="186"/>
      <c r="G642" s="186"/>
      <c r="H642" s="186"/>
      <c r="I642" s="186"/>
      <c r="J642" s="189">
        <f>IFERROR(__xludf.DUMMYFUNCTION("""COMPUTED_VALUE"""),26944.0)</f>
        <v>26944</v>
      </c>
      <c r="K642" s="189">
        <f>IFERROR(__xludf.DUMMYFUNCTION("""COMPUTED_VALUE"""),28246.0)</f>
        <v>28246</v>
      </c>
      <c r="L642" s="189">
        <f>IFERROR(__xludf.DUMMYFUNCTION("""COMPUTED_VALUE"""),27924.0)</f>
        <v>27924</v>
      </c>
      <c r="M642" s="189">
        <f>IFERROR(__xludf.DUMMYFUNCTION("""COMPUTED_VALUE"""),27893.0)</f>
        <v>27893</v>
      </c>
      <c r="N642" s="189">
        <f>IFERROR(__xludf.DUMMYFUNCTION("""COMPUTED_VALUE"""),27873.0)</f>
        <v>27873</v>
      </c>
      <c r="O642" s="189">
        <f>IFERROR(__xludf.DUMMYFUNCTION("""COMPUTED_VALUE"""),27389.0)</f>
        <v>27389</v>
      </c>
      <c r="P642" s="189">
        <f>IFERROR(__xludf.DUMMYFUNCTION("""COMPUTED_VALUE"""),28284.0)</f>
        <v>28284</v>
      </c>
      <c r="Q642" s="189">
        <f>IFERROR(__xludf.DUMMYFUNCTION("""COMPUTED_VALUE"""),28644.0)</f>
        <v>28644</v>
      </c>
      <c r="R642" s="189">
        <f>IFERROR(__xludf.DUMMYFUNCTION("""COMPUTED_VALUE"""),0.0)</f>
        <v>0</v>
      </c>
      <c r="S642" s="189">
        <f>IFERROR(__xludf.DUMMYFUNCTION("""COMPUTED_VALUE"""),27140.0)</f>
        <v>27140</v>
      </c>
    </row>
    <row r="643">
      <c r="A643" s="186" t="str">
        <f>IFERROR(__xludf.DUMMYFUNCTION("""COMPUTED_VALUE"""),"NORDICS")</f>
        <v>NORDICS</v>
      </c>
      <c r="B643" s="186" t="str">
        <f>IFERROR(__xludf.DUMMYFUNCTION("""COMPUTED_VALUE"""),"W10")</f>
        <v>W10</v>
      </c>
      <c r="C643" s="186">
        <f>IFERROR(__xludf.DUMMYFUNCTION("""COMPUTED_VALUE"""),601.0)</f>
        <v>601</v>
      </c>
      <c r="D643" s="186" t="str">
        <f>IFERROR(__xludf.DUMMYFUNCTION("""COMPUTED_VALUE"""),"CON-00-152027-2")</f>
        <v>CON-00-152027-2</v>
      </c>
      <c r="E643" s="186" t="str">
        <f>IFERROR(__xludf.DUMMYFUNCTION("""COMPUTED_VALUE"""),"Chive &amp; Garlic Chicken")</f>
        <v>Chive &amp; Garlic Chicken</v>
      </c>
      <c r="F643" s="186" t="str">
        <f>IFERROR(__xludf.DUMMYFUNCTION("""COMPUTED_VALUE"""),"Kylling med purløg og hvidløg")</f>
        <v>Kylling med purløg og hvidløg</v>
      </c>
      <c r="G643" s="186" t="str">
        <f>IFERROR(__xludf.DUMMYFUNCTION("""COMPUTED_VALUE"""),"FE0384K")</f>
        <v>FE0384K</v>
      </c>
      <c r="H643" s="186">
        <f>IFERROR(__xludf.DUMMYFUNCTION("""COMPUTED_VALUE"""),565203.0)</f>
        <v>565203</v>
      </c>
      <c r="I643" s="186" t="str">
        <f>IFERROR(__xludf.DUMMYFUNCTION("""COMPUTED_VALUE"""),"HF Kip cheddar-aardappelpuree")</f>
        <v>HF Kip cheddar-aardappelpuree</v>
      </c>
      <c r="J643" s="189">
        <f>IFERROR(__xludf.DUMMYFUNCTION("""COMPUTED_VALUE"""),6046.0)</f>
        <v>6046</v>
      </c>
      <c r="K643" s="189">
        <f>IFERROR(__xludf.DUMMYFUNCTION("""COMPUTED_VALUE"""),5631.0)</f>
        <v>5631</v>
      </c>
      <c r="L643" s="189">
        <f>IFERROR(__xludf.DUMMYFUNCTION("""COMPUTED_VALUE"""),5017.0)</f>
        <v>5017</v>
      </c>
      <c r="M643" s="189">
        <f>IFERROR(__xludf.DUMMYFUNCTION("""COMPUTED_VALUE"""),4691.0)</f>
        <v>4691</v>
      </c>
      <c r="N643" s="189">
        <f>IFERROR(__xludf.DUMMYFUNCTION("""COMPUTED_VALUE"""),4808.0)</f>
        <v>4808</v>
      </c>
      <c r="O643" s="189">
        <f>IFERROR(__xludf.DUMMYFUNCTION("""COMPUTED_VALUE"""),4779.0)</f>
        <v>4779</v>
      </c>
      <c r="P643" s="189">
        <f>IFERROR(__xludf.DUMMYFUNCTION("""COMPUTED_VALUE"""),4769.0)</f>
        <v>4769</v>
      </c>
      <c r="Q643" s="189">
        <f>IFERROR(__xludf.DUMMYFUNCTION("""COMPUTED_VALUE"""),4702.0)</f>
        <v>4702</v>
      </c>
      <c r="R643" s="186"/>
      <c r="S643" s="189">
        <f>IFERROR(__xludf.DUMMYFUNCTION("""COMPUTED_VALUE"""),4383.0)</f>
        <v>4383</v>
      </c>
    </row>
    <row r="644">
      <c r="A644" s="186" t="str">
        <f>IFERROR(__xludf.DUMMYFUNCTION("""COMPUTED_VALUE"""),"NORDICS")</f>
        <v>NORDICS</v>
      </c>
      <c r="B644" s="186" t="str">
        <f>IFERROR(__xludf.DUMMYFUNCTION("""COMPUTED_VALUE"""),"W10")</f>
        <v>W10</v>
      </c>
      <c r="C644" s="186">
        <f>IFERROR(__xludf.DUMMYFUNCTION("""COMPUTED_VALUE"""),602.0)</f>
        <v>602</v>
      </c>
      <c r="D644" s="186" t="str">
        <f>IFERROR(__xludf.DUMMYFUNCTION("""COMPUTED_VALUE"""),"CON-00-152208-2")</f>
        <v>CON-00-152208-2</v>
      </c>
      <c r="E644" s="186" t="str">
        <f>IFERROR(__xludf.DUMMYFUNCTION("""COMPUTED_VALUE"""),"Green Chile Chicken &amp; Salsa Quinoa")</f>
        <v>Green Chile Chicken &amp; Salsa Quinoa</v>
      </c>
      <c r="F644" s="186" t="str">
        <f>IFERROR(__xludf.DUMMYFUNCTION("""COMPUTED_VALUE"""),"Chilensk inspireret kylling med salsa-quinoa")</f>
        <v>Chilensk inspireret kylling med salsa-quinoa</v>
      </c>
      <c r="G644" s="186" t="str">
        <f>IFERROR(__xludf.DUMMYFUNCTION("""COMPUTED_VALUE"""),"FE1636A")</f>
        <v>FE1636A</v>
      </c>
      <c r="H644" s="186">
        <f>IFERROR(__xludf.DUMMYFUNCTION("""COMPUTED_VALUE"""),565209.0)</f>
        <v>565209</v>
      </c>
      <c r="I644" s="186" t="str">
        <f>IFERROR(__xludf.DUMMYFUNCTION("""COMPUTED_VALUE"""),"HF Quinoa witte bonen salsa")</f>
        <v>HF Quinoa witte bonen salsa</v>
      </c>
      <c r="J644" s="189">
        <f>IFERROR(__xludf.DUMMYFUNCTION("""COMPUTED_VALUE"""),4088.0)</f>
        <v>4088</v>
      </c>
      <c r="K644" s="189">
        <f>IFERROR(__xludf.DUMMYFUNCTION("""COMPUTED_VALUE"""),3515.0)</f>
        <v>3515</v>
      </c>
      <c r="L644" s="189">
        <f>IFERROR(__xludf.DUMMYFUNCTION("""COMPUTED_VALUE"""),3172.0)</f>
        <v>3172</v>
      </c>
      <c r="M644" s="189">
        <f>IFERROR(__xludf.DUMMYFUNCTION("""COMPUTED_VALUE"""),3268.0)</f>
        <v>3268</v>
      </c>
      <c r="N644" s="189">
        <f>IFERROR(__xludf.DUMMYFUNCTION("""COMPUTED_VALUE"""),3252.0)</f>
        <v>3252</v>
      </c>
      <c r="O644" s="189">
        <f>IFERROR(__xludf.DUMMYFUNCTION("""COMPUTED_VALUE"""),3232.0)</f>
        <v>3232</v>
      </c>
      <c r="P644" s="189">
        <f>IFERROR(__xludf.DUMMYFUNCTION("""COMPUTED_VALUE"""),3135.0)</f>
        <v>3135</v>
      </c>
      <c r="Q644" s="189">
        <f>IFERROR(__xludf.DUMMYFUNCTION("""COMPUTED_VALUE"""),3086.0)</f>
        <v>3086</v>
      </c>
      <c r="R644" s="186"/>
      <c r="S644" s="189">
        <f>IFERROR(__xludf.DUMMYFUNCTION("""COMPUTED_VALUE"""),2854.0)</f>
        <v>2854</v>
      </c>
    </row>
    <row r="645">
      <c r="A645" s="186" t="str">
        <f>IFERROR(__xludf.DUMMYFUNCTION("""COMPUTED_VALUE"""),"NORDICS")</f>
        <v>NORDICS</v>
      </c>
      <c r="B645" s="186" t="str">
        <f>IFERROR(__xludf.DUMMYFUNCTION("""COMPUTED_VALUE"""),"W10")</f>
        <v>W10</v>
      </c>
      <c r="C645" s="186">
        <f>IFERROR(__xludf.DUMMYFUNCTION("""COMPUTED_VALUE"""),603.0)</f>
        <v>603</v>
      </c>
      <c r="D645" s="186" t="str">
        <f>IFERROR(__xludf.DUMMYFUNCTION("""COMPUTED_VALUE"""),"CON-00-147854-2")</f>
        <v>CON-00-147854-2</v>
      </c>
      <c r="E645" s="186" t="str">
        <f>IFERROR(__xludf.DUMMYFUNCTION("""COMPUTED_VALUE"""),"Cabbage in cheese sauce with minced beef")</f>
        <v>Cabbage in cheese sauce with minced beef</v>
      </c>
      <c r="F645" s="186" t="str">
        <f>IFERROR(__xludf.DUMMYFUNCTION("""COMPUTED_VALUE"""),"Kål i ostesauce med hakket oksekød")</f>
        <v>Kål i ostesauce med hakket oksekød</v>
      </c>
      <c r="G645" s="186" t="str">
        <f>IFERROR(__xludf.DUMMYFUNCTION("""COMPUTED_VALUE"""),"FE0713B")</f>
        <v>FE0713B</v>
      </c>
      <c r="H645" s="186">
        <f>IFERROR(__xludf.DUMMYFUNCTION("""COMPUTED_VALUE"""),565240.0)</f>
        <v>565240</v>
      </c>
      <c r="I645" s="186" t="str">
        <f>IFERROR(__xludf.DUMMYFUNCTION("""COMPUTED_VALUE"""),"HF RW Kool in kaassaus")</f>
        <v>HF RW Kool in kaassaus</v>
      </c>
      <c r="J645" s="189">
        <f>IFERROR(__xludf.DUMMYFUNCTION("""COMPUTED_VALUE"""),4153.0)</f>
        <v>4153</v>
      </c>
      <c r="K645" s="189">
        <f>IFERROR(__xludf.DUMMYFUNCTION("""COMPUTED_VALUE"""),3786.0)</f>
        <v>3786</v>
      </c>
      <c r="L645" s="189">
        <f>IFERROR(__xludf.DUMMYFUNCTION("""COMPUTED_VALUE"""),2631.0)</f>
        <v>2631</v>
      </c>
      <c r="M645" s="189">
        <f>IFERROR(__xludf.DUMMYFUNCTION("""COMPUTED_VALUE"""),2520.0)</f>
        <v>2520</v>
      </c>
      <c r="N645" s="189">
        <f>IFERROR(__xludf.DUMMYFUNCTION("""COMPUTED_VALUE"""),2565.0)</f>
        <v>2565</v>
      </c>
      <c r="O645" s="189">
        <f>IFERROR(__xludf.DUMMYFUNCTION("""COMPUTED_VALUE"""),2552.0)</f>
        <v>2552</v>
      </c>
      <c r="P645" s="189">
        <f>IFERROR(__xludf.DUMMYFUNCTION("""COMPUTED_VALUE"""),2516.0)</f>
        <v>2516</v>
      </c>
      <c r="Q645" s="189">
        <f>IFERROR(__xludf.DUMMYFUNCTION("""COMPUTED_VALUE"""),2497.0)</f>
        <v>2497</v>
      </c>
      <c r="R645" s="186"/>
      <c r="S645" s="189">
        <f>IFERROR(__xludf.DUMMYFUNCTION("""COMPUTED_VALUE"""),2284.0)</f>
        <v>2284</v>
      </c>
    </row>
    <row r="646">
      <c r="A646" s="186" t="str">
        <f>IFERROR(__xludf.DUMMYFUNCTION("""COMPUTED_VALUE"""),"NORDICS")</f>
        <v>NORDICS</v>
      </c>
      <c r="B646" s="186" t="str">
        <f>IFERROR(__xludf.DUMMYFUNCTION("""COMPUTED_VALUE"""),"W10")</f>
        <v>W10</v>
      </c>
      <c r="C646" s="186">
        <f>IFERROR(__xludf.DUMMYFUNCTION("""COMPUTED_VALUE"""),604.0)</f>
        <v>604</v>
      </c>
      <c r="D646" s="186" t="str">
        <f>IFERROR(__xludf.DUMMYFUNCTION("""COMPUTED_VALUE"""),"CON-00-147888-2")</f>
        <v>CON-00-147888-2</v>
      </c>
      <c r="E646" s="186" t="str">
        <f>IFERROR(__xludf.DUMMYFUNCTION("""COMPUTED_VALUE"""),"Beef &amp; BBQ sauce")</f>
        <v>Beef &amp; BBQ sauce</v>
      </c>
      <c r="F646" s="186" t="str">
        <f>IFERROR(__xludf.DUMMYFUNCTION("""COMPUTED_VALUE"""),"Pulled beef med BBQ sauce")</f>
        <v>Pulled beef med BBQ sauce</v>
      </c>
      <c r="G646" s="186" t="str">
        <f>IFERROR(__xludf.DUMMYFUNCTION("""COMPUTED_VALUE"""),"FE4027B")</f>
        <v>FE4027B</v>
      </c>
      <c r="H646" s="186">
        <f>IFERROR(__xludf.DUMMYFUNCTION("""COMPUTED_VALUE"""),565142.0)</f>
        <v>565142</v>
      </c>
      <c r="I646" s="186" t="str">
        <f>IFERROR(__xludf.DUMMYFUNCTION("""COMPUTED_VALUE"""),"HF RW Rundvlees &amp; BBQ saus RW565085 / FE4027A / CS P+")</f>
        <v>HF RW Rundvlees &amp; BBQ saus RW565085 / FE4027A / CS P+</v>
      </c>
      <c r="J646" s="189">
        <f>IFERROR(__xludf.DUMMYFUNCTION("""COMPUTED_VALUE"""),4070.0)</f>
        <v>4070</v>
      </c>
      <c r="K646" s="189">
        <f>IFERROR(__xludf.DUMMYFUNCTION("""COMPUTED_VALUE"""),3749.0)</f>
        <v>3749</v>
      </c>
      <c r="L646" s="189">
        <f>IFERROR(__xludf.DUMMYFUNCTION("""COMPUTED_VALUE"""),4417.0)</f>
        <v>4417</v>
      </c>
      <c r="M646" s="189">
        <f>IFERROR(__xludf.DUMMYFUNCTION("""COMPUTED_VALUE"""),4046.0)</f>
        <v>4046</v>
      </c>
      <c r="N646" s="189">
        <f>IFERROR(__xludf.DUMMYFUNCTION("""COMPUTED_VALUE"""),4114.0)</f>
        <v>4114</v>
      </c>
      <c r="O646" s="189">
        <f>IFERROR(__xludf.DUMMYFUNCTION("""COMPUTED_VALUE"""),4091.0)</f>
        <v>4091</v>
      </c>
      <c r="P646" s="189">
        <f>IFERROR(__xludf.DUMMYFUNCTION("""COMPUTED_VALUE"""),3977.0)</f>
        <v>3977</v>
      </c>
      <c r="Q646" s="189">
        <f>IFERROR(__xludf.DUMMYFUNCTION("""COMPUTED_VALUE"""),3918.0)</f>
        <v>3918</v>
      </c>
      <c r="R646" s="186"/>
      <c r="S646" s="189">
        <f>IFERROR(__xludf.DUMMYFUNCTION("""COMPUTED_VALUE"""),3682.0)</f>
        <v>3682</v>
      </c>
    </row>
    <row r="647">
      <c r="A647" s="186" t="str">
        <f>IFERROR(__xludf.DUMMYFUNCTION("""COMPUTED_VALUE"""),"NORDICS")</f>
        <v>NORDICS</v>
      </c>
      <c r="B647" s="186" t="str">
        <f>IFERROR(__xludf.DUMMYFUNCTION("""COMPUTED_VALUE"""),"W10")</f>
        <v>W10</v>
      </c>
      <c r="C647" s="186">
        <f>IFERROR(__xludf.DUMMYFUNCTION("""COMPUTED_VALUE"""),605.0)</f>
        <v>605</v>
      </c>
      <c r="D647" s="186" t="str">
        <f>IFERROR(__xludf.DUMMYFUNCTION("""COMPUTED_VALUE"""),"CON-00-147877-2")</f>
        <v>CON-00-147877-2</v>
      </c>
      <c r="E647" s="186" t="str">
        <f>IFERROR(__xludf.DUMMYFUNCTION("""COMPUTED_VALUE"""),"Creamy basil risotto with chicken")</f>
        <v>Creamy basil risotto with chicken</v>
      </c>
      <c r="F647" s="186" t="str">
        <f>IFERROR(__xludf.DUMMYFUNCTION("""COMPUTED_VALUE"""),"Cremet basilikumrisotto med kylling")</f>
        <v>Cremet basilikumrisotto med kylling</v>
      </c>
      <c r="G647" s="186" t="str">
        <f>IFERROR(__xludf.DUMMYFUNCTION("""COMPUTED_VALUE"""),"FE4014B")</f>
        <v>FE4014B</v>
      </c>
      <c r="H647" s="186">
        <f>IFERROR(__xludf.DUMMYFUNCTION("""COMPUTED_VALUE"""),565122.0)</f>
        <v>565122</v>
      </c>
      <c r="I647" s="186"/>
      <c r="J647" s="189">
        <f>IFERROR(__xludf.DUMMYFUNCTION("""COMPUTED_VALUE"""),3273.0)</f>
        <v>3273</v>
      </c>
      <c r="K647" s="189">
        <f>IFERROR(__xludf.DUMMYFUNCTION("""COMPUTED_VALUE"""),2792.0)</f>
        <v>2792</v>
      </c>
      <c r="L647" s="189">
        <f>IFERROR(__xludf.DUMMYFUNCTION("""COMPUTED_VALUE"""),2533.0)</f>
        <v>2533</v>
      </c>
      <c r="M647" s="189">
        <f>IFERROR(__xludf.DUMMYFUNCTION("""COMPUTED_VALUE"""),2197.0)</f>
        <v>2197</v>
      </c>
      <c r="N647" s="189">
        <f>IFERROR(__xludf.DUMMYFUNCTION("""COMPUTED_VALUE"""),2216.0)</f>
        <v>2216</v>
      </c>
      <c r="O647" s="189">
        <f>IFERROR(__xludf.DUMMYFUNCTION("""COMPUTED_VALUE"""),2202.0)</f>
        <v>2202</v>
      </c>
      <c r="P647" s="189">
        <f>IFERROR(__xludf.DUMMYFUNCTION("""COMPUTED_VALUE"""),2258.0)</f>
        <v>2258</v>
      </c>
      <c r="Q647" s="189">
        <f>IFERROR(__xludf.DUMMYFUNCTION("""COMPUTED_VALUE"""),2234.0)</f>
        <v>2234</v>
      </c>
      <c r="R647" s="186"/>
      <c r="S647" s="189">
        <f>IFERROR(__xludf.DUMMYFUNCTION("""COMPUTED_VALUE"""),2080.0)</f>
        <v>2080</v>
      </c>
    </row>
    <row r="648">
      <c r="A648" s="186" t="str">
        <f>IFERROR(__xludf.DUMMYFUNCTION("""COMPUTED_VALUE"""),"NORDICS")</f>
        <v>NORDICS</v>
      </c>
      <c r="B648" s="186" t="str">
        <f>IFERROR(__xludf.DUMMYFUNCTION("""COMPUTED_VALUE"""),"W10")</f>
        <v>W10</v>
      </c>
      <c r="C648" s="186">
        <f>IFERROR(__xludf.DUMMYFUNCTION("""COMPUTED_VALUE"""),606.0)</f>
        <v>606</v>
      </c>
      <c r="D648" s="186" t="str">
        <f>IFERROR(__xludf.DUMMYFUNCTION("""COMPUTED_VALUE"""),"CON-00-152023-2")</f>
        <v>CON-00-152023-2</v>
      </c>
      <c r="E648" s="186" t="str">
        <f>IFERROR(__xludf.DUMMYFUNCTION("""COMPUTED_VALUE"""),"Salmon Piccata")</f>
        <v>Salmon Piccata</v>
      </c>
      <c r="F648" s="186" t="str">
        <f>IFERROR(__xludf.DUMMYFUNCTION("""COMPUTED_VALUE"""),"Laks Piccata ")</f>
        <v>Laks Piccata </v>
      </c>
      <c r="G648" s="186" t="str">
        <f>IFERROR(__xludf.DUMMYFUNCTION("""COMPUTED_VALUE"""),"FE0972B")</f>
        <v>FE0972B</v>
      </c>
      <c r="H648" s="186">
        <f>IFERROR(__xludf.DUMMYFUNCTION("""COMPUTED_VALUE"""),565189.0)</f>
        <v>565189</v>
      </c>
      <c r="I648" s="186" t="str">
        <f>IFERROR(__xludf.DUMMYFUNCTION("""COMPUTED_VALUE"""),"HF Zalm met piccata saus")</f>
        <v>HF Zalm met piccata saus</v>
      </c>
      <c r="J648" s="189">
        <f>IFERROR(__xludf.DUMMYFUNCTION("""COMPUTED_VALUE"""),2669.0)</f>
        <v>2669</v>
      </c>
      <c r="K648" s="189">
        <f>IFERROR(__xludf.DUMMYFUNCTION("""COMPUTED_VALUE"""),2463.0)</f>
        <v>2463</v>
      </c>
      <c r="L648" s="189">
        <f>IFERROR(__xludf.DUMMYFUNCTION("""COMPUTED_VALUE"""),2452.0)</f>
        <v>2452</v>
      </c>
      <c r="M648" s="189">
        <f>IFERROR(__xludf.DUMMYFUNCTION("""COMPUTED_VALUE"""),2277.0)</f>
        <v>2277</v>
      </c>
      <c r="N648" s="189">
        <f>IFERROR(__xludf.DUMMYFUNCTION("""COMPUTED_VALUE"""),2330.0)</f>
        <v>2330</v>
      </c>
      <c r="O648" s="189">
        <f>IFERROR(__xludf.DUMMYFUNCTION("""COMPUTED_VALUE"""),2316.0)</f>
        <v>2316</v>
      </c>
      <c r="P648" s="189">
        <f>IFERROR(__xludf.DUMMYFUNCTION("""COMPUTED_VALUE"""),2301.0)</f>
        <v>2301</v>
      </c>
      <c r="Q648" s="189">
        <f>IFERROR(__xludf.DUMMYFUNCTION("""COMPUTED_VALUE"""),2287.0)</f>
        <v>2287</v>
      </c>
      <c r="R648" s="186"/>
      <c r="S648" s="189">
        <f>IFERROR(__xludf.DUMMYFUNCTION("""COMPUTED_VALUE"""),2045.0)</f>
        <v>2045</v>
      </c>
    </row>
    <row r="649">
      <c r="A649" s="186" t="str">
        <f>IFERROR(__xludf.DUMMYFUNCTION("""COMPUTED_VALUE"""),"NORDICS")</f>
        <v>NORDICS</v>
      </c>
      <c r="B649" s="186" t="str">
        <f>IFERROR(__xludf.DUMMYFUNCTION("""COMPUTED_VALUE"""),"W10")</f>
        <v>W10</v>
      </c>
      <c r="C649" s="186">
        <f>IFERROR(__xludf.DUMMYFUNCTION("""COMPUTED_VALUE"""),607.0)</f>
        <v>607</v>
      </c>
      <c r="D649" s="186" t="str">
        <f>IFERROR(__xludf.DUMMYFUNCTION("""COMPUTED_VALUE"""),"CON-00-147894-2")</f>
        <v>CON-00-147894-2</v>
      </c>
      <c r="E649" s="186" t="str">
        <f>IFERROR(__xludf.DUMMYFUNCTION("""COMPUTED_VALUE"""),"Chicken in mushroom sauce")</f>
        <v>Chicken in mushroom sauce</v>
      </c>
      <c r="F649" s="186" t="str">
        <f>IFERROR(__xludf.DUMMYFUNCTION("""COMPUTED_VALUE"""),"Kylling i svampesauce     ")</f>
        <v>Kylling i svampesauce     </v>
      </c>
      <c r="G649" s="186" t="str">
        <f>IFERROR(__xludf.DUMMYFUNCTION("""COMPUTED_VALUE"""),"FE4038B")</f>
        <v>FE4038B</v>
      </c>
      <c r="H649" s="186">
        <f>IFERROR(__xludf.DUMMYFUNCTION("""COMPUTED_VALUE"""),565160.0)</f>
        <v>565160</v>
      </c>
      <c r="I649" s="186"/>
      <c r="J649" s="189">
        <f>IFERROR(__xludf.DUMMYFUNCTION("""COMPUTED_VALUE"""),2306.0)</f>
        <v>2306</v>
      </c>
      <c r="K649" s="189">
        <f>IFERROR(__xludf.DUMMYFUNCTION("""COMPUTED_VALUE"""),2061.0)</f>
        <v>2061</v>
      </c>
      <c r="L649" s="189">
        <f>IFERROR(__xludf.DUMMYFUNCTION("""COMPUTED_VALUE"""),1935.0)</f>
        <v>1935</v>
      </c>
      <c r="M649" s="189">
        <f>IFERROR(__xludf.DUMMYFUNCTION("""COMPUTED_VALUE"""),1692.0)</f>
        <v>1692</v>
      </c>
      <c r="N649" s="189">
        <f>IFERROR(__xludf.DUMMYFUNCTION("""COMPUTED_VALUE"""),1653.0)</f>
        <v>1653</v>
      </c>
      <c r="O649" s="189">
        <f>IFERROR(__xludf.DUMMYFUNCTION("""COMPUTED_VALUE"""),1644.0)</f>
        <v>1644</v>
      </c>
      <c r="P649" s="189">
        <f>IFERROR(__xludf.DUMMYFUNCTION("""COMPUTED_VALUE"""),1635.0)</f>
        <v>1635</v>
      </c>
      <c r="Q649" s="189">
        <f>IFERROR(__xludf.DUMMYFUNCTION("""COMPUTED_VALUE"""),1637.0)</f>
        <v>1637</v>
      </c>
      <c r="R649" s="186"/>
      <c r="S649" s="189">
        <f>IFERROR(__xludf.DUMMYFUNCTION("""COMPUTED_VALUE"""),1477.0)</f>
        <v>1477</v>
      </c>
    </row>
    <row r="650">
      <c r="A650" s="186" t="str">
        <f>IFERROR(__xludf.DUMMYFUNCTION("""COMPUTED_VALUE"""),"NORDICS")</f>
        <v>NORDICS</v>
      </c>
      <c r="B650" s="186" t="str">
        <f>IFERROR(__xludf.DUMMYFUNCTION("""COMPUTED_VALUE"""),"W10")</f>
        <v>W10</v>
      </c>
      <c r="C650" s="186">
        <f>IFERROR(__xludf.DUMMYFUNCTION("""COMPUTED_VALUE"""),608.0)</f>
        <v>608</v>
      </c>
      <c r="D650" s="186" t="str">
        <f>IFERROR(__xludf.DUMMYFUNCTION("""COMPUTED_VALUE"""),"CON-00-147812-2")</f>
        <v>CON-00-147812-2</v>
      </c>
      <c r="E650" s="186" t="str">
        <f>IFERROR(__xludf.DUMMYFUNCTION("""COMPUTED_VALUE"""),"Chicken in tomato cream sauce")</f>
        <v>Chicken in tomato cream sauce</v>
      </c>
      <c r="F650" s="186" t="str">
        <f>IFERROR(__xludf.DUMMYFUNCTION("""COMPUTED_VALUE"""),"Kylling i cremet tomatsauce")</f>
        <v>Kylling i cremet tomatsauce</v>
      </c>
      <c r="G650" s="186" t="str">
        <f>IFERROR(__xludf.DUMMYFUNCTION("""COMPUTED_VALUE"""),"FE0024E")</f>
        <v>FE0024E</v>
      </c>
      <c r="H650" s="186">
        <f>IFERROR(__xludf.DUMMYFUNCTION("""COMPUTED_VALUE"""),565150.0)</f>
        <v>565150</v>
      </c>
      <c r="I650" s="186" t="str">
        <f>IFERROR(__xludf.DUMMYFUNCTION("""COMPUTED_VALUE"""),"HF RW Kipfilet in tom-roomsaus")</f>
        <v>HF RW Kipfilet in tom-roomsaus</v>
      </c>
      <c r="J650" s="189">
        <f>IFERROR(__xludf.DUMMYFUNCTION("""COMPUTED_VALUE"""),2564.0)</f>
        <v>2564</v>
      </c>
      <c r="K650" s="189">
        <f>IFERROR(__xludf.DUMMYFUNCTION("""COMPUTED_VALUE"""),2400.0)</f>
        <v>2400</v>
      </c>
      <c r="L650" s="189">
        <f>IFERROR(__xludf.DUMMYFUNCTION("""COMPUTED_VALUE"""),2154.0)</f>
        <v>2154</v>
      </c>
      <c r="M650" s="189">
        <f>IFERROR(__xludf.DUMMYFUNCTION("""COMPUTED_VALUE"""),1817.0)</f>
        <v>1817</v>
      </c>
      <c r="N650" s="189">
        <f>IFERROR(__xludf.DUMMYFUNCTION("""COMPUTED_VALUE"""),1771.0)</f>
        <v>1771</v>
      </c>
      <c r="O650" s="189">
        <f>IFERROR(__xludf.DUMMYFUNCTION("""COMPUTED_VALUE"""),1761.0)</f>
        <v>1761</v>
      </c>
      <c r="P650" s="189">
        <f>IFERROR(__xludf.DUMMYFUNCTION("""COMPUTED_VALUE"""),1720.0)</f>
        <v>1720</v>
      </c>
      <c r="Q650" s="189">
        <f>IFERROR(__xludf.DUMMYFUNCTION("""COMPUTED_VALUE"""),1742.0)</f>
        <v>1742</v>
      </c>
      <c r="R650" s="186"/>
      <c r="S650" s="189">
        <f>IFERROR(__xludf.DUMMYFUNCTION("""COMPUTED_VALUE"""),1543.0)</f>
        <v>1543</v>
      </c>
    </row>
    <row r="651">
      <c r="A651" s="186" t="str">
        <f>IFERROR(__xludf.DUMMYFUNCTION("""COMPUTED_VALUE"""),"NORDICS")</f>
        <v>NORDICS</v>
      </c>
      <c r="B651" s="186" t="str">
        <f>IFERROR(__xludf.DUMMYFUNCTION("""COMPUTED_VALUE"""),"W10")</f>
        <v>W10</v>
      </c>
      <c r="C651" s="186">
        <f>IFERROR(__xludf.DUMMYFUNCTION("""COMPUTED_VALUE"""),609.0)</f>
        <v>609</v>
      </c>
      <c r="D651" s="186" t="str">
        <f>IFERROR(__xludf.DUMMYFUNCTION("""COMPUTED_VALUE"""),"CON-00-147818-2")</f>
        <v>CON-00-147818-2</v>
      </c>
      <c r="E651" s="186" t="str">
        <f>IFERROR(__xludf.DUMMYFUNCTION("""COMPUTED_VALUE"""),"Mexican style corn cake")</f>
        <v>Mexican style corn cake</v>
      </c>
      <c r="F651" s="186" t="str">
        <f>IFERROR(__xludf.DUMMYFUNCTION("""COMPUTED_VALUE"""),"Mexicansk-inspireret majskage")</f>
        <v>Mexicansk-inspireret majskage</v>
      </c>
      <c r="G651" s="186" t="str">
        <f>IFERROR(__xludf.DUMMYFUNCTION("""COMPUTED_VALUE"""),"FE0121C")</f>
        <v>FE0121C</v>
      </c>
      <c r="H651" s="186">
        <f>IFERROR(__xludf.DUMMYFUNCTION("""COMPUTED_VALUE"""),565023.0)</f>
        <v>565023</v>
      </c>
      <c r="I651" s="186" t="str">
        <f>IFERROR(__xludf.DUMMYFUNCTION("""COMPUTED_VALUE"""),"HF Mex.stijl maiscake")</f>
        <v>HF Mex.stijl maiscake</v>
      </c>
      <c r="J651" s="189">
        <f>IFERROR(__xludf.DUMMYFUNCTION("""COMPUTED_VALUE"""),435.0)</f>
        <v>435</v>
      </c>
      <c r="K651" s="189">
        <f>IFERROR(__xludf.DUMMYFUNCTION("""COMPUTED_VALUE"""),424.0)</f>
        <v>424</v>
      </c>
      <c r="L651" s="189">
        <f>IFERROR(__xludf.DUMMYFUNCTION("""COMPUTED_VALUE"""),447.0)</f>
        <v>447</v>
      </c>
      <c r="M651" s="189">
        <f>IFERROR(__xludf.DUMMYFUNCTION("""COMPUTED_VALUE"""),341.0)</f>
        <v>341</v>
      </c>
      <c r="N651" s="189">
        <f>IFERROR(__xludf.DUMMYFUNCTION("""COMPUTED_VALUE"""),355.0)</f>
        <v>355</v>
      </c>
      <c r="O651" s="189">
        <f>IFERROR(__xludf.DUMMYFUNCTION("""COMPUTED_VALUE"""),353.0)</f>
        <v>353</v>
      </c>
      <c r="P651" s="189">
        <f>IFERROR(__xludf.DUMMYFUNCTION("""COMPUTED_VALUE"""),346.0)</f>
        <v>346</v>
      </c>
      <c r="Q651" s="189">
        <f>IFERROR(__xludf.DUMMYFUNCTION("""COMPUTED_VALUE"""),340.0)</f>
        <v>340</v>
      </c>
      <c r="R651" s="186"/>
      <c r="S651" s="189">
        <f>IFERROR(__xludf.DUMMYFUNCTION("""COMPUTED_VALUE"""),311.0)</f>
        <v>311</v>
      </c>
    </row>
    <row r="652">
      <c r="A652" s="186" t="str">
        <f>IFERROR(__xludf.DUMMYFUNCTION("""COMPUTED_VALUE"""),"NORDICS")</f>
        <v>NORDICS</v>
      </c>
      <c r="B652" s="186" t="str">
        <f>IFERROR(__xludf.DUMMYFUNCTION("""COMPUTED_VALUE"""),"W10")</f>
        <v>W10</v>
      </c>
      <c r="C652" s="186">
        <f>IFERROR(__xludf.DUMMYFUNCTION("""COMPUTED_VALUE"""),610.0)</f>
        <v>610</v>
      </c>
      <c r="D652" s="186" t="str">
        <f>IFERROR(__xludf.DUMMYFUNCTION("""COMPUTED_VALUE"""),"CON-00-147817-2")</f>
        <v>CON-00-147817-2</v>
      </c>
      <c r="E652" s="186" t="str">
        <f>IFERROR(__xludf.DUMMYFUNCTION("""COMPUTED_VALUE"""),"Ratatouille of zucchini and pepper")</f>
        <v>Ratatouille of zucchini and pepper</v>
      </c>
      <c r="F652" s="186" t="str">
        <f>IFERROR(__xludf.DUMMYFUNCTION("""COMPUTED_VALUE"""),"Squash- og peberfrugtsratatouille")</f>
        <v>Squash- og peberfrugtsratatouille</v>
      </c>
      <c r="G652" s="186" t="str">
        <f>IFERROR(__xludf.DUMMYFUNCTION("""COMPUTED_VALUE"""),"FE0090C")</f>
        <v>FE0090C</v>
      </c>
      <c r="H652" s="186">
        <f>IFERROR(__xludf.DUMMYFUNCTION("""COMPUTED_VALUE"""),565141.0)</f>
        <v>565141</v>
      </c>
      <c r="I652" s="186"/>
      <c r="J652" s="189">
        <f>IFERROR(__xludf.DUMMYFUNCTION("""COMPUTED_VALUE"""),407.0)</f>
        <v>407</v>
      </c>
      <c r="K652" s="189">
        <f>IFERROR(__xludf.DUMMYFUNCTION("""COMPUTED_VALUE"""),351.0)</f>
        <v>351</v>
      </c>
      <c r="L652" s="189">
        <f>IFERROR(__xludf.DUMMYFUNCTION("""COMPUTED_VALUE"""),274.0)</f>
        <v>274</v>
      </c>
      <c r="M652" s="189">
        <f>IFERROR(__xludf.DUMMYFUNCTION("""COMPUTED_VALUE"""),245.0)</f>
        <v>245</v>
      </c>
      <c r="N652" s="189">
        <f>IFERROR(__xludf.DUMMYFUNCTION("""COMPUTED_VALUE"""),252.0)</f>
        <v>252</v>
      </c>
      <c r="O652" s="189">
        <f>IFERROR(__xludf.DUMMYFUNCTION("""COMPUTED_VALUE"""),251.0)</f>
        <v>251</v>
      </c>
      <c r="P652" s="189">
        <f>IFERROR(__xludf.DUMMYFUNCTION("""COMPUTED_VALUE"""),258.0)</f>
        <v>258</v>
      </c>
      <c r="Q652" s="189">
        <f>IFERROR(__xludf.DUMMYFUNCTION("""COMPUTED_VALUE"""),256.0)</f>
        <v>256</v>
      </c>
      <c r="R652" s="186"/>
      <c r="S652" s="189">
        <f>IFERROR(__xludf.DUMMYFUNCTION("""COMPUTED_VALUE"""),225.0)</f>
        <v>225</v>
      </c>
    </row>
    <row r="653">
      <c r="A653" s="186" t="str">
        <f>IFERROR(__xludf.DUMMYFUNCTION("""COMPUTED_VALUE"""),"NORDICS")</f>
        <v>NORDICS</v>
      </c>
      <c r="B653" s="186" t="str">
        <f>IFERROR(__xludf.DUMMYFUNCTION("""COMPUTED_VALUE"""),"W10")</f>
        <v>W10</v>
      </c>
      <c r="C653" s="186">
        <f>IFERROR(__xludf.DUMMYFUNCTION("""COMPUTED_VALUE"""),611.0)</f>
        <v>611</v>
      </c>
      <c r="D653" s="186" t="str">
        <f>IFERROR(__xludf.DUMMYFUNCTION("""COMPUTED_VALUE"""),"CON-00-155388-2")</f>
        <v>CON-00-155388-2</v>
      </c>
      <c r="E653" s="186" t="str">
        <f>IFERROR(__xludf.DUMMYFUNCTION("""COMPUTED_VALUE"""),"Creamy Pistou Pork Tenderloin")</f>
        <v>Creamy Pistou Pork Tenderloin</v>
      </c>
      <c r="F653" s="186" t="str">
        <f>IFERROR(__xludf.DUMMYFUNCTION("""COMPUTED_VALUE"""),"Svinefilet i cremet pistou-sauce")</f>
        <v>Svinefilet i cremet pistou-sauce</v>
      </c>
      <c r="G653" s="186" t="str">
        <f>IFERROR(__xludf.DUMMYFUNCTION("""COMPUTED_VALUE"""),"FE0959A")</f>
        <v>FE0959A</v>
      </c>
      <c r="H653" s="186">
        <f>IFERROR(__xludf.DUMMYFUNCTION("""COMPUTED_VALUE"""),565256.0)</f>
        <v>565256</v>
      </c>
      <c r="I653" s="186" t="str">
        <f>IFERROR(__xludf.DUMMYFUNCTION("""COMPUTED_VALUE"""),"HF Varkenshaas romige pesto")</f>
        <v>HF Varkenshaas romige pesto</v>
      </c>
      <c r="J653" s="189">
        <f>IFERROR(__xludf.DUMMYFUNCTION("""COMPUTED_VALUE"""),956.0)</f>
        <v>956</v>
      </c>
      <c r="K653" s="189">
        <f>IFERROR(__xludf.DUMMYFUNCTION("""COMPUTED_VALUE"""),845.0)</f>
        <v>845</v>
      </c>
      <c r="L653" s="189">
        <f>IFERROR(__xludf.DUMMYFUNCTION("""COMPUTED_VALUE"""),499.0)</f>
        <v>499</v>
      </c>
      <c r="M653" s="189">
        <f>IFERROR(__xludf.DUMMYFUNCTION("""COMPUTED_VALUE"""),301.0)</f>
        <v>301</v>
      </c>
      <c r="N653" s="189">
        <f>IFERROR(__xludf.DUMMYFUNCTION("""COMPUTED_VALUE"""),330.0)</f>
        <v>330</v>
      </c>
      <c r="O653" s="189">
        <f>IFERROR(__xludf.DUMMYFUNCTION("""COMPUTED_VALUE"""),329.0)</f>
        <v>329</v>
      </c>
      <c r="P653" s="189">
        <f>IFERROR(__xludf.DUMMYFUNCTION("""COMPUTED_VALUE"""),399.0)</f>
        <v>399</v>
      </c>
      <c r="Q653" s="189">
        <f>IFERROR(__xludf.DUMMYFUNCTION("""COMPUTED_VALUE"""),398.0)</f>
        <v>398</v>
      </c>
      <c r="R653" s="186"/>
      <c r="S653" s="189">
        <f>IFERROR(__xludf.DUMMYFUNCTION("""COMPUTED_VALUE"""),375.0)</f>
        <v>375</v>
      </c>
    </row>
    <row r="654">
      <c r="A654" s="186" t="str">
        <f>IFERROR(__xludf.DUMMYFUNCTION("""COMPUTED_VALUE"""),"NORDICS")</f>
        <v>NORDICS</v>
      </c>
      <c r="B654" s="186" t="str">
        <f>IFERROR(__xludf.DUMMYFUNCTION("""COMPUTED_VALUE"""),"W10")</f>
        <v>W10</v>
      </c>
      <c r="C654" s="186">
        <f>IFERROR(__xludf.DUMMYFUNCTION("""COMPUTED_VALUE"""),612.0)</f>
        <v>612</v>
      </c>
      <c r="D654" s="186" t="str">
        <f>IFERROR(__xludf.DUMMYFUNCTION("""COMPUTED_VALUE"""),"CON-00-152039-2")</f>
        <v>CON-00-152039-2</v>
      </c>
      <c r="E654" s="186" t="str">
        <f>IFERROR(__xludf.DUMMYFUNCTION("""COMPUTED_VALUE"""),"Thai Style Green Curry Salmon")</f>
        <v>Thai Style Green Curry Salmon</v>
      </c>
      <c r="F654" s="186" t="str">
        <f>IFERROR(__xludf.DUMMYFUNCTION("""COMPUTED_VALUE"""),"Laks i grøn thai-curry")</f>
        <v>Laks i grøn thai-curry</v>
      </c>
      <c r="G654" s="186" t="str">
        <f>IFERROR(__xludf.DUMMYFUNCTION("""COMPUTED_VALUE"""),"FE4066A")</f>
        <v>FE4066A</v>
      </c>
      <c r="H654" s="186">
        <f>IFERROR(__xludf.DUMMYFUNCTION("""COMPUTED_VALUE"""),565218.0)</f>
        <v>565218</v>
      </c>
      <c r="I654" s="186" t="str">
        <f>IFERROR(__xludf.DUMMYFUNCTION("""COMPUTED_VALUE"""),"HF Thaise curry Zalm")</f>
        <v>HF Thaise curry Zalm</v>
      </c>
      <c r="J654" s="189">
        <f>IFERROR(__xludf.DUMMYFUNCTION("""COMPUTED_VALUE"""),2950.0)</f>
        <v>2950</v>
      </c>
      <c r="K654" s="189">
        <f>IFERROR(__xludf.DUMMYFUNCTION("""COMPUTED_VALUE"""),2617.0)</f>
        <v>2617</v>
      </c>
      <c r="L654" s="189">
        <f>IFERROR(__xludf.DUMMYFUNCTION("""COMPUTED_VALUE"""),2481.0)</f>
        <v>2481</v>
      </c>
      <c r="M654" s="189">
        <f>IFERROR(__xludf.DUMMYFUNCTION("""COMPUTED_VALUE"""),2002.0)</f>
        <v>2002</v>
      </c>
      <c r="N654" s="189">
        <f>IFERROR(__xludf.DUMMYFUNCTION("""COMPUTED_VALUE"""),2036.0)</f>
        <v>2036</v>
      </c>
      <c r="O654" s="189">
        <f>IFERROR(__xludf.DUMMYFUNCTION("""COMPUTED_VALUE"""),2024.0)</f>
        <v>2024</v>
      </c>
      <c r="P654" s="189">
        <f>IFERROR(__xludf.DUMMYFUNCTION("""COMPUTED_VALUE"""),1999.0)</f>
        <v>1999</v>
      </c>
      <c r="Q654" s="189">
        <f>IFERROR(__xludf.DUMMYFUNCTION("""COMPUTED_VALUE"""),1994.0)</f>
        <v>1994</v>
      </c>
      <c r="R654" s="186"/>
      <c r="S654" s="189">
        <f>IFERROR(__xludf.DUMMYFUNCTION("""COMPUTED_VALUE"""),1908.0)</f>
        <v>1908</v>
      </c>
    </row>
    <row r="655">
      <c r="A655" s="186" t="str">
        <f>IFERROR(__xludf.DUMMYFUNCTION("""COMPUTED_VALUE"""),"NORDICS")</f>
        <v>NORDICS</v>
      </c>
      <c r="B655" s="186" t="str">
        <f>IFERROR(__xludf.DUMMYFUNCTION("""COMPUTED_VALUE"""),"W10")</f>
        <v>W10</v>
      </c>
      <c r="C655" s="186">
        <f>IFERROR(__xludf.DUMMYFUNCTION("""COMPUTED_VALUE"""),613.0)</f>
        <v>613</v>
      </c>
      <c r="D655" s="186" t="str">
        <f>IFERROR(__xludf.DUMMYFUNCTION("""COMPUTED_VALUE"""),"CON-00-154558-2")</f>
        <v>CON-00-154558-2</v>
      </c>
      <c r="E655" s="186" t="str">
        <f>IFERROR(__xludf.DUMMYFUNCTION("""COMPUTED_VALUE"""),"Athenian-Style Feta Chicken")</f>
        <v>Athenian-Style Feta Chicken</v>
      </c>
      <c r="F655" s="186" t="str">
        <f>IFERROR(__xludf.DUMMYFUNCTION("""COMPUTED_VALUE"""),"Græsk-inspireret kylling med feta")</f>
        <v>Græsk-inspireret kylling med feta</v>
      </c>
      <c r="G655" s="186" t="str">
        <f>IFERROR(__xludf.DUMMYFUNCTION("""COMPUTED_VALUE"""),"FE1429A")</f>
        <v>FE1429A</v>
      </c>
      <c r="H655" s="186">
        <f>IFERROR(__xludf.DUMMYFUNCTION("""COMPUTED_VALUE"""),565230.0)</f>
        <v>565230</v>
      </c>
      <c r="I655" s="186" t="str">
        <f>IFERROR(__xludf.DUMMYFUNCTION("""COMPUTED_VALUE"""),"HF Atheense kip met feta saus")</f>
        <v>HF Atheense kip met feta saus</v>
      </c>
      <c r="J655" s="189">
        <f>IFERROR(__xludf.DUMMYFUNCTION("""COMPUTED_VALUE"""),3171.0)</f>
        <v>3171</v>
      </c>
      <c r="K655" s="189">
        <f>IFERROR(__xludf.DUMMYFUNCTION("""COMPUTED_VALUE"""),3430.0)</f>
        <v>3430</v>
      </c>
      <c r="L655" s="189">
        <f>IFERROR(__xludf.DUMMYFUNCTION("""COMPUTED_VALUE"""),3300.0)</f>
        <v>3300</v>
      </c>
      <c r="M655" s="189">
        <f>IFERROR(__xludf.DUMMYFUNCTION("""COMPUTED_VALUE"""),2652.0)</f>
        <v>2652</v>
      </c>
      <c r="N655" s="189">
        <f>IFERROR(__xludf.DUMMYFUNCTION("""COMPUTED_VALUE"""),2702.0)</f>
        <v>2702</v>
      </c>
      <c r="O655" s="189">
        <f>IFERROR(__xludf.DUMMYFUNCTION("""COMPUTED_VALUE"""),2682.0)</f>
        <v>2682</v>
      </c>
      <c r="P655" s="189">
        <f>IFERROR(__xludf.DUMMYFUNCTION("""COMPUTED_VALUE"""),2639.0)</f>
        <v>2639</v>
      </c>
      <c r="Q655" s="189">
        <f>IFERROR(__xludf.DUMMYFUNCTION("""COMPUTED_VALUE"""),2637.0)</f>
        <v>2637</v>
      </c>
      <c r="R655" s="186"/>
      <c r="S655" s="189">
        <f>IFERROR(__xludf.DUMMYFUNCTION("""COMPUTED_VALUE"""),2464.0)</f>
        <v>2464</v>
      </c>
    </row>
    <row r="656">
      <c r="A656" s="186" t="str">
        <f>IFERROR(__xludf.DUMMYFUNCTION("""COMPUTED_VALUE"""),"NORDICS")</f>
        <v>NORDICS</v>
      </c>
      <c r="B656" s="186" t="str">
        <f>IFERROR(__xludf.DUMMYFUNCTION("""COMPUTED_VALUE"""),"W10")</f>
        <v>W10</v>
      </c>
      <c r="C656" s="186">
        <f>IFERROR(__xludf.DUMMYFUNCTION("""COMPUTED_VALUE"""),614.0)</f>
        <v>614</v>
      </c>
      <c r="D656" s="186" t="str">
        <f>IFERROR(__xludf.DUMMYFUNCTION("""COMPUTED_VALUE"""),"CON-00-155740-2")</f>
        <v>CON-00-155740-2</v>
      </c>
      <c r="E656" s="186" t="str">
        <f>IFERROR(__xludf.DUMMYFUNCTION("""COMPUTED_VALUE"""),"Balsamic-Glazed Chicken")</f>
        <v>Balsamic-Glazed Chicken</v>
      </c>
      <c r="F656" s="186" t="str">
        <f>IFERROR(__xludf.DUMMYFUNCTION("""COMPUTED_VALUE"""),"Kylling med balsamico­sauce")</f>
        <v>Kylling med balsamico­sauce</v>
      </c>
      <c r="G656" s="186" t="str">
        <f>IFERROR(__xludf.DUMMYFUNCTION("""COMPUTED_VALUE"""),"FE4068A")</f>
        <v>FE4068A</v>
      </c>
      <c r="H656" s="186">
        <f>IFERROR(__xludf.DUMMYFUNCTION("""COMPUTED_VALUE"""),565243.0)</f>
        <v>565243</v>
      </c>
      <c r="I656" s="186" t="str">
        <f>IFERROR(__xludf.DUMMYFUNCTION("""COMPUTED_VALUE"""),"HF Kipfilet balsamico glace")</f>
        <v>HF Kipfilet balsamico glace</v>
      </c>
      <c r="J656" s="189">
        <f>IFERROR(__xludf.DUMMYFUNCTION("""COMPUTED_VALUE"""),1152.0)</f>
        <v>1152</v>
      </c>
      <c r="K656" s="189">
        <f>IFERROR(__xludf.DUMMYFUNCTION("""COMPUTED_VALUE"""),1323.0)</f>
        <v>1323</v>
      </c>
      <c r="L656" s="189">
        <f>IFERROR(__xludf.DUMMYFUNCTION("""COMPUTED_VALUE"""),1224.0)</f>
        <v>1224</v>
      </c>
      <c r="M656" s="189">
        <f>IFERROR(__xludf.DUMMYFUNCTION("""COMPUTED_VALUE"""),990.0)</f>
        <v>990</v>
      </c>
      <c r="N656" s="189">
        <f>IFERROR(__xludf.DUMMYFUNCTION("""COMPUTED_VALUE"""),983.0)</f>
        <v>983</v>
      </c>
      <c r="O656" s="189">
        <f>IFERROR(__xludf.DUMMYFUNCTION("""COMPUTED_VALUE"""),977.0)</f>
        <v>977</v>
      </c>
      <c r="P656" s="189">
        <f>IFERROR(__xludf.DUMMYFUNCTION("""COMPUTED_VALUE"""),940.0)</f>
        <v>940</v>
      </c>
      <c r="Q656" s="189">
        <f>IFERROR(__xludf.DUMMYFUNCTION("""COMPUTED_VALUE"""),962.0)</f>
        <v>962</v>
      </c>
      <c r="R656" s="186"/>
      <c r="S656" s="189">
        <f>IFERROR(__xludf.DUMMYFUNCTION("""COMPUTED_VALUE"""),888.0)</f>
        <v>888</v>
      </c>
    </row>
    <row r="657">
      <c r="A657" s="186" t="str">
        <f>IFERROR(__xludf.DUMMYFUNCTION("""COMPUTED_VALUE"""),"NORDICS")</f>
        <v>NORDICS</v>
      </c>
      <c r="B657" s="186" t="str">
        <f>IFERROR(__xludf.DUMMYFUNCTION("""COMPUTED_VALUE"""),"W10")</f>
        <v>W10</v>
      </c>
      <c r="C657" s="186">
        <f>IFERROR(__xludf.DUMMYFUNCTION("""COMPUTED_VALUE"""),615.0)</f>
        <v>615</v>
      </c>
      <c r="D657" s="186" t="str">
        <f>IFERROR(__xludf.DUMMYFUNCTION("""COMPUTED_VALUE"""),"CON-00-147857-2")</f>
        <v>CON-00-147857-2</v>
      </c>
      <c r="E657" s="186" t="str">
        <f>IFERROR(__xludf.DUMMYFUNCTION("""COMPUTED_VALUE"""),"Spicy ground beef with jalapenos")</f>
        <v>Spicy ground beef with jalapenos</v>
      </c>
      <c r="F657" s="186" t="str">
        <f>IFERROR(__xludf.DUMMYFUNCTION("""COMPUTED_VALUE"""),"Krydret hakket oksekød med jalapenos")</f>
        <v>Krydret hakket oksekød med jalapenos</v>
      </c>
      <c r="G657" s="186" t="str">
        <f>IFERROR(__xludf.DUMMYFUNCTION("""COMPUTED_VALUE"""),"FE0746A")</f>
        <v>FE0746A</v>
      </c>
      <c r="H657" s="186">
        <f>IFERROR(__xludf.DUMMYFUNCTION("""COMPUTED_VALUE"""),565091.0)</f>
        <v>565091</v>
      </c>
      <c r="I657" s="186" t="str">
        <f>IFERROR(__xludf.DUMMYFUNCTION("""COMPUTED_VALUE"""),"HF Beef burrito bowl")</f>
        <v>HF Beef burrito bowl</v>
      </c>
      <c r="J657" s="189">
        <f>IFERROR(__xludf.DUMMYFUNCTION("""COMPUTED_VALUE"""),1461.0)</f>
        <v>1461</v>
      </c>
      <c r="K657" s="189">
        <f>IFERROR(__xludf.DUMMYFUNCTION("""COMPUTED_VALUE"""),1221.0)</f>
        <v>1221</v>
      </c>
      <c r="L657" s="189">
        <f>IFERROR(__xludf.DUMMYFUNCTION("""COMPUTED_VALUE"""),1077.0)</f>
        <v>1077</v>
      </c>
      <c r="M657" s="189">
        <f>IFERROR(__xludf.DUMMYFUNCTION("""COMPUTED_VALUE"""),815.0)</f>
        <v>815</v>
      </c>
      <c r="N657" s="189">
        <f>IFERROR(__xludf.DUMMYFUNCTION("""COMPUTED_VALUE"""),852.0)</f>
        <v>852</v>
      </c>
      <c r="O657" s="189">
        <f>IFERROR(__xludf.DUMMYFUNCTION("""COMPUTED_VALUE"""),846.0)</f>
        <v>846</v>
      </c>
      <c r="P657" s="189">
        <f>IFERROR(__xludf.DUMMYFUNCTION("""COMPUTED_VALUE"""),873.0)</f>
        <v>873</v>
      </c>
      <c r="Q657" s="189">
        <f>IFERROR(__xludf.DUMMYFUNCTION("""COMPUTED_VALUE"""),887.0)</f>
        <v>887</v>
      </c>
      <c r="R657" s="186"/>
      <c r="S657" s="189">
        <f>IFERROR(__xludf.DUMMYFUNCTION("""COMPUTED_VALUE"""),846.0)</f>
        <v>846</v>
      </c>
    </row>
    <row r="658">
      <c r="A658" s="186" t="str">
        <f>IFERROR(__xludf.DUMMYFUNCTION("""COMPUTED_VALUE"""),"NORDICS")</f>
        <v>NORDICS</v>
      </c>
      <c r="B658" s="186" t="str">
        <f>IFERROR(__xludf.DUMMYFUNCTION("""COMPUTED_VALUE"""),"W10")</f>
        <v>W10</v>
      </c>
      <c r="C658" s="186">
        <f>IFERROR(__xludf.DUMMYFUNCTION("""COMPUTED_VALUE"""),616.0)</f>
        <v>616</v>
      </c>
      <c r="D658" s="186" t="str">
        <f>IFERROR(__xludf.DUMMYFUNCTION("""COMPUTED_VALUE"""),"CON-00-155741-2")</f>
        <v>CON-00-155741-2</v>
      </c>
      <c r="E658" s="186" t="str">
        <f>IFERROR(__xludf.DUMMYFUNCTION("""COMPUTED_VALUE"""),"Apple Cider &amp; Dijon Chicken")</f>
        <v>Apple Cider &amp; Dijon Chicken</v>
      </c>
      <c r="F658" s="186" t="str">
        <f>IFERROR(__xludf.DUMMYFUNCTION("""COMPUTED_VALUE"""),"Kylling i æblecider-dijonsauce")</f>
        <v>Kylling i æblecider-dijonsauce</v>
      </c>
      <c r="G658" s="186" t="str">
        <f>IFERROR(__xludf.DUMMYFUNCTION("""COMPUTED_VALUE"""),"FE4069A")</f>
        <v>FE4069A</v>
      </c>
      <c r="H658" s="186">
        <f>IFERROR(__xludf.DUMMYFUNCTION("""COMPUTED_VALUE"""),565241.0)</f>
        <v>565241</v>
      </c>
      <c r="I658" s="186" t="str">
        <f>IFERROR(__xludf.DUMMYFUNCTION("""COMPUTED_VALUE"""),"HF Kipfilet appel cider saus")</f>
        <v>HF Kipfilet appel cider saus</v>
      </c>
      <c r="J658" s="189">
        <f>IFERROR(__xludf.DUMMYFUNCTION("""COMPUTED_VALUE"""),1117.0)</f>
        <v>1117</v>
      </c>
      <c r="K658" s="189">
        <f>IFERROR(__xludf.DUMMYFUNCTION("""COMPUTED_VALUE"""),1085.0)</f>
        <v>1085</v>
      </c>
      <c r="L658" s="189">
        <f>IFERROR(__xludf.DUMMYFUNCTION("""COMPUTED_VALUE"""),1525.0)</f>
        <v>1525</v>
      </c>
      <c r="M658" s="189">
        <f>IFERROR(__xludf.DUMMYFUNCTION("""COMPUTED_VALUE"""),820.0)</f>
        <v>820</v>
      </c>
      <c r="N658" s="189">
        <f>IFERROR(__xludf.DUMMYFUNCTION("""COMPUTED_VALUE"""),756.0)</f>
        <v>756</v>
      </c>
      <c r="O658" s="189">
        <f>IFERROR(__xludf.DUMMYFUNCTION("""COMPUTED_VALUE"""),752.0)</f>
        <v>752</v>
      </c>
      <c r="P658" s="189">
        <f>IFERROR(__xludf.DUMMYFUNCTION("""COMPUTED_VALUE"""),666.0)</f>
        <v>666</v>
      </c>
      <c r="Q658" s="189">
        <f>IFERROR(__xludf.DUMMYFUNCTION("""COMPUTED_VALUE"""),649.0)</f>
        <v>649</v>
      </c>
      <c r="R658" s="186"/>
      <c r="S658" s="189">
        <f>IFERROR(__xludf.DUMMYFUNCTION("""COMPUTED_VALUE"""),586.0)</f>
        <v>586</v>
      </c>
    </row>
    <row r="659">
      <c r="A659" s="186" t="str">
        <f>IFERROR(__xludf.DUMMYFUNCTION("""COMPUTED_VALUE"""),"NORDICS")</f>
        <v>NORDICS</v>
      </c>
      <c r="B659" s="186" t="str">
        <f>IFERROR(__xludf.DUMMYFUNCTION("""COMPUTED_VALUE"""),"W10")</f>
        <v>W10</v>
      </c>
      <c r="C659" s="186">
        <f>IFERROR(__xludf.DUMMYFUNCTION("""COMPUTED_VALUE"""),617.0)</f>
        <v>617</v>
      </c>
      <c r="D659" s="186" t="str">
        <f>IFERROR(__xludf.DUMMYFUNCTION("""COMPUTED_VALUE"""),"CON-00-147907-2")</f>
        <v>CON-00-147907-2</v>
      </c>
      <c r="E659" s="186" t="str">
        <f>IFERROR(__xludf.DUMMYFUNCTION("""COMPUTED_VALUE"""),"Artichoke &amp; Spinach Pork tenderloin")</f>
        <v>Artichoke &amp; Spinach Pork tenderloin</v>
      </c>
      <c r="F659" s="186" t="str">
        <f>IFERROR(__xludf.DUMMYFUNCTION("""COMPUTED_VALUE"""),"Svinemørbrad med artiskok og spinat ")</f>
        <v>Svinemørbrad med artiskok og spinat </v>
      </c>
      <c r="G659" s="186" t="str">
        <f>IFERROR(__xludf.DUMMYFUNCTION("""COMPUTED_VALUE"""),"FE4060A")</f>
        <v>FE4060A</v>
      </c>
      <c r="H659" s="186">
        <f>IFERROR(__xludf.DUMMYFUNCTION("""COMPUTED_VALUE"""),565134.0)</f>
        <v>565134</v>
      </c>
      <c r="I659" s="186"/>
      <c r="J659" s="189">
        <f>IFERROR(__xludf.DUMMYFUNCTION("""COMPUTED_VALUE"""),1809.0)</f>
        <v>1809</v>
      </c>
      <c r="K659" s="189">
        <f>IFERROR(__xludf.DUMMYFUNCTION("""COMPUTED_VALUE"""),1664.0)</f>
        <v>1664</v>
      </c>
      <c r="L659" s="189">
        <f>IFERROR(__xludf.DUMMYFUNCTION("""COMPUTED_VALUE"""),1483.0)</f>
        <v>1483</v>
      </c>
      <c r="M659" s="189">
        <f>IFERROR(__xludf.DUMMYFUNCTION("""COMPUTED_VALUE"""),1276.0)</f>
        <v>1276</v>
      </c>
      <c r="N659" s="189">
        <f>IFERROR(__xludf.DUMMYFUNCTION("""COMPUTED_VALUE"""),1295.0)</f>
        <v>1295</v>
      </c>
      <c r="O659" s="189">
        <f>IFERROR(__xludf.DUMMYFUNCTION("""COMPUTED_VALUE"""),1287.0)</f>
        <v>1287</v>
      </c>
      <c r="P659" s="189">
        <f>IFERROR(__xludf.DUMMYFUNCTION("""COMPUTED_VALUE"""),1317.0)</f>
        <v>1317</v>
      </c>
      <c r="Q659" s="189">
        <f>IFERROR(__xludf.DUMMYFUNCTION("""COMPUTED_VALUE"""),1316.0)</f>
        <v>1316</v>
      </c>
      <c r="R659" s="186"/>
      <c r="S659" s="189">
        <f>IFERROR(__xludf.DUMMYFUNCTION("""COMPUTED_VALUE"""),1249.0)</f>
        <v>1249</v>
      </c>
    </row>
    <row r="660">
      <c r="A660" s="186" t="str">
        <f>IFERROR(__xludf.DUMMYFUNCTION("""COMPUTED_VALUE"""),"NORDICS")</f>
        <v>NORDICS</v>
      </c>
      <c r="B660" s="186" t="str">
        <f>IFERROR(__xludf.DUMMYFUNCTION("""COMPUTED_VALUE"""),"W10")</f>
        <v>W10</v>
      </c>
      <c r="C660" s="186">
        <f>IFERROR(__xludf.DUMMYFUNCTION("""COMPUTED_VALUE"""),618.0)</f>
        <v>618</v>
      </c>
      <c r="D660" s="186" t="str">
        <f>IFERROR(__xludf.DUMMYFUNCTION("""COMPUTED_VALUE"""),"CON-00-147861-2")</f>
        <v>CON-00-147861-2</v>
      </c>
      <c r="E660" s="186" t="str">
        <f>IFERROR(__xludf.DUMMYFUNCTION("""COMPUTED_VALUE"""),"Pork tenderloin with apple-mustard sauce")</f>
        <v>Pork tenderloin with apple-mustard sauce</v>
      </c>
      <c r="F660" s="186" t="str">
        <f>IFERROR(__xludf.DUMMYFUNCTION("""COMPUTED_VALUE"""),"Svinemørbrad med æble-sennepssauce ")</f>
        <v>Svinemørbrad med æble-sennepssauce </v>
      </c>
      <c r="G660" s="186" t="str">
        <f>IFERROR(__xludf.DUMMYFUNCTION("""COMPUTED_VALUE"""),"FE0890B")</f>
        <v>FE0890B</v>
      </c>
      <c r="H660" s="186">
        <f>IFERROR(__xludf.DUMMYFUNCTION("""COMPUTED_VALUE"""),565117.0)</f>
        <v>565117</v>
      </c>
      <c r="I660" s="186"/>
      <c r="J660" s="189">
        <f>IFERROR(__xludf.DUMMYFUNCTION("""COMPUTED_VALUE"""),1387.0)</f>
        <v>1387</v>
      </c>
      <c r="K660" s="189">
        <f>IFERROR(__xludf.DUMMYFUNCTION("""COMPUTED_VALUE"""),1094.0)</f>
        <v>1094</v>
      </c>
      <c r="L660" s="189">
        <f>IFERROR(__xludf.DUMMYFUNCTION("""COMPUTED_VALUE"""),620.0)</f>
        <v>620</v>
      </c>
      <c r="M660" s="189">
        <f>IFERROR(__xludf.DUMMYFUNCTION("""COMPUTED_VALUE"""),705.0)</f>
        <v>705</v>
      </c>
      <c r="N660" s="189">
        <f>IFERROR(__xludf.DUMMYFUNCTION("""COMPUTED_VALUE"""),726.0)</f>
        <v>726</v>
      </c>
      <c r="O660" s="189">
        <f>IFERROR(__xludf.DUMMYFUNCTION("""COMPUTED_VALUE"""),722.0)</f>
        <v>722</v>
      </c>
      <c r="P660" s="189">
        <f>IFERROR(__xludf.DUMMYFUNCTION("""COMPUTED_VALUE"""),778.0)</f>
        <v>778</v>
      </c>
      <c r="Q660" s="189">
        <f>IFERROR(__xludf.DUMMYFUNCTION("""COMPUTED_VALUE"""),764.0)</f>
        <v>764</v>
      </c>
      <c r="R660" s="186"/>
      <c r="S660" s="189">
        <f>IFERROR(__xludf.DUMMYFUNCTION("""COMPUTED_VALUE"""),737.0)</f>
        <v>737</v>
      </c>
    </row>
    <row r="661">
      <c r="A661" s="186" t="str">
        <f>IFERROR(__xludf.DUMMYFUNCTION("""COMPUTED_VALUE"""),"NORDICS")</f>
        <v>NORDICS</v>
      </c>
      <c r="B661" s="186" t="str">
        <f>IFERROR(__xludf.DUMMYFUNCTION("""COMPUTED_VALUE"""),"W10")</f>
        <v>W10</v>
      </c>
      <c r="C661" s="186">
        <f>IFERROR(__xludf.DUMMYFUNCTION("""COMPUTED_VALUE"""),706.0)</f>
        <v>706</v>
      </c>
      <c r="D661" s="186" t="str">
        <f>IFERROR(__xludf.DUMMYFUNCTION("""COMPUTED_VALUE"""),"PTN-00-148223-2")</f>
        <v>PTN-00-148223-2</v>
      </c>
      <c r="E661" s="186" t="str">
        <f>IFERROR(__xludf.DUMMYFUNCTION("""COMPUTED_VALUE"""),"Garlic Herb Grilled Chicken")</f>
        <v>Garlic Herb Grilled Chicken</v>
      </c>
      <c r="F661" s="186" t="str">
        <f>IFERROR(__xludf.DUMMYFUNCTION("""COMPUTED_VALUE"""),"Grillet kylling med hvidlød og urter")</f>
        <v>Grillet kylling med hvidlød og urter</v>
      </c>
      <c r="G661" s="186" t="str">
        <f>IFERROR(__xludf.DUMMYFUNCTION("""COMPUTED_VALUE"""),"FEA006A")</f>
        <v>FEA006A</v>
      </c>
      <c r="H661" s="186">
        <f>IFERROR(__xludf.DUMMYFUNCTION("""COMPUTED_VALUE"""),565119.0)</f>
        <v>565119</v>
      </c>
      <c r="I661" s="186"/>
      <c r="J661" s="189">
        <f>IFERROR(__xludf.DUMMYFUNCTION("""COMPUTED_VALUE"""),56.0)</f>
        <v>56</v>
      </c>
      <c r="K661" s="189">
        <f>IFERROR(__xludf.DUMMYFUNCTION("""COMPUTED_VALUE"""),36.0)</f>
        <v>36</v>
      </c>
      <c r="L661" s="189">
        <f>IFERROR(__xludf.DUMMYFUNCTION("""COMPUTED_VALUE"""),56.0)</f>
        <v>56</v>
      </c>
      <c r="M661" s="189">
        <f>IFERROR(__xludf.DUMMYFUNCTION("""COMPUTED_VALUE"""),56.0)</f>
        <v>56</v>
      </c>
      <c r="N661" s="189">
        <f>IFERROR(__xludf.DUMMYFUNCTION("""COMPUTED_VALUE"""),56.0)</f>
        <v>56</v>
      </c>
      <c r="O661" s="189">
        <f>IFERROR(__xludf.DUMMYFUNCTION("""COMPUTED_VALUE"""),56.0)</f>
        <v>56</v>
      </c>
      <c r="P661" s="189">
        <f>IFERROR(__xludf.DUMMYFUNCTION("""COMPUTED_VALUE"""),56.0)</f>
        <v>56</v>
      </c>
      <c r="Q661" s="189">
        <f>IFERROR(__xludf.DUMMYFUNCTION("""COMPUTED_VALUE"""),56.0)</f>
        <v>56</v>
      </c>
      <c r="R661" s="186"/>
      <c r="S661" s="189">
        <f>IFERROR(__xludf.DUMMYFUNCTION("""COMPUTED_VALUE"""),57.0)</f>
        <v>57</v>
      </c>
    </row>
    <row r="662">
      <c r="A662" s="186" t="str">
        <f>IFERROR(__xludf.DUMMYFUNCTION("""COMPUTED_VALUE"""),"NORDICS")</f>
        <v>NORDICS</v>
      </c>
      <c r="B662" s="186" t="str">
        <f>IFERROR(__xludf.DUMMYFUNCTION("""COMPUTED_VALUE"""),"W10")</f>
        <v>W10</v>
      </c>
      <c r="C662" s="186"/>
      <c r="D662" s="186"/>
      <c r="E662" s="186"/>
      <c r="F662" s="186"/>
      <c r="G662" s="186"/>
      <c r="H662" s="186"/>
      <c r="I662" s="186"/>
      <c r="J662" s="189">
        <f>IFERROR(__xludf.DUMMYFUNCTION("""COMPUTED_VALUE"""),44070.0)</f>
        <v>44070</v>
      </c>
      <c r="K662" s="189">
        <f>IFERROR(__xludf.DUMMYFUNCTION("""COMPUTED_VALUE"""),40451.0)</f>
        <v>40451</v>
      </c>
      <c r="L662" s="189">
        <f>IFERROR(__xludf.DUMMYFUNCTION("""COMPUTED_VALUE"""),37241.0)</f>
        <v>37241</v>
      </c>
      <c r="M662" s="189">
        <f>IFERROR(__xludf.DUMMYFUNCTION("""COMPUTED_VALUE"""),32655.0)</f>
        <v>32655</v>
      </c>
      <c r="N662" s="189">
        <f>IFERROR(__xludf.DUMMYFUNCTION("""COMPUTED_VALUE"""),32996.0)</f>
        <v>32996</v>
      </c>
      <c r="O662" s="189">
        <f>IFERROR(__xludf.DUMMYFUNCTION("""COMPUTED_VALUE"""),32800.0)</f>
        <v>32800</v>
      </c>
      <c r="P662" s="189">
        <f>IFERROR(__xludf.DUMMYFUNCTION("""COMPUTED_VALUE"""),32526.0)</f>
        <v>32526</v>
      </c>
      <c r="Q662" s="189">
        <f>IFERROR(__xludf.DUMMYFUNCTION("""COMPUTED_VALUE"""),32306.0)</f>
        <v>32306</v>
      </c>
      <c r="R662" s="189">
        <f>IFERROR(__xludf.DUMMYFUNCTION("""COMPUTED_VALUE"""),0.0)</f>
        <v>0</v>
      </c>
      <c r="S662" s="189">
        <f>IFERROR(__xludf.DUMMYFUNCTION("""COMPUTED_VALUE"""),29937.0)</f>
        <v>29937</v>
      </c>
    </row>
    <row r="663">
      <c r="A663" s="186" t="str">
        <f>IFERROR(__xludf.DUMMYFUNCTION("""COMPUTED_VALUE"""),"DE")</f>
        <v>DE</v>
      </c>
      <c r="B663" s="186" t="str">
        <f>IFERROR(__xludf.DUMMYFUNCTION("""COMPUTED_VALUE"""),"W10")</f>
        <v>W10</v>
      </c>
      <c r="C663" s="186">
        <f>IFERROR(__xludf.DUMMYFUNCTION("""COMPUTED_VALUE"""),301.0)</f>
        <v>301</v>
      </c>
      <c r="D663" s="186" t="str">
        <f>IFERROR(__xludf.DUMMYFUNCTION("""COMPUTED_VALUE"""),"CON-00-152028-2")</f>
        <v>CON-00-152028-2</v>
      </c>
      <c r="E663" s="186" t="str">
        <f>IFERROR(__xludf.DUMMYFUNCTION("""COMPUTED_VALUE"""),"Chive &amp; Garlic Chicken")</f>
        <v>Chive &amp; Garlic Chicken</v>
      </c>
      <c r="F663" s="186" t="str">
        <f>IFERROR(__xludf.DUMMYFUNCTION("""COMPUTED_VALUE"""),"Hähnchenbrust mit Schnittlauch und Knoblauch")</f>
        <v>Hähnchenbrust mit Schnittlauch und Knoblauch</v>
      </c>
      <c r="G663" s="186" t="str">
        <f>IFERROR(__xludf.DUMMYFUNCTION("""COMPUTED_VALUE"""),"FE0384K")</f>
        <v>FE0384K</v>
      </c>
      <c r="H663" s="186">
        <f>IFERROR(__xludf.DUMMYFUNCTION("""COMPUTED_VALUE"""),565203.0)</f>
        <v>565203</v>
      </c>
      <c r="I663" s="186" t="str">
        <f>IFERROR(__xludf.DUMMYFUNCTION("""COMPUTED_VALUE"""),"HF Kip cheddar-aardappelpuree")</f>
        <v>HF Kip cheddar-aardappelpuree</v>
      </c>
      <c r="J663" s="189">
        <f>IFERROR(__xludf.DUMMYFUNCTION("""COMPUTED_VALUE"""),3227.0)</f>
        <v>3227</v>
      </c>
      <c r="K663" s="189">
        <f>IFERROR(__xludf.DUMMYFUNCTION("""COMPUTED_VALUE"""),3299.0)</f>
        <v>3299</v>
      </c>
      <c r="L663" s="189">
        <f>IFERROR(__xludf.DUMMYFUNCTION("""COMPUTED_VALUE"""),3534.0)</f>
        <v>3534</v>
      </c>
      <c r="M663" s="189">
        <f>IFERROR(__xludf.DUMMYFUNCTION("""COMPUTED_VALUE"""),3622.0)</f>
        <v>3622</v>
      </c>
      <c r="N663" s="189">
        <f>IFERROR(__xludf.DUMMYFUNCTION("""COMPUTED_VALUE"""),3579.0)</f>
        <v>3579</v>
      </c>
      <c r="O663" s="189">
        <f>IFERROR(__xludf.DUMMYFUNCTION("""COMPUTED_VALUE"""),3611.0)</f>
        <v>3611</v>
      </c>
      <c r="P663" s="189">
        <f>IFERROR(__xludf.DUMMYFUNCTION("""COMPUTED_VALUE"""),3718.0)</f>
        <v>3718</v>
      </c>
      <c r="Q663" s="189">
        <f>IFERROR(__xludf.DUMMYFUNCTION("""COMPUTED_VALUE"""),3720.0)</f>
        <v>3720</v>
      </c>
      <c r="R663" s="186"/>
      <c r="S663" s="189">
        <f>IFERROR(__xludf.DUMMYFUNCTION("""COMPUTED_VALUE"""),3685.0)</f>
        <v>3685</v>
      </c>
    </row>
    <row r="664">
      <c r="A664" s="186" t="str">
        <f>IFERROR(__xludf.DUMMYFUNCTION("""COMPUTED_VALUE"""),"DE")</f>
        <v>DE</v>
      </c>
      <c r="B664" s="186" t="str">
        <f>IFERROR(__xludf.DUMMYFUNCTION("""COMPUTED_VALUE"""),"W10")</f>
        <v>W10</v>
      </c>
      <c r="C664" s="186">
        <f>IFERROR(__xludf.DUMMYFUNCTION("""COMPUTED_VALUE"""),302.0)</f>
        <v>302</v>
      </c>
      <c r="D664" s="186" t="str">
        <f>IFERROR(__xludf.DUMMYFUNCTION("""COMPUTED_VALUE"""),"CON-00-152205-2")</f>
        <v>CON-00-152205-2</v>
      </c>
      <c r="E664" s="186" t="str">
        <f>IFERROR(__xludf.DUMMYFUNCTION("""COMPUTED_VALUE"""),"Green Chile Chicken &amp; Salsa Quinoa")</f>
        <v>Green Chile Chicken &amp; Salsa Quinoa</v>
      </c>
      <c r="F664" s="186" t="str">
        <f>IFERROR(__xludf.DUMMYFUNCTION("""COMPUTED_VALUE"""),"Grünes Chili-Hähnchen mit Quinoa-Salsa")</f>
        <v>Grünes Chili-Hähnchen mit Quinoa-Salsa</v>
      </c>
      <c r="G664" s="186" t="str">
        <f>IFERROR(__xludf.DUMMYFUNCTION("""COMPUTED_VALUE"""),"FE1636A")</f>
        <v>FE1636A</v>
      </c>
      <c r="H664" s="186">
        <f>IFERROR(__xludf.DUMMYFUNCTION("""COMPUTED_VALUE"""),565209.0)</f>
        <v>565209</v>
      </c>
      <c r="I664" s="186" t="str">
        <f>IFERROR(__xludf.DUMMYFUNCTION("""COMPUTED_VALUE"""),"HF Quinoa witte bonen salsa")</f>
        <v>HF Quinoa witte bonen salsa</v>
      </c>
      <c r="J664" s="189">
        <f>IFERROR(__xludf.DUMMYFUNCTION("""COMPUTED_VALUE"""),2207.0)</f>
        <v>2207</v>
      </c>
      <c r="K664" s="189">
        <f>IFERROR(__xludf.DUMMYFUNCTION("""COMPUTED_VALUE"""),2090.0)</f>
        <v>2090</v>
      </c>
      <c r="L664" s="189">
        <f>IFERROR(__xludf.DUMMYFUNCTION("""COMPUTED_VALUE"""),2211.0)</f>
        <v>2211</v>
      </c>
      <c r="M664" s="189">
        <f>IFERROR(__xludf.DUMMYFUNCTION("""COMPUTED_VALUE"""),2323.0)</f>
        <v>2323</v>
      </c>
      <c r="N664" s="189">
        <f>IFERROR(__xludf.DUMMYFUNCTION("""COMPUTED_VALUE"""),2255.0)</f>
        <v>2255</v>
      </c>
      <c r="O664" s="189">
        <f>IFERROR(__xludf.DUMMYFUNCTION("""COMPUTED_VALUE"""),2275.0)</f>
        <v>2275</v>
      </c>
      <c r="P664" s="189">
        <f>IFERROR(__xludf.DUMMYFUNCTION("""COMPUTED_VALUE"""),2310.0)</f>
        <v>2310</v>
      </c>
      <c r="Q664" s="189">
        <f>IFERROR(__xludf.DUMMYFUNCTION("""COMPUTED_VALUE"""),2315.0)</f>
        <v>2315</v>
      </c>
      <c r="R664" s="186"/>
      <c r="S664" s="189">
        <f>IFERROR(__xludf.DUMMYFUNCTION("""COMPUTED_VALUE"""),2272.0)</f>
        <v>2272</v>
      </c>
    </row>
    <row r="665">
      <c r="A665" s="186" t="str">
        <f>IFERROR(__xludf.DUMMYFUNCTION("""COMPUTED_VALUE"""),"DE")</f>
        <v>DE</v>
      </c>
      <c r="B665" s="186" t="str">
        <f>IFERROR(__xludf.DUMMYFUNCTION("""COMPUTED_VALUE"""),"W10")</f>
        <v>W10</v>
      </c>
      <c r="C665" s="186">
        <f>IFERROR(__xludf.DUMMYFUNCTION("""COMPUTED_VALUE"""),303.0)</f>
        <v>303</v>
      </c>
      <c r="D665" s="186" t="str">
        <f>IFERROR(__xludf.DUMMYFUNCTION("""COMPUTED_VALUE"""),"CON-00-136671-3")</f>
        <v>CON-00-136671-3</v>
      </c>
      <c r="E665" s="186" t="str">
        <f>IFERROR(__xludf.DUMMYFUNCTION("""COMPUTED_VALUE"""),"Cabbage in cheese sauce with minced beef")</f>
        <v>Cabbage in cheese sauce with minced beef</v>
      </c>
      <c r="F665" s="186" t="str">
        <f>IFERROR(__xludf.DUMMYFUNCTION("""COMPUTED_VALUE"""),"Wirsing in Käsesauce mit Hackfleisch")</f>
        <v>Wirsing in Käsesauce mit Hackfleisch</v>
      </c>
      <c r="G665" s="186" t="str">
        <f>IFERROR(__xludf.DUMMYFUNCTION("""COMPUTED_VALUE"""),"FE0713B")</f>
        <v>FE0713B</v>
      </c>
      <c r="H665" s="186">
        <f>IFERROR(__xludf.DUMMYFUNCTION("""COMPUTED_VALUE"""),565240.0)</f>
        <v>565240</v>
      </c>
      <c r="I665" s="186" t="str">
        <f>IFERROR(__xludf.DUMMYFUNCTION("""COMPUTED_VALUE"""),"HF RW Kool in kaassaus")</f>
        <v>HF RW Kool in kaassaus</v>
      </c>
      <c r="J665" s="189">
        <f>IFERROR(__xludf.DUMMYFUNCTION("""COMPUTED_VALUE"""),2516.0)</f>
        <v>2516</v>
      </c>
      <c r="K665" s="189">
        <f>IFERROR(__xludf.DUMMYFUNCTION("""COMPUTED_VALUE"""),2508.0)</f>
        <v>2508</v>
      </c>
      <c r="L665" s="189">
        <f>IFERROR(__xludf.DUMMYFUNCTION("""COMPUTED_VALUE"""),2069.0)</f>
        <v>2069</v>
      </c>
      <c r="M665" s="189">
        <f>IFERROR(__xludf.DUMMYFUNCTION("""COMPUTED_VALUE"""),2007.0)</f>
        <v>2007</v>
      </c>
      <c r="N665" s="189">
        <f>IFERROR(__xludf.DUMMYFUNCTION("""COMPUTED_VALUE"""),2029.0)</f>
        <v>2029</v>
      </c>
      <c r="O665" s="189">
        <f>IFERROR(__xludf.DUMMYFUNCTION("""COMPUTED_VALUE"""),2047.0)</f>
        <v>2047</v>
      </c>
      <c r="P665" s="189">
        <f>IFERROR(__xludf.DUMMYFUNCTION("""COMPUTED_VALUE"""),2040.0)</f>
        <v>2040</v>
      </c>
      <c r="Q665" s="189">
        <f>IFERROR(__xludf.DUMMYFUNCTION("""COMPUTED_VALUE"""),2031.0)</f>
        <v>2031</v>
      </c>
      <c r="R665" s="186"/>
      <c r="S665" s="189">
        <f>IFERROR(__xludf.DUMMYFUNCTION("""COMPUTED_VALUE"""),2021.0)</f>
        <v>2021</v>
      </c>
    </row>
    <row r="666">
      <c r="A666" s="186" t="str">
        <f>IFERROR(__xludf.DUMMYFUNCTION("""COMPUTED_VALUE"""),"DE")</f>
        <v>DE</v>
      </c>
      <c r="B666" s="186" t="str">
        <f>IFERROR(__xludf.DUMMYFUNCTION("""COMPUTED_VALUE"""),"W10")</f>
        <v>W10</v>
      </c>
      <c r="C666" s="186">
        <f>IFERROR(__xludf.DUMMYFUNCTION("""COMPUTED_VALUE"""),304.0)</f>
        <v>304</v>
      </c>
      <c r="D666" s="186" t="str">
        <f>IFERROR(__xludf.DUMMYFUNCTION("""COMPUTED_VALUE"""),"CON-00-136693-3")</f>
        <v>CON-00-136693-3</v>
      </c>
      <c r="E666" s="186" t="str">
        <f>IFERROR(__xludf.DUMMYFUNCTION("""COMPUTED_VALUE"""),"Beef &amp; BBQ sauce")</f>
        <v>Beef &amp; BBQ sauce</v>
      </c>
      <c r="F666" s="186" t="str">
        <f>IFERROR(__xludf.DUMMYFUNCTION("""COMPUTED_VALUE"""),"Rindfleisch mit BBQ-Sauce")</f>
        <v>Rindfleisch mit BBQ-Sauce</v>
      </c>
      <c r="G666" s="186" t="str">
        <f>IFERROR(__xludf.DUMMYFUNCTION("""COMPUTED_VALUE"""),"FE4027B")</f>
        <v>FE4027B</v>
      </c>
      <c r="H666" s="186">
        <f>IFERROR(__xludf.DUMMYFUNCTION("""COMPUTED_VALUE"""),565142.0)</f>
        <v>565142</v>
      </c>
      <c r="I666" s="186" t="str">
        <f>IFERROR(__xludf.DUMMYFUNCTION("""COMPUTED_VALUE"""),"HF RW Rundvlees &amp; BBQ saus RW565085 / FE4027A / CS P+")</f>
        <v>HF RW Rundvlees &amp; BBQ saus RW565085 / FE4027A / CS P+</v>
      </c>
      <c r="J666" s="189">
        <f>IFERROR(__xludf.DUMMYFUNCTION("""COMPUTED_VALUE"""),2609.0)</f>
        <v>2609</v>
      </c>
      <c r="K666" s="189">
        <f>IFERROR(__xludf.DUMMYFUNCTION("""COMPUTED_VALUE"""),2470.0)</f>
        <v>2470</v>
      </c>
      <c r="L666" s="189">
        <f>IFERROR(__xludf.DUMMYFUNCTION("""COMPUTED_VALUE"""),2687.0)</f>
        <v>2687</v>
      </c>
      <c r="M666" s="189">
        <f>IFERROR(__xludf.DUMMYFUNCTION("""COMPUTED_VALUE"""),2726.0)</f>
        <v>2726</v>
      </c>
      <c r="N666" s="189">
        <f>IFERROR(__xludf.DUMMYFUNCTION("""COMPUTED_VALUE"""),2712.0)</f>
        <v>2712</v>
      </c>
      <c r="O666" s="189">
        <f>IFERROR(__xludf.DUMMYFUNCTION("""COMPUTED_VALUE"""),2736.0)</f>
        <v>2736</v>
      </c>
      <c r="P666" s="189">
        <f>IFERROR(__xludf.DUMMYFUNCTION("""COMPUTED_VALUE"""),2856.0)</f>
        <v>2856</v>
      </c>
      <c r="Q666" s="189">
        <f>IFERROR(__xludf.DUMMYFUNCTION("""COMPUTED_VALUE"""),2870.0)</f>
        <v>2870</v>
      </c>
      <c r="R666" s="186"/>
      <c r="S666" s="189">
        <f>IFERROR(__xludf.DUMMYFUNCTION("""COMPUTED_VALUE"""),2879.0)</f>
        <v>2879</v>
      </c>
    </row>
    <row r="667">
      <c r="A667" s="186" t="str">
        <f>IFERROR(__xludf.DUMMYFUNCTION("""COMPUTED_VALUE"""),"DE")</f>
        <v>DE</v>
      </c>
      <c r="B667" s="186" t="str">
        <f>IFERROR(__xludf.DUMMYFUNCTION("""COMPUTED_VALUE"""),"W10")</f>
        <v>W10</v>
      </c>
      <c r="C667" s="186">
        <f>IFERROR(__xludf.DUMMYFUNCTION("""COMPUTED_VALUE"""),305.0)</f>
        <v>305</v>
      </c>
      <c r="D667" s="186" t="str">
        <f>IFERROR(__xludf.DUMMYFUNCTION("""COMPUTED_VALUE"""),"CON-00-136675-3")</f>
        <v>CON-00-136675-3</v>
      </c>
      <c r="E667" s="186" t="str">
        <f>IFERROR(__xludf.DUMMYFUNCTION("""COMPUTED_VALUE"""),"Creamy basil risotto with chicken")</f>
        <v>Creamy basil risotto with chicken</v>
      </c>
      <c r="F667" s="186" t="str">
        <f>IFERROR(__xludf.DUMMYFUNCTION("""COMPUTED_VALUE"""),"Cremiges Basilikum-Risotto")</f>
        <v>Cremiges Basilikum-Risotto</v>
      </c>
      <c r="G667" s="186" t="str">
        <f>IFERROR(__xludf.DUMMYFUNCTION("""COMPUTED_VALUE"""),"FE4014B")</f>
        <v>FE4014B</v>
      </c>
      <c r="H667" s="186">
        <f>IFERROR(__xludf.DUMMYFUNCTION("""COMPUTED_VALUE"""),565122.0)</f>
        <v>565122</v>
      </c>
      <c r="I667" s="186"/>
      <c r="J667" s="189">
        <f>IFERROR(__xludf.DUMMYFUNCTION("""COMPUTED_VALUE"""),2045.0)</f>
        <v>2045</v>
      </c>
      <c r="K667" s="189">
        <f>IFERROR(__xludf.DUMMYFUNCTION("""COMPUTED_VALUE"""),1972.0)</f>
        <v>1972</v>
      </c>
      <c r="L667" s="189">
        <f>IFERROR(__xludf.DUMMYFUNCTION("""COMPUTED_VALUE"""),1893.0)</f>
        <v>1893</v>
      </c>
      <c r="M667" s="189">
        <f>IFERROR(__xludf.DUMMYFUNCTION("""COMPUTED_VALUE"""),1847.0)</f>
        <v>1847</v>
      </c>
      <c r="N667" s="189">
        <f>IFERROR(__xludf.DUMMYFUNCTION("""COMPUTED_VALUE"""),1843.0)</f>
        <v>1843</v>
      </c>
      <c r="O667" s="189">
        <f>IFERROR(__xludf.DUMMYFUNCTION("""COMPUTED_VALUE"""),1859.0)</f>
        <v>1859</v>
      </c>
      <c r="P667" s="189">
        <f>IFERROR(__xludf.DUMMYFUNCTION("""COMPUTED_VALUE"""),2033.0)</f>
        <v>2033</v>
      </c>
      <c r="Q667" s="189">
        <f>IFERROR(__xludf.DUMMYFUNCTION("""COMPUTED_VALUE"""),2050.0)</f>
        <v>2050</v>
      </c>
      <c r="R667" s="186"/>
      <c r="S667" s="189">
        <f>IFERROR(__xludf.DUMMYFUNCTION("""COMPUTED_VALUE"""),2012.0)</f>
        <v>2012</v>
      </c>
    </row>
    <row r="668">
      <c r="A668" s="186" t="str">
        <f>IFERROR(__xludf.DUMMYFUNCTION("""COMPUTED_VALUE"""),"DE")</f>
        <v>DE</v>
      </c>
      <c r="B668" s="186" t="str">
        <f>IFERROR(__xludf.DUMMYFUNCTION("""COMPUTED_VALUE"""),"W10")</f>
        <v>W10</v>
      </c>
      <c r="C668" s="186">
        <f>IFERROR(__xludf.DUMMYFUNCTION("""COMPUTED_VALUE"""),306.0)</f>
        <v>306</v>
      </c>
      <c r="D668" s="186" t="str">
        <f>IFERROR(__xludf.DUMMYFUNCTION("""COMPUTED_VALUE"""),"CON-00-152025-2")</f>
        <v>CON-00-152025-2</v>
      </c>
      <c r="E668" s="186" t="str">
        <f>IFERROR(__xludf.DUMMYFUNCTION("""COMPUTED_VALUE"""),"Salmon Piccata")</f>
        <v>Salmon Piccata</v>
      </c>
      <c r="F668" s="186" t="str">
        <f>IFERROR(__xludf.DUMMYFUNCTION("""COMPUTED_VALUE"""),"Lachs Piccata")</f>
        <v>Lachs Piccata</v>
      </c>
      <c r="G668" s="186" t="str">
        <f>IFERROR(__xludf.DUMMYFUNCTION("""COMPUTED_VALUE"""),"FE0972B")</f>
        <v>FE0972B</v>
      </c>
      <c r="H668" s="186">
        <f>IFERROR(__xludf.DUMMYFUNCTION("""COMPUTED_VALUE"""),565189.0)</f>
        <v>565189</v>
      </c>
      <c r="I668" s="186" t="str">
        <f>IFERROR(__xludf.DUMMYFUNCTION("""COMPUTED_VALUE"""),"HF Zalm met piccata saus")</f>
        <v>HF Zalm met piccata saus</v>
      </c>
      <c r="J668" s="189">
        <f>IFERROR(__xludf.DUMMYFUNCTION("""COMPUTED_VALUE"""),2094.0)</f>
        <v>2094</v>
      </c>
      <c r="K668" s="189">
        <f>IFERROR(__xludf.DUMMYFUNCTION("""COMPUTED_VALUE"""),2134.0)</f>
        <v>2134</v>
      </c>
      <c r="L668" s="189">
        <f>IFERROR(__xludf.DUMMYFUNCTION("""COMPUTED_VALUE"""),1962.0)</f>
        <v>1962</v>
      </c>
      <c r="M668" s="189">
        <f>IFERROR(__xludf.DUMMYFUNCTION("""COMPUTED_VALUE"""),1986.0)</f>
        <v>1986</v>
      </c>
      <c r="N668" s="189">
        <f>IFERROR(__xludf.DUMMYFUNCTION("""COMPUTED_VALUE"""),1980.0)</f>
        <v>1980</v>
      </c>
      <c r="O668" s="189">
        <f>IFERROR(__xludf.DUMMYFUNCTION("""COMPUTED_VALUE"""),1998.0)</f>
        <v>1998</v>
      </c>
      <c r="P668" s="189">
        <f>IFERROR(__xludf.DUMMYFUNCTION("""COMPUTED_VALUE"""),2109.0)</f>
        <v>2109</v>
      </c>
      <c r="Q668" s="189">
        <f>IFERROR(__xludf.DUMMYFUNCTION("""COMPUTED_VALUE"""),2101.0)</f>
        <v>2101</v>
      </c>
      <c r="R668" s="186"/>
      <c r="S668" s="189">
        <f>IFERROR(__xludf.DUMMYFUNCTION("""COMPUTED_VALUE"""),2111.0)</f>
        <v>2111</v>
      </c>
    </row>
    <row r="669">
      <c r="A669" s="186" t="str">
        <f>IFERROR(__xludf.DUMMYFUNCTION("""COMPUTED_VALUE"""),"DE")</f>
        <v>DE</v>
      </c>
      <c r="B669" s="186" t="str">
        <f>IFERROR(__xludf.DUMMYFUNCTION("""COMPUTED_VALUE"""),"W10")</f>
        <v>W10</v>
      </c>
      <c r="C669" s="186">
        <f>IFERROR(__xludf.DUMMYFUNCTION("""COMPUTED_VALUE"""),307.0)</f>
        <v>307</v>
      </c>
      <c r="D669" s="186" t="str">
        <f>IFERROR(__xludf.DUMMYFUNCTION("""COMPUTED_VALUE"""),"CON-00-136711-3")</f>
        <v>CON-00-136711-3</v>
      </c>
      <c r="E669" s="186" t="str">
        <f>IFERROR(__xludf.DUMMYFUNCTION("""COMPUTED_VALUE"""),"Chicken in mushroom sauce")</f>
        <v>Chicken in mushroom sauce</v>
      </c>
      <c r="F669" s="186" t="str">
        <f>IFERROR(__xludf.DUMMYFUNCTION("""COMPUTED_VALUE"""),"Hähnchen in Pilzsauce")</f>
        <v>Hähnchen in Pilzsauce</v>
      </c>
      <c r="G669" s="186" t="str">
        <f>IFERROR(__xludf.DUMMYFUNCTION("""COMPUTED_VALUE"""),"FE4038B")</f>
        <v>FE4038B</v>
      </c>
      <c r="H669" s="186">
        <f>IFERROR(__xludf.DUMMYFUNCTION("""COMPUTED_VALUE"""),565160.0)</f>
        <v>565160</v>
      </c>
      <c r="I669" s="186"/>
      <c r="J669" s="189">
        <f>IFERROR(__xludf.DUMMYFUNCTION("""COMPUTED_VALUE"""),1612.0)</f>
        <v>1612</v>
      </c>
      <c r="K669" s="189">
        <f>IFERROR(__xludf.DUMMYFUNCTION("""COMPUTED_VALUE"""),1674.0)</f>
        <v>1674</v>
      </c>
      <c r="L669" s="189">
        <f>IFERROR(__xludf.DUMMYFUNCTION("""COMPUTED_VALUE"""),1541.0)</f>
        <v>1541</v>
      </c>
      <c r="M669" s="189">
        <f>IFERROR(__xludf.DUMMYFUNCTION("""COMPUTED_VALUE"""),1598.0)</f>
        <v>1598</v>
      </c>
      <c r="N669" s="189">
        <f>IFERROR(__xludf.DUMMYFUNCTION("""COMPUTED_VALUE"""),1610.0)</f>
        <v>1610</v>
      </c>
      <c r="O669" s="189">
        <f>IFERROR(__xludf.DUMMYFUNCTION("""COMPUTED_VALUE"""),1624.0)</f>
        <v>1624</v>
      </c>
      <c r="P669" s="189">
        <f>IFERROR(__xludf.DUMMYFUNCTION("""COMPUTED_VALUE"""),1648.0)</f>
        <v>1648</v>
      </c>
      <c r="Q669" s="189">
        <f>IFERROR(__xludf.DUMMYFUNCTION("""COMPUTED_VALUE"""),1630.0)</f>
        <v>1630</v>
      </c>
      <c r="R669" s="186"/>
      <c r="S669" s="189">
        <f>IFERROR(__xludf.DUMMYFUNCTION("""COMPUTED_VALUE"""),1578.0)</f>
        <v>1578</v>
      </c>
    </row>
    <row r="670">
      <c r="A670" s="186" t="str">
        <f>IFERROR(__xludf.DUMMYFUNCTION("""COMPUTED_VALUE"""),"DE")</f>
        <v>DE</v>
      </c>
      <c r="B670" s="186" t="str">
        <f>IFERROR(__xludf.DUMMYFUNCTION("""COMPUTED_VALUE"""),"W10")</f>
        <v>W10</v>
      </c>
      <c r="C670" s="186">
        <f>IFERROR(__xludf.DUMMYFUNCTION("""COMPUTED_VALUE"""),308.0)</f>
        <v>308</v>
      </c>
      <c r="D670" s="186" t="str">
        <f>IFERROR(__xludf.DUMMYFUNCTION("""COMPUTED_VALUE"""),"CON-00-136673-3")</f>
        <v>CON-00-136673-3</v>
      </c>
      <c r="E670" s="186" t="str">
        <f>IFERROR(__xludf.DUMMYFUNCTION("""COMPUTED_VALUE"""),"Chicken in tomato cream sauce")</f>
        <v>Chicken in tomato cream sauce</v>
      </c>
      <c r="F670" s="186" t="str">
        <f>IFERROR(__xludf.DUMMYFUNCTION("""COMPUTED_VALUE"""),"Hähnchen in Tomatencreme")</f>
        <v>Hähnchen in Tomatencreme</v>
      </c>
      <c r="G670" s="186" t="str">
        <f>IFERROR(__xludf.DUMMYFUNCTION("""COMPUTED_VALUE"""),"FE0024E")</f>
        <v>FE0024E</v>
      </c>
      <c r="H670" s="186">
        <f>IFERROR(__xludf.DUMMYFUNCTION("""COMPUTED_VALUE"""),565150.0)</f>
        <v>565150</v>
      </c>
      <c r="I670" s="186" t="str">
        <f>IFERROR(__xludf.DUMMYFUNCTION("""COMPUTED_VALUE"""),"HF RW Kipfilet in tom-roomsaus")</f>
        <v>HF RW Kipfilet in tom-roomsaus</v>
      </c>
      <c r="J670" s="189">
        <f>IFERROR(__xludf.DUMMYFUNCTION("""COMPUTED_VALUE"""),1843.0)</f>
        <v>1843</v>
      </c>
      <c r="K670" s="189">
        <f>IFERROR(__xludf.DUMMYFUNCTION("""COMPUTED_VALUE"""),1840.0)</f>
        <v>1840</v>
      </c>
      <c r="L670" s="189">
        <f>IFERROR(__xludf.DUMMYFUNCTION("""COMPUTED_VALUE"""),1850.0)</f>
        <v>1850</v>
      </c>
      <c r="M670" s="189">
        <f>IFERROR(__xludf.DUMMYFUNCTION("""COMPUTED_VALUE"""),1772.0)</f>
        <v>1772</v>
      </c>
      <c r="N670" s="189">
        <f>IFERROR(__xludf.DUMMYFUNCTION("""COMPUTED_VALUE"""),1755.0)</f>
        <v>1755</v>
      </c>
      <c r="O670" s="189">
        <f>IFERROR(__xludf.DUMMYFUNCTION("""COMPUTED_VALUE"""),1771.0)</f>
        <v>1771</v>
      </c>
      <c r="P670" s="189">
        <f>IFERROR(__xludf.DUMMYFUNCTION("""COMPUTED_VALUE"""),1776.0)</f>
        <v>1776</v>
      </c>
      <c r="Q670" s="189">
        <f>IFERROR(__xludf.DUMMYFUNCTION("""COMPUTED_VALUE"""),1746.0)</f>
        <v>1746</v>
      </c>
      <c r="R670" s="186"/>
      <c r="S670" s="189">
        <f>IFERROR(__xludf.DUMMYFUNCTION("""COMPUTED_VALUE"""),1663.0)</f>
        <v>1663</v>
      </c>
    </row>
    <row r="671">
      <c r="A671" s="186" t="str">
        <f>IFERROR(__xludf.DUMMYFUNCTION("""COMPUTED_VALUE"""),"DE")</f>
        <v>DE</v>
      </c>
      <c r="B671" s="186" t="str">
        <f>IFERROR(__xludf.DUMMYFUNCTION("""COMPUTED_VALUE"""),"W10")</f>
        <v>W10</v>
      </c>
      <c r="C671" s="186">
        <f>IFERROR(__xludf.DUMMYFUNCTION("""COMPUTED_VALUE"""),309.0)</f>
        <v>309</v>
      </c>
      <c r="D671" s="186" t="str">
        <f>IFERROR(__xludf.DUMMYFUNCTION("""COMPUTED_VALUE"""),"CON-00-136641-3")</f>
        <v>CON-00-136641-3</v>
      </c>
      <c r="E671" s="186" t="str">
        <f>IFERROR(__xludf.DUMMYFUNCTION("""COMPUTED_VALUE"""),"Mexican style corn cake")</f>
        <v>Mexican style corn cake</v>
      </c>
      <c r="F671" s="186" t="str">
        <f>IFERROR(__xludf.DUMMYFUNCTION("""COMPUTED_VALUE"""),"Mexikanischer Maiskuchen")</f>
        <v>Mexikanischer Maiskuchen</v>
      </c>
      <c r="G671" s="186" t="str">
        <f>IFERROR(__xludf.DUMMYFUNCTION("""COMPUTED_VALUE"""),"FE0121C")</f>
        <v>FE0121C</v>
      </c>
      <c r="H671" s="186">
        <f>IFERROR(__xludf.DUMMYFUNCTION("""COMPUTED_VALUE"""),565023.0)</f>
        <v>565023</v>
      </c>
      <c r="I671" s="186" t="str">
        <f>IFERROR(__xludf.DUMMYFUNCTION("""COMPUTED_VALUE"""),"HF Mex.stijl maiscake")</f>
        <v>HF Mex.stijl maiscake</v>
      </c>
      <c r="J671" s="189">
        <f>IFERROR(__xludf.DUMMYFUNCTION("""COMPUTED_VALUE"""),421.0)</f>
        <v>421</v>
      </c>
      <c r="K671" s="189">
        <f>IFERROR(__xludf.DUMMYFUNCTION("""COMPUTED_VALUE"""),435.0)</f>
        <v>435</v>
      </c>
      <c r="L671" s="189">
        <f>IFERROR(__xludf.DUMMYFUNCTION("""COMPUTED_VALUE"""),335.0)</f>
        <v>335</v>
      </c>
      <c r="M671" s="189">
        <f>IFERROR(__xludf.DUMMYFUNCTION("""COMPUTED_VALUE"""),431.0)</f>
        <v>431</v>
      </c>
      <c r="N671" s="189">
        <f>IFERROR(__xludf.DUMMYFUNCTION("""COMPUTED_VALUE"""),444.0)</f>
        <v>444</v>
      </c>
      <c r="O671" s="189">
        <f>IFERROR(__xludf.DUMMYFUNCTION("""COMPUTED_VALUE"""),448.0)</f>
        <v>448</v>
      </c>
      <c r="P671" s="189">
        <f>IFERROR(__xludf.DUMMYFUNCTION("""COMPUTED_VALUE"""),448.0)</f>
        <v>448</v>
      </c>
      <c r="Q671" s="189">
        <f>IFERROR(__xludf.DUMMYFUNCTION("""COMPUTED_VALUE"""),454.0)</f>
        <v>454</v>
      </c>
      <c r="R671" s="186"/>
      <c r="S671" s="189">
        <f>IFERROR(__xludf.DUMMYFUNCTION("""COMPUTED_VALUE"""),455.0)</f>
        <v>455</v>
      </c>
    </row>
    <row r="672">
      <c r="A672" s="186" t="str">
        <f>IFERROR(__xludf.DUMMYFUNCTION("""COMPUTED_VALUE"""),"DE")</f>
        <v>DE</v>
      </c>
      <c r="B672" s="186" t="str">
        <f>IFERROR(__xludf.DUMMYFUNCTION("""COMPUTED_VALUE"""),"W10")</f>
        <v>W10</v>
      </c>
      <c r="C672" s="186">
        <f>IFERROR(__xludf.DUMMYFUNCTION("""COMPUTED_VALUE"""),310.0)</f>
        <v>310</v>
      </c>
      <c r="D672" s="186" t="str">
        <f>IFERROR(__xludf.DUMMYFUNCTION("""COMPUTED_VALUE"""),"CON-00-136634-3")</f>
        <v>CON-00-136634-3</v>
      </c>
      <c r="E672" s="186" t="str">
        <f>IFERROR(__xludf.DUMMYFUNCTION("""COMPUTED_VALUE"""),"Ratatouille of zucchini and pepper")</f>
        <v>Ratatouille of zucchini and pepper</v>
      </c>
      <c r="F672" s="186" t="str">
        <f>IFERROR(__xludf.DUMMYFUNCTION("""COMPUTED_VALUE"""),"Zucchini-Paprika-Ratatouille")</f>
        <v>Zucchini-Paprika-Ratatouille</v>
      </c>
      <c r="G672" s="186" t="str">
        <f>IFERROR(__xludf.DUMMYFUNCTION("""COMPUTED_VALUE"""),"FE0090C")</f>
        <v>FE0090C</v>
      </c>
      <c r="H672" s="186">
        <f>IFERROR(__xludf.DUMMYFUNCTION("""COMPUTED_VALUE"""),565141.0)</f>
        <v>565141</v>
      </c>
      <c r="I672" s="186"/>
      <c r="J672" s="189">
        <f>IFERROR(__xludf.DUMMYFUNCTION("""COMPUTED_VALUE"""),396.0)</f>
        <v>396</v>
      </c>
      <c r="K672" s="189">
        <f>IFERROR(__xludf.DUMMYFUNCTION("""COMPUTED_VALUE"""),366.0)</f>
        <v>366</v>
      </c>
      <c r="L672" s="189">
        <f>IFERROR(__xludf.DUMMYFUNCTION("""COMPUTED_VALUE"""),474.0)</f>
        <v>474</v>
      </c>
      <c r="M672" s="189">
        <f>IFERROR(__xludf.DUMMYFUNCTION("""COMPUTED_VALUE"""),455.0)</f>
        <v>455</v>
      </c>
      <c r="N672" s="189">
        <f>IFERROR(__xludf.DUMMYFUNCTION("""COMPUTED_VALUE"""),440.0)</f>
        <v>440</v>
      </c>
      <c r="O672" s="189">
        <f>IFERROR(__xludf.DUMMYFUNCTION("""COMPUTED_VALUE"""),444.0)</f>
        <v>444</v>
      </c>
      <c r="P672" s="189">
        <f>IFERROR(__xludf.DUMMYFUNCTION("""COMPUTED_VALUE"""),435.0)</f>
        <v>435</v>
      </c>
      <c r="Q672" s="189">
        <f>IFERROR(__xludf.DUMMYFUNCTION("""COMPUTED_VALUE"""),453.0)</f>
        <v>453</v>
      </c>
      <c r="R672" s="186"/>
      <c r="S672" s="189">
        <f>IFERROR(__xludf.DUMMYFUNCTION("""COMPUTED_VALUE"""),422.0)</f>
        <v>422</v>
      </c>
    </row>
    <row r="673">
      <c r="A673" s="186" t="str">
        <f>IFERROR(__xludf.DUMMYFUNCTION("""COMPUTED_VALUE"""),"DE")</f>
        <v>DE</v>
      </c>
      <c r="B673" s="186" t="str">
        <f>IFERROR(__xludf.DUMMYFUNCTION("""COMPUTED_VALUE"""),"W10")</f>
        <v>W10</v>
      </c>
      <c r="C673" s="186">
        <f>IFERROR(__xludf.DUMMYFUNCTION("""COMPUTED_VALUE"""),311.0)</f>
        <v>311</v>
      </c>
      <c r="D673" s="186" t="str">
        <f>IFERROR(__xludf.DUMMYFUNCTION("""COMPUTED_VALUE"""),"CON-00-155387-2")</f>
        <v>CON-00-155387-2</v>
      </c>
      <c r="E673" s="186" t="str">
        <f>IFERROR(__xludf.DUMMYFUNCTION("""COMPUTED_VALUE"""),"Creamy Pistou Pork Tenderloin")</f>
        <v>Creamy Pistou Pork Tenderloin</v>
      </c>
      <c r="F673" s="186" t="str">
        <f>IFERROR(__xludf.DUMMYFUNCTION("""COMPUTED_VALUE"""),"Schweinefilet mit cremigem Pistou")</f>
        <v>Schweinefilet mit cremigem Pistou</v>
      </c>
      <c r="G673" s="186" t="str">
        <f>IFERROR(__xludf.DUMMYFUNCTION("""COMPUTED_VALUE"""),"FE0959A")</f>
        <v>FE0959A</v>
      </c>
      <c r="H673" s="186">
        <f>IFERROR(__xludf.DUMMYFUNCTION("""COMPUTED_VALUE"""),565256.0)</f>
        <v>565256</v>
      </c>
      <c r="I673" s="186" t="str">
        <f>IFERROR(__xludf.DUMMYFUNCTION("""COMPUTED_VALUE"""),"HF Varkenshaas romige pesto")</f>
        <v>HF Varkenshaas romige pesto</v>
      </c>
      <c r="J673" s="189">
        <f>IFERROR(__xludf.DUMMYFUNCTION("""COMPUTED_VALUE"""),649.0)</f>
        <v>649</v>
      </c>
      <c r="K673" s="189">
        <f>IFERROR(__xludf.DUMMYFUNCTION("""COMPUTED_VALUE"""),643.0)</f>
        <v>643</v>
      </c>
      <c r="L673" s="189">
        <f>IFERROR(__xludf.DUMMYFUNCTION("""COMPUTED_VALUE"""),325.0)</f>
        <v>325</v>
      </c>
      <c r="M673" s="189">
        <f>IFERROR(__xludf.DUMMYFUNCTION("""COMPUTED_VALUE"""),306.0)</f>
        <v>306</v>
      </c>
      <c r="N673" s="189">
        <f>IFERROR(__xludf.DUMMYFUNCTION("""COMPUTED_VALUE"""),320.0)</f>
        <v>320</v>
      </c>
      <c r="O673" s="189">
        <f>IFERROR(__xludf.DUMMYFUNCTION("""COMPUTED_VALUE"""),323.0)</f>
        <v>323</v>
      </c>
      <c r="P673" s="189">
        <f>IFERROR(__xludf.DUMMYFUNCTION("""COMPUTED_VALUE"""),314.0)</f>
        <v>314</v>
      </c>
      <c r="Q673" s="189">
        <f>IFERROR(__xludf.DUMMYFUNCTION("""COMPUTED_VALUE"""),319.0)</f>
        <v>319</v>
      </c>
      <c r="R673" s="186"/>
      <c r="S673" s="189">
        <f>IFERROR(__xludf.DUMMYFUNCTION("""COMPUTED_VALUE"""),320.0)</f>
        <v>320</v>
      </c>
    </row>
    <row r="674">
      <c r="A674" s="186" t="str">
        <f>IFERROR(__xludf.DUMMYFUNCTION("""COMPUTED_VALUE"""),"DE")</f>
        <v>DE</v>
      </c>
      <c r="B674" s="186" t="str">
        <f>IFERROR(__xludf.DUMMYFUNCTION("""COMPUTED_VALUE"""),"W10")</f>
        <v>W10</v>
      </c>
      <c r="C674" s="186">
        <f>IFERROR(__xludf.DUMMYFUNCTION("""COMPUTED_VALUE"""),312.0)</f>
        <v>312</v>
      </c>
      <c r="D674" s="186" t="str">
        <f>IFERROR(__xludf.DUMMYFUNCTION("""COMPUTED_VALUE"""),"CON-00-152038-2")</f>
        <v>CON-00-152038-2</v>
      </c>
      <c r="E674" s="186" t="str">
        <f>IFERROR(__xludf.DUMMYFUNCTION("""COMPUTED_VALUE"""),"Thai Style Green Curry Salmon")</f>
        <v>Thai Style Green Curry Salmon</v>
      </c>
      <c r="F674" s="186" t="str">
        <f>IFERROR(__xludf.DUMMYFUNCTION("""COMPUTED_VALUE"""),"Lachs in grünem Thai Style Curry")</f>
        <v>Lachs in grünem Thai Style Curry</v>
      </c>
      <c r="G674" s="186" t="str">
        <f>IFERROR(__xludf.DUMMYFUNCTION("""COMPUTED_VALUE"""),"FE4066A")</f>
        <v>FE4066A</v>
      </c>
      <c r="H674" s="186">
        <f>IFERROR(__xludf.DUMMYFUNCTION("""COMPUTED_VALUE"""),565218.0)</f>
        <v>565218</v>
      </c>
      <c r="I674" s="186" t="str">
        <f>IFERROR(__xludf.DUMMYFUNCTION("""COMPUTED_VALUE"""),"HF Thaise curry Zalm")</f>
        <v>HF Thaise curry Zalm</v>
      </c>
      <c r="J674" s="189">
        <f>IFERROR(__xludf.DUMMYFUNCTION("""COMPUTED_VALUE"""),1772.0)</f>
        <v>1772</v>
      </c>
      <c r="K674" s="189">
        <f>IFERROR(__xludf.DUMMYFUNCTION("""COMPUTED_VALUE"""),1741.0)</f>
        <v>1741</v>
      </c>
      <c r="L674" s="189">
        <f>IFERROR(__xludf.DUMMYFUNCTION("""COMPUTED_VALUE"""),1790.0)</f>
        <v>1790</v>
      </c>
      <c r="M674" s="189">
        <f>IFERROR(__xludf.DUMMYFUNCTION("""COMPUTED_VALUE"""),1723.0)</f>
        <v>1723</v>
      </c>
      <c r="N674" s="189">
        <f>IFERROR(__xludf.DUMMYFUNCTION("""COMPUTED_VALUE"""),1724.0)</f>
        <v>1724</v>
      </c>
      <c r="O674" s="189">
        <f>IFERROR(__xludf.DUMMYFUNCTION("""COMPUTED_VALUE"""),1739.0)</f>
        <v>1739</v>
      </c>
      <c r="P674" s="189">
        <f>IFERROR(__xludf.DUMMYFUNCTION("""COMPUTED_VALUE"""),1812.0)</f>
        <v>1812</v>
      </c>
      <c r="Q674" s="189">
        <f>IFERROR(__xludf.DUMMYFUNCTION("""COMPUTED_VALUE"""),1823.0)</f>
        <v>1823</v>
      </c>
      <c r="R674" s="186"/>
      <c r="S674" s="189">
        <f>IFERROR(__xludf.DUMMYFUNCTION("""COMPUTED_VALUE"""),1782.0)</f>
        <v>1782</v>
      </c>
    </row>
    <row r="675">
      <c r="A675" s="186" t="str">
        <f>IFERROR(__xludf.DUMMYFUNCTION("""COMPUTED_VALUE"""),"DE")</f>
        <v>DE</v>
      </c>
      <c r="B675" s="186" t="str">
        <f>IFERROR(__xludf.DUMMYFUNCTION("""COMPUTED_VALUE"""),"W10")</f>
        <v>W10</v>
      </c>
      <c r="C675" s="186">
        <f>IFERROR(__xludf.DUMMYFUNCTION("""COMPUTED_VALUE"""),313.0)</f>
        <v>313</v>
      </c>
      <c r="D675" s="186" t="str">
        <f>IFERROR(__xludf.DUMMYFUNCTION("""COMPUTED_VALUE"""),"CON-00-154559-2")</f>
        <v>CON-00-154559-2</v>
      </c>
      <c r="E675" s="186" t="str">
        <f>IFERROR(__xludf.DUMMYFUNCTION("""COMPUTED_VALUE"""),"Athenian-Style Feta Chicken")</f>
        <v>Athenian-Style Feta Chicken</v>
      </c>
      <c r="F675" s="186" t="str">
        <f>IFERROR(__xludf.DUMMYFUNCTION("""COMPUTED_VALUE"""),"Hähnchen nach Athener Art mit Feta")</f>
        <v>Hähnchen nach Athener Art mit Feta</v>
      </c>
      <c r="G675" s="186" t="str">
        <f>IFERROR(__xludf.DUMMYFUNCTION("""COMPUTED_VALUE"""),"FE1429A")</f>
        <v>FE1429A</v>
      </c>
      <c r="H675" s="186">
        <f>IFERROR(__xludf.DUMMYFUNCTION("""COMPUTED_VALUE"""),565230.0)</f>
        <v>565230</v>
      </c>
      <c r="I675" s="186" t="str">
        <f>IFERROR(__xludf.DUMMYFUNCTION("""COMPUTED_VALUE"""),"HF Atheense kip met feta saus")</f>
        <v>HF Atheense kip met feta saus</v>
      </c>
      <c r="J675" s="189">
        <f>IFERROR(__xludf.DUMMYFUNCTION("""COMPUTED_VALUE"""),1968.0)</f>
        <v>1968</v>
      </c>
      <c r="K675" s="189">
        <f>IFERROR(__xludf.DUMMYFUNCTION("""COMPUTED_VALUE"""),2153.0)</f>
        <v>2153</v>
      </c>
      <c r="L675" s="189">
        <f>IFERROR(__xludf.DUMMYFUNCTION("""COMPUTED_VALUE"""),2224.0)</f>
        <v>2224</v>
      </c>
      <c r="M675" s="189">
        <f>IFERROR(__xludf.DUMMYFUNCTION("""COMPUTED_VALUE"""),2150.0)</f>
        <v>2150</v>
      </c>
      <c r="N675" s="189">
        <f>IFERROR(__xludf.DUMMYFUNCTION("""COMPUTED_VALUE"""),2149.0)</f>
        <v>2149</v>
      </c>
      <c r="O675" s="189">
        <f>IFERROR(__xludf.DUMMYFUNCTION("""COMPUTED_VALUE"""),2168.0)</f>
        <v>2168</v>
      </c>
      <c r="P675" s="189">
        <f>IFERROR(__xludf.DUMMYFUNCTION("""COMPUTED_VALUE"""),2141.0)</f>
        <v>2141</v>
      </c>
      <c r="Q675" s="189">
        <f>IFERROR(__xludf.DUMMYFUNCTION("""COMPUTED_VALUE"""),2153.0)</f>
        <v>2153</v>
      </c>
      <c r="R675" s="186"/>
      <c r="S675" s="189">
        <f>IFERROR(__xludf.DUMMYFUNCTION("""COMPUTED_VALUE"""),2069.0)</f>
        <v>2069</v>
      </c>
    </row>
    <row r="676">
      <c r="A676" s="186" t="str">
        <f>IFERROR(__xludf.DUMMYFUNCTION("""COMPUTED_VALUE"""),"DE")</f>
        <v>DE</v>
      </c>
      <c r="B676" s="186" t="str">
        <f>IFERROR(__xludf.DUMMYFUNCTION("""COMPUTED_VALUE"""),"W10")</f>
        <v>W10</v>
      </c>
      <c r="C676" s="186">
        <f>IFERROR(__xludf.DUMMYFUNCTION("""COMPUTED_VALUE"""),314.0)</f>
        <v>314</v>
      </c>
      <c r="D676" s="186" t="str">
        <f>IFERROR(__xludf.DUMMYFUNCTION("""COMPUTED_VALUE"""),"CON-00-155739-2")</f>
        <v>CON-00-155739-2</v>
      </c>
      <c r="E676" s="186" t="str">
        <f>IFERROR(__xludf.DUMMYFUNCTION("""COMPUTED_VALUE"""),"Balsamic-Glazed Chicken")</f>
        <v>Balsamic-Glazed Chicken</v>
      </c>
      <c r="F676" s="186" t="str">
        <f>IFERROR(__xludf.DUMMYFUNCTION("""COMPUTED_VALUE"""),"Balsamico-Glasur Hähnchen")</f>
        <v>Balsamico-Glasur Hähnchen</v>
      </c>
      <c r="G676" s="186" t="str">
        <f>IFERROR(__xludf.DUMMYFUNCTION("""COMPUTED_VALUE"""),"FE4068A")</f>
        <v>FE4068A</v>
      </c>
      <c r="H676" s="186">
        <f>IFERROR(__xludf.DUMMYFUNCTION("""COMPUTED_VALUE"""),565243.0)</f>
        <v>565243</v>
      </c>
      <c r="I676" s="186" t="str">
        <f>IFERROR(__xludf.DUMMYFUNCTION("""COMPUTED_VALUE"""),"HF Kipfilet balsamico glace")</f>
        <v>HF Kipfilet balsamico glace</v>
      </c>
      <c r="J676" s="189">
        <f>IFERROR(__xludf.DUMMYFUNCTION("""COMPUTED_VALUE"""),869.0)</f>
        <v>869</v>
      </c>
      <c r="K676" s="189">
        <f>IFERROR(__xludf.DUMMYFUNCTION("""COMPUTED_VALUE"""),981.0)</f>
        <v>981</v>
      </c>
      <c r="L676" s="189">
        <f>IFERROR(__xludf.DUMMYFUNCTION("""COMPUTED_VALUE"""),1392.0)</f>
        <v>1392</v>
      </c>
      <c r="M676" s="189">
        <f>IFERROR(__xludf.DUMMYFUNCTION("""COMPUTED_VALUE"""),1236.0)</f>
        <v>1236</v>
      </c>
      <c r="N676" s="189">
        <f>IFERROR(__xludf.DUMMYFUNCTION("""COMPUTED_VALUE"""),1187.0)</f>
        <v>1187</v>
      </c>
      <c r="O676" s="189">
        <f>IFERROR(__xludf.DUMMYFUNCTION("""COMPUTED_VALUE"""),1198.0)</f>
        <v>1198</v>
      </c>
      <c r="P676" s="189">
        <f>IFERROR(__xludf.DUMMYFUNCTION("""COMPUTED_VALUE"""),1128.0)</f>
        <v>1128</v>
      </c>
      <c r="Q676" s="189">
        <f>IFERROR(__xludf.DUMMYFUNCTION("""COMPUTED_VALUE"""),1111.0)</f>
        <v>1111</v>
      </c>
      <c r="R676" s="186"/>
      <c r="S676" s="189">
        <f>IFERROR(__xludf.DUMMYFUNCTION("""COMPUTED_VALUE"""),1069.0)</f>
        <v>1069</v>
      </c>
    </row>
    <row r="677">
      <c r="A677" s="186" t="str">
        <f>IFERROR(__xludf.DUMMYFUNCTION("""COMPUTED_VALUE"""),"DE")</f>
        <v>DE</v>
      </c>
      <c r="B677" s="186" t="str">
        <f>IFERROR(__xludf.DUMMYFUNCTION("""COMPUTED_VALUE"""),"W10")</f>
        <v>W10</v>
      </c>
      <c r="C677" s="186">
        <f>IFERROR(__xludf.DUMMYFUNCTION("""COMPUTED_VALUE"""),315.0)</f>
        <v>315</v>
      </c>
      <c r="D677" s="186" t="str">
        <f>IFERROR(__xludf.DUMMYFUNCTION("""COMPUTED_VALUE"""),"CON-00-136694-3")</f>
        <v>CON-00-136694-3</v>
      </c>
      <c r="E677" s="186" t="str">
        <f>IFERROR(__xludf.DUMMYFUNCTION("""COMPUTED_VALUE"""),"Spicy ground beef with jalapenos")</f>
        <v>Spicy ground beef with jalapenos</v>
      </c>
      <c r="F677" s="186" t="str">
        <f>IFERROR(__xludf.DUMMYFUNCTION("""COMPUTED_VALUE"""),"Scharfes Rinderhack mit Jalapeños")</f>
        <v>Scharfes Rinderhack mit Jalapeños</v>
      </c>
      <c r="G677" s="186" t="str">
        <f>IFERROR(__xludf.DUMMYFUNCTION("""COMPUTED_VALUE"""),"FE0746A")</f>
        <v>FE0746A</v>
      </c>
      <c r="H677" s="186">
        <f>IFERROR(__xludf.DUMMYFUNCTION("""COMPUTED_VALUE"""),565091.0)</f>
        <v>565091</v>
      </c>
      <c r="I677" s="186" t="str">
        <f>IFERROR(__xludf.DUMMYFUNCTION("""COMPUTED_VALUE"""),"HF Beef burrito bowl")</f>
        <v>HF Beef burrito bowl</v>
      </c>
      <c r="J677" s="189">
        <f>IFERROR(__xludf.DUMMYFUNCTION("""COMPUTED_VALUE"""),1168.0)</f>
        <v>1168</v>
      </c>
      <c r="K677" s="189">
        <f>IFERROR(__xludf.DUMMYFUNCTION("""COMPUTED_VALUE"""),1055.0)</f>
        <v>1055</v>
      </c>
      <c r="L677" s="189">
        <f>IFERROR(__xludf.DUMMYFUNCTION("""COMPUTED_VALUE"""),883.0)</f>
        <v>883</v>
      </c>
      <c r="M677" s="189">
        <f>IFERROR(__xludf.DUMMYFUNCTION("""COMPUTED_VALUE"""),883.0)</f>
        <v>883</v>
      </c>
      <c r="N677" s="189">
        <f>IFERROR(__xludf.DUMMYFUNCTION("""COMPUTED_VALUE"""),819.0)</f>
        <v>819</v>
      </c>
      <c r="O677" s="189">
        <f>IFERROR(__xludf.DUMMYFUNCTION("""COMPUTED_VALUE"""),826.0)</f>
        <v>826</v>
      </c>
      <c r="P677" s="189">
        <f>IFERROR(__xludf.DUMMYFUNCTION("""COMPUTED_VALUE"""),804.0)</f>
        <v>804</v>
      </c>
      <c r="Q677" s="189">
        <f>IFERROR(__xludf.DUMMYFUNCTION("""COMPUTED_VALUE"""),792.0)</f>
        <v>792</v>
      </c>
      <c r="R677" s="186"/>
      <c r="S677" s="189">
        <f>IFERROR(__xludf.DUMMYFUNCTION("""COMPUTED_VALUE"""),758.0)</f>
        <v>758</v>
      </c>
    </row>
    <row r="678">
      <c r="A678" s="186" t="str">
        <f>IFERROR(__xludf.DUMMYFUNCTION("""COMPUTED_VALUE"""),"DE")</f>
        <v>DE</v>
      </c>
      <c r="B678" s="186" t="str">
        <f>IFERROR(__xludf.DUMMYFUNCTION("""COMPUTED_VALUE"""),"W10")</f>
        <v>W10</v>
      </c>
      <c r="C678" s="186">
        <f>IFERROR(__xludf.DUMMYFUNCTION("""COMPUTED_VALUE"""),316.0)</f>
        <v>316</v>
      </c>
      <c r="D678" s="186" t="str">
        <f>IFERROR(__xludf.DUMMYFUNCTION("""COMPUTED_VALUE"""),"CON-00-155742-2")</f>
        <v>CON-00-155742-2</v>
      </c>
      <c r="E678" s="186" t="str">
        <f>IFERROR(__xludf.DUMMYFUNCTION("""COMPUTED_VALUE"""),"Apple Cider &amp; Dijon Chicken")</f>
        <v>Apple Cider &amp; Dijon Chicken</v>
      </c>
      <c r="F678" s="186" t="str">
        <f>IFERROR(__xludf.DUMMYFUNCTION("""COMPUTED_VALUE"""),"Apfelwein- &amp; Dijon-Senf-Hähnchen")</f>
        <v>Apfelwein- &amp; Dijon-Senf-Hähnchen</v>
      </c>
      <c r="G678" s="186" t="str">
        <f>IFERROR(__xludf.DUMMYFUNCTION("""COMPUTED_VALUE"""),"FE4069A")</f>
        <v>FE4069A</v>
      </c>
      <c r="H678" s="186">
        <f>IFERROR(__xludf.DUMMYFUNCTION("""COMPUTED_VALUE"""),565241.0)</f>
        <v>565241</v>
      </c>
      <c r="I678" s="186" t="str">
        <f>IFERROR(__xludf.DUMMYFUNCTION("""COMPUTED_VALUE"""),"HF Kipfilet appel cider saus")</f>
        <v>HF Kipfilet appel cider saus</v>
      </c>
      <c r="J678" s="189">
        <f>IFERROR(__xludf.DUMMYFUNCTION("""COMPUTED_VALUE"""),849.0)</f>
        <v>849</v>
      </c>
      <c r="K678" s="189">
        <f>IFERROR(__xludf.DUMMYFUNCTION("""COMPUTED_VALUE"""),838.0)</f>
        <v>838</v>
      </c>
      <c r="L678" s="189">
        <f>IFERROR(__xludf.DUMMYFUNCTION("""COMPUTED_VALUE"""),1476.0)</f>
        <v>1476</v>
      </c>
      <c r="M678" s="189">
        <f>IFERROR(__xludf.DUMMYFUNCTION("""COMPUTED_VALUE"""),1099.0)</f>
        <v>1099</v>
      </c>
      <c r="N678" s="189">
        <f>IFERROR(__xludf.DUMMYFUNCTION("""COMPUTED_VALUE"""),955.0)</f>
        <v>955</v>
      </c>
      <c r="O678" s="189">
        <f>IFERROR(__xludf.DUMMYFUNCTION("""COMPUTED_VALUE"""),964.0)</f>
        <v>964</v>
      </c>
      <c r="P678" s="189">
        <f>IFERROR(__xludf.DUMMYFUNCTION("""COMPUTED_VALUE"""),783.0)</f>
        <v>783</v>
      </c>
      <c r="Q678" s="189">
        <f>IFERROR(__xludf.DUMMYFUNCTION("""COMPUTED_VALUE"""),760.0)</f>
        <v>760</v>
      </c>
      <c r="R678" s="186"/>
      <c r="S678" s="189">
        <f>IFERROR(__xludf.DUMMYFUNCTION("""COMPUTED_VALUE"""),696.0)</f>
        <v>696</v>
      </c>
    </row>
    <row r="679">
      <c r="A679" s="186" t="str">
        <f>IFERROR(__xludf.DUMMYFUNCTION("""COMPUTED_VALUE"""),"DE")</f>
        <v>DE</v>
      </c>
      <c r="B679" s="186" t="str">
        <f>IFERROR(__xludf.DUMMYFUNCTION("""COMPUTED_VALUE"""),"W10")</f>
        <v>W10</v>
      </c>
      <c r="C679" s="186">
        <f>IFERROR(__xludf.DUMMYFUNCTION("""COMPUTED_VALUE"""),317.0)</f>
        <v>317</v>
      </c>
      <c r="D679" s="186" t="str">
        <f>IFERROR(__xludf.DUMMYFUNCTION("""COMPUTED_VALUE"""),"CON-00-139494-2")</f>
        <v>CON-00-139494-2</v>
      </c>
      <c r="E679" s="186" t="str">
        <f>IFERROR(__xludf.DUMMYFUNCTION("""COMPUTED_VALUE"""),"Artichoke &amp; Spinach Pork tenderloin")</f>
        <v>Artichoke &amp; Spinach Pork tenderloin</v>
      </c>
      <c r="F679" s="186" t="str">
        <f>IFERROR(__xludf.DUMMYFUNCTION("""COMPUTED_VALUE"""),"Schweinefilet mit Artischocken und Spinat")</f>
        <v>Schweinefilet mit Artischocken und Spinat</v>
      </c>
      <c r="G679" s="186" t="str">
        <f>IFERROR(__xludf.DUMMYFUNCTION("""COMPUTED_VALUE"""),"FE4060A")</f>
        <v>FE4060A</v>
      </c>
      <c r="H679" s="186">
        <f>IFERROR(__xludf.DUMMYFUNCTION("""COMPUTED_VALUE"""),565134.0)</f>
        <v>565134</v>
      </c>
      <c r="I679" s="186"/>
      <c r="J679" s="189">
        <f>IFERROR(__xludf.DUMMYFUNCTION("""COMPUTED_VALUE"""),1143.0)</f>
        <v>1143</v>
      </c>
      <c r="K679" s="189">
        <f>IFERROR(__xludf.DUMMYFUNCTION("""COMPUTED_VALUE"""),1198.0)</f>
        <v>1198</v>
      </c>
      <c r="L679" s="189">
        <f>IFERROR(__xludf.DUMMYFUNCTION("""COMPUTED_VALUE"""),1068.0)</f>
        <v>1068</v>
      </c>
      <c r="M679" s="189">
        <f>IFERROR(__xludf.DUMMYFUNCTION("""COMPUTED_VALUE"""),1035.0)</f>
        <v>1035</v>
      </c>
      <c r="N679" s="189">
        <f>IFERROR(__xludf.DUMMYFUNCTION("""COMPUTED_VALUE"""),1006.0)</f>
        <v>1006</v>
      </c>
      <c r="O679" s="189">
        <f>IFERROR(__xludf.DUMMYFUNCTION("""COMPUTED_VALUE"""),1015.0)</f>
        <v>1015</v>
      </c>
      <c r="P679" s="189">
        <f>IFERROR(__xludf.DUMMYFUNCTION("""COMPUTED_VALUE"""),1010.0)</f>
        <v>1010</v>
      </c>
      <c r="Q679" s="189">
        <f>IFERROR(__xludf.DUMMYFUNCTION("""COMPUTED_VALUE"""),1023.0)</f>
        <v>1023</v>
      </c>
      <c r="R679" s="186"/>
      <c r="S679" s="189">
        <f>IFERROR(__xludf.DUMMYFUNCTION("""COMPUTED_VALUE"""),1035.0)</f>
        <v>1035</v>
      </c>
    </row>
    <row r="680">
      <c r="A680" s="186" t="str">
        <f>IFERROR(__xludf.DUMMYFUNCTION("""COMPUTED_VALUE"""),"DE")</f>
        <v>DE</v>
      </c>
      <c r="B680" s="186" t="str">
        <f>IFERROR(__xludf.DUMMYFUNCTION("""COMPUTED_VALUE"""),"W10")</f>
        <v>W10</v>
      </c>
      <c r="C680" s="186">
        <f>IFERROR(__xludf.DUMMYFUNCTION("""COMPUTED_VALUE"""),318.0)</f>
        <v>318</v>
      </c>
      <c r="D680" s="186" t="str">
        <f>IFERROR(__xludf.DUMMYFUNCTION("""COMPUTED_VALUE"""),"CON-00-136726-3")</f>
        <v>CON-00-136726-3</v>
      </c>
      <c r="E680" s="186" t="str">
        <f>IFERROR(__xludf.DUMMYFUNCTION("""COMPUTED_VALUE"""),"Pork tenderloin with apple-mustard sauce")</f>
        <v>Pork tenderloin with apple-mustard sauce</v>
      </c>
      <c r="F680" s="186" t="str">
        <f>IFERROR(__xludf.DUMMYFUNCTION("""COMPUTED_VALUE"""),"Schweinefilet mit Apfel-Senf-Soße")</f>
        <v>Schweinefilet mit Apfel-Senf-Soße</v>
      </c>
      <c r="G680" s="186" t="str">
        <f>IFERROR(__xludf.DUMMYFUNCTION("""COMPUTED_VALUE"""),"FE0890B")</f>
        <v>FE0890B</v>
      </c>
      <c r="H680" s="186">
        <f>IFERROR(__xludf.DUMMYFUNCTION("""COMPUTED_VALUE"""),565117.0)</f>
        <v>565117</v>
      </c>
      <c r="I680" s="186"/>
      <c r="J680" s="189">
        <f>IFERROR(__xludf.DUMMYFUNCTION("""COMPUTED_VALUE"""),589.0)</f>
        <v>589</v>
      </c>
      <c r="K680" s="189">
        <f>IFERROR(__xludf.DUMMYFUNCTION("""COMPUTED_VALUE"""),666.0)</f>
        <v>666</v>
      </c>
      <c r="L680" s="189">
        <f>IFERROR(__xludf.DUMMYFUNCTION("""COMPUTED_VALUE"""),497.0)</f>
        <v>497</v>
      </c>
      <c r="M680" s="189">
        <f>IFERROR(__xludf.DUMMYFUNCTION("""COMPUTED_VALUE"""),550.0)</f>
        <v>550</v>
      </c>
      <c r="N680" s="189">
        <f>IFERROR(__xludf.DUMMYFUNCTION("""COMPUTED_VALUE"""),557.0)</f>
        <v>557</v>
      </c>
      <c r="O680" s="189">
        <f>IFERROR(__xludf.DUMMYFUNCTION("""COMPUTED_VALUE"""),562.0)</f>
        <v>562</v>
      </c>
      <c r="P680" s="189">
        <f>IFERROR(__xludf.DUMMYFUNCTION("""COMPUTED_VALUE"""),584.0)</f>
        <v>584</v>
      </c>
      <c r="Q680" s="189">
        <f>IFERROR(__xludf.DUMMYFUNCTION("""COMPUTED_VALUE"""),612.0)</f>
        <v>612</v>
      </c>
      <c r="R680" s="186"/>
      <c r="S680" s="189">
        <f>IFERROR(__xludf.DUMMYFUNCTION("""COMPUTED_VALUE"""),568.0)</f>
        <v>568</v>
      </c>
    </row>
    <row r="681">
      <c r="A681" s="186" t="str">
        <f>IFERROR(__xludf.DUMMYFUNCTION("""COMPUTED_VALUE"""),"DE")</f>
        <v>DE</v>
      </c>
      <c r="B681" s="186" t="str">
        <f>IFERROR(__xludf.DUMMYFUNCTION("""COMPUTED_VALUE"""),"W10")</f>
        <v>W10</v>
      </c>
      <c r="C681" s="186">
        <f>IFERROR(__xludf.DUMMYFUNCTION("""COMPUTED_VALUE"""),206.0)</f>
        <v>206</v>
      </c>
      <c r="D681" s="186" t="str">
        <f>IFERROR(__xludf.DUMMYFUNCTION("""COMPUTED_VALUE"""),"PTN-00-136930-3")</f>
        <v>PTN-00-136930-3</v>
      </c>
      <c r="E681" s="186" t="str">
        <f>IFERROR(__xludf.DUMMYFUNCTION("""COMPUTED_VALUE"""),"Garlic Herb Grilled Chicken")</f>
        <v>Garlic Herb Grilled Chicken</v>
      </c>
      <c r="F681" s="186" t="str">
        <f>IFERROR(__xludf.DUMMYFUNCTION("""COMPUTED_VALUE"""),"Gegrilltes Hähnchen mit Knoblauch-Kräutern")</f>
        <v>Gegrilltes Hähnchen mit Knoblauch-Kräutern</v>
      </c>
      <c r="G681" s="186" t="str">
        <f>IFERROR(__xludf.DUMMYFUNCTION("""COMPUTED_VALUE"""),"FEA006A")</f>
        <v>FEA006A</v>
      </c>
      <c r="H681" s="186">
        <f>IFERROR(__xludf.DUMMYFUNCTION("""COMPUTED_VALUE"""),565119.0)</f>
        <v>565119</v>
      </c>
      <c r="I681" s="186"/>
      <c r="J681" s="189">
        <f>IFERROR(__xludf.DUMMYFUNCTION("""COMPUTED_VALUE"""),87.0)</f>
        <v>87</v>
      </c>
      <c r="K681" s="189">
        <f>IFERROR(__xludf.DUMMYFUNCTION("""COMPUTED_VALUE"""),67.0)</f>
        <v>67</v>
      </c>
      <c r="L681" s="189">
        <f>IFERROR(__xludf.DUMMYFUNCTION("""COMPUTED_VALUE"""),87.0)</f>
        <v>87</v>
      </c>
      <c r="M681" s="189">
        <f>IFERROR(__xludf.DUMMYFUNCTION("""COMPUTED_VALUE"""),87.0)</f>
        <v>87</v>
      </c>
      <c r="N681" s="189">
        <f>IFERROR(__xludf.DUMMYFUNCTION("""COMPUTED_VALUE"""),87.0)</f>
        <v>87</v>
      </c>
      <c r="O681" s="189">
        <f>IFERROR(__xludf.DUMMYFUNCTION("""COMPUTED_VALUE"""),87.0)</f>
        <v>87</v>
      </c>
      <c r="P681" s="189">
        <f>IFERROR(__xludf.DUMMYFUNCTION("""COMPUTED_VALUE"""),87.0)</f>
        <v>87</v>
      </c>
      <c r="Q681" s="189">
        <f>IFERROR(__xludf.DUMMYFUNCTION("""COMPUTED_VALUE"""),87.0)</f>
        <v>87</v>
      </c>
      <c r="R681" s="186"/>
      <c r="S681" s="189">
        <f>IFERROR(__xludf.DUMMYFUNCTION("""COMPUTED_VALUE"""),63.0)</f>
        <v>63</v>
      </c>
    </row>
    <row r="682">
      <c r="A682" s="186" t="str">
        <f>IFERROR(__xludf.DUMMYFUNCTION("""COMPUTED_VALUE"""),"DE")</f>
        <v>DE</v>
      </c>
      <c r="B682" s="186" t="str">
        <f>IFERROR(__xludf.DUMMYFUNCTION("""COMPUTED_VALUE"""),"W10")</f>
        <v>W10</v>
      </c>
      <c r="C682" s="186"/>
      <c r="D682" s="186"/>
      <c r="E682" s="186"/>
      <c r="F682" s="186"/>
      <c r="G682" s="186"/>
      <c r="H682" s="186"/>
      <c r="I682" s="186"/>
      <c r="J682" s="189">
        <f>IFERROR(__xludf.DUMMYFUNCTION("""COMPUTED_VALUE"""),28064.0)</f>
        <v>28064</v>
      </c>
      <c r="K682" s="189">
        <f>IFERROR(__xludf.DUMMYFUNCTION("""COMPUTED_VALUE"""),28130.0)</f>
        <v>28130</v>
      </c>
      <c r="L682" s="189">
        <f>IFERROR(__xludf.DUMMYFUNCTION("""COMPUTED_VALUE"""),28298.0)</f>
        <v>28298</v>
      </c>
      <c r="M682" s="189">
        <f>IFERROR(__xludf.DUMMYFUNCTION("""COMPUTED_VALUE"""),27836.0)</f>
        <v>27836</v>
      </c>
      <c r="N682" s="189">
        <f>IFERROR(__xludf.DUMMYFUNCTION("""COMPUTED_VALUE"""),27451.0)</f>
        <v>27451</v>
      </c>
      <c r="O682" s="189">
        <f>IFERROR(__xludf.DUMMYFUNCTION("""COMPUTED_VALUE"""),27695.0)</f>
        <v>27695</v>
      </c>
      <c r="P682" s="189">
        <f>IFERROR(__xludf.DUMMYFUNCTION("""COMPUTED_VALUE"""),28036.0)</f>
        <v>28036</v>
      </c>
      <c r="Q682" s="189">
        <f>IFERROR(__xludf.DUMMYFUNCTION("""COMPUTED_VALUE"""),28050.0)</f>
        <v>28050</v>
      </c>
      <c r="R682" s="189">
        <f>IFERROR(__xludf.DUMMYFUNCTION("""COMPUTED_VALUE"""),0.0)</f>
        <v>0</v>
      </c>
      <c r="S682" s="189">
        <f>IFERROR(__xludf.DUMMYFUNCTION("""COMPUTED_VALUE"""),27458.0)</f>
        <v>27458</v>
      </c>
    </row>
    <row r="683">
      <c r="A683" s="186" t="str">
        <f>IFERROR(__xludf.DUMMYFUNCTION("""COMPUTED_VALUE"""),"NORDICS")</f>
        <v>NORDICS</v>
      </c>
      <c r="B683" s="186" t="str">
        <f>IFERROR(__xludf.DUMMYFUNCTION("""COMPUTED_VALUE"""),"W11")</f>
        <v>W11</v>
      </c>
      <c r="C683" s="186">
        <f>IFERROR(__xludf.DUMMYFUNCTION("""COMPUTED_VALUE"""),601.0)</f>
        <v>601</v>
      </c>
      <c r="D683" s="186" t="str">
        <f>IFERROR(__xludf.DUMMYFUNCTION("""COMPUTED_VALUE"""),"CON-00-147840-2")</f>
        <v>CON-00-147840-2</v>
      </c>
      <c r="E683" s="186" t="str">
        <f>IFERROR(__xludf.DUMMYFUNCTION("""COMPUTED_VALUE"""),"Grilled chicken fillet and potato leek mash")</f>
        <v>Grilled chicken fillet and potato leek mash</v>
      </c>
      <c r="F683" s="186" t="str">
        <f>IFERROR(__xludf.DUMMYFUNCTION("""COMPUTED_VALUE"""),"Grillet kyllingefilet og kartoffel-porremos")</f>
        <v>Grillet kyllingefilet og kartoffel-porremos</v>
      </c>
      <c r="G683" s="186" t="str">
        <f>IFERROR(__xludf.DUMMYFUNCTION("""COMPUTED_VALUE"""),"FE0426B")</f>
        <v>FE0426B</v>
      </c>
      <c r="H683" s="186">
        <f>IFERROR(__xludf.DUMMYFUNCTION("""COMPUTED_VALUE"""),565035.0)</f>
        <v>565035</v>
      </c>
      <c r="I683" s="186" t="str">
        <f>IFERROR(__xludf.DUMMYFUNCTION("""COMPUTED_VALUE"""),"HF Puree van aardappel en prei met gegrilde kip 416g")</f>
        <v>HF Puree van aardappel en prei met gegrilde kip 416g</v>
      </c>
      <c r="J683" s="189">
        <f>IFERROR(__xludf.DUMMYFUNCTION("""COMPUTED_VALUE"""),5684.0)</f>
        <v>5684</v>
      </c>
      <c r="K683" s="189">
        <f>IFERROR(__xludf.DUMMYFUNCTION("""COMPUTED_VALUE"""),5175.0)</f>
        <v>5175</v>
      </c>
      <c r="L683" s="189">
        <f>IFERROR(__xludf.DUMMYFUNCTION("""COMPUTED_VALUE"""),4428.0)</f>
        <v>4428</v>
      </c>
      <c r="M683" s="189">
        <f>IFERROR(__xludf.DUMMYFUNCTION("""COMPUTED_VALUE"""),4450.0)</f>
        <v>4450</v>
      </c>
      <c r="N683" s="189">
        <f>IFERROR(__xludf.DUMMYFUNCTION("""COMPUTED_VALUE"""),4355.0)</f>
        <v>4355</v>
      </c>
      <c r="O683" s="189">
        <f>IFERROR(__xludf.DUMMYFUNCTION("""COMPUTED_VALUE"""),4336.0)</f>
        <v>4336</v>
      </c>
      <c r="P683" s="189">
        <f>IFERROR(__xludf.DUMMYFUNCTION("""COMPUTED_VALUE"""),4369.0)</f>
        <v>4369</v>
      </c>
      <c r="Q683" s="189">
        <f>IFERROR(__xludf.DUMMYFUNCTION("""COMPUTED_VALUE"""),4273.0)</f>
        <v>4273</v>
      </c>
      <c r="R683" s="186"/>
      <c r="S683" s="189">
        <f>IFERROR(__xludf.DUMMYFUNCTION("""COMPUTED_VALUE"""),4282.0)</f>
        <v>4282</v>
      </c>
    </row>
    <row r="684">
      <c r="A684" s="186" t="str">
        <f>IFERROR(__xludf.DUMMYFUNCTION("""COMPUTED_VALUE"""),"NORDICS")</f>
        <v>NORDICS</v>
      </c>
      <c r="B684" s="186" t="str">
        <f>IFERROR(__xludf.DUMMYFUNCTION("""COMPUTED_VALUE"""),"W11")</f>
        <v>W11</v>
      </c>
      <c r="C684" s="186">
        <f>IFERROR(__xludf.DUMMYFUNCTION("""COMPUTED_VALUE"""),602.0)</f>
        <v>602</v>
      </c>
      <c r="D684" s="186" t="str">
        <f>IFERROR(__xludf.DUMMYFUNCTION("""COMPUTED_VALUE"""),"CON-00-149481-2")</f>
        <v>CON-00-149481-2</v>
      </c>
      <c r="E684" s="186" t="str">
        <f>IFERROR(__xludf.DUMMYFUNCTION("""COMPUTED_VALUE"""),"Sour Cream &amp; Chive Chicken")</f>
        <v>Sour Cream &amp; Chive Chicken</v>
      </c>
      <c r="F684" s="186" t="str">
        <f>IFERROR(__xludf.DUMMYFUNCTION("""COMPUTED_VALUE"""),"Kylling med syrnet fløde og purløg")</f>
        <v>Kylling med syrnet fløde og purløg</v>
      </c>
      <c r="G684" s="186" t="str">
        <f>IFERROR(__xludf.DUMMYFUNCTION("""COMPUTED_VALUE"""),"FE0322O")</f>
        <v>FE0322O</v>
      </c>
      <c r="H684" s="186">
        <f>IFERROR(__xludf.DUMMYFUNCTION("""COMPUTED_VALUE"""),565163.0)</f>
        <v>565163</v>
      </c>
      <c r="I684" s="186" t="str">
        <f>IFERROR(__xludf.DUMMYFUNCTION("""COMPUTED_VALUE"""),"HF Kip bieslook aardappel pure")</f>
        <v>HF Kip bieslook aardappel pure</v>
      </c>
      <c r="J684" s="189">
        <f>IFERROR(__xludf.DUMMYFUNCTION("""COMPUTED_VALUE"""),3562.0)</f>
        <v>3562</v>
      </c>
      <c r="K684" s="189">
        <f>IFERROR(__xludf.DUMMYFUNCTION("""COMPUTED_VALUE"""),3220.0)</f>
        <v>3220</v>
      </c>
      <c r="L684" s="189">
        <f>IFERROR(__xludf.DUMMYFUNCTION("""COMPUTED_VALUE"""),2604.0)</f>
        <v>2604</v>
      </c>
      <c r="M684" s="189">
        <f>IFERROR(__xludf.DUMMYFUNCTION("""COMPUTED_VALUE"""),2802.0)</f>
        <v>2802</v>
      </c>
      <c r="N684" s="189">
        <f>IFERROR(__xludf.DUMMYFUNCTION("""COMPUTED_VALUE"""),2669.0)</f>
        <v>2669</v>
      </c>
      <c r="O684" s="189">
        <f>IFERROR(__xludf.DUMMYFUNCTION("""COMPUTED_VALUE"""),2622.0)</f>
        <v>2622</v>
      </c>
      <c r="P684" s="189">
        <f>IFERROR(__xludf.DUMMYFUNCTION("""COMPUTED_VALUE"""),2677.0)</f>
        <v>2677</v>
      </c>
      <c r="Q684" s="189">
        <f>IFERROR(__xludf.DUMMYFUNCTION("""COMPUTED_VALUE"""),2630.0)</f>
        <v>2630</v>
      </c>
      <c r="R684" s="186"/>
      <c r="S684" s="189">
        <f>IFERROR(__xludf.DUMMYFUNCTION("""COMPUTED_VALUE"""),2596.0)</f>
        <v>2596</v>
      </c>
    </row>
    <row r="685">
      <c r="A685" s="186" t="str">
        <f>IFERROR(__xludf.DUMMYFUNCTION("""COMPUTED_VALUE"""),"NORDICS")</f>
        <v>NORDICS</v>
      </c>
      <c r="B685" s="186" t="str">
        <f>IFERROR(__xludf.DUMMYFUNCTION("""COMPUTED_VALUE"""),"W11")</f>
        <v>W11</v>
      </c>
      <c r="C685" s="186">
        <f>IFERROR(__xludf.DUMMYFUNCTION("""COMPUTED_VALUE"""),603.0)</f>
        <v>603</v>
      </c>
      <c r="D685" s="186" t="str">
        <f>IFERROR(__xludf.DUMMYFUNCTION("""COMPUTED_VALUE"""),"CON-00-147860-2")</f>
        <v>CON-00-147860-2</v>
      </c>
      <c r="E685" s="186" t="str">
        <f>IFERROR(__xludf.DUMMYFUNCTION("""COMPUTED_VALUE"""),"Courgette-spaghetti bolognese")</f>
        <v>Courgette-spaghetti bolognese</v>
      </c>
      <c r="F685" s="186" t="str">
        <f>IFERROR(__xludf.DUMMYFUNCTION("""COMPUTED_VALUE"""),"Zucchini-spaghetti bolognese")</f>
        <v>Zucchini-spaghetti bolognese</v>
      </c>
      <c r="G685" s="186" t="str">
        <f>IFERROR(__xludf.DUMMYFUNCTION("""COMPUTED_VALUE"""),"FE0849B")</f>
        <v>FE0849B</v>
      </c>
      <c r="H685" s="186">
        <f>IFERROR(__xludf.DUMMYFUNCTION("""COMPUTED_VALUE"""),565260.0)</f>
        <v>565260</v>
      </c>
      <c r="I685" s="186" t="str">
        <f>IFERROR(__xludf.DUMMYFUNCTION("""COMPUTED_VALUE"""),"HF RW Courgette-spagh bolognes")</f>
        <v>HF RW Courgette-spagh bolognes</v>
      </c>
      <c r="J685" s="189">
        <f>IFERROR(__xludf.DUMMYFUNCTION("""COMPUTED_VALUE"""),3831.0)</f>
        <v>3831</v>
      </c>
      <c r="K685" s="189">
        <f>IFERROR(__xludf.DUMMYFUNCTION("""COMPUTED_VALUE"""),3054.0)</f>
        <v>3054</v>
      </c>
      <c r="L685" s="189">
        <f>IFERROR(__xludf.DUMMYFUNCTION("""COMPUTED_VALUE"""),2428.0)</f>
        <v>2428</v>
      </c>
      <c r="M685" s="189">
        <f>IFERROR(__xludf.DUMMYFUNCTION("""COMPUTED_VALUE"""),2624.0)</f>
        <v>2624</v>
      </c>
      <c r="N685" s="189">
        <f>IFERROR(__xludf.DUMMYFUNCTION("""COMPUTED_VALUE"""),2575.0)</f>
        <v>2575</v>
      </c>
      <c r="O685" s="189">
        <f>IFERROR(__xludf.DUMMYFUNCTION("""COMPUTED_VALUE"""),2532.0)</f>
        <v>2532</v>
      </c>
      <c r="P685" s="189">
        <f>IFERROR(__xludf.DUMMYFUNCTION("""COMPUTED_VALUE"""),2553.0)</f>
        <v>2553</v>
      </c>
      <c r="Q685" s="189">
        <f>IFERROR(__xludf.DUMMYFUNCTION("""COMPUTED_VALUE"""),2529.0)</f>
        <v>2529</v>
      </c>
      <c r="R685" s="186"/>
      <c r="S685" s="189">
        <f>IFERROR(__xludf.DUMMYFUNCTION("""COMPUTED_VALUE"""),2564.0)</f>
        <v>2564</v>
      </c>
    </row>
    <row r="686">
      <c r="A686" s="186" t="str">
        <f>IFERROR(__xludf.DUMMYFUNCTION("""COMPUTED_VALUE"""),"NORDICS")</f>
        <v>NORDICS</v>
      </c>
      <c r="B686" s="186" t="str">
        <f>IFERROR(__xludf.DUMMYFUNCTION("""COMPUTED_VALUE"""),"W11")</f>
        <v>W11</v>
      </c>
      <c r="C686" s="186">
        <f>IFERROR(__xludf.DUMMYFUNCTION("""COMPUTED_VALUE"""),604.0)</f>
        <v>604</v>
      </c>
      <c r="D686" s="186" t="str">
        <f>IFERROR(__xludf.DUMMYFUNCTION("""COMPUTED_VALUE"""),"CON-00-151115-2")</f>
        <v>CON-00-151115-2</v>
      </c>
      <c r="E686" s="186" t="str">
        <f>IFERROR(__xludf.DUMMYFUNCTION("""COMPUTED_VALUE"""),"Cheddar &amp; Bell Pepper Pulled Beef Bowl")</f>
        <v>Cheddar &amp; Bell Pepper Pulled Beef Bowl</v>
      </c>
      <c r="F686" s="186" t="str">
        <f>IFERROR(__xludf.DUMMYFUNCTION("""COMPUTED_VALUE"""),"Pulled beef bowl med cheddar og peberfrugt")</f>
        <v>Pulled beef bowl med cheddar og peberfrugt</v>
      </c>
      <c r="G686" s="186" t="str">
        <f>IFERROR(__xludf.DUMMYFUNCTION("""COMPUTED_VALUE"""),"FE1348B")</f>
        <v>FE1348B</v>
      </c>
      <c r="H686" s="186">
        <f>IFERROR(__xludf.DUMMYFUNCTION("""COMPUTED_VALUE"""),565186.0)</f>
        <v>565186</v>
      </c>
      <c r="I686" s="186" t="str">
        <f>IFERROR(__xludf.DUMMYFUNCTION("""COMPUTED_VALUE"""),"HF Pulled beef salsa bowl")</f>
        <v>HF Pulled beef salsa bowl</v>
      </c>
      <c r="J686" s="189">
        <f>IFERROR(__xludf.DUMMYFUNCTION("""COMPUTED_VALUE"""),3779.0)</f>
        <v>3779</v>
      </c>
      <c r="K686" s="189">
        <f>IFERROR(__xludf.DUMMYFUNCTION("""COMPUTED_VALUE"""),3678.0)</f>
        <v>3678</v>
      </c>
      <c r="L686" s="189">
        <f>IFERROR(__xludf.DUMMYFUNCTION("""COMPUTED_VALUE"""),4163.0)</f>
        <v>4163</v>
      </c>
      <c r="M686" s="189">
        <f>IFERROR(__xludf.DUMMYFUNCTION("""COMPUTED_VALUE"""),4143.0)</f>
        <v>4143</v>
      </c>
      <c r="N686" s="189">
        <f>IFERROR(__xludf.DUMMYFUNCTION("""COMPUTED_VALUE"""),3981.0)</f>
        <v>3981</v>
      </c>
      <c r="O686" s="189">
        <f>IFERROR(__xludf.DUMMYFUNCTION("""COMPUTED_VALUE"""),3991.0)</f>
        <v>3991</v>
      </c>
      <c r="P686" s="189">
        <f>IFERROR(__xludf.DUMMYFUNCTION("""COMPUTED_VALUE"""),4035.0)</f>
        <v>4035</v>
      </c>
      <c r="Q686" s="189">
        <f>IFERROR(__xludf.DUMMYFUNCTION("""COMPUTED_VALUE"""),3946.0)</f>
        <v>3946</v>
      </c>
      <c r="R686" s="186"/>
      <c r="S686" s="189">
        <f>IFERROR(__xludf.DUMMYFUNCTION("""COMPUTED_VALUE"""),3946.0)</f>
        <v>3946</v>
      </c>
    </row>
    <row r="687">
      <c r="A687" s="186" t="str">
        <f>IFERROR(__xludf.DUMMYFUNCTION("""COMPUTED_VALUE"""),"NORDICS")</f>
        <v>NORDICS</v>
      </c>
      <c r="B687" s="186" t="str">
        <f>IFERROR(__xludf.DUMMYFUNCTION("""COMPUTED_VALUE"""),"W11")</f>
        <v>W11</v>
      </c>
      <c r="C687" s="186">
        <f>IFERROR(__xludf.DUMMYFUNCTION("""COMPUTED_VALUE"""),605.0)</f>
        <v>605</v>
      </c>
      <c r="D687" s="186" t="str">
        <f>IFERROR(__xludf.DUMMYFUNCTION("""COMPUTED_VALUE"""),"CON-00-147827-2")</f>
        <v>CON-00-147827-2</v>
      </c>
      <c r="E687" s="186" t="str">
        <f>IFERROR(__xludf.DUMMYFUNCTION("""COMPUTED_VALUE"""),"Chicken à la Florentine")</f>
        <v>Chicken à la Florentine</v>
      </c>
      <c r="F687" s="186" t="str">
        <f>IFERROR(__xludf.DUMMYFUNCTION("""COMPUTED_VALUE"""),"Kylling à la Florentine")</f>
        <v>Kylling à la Florentine</v>
      </c>
      <c r="G687" s="186" t="str">
        <f>IFERROR(__xludf.DUMMYFUNCTION("""COMPUTED_VALUE"""),"FE0224D")</f>
        <v>FE0224D</v>
      </c>
      <c r="H687" s="186">
        <f>IFERROR(__xludf.DUMMYFUNCTION("""COMPUTED_VALUE"""),565047.0)</f>
        <v>565047</v>
      </c>
      <c r="I687" s="186" t="str">
        <f>IFERROR(__xludf.DUMMYFUNCTION("""COMPUTED_VALUE"""),"HF Kip á la Florentine")</f>
        <v>HF Kip á la Florentine</v>
      </c>
      <c r="J687" s="189">
        <f>IFERROR(__xludf.DUMMYFUNCTION("""COMPUTED_VALUE"""),2831.0)</f>
        <v>2831</v>
      </c>
      <c r="K687" s="189">
        <f>IFERROR(__xludf.DUMMYFUNCTION("""COMPUTED_VALUE"""),2615.0)</f>
        <v>2615</v>
      </c>
      <c r="L687" s="189">
        <f>IFERROR(__xludf.DUMMYFUNCTION("""COMPUTED_VALUE"""),1934.0)</f>
        <v>1934</v>
      </c>
      <c r="M687" s="189">
        <f>IFERROR(__xludf.DUMMYFUNCTION("""COMPUTED_VALUE"""),2139.0)</f>
        <v>2139</v>
      </c>
      <c r="N687" s="189">
        <f>IFERROR(__xludf.DUMMYFUNCTION("""COMPUTED_VALUE"""),2042.0)</f>
        <v>2042</v>
      </c>
      <c r="O687" s="189">
        <f>IFERROR(__xludf.DUMMYFUNCTION("""COMPUTED_VALUE"""),2056.0)</f>
        <v>2056</v>
      </c>
      <c r="P687" s="189">
        <f>IFERROR(__xludf.DUMMYFUNCTION("""COMPUTED_VALUE"""),2102.0)</f>
        <v>2102</v>
      </c>
      <c r="Q687" s="189">
        <f>IFERROR(__xludf.DUMMYFUNCTION("""COMPUTED_VALUE"""),2072.0)</f>
        <v>2072</v>
      </c>
      <c r="R687" s="186"/>
      <c r="S687" s="189">
        <f>IFERROR(__xludf.DUMMYFUNCTION("""COMPUTED_VALUE"""),2067.0)</f>
        <v>2067</v>
      </c>
    </row>
    <row r="688">
      <c r="A688" s="186" t="str">
        <f>IFERROR(__xludf.DUMMYFUNCTION("""COMPUTED_VALUE"""),"NORDICS")</f>
        <v>NORDICS</v>
      </c>
      <c r="B688" s="186" t="str">
        <f>IFERROR(__xludf.DUMMYFUNCTION("""COMPUTED_VALUE"""),"W11")</f>
        <v>W11</v>
      </c>
      <c r="C688" s="186">
        <f>IFERROR(__xludf.DUMMYFUNCTION("""COMPUTED_VALUE"""),606.0)</f>
        <v>606</v>
      </c>
      <c r="D688" s="186" t="str">
        <f>IFERROR(__xludf.DUMMYFUNCTION("""COMPUTED_VALUE"""),"CON-00-147814-2")</f>
        <v>CON-00-147814-2</v>
      </c>
      <c r="E688" s="186" t="str">
        <f>IFERROR(__xludf.DUMMYFUNCTION("""COMPUTED_VALUE"""),"Salmon on cheesy cauliflower rice")</f>
        <v>Salmon on cheesy cauliflower rice</v>
      </c>
      <c r="F688" s="186" t="str">
        <f>IFERROR(__xludf.DUMMYFUNCTION("""COMPUTED_VALUE"""),"Laks og ostegratineret blomkålsris")</f>
        <v>Laks og ostegratineret blomkålsris</v>
      </c>
      <c r="G688" s="186" t="str">
        <f>IFERROR(__xludf.DUMMYFUNCTION("""COMPUTED_VALUE"""),"FE0036E")</f>
        <v>FE0036E</v>
      </c>
      <c r="H688" s="186">
        <f>IFERROR(__xludf.DUMMYFUNCTION("""COMPUTED_VALUE"""),565042.0)</f>
        <v>565042</v>
      </c>
      <c r="I688" s="186" t="str">
        <f>IFERROR(__xludf.DUMMYFUNCTION("""COMPUTED_VALUE"""),"HF Zalm+cheesy bloemk rijst")</f>
        <v>HF Zalm+cheesy bloemk rijst</v>
      </c>
      <c r="J688" s="189">
        <f>IFERROR(__xludf.DUMMYFUNCTION("""COMPUTED_VALUE"""),2493.0)</f>
        <v>2493</v>
      </c>
      <c r="K688" s="189">
        <f>IFERROR(__xludf.DUMMYFUNCTION("""COMPUTED_VALUE"""),2361.0)</f>
        <v>2361</v>
      </c>
      <c r="L688" s="189">
        <f>IFERROR(__xludf.DUMMYFUNCTION("""COMPUTED_VALUE"""),2538.0)</f>
        <v>2538</v>
      </c>
      <c r="M688" s="189">
        <f>IFERROR(__xludf.DUMMYFUNCTION("""COMPUTED_VALUE"""),2300.0)</f>
        <v>2300</v>
      </c>
      <c r="N688" s="189">
        <f>IFERROR(__xludf.DUMMYFUNCTION("""COMPUTED_VALUE"""),2261.0)</f>
        <v>2261</v>
      </c>
      <c r="O688" s="189">
        <f>IFERROR(__xludf.DUMMYFUNCTION("""COMPUTED_VALUE"""),2262.0)</f>
        <v>2262</v>
      </c>
      <c r="P688" s="189">
        <f>IFERROR(__xludf.DUMMYFUNCTION("""COMPUTED_VALUE"""),2289.0)</f>
        <v>2289</v>
      </c>
      <c r="Q688" s="189">
        <f>IFERROR(__xludf.DUMMYFUNCTION("""COMPUTED_VALUE"""),2266.0)</f>
        <v>2266</v>
      </c>
      <c r="R688" s="186"/>
      <c r="S688" s="189">
        <f>IFERROR(__xludf.DUMMYFUNCTION("""COMPUTED_VALUE"""),2266.0)</f>
        <v>2266</v>
      </c>
    </row>
    <row r="689">
      <c r="A689" s="186" t="str">
        <f>IFERROR(__xludf.DUMMYFUNCTION("""COMPUTED_VALUE"""),"NORDICS")</f>
        <v>NORDICS</v>
      </c>
      <c r="B689" s="186" t="str">
        <f>IFERROR(__xludf.DUMMYFUNCTION("""COMPUTED_VALUE"""),"W11")</f>
        <v>W11</v>
      </c>
      <c r="C689" s="186">
        <f>IFERROR(__xludf.DUMMYFUNCTION("""COMPUTED_VALUE"""),607.0)</f>
        <v>607</v>
      </c>
      <c r="D689" s="186" t="str">
        <f>IFERROR(__xludf.DUMMYFUNCTION("""COMPUTED_VALUE"""),"CON-00-147896-2")</f>
        <v>CON-00-147896-2</v>
      </c>
      <c r="E689" s="186" t="str">
        <f>IFERROR(__xludf.DUMMYFUNCTION("""COMPUTED_VALUE"""),"Chicken in creamy basil sauce")</f>
        <v>Chicken in creamy basil sauce</v>
      </c>
      <c r="F689" s="186" t="str">
        <f>IFERROR(__xludf.DUMMYFUNCTION("""COMPUTED_VALUE"""),"Kylling i cremet basilikumssauce")</f>
        <v>Kylling i cremet basilikumssauce</v>
      </c>
      <c r="G689" s="186" t="str">
        <f>IFERROR(__xludf.DUMMYFUNCTION("""COMPUTED_VALUE"""),"FE4040B")</f>
        <v>FE4040B</v>
      </c>
      <c r="H689" s="186">
        <f>IFERROR(__xludf.DUMMYFUNCTION("""COMPUTED_VALUE"""),565172.0)</f>
        <v>565172</v>
      </c>
      <c r="I689" s="186"/>
      <c r="J689" s="189">
        <f>IFERROR(__xludf.DUMMYFUNCTION("""COMPUTED_VALUE"""),2087.0)</f>
        <v>2087</v>
      </c>
      <c r="K689" s="189">
        <f>IFERROR(__xludf.DUMMYFUNCTION("""COMPUTED_VALUE"""),1847.0)</f>
        <v>1847</v>
      </c>
      <c r="L689" s="189">
        <f>IFERROR(__xludf.DUMMYFUNCTION("""COMPUTED_VALUE"""),1441.0)</f>
        <v>1441</v>
      </c>
      <c r="M689" s="189">
        <f>IFERROR(__xludf.DUMMYFUNCTION("""COMPUTED_VALUE"""),1429.0)</f>
        <v>1429</v>
      </c>
      <c r="N689" s="189">
        <f>IFERROR(__xludf.DUMMYFUNCTION("""COMPUTED_VALUE"""),1368.0)</f>
        <v>1368</v>
      </c>
      <c r="O689" s="189">
        <f>IFERROR(__xludf.DUMMYFUNCTION("""COMPUTED_VALUE"""),1385.0)</f>
        <v>1385</v>
      </c>
      <c r="P689" s="189">
        <f>IFERROR(__xludf.DUMMYFUNCTION("""COMPUTED_VALUE"""),1396.0)</f>
        <v>1396</v>
      </c>
      <c r="Q689" s="189">
        <f>IFERROR(__xludf.DUMMYFUNCTION("""COMPUTED_VALUE"""),1377.0)</f>
        <v>1377</v>
      </c>
      <c r="R689" s="186"/>
      <c r="S689" s="189">
        <f>IFERROR(__xludf.DUMMYFUNCTION("""COMPUTED_VALUE"""),1359.0)</f>
        <v>1359</v>
      </c>
    </row>
    <row r="690">
      <c r="A690" s="186" t="str">
        <f>IFERROR(__xludf.DUMMYFUNCTION("""COMPUTED_VALUE"""),"NORDICS")</f>
        <v>NORDICS</v>
      </c>
      <c r="B690" s="186" t="str">
        <f>IFERROR(__xludf.DUMMYFUNCTION("""COMPUTED_VALUE"""),"W11")</f>
        <v>W11</v>
      </c>
      <c r="C690" s="186">
        <f>IFERROR(__xludf.DUMMYFUNCTION("""COMPUTED_VALUE"""),608.0)</f>
        <v>608</v>
      </c>
      <c r="D690" s="186" t="str">
        <f>IFERROR(__xludf.DUMMYFUNCTION("""COMPUTED_VALUE"""),"CON-00-147826-2")</f>
        <v>CON-00-147826-2</v>
      </c>
      <c r="E690" s="186" t="str">
        <f>IFERROR(__xludf.DUMMYFUNCTION("""COMPUTED_VALUE"""),"Spicy chicken with jalapeño, lime and cheddar")</f>
        <v>Spicy chicken with jalapeño, lime and cheddar</v>
      </c>
      <c r="F690" s="186" t="str">
        <f>IFERROR(__xludf.DUMMYFUNCTION("""COMPUTED_VALUE"""),"Spicy kylling med jalapeño, lime og cheddar")</f>
        <v>Spicy kylling med jalapeño, lime og cheddar</v>
      </c>
      <c r="G690" s="186" t="str">
        <f>IFERROR(__xludf.DUMMYFUNCTION("""COMPUTED_VALUE"""),"FE0198D")</f>
        <v>FE0198D</v>
      </c>
      <c r="H690" s="186">
        <f>IFERROR(__xludf.DUMMYFUNCTION("""COMPUTED_VALUE"""),565043.0)</f>
        <v>565043</v>
      </c>
      <c r="I690" s="186" t="str">
        <f>IFERROR(__xludf.DUMMYFUNCTION("""COMPUTED_VALUE"""),"HF Pitt. kipf+jalap,lim,chedda")</f>
        <v>HF Pitt. kipf+jalap,lim,chedda</v>
      </c>
      <c r="J690" s="189">
        <f>IFERROR(__xludf.DUMMYFUNCTION("""COMPUTED_VALUE"""),2436.0)</f>
        <v>2436</v>
      </c>
      <c r="K690" s="189">
        <f>IFERROR(__xludf.DUMMYFUNCTION("""COMPUTED_VALUE"""),2010.0)</f>
        <v>2010</v>
      </c>
      <c r="L690" s="189">
        <f>IFERROR(__xludf.DUMMYFUNCTION("""COMPUTED_VALUE"""),1549.0)</f>
        <v>1549</v>
      </c>
      <c r="M690" s="189">
        <f>IFERROR(__xludf.DUMMYFUNCTION("""COMPUTED_VALUE"""),1441.0)</f>
        <v>1441</v>
      </c>
      <c r="N690" s="189">
        <f>IFERROR(__xludf.DUMMYFUNCTION("""COMPUTED_VALUE"""),1409.0)</f>
        <v>1409</v>
      </c>
      <c r="O690" s="189">
        <f>IFERROR(__xludf.DUMMYFUNCTION("""COMPUTED_VALUE"""),1395.0)</f>
        <v>1395</v>
      </c>
      <c r="P690" s="189">
        <f>IFERROR(__xludf.DUMMYFUNCTION("""COMPUTED_VALUE"""),1408.0)</f>
        <v>1408</v>
      </c>
      <c r="Q690" s="189">
        <f>IFERROR(__xludf.DUMMYFUNCTION("""COMPUTED_VALUE"""),1406.0)</f>
        <v>1406</v>
      </c>
      <c r="R690" s="186"/>
      <c r="S690" s="189">
        <f>IFERROR(__xludf.DUMMYFUNCTION("""COMPUTED_VALUE"""),1420.0)</f>
        <v>1420</v>
      </c>
    </row>
    <row r="691">
      <c r="A691" s="186" t="str">
        <f>IFERROR(__xludf.DUMMYFUNCTION("""COMPUTED_VALUE"""),"NORDICS")</f>
        <v>NORDICS</v>
      </c>
      <c r="B691" s="186" t="str">
        <f>IFERROR(__xludf.DUMMYFUNCTION("""COMPUTED_VALUE"""),"W11")</f>
        <v>W11</v>
      </c>
      <c r="C691" s="186">
        <f>IFERROR(__xludf.DUMMYFUNCTION("""COMPUTED_VALUE"""),609.0)</f>
        <v>609</v>
      </c>
      <c r="D691" s="186" t="str">
        <f>IFERROR(__xludf.DUMMYFUNCTION("""COMPUTED_VALUE"""),"CON-00-147817-2")</f>
        <v>CON-00-147817-2</v>
      </c>
      <c r="E691" s="186" t="str">
        <f>IFERROR(__xludf.DUMMYFUNCTION("""COMPUTED_VALUE"""),"Ratatouille of zucchini and pepper")</f>
        <v>Ratatouille of zucchini and pepper</v>
      </c>
      <c r="F691" s="186" t="str">
        <f>IFERROR(__xludf.DUMMYFUNCTION("""COMPUTED_VALUE"""),"Squash- og peberfrugtsratatouille")</f>
        <v>Squash- og peberfrugtsratatouille</v>
      </c>
      <c r="G691" s="186" t="str">
        <f>IFERROR(__xludf.DUMMYFUNCTION("""COMPUTED_VALUE"""),"FE0090C")</f>
        <v>FE0090C</v>
      </c>
      <c r="H691" s="186">
        <f>IFERROR(__xludf.DUMMYFUNCTION("""COMPUTED_VALUE"""),565141.0)</f>
        <v>565141</v>
      </c>
      <c r="I691" s="186"/>
      <c r="J691" s="189">
        <f>IFERROR(__xludf.DUMMYFUNCTION("""COMPUTED_VALUE"""),427.0)</f>
        <v>427</v>
      </c>
      <c r="K691" s="189">
        <f>IFERROR(__xludf.DUMMYFUNCTION("""COMPUTED_VALUE"""),409.0)</f>
        <v>409</v>
      </c>
      <c r="L691" s="189">
        <f>IFERROR(__xludf.DUMMYFUNCTION("""COMPUTED_VALUE"""),172.0)</f>
        <v>172</v>
      </c>
      <c r="M691" s="189">
        <f>IFERROR(__xludf.DUMMYFUNCTION("""COMPUTED_VALUE"""),223.0)</f>
        <v>223</v>
      </c>
      <c r="N691" s="189">
        <f>IFERROR(__xludf.DUMMYFUNCTION("""COMPUTED_VALUE"""),229.0)</f>
        <v>229</v>
      </c>
      <c r="O691" s="189">
        <f>IFERROR(__xludf.DUMMYFUNCTION("""COMPUTED_VALUE"""),233.0)</f>
        <v>233</v>
      </c>
      <c r="P691" s="189">
        <f>IFERROR(__xludf.DUMMYFUNCTION("""COMPUTED_VALUE"""),249.0)</f>
        <v>249</v>
      </c>
      <c r="Q691" s="189">
        <f>IFERROR(__xludf.DUMMYFUNCTION("""COMPUTED_VALUE"""),243.0)</f>
        <v>243</v>
      </c>
      <c r="R691" s="186"/>
      <c r="S691" s="189">
        <f>IFERROR(__xludf.DUMMYFUNCTION("""COMPUTED_VALUE"""),242.0)</f>
        <v>242</v>
      </c>
    </row>
    <row r="692">
      <c r="A692" s="186" t="str">
        <f>IFERROR(__xludf.DUMMYFUNCTION("""COMPUTED_VALUE"""),"NORDICS")</f>
        <v>NORDICS</v>
      </c>
      <c r="B692" s="186" t="str">
        <f>IFERROR(__xludf.DUMMYFUNCTION("""COMPUTED_VALUE"""),"W11")</f>
        <v>W11</v>
      </c>
      <c r="C692" s="186">
        <f>IFERROR(__xludf.DUMMYFUNCTION("""COMPUTED_VALUE"""),610.0)</f>
        <v>610</v>
      </c>
      <c r="D692" s="186" t="str">
        <f>IFERROR(__xludf.DUMMYFUNCTION("""COMPUTED_VALUE"""),"CON-00-147816-2")</f>
        <v>CON-00-147816-2</v>
      </c>
      <c r="E692" s="186" t="str">
        <f>IFERROR(__xludf.DUMMYFUNCTION("""COMPUTED_VALUE"""),"Creamy tomato risotto")</f>
        <v>Creamy tomato risotto</v>
      </c>
      <c r="F692" s="186" t="str">
        <f>IFERROR(__xludf.DUMMYFUNCTION("""COMPUTED_VALUE"""),"Cremet tomatrisotto")</f>
        <v>Cremet tomatrisotto</v>
      </c>
      <c r="G692" s="186" t="str">
        <f>IFERROR(__xludf.DUMMYFUNCTION("""COMPUTED_VALUE"""),"FE0031C")</f>
        <v>FE0031C</v>
      </c>
      <c r="H692" s="186">
        <f>IFERROR(__xludf.DUMMYFUNCTION("""COMPUTED_VALUE"""),565244.0)</f>
        <v>565244</v>
      </c>
      <c r="I692" s="186" t="str">
        <f>IFERROR(__xludf.DUMMYFUNCTION("""COMPUTED_VALUE"""),"IO HF Romige tomatenrisotto V2")</f>
        <v>IO HF Romige tomatenrisotto V2</v>
      </c>
      <c r="J692" s="189">
        <f>IFERROR(__xludf.DUMMYFUNCTION("""COMPUTED_VALUE"""),357.0)</f>
        <v>357</v>
      </c>
      <c r="K692" s="189">
        <f>IFERROR(__xludf.DUMMYFUNCTION("""COMPUTED_VALUE"""),335.0)</f>
        <v>335</v>
      </c>
      <c r="L692" s="189">
        <f>IFERROR(__xludf.DUMMYFUNCTION("""COMPUTED_VALUE"""),330.0)</f>
        <v>330</v>
      </c>
      <c r="M692" s="189">
        <f>IFERROR(__xludf.DUMMYFUNCTION("""COMPUTED_VALUE"""),352.0)</f>
        <v>352</v>
      </c>
      <c r="N692" s="189">
        <f>IFERROR(__xludf.DUMMYFUNCTION("""COMPUTED_VALUE"""),340.0)</f>
        <v>340</v>
      </c>
      <c r="O692" s="189">
        <f>IFERROR(__xludf.DUMMYFUNCTION("""COMPUTED_VALUE"""),355.0)</f>
        <v>355</v>
      </c>
      <c r="P692" s="189">
        <f>IFERROR(__xludf.DUMMYFUNCTION("""COMPUTED_VALUE"""),385.0)</f>
        <v>385</v>
      </c>
      <c r="Q692" s="189">
        <f>IFERROR(__xludf.DUMMYFUNCTION("""COMPUTED_VALUE"""),371.0)</f>
        <v>371</v>
      </c>
      <c r="R692" s="186"/>
      <c r="S692" s="189">
        <f>IFERROR(__xludf.DUMMYFUNCTION("""COMPUTED_VALUE"""),373.0)</f>
        <v>373</v>
      </c>
    </row>
    <row r="693">
      <c r="A693" s="186" t="str">
        <f>IFERROR(__xludf.DUMMYFUNCTION("""COMPUTED_VALUE"""),"NORDICS")</f>
        <v>NORDICS</v>
      </c>
      <c r="B693" s="186" t="str">
        <f>IFERROR(__xludf.DUMMYFUNCTION("""COMPUTED_VALUE"""),"W11")</f>
        <v>W11</v>
      </c>
      <c r="C693" s="186">
        <f>IFERROR(__xludf.DUMMYFUNCTION("""COMPUTED_VALUE"""),611.0)</f>
        <v>611</v>
      </c>
      <c r="D693" s="186" t="str">
        <f>IFERROR(__xludf.DUMMYFUNCTION("""COMPUTED_VALUE"""),"CON-00-147848-2")</f>
        <v>CON-00-147848-2</v>
      </c>
      <c r="E693" s="186" t="str">
        <f>IFERROR(__xludf.DUMMYFUNCTION("""COMPUTED_VALUE"""),"Pork tenderloin in red pepper sauce")</f>
        <v>Pork tenderloin in red pepper sauce</v>
      </c>
      <c r="F693" s="186" t="str">
        <f>IFERROR(__xludf.DUMMYFUNCTION("""COMPUTED_VALUE"""),"Svinemørbrad i rød peberfrugtsauce")</f>
        <v>Svinemørbrad i rød peberfrugtsauce</v>
      </c>
      <c r="G693" s="186" t="str">
        <f>IFERROR(__xludf.DUMMYFUNCTION("""COMPUTED_VALUE"""),"FE0430E")</f>
        <v>FE0430E</v>
      </c>
      <c r="H693" s="186">
        <f>IFERROR(__xludf.DUMMYFUNCTION("""COMPUTED_VALUE"""),565140.0)</f>
        <v>565140</v>
      </c>
      <c r="I693" s="186"/>
      <c r="J693" s="189">
        <f>IFERROR(__xludf.DUMMYFUNCTION("""COMPUTED_VALUE"""),859.0)</f>
        <v>859</v>
      </c>
      <c r="K693" s="189">
        <f>IFERROR(__xludf.DUMMYFUNCTION("""COMPUTED_VALUE"""),734.0)</f>
        <v>734</v>
      </c>
      <c r="L693" s="189">
        <f>IFERROR(__xludf.DUMMYFUNCTION("""COMPUTED_VALUE"""),797.0)</f>
        <v>797</v>
      </c>
      <c r="M693" s="189">
        <f>IFERROR(__xludf.DUMMYFUNCTION("""COMPUTED_VALUE"""),815.0)</f>
        <v>815</v>
      </c>
      <c r="N693" s="189">
        <f>IFERROR(__xludf.DUMMYFUNCTION("""COMPUTED_VALUE"""),765.0)</f>
        <v>765</v>
      </c>
      <c r="O693" s="189">
        <f>IFERROR(__xludf.DUMMYFUNCTION("""COMPUTED_VALUE"""),778.0)</f>
        <v>778</v>
      </c>
      <c r="P693" s="189">
        <f>IFERROR(__xludf.DUMMYFUNCTION("""COMPUTED_VALUE"""),806.0)</f>
        <v>806</v>
      </c>
      <c r="Q693" s="189">
        <f>IFERROR(__xludf.DUMMYFUNCTION("""COMPUTED_VALUE"""),814.0)</f>
        <v>814</v>
      </c>
      <c r="R693" s="186"/>
      <c r="S693" s="189">
        <f>IFERROR(__xludf.DUMMYFUNCTION("""COMPUTED_VALUE"""),784.0)</f>
        <v>784</v>
      </c>
    </row>
    <row r="694">
      <c r="A694" s="186" t="str">
        <f>IFERROR(__xludf.DUMMYFUNCTION("""COMPUTED_VALUE"""),"NORDICS")</f>
        <v>NORDICS</v>
      </c>
      <c r="B694" s="186" t="str">
        <f>IFERROR(__xludf.DUMMYFUNCTION("""COMPUTED_VALUE"""),"W11")</f>
        <v>W11</v>
      </c>
      <c r="C694" s="186">
        <f>IFERROR(__xludf.DUMMYFUNCTION("""COMPUTED_VALUE"""),612.0)</f>
        <v>612</v>
      </c>
      <c r="D694" s="186" t="str">
        <f>IFERROR(__xludf.DUMMYFUNCTION("""COMPUTED_VALUE"""),"CON-00-147871-2")</f>
        <v>CON-00-147871-2</v>
      </c>
      <c r="E694" s="186" t="str">
        <f>IFERROR(__xludf.DUMMYFUNCTION("""COMPUTED_VALUE"""),"Salmon in mustard-dill sauce")</f>
        <v>Salmon in mustard-dill sauce</v>
      </c>
      <c r="F694" s="186" t="str">
        <f>IFERROR(__xludf.DUMMYFUNCTION("""COMPUTED_VALUE"""),"Laks i senneps-dild sauce")</f>
        <v>Laks i senneps-dild sauce</v>
      </c>
      <c r="G694" s="186" t="str">
        <f>IFERROR(__xludf.DUMMYFUNCTION("""COMPUTED_VALUE"""),"FE4009D")</f>
        <v>FE4009D</v>
      </c>
      <c r="H694" s="186">
        <f>IFERROR(__xludf.DUMMYFUNCTION("""COMPUTED_VALUE"""),565064.0)</f>
        <v>565064</v>
      </c>
      <c r="I694" s="186" t="str">
        <f>IFERROR(__xludf.DUMMYFUNCTION("""COMPUTED_VALUE"""),"HF Zalm in mosterd dillesaus")</f>
        <v>HF Zalm in mosterd dillesaus</v>
      </c>
      <c r="J694" s="189">
        <f>IFERROR(__xludf.DUMMYFUNCTION("""COMPUTED_VALUE"""),2644.0)</f>
        <v>2644</v>
      </c>
      <c r="K694" s="189">
        <f>IFERROR(__xludf.DUMMYFUNCTION("""COMPUTED_VALUE"""),2627.0)</f>
        <v>2627</v>
      </c>
      <c r="L694" s="189">
        <f>IFERROR(__xludf.DUMMYFUNCTION("""COMPUTED_VALUE"""),1960.0)</f>
        <v>1960</v>
      </c>
      <c r="M694" s="189">
        <f>IFERROR(__xludf.DUMMYFUNCTION("""COMPUTED_VALUE"""),1985.0)</f>
        <v>1985</v>
      </c>
      <c r="N694" s="189">
        <f>IFERROR(__xludf.DUMMYFUNCTION("""COMPUTED_VALUE"""),1915.0)</f>
        <v>1915</v>
      </c>
      <c r="O694" s="189">
        <f>IFERROR(__xludf.DUMMYFUNCTION("""COMPUTED_VALUE"""),1906.0)</f>
        <v>1906</v>
      </c>
      <c r="P694" s="189">
        <f>IFERROR(__xludf.DUMMYFUNCTION("""COMPUTED_VALUE"""),1922.0)</f>
        <v>1922</v>
      </c>
      <c r="Q694" s="189">
        <f>IFERROR(__xludf.DUMMYFUNCTION("""COMPUTED_VALUE"""),1878.0)</f>
        <v>1878</v>
      </c>
      <c r="R694" s="186"/>
      <c r="S694" s="189">
        <f>IFERROR(__xludf.DUMMYFUNCTION("""COMPUTED_VALUE"""),1821.0)</f>
        <v>1821</v>
      </c>
    </row>
    <row r="695">
      <c r="A695" s="186" t="str">
        <f>IFERROR(__xludf.DUMMYFUNCTION("""COMPUTED_VALUE"""),"NORDICS")</f>
        <v>NORDICS</v>
      </c>
      <c r="B695" s="186" t="str">
        <f>IFERROR(__xludf.DUMMYFUNCTION("""COMPUTED_VALUE"""),"W11")</f>
        <v>W11</v>
      </c>
      <c r="C695" s="186">
        <f>IFERROR(__xludf.DUMMYFUNCTION("""COMPUTED_VALUE"""),613.0)</f>
        <v>613</v>
      </c>
      <c r="D695" s="186" t="str">
        <f>IFERROR(__xludf.DUMMYFUNCTION("""COMPUTED_VALUE"""),"CON-00-150749-2")</f>
        <v>CON-00-150749-2</v>
      </c>
      <c r="E695" s="186" t="str">
        <f>IFERROR(__xludf.DUMMYFUNCTION("""COMPUTED_VALUE"""),"West African Style Chicken Peanut Curry")</f>
        <v>West African Style Chicken Peanut Curry</v>
      </c>
      <c r="F695" s="186" t="str">
        <f>IFERROR(__xludf.DUMMYFUNCTION("""COMPUTED_VALUE"""),"Vestfrikansk-inspireret peanut-kyllingecurry")</f>
        <v>Vestfrikansk-inspireret peanut-kyllingecurry</v>
      </c>
      <c r="G695" s="186" t="str">
        <f>IFERROR(__xludf.DUMMYFUNCTION("""COMPUTED_VALUE"""),"FE1451A")</f>
        <v>FE1451A</v>
      </c>
      <c r="H695" s="186">
        <f>IFERROR(__xludf.DUMMYFUNCTION("""COMPUTED_VALUE"""),565178.0)</f>
        <v>565178</v>
      </c>
      <c r="I695" s="186" t="str">
        <f>IFERROR(__xludf.DUMMYFUNCTION("""COMPUTED_VALUE"""),"HF Kruidige pinda curry")</f>
        <v>HF Kruidige pinda curry</v>
      </c>
      <c r="J695" s="189">
        <f>IFERROR(__xludf.DUMMYFUNCTION("""COMPUTED_VALUE"""),3470.0)</f>
        <v>3470</v>
      </c>
      <c r="K695" s="189">
        <f>IFERROR(__xludf.DUMMYFUNCTION("""COMPUTED_VALUE"""),3165.0)</f>
        <v>3165</v>
      </c>
      <c r="L695" s="189">
        <f>IFERROR(__xludf.DUMMYFUNCTION("""COMPUTED_VALUE"""),2762.0)</f>
        <v>2762</v>
      </c>
      <c r="M695" s="189">
        <f>IFERROR(__xludf.DUMMYFUNCTION("""COMPUTED_VALUE"""),2808.0)</f>
        <v>2808</v>
      </c>
      <c r="N695" s="189">
        <f>IFERROR(__xludf.DUMMYFUNCTION("""COMPUTED_VALUE"""),2698.0)</f>
        <v>2698</v>
      </c>
      <c r="O695" s="189">
        <f>IFERROR(__xludf.DUMMYFUNCTION("""COMPUTED_VALUE"""),2736.0)</f>
        <v>2736</v>
      </c>
      <c r="P695" s="189">
        <f>IFERROR(__xludf.DUMMYFUNCTION("""COMPUTED_VALUE"""),2737.0)</f>
        <v>2737</v>
      </c>
      <c r="Q695" s="189">
        <f>IFERROR(__xludf.DUMMYFUNCTION("""COMPUTED_VALUE"""),2662.0)</f>
        <v>2662</v>
      </c>
      <c r="R695" s="186"/>
      <c r="S695" s="189">
        <f>IFERROR(__xludf.DUMMYFUNCTION("""COMPUTED_VALUE"""),2701.0)</f>
        <v>2701</v>
      </c>
    </row>
    <row r="696">
      <c r="A696" s="186" t="str">
        <f>IFERROR(__xludf.DUMMYFUNCTION("""COMPUTED_VALUE"""),"NORDICS")</f>
        <v>NORDICS</v>
      </c>
      <c r="B696" s="186" t="str">
        <f>IFERROR(__xludf.DUMMYFUNCTION("""COMPUTED_VALUE"""),"W11")</f>
        <v>W11</v>
      </c>
      <c r="C696" s="186">
        <f>IFERROR(__xludf.DUMMYFUNCTION("""COMPUTED_VALUE"""),614.0)</f>
        <v>614</v>
      </c>
      <c r="D696" s="186" t="str">
        <f>IFERROR(__xludf.DUMMYFUNCTION("""COMPUTED_VALUE"""),"CON-00-155918-2")</f>
        <v>CON-00-155918-2</v>
      </c>
      <c r="E696" s="186" t="str">
        <f>IFERROR(__xludf.DUMMYFUNCTION("""COMPUTED_VALUE"""),"Chicken Biryani")</f>
        <v>Chicken Biryani</v>
      </c>
      <c r="F696" s="186" t="str">
        <f>IFERROR(__xludf.DUMMYFUNCTION("""COMPUTED_VALUE"""),"Chicken Biryani")</f>
        <v>Chicken Biryani</v>
      </c>
      <c r="G696" s="186" t="str">
        <f>IFERROR(__xludf.DUMMYFUNCTION("""COMPUTED_VALUE"""),"FE1403A")</f>
        <v>FE1403A</v>
      </c>
      <c r="H696" s="186">
        <f>IFERROR(__xludf.DUMMYFUNCTION("""COMPUTED_VALUE"""),565270.0)</f>
        <v>565270</v>
      </c>
      <c r="I696" s="186" t="str">
        <f>IFERROR(__xludf.DUMMYFUNCTION("""COMPUTED_VALUE"""),"HF Chicken biryani")</f>
        <v>HF Chicken biryani</v>
      </c>
      <c r="J696" s="189">
        <f>IFERROR(__xludf.DUMMYFUNCTION("""COMPUTED_VALUE"""),1344.0)</f>
        <v>1344</v>
      </c>
      <c r="K696" s="189">
        <f>IFERROR(__xludf.DUMMYFUNCTION("""COMPUTED_VALUE"""),1354.0)</f>
        <v>1354</v>
      </c>
      <c r="L696" s="189">
        <f>IFERROR(__xludf.DUMMYFUNCTION("""COMPUTED_VALUE"""),893.0)</f>
        <v>893</v>
      </c>
      <c r="M696" s="189">
        <f>IFERROR(__xludf.DUMMYFUNCTION("""COMPUTED_VALUE"""),745.0)</f>
        <v>745</v>
      </c>
      <c r="N696" s="189">
        <f>IFERROR(__xludf.DUMMYFUNCTION("""COMPUTED_VALUE"""),723.0)</f>
        <v>723</v>
      </c>
      <c r="O696" s="189">
        <f>IFERROR(__xludf.DUMMYFUNCTION("""COMPUTED_VALUE"""),711.0)</f>
        <v>711</v>
      </c>
      <c r="P696" s="189">
        <f>IFERROR(__xludf.DUMMYFUNCTION("""COMPUTED_VALUE"""),719.0)</f>
        <v>719</v>
      </c>
      <c r="Q696" s="189">
        <f>IFERROR(__xludf.DUMMYFUNCTION("""COMPUTED_VALUE"""),680.0)</f>
        <v>680</v>
      </c>
      <c r="R696" s="186"/>
      <c r="S696" s="189">
        <f>IFERROR(__xludf.DUMMYFUNCTION("""COMPUTED_VALUE"""),662.0)</f>
        <v>662</v>
      </c>
    </row>
    <row r="697">
      <c r="A697" s="186" t="str">
        <f>IFERROR(__xludf.DUMMYFUNCTION("""COMPUTED_VALUE"""),"NORDICS")</f>
        <v>NORDICS</v>
      </c>
      <c r="B697" s="186" t="str">
        <f>IFERROR(__xludf.DUMMYFUNCTION("""COMPUTED_VALUE"""),"W11")</f>
        <v>W11</v>
      </c>
      <c r="C697" s="186">
        <f>IFERROR(__xludf.DUMMYFUNCTION("""COMPUTED_VALUE"""),615.0)</f>
        <v>615</v>
      </c>
      <c r="D697" s="186" t="str">
        <f>IFERROR(__xludf.DUMMYFUNCTION("""COMPUTED_VALUE"""),"CON-00-147906-2")</f>
        <v>CON-00-147906-2</v>
      </c>
      <c r="E697" s="186" t="str">
        <f>IFERROR(__xludf.DUMMYFUNCTION("""COMPUTED_VALUE"""),"Cheddar pulled beef")</f>
        <v>Cheddar pulled beef</v>
      </c>
      <c r="F697" s="186" t="str">
        <f>IFERROR(__xludf.DUMMYFUNCTION("""COMPUTED_VALUE"""),"Pulled beef med cheddar")</f>
        <v>Pulled beef med cheddar</v>
      </c>
      <c r="G697" s="186" t="str">
        <f>IFERROR(__xludf.DUMMYFUNCTION("""COMPUTED_VALUE"""),"FE4063A")</f>
        <v>FE4063A</v>
      </c>
      <c r="H697" s="186">
        <f>IFERROR(__xludf.DUMMYFUNCTION("""COMPUTED_VALUE"""),565136.0)</f>
        <v>565136</v>
      </c>
      <c r="I697" s="186"/>
      <c r="J697" s="189">
        <f>IFERROR(__xludf.DUMMYFUNCTION("""COMPUTED_VALUE"""),1239.0)</f>
        <v>1239</v>
      </c>
      <c r="K697" s="189">
        <f>IFERROR(__xludf.DUMMYFUNCTION("""COMPUTED_VALUE"""),1150.0)</f>
        <v>1150</v>
      </c>
      <c r="L697" s="189">
        <f>IFERROR(__xludf.DUMMYFUNCTION("""COMPUTED_VALUE"""),858.0)</f>
        <v>858</v>
      </c>
      <c r="M697" s="189">
        <f>IFERROR(__xludf.DUMMYFUNCTION("""COMPUTED_VALUE"""),921.0)</f>
        <v>921</v>
      </c>
      <c r="N697" s="189">
        <f>IFERROR(__xludf.DUMMYFUNCTION("""COMPUTED_VALUE"""),885.0)</f>
        <v>885</v>
      </c>
      <c r="O697" s="189">
        <f>IFERROR(__xludf.DUMMYFUNCTION("""COMPUTED_VALUE"""),834.0)</f>
        <v>834</v>
      </c>
      <c r="P697" s="189">
        <f>IFERROR(__xludf.DUMMYFUNCTION("""COMPUTED_VALUE"""),825.0)</f>
        <v>825</v>
      </c>
      <c r="Q697" s="189">
        <f>IFERROR(__xludf.DUMMYFUNCTION("""COMPUTED_VALUE"""),817.0)</f>
        <v>817</v>
      </c>
      <c r="R697" s="186"/>
      <c r="S697" s="189">
        <f>IFERROR(__xludf.DUMMYFUNCTION("""COMPUTED_VALUE"""),838.0)</f>
        <v>838</v>
      </c>
    </row>
    <row r="698">
      <c r="A698" s="186" t="str">
        <f>IFERROR(__xludf.DUMMYFUNCTION("""COMPUTED_VALUE"""),"NORDICS")</f>
        <v>NORDICS</v>
      </c>
      <c r="B698" s="186" t="str">
        <f>IFERROR(__xludf.DUMMYFUNCTION("""COMPUTED_VALUE"""),"W11")</f>
        <v>W11</v>
      </c>
      <c r="C698" s="186">
        <f>IFERROR(__xludf.DUMMYFUNCTION("""COMPUTED_VALUE"""),616.0)</f>
        <v>616</v>
      </c>
      <c r="D698" s="186" t="str">
        <f>IFERROR(__xludf.DUMMYFUNCTION("""COMPUTED_VALUE"""),"CON-00-154553-2")</f>
        <v>CON-00-154553-2</v>
      </c>
      <c r="E698" s="186" t="str">
        <f>IFERROR(__xludf.DUMMYFUNCTION("""COMPUTED_VALUE"""),"Chermoula Chicken &amp; Lentils")</f>
        <v>Chermoula Chicken &amp; Lentils</v>
      </c>
      <c r="F698" s="186" t="str">
        <f>IFERROR(__xludf.DUMMYFUNCTION("""COMPUTED_VALUE"""),"Kylling i chermoula-sauce med linser ")</f>
        <v>Kylling i chermoula-sauce med linser </v>
      </c>
      <c r="G698" s="186" t="str">
        <f>IFERROR(__xludf.DUMMYFUNCTION("""COMPUTED_VALUE"""),"FE1698A")</f>
        <v>FE1698A</v>
      </c>
      <c r="H698" s="186">
        <f>IFERROR(__xludf.DUMMYFUNCTION("""COMPUTED_VALUE"""),565213.0)</f>
        <v>565213</v>
      </c>
      <c r="I698" s="186" t="str">
        <f>IFERROR(__xludf.DUMMYFUNCTION("""COMPUTED_VALUE"""),"HF Kip chermoula en linzen")</f>
        <v>HF Kip chermoula en linzen</v>
      </c>
      <c r="J698" s="189">
        <f>IFERROR(__xludf.DUMMYFUNCTION("""COMPUTED_VALUE"""),1101.0)</f>
        <v>1101</v>
      </c>
      <c r="K698" s="189">
        <f>IFERROR(__xludf.DUMMYFUNCTION("""COMPUTED_VALUE"""),1131.0)</f>
        <v>1131</v>
      </c>
      <c r="L698" s="189">
        <f>IFERROR(__xludf.DUMMYFUNCTION("""COMPUTED_VALUE"""),593.0)</f>
        <v>593</v>
      </c>
      <c r="M698" s="189">
        <f>IFERROR(__xludf.DUMMYFUNCTION("""COMPUTED_VALUE"""),478.0)</f>
        <v>478</v>
      </c>
      <c r="N698" s="189">
        <f>IFERROR(__xludf.DUMMYFUNCTION("""COMPUTED_VALUE"""),452.0)</f>
        <v>452</v>
      </c>
      <c r="O698" s="189">
        <f>IFERROR(__xludf.DUMMYFUNCTION("""COMPUTED_VALUE"""),460.0)</f>
        <v>460</v>
      </c>
      <c r="P698" s="189">
        <f>IFERROR(__xludf.DUMMYFUNCTION("""COMPUTED_VALUE"""),474.0)</f>
        <v>474</v>
      </c>
      <c r="Q698" s="189">
        <f>IFERROR(__xludf.DUMMYFUNCTION("""COMPUTED_VALUE"""),454.0)</f>
        <v>454</v>
      </c>
      <c r="R698" s="186"/>
      <c r="S698" s="189">
        <f>IFERROR(__xludf.DUMMYFUNCTION("""COMPUTED_VALUE"""),444.0)</f>
        <v>444</v>
      </c>
    </row>
    <row r="699">
      <c r="A699" s="186" t="str">
        <f>IFERROR(__xludf.DUMMYFUNCTION("""COMPUTED_VALUE"""),"NORDICS")</f>
        <v>NORDICS</v>
      </c>
      <c r="B699" s="186" t="str">
        <f>IFERROR(__xludf.DUMMYFUNCTION("""COMPUTED_VALUE"""),"W11")</f>
        <v>W11</v>
      </c>
      <c r="C699" s="186">
        <f>IFERROR(__xludf.DUMMYFUNCTION("""COMPUTED_VALUE"""),617.0)</f>
        <v>617</v>
      </c>
      <c r="D699" s="186" t="str">
        <f>IFERROR(__xludf.DUMMYFUNCTION("""COMPUTED_VALUE"""),"CON-00-147824-2")</f>
        <v>CON-00-147824-2</v>
      </c>
      <c r="E699" s="186" t="str">
        <f>IFERROR(__xludf.DUMMYFUNCTION("""COMPUTED_VALUE"""),"Pork tenderloin in creamy garlic-mustard sauce")</f>
        <v>Pork tenderloin in creamy garlic-mustard sauce</v>
      </c>
      <c r="F699" s="186" t="str">
        <f>IFERROR(__xludf.DUMMYFUNCTION("""COMPUTED_VALUE"""),"Svinemørbrad i cremet hvidløg-sennepssauce")</f>
        <v>Svinemørbrad i cremet hvidløg-sennepssauce</v>
      </c>
      <c r="G699" s="186" t="str">
        <f>IFERROR(__xludf.DUMMYFUNCTION("""COMPUTED_VALUE"""),"FE0169H")</f>
        <v>FE0169H</v>
      </c>
      <c r="H699" s="186">
        <f>IFERROR(__xludf.DUMMYFUNCTION("""COMPUTED_VALUE"""),565143.0)</f>
        <v>565143</v>
      </c>
      <c r="I699" s="186" t="str">
        <f>IFERROR(__xludf.DUMMYFUNCTION("""COMPUTED_VALUE"""),"Varkenshaas in romige knoflook-mosterdsaus")</f>
        <v>Varkenshaas in romige knoflook-mosterdsaus</v>
      </c>
      <c r="J699" s="189">
        <f>IFERROR(__xludf.DUMMYFUNCTION("""COMPUTED_VALUE"""),1675.0)</f>
        <v>1675</v>
      </c>
      <c r="K699" s="189">
        <f>IFERROR(__xludf.DUMMYFUNCTION("""COMPUTED_VALUE"""),1614.0)</f>
        <v>1614</v>
      </c>
      <c r="L699" s="189">
        <f>IFERROR(__xludf.DUMMYFUNCTION("""COMPUTED_VALUE"""),1431.0)</f>
        <v>1431</v>
      </c>
      <c r="M699" s="189">
        <f>IFERROR(__xludf.DUMMYFUNCTION("""COMPUTED_VALUE"""),1412.0)</f>
        <v>1412</v>
      </c>
      <c r="N699" s="189">
        <f>IFERROR(__xludf.DUMMYFUNCTION("""COMPUTED_VALUE"""),1389.0)</f>
        <v>1389</v>
      </c>
      <c r="O699" s="189">
        <f>IFERROR(__xludf.DUMMYFUNCTION("""COMPUTED_VALUE"""),1356.0)</f>
        <v>1356</v>
      </c>
      <c r="P699" s="189">
        <f>IFERROR(__xludf.DUMMYFUNCTION("""COMPUTED_VALUE"""),1352.0)</f>
        <v>1352</v>
      </c>
      <c r="Q699" s="189">
        <f>IFERROR(__xludf.DUMMYFUNCTION("""COMPUTED_VALUE"""),1325.0)</f>
        <v>1325</v>
      </c>
      <c r="R699" s="186"/>
      <c r="S699" s="189">
        <f>IFERROR(__xludf.DUMMYFUNCTION("""COMPUTED_VALUE"""),1292.0)</f>
        <v>1292</v>
      </c>
    </row>
    <row r="700">
      <c r="A700" s="186" t="str">
        <f>IFERROR(__xludf.DUMMYFUNCTION("""COMPUTED_VALUE"""),"NORDICS")</f>
        <v>NORDICS</v>
      </c>
      <c r="B700" s="186" t="str">
        <f>IFERROR(__xludf.DUMMYFUNCTION("""COMPUTED_VALUE"""),"W11")</f>
        <v>W11</v>
      </c>
      <c r="C700" s="186">
        <f>IFERROR(__xludf.DUMMYFUNCTION("""COMPUTED_VALUE"""),618.0)</f>
        <v>618</v>
      </c>
      <c r="D700" s="186" t="str">
        <f>IFERROR(__xludf.DUMMYFUNCTION("""COMPUTED_VALUE"""),"CON-00-147864-2")</f>
        <v>CON-00-147864-2</v>
      </c>
      <c r="E700" s="186" t="str">
        <f>IFERROR(__xludf.DUMMYFUNCTION("""COMPUTED_VALUE"""),"Pork tenderloin in spicy ancho chili sauce")</f>
        <v>Pork tenderloin in spicy ancho chili sauce</v>
      </c>
      <c r="F700" s="186" t="str">
        <f>IFERROR(__xludf.DUMMYFUNCTION("""COMPUTED_VALUE"""),"Svinemørbrad i ancho- og chilisauce")</f>
        <v>Svinemørbrad i ancho- og chilisauce</v>
      </c>
      <c r="G700" s="186" t="str">
        <f>IFERROR(__xludf.DUMMYFUNCTION("""COMPUTED_VALUE"""),"FE1072B")</f>
        <v>FE1072B</v>
      </c>
      <c r="H700" s="186">
        <f>IFERROR(__xludf.DUMMYFUNCTION("""COMPUTED_VALUE"""),565095.0)</f>
        <v>565095</v>
      </c>
      <c r="I700" s="186" t="str">
        <f>IFERROR(__xludf.DUMMYFUNCTION("""COMPUTED_VALUE"""),"HF V.haas pittige ancho chili")</f>
        <v>HF V.haas pittige ancho chili</v>
      </c>
      <c r="J700" s="189">
        <f>IFERROR(__xludf.DUMMYFUNCTION("""COMPUTED_VALUE"""),1114.0)</f>
        <v>1114</v>
      </c>
      <c r="K700" s="189">
        <f>IFERROR(__xludf.DUMMYFUNCTION("""COMPUTED_VALUE"""),1091.0)</f>
        <v>1091</v>
      </c>
      <c r="L700" s="189">
        <f>IFERROR(__xludf.DUMMYFUNCTION("""COMPUTED_VALUE"""),970.0)</f>
        <v>970</v>
      </c>
      <c r="M700" s="189">
        <f>IFERROR(__xludf.DUMMYFUNCTION("""COMPUTED_VALUE"""),771.0)</f>
        <v>771</v>
      </c>
      <c r="N700" s="189">
        <f>IFERROR(__xludf.DUMMYFUNCTION("""COMPUTED_VALUE"""),762.0)</f>
        <v>762</v>
      </c>
      <c r="O700" s="189">
        <f>IFERROR(__xludf.DUMMYFUNCTION("""COMPUTED_VALUE"""),796.0)</f>
        <v>796</v>
      </c>
      <c r="P700" s="189">
        <f>IFERROR(__xludf.DUMMYFUNCTION("""COMPUTED_VALUE"""),801.0)</f>
        <v>801</v>
      </c>
      <c r="Q700" s="189">
        <f>IFERROR(__xludf.DUMMYFUNCTION("""COMPUTED_VALUE"""),799.0)</f>
        <v>799</v>
      </c>
      <c r="R700" s="186"/>
      <c r="S700" s="189">
        <f>IFERROR(__xludf.DUMMYFUNCTION("""COMPUTED_VALUE"""),799.0)</f>
        <v>799</v>
      </c>
    </row>
    <row r="701">
      <c r="A701" s="186" t="str">
        <f>IFERROR(__xludf.DUMMYFUNCTION("""COMPUTED_VALUE"""),"NORDICS")</f>
        <v>NORDICS</v>
      </c>
      <c r="B701" s="186" t="str">
        <f>IFERROR(__xludf.DUMMYFUNCTION("""COMPUTED_VALUE"""),"W11")</f>
        <v>W11</v>
      </c>
      <c r="C701" s="186">
        <f>IFERROR(__xludf.DUMMYFUNCTION("""COMPUTED_VALUE"""),706.0)</f>
        <v>706</v>
      </c>
      <c r="D701" s="186" t="str">
        <f>IFERROR(__xludf.DUMMYFUNCTION("""COMPUTED_VALUE"""),"PTN-00-148223-2")</f>
        <v>PTN-00-148223-2</v>
      </c>
      <c r="E701" s="186" t="str">
        <f>IFERROR(__xludf.DUMMYFUNCTION("""COMPUTED_VALUE"""),"Garlic Herb Grilled Chicken")</f>
        <v>Garlic Herb Grilled Chicken</v>
      </c>
      <c r="F701" s="186" t="str">
        <f>IFERROR(__xludf.DUMMYFUNCTION("""COMPUTED_VALUE"""),"Grillet kylling med hvidlød og urter")</f>
        <v>Grillet kylling med hvidlød og urter</v>
      </c>
      <c r="G701" s="186" t="str">
        <f>IFERROR(__xludf.DUMMYFUNCTION("""COMPUTED_VALUE"""),"FEA006A")</f>
        <v>FEA006A</v>
      </c>
      <c r="H701" s="186">
        <f>IFERROR(__xludf.DUMMYFUNCTION("""COMPUTED_VALUE"""),565119.0)</f>
        <v>565119</v>
      </c>
      <c r="I701" s="186"/>
      <c r="J701" s="189">
        <f>IFERROR(__xludf.DUMMYFUNCTION("""COMPUTED_VALUE"""),36.0)</f>
        <v>36</v>
      </c>
      <c r="K701" s="189">
        <f>IFERROR(__xludf.DUMMYFUNCTION("""COMPUTED_VALUE"""),56.0)</f>
        <v>56</v>
      </c>
      <c r="L701" s="189">
        <f>IFERROR(__xludf.DUMMYFUNCTION("""COMPUTED_VALUE"""),56.0)</f>
        <v>56</v>
      </c>
      <c r="M701" s="189">
        <f>IFERROR(__xludf.DUMMYFUNCTION("""COMPUTED_VALUE"""),56.0)</f>
        <v>56</v>
      </c>
      <c r="N701" s="189">
        <f>IFERROR(__xludf.DUMMYFUNCTION("""COMPUTED_VALUE"""),56.0)</f>
        <v>56</v>
      </c>
      <c r="O701" s="189">
        <f>IFERROR(__xludf.DUMMYFUNCTION("""COMPUTED_VALUE"""),56.0)</f>
        <v>56</v>
      </c>
      <c r="P701" s="189">
        <f>IFERROR(__xludf.DUMMYFUNCTION("""COMPUTED_VALUE"""),56.0)</f>
        <v>56</v>
      </c>
      <c r="Q701" s="189">
        <f>IFERROR(__xludf.DUMMYFUNCTION("""COMPUTED_VALUE"""),48.0)</f>
        <v>48</v>
      </c>
      <c r="R701" s="186"/>
      <c r="S701" s="189">
        <f>IFERROR(__xludf.DUMMYFUNCTION("""COMPUTED_VALUE"""),53.0)</f>
        <v>53</v>
      </c>
    </row>
    <row r="702">
      <c r="A702" s="186" t="str">
        <f>IFERROR(__xludf.DUMMYFUNCTION("""COMPUTED_VALUE"""),"NORDICS")</f>
        <v>NORDICS</v>
      </c>
      <c r="B702" s="186" t="str">
        <f>IFERROR(__xludf.DUMMYFUNCTION("""COMPUTED_VALUE"""),"W11")</f>
        <v>W11</v>
      </c>
      <c r="C702" s="186"/>
      <c r="D702" s="186"/>
      <c r="E702" s="186"/>
      <c r="F702" s="186"/>
      <c r="G702" s="186"/>
      <c r="H702" s="186"/>
      <c r="I702" s="186"/>
      <c r="J702" s="189">
        <f>IFERROR(__xludf.DUMMYFUNCTION("""COMPUTED_VALUE"""),40969.0)</f>
        <v>40969</v>
      </c>
      <c r="K702" s="189">
        <f>IFERROR(__xludf.DUMMYFUNCTION("""COMPUTED_VALUE"""),37570.0)</f>
        <v>37570</v>
      </c>
      <c r="L702" s="189">
        <f>IFERROR(__xludf.DUMMYFUNCTION("""COMPUTED_VALUE"""),31851.0)</f>
        <v>31851</v>
      </c>
      <c r="M702" s="189">
        <f>IFERROR(__xludf.DUMMYFUNCTION("""COMPUTED_VALUE"""),31838.0)</f>
        <v>31838</v>
      </c>
      <c r="N702" s="189">
        <f>IFERROR(__xludf.DUMMYFUNCTION("""COMPUTED_VALUE"""),30818.0)</f>
        <v>30818</v>
      </c>
      <c r="O702" s="189">
        <f>IFERROR(__xludf.DUMMYFUNCTION("""COMPUTED_VALUE"""),30744.0)</f>
        <v>30744</v>
      </c>
      <c r="P702" s="189">
        <f>IFERROR(__xludf.DUMMYFUNCTION("""COMPUTED_VALUE"""),31099.0)</f>
        <v>31099</v>
      </c>
      <c r="Q702" s="189">
        <f>IFERROR(__xludf.DUMMYFUNCTION("""COMPUTED_VALUE"""),30542.0)</f>
        <v>30542</v>
      </c>
      <c r="R702" s="189">
        <f>IFERROR(__xludf.DUMMYFUNCTION("""COMPUTED_VALUE"""),0.0)</f>
        <v>0</v>
      </c>
      <c r="S702" s="189">
        <f>IFERROR(__xludf.DUMMYFUNCTION("""COMPUTED_VALUE"""),30456.0)</f>
        <v>30456</v>
      </c>
    </row>
    <row r="703">
      <c r="A703" s="186" t="str">
        <f>IFERROR(__xludf.DUMMYFUNCTION("""COMPUTED_VALUE"""),"DE")</f>
        <v>DE</v>
      </c>
      <c r="B703" s="186" t="str">
        <f>IFERROR(__xludf.DUMMYFUNCTION("""COMPUTED_VALUE"""),"W11")</f>
        <v>W11</v>
      </c>
      <c r="C703" s="186">
        <f>IFERROR(__xludf.DUMMYFUNCTION("""COMPUTED_VALUE"""),301.0)</f>
        <v>301</v>
      </c>
      <c r="D703" s="186" t="str">
        <f>IFERROR(__xludf.DUMMYFUNCTION("""COMPUTED_VALUE"""),"CON-00-136649-3")</f>
        <v>CON-00-136649-3</v>
      </c>
      <c r="E703" s="186" t="str">
        <f>IFERROR(__xludf.DUMMYFUNCTION("""COMPUTED_VALUE"""),"Grilled chicken fillet and potato leek mash")</f>
        <v>Grilled chicken fillet and potato leek mash</v>
      </c>
      <c r="F703" s="186" t="str">
        <f>IFERROR(__xludf.DUMMYFUNCTION("""COMPUTED_VALUE"""),"Gegrilltes Hähnchenfilet mit Kartoffel-Lauch-Püree")</f>
        <v>Gegrilltes Hähnchenfilet mit Kartoffel-Lauch-Püree</v>
      </c>
      <c r="G703" s="186" t="str">
        <f>IFERROR(__xludf.DUMMYFUNCTION("""COMPUTED_VALUE"""),"FE0426B")</f>
        <v>FE0426B</v>
      </c>
      <c r="H703" s="186">
        <f>IFERROR(__xludf.DUMMYFUNCTION("""COMPUTED_VALUE"""),565035.0)</f>
        <v>565035</v>
      </c>
      <c r="I703" s="186" t="str">
        <f>IFERROR(__xludf.DUMMYFUNCTION("""COMPUTED_VALUE"""),"HF Puree van aardappel en prei met gegrilde kip 416g")</f>
        <v>HF Puree van aardappel en prei met gegrilde kip 416g</v>
      </c>
      <c r="J703" s="189">
        <f>IFERROR(__xludf.DUMMYFUNCTION("""COMPUTED_VALUE"""),3335.0)</f>
        <v>3335</v>
      </c>
      <c r="K703" s="189">
        <f>IFERROR(__xludf.DUMMYFUNCTION("""COMPUTED_VALUE"""),3461.0)</f>
        <v>3461</v>
      </c>
      <c r="L703" s="189">
        <f>IFERROR(__xludf.DUMMYFUNCTION("""COMPUTED_VALUE"""),3113.0)</f>
        <v>3113</v>
      </c>
      <c r="M703" s="189">
        <f>IFERROR(__xludf.DUMMYFUNCTION("""COMPUTED_VALUE"""),3196.0)</f>
        <v>3196</v>
      </c>
      <c r="N703" s="189">
        <f>IFERROR(__xludf.DUMMYFUNCTION("""COMPUTED_VALUE"""),3117.0)</f>
        <v>3117</v>
      </c>
      <c r="O703" s="189">
        <f>IFERROR(__xludf.DUMMYFUNCTION("""COMPUTED_VALUE"""),3238.0)</f>
        <v>3238</v>
      </c>
      <c r="P703" s="189">
        <f>IFERROR(__xludf.DUMMYFUNCTION("""COMPUTED_VALUE"""),3234.0)</f>
        <v>3234</v>
      </c>
      <c r="Q703" s="189">
        <f>IFERROR(__xludf.DUMMYFUNCTION("""COMPUTED_VALUE"""),3267.0)</f>
        <v>3267</v>
      </c>
      <c r="R703" s="186"/>
      <c r="S703" s="189">
        <f>IFERROR(__xludf.DUMMYFUNCTION("""COMPUTED_VALUE"""),3351.0)</f>
        <v>3351</v>
      </c>
    </row>
    <row r="704">
      <c r="A704" s="186" t="str">
        <f>IFERROR(__xludf.DUMMYFUNCTION("""COMPUTED_VALUE"""),"DE")</f>
        <v>DE</v>
      </c>
      <c r="B704" s="186" t="str">
        <f>IFERROR(__xludf.DUMMYFUNCTION("""COMPUTED_VALUE"""),"W11")</f>
        <v>W11</v>
      </c>
      <c r="C704" s="186">
        <f>IFERROR(__xludf.DUMMYFUNCTION("""COMPUTED_VALUE"""),302.0)</f>
        <v>302</v>
      </c>
      <c r="D704" s="186" t="str">
        <f>IFERROR(__xludf.DUMMYFUNCTION("""COMPUTED_VALUE"""),"CON-00-149480-2")</f>
        <v>CON-00-149480-2</v>
      </c>
      <c r="E704" s="186" t="str">
        <f>IFERROR(__xludf.DUMMYFUNCTION("""COMPUTED_VALUE"""),"Sour Cream &amp; Chive Chicken")</f>
        <v>Sour Cream &amp; Chive Chicken</v>
      </c>
      <c r="F704" s="186" t="str">
        <f>IFERROR(__xludf.DUMMYFUNCTION("""COMPUTED_VALUE"""),"Hähnchen mit Sauerrahm und Schnittlauch")</f>
        <v>Hähnchen mit Sauerrahm und Schnittlauch</v>
      </c>
      <c r="G704" s="186" t="str">
        <f>IFERROR(__xludf.DUMMYFUNCTION("""COMPUTED_VALUE"""),"FE0322O")</f>
        <v>FE0322O</v>
      </c>
      <c r="H704" s="186">
        <f>IFERROR(__xludf.DUMMYFUNCTION("""COMPUTED_VALUE"""),565163.0)</f>
        <v>565163</v>
      </c>
      <c r="I704" s="186" t="str">
        <f>IFERROR(__xludf.DUMMYFUNCTION("""COMPUTED_VALUE"""),"HF Kip bieslook aardappel pure")</f>
        <v>HF Kip bieslook aardappel pure</v>
      </c>
      <c r="J704" s="189">
        <f>IFERROR(__xludf.DUMMYFUNCTION("""COMPUTED_VALUE"""),2116.0)</f>
        <v>2116</v>
      </c>
      <c r="K704" s="189">
        <f>IFERROR(__xludf.DUMMYFUNCTION("""COMPUTED_VALUE"""),2128.0)</f>
        <v>2128</v>
      </c>
      <c r="L704" s="189">
        <f>IFERROR(__xludf.DUMMYFUNCTION("""COMPUTED_VALUE"""),1809.0)</f>
        <v>1809</v>
      </c>
      <c r="M704" s="189">
        <f>IFERROR(__xludf.DUMMYFUNCTION("""COMPUTED_VALUE"""),1943.0)</f>
        <v>1943</v>
      </c>
      <c r="N704" s="189">
        <f>IFERROR(__xludf.DUMMYFUNCTION("""COMPUTED_VALUE"""),1854.0)</f>
        <v>1854</v>
      </c>
      <c r="O704" s="189">
        <f>IFERROR(__xludf.DUMMYFUNCTION("""COMPUTED_VALUE"""),1870.0)</f>
        <v>1870</v>
      </c>
      <c r="P704" s="189">
        <f>IFERROR(__xludf.DUMMYFUNCTION("""COMPUTED_VALUE"""),1855.0)</f>
        <v>1855</v>
      </c>
      <c r="Q704" s="189">
        <f>IFERROR(__xludf.DUMMYFUNCTION("""COMPUTED_VALUE"""),1871.0)</f>
        <v>1871</v>
      </c>
      <c r="R704" s="186"/>
      <c r="S704" s="189">
        <f>IFERROR(__xludf.DUMMYFUNCTION("""COMPUTED_VALUE"""),1902.0)</f>
        <v>1902</v>
      </c>
    </row>
    <row r="705">
      <c r="A705" s="186" t="str">
        <f>IFERROR(__xludf.DUMMYFUNCTION("""COMPUTED_VALUE"""),"DE")</f>
        <v>DE</v>
      </c>
      <c r="B705" s="186" t="str">
        <f>IFERROR(__xludf.DUMMYFUNCTION("""COMPUTED_VALUE"""),"W11")</f>
        <v>W11</v>
      </c>
      <c r="C705" s="186">
        <f>IFERROR(__xludf.DUMMYFUNCTION("""COMPUTED_VALUE"""),303.0)</f>
        <v>303</v>
      </c>
      <c r="D705" s="186" t="str">
        <f>IFERROR(__xludf.DUMMYFUNCTION("""COMPUTED_VALUE"""),"CON-00-136657-3")</f>
        <v>CON-00-136657-3</v>
      </c>
      <c r="E705" s="186" t="str">
        <f>IFERROR(__xludf.DUMMYFUNCTION("""COMPUTED_VALUE"""),"Courgette-spaghetti bolognese")</f>
        <v>Courgette-spaghetti bolognese</v>
      </c>
      <c r="F705" s="186" t="str">
        <f>IFERROR(__xludf.DUMMYFUNCTION("""COMPUTED_VALUE"""),"Zucchini-Spaghetti Bolognese")</f>
        <v>Zucchini-Spaghetti Bolognese</v>
      </c>
      <c r="G705" s="186" t="str">
        <f>IFERROR(__xludf.DUMMYFUNCTION("""COMPUTED_VALUE"""),"FE0849B")</f>
        <v>FE0849B</v>
      </c>
      <c r="H705" s="186">
        <f>IFERROR(__xludf.DUMMYFUNCTION("""COMPUTED_VALUE"""),565260.0)</f>
        <v>565260</v>
      </c>
      <c r="I705" s="186" t="str">
        <f>IFERROR(__xludf.DUMMYFUNCTION("""COMPUTED_VALUE"""),"HF RW Courgette-spagh bolognes")</f>
        <v>HF RW Courgette-spagh bolognes</v>
      </c>
      <c r="J705" s="189">
        <f>IFERROR(__xludf.DUMMYFUNCTION("""COMPUTED_VALUE"""),2544.0)</f>
        <v>2544</v>
      </c>
      <c r="K705" s="189">
        <f>IFERROR(__xludf.DUMMYFUNCTION("""COMPUTED_VALUE"""),2216.0)</f>
        <v>2216</v>
      </c>
      <c r="L705" s="189">
        <f>IFERROR(__xludf.DUMMYFUNCTION("""COMPUTED_VALUE"""),2091.0)</f>
        <v>2091</v>
      </c>
      <c r="M705" s="189">
        <f>IFERROR(__xludf.DUMMYFUNCTION("""COMPUTED_VALUE"""),2025.0)</f>
        <v>2025</v>
      </c>
      <c r="N705" s="189">
        <f>IFERROR(__xludf.DUMMYFUNCTION("""COMPUTED_VALUE"""),1960.0)</f>
        <v>1960</v>
      </c>
      <c r="O705" s="189">
        <f>IFERROR(__xludf.DUMMYFUNCTION("""COMPUTED_VALUE"""),1990.0)</f>
        <v>1990</v>
      </c>
      <c r="P705" s="189">
        <f>IFERROR(__xludf.DUMMYFUNCTION("""COMPUTED_VALUE"""),1974.0)</f>
        <v>1974</v>
      </c>
      <c r="Q705" s="189">
        <f>IFERROR(__xludf.DUMMYFUNCTION("""COMPUTED_VALUE"""),1939.0)</f>
        <v>1939</v>
      </c>
      <c r="R705" s="186"/>
      <c r="S705" s="189">
        <f>IFERROR(__xludf.DUMMYFUNCTION("""COMPUTED_VALUE"""),1977.0)</f>
        <v>1977</v>
      </c>
    </row>
    <row r="706">
      <c r="A706" s="186" t="str">
        <f>IFERROR(__xludf.DUMMYFUNCTION("""COMPUTED_VALUE"""),"DE")</f>
        <v>DE</v>
      </c>
      <c r="B706" s="186" t="str">
        <f>IFERROR(__xludf.DUMMYFUNCTION("""COMPUTED_VALUE"""),"W11")</f>
        <v>W11</v>
      </c>
      <c r="C706" s="186">
        <f>IFERROR(__xludf.DUMMYFUNCTION("""COMPUTED_VALUE"""),304.0)</f>
        <v>304</v>
      </c>
      <c r="D706" s="186" t="str">
        <f>IFERROR(__xludf.DUMMYFUNCTION("""COMPUTED_VALUE"""),"CON-00-151114-2")</f>
        <v>CON-00-151114-2</v>
      </c>
      <c r="E706" s="186" t="str">
        <f>IFERROR(__xludf.DUMMYFUNCTION("""COMPUTED_VALUE"""),"Cheddar &amp; Bell Pepper Pulled Beef Bowl")</f>
        <v>Cheddar &amp; Bell Pepper Pulled Beef Bowl</v>
      </c>
      <c r="F706" s="186" t="str">
        <f>IFERROR(__xludf.DUMMYFUNCTION("""COMPUTED_VALUE"""),"Pulled-Beef-Bowl mit Cheddar und Paprika")</f>
        <v>Pulled-Beef-Bowl mit Cheddar und Paprika</v>
      </c>
      <c r="G706" s="186" t="str">
        <f>IFERROR(__xludf.DUMMYFUNCTION("""COMPUTED_VALUE"""),"FE1348B")</f>
        <v>FE1348B</v>
      </c>
      <c r="H706" s="186">
        <f>IFERROR(__xludf.DUMMYFUNCTION("""COMPUTED_VALUE"""),565186.0)</f>
        <v>565186</v>
      </c>
      <c r="I706" s="186" t="str">
        <f>IFERROR(__xludf.DUMMYFUNCTION("""COMPUTED_VALUE"""),"HF Pulled beef salsa bowl")</f>
        <v>HF Pulled beef salsa bowl</v>
      </c>
      <c r="J706" s="189">
        <f>IFERROR(__xludf.DUMMYFUNCTION("""COMPUTED_VALUE"""),2498.0)</f>
        <v>2498</v>
      </c>
      <c r="K706" s="189">
        <f>IFERROR(__xludf.DUMMYFUNCTION("""COMPUTED_VALUE"""),2599.0)</f>
        <v>2599</v>
      </c>
      <c r="L706" s="189">
        <f>IFERROR(__xludf.DUMMYFUNCTION("""COMPUTED_VALUE"""),3144.0)</f>
        <v>3144</v>
      </c>
      <c r="M706" s="189">
        <f>IFERROR(__xludf.DUMMYFUNCTION("""COMPUTED_VALUE"""),3228.0)</f>
        <v>3228</v>
      </c>
      <c r="N706" s="189">
        <f>IFERROR(__xludf.DUMMYFUNCTION("""COMPUTED_VALUE"""),3131.0)</f>
        <v>3131</v>
      </c>
      <c r="O706" s="189">
        <f>IFERROR(__xludf.DUMMYFUNCTION("""COMPUTED_VALUE"""),3190.0)</f>
        <v>3190</v>
      </c>
      <c r="P706" s="189">
        <f>IFERROR(__xludf.DUMMYFUNCTION("""COMPUTED_VALUE"""),3176.0)</f>
        <v>3176</v>
      </c>
      <c r="Q706" s="189">
        <f>IFERROR(__xludf.DUMMYFUNCTION("""COMPUTED_VALUE"""),3164.0)</f>
        <v>3164</v>
      </c>
      <c r="R706" s="186"/>
      <c r="S706" s="189">
        <f>IFERROR(__xludf.DUMMYFUNCTION("""COMPUTED_VALUE"""),3163.0)</f>
        <v>3163</v>
      </c>
    </row>
    <row r="707">
      <c r="A707" s="186" t="str">
        <f>IFERROR(__xludf.DUMMYFUNCTION("""COMPUTED_VALUE"""),"DE")</f>
        <v>DE</v>
      </c>
      <c r="B707" s="186" t="str">
        <f>IFERROR(__xludf.DUMMYFUNCTION("""COMPUTED_VALUE"""),"W11")</f>
        <v>W11</v>
      </c>
      <c r="C707" s="186">
        <f>IFERROR(__xludf.DUMMYFUNCTION("""COMPUTED_VALUE"""),305.0)</f>
        <v>305</v>
      </c>
      <c r="D707" s="186" t="str">
        <f>IFERROR(__xludf.DUMMYFUNCTION("""COMPUTED_VALUE"""),"CON-00-136620-3")</f>
        <v>CON-00-136620-3</v>
      </c>
      <c r="E707" s="186" t="str">
        <f>IFERROR(__xludf.DUMMYFUNCTION("""COMPUTED_VALUE"""),"Chicken à la Florentine")</f>
        <v>Chicken à la Florentine</v>
      </c>
      <c r="F707" s="186" t="str">
        <f>IFERROR(__xludf.DUMMYFUNCTION("""COMPUTED_VALUE"""),"Hähnchen à la Florentine")</f>
        <v>Hähnchen à la Florentine</v>
      </c>
      <c r="G707" s="186" t="str">
        <f>IFERROR(__xludf.DUMMYFUNCTION("""COMPUTED_VALUE"""),"FE0224D")</f>
        <v>FE0224D</v>
      </c>
      <c r="H707" s="186">
        <f>IFERROR(__xludf.DUMMYFUNCTION("""COMPUTED_VALUE"""),565047.0)</f>
        <v>565047</v>
      </c>
      <c r="I707" s="186" t="str">
        <f>IFERROR(__xludf.DUMMYFUNCTION("""COMPUTED_VALUE"""),"HF Kip á la Florentine")</f>
        <v>HF Kip á la Florentine</v>
      </c>
      <c r="J707" s="189">
        <f>IFERROR(__xludf.DUMMYFUNCTION("""COMPUTED_VALUE"""),1999.0)</f>
        <v>1999</v>
      </c>
      <c r="K707" s="189">
        <f>IFERROR(__xludf.DUMMYFUNCTION("""COMPUTED_VALUE"""),2012.0)</f>
        <v>2012</v>
      </c>
      <c r="L707" s="189">
        <f>IFERROR(__xludf.DUMMYFUNCTION("""COMPUTED_VALUE"""),2084.0)</f>
        <v>2084</v>
      </c>
      <c r="M707" s="189">
        <f>IFERROR(__xludf.DUMMYFUNCTION("""COMPUTED_VALUE"""),2097.0)</f>
        <v>2097</v>
      </c>
      <c r="N707" s="189">
        <f>IFERROR(__xludf.DUMMYFUNCTION("""COMPUTED_VALUE"""),2021.0)</f>
        <v>2021</v>
      </c>
      <c r="O707" s="189">
        <f>IFERROR(__xludf.DUMMYFUNCTION("""COMPUTED_VALUE"""),2002.0)</f>
        <v>2002</v>
      </c>
      <c r="P707" s="189">
        <f>IFERROR(__xludf.DUMMYFUNCTION("""COMPUTED_VALUE"""),1994.0)</f>
        <v>1994</v>
      </c>
      <c r="Q707" s="189">
        <f>IFERROR(__xludf.DUMMYFUNCTION("""COMPUTED_VALUE"""),1978.0)</f>
        <v>1978</v>
      </c>
      <c r="R707" s="186"/>
      <c r="S707" s="189">
        <f>IFERROR(__xludf.DUMMYFUNCTION("""COMPUTED_VALUE"""),2010.0)</f>
        <v>2010</v>
      </c>
    </row>
    <row r="708">
      <c r="A708" s="186" t="str">
        <f>IFERROR(__xludf.DUMMYFUNCTION("""COMPUTED_VALUE"""),"DE")</f>
        <v>DE</v>
      </c>
      <c r="B708" s="186" t="str">
        <f>IFERROR(__xludf.DUMMYFUNCTION("""COMPUTED_VALUE"""),"W11")</f>
        <v>W11</v>
      </c>
      <c r="C708" s="186">
        <f>IFERROR(__xludf.DUMMYFUNCTION("""COMPUTED_VALUE"""),306.0)</f>
        <v>306</v>
      </c>
      <c r="D708" s="186" t="str">
        <f>IFERROR(__xludf.DUMMYFUNCTION("""COMPUTED_VALUE"""),"CON-00-136617-3")</f>
        <v>CON-00-136617-3</v>
      </c>
      <c r="E708" s="186" t="str">
        <f>IFERROR(__xludf.DUMMYFUNCTION("""COMPUTED_VALUE"""),"Salmon on cheesy cauliflower rice")</f>
        <v>Salmon on cheesy cauliflower rice</v>
      </c>
      <c r="F708" s="186" t="str">
        <f>IFERROR(__xludf.DUMMYFUNCTION("""COMPUTED_VALUE"""),"Lachs auf Blumenkohlreis in Käsecreme")</f>
        <v>Lachs auf Blumenkohlreis in Käsecreme</v>
      </c>
      <c r="G708" s="186" t="str">
        <f>IFERROR(__xludf.DUMMYFUNCTION("""COMPUTED_VALUE"""),"FE0036E")</f>
        <v>FE0036E</v>
      </c>
      <c r="H708" s="186">
        <f>IFERROR(__xludf.DUMMYFUNCTION("""COMPUTED_VALUE"""),565042.0)</f>
        <v>565042</v>
      </c>
      <c r="I708" s="186" t="str">
        <f>IFERROR(__xludf.DUMMYFUNCTION("""COMPUTED_VALUE"""),"HF Zalm+cheesy bloemk rijst")</f>
        <v>HF Zalm+cheesy bloemk rijst</v>
      </c>
      <c r="J708" s="189">
        <f>IFERROR(__xludf.DUMMYFUNCTION("""COMPUTED_VALUE"""),2161.0)</f>
        <v>2161</v>
      </c>
      <c r="K708" s="189">
        <f>IFERROR(__xludf.DUMMYFUNCTION("""COMPUTED_VALUE"""),2209.0)</f>
        <v>2209</v>
      </c>
      <c r="L708" s="189">
        <f>IFERROR(__xludf.DUMMYFUNCTION("""COMPUTED_VALUE"""),2487.0)</f>
        <v>2487</v>
      </c>
      <c r="M708" s="189">
        <f>IFERROR(__xludf.DUMMYFUNCTION("""COMPUTED_VALUE"""),2392.0)</f>
        <v>2392</v>
      </c>
      <c r="N708" s="189">
        <f>IFERROR(__xludf.DUMMYFUNCTION("""COMPUTED_VALUE"""),2337.0)</f>
        <v>2337</v>
      </c>
      <c r="O708" s="189">
        <f>IFERROR(__xludf.DUMMYFUNCTION("""COMPUTED_VALUE"""),2385.0)</f>
        <v>2385</v>
      </c>
      <c r="P708" s="189">
        <f>IFERROR(__xludf.DUMMYFUNCTION("""COMPUTED_VALUE"""),2360.0)</f>
        <v>2360</v>
      </c>
      <c r="Q708" s="189">
        <f>IFERROR(__xludf.DUMMYFUNCTION("""COMPUTED_VALUE"""),2305.0)</f>
        <v>2305</v>
      </c>
      <c r="R708" s="186"/>
      <c r="S708" s="189">
        <f>IFERROR(__xludf.DUMMYFUNCTION("""COMPUTED_VALUE"""),2277.0)</f>
        <v>2277</v>
      </c>
    </row>
    <row r="709">
      <c r="A709" s="186" t="str">
        <f>IFERROR(__xludf.DUMMYFUNCTION("""COMPUTED_VALUE"""),"DE")</f>
        <v>DE</v>
      </c>
      <c r="B709" s="186" t="str">
        <f>IFERROR(__xludf.DUMMYFUNCTION("""COMPUTED_VALUE"""),"W11")</f>
        <v>W11</v>
      </c>
      <c r="C709" s="186">
        <f>IFERROR(__xludf.DUMMYFUNCTION("""COMPUTED_VALUE"""),307.0)</f>
        <v>307</v>
      </c>
      <c r="D709" s="186" t="str">
        <f>IFERROR(__xludf.DUMMYFUNCTION("""COMPUTED_VALUE"""),"CON-00-136714-3")</f>
        <v>CON-00-136714-3</v>
      </c>
      <c r="E709" s="186" t="str">
        <f>IFERROR(__xludf.DUMMYFUNCTION("""COMPUTED_VALUE"""),"Chicken in creamy basil sauce")</f>
        <v>Chicken in creamy basil sauce</v>
      </c>
      <c r="F709" s="186" t="str">
        <f>IFERROR(__xludf.DUMMYFUNCTION("""COMPUTED_VALUE"""),"Hähnchen in cremiger Basilikumsauce")</f>
        <v>Hähnchen in cremiger Basilikumsauce</v>
      </c>
      <c r="G709" s="186" t="str">
        <f>IFERROR(__xludf.DUMMYFUNCTION("""COMPUTED_VALUE"""),"FE4040B")</f>
        <v>FE4040B</v>
      </c>
      <c r="H709" s="186">
        <f>IFERROR(__xludf.DUMMYFUNCTION("""COMPUTED_VALUE"""),565172.0)</f>
        <v>565172</v>
      </c>
      <c r="I709" s="186"/>
      <c r="J709" s="189">
        <f>IFERROR(__xludf.DUMMYFUNCTION("""COMPUTED_VALUE"""),1700.0)</f>
        <v>1700</v>
      </c>
      <c r="K709" s="189">
        <f>IFERROR(__xludf.DUMMYFUNCTION("""COMPUTED_VALUE"""),1652.0)</f>
        <v>1652</v>
      </c>
      <c r="L709" s="189">
        <f>IFERROR(__xludf.DUMMYFUNCTION("""COMPUTED_VALUE"""),1558.0)</f>
        <v>1558</v>
      </c>
      <c r="M709" s="189">
        <f>IFERROR(__xludf.DUMMYFUNCTION("""COMPUTED_VALUE"""),1561.0)</f>
        <v>1561</v>
      </c>
      <c r="N709" s="189">
        <f>IFERROR(__xludf.DUMMYFUNCTION("""COMPUTED_VALUE"""),1564.0)</f>
        <v>1564</v>
      </c>
      <c r="O709" s="189">
        <f>IFERROR(__xludf.DUMMYFUNCTION("""COMPUTED_VALUE"""),1549.0)</f>
        <v>1549</v>
      </c>
      <c r="P709" s="189">
        <f>IFERROR(__xludf.DUMMYFUNCTION("""COMPUTED_VALUE"""),1504.0)</f>
        <v>1504</v>
      </c>
      <c r="Q709" s="189">
        <f>IFERROR(__xludf.DUMMYFUNCTION("""COMPUTED_VALUE"""),1489.0)</f>
        <v>1489</v>
      </c>
      <c r="R709" s="186"/>
      <c r="S709" s="189">
        <f>IFERROR(__xludf.DUMMYFUNCTION("""COMPUTED_VALUE"""),1481.0)</f>
        <v>1481</v>
      </c>
    </row>
    <row r="710">
      <c r="A710" s="186" t="str">
        <f>IFERROR(__xludf.DUMMYFUNCTION("""COMPUTED_VALUE"""),"DE")</f>
        <v>DE</v>
      </c>
      <c r="B710" s="186" t="str">
        <f>IFERROR(__xludf.DUMMYFUNCTION("""COMPUTED_VALUE"""),"W11")</f>
        <v>W11</v>
      </c>
      <c r="C710" s="186">
        <f>IFERROR(__xludf.DUMMYFUNCTION("""COMPUTED_VALUE"""),308.0)</f>
        <v>308</v>
      </c>
      <c r="D710" s="186" t="str">
        <f>IFERROR(__xludf.DUMMYFUNCTION("""COMPUTED_VALUE"""),"CON-00-136638-3")</f>
        <v>CON-00-136638-3</v>
      </c>
      <c r="E710" s="186" t="str">
        <f>IFERROR(__xludf.DUMMYFUNCTION("""COMPUTED_VALUE"""),"Spicy chicken with jalapeño, lime and cheddar")</f>
        <v>Spicy chicken with jalapeño, lime and cheddar</v>
      </c>
      <c r="F710" s="186" t="str">
        <f>IFERROR(__xludf.DUMMYFUNCTION("""COMPUTED_VALUE"""),"Würziges Hähnchen mit Jalapeño, Limette und Cheddar")</f>
        <v>Würziges Hähnchen mit Jalapeño, Limette und Cheddar</v>
      </c>
      <c r="G710" s="186" t="str">
        <f>IFERROR(__xludf.DUMMYFUNCTION("""COMPUTED_VALUE"""),"FE0198D")</f>
        <v>FE0198D</v>
      </c>
      <c r="H710" s="186">
        <f>IFERROR(__xludf.DUMMYFUNCTION("""COMPUTED_VALUE"""),565043.0)</f>
        <v>565043</v>
      </c>
      <c r="I710" s="186" t="str">
        <f>IFERROR(__xludf.DUMMYFUNCTION("""COMPUTED_VALUE"""),"HF Pitt. kipf+jalap,lim,chedda")</f>
        <v>HF Pitt. kipf+jalap,lim,chedda</v>
      </c>
      <c r="J710" s="189">
        <f>IFERROR(__xludf.DUMMYFUNCTION("""COMPUTED_VALUE"""),1872.0)</f>
        <v>1872</v>
      </c>
      <c r="K710" s="189">
        <f>IFERROR(__xludf.DUMMYFUNCTION("""COMPUTED_VALUE"""),1750.0)</f>
        <v>1750</v>
      </c>
      <c r="L710" s="189">
        <f>IFERROR(__xludf.DUMMYFUNCTION("""COMPUTED_VALUE"""),1513.0)</f>
        <v>1513</v>
      </c>
      <c r="M710" s="189">
        <f>IFERROR(__xludf.DUMMYFUNCTION("""COMPUTED_VALUE"""),1404.0)</f>
        <v>1404</v>
      </c>
      <c r="N710" s="189">
        <f>IFERROR(__xludf.DUMMYFUNCTION("""COMPUTED_VALUE"""),1389.0)</f>
        <v>1389</v>
      </c>
      <c r="O710" s="189">
        <f>IFERROR(__xludf.DUMMYFUNCTION("""COMPUTED_VALUE"""),1376.0)</f>
        <v>1376</v>
      </c>
      <c r="P710" s="189">
        <f>IFERROR(__xludf.DUMMYFUNCTION("""COMPUTED_VALUE"""),1383.0)</f>
        <v>1383</v>
      </c>
      <c r="Q710" s="189">
        <f>IFERROR(__xludf.DUMMYFUNCTION("""COMPUTED_VALUE"""),1378.0)</f>
        <v>1378</v>
      </c>
      <c r="R710" s="186"/>
      <c r="S710" s="189">
        <f>IFERROR(__xludf.DUMMYFUNCTION("""COMPUTED_VALUE"""),1387.0)</f>
        <v>1387</v>
      </c>
    </row>
    <row r="711">
      <c r="A711" s="186" t="str">
        <f>IFERROR(__xludf.DUMMYFUNCTION("""COMPUTED_VALUE"""),"DE")</f>
        <v>DE</v>
      </c>
      <c r="B711" s="186" t="str">
        <f>IFERROR(__xludf.DUMMYFUNCTION("""COMPUTED_VALUE"""),"W11")</f>
        <v>W11</v>
      </c>
      <c r="C711" s="186">
        <f>IFERROR(__xludf.DUMMYFUNCTION("""COMPUTED_VALUE"""),309.0)</f>
        <v>309</v>
      </c>
      <c r="D711" s="186" t="str">
        <f>IFERROR(__xludf.DUMMYFUNCTION("""COMPUTED_VALUE"""),"CON-00-136634-3")</f>
        <v>CON-00-136634-3</v>
      </c>
      <c r="E711" s="186" t="str">
        <f>IFERROR(__xludf.DUMMYFUNCTION("""COMPUTED_VALUE"""),"Ratatouille of zucchini and pepper")</f>
        <v>Ratatouille of zucchini and pepper</v>
      </c>
      <c r="F711" s="186" t="str">
        <f>IFERROR(__xludf.DUMMYFUNCTION("""COMPUTED_VALUE"""),"Zucchini-Paprika-Ratatouille")</f>
        <v>Zucchini-Paprika-Ratatouille</v>
      </c>
      <c r="G711" s="186" t="str">
        <f>IFERROR(__xludf.DUMMYFUNCTION("""COMPUTED_VALUE"""),"FE0090C")</f>
        <v>FE0090C</v>
      </c>
      <c r="H711" s="186">
        <f>IFERROR(__xludf.DUMMYFUNCTION("""COMPUTED_VALUE"""),565141.0)</f>
        <v>565141</v>
      </c>
      <c r="I711" s="186"/>
      <c r="J711" s="189">
        <f>IFERROR(__xludf.DUMMYFUNCTION("""COMPUTED_VALUE"""),445.0)</f>
        <v>445</v>
      </c>
      <c r="K711" s="189">
        <f>IFERROR(__xludf.DUMMYFUNCTION("""COMPUTED_VALUE"""),478.0)</f>
        <v>478</v>
      </c>
      <c r="L711" s="189">
        <f>IFERROR(__xludf.DUMMYFUNCTION("""COMPUTED_VALUE"""),355.0)</f>
        <v>355</v>
      </c>
      <c r="M711" s="189">
        <f>IFERROR(__xludf.DUMMYFUNCTION("""COMPUTED_VALUE"""),391.0)</f>
        <v>391</v>
      </c>
      <c r="N711" s="189">
        <f>IFERROR(__xludf.DUMMYFUNCTION("""COMPUTED_VALUE"""),402.0)</f>
        <v>402</v>
      </c>
      <c r="O711" s="189">
        <f>IFERROR(__xludf.DUMMYFUNCTION("""COMPUTED_VALUE"""),409.0)</f>
        <v>409</v>
      </c>
      <c r="P711" s="189">
        <f>IFERROR(__xludf.DUMMYFUNCTION("""COMPUTED_VALUE"""),404.0)</f>
        <v>404</v>
      </c>
      <c r="Q711" s="189">
        <f>IFERROR(__xludf.DUMMYFUNCTION("""COMPUTED_VALUE"""),386.0)</f>
        <v>386</v>
      </c>
      <c r="R711" s="186"/>
      <c r="S711" s="189">
        <f>IFERROR(__xludf.DUMMYFUNCTION("""COMPUTED_VALUE"""),371.0)</f>
        <v>371</v>
      </c>
    </row>
    <row r="712">
      <c r="A712" s="186" t="str">
        <f>IFERROR(__xludf.DUMMYFUNCTION("""COMPUTED_VALUE"""),"DE")</f>
        <v>DE</v>
      </c>
      <c r="B712" s="186" t="str">
        <f>IFERROR(__xludf.DUMMYFUNCTION("""COMPUTED_VALUE"""),"W11")</f>
        <v>W11</v>
      </c>
      <c r="C712" s="186">
        <f>IFERROR(__xludf.DUMMYFUNCTION("""COMPUTED_VALUE"""),310.0)</f>
        <v>310</v>
      </c>
      <c r="D712" s="186" t="str">
        <f>IFERROR(__xludf.DUMMYFUNCTION("""COMPUTED_VALUE"""),"CON-00-136629-3")</f>
        <v>CON-00-136629-3</v>
      </c>
      <c r="E712" s="186" t="str">
        <f>IFERROR(__xludf.DUMMYFUNCTION("""COMPUTED_VALUE"""),"Creamy tomato risotto")</f>
        <v>Creamy tomato risotto</v>
      </c>
      <c r="F712" s="186" t="str">
        <f>IFERROR(__xludf.DUMMYFUNCTION("""COMPUTED_VALUE"""),"Cremiges Tomaten-Risotto")</f>
        <v>Cremiges Tomaten-Risotto</v>
      </c>
      <c r="G712" s="186" t="str">
        <f>IFERROR(__xludf.DUMMYFUNCTION("""COMPUTED_VALUE"""),"FE0031C")</f>
        <v>FE0031C</v>
      </c>
      <c r="H712" s="186">
        <f>IFERROR(__xludf.DUMMYFUNCTION("""COMPUTED_VALUE"""),565244.0)</f>
        <v>565244</v>
      </c>
      <c r="I712" s="186" t="str">
        <f>IFERROR(__xludf.DUMMYFUNCTION("""COMPUTED_VALUE"""),"IO HF Romige tomatenrisotto V2")</f>
        <v>IO HF Romige tomatenrisotto V2</v>
      </c>
      <c r="J712" s="189">
        <f>IFERROR(__xludf.DUMMYFUNCTION("""COMPUTED_VALUE"""),375.0)</f>
        <v>375</v>
      </c>
      <c r="K712" s="189">
        <f>IFERROR(__xludf.DUMMYFUNCTION("""COMPUTED_VALUE"""),375.0)</f>
        <v>375</v>
      </c>
      <c r="L712" s="189">
        <f>IFERROR(__xludf.DUMMYFUNCTION("""COMPUTED_VALUE"""),388.0)</f>
        <v>388</v>
      </c>
      <c r="M712" s="189">
        <f>IFERROR(__xludf.DUMMYFUNCTION("""COMPUTED_VALUE"""),465.0)</f>
        <v>465</v>
      </c>
      <c r="N712" s="189">
        <f>IFERROR(__xludf.DUMMYFUNCTION("""COMPUTED_VALUE"""),470.0)</f>
        <v>470</v>
      </c>
      <c r="O712" s="189">
        <f>IFERROR(__xludf.DUMMYFUNCTION("""COMPUTED_VALUE"""),477.0)</f>
        <v>477</v>
      </c>
      <c r="P712" s="189">
        <f>IFERROR(__xludf.DUMMYFUNCTION("""COMPUTED_VALUE"""),468.0)</f>
        <v>468</v>
      </c>
      <c r="Q712" s="189">
        <f>IFERROR(__xludf.DUMMYFUNCTION("""COMPUTED_VALUE"""),460.0)</f>
        <v>460</v>
      </c>
      <c r="R712" s="186"/>
      <c r="S712" s="189">
        <f>IFERROR(__xludf.DUMMYFUNCTION("""COMPUTED_VALUE"""),462.0)</f>
        <v>462</v>
      </c>
    </row>
    <row r="713">
      <c r="A713" s="186" t="str">
        <f>IFERROR(__xludf.DUMMYFUNCTION("""COMPUTED_VALUE"""),"DE")</f>
        <v>DE</v>
      </c>
      <c r="B713" s="186" t="str">
        <f>IFERROR(__xludf.DUMMYFUNCTION("""COMPUTED_VALUE"""),"W11")</f>
        <v>W11</v>
      </c>
      <c r="C713" s="186">
        <f>IFERROR(__xludf.DUMMYFUNCTION("""COMPUTED_VALUE"""),311.0)</f>
        <v>311</v>
      </c>
      <c r="D713" s="186" t="str">
        <f>IFERROR(__xludf.DUMMYFUNCTION("""COMPUTED_VALUE"""),"CON-00-136639-3")</f>
        <v>CON-00-136639-3</v>
      </c>
      <c r="E713" s="186" t="str">
        <f>IFERROR(__xludf.DUMMYFUNCTION("""COMPUTED_VALUE"""),"Pork tenderloin in red pepper sauce")</f>
        <v>Pork tenderloin in red pepper sauce</v>
      </c>
      <c r="F713" s="186" t="str">
        <f>IFERROR(__xludf.DUMMYFUNCTION("""COMPUTED_VALUE"""),"Schweinefilet in Paprikasauce")</f>
        <v>Schweinefilet in Paprikasauce</v>
      </c>
      <c r="G713" s="186" t="str">
        <f>IFERROR(__xludf.DUMMYFUNCTION("""COMPUTED_VALUE"""),"FE0430E")</f>
        <v>FE0430E</v>
      </c>
      <c r="H713" s="186">
        <f>IFERROR(__xludf.DUMMYFUNCTION("""COMPUTED_VALUE"""),565140.0)</f>
        <v>565140</v>
      </c>
      <c r="I713" s="186"/>
      <c r="J713" s="189">
        <f>IFERROR(__xludf.DUMMYFUNCTION("""COMPUTED_VALUE"""),654.0)</f>
        <v>654</v>
      </c>
      <c r="K713" s="189">
        <f>IFERROR(__xludf.DUMMYFUNCTION("""COMPUTED_VALUE"""),637.0)</f>
        <v>637</v>
      </c>
      <c r="L713" s="189">
        <f>IFERROR(__xludf.DUMMYFUNCTION("""COMPUTED_VALUE"""),495.0)</f>
        <v>495</v>
      </c>
      <c r="M713" s="189">
        <f>IFERROR(__xludf.DUMMYFUNCTION("""COMPUTED_VALUE"""),579.0)</f>
        <v>579</v>
      </c>
      <c r="N713" s="189">
        <f>IFERROR(__xludf.DUMMYFUNCTION("""COMPUTED_VALUE"""),605.0)</f>
        <v>605</v>
      </c>
      <c r="O713" s="189">
        <f>IFERROR(__xludf.DUMMYFUNCTION("""COMPUTED_VALUE"""),590.0)</f>
        <v>590</v>
      </c>
      <c r="P713" s="189">
        <f>IFERROR(__xludf.DUMMYFUNCTION("""COMPUTED_VALUE"""),600.0)</f>
        <v>600</v>
      </c>
      <c r="Q713" s="189">
        <f>IFERROR(__xludf.DUMMYFUNCTION("""COMPUTED_VALUE"""),588.0)</f>
        <v>588</v>
      </c>
      <c r="R713" s="186"/>
      <c r="S713" s="189">
        <f>IFERROR(__xludf.DUMMYFUNCTION("""COMPUTED_VALUE"""),575.0)</f>
        <v>575</v>
      </c>
    </row>
    <row r="714">
      <c r="A714" s="186" t="str">
        <f>IFERROR(__xludf.DUMMYFUNCTION("""COMPUTED_VALUE"""),"DE")</f>
        <v>DE</v>
      </c>
      <c r="B714" s="186" t="str">
        <f>IFERROR(__xludf.DUMMYFUNCTION("""COMPUTED_VALUE"""),"W11")</f>
        <v>W11</v>
      </c>
      <c r="C714" s="186">
        <f>IFERROR(__xludf.DUMMYFUNCTION("""COMPUTED_VALUE"""),312.0)</f>
        <v>312</v>
      </c>
      <c r="D714" s="186" t="str">
        <f>IFERROR(__xludf.DUMMYFUNCTION("""COMPUTED_VALUE"""),"CON-00-137745-2")</f>
        <v>CON-00-137745-2</v>
      </c>
      <c r="E714" s="186" t="str">
        <f>IFERROR(__xludf.DUMMYFUNCTION("""COMPUTED_VALUE"""),"Salmon in mustard-dill sauce")</f>
        <v>Salmon in mustard-dill sauce</v>
      </c>
      <c r="F714" s="186" t="str">
        <f>IFERROR(__xludf.DUMMYFUNCTION("""COMPUTED_VALUE"""),"Lachs in Senf-Dill-Sauce")</f>
        <v>Lachs in Senf-Dill-Sauce</v>
      </c>
      <c r="G714" s="186" t="str">
        <f>IFERROR(__xludf.DUMMYFUNCTION("""COMPUTED_VALUE"""),"FE4009D")</f>
        <v>FE4009D</v>
      </c>
      <c r="H714" s="186">
        <f>IFERROR(__xludf.DUMMYFUNCTION("""COMPUTED_VALUE"""),565064.0)</f>
        <v>565064</v>
      </c>
      <c r="I714" s="186" t="str">
        <f>IFERROR(__xludf.DUMMYFUNCTION("""COMPUTED_VALUE"""),"HF Zalm in mosterd dillesaus")</f>
        <v>HF Zalm in mosterd dillesaus</v>
      </c>
      <c r="J714" s="189">
        <f>IFERROR(__xludf.DUMMYFUNCTION("""COMPUTED_VALUE"""),1768.0)</f>
        <v>1768</v>
      </c>
      <c r="K714" s="189">
        <f>IFERROR(__xludf.DUMMYFUNCTION("""COMPUTED_VALUE"""),1919.0)</f>
        <v>1919</v>
      </c>
      <c r="L714" s="189">
        <f>IFERROR(__xludf.DUMMYFUNCTION("""COMPUTED_VALUE"""),1884.0)</f>
        <v>1884</v>
      </c>
      <c r="M714" s="189">
        <f>IFERROR(__xludf.DUMMYFUNCTION("""COMPUTED_VALUE"""),1860.0)</f>
        <v>1860</v>
      </c>
      <c r="N714" s="189">
        <f>IFERROR(__xludf.DUMMYFUNCTION("""COMPUTED_VALUE"""),1791.0)</f>
        <v>1791</v>
      </c>
      <c r="O714" s="189">
        <f>IFERROR(__xludf.DUMMYFUNCTION("""COMPUTED_VALUE"""),1756.0)</f>
        <v>1756</v>
      </c>
      <c r="P714" s="189">
        <f>IFERROR(__xludf.DUMMYFUNCTION("""COMPUTED_VALUE"""),1776.0)</f>
        <v>1776</v>
      </c>
      <c r="Q714" s="189">
        <f>IFERROR(__xludf.DUMMYFUNCTION("""COMPUTED_VALUE"""),1773.0)</f>
        <v>1773</v>
      </c>
      <c r="R714" s="186"/>
      <c r="S714" s="189">
        <f>IFERROR(__xludf.DUMMYFUNCTION("""COMPUTED_VALUE"""),1756.0)</f>
        <v>1756</v>
      </c>
    </row>
    <row r="715">
      <c r="A715" s="186" t="str">
        <f>IFERROR(__xludf.DUMMYFUNCTION("""COMPUTED_VALUE"""),"DE")</f>
        <v>DE</v>
      </c>
      <c r="B715" s="186" t="str">
        <f>IFERROR(__xludf.DUMMYFUNCTION("""COMPUTED_VALUE"""),"W11")</f>
        <v>W11</v>
      </c>
      <c r="C715" s="186">
        <f>IFERROR(__xludf.DUMMYFUNCTION("""COMPUTED_VALUE"""),313.0)</f>
        <v>313</v>
      </c>
      <c r="D715" s="186" t="str">
        <f>IFERROR(__xludf.DUMMYFUNCTION("""COMPUTED_VALUE"""),"CON-00-150748-2")</f>
        <v>CON-00-150748-2</v>
      </c>
      <c r="E715" s="186" t="str">
        <f>IFERROR(__xludf.DUMMYFUNCTION("""COMPUTED_VALUE"""),"West African Style Chicken Peanut Curry")</f>
        <v>West African Style Chicken Peanut Curry</v>
      </c>
      <c r="F715" s="186" t="str">
        <f>IFERROR(__xludf.DUMMYFUNCTION("""COMPUTED_VALUE"""),"Westafrikanisches Hähnchen-Erdnuss-Curry")</f>
        <v>Westafrikanisches Hähnchen-Erdnuss-Curry</v>
      </c>
      <c r="G715" s="186" t="str">
        <f>IFERROR(__xludf.DUMMYFUNCTION("""COMPUTED_VALUE"""),"FE1451A")</f>
        <v>FE1451A</v>
      </c>
      <c r="H715" s="186">
        <f>IFERROR(__xludf.DUMMYFUNCTION("""COMPUTED_VALUE"""),565178.0)</f>
        <v>565178</v>
      </c>
      <c r="I715" s="186" t="str">
        <f>IFERROR(__xludf.DUMMYFUNCTION("""COMPUTED_VALUE"""),"HF Kruidige pinda curry")</f>
        <v>HF Kruidige pinda curry</v>
      </c>
      <c r="J715" s="189">
        <f>IFERROR(__xludf.DUMMYFUNCTION("""COMPUTED_VALUE"""),2186.0)</f>
        <v>2186</v>
      </c>
      <c r="K715" s="189">
        <f>IFERROR(__xludf.DUMMYFUNCTION("""COMPUTED_VALUE"""),2169.0)</f>
        <v>2169</v>
      </c>
      <c r="L715" s="189">
        <f>IFERROR(__xludf.DUMMYFUNCTION("""COMPUTED_VALUE"""),2312.0)</f>
        <v>2312</v>
      </c>
      <c r="M715" s="189">
        <f>IFERROR(__xludf.DUMMYFUNCTION("""COMPUTED_VALUE"""),2168.0)</f>
        <v>2168</v>
      </c>
      <c r="N715" s="189">
        <f>IFERROR(__xludf.DUMMYFUNCTION("""COMPUTED_VALUE"""),2089.0)</f>
        <v>2089</v>
      </c>
      <c r="O715" s="189">
        <f>IFERROR(__xludf.DUMMYFUNCTION("""COMPUTED_VALUE"""),2056.0)</f>
        <v>2056</v>
      </c>
      <c r="P715" s="189">
        <f>IFERROR(__xludf.DUMMYFUNCTION("""COMPUTED_VALUE"""),2049.0)</f>
        <v>2049</v>
      </c>
      <c r="Q715" s="189">
        <f>IFERROR(__xludf.DUMMYFUNCTION("""COMPUTED_VALUE"""),2054.0)</f>
        <v>2054</v>
      </c>
      <c r="R715" s="186"/>
      <c r="S715" s="189">
        <f>IFERROR(__xludf.DUMMYFUNCTION("""COMPUTED_VALUE"""),2056.0)</f>
        <v>2056</v>
      </c>
    </row>
    <row r="716">
      <c r="A716" s="186" t="str">
        <f>IFERROR(__xludf.DUMMYFUNCTION("""COMPUTED_VALUE"""),"DE")</f>
        <v>DE</v>
      </c>
      <c r="B716" s="186" t="str">
        <f>IFERROR(__xludf.DUMMYFUNCTION("""COMPUTED_VALUE"""),"W11")</f>
        <v>W11</v>
      </c>
      <c r="C716" s="186">
        <f>IFERROR(__xludf.DUMMYFUNCTION("""COMPUTED_VALUE"""),314.0)</f>
        <v>314</v>
      </c>
      <c r="D716" s="186" t="str">
        <f>IFERROR(__xludf.DUMMYFUNCTION("""COMPUTED_VALUE"""),"CON-00-155917-2")</f>
        <v>CON-00-155917-2</v>
      </c>
      <c r="E716" s="186" t="str">
        <f>IFERROR(__xludf.DUMMYFUNCTION("""COMPUTED_VALUE"""),"Chicken Biryani")</f>
        <v>Chicken Biryani</v>
      </c>
      <c r="F716" s="186" t="str">
        <f>IFERROR(__xludf.DUMMYFUNCTION("""COMPUTED_VALUE"""),"Hähnchen Biryani")</f>
        <v>Hähnchen Biryani</v>
      </c>
      <c r="G716" s="186" t="str">
        <f>IFERROR(__xludf.DUMMYFUNCTION("""COMPUTED_VALUE"""),"FE1403A")</f>
        <v>FE1403A</v>
      </c>
      <c r="H716" s="186">
        <f>IFERROR(__xludf.DUMMYFUNCTION("""COMPUTED_VALUE"""),565270.0)</f>
        <v>565270</v>
      </c>
      <c r="I716" s="186" t="str">
        <f>IFERROR(__xludf.DUMMYFUNCTION("""COMPUTED_VALUE"""),"HF Chicken biryani")</f>
        <v>HF Chicken biryani</v>
      </c>
      <c r="J716" s="189">
        <f>IFERROR(__xludf.DUMMYFUNCTION("""COMPUTED_VALUE"""),1004.0)</f>
        <v>1004</v>
      </c>
      <c r="K716" s="189">
        <f>IFERROR(__xludf.DUMMYFUNCTION("""COMPUTED_VALUE"""),1035.0)</f>
        <v>1035</v>
      </c>
      <c r="L716" s="189">
        <f>IFERROR(__xludf.DUMMYFUNCTION("""COMPUTED_VALUE"""),948.0)</f>
        <v>948</v>
      </c>
      <c r="M716" s="189">
        <f>IFERROR(__xludf.DUMMYFUNCTION("""COMPUTED_VALUE"""),791.0)</f>
        <v>791</v>
      </c>
      <c r="N716" s="189">
        <f>IFERROR(__xludf.DUMMYFUNCTION("""COMPUTED_VALUE"""),725.0)</f>
        <v>725</v>
      </c>
      <c r="O716" s="189">
        <f>IFERROR(__xludf.DUMMYFUNCTION("""COMPUTED_VALUE"""),681.0)</f>
        <v>681</v>
      </c>
      <c r="P716" s="189">
        <f>IFERROR(__xludf.DUMMYFUNCTION("""COMPUTED_VALUE"""),673.0)</f>
        <v>673</v>
      </c>
      <c r="Q716" s="189">
        <f>IFERROR(__xludf.DUMMYFUNCTION("""COMPUTED_VALUE"""),669.0)</f>
        <v>669</v>
      </c>
      <c r="R716" s="186"/>
      <c r="S716" s="189">
        <f>IFERROR(__xludf.DUMMYFUNCTION("""COMPUTED_VALUE"""),632.0)</f>
        <v>632</v>
      </c>
    </row>
    <row r="717">
      <c r="A717" s="186" t="str">
        <f>IFERROR(__xludf.DUMMYFUNCTION("""COMPUTED_VALUE"""),"DE")</f>
        <v>DE</v>
      </c>
      <c r="B717" s="186" t="str">
        <f>IFERROR(__xludf.DUMMYFUNCTION("""COMPUTED_VALUE"""),"W11")</f>
        <v>W11</v>
      </c>
      <c r="C717" s="186">
        <f>IFERROR(__xludf.DUMMYFUNCTION("""COMPUTED_VALUE"""),315.0)</f>
        <v>315</v>
      </c>
      <c r="D717" s="186" t="str">
        <f>IFERROR(__xludf.DUMMYFUNCTION("""COMPUTED_VALUE"""),"CON-00-138996-2")</f>
        <v>CON-00-138996-2</v>
      </c>
      <c r="E717" s="186" t="str">
        <f>IFERROR(__xludf.DUMMYFUNCTION("""COMPUTED_VALUE"""),"Cheddar pulled beef")</f>
        <v>Cheddar pulled beef</v>
      </c>
      <c r="F717" s="186" t="str">
        <f>IFERROR(__xludf.DUMMYFUNCTION("""COMPUTED_VALUE"""),"Cheddar Pulled Beef")</f>
        <v>Cheddar Pulled Beef</v>
      </c>
      <c r="G717" s="186" t="str">
        <f>IFERROR(__xludf.DUMMYFUNCTION("""COMPUTED_VALUE"""),"FE4063A")</f>
        <v>FE4063A</v>
      </c>
      <c r="H717" s="186">
        <f>IFERROR(__xludf.DUMMYFUNCTION("""COMPUTED_VALUE"""),565136.0)</f>
        <v>565136</v>
      </c>
      <c r="I717" s="186"/>
      <c r="J717" s="189">
        <f>IFERROR(__xludf.DUMMYFUNCTION("""COMPUTED_VALUE"""),1074.0)</f>
        <v>1074</v>
      </c>
      <c r="K717" s="189">
        <f>IFERROR(__xludf.DUMMYFUNCTION("""COMPUTED_VALUE"""),1013.0)</f>
        <v>1013</v>
      </c>
      <c r="L717" s="189">
        <f>IFERROR(__xludf.DUMMYFUNCTION("""COMPUTED_VALUE"""),1121.0)</f>
        <v>1121</v>
      </c>
      <c r="M717" s="189">
        <f>IFERROR(__xludf.DUMMYFUNCTION("""COMPUTED_VALUE"""),1009.0)</f>
        <v>1009</v>
      </c>
      <c r="N717" s="189">
        <f>IFERROR(__xludf.DUMMYFUNCTION("""COMPUTED_VALUE"""),1007.0)</f>
        <v>1007</v>
      </c>
      <c r="O717" s="189">
        <f>IFERROR(__xludf.DUMMYFUNCTION("""COMPUTED_VALUE"""),1021.0)</f>
        <v>1021</v>
      </c>
      <c r="P717" s="189">
        <f>IFERROR(__xludf.DUMMYFUNCTION("""COMPUTED_VALUE"""),1006.0)</f>
        <v>1006</v>
      </c>
      <c r="Q717" s="189">
        <f>IFERROR(__xludf.DUMMYFUNCTION("""COMPUTED_VALUE"""),988.0)</f>
        <v>988</v>
      </c>
      <c r="R717" s="186"/>
      <c r="S717" s="189">
        <f>IFERROR(__xludf.DUMMYFUNCTION("""COMPUTED_VALUE"""),985.0)</f>
        <v>985</v>
      </c>
    </row>
    <row r="718">
      <c r="A718" s="186" t="str">
        <f>IFERROR(__xludf.DUMMYFUNCTION("""COMPUTED_VALUE"""),"DE")</f>
        <v>DE</v>
      </c>
      <c r="B718" s="186" t="str">
        <f>IFERROR(__xludf.DUMMYFUNCTION("""COMPUTED_VALUE"""),"W11")</f>
        <v>W11</v>
      </c>
      <c r="C718" s="186">
        <f>IFERROR(__xludf.DUMMYFUNCTION("""COMPUTED_VALUE"""),316.0)</f>
        <v>316</v>
      </c>
      <c r="D718" s="186" t="str">
        <f>IFERROR(__xludf.DUMMYFUNCTION("""COMPUTED_VALUE"""),"CON-00-154546-2")</f>
        <v>CON-00-154546-2</v>
      </c>
      <c r="E718" s="186" t="str">
        <f>IFERROR(__xludf.DUMMYFUNCTION("""COMPUTED_VALUE"""),"Chermoula Chicken &amp; Lentils")</f>
        <v>Chermoula Chicken &amp; Lentils</v>
      </c>
      <c r="F718" s="186" t="str">
        <f>IFERROR(__xludf.DUMMYFUNCTION("""COMPUTED_VALUE"""),"Chermoula-Hähnchen mit Linsen")</f>
        <v>Chermoula-Hähnchen mit Linsen</v>
      </c>
      <c r="G718" s="186" t="str">
        <f>IFERROR(__xludf.DUMMYFUNCTION("""COMPUTED_VALUE"""),"FE1698A")</f>
        <v>FE1698A</v>
      </c>
      <c r="H718" s="186">
        <f>IFERROR(__xludf.DUMMYFUNCTION("""COMPUTED_VALUE"""),565213.0)</f>
        <v>565213</v>
      </c>
      <c r="I718" s="186" t="str">
        <f>IFERROR(__xludf.DUMMYFUNCTION("""COMPUTED_VALUE"""),"HF Kip chermoula en linzen")</f>
        <v>HF Kip chermoula en linzen</v>
      </c>
      <c r="J718" s="189">
        <f>IFERROR(__xludf.DUMMYFUNCTION("""COMPUTED_VALUE"""),854.0)</f>
        <v>854</v>
      </c>
      <c r="K718" s="189">
        <f>IFERROR(__xludf.DUMMYFUNCTION("""COMPUTED_VALUE"""),911.0)</f>
        <v>911</v>
      </c>
      <c r="L718" s="189">
        <f>IFERROR(__xludf.DUMMYFUNCTION("""COMPUTED_VALUE"""),950.0)</f>
        <v>950</v>
      </c>
      <c r="M718" s="189">
        <f>IFERROR(__xludf.DUMMYFUNCTION("""COMPUTED_VALUE"""),757.0)</f>
        <v>757</v>
      </c>
      <c r="N718" s="189">
        <f>IFERROR(__xludf.DUMMYFUNCTION("""COMPUTED_VALUE"""),708.0)</f>
        <v>708</v>
      </c>
      <c r="O718" s="189">
        <f>IFERROR(__xludf.DUMMYFUNCTION("""COMPUTED_VALUE"""),690.0)</f>
        <v>690</v>
      </c>
      <c r="P718" s="189">
        <f>IFERROR(__xludf.DUMMYFUNCTION("""COMPUTED_VALUE"""),708.0)</f>
        <v>708</v>
      </c>
      <c r="Q718" s="189">
        <f>IFERROR(__xludf.DUMMYFUNCTION("""COMPUTED_VALUE"""),713.0)</f>
        <v>713</v>
      </c>
      <c r="R718" s="186"/>
      <c r="S718" s="189">
        <f>IFERROR(__xludf.DUMMYFUNCTION("""COMPUTED_VALUE"""),718.0)</f>
        <v>718</v>
      </c>
    </row>
    <row r="719">
      <c r="A719" s="186" t="str">
        <f>IFERROR(__xludf.DUMMYFUNCTION("""COMPUTED_VALUE"""),"DE")</f>
        <v>DE</v>
      </c>
      <c r="B719" s="186" t="str">
        <f>IFERROR(__xludf.DUMMYFUNCTION("""COMPUTED_VALUE"""),"W11")</f>
        <v>W11</v>
      </c>
      <c r="C719" s="186">
        <f>IFERROR(__xludf.DUMMYFUNCTION("""COMPUTED_VALUE"""),317.0)</f>
        <v>317</v>
      </c>
      <c r="D719" s="186" t="str">
        <f>IFERROR(__xludf.DUMMYFUNCTION("""COMPUTED_VALUE"""),"CON-00-136637-3")</f>
        <v>CON-00-136637-3</v>
      </c>
      <c r="E719" s="186" t="str">
        <f>IFERROR(__xludf.DUMMYFUNCTION("""COMPUTED_VALUE"""),"Pork tenderloin in creamy garlic-mustard sauce")</f>
        <v>Pork tenderloin in creamy garlic-mustard sauce</v>
      </c>
      <c r="F719" s="186" t="str">
        <f>IFERROR(__xludf.DUMMYFUNCTION("""COMPUTED_VALUE"""),"Schweinefilet in cremiger Knoblauch-Senf-Sauce")</f>
        <v>Schweinefilet in cremiger Knoblauch-Senf-Sauce</v>
      </c>
      <c r="G719" s="186" t="str">
        <f>IFERROR(__xludf.DUMMYFUNCTION("""COMPUTED_VALUE"""),"FE0169H")</f>
        <v>FE0169H</v>
      </c>
      <c r="H719" s="186">
        <f>IFERROR(__xludf.DUMMYFUNCTION("""COMPUTED_VALUE"""),565143.0)</f>
        <v>565143</v>
      </c>
      <c r="I719" s="186" t="str">
        <f>IFERROR(__xludf.DUMMYFUNCTION("""COMPUTED_VALUE"""),"Varkenshaas in romige knoflook-mosterdsaus")</f>
        <v>Varkenshaas in romige knoflook-mosterdsaus</v>
      </c>
      <c r="J719" s="189">
        <f>IFERROR(__xludf.DUMMYFUNCTION("""COMPUTED_VALUE"""),1214.0)</f>
        <v>1214</v>
      </c>
      <c r="K719" s="189">
        <f>IFERROR(__xludf.DUMMYFUNCTION("""COMPUTED_VALUE"""),1279.0)</f>
        <v>1279</v>
      </c>
      <c r="L719" s="189">
        <f>IFERROR(__xludf.DUMMYFUNCTION("""COMPUTED_VALUE"""),1387.0)</f>
        <v>1387</v>
      </c>
      <c r="M719" s="189">
        <f>IFERROR(__xludf.DUMMYFUNCTION("""COMPUTED_VALUE"""),1229.0)</f>
        <v>1229</v>
      </c>
      <c r="N719" s="189">
        <f>IFERROR(__xludf.DUMMYFUNCTION("""COMPUTED_VALUE"""),1190.0)</f>
        <v>1190</v>
      </c>
      <c r="O719" s="189">
        <f>IFERROR(__xludf.DUMMYFUNCTION("""COMPUTED_VALUE"""),1184.0)</f>
        <v>1184</v>
      </c>
      <c r="P719" s="189">
        <f>IFERROR(__xludf.DUMMYFUNCTION("""COMPUTED_VALUE"""),1193.0)</f>
        <v>1193</v>
      </c>
      <c r="Q719" s="189">
        <f>IFERROR(__xludf.DUMMYFUNCTION("""COMPUTED_VALUE"""),1176.0)</f>
        <v>1176</v>
      </c>
      <c r="R719" s="186"/>
      <c r="S719" s="189">
        <f>IFERROR(__xludf.DUMMYFUNCTION("""COMPUTED_VALUE"""),1179.0)</f>
        <v>1179</v>
      </c>
    </row>
    <row r="720">
      <c r="A720" s="186" t="str">
        <f>IFERROR(__xludf.DUMMYFUNCTION("""COMPUTED_VALUE"""),"DE")</f>
        <v>DE</v>
      </c>
      <c r="B720" s="186" t="str">
        <f>IFERROR(__xludf.DUMMYFUNCTION("""COMPUTED_VALUE"""),"W11")</f>
        <v>W11</v>
      </c>
      <c r="C720" s="186">
        <f>IFERROR(__xludf.DUMMYFUNCTION("""COMPUTED_VALUE"""),318.0)</f>
        <v>318</v>
      </c>
      <c r="D720" s="186" t="str">
        <f>IFERROR(__xludf.DUMMYFUNCTION("""COMPUTED_VALUE"""),"CON-00-136696-3")</f>
        <v>CON-00-136696-3</v>
      </c>
      <c r="E720" s="186" t="str">
        <f>IFERROR(__xludf.DUMMYFUNCTION("""COMPUTED_VALUE"""),"Pork tenderloin in spicy ancho chili sauce")</f>
        <v>Pork tenderloin in spicy ancho chili sauce</v>
      </c>
      <c r="F720" s="186" t="str">
        <f>IFERROR(__xludf.DUMMYFUNCTION("""COMPUTED_VALUE"""),"Schweinefilet in würziger Ancho-Chili-Sauce")</f>
        <v>Schweinefilet in würziger Ancho-Chili-Sauce</v>
      </c>
      <c r="G720" s="186" t="str">
        <f>IFERROR(__xludf.DUMMYFUNCTION("""COMPUTED_VALUE"""),"FE1072B")</f>
        <v>FE1072B</v>
      </c>
      <c r="H720" s="186">
        <f>IFERROR(__xludf.DUMMYFUNCTION("""COMPUTED_VALUE"""),565095.0)</f>
        <v>565095</v>
      </c>
      <c r="I720" s="186" t="str">
        <f>IFERROR(__xludf.DUMMYFUNCTION("""COMPUTED_VALUE"""),"HF V.haas pittige ancho chili")</f>
        <v>HF V.haas pittige ancho chili</v>
      </c>
      <c r="J720" s="189">
        <f>IFERROR(__xludf.DUMMYFUNCTION("""COMPUTED_VALUE"""),678.0)</f>
        <v>678</v>
      </c>
      <c r="K720" s="189">
        <f>IFERROR(__xludf.DUMMYFUNCTION("""COMPUTED_VALUE"""),712.0)</f>
        <v>712</v>
      </c>
      <c r="L720" s="189">
        <f>IFERROR(__xludf.DUMMYFUNCTION("""COMPUTED_VALUE"""),500.0)</f>
        <v>500</v>
      </c>
      <c r="M720" s="189">
        <f>IFERROR(__xludf.DUMMYFUNCTION("""COMPUTED_VALUE"""),505.0)</f>
        <v>505</v>
      </c>
      <c r="N720" s="189">
        <f>IFERROR(__xludf.DUMMYFUNCTION("""COMPUTED_VALUE"""),485.0)</f>
        <v>485</v>
      </c>
      <c r="O720" s="189">
        <f>IFERROR(__xludf.DUMMYFUNCTION("""COMPUTED_VALUE"""),527.0)</f>
        <v>527</v>
      </c>
      <c r="P720" s="189">
        <f>IFERROR(__xludf.DUMMYFUNCTION("""COMPUTED_VALUE"""),542.0)</f>
        <v>542</v>
      </c>
      <c r="Q720" s="189">
        <f>IFERROR(__xludf.DUMMYFUNCTION("""COMPUTED_VALUE"""),521.0)</f>
        <v>521</v>
      </c>
      <c r="R720" s="186"/>
      <c r="S720" s="189">
        <f>IFERROR(__xludf.DUMMYFUNCTION("""COMPUTED_VALUE"""),529.0)</f>
        <v>529</v>
      </c>
    </row>
    <row r="721">
      <c r="A721" s="186" t="str">
        <f>IFERROR(__xludf.DUMMYFUNCTION("""COMPUTED_VALUE"""),"DE")</f>
        <v>DE</v>
      </c>
      <c r="B721" s="186" t="str">
        <f>IFERROR(__xludf.DUMMYFUNCTION("""COMPUTED_VALUE"""),"W11")</f>
        <v>W11</v>
      </c>
      <c r="C721" s="186">
        <f>IFERROR(__xludf.DUMMYFUNCTION("""COMPUTED_VALUE"""),206.0)</f>
        <v>206</v>
      </c>
      <c r="D721" s="186" t="str">
        <f>IFERROR(__xludf.DUMMYFUNCTION("""COMPUTED_VALUE"""),"PTN-00-136930-3")</f>
        <v>PTN-00-136930-3</v>
      </c>
      <c r="E721" s="186" t="str">
        <f>IFERROR(__xludf.DUMMYFUNCTION("""COMPUTED_VALUE"""),"Garlic Herb Grilled Chicken")</f>
        <v>Garlic Herb Grilled Chicken</v>
      </c>
      <c r="F721" s="186" t="str">
        <f>IFERROR(__xludf.DUMMYFUNCTION("""COMPUTED_VALUE"""),"Gegrilltes Hähnchen mit Knoblauch-Kräutern")</f>
        <v>Gegrilltes Hähnchen mit Knoblauch-Kräutern</v>
      </c>
      <c r="G721" s="186" t="str">
        <f>IFERROR(__xludf.DUMMYFUNCTION("""COMPUTED_VALUE"""),"FEA006A")</f>
        <v>FEA006A</v>
      </c>
      <c r="H721" s="186">
        <f>IFERROR(__xludf.DUMMYFUNCTION("""COMPUTED_VALUE"""),565119.0)</f>
        <v>565119</v>
      </c>
      <c r="I721" s="186"/>
      <c r="J721" s="189">
        <f>IFERROR(__xludf.DUMMYFUNCTION("""COMPUTED_VALUE"""),67.0)</f>
        <v>67</v>
      </c>
      <c r="K721" s="189">
        <f>IFERROR(__xludf.DUMMYFUNCTION("""COMPUTED_VALUE"""),87.0)</f>
        <v>87</v>
      </c>
      <c r="L721" s="189">
        <f>IFERROR(__xludf.DUMMYFUNCTION("""COMPUTED_VALUE"""),87.0)</f>
        <v>87</v>
      </c>
      <c r="M721" s="189">
        <f>IFERROR(__xludf.DUMMYFUNCTION("""COMPUTED_VALUE"""),87.0)</f>
        <v>87</v>
      </c>
      <c r="N721" s="189">
        <f>IFERROR(__xludf.DUMMYFUNCTION("""COMPUTED_VALUE"""),87.0)</f>
        <v>87</v>
      </c>
      <c r="O721" s="189">
        <f>IFERROR(__xludf.DUMMYFUNCTION("""COMPUTED_VALUE"""),87.0)</f>
        <v>87</v>
      </c>
      <c r="P721" s="189">
        <f>IFERROR(__xludf.DUMMYFUNCTION("""COMPUTED_VALUE"""),87.0)</f>
        <v>87</v>
      </c>
      <c r="Q721" s="189">
        <f>IFERROR(__xludf.DUMMYFUNCTION("""COMPUTED_VALUE"""),79.0)</f>
        <v>79</v>
      </c>
      <c r="R721" s="186"/>
      <c r="S721" s="189">
        <f>IFERROR(__xludf.DUMMYFUNCTION("""COMPUTED_VALUE"""),49.0)</f>
        <v>49</v>
      </c>
    </row>
    <row r="722">
      <c r="A722" s="186" t="str">
        <f>IFERROR(__xludf.DUMMYFUNCTION("""COMPUTED_VALUE"""),"DE")</f>
        <v>DE</v>
      </c>
      <c r="B722" s="186" t="str">
        <f>IFERROR(__xludf.DUMMYFUNCTION("""COMPUTED_VALUE"""),"W11")</f>
        <v>W11</v>
      </c>
      <c r="C722" s="186"/>
      <c r="D722" s="186"/>
      <c r="E722" s="186"/>
      <c r="F722" s="186"/>
      <c r="G722" s="186"/>
      <c r="H722" s="186"/>
      <c r="I722" s="186"/>
      <c r="J722" s="189">
        <f>IFERROR(__xludf.DUMMYFUNCTION("""COMPUTED_VALUE"""),28544.0)</f>
        <v>28544</v>
      </c>
      <c r="K722" s="189">
        <f>IFERROR(__xludf.DUMMYFUNCTION("""COMPUTED_VALUE"""),28642.0)</f>
        <v>28642</v>
      </c>
      <c r="L722" s="189">
        <f>IFERROR(__xludf.DUMMYFUNCTION("""COMPUTED_VALUE"""),28226.0)</f>
        <v>28226</v>
      </c>
      <c r="M722" s="189">
        <f>IFERROR(__xludf.DUMMYFUNCTION("""COMPUTED_VALUE"""),27687.0)</f>
        <v>27687</v>
      </c>
      <c r="N722" s="189">
        <f>IFERROR(__xludf.DUMMYFUNCTION("""COMPUTED_VALUE"""),26932.0)</f>
        <v>26932</v>
      </c>
      <c r="O722" s="189">
        <f>IFERROR(__xludf.DUMMYFUNCTION("""COMPUTED_VALUE"""),27078.0)</f>
        <v>27078</v>
      </c>
      <c r="P722" s="189">
        <f>IFERROR(__xludf.DUMMYFUNCTION("""COMPUTED_VALUE"""),26986.0)</f>
        <v>26986</v>
      </c>
      <c r="Q722" s="189">
        <f>IFERROR(__xludf.DUMMYFUNCTION("""COMPUTED_VALUE"""),26798.0)</f>
        <v>26798</v>
      </c>
      <c r="R722" s="189">
        <f>IFERROR(__xludf.DUMMYFUNCTION("""COMPUTED_VALUE"""),0.0)</f>
        <v>0</v>
      </c>
      <c r="S722" s="189">
        <f>IFERROR(__xludf.DUMMYFUNCTION("""COMPUTED_VALUE"""),26860.0)</f>
        <v>26860</v>
      </c>
    </row>
    <row r="723">
      <c r="A723" s="186" t="str">
        <f>IFERROR(__xludf.DUMMYFUNCTION("""COMPUTED_VALUE"""),"NORDICS")</f>
        <v>NORDICS</v>
      </c>
      <c r="B723" s="186" t="str">
        <f>IFERROR(__xludf.DUMMYFUNCTION("""COMPUTED_VALUE"""),"W12")</f>
        <v>W12</v>
      </c>
      <c r="C723" s="186">
        <f>IFERROR(__xludf.DUMMYFUNCTION("""COMPUTED_VALUE"""),601.0)</f>
        <v>601</v>
      </c>
      <c r="D723" s="186" t="str">
        <f>IFERROR(__xludf.DUMMYFUNCTION("""COMPUTED_VALUE"""),"CON-00-147878-2")</f>
        <v>CON-00-147878-2</v>
      </c>
      <c r="E723" s="186" t="str">
        <f>IFERROR(__xludf.DUMMYFUNCTION("""COMPUTED_VALUE"""),"Grilled chicken and ratatouille")</f>
        <v>Grilled chicken and ratatouille</v>
      </c>
      <c r="F723" s="186" t="str">
        <f>IFERROR(__xludf.DUMMYFUNCTION("""COMPUTED_VALUE"""),"Grillet kylling med ratatouille")</f>
        <v>Grillet kylling med ratatouille</v>
      </c>
      <c r="G723" s="186" t="str">
        <f>IFERROR(__xludf.DUMMYFUNCTION("""COMPUTED_VALUE"""),"FE4015B")</f>
        <v>FE4015B</v>
      </c>
      <c r="H723" s="186">
        <f>IFERROR(__xludf.DUMMYFUNCTION("""COMPUTED_VALUE"""),565072.0)</f>
        <v>565072</v>
      </c>
      <c r="I723" s="186" t="str">
        <f>IFERROR(__xludf.DUMMYFUNCTION("""COMPUTED_VALUE"""),"HF Kipfilet met Ratatouille")</f>
        <v>HF Kipfilet met Ratatouille</v>
      </c>
      <c r="J723" s="189">
        <f>IFERROR(__xludf.DUMMYFUNCTION("""COMPUTED_VALUE"""),5198.0)</f>
        <v>5198</v>
      </c>
      <c r="K723" s="189">
        <f>IFERROR(__xludf.DUMMYFUNCTION("""COMPUTED_VALUE"""),4408.0)</f>
        <v>4408</v>
      </c>
      <c r="L723" s="189">
        <f>IFERROR(__xludf.DUMMYFUNCTION("""COMPUTED_VALUE"""),4264.0)</f>
        <v>4264</v>
      </c>
      <c r="M723" s="189">
        <f>IFERROR(__xludf.DUMMYFUNCTION("""COMPUTED_VALUE"""),4259.0)</f>
        <v>4259</v>
      </c>
      <c r="N723" s="189">
        <f>IFERROR(__xludf.DUMMYFUNCTION("""COMPUTED_VALUE"""),4234.0)</f>
        <v>4234</v>
      </c>
      <c r="O723" s="189">
        <f>IFERROR(__xludf.DUMMYFUNCTION("""COMPUTED_VALUE"""),4274.0)</f>
        <v>4274</v>
      </c>
      <c r="P723" s="189">
        <f>IFERROR(__xludf.DUMMYFUNCTION("""COMPUTED_VALUE"""),4287.0)</f>
        <v>4287</v>
      </c>
      <c r="Q723" s="189">
        <f>IFERROR(__xludf.DUMMYFUNCTION("""COMPUTED_VALUE"""),4272.0)</f>
        <v>4272</v>
      </c>
      <c r="R723" s="186"/>
      <c r="S723" s="189">
        <f>IFERROR(__xludf.DUMMYFUNCTION("""COMPUTED_VALUE"""),4091.0)</f>
        <v>4091</v>
      </c>
    </row>
    <row r="724">
      <c r="A724" s="186" t="str">
        <f>IFERROR(__xludf.DUMMYFUNCTION("""COMPUTED_VALUE"""),"NORDICS")</f>
        <v>NORDICS</v>
      </c>
      <c r="B724" s="186" t="str">
        <f>IFERROR(__xludf.DUMMYFUNCTION("""COMPUTED_VALUE"""),"W12")</f>
        <v>W12</v>
      </c>
      <c r="C724" s="186">
        <f>IFERROR(__xludf.DUMMYFUNCTION("""COMPUTED_VALUE"""),602.0)</f>
        <v>602</v>
      </c>
      <c r="D724" s="186" t="str">
        <f>IFERROR(__xludf.DUMMYFUNCTION("""COMPUTED_VALUE"""),"CON-00-147877-2")</f>
        <v>CON-00-147877-2</v>
      </c>
      <c r="E724" s="186" t="str">
        <f>IFERROR(__xludf.DUMMYFUNCTION("""COMPUTED_VALUE"""),"Creamy basil risotto with chicken")</f>
        <v>Creamy basil risotto with chicken</v>
      </c>
      <c r="F724" s="186" t="str">
        <f>IFERROR(__xludf.DUMMYFUNCTION("""COMPUTED_VALUE"""),"Cremet basilikumrisotto med kylling")</f>
        <v>Cremet basilikumrisotto med kylling</v>
      </c>
      <c r="G724" s="186" t="str">
        <f>IFERROR(__xludf.DUMMYFUNCTION("""COMPUTED_VALUE"""),"FE4014B")</f>
        <v>FE4014B</v>
      </c>
      <c r="H724" s="186">
        <f>IFERROR(__xludf.DUMMYFUNCTION("""COMPUTED_VALUE"""),565122.0)</f>
        <v>565122</v>
      </c>
      <c r="I724" s="186"/>
      <c r="J724" s="189">
        <f>IFERROR(__xludf.DUMMYFUNCTION("""COMPUTED_VALUE"""),3235.0)</f>
        <v>3235</v>
      </c>
      <c r="K724" s="189">
        <f>IFERROR(__xludf.DUMMYFUNCTION("""COMPUTED_VALUE"""),2766.0)</f>
        <v>2766</v>
      </c>
      <c r="L724" s="189">
        <f>IFERROR(__xludf.DUMMYFUNCTION("""COMPUTED_VALUE"""),2601.0)</f>
        <v>2601</v>
      </c>
      <c r="M724" s="189">
        <f>IFERROR(__xludf.DUMMYFUNCTION("""COMPUTED_VALUE"""),2728.0)</f>
        <v>2728</v>
      </c>
      <c r="N724" s="189">
        <f>IFERROR(__xludf.DUMMYFUNCTION("""COMPUTED_VALUE"""),2697.0)</f>
        <v>2697</v>
      </c>
      <c r="O724" s="189">
        <f>IFERROR(__xludf.DUMMYFUNCTION("""COMPUTED_VALUE"""),2775.0)</f>
        <v>2775</v>
      </c>
      <c r="P724" s="189">
        <f>IFERROR(__xludf.DUMMYFUNCTION("""COMPUTED_VALUE"""),2784.0)</f>
        <v>2784</v>
      </c>
      <c r="Q724" s="189">
        <f>IFERROR(__xludf.DUMMYFUNCTION("""COMPUTED_VALUE"""),2774.0)</f>
        <v>2774</v>
      </c>
      <c r="R724" s="186"/>
      <c r="S724" s="189">
        <f>IFERROR(__xludf.DUMMYFUNCTION("""COMPUTED_VALUE"""),2739.0)</f>
        <v>2739</v>
      </c>
    </row>
    <row r="725">
      <c r="A725" s="186" t="str">
        <f>IFERROR(__xludf.DUMMYFUNCTION("""COMPUTED_VALUE"""),"NORDICS")</f>
        <v>NORDICS</v>
      </c>
      <c r="B725" s="186" t="str">
        <f>IFERROR(__xludf.DUMMYFUNCTION("""COMPUTED_VALUE"""),"W12")</f>
        <v>W12</v>
      </c>
      <c r="C725" s="186">
        <f>IFERROR(__xludf.DUMMYFUNCTION("""COMPUTED_VALUE"""),603.0)</f>
        <v>603</v>
      </c>
      <c r="D725" s="186" t="str">
        <f>IFERROR(__xludf.DUMMYFUNCTION("""COMPUTED_VALUE"""),"CON-00-147857-2")</f>
        <v>CON-00-147857-2</v>
      </c>
      <c r="E725" s="186" t="str">
        <f>IFERROR(__xludf.DUMMYFUNCTION("""COMPUTED_VALUE"""),"Spicy ground beef with jalapenos")</f>
        <v>Spicy ground beef with jalapenos</v>
      </c>
      <c r="F725" s="186" t="str">
        <f>IFERROR(__xludf.DUMMYFUNCTION("""COMPUTED_VALUE"""),"Krydret hakket oksekød med jalapenos")</f>
        <v>Krydret hakket oksekød med jalapenos</v>
      </c>
      <c r="G725" s="186" t="str">
        <f>IFERROR(__xludf.DUMMYFUNCTION("""COMPUTED_VALUE"""),"FE0746A")</f>
        <v>FE0746A</v>
      </c>
      <c r="H725" s="186">
        <f>IFERROR(__xludf.DUMMYFUNCTION("""COMPUTED_VALUE"""),565091.0)</f>
        <v>565091</v>
      </c>
      <c r="I725" s="186" t="str">
        <f>IFERROR(__xludf.DUMMYFUNCTION("""COMPUTED_VALUE"""),"HF Beef burrito bowl")</f>
        <v>HF Beef burrito bowl</v>
      </c>
      <c r="J725" s="189">
        <f>IFERROR(__xludf.DUMMYFUNCTION("""COMPUTED_VALUE"""),3069.0)</f>
        <v>3069</v>
      </c>
      <c r="K725" s="189">
        <f>IFERROR(__xludf.DUMMYFUNCTION("""COMPUTED_VALUE"""),2369.0)</f>
        <v>2369</v>
      </c>
      <c r="L725" s="189">
        <f>IFERROR(__xludf.DUMMYFUNCTION("""COMPUTED_VALUE"""),1919.0)</f>
        <v>1919</v>
      </c>
      <c r="M725" s="189">
        <f>IFERROR(__xludf.DUMMYFUNCTION("""COMPUTED_VALUE"""),2120.0)</f>
        <v>2120</v>
      </c>
      <c r="N725" s="189">
        <f>IFERROR(__xludf.DUMMYFUNCTION("""COMPUTED_VALUE"""),2167.0)</f>
        <v>2167</v>
      </c>
      <c r="O725" s="189">
        <f>IFERROR(__xludf.DUMMYFUNCTION("""COMPUTED_VALUE"""),2179.0)</f>
        <v>2179</v>
      </c>
      <c r="P725" s="189">
        <f>IFERROR(__xludf.DUMMYFUNCTION("""COMPUTED_VALUE"""),2186.0)</f>
        <v>2186</v>
      </c>
      <c r="Q725" s="189">
        <f>IFERROR(__xludf.DUMMYFUNCTION("""COMPUTED_VALUE"""),2178.0)</f>
        <v>2178</v>
      </c>
      <c r="R725" s="186"/>
      <c r="S725" s="189">
        <f>IFERROR(__xludf.DUMMYFUNCTION("""COMPUTED_VALUE"""),2107.0)</f>
        <v>2107</v>
      </c>
    </row>
    <row r="726">
      <c r="A726" s="186" t="str">
        <f>IFERROR(__xludf.DUMMYFUNCTION("""COMPUTED_VALUE"""),"NORDICS")</f>
        <v>NORDICS</v>
      </c>
      <c r="B726" s="186" t="str">
        <f>IFERROR(__xludf.DUMMYFUNCTION("""COMPUTED_VALUE"""),"W12")</f>
        <v>W12</v>
      </c>
      <c r="C726" s="186">
        <f>IFERROR(__xludf.DUMMYFUNCTION("""COMPUTED_VALUE"""),604.0)</f>
        <v>604</v>
      </c>
      <c r="D726" s="186" t="str">
        <f>IFERROR(__xludf.DUMMYFUNCTION("""COMPUTED_VALUE"""),"CON-00-147888-2")</f>
        <v>CON-00-147888-2</v>
      </c>
      <c r="E726" s="186" t="str">
        <f>IFERROR(__xludf.DUMMYFUNCTION("""COMPUTED_VALUE"""),"Beef &amp; BBQ sauce")</f>
        <v>Beef &amp; BBQ sauce</v>
      </c>
      <c r="F726" s="186" t="str">
        <f>IFERROR(__xludf.DUMMYFUNCTION("""COMPUTED_VALUE"""),"Pulled beef med BBQ sauce")</f>
        <v>Pulled beef med BBQ sauce</v>
      </c>
      <c r="G726" s="186" t="str">
        <f>IFERROR(__xludf.DUMMYFUNCTION("""COMPUTED_VALUE"""),"FE4027B")</f>
        <v>FE4027B</v>
      </c>
      <c r="H726" s="186">
        <f>IFERROR(__xludf.DUMMYFUNCTION("""COMPUTED_VALUE"""),565142.0)</f>
        <v>565142</v>
      </c>
      <c r="I726" s="186" t="str">
        <f>IFERROR(__xludf.DUMMYFUNCTION("""COMPUTED_VALUE"""),"HF RW Rundvlees &amp; BBQ saus RW565085 / FE4027A / CS P+")</f>
        <v>HF RW Rundvlees &amp; BBQ saus RW565085 / FE4027A / CS P+</v>
      </c>
      <c r="J726" s="189">
        <f>IFERROR(__xludf.DUMMYFUNCTION("""COMPUTED_VALUE"""),3697.0)</f>
        <v>3697</v>
      </c>
      <c r="K726" s="189">
        <f>IFERROR(__xludf.DUMMYFUNCTION("""COMPUTED_VALUE"""),3573.0)</f>
        <v>3573</v>
      </c>
      <c r="L726" s="189">
        <f>IFERROR(__xludf.DUMMYFUNCTION("""COMPUTED_VALUE"""),3411.0)</f>
        <v>3411</v>
      </c>
      <c r="M726" s="189">
        <f>IFERROR(__xludf.DUMMYFUNCTION("""COMPUTED_VALUE"""),3432.0)</f>
        <v>3432</v>
      </c>
      <c r="N726" s="189">
        <f>IFERROR(__xludf.DUMMYFUNCTION("""COMPUTED_VALUE"""),3419.0)</f>
        <v>3419</v>
      </c>
      <c r="O726" s="189">
        <f>IFERROR(__xludf.DUMMYFUNCTION("""COMPUTED_VALUE"""),3418.0)</f>
        <v>3418</v>
      </c>
      <c r="P726" s="189">
        <f>IFERROR(__xludf.DUMMYFUNCTION("""COMPUTED_VALUE"""),3429.0)</f>
        <v>3429</v>
      </c>
      <c r="Q726" s="189">
        <f>IFERROR(__xludf.DUMMYFUNCTION("""COMPUTED_VALUE"""),3417.0)</f>
        <v>3417</v>
      </c>
      <c r="R726" s="186"/>
      <c r="S726" s="189">
        <f>IFERROR(__xludf.DUMMYFUNCTION("""COMPUTED_VALUE"""),3357.0)</f>
        <v>3357</v>
      </c>
    </row>
    <row r="727">
      <c r="A727" s="186" t="str">
        <f>IFERROR(__xludf.DUMMYFUNCTION("""COMPUTED_VALUE"""),"NORDICS")</f>
        <v>NORDICS</v>
      </c>
      <c r="B727" s="186" t="str">
        <f>IFERROR(__xludf.DUMMYFUNCTION("""COMPUTED_VALUE"""),"W12")</f>
        <v>W12</v>
      </c>
      <c r="C727" s="186">
        <f>IFERROR(__xludf.DUMMYFUNCTION("""COMPUTED_VALUE"""),605.0)</f>
        <v>605</v>
      </c>
      <c r="D727" s="186"/>
      <c r="E727" s="186"/>
      <c r="F727" s="186"/>
      <c r="G727" s="186" t="str">
        <f>IFERROR(__xludf.DUMMYFUNCTION("""COMPUTED_VALUE"""),"FE4001D")</f>
        <v>FE4001D</v>
      </c>
      <c r="H727" s="186"/>
      <c r="I727" s="186"/>
      <c r="J727" s="189">
        <f>IFERROR(__xludf.DUMMYFUNCTION("""COMPUTED_VALUE"""),2630.0)</f>
        <v>2630</v>
      </c>
      <c r="K727" s="189">
        <f>IFERROR(__xludf.DUMMYFUNCTION("""COMPUTED_VALUE"""),2274.0)</f>
        <v>2274</v>
      </c>
      <c r="L727" s="189">
        <f>IFERROR(__xludf.DUMMYFUNCTION("""COMPUTED_VALUE"""),1977.0)</f>
        <v>1977</v>
      </c>
      <c r="M727" s="189">
        <f>IFERROR(__xludf.DUMMYFUNCTION("""COMPUTED_VALUE"""),1989.0)</f>
        <v>1989</v>
      </c>
      <c r="N727" s="189">
        <f>IFERROR(__xludf.DUMMYFUNCTION("""COMPUTED_VALUE"""),2017.0)</f>
        <v>2017</v>
      </c>
      <c r="O727" s="189">
        <f>IFERROR(__xludf.DUMMYFUNCTION("""COMPUTED_VALUE"""),2039.0)</f>
        <v>2039</v>
      </c>
      <c r="P727" s="189">
        <f>IFERROR(__xludf.DUMMYFUNCTION("""COMPUTED_VALUE"""),2045.0)</f>
        <v>2045</v>
      </c>
      <c r="Q727" s="189">
        <f>IFERROR(__xludf.DUMMYFUNCTION("""COMPUTED_VALUE"""),2038.0)</f>
        <v>2038</v>
      </c>
      <c r="R727" s="186"/>
      <c r="S727" s="189">
        <f>IFERROR(__xludf.DUMMYFUNCTION("""COMPUTED_VALUE"""),1987.0)</f>
        <v>1987</v>
      </c>
    </row>
    <row r="728">
      <c r="A728" s="186" t="str">
        <f>IFERROR(__xludf.DUMMYFUNCTION("""COMPUTED_VALUE"""),"NORDICS")</f>
        <v>NORDICS</v>
      </c>
      <c r="B728" s="186" t="str">
        <f>IFERROR(__xludf.DUMMYFUNCTION("""COMPUTED_VALUE"""),"W12")</f>
        <v>W12</v>
      </c>
      <c r="C728" s="186">
        <f>IFERROR(__xludf.DUMMYFUNCTION("""COMPUTED_VALUE"""),606.0)</f>
        <v>606</v>
      </c>
      <c r="D728" s="186" t="str">
        <f>IFERROR(__xludf.DUMMYFUNCTION("""COMPUTED_VALUE"""),"CON-00-152030-2")</f>
        <v>CON-00-152030-2</v>
      </c>
      <c r="E728" s="186" t="str">
        <f>IFERROR(__xludf.DUMMYFUNCTION("""COMPUTED_VALUE"""),"Salmon Dijonnaise")</f>
        <v>Salmon Dijonnaise</v>
      </c>
      <c r="F728" s="186" t="str">
        <f>IFERROR(__xludf.DUMMYFUNCTION("""COMPUTED_VALUE"""),"Laks med dijonnaise")</f>
        <v>Laks med dijonnaise</v>
      </c>
      <c r="G728" s="186" t="str">
        <f>IFERROR(__xludf.DUMMYFUNCTION("""COMPUTED_VALUE"""),"FE1031A")</f>
        <v>FE1031A</v>
      </c>
      <c r="H728" s="186">
        <f>IFERROR(__xludf.DUMMYFUNCTION("""COMPUTED_VALUE"""),565207.0)</f>
        <v>565207</v>
      </c>
      <c r="I728" s="186" t="str">
        <f>IFERROR(__xludf.DUMMYFUNCTION("""COMPUTED_VALUE"""),"HF Zalm dijonnaise")</f>
        <v>HF Zalm dijonnaise</v>
      </c>
      <c r="J728" s="189">
        <f>IFERROR(__xludf.DUMMYFUNCTION("""COMPUTED_VALUE"""),2370.0)</f>
        <v>2370</v>
      </c>
      <c r="K728" s="189">
        <f>IFERROR(__xludf.DUMMYFUNCTION("""COMPUTED_VALUE"""),2043.0)</f>
        <v>2043</v>
      </c>
      <c r="L728" s="189">
        <f>IFERROR(__xludf.DUMMYFUNCTION("""COMPUTED_VALUE"""),2161.0)</f>
        <v>2161</v>
      </c>
      <c r="M728" s="189">
        <f>IFERROR(__xludf.DUMMYFUNCTION("""COMPUTED_VALUE"""),2109.0)</f>
        <v>2109</v>
      </c>
      <c r="N728" s="189">
        <f>IFERROR(__xludf.DUMMYFUNCTION("""COMPUTED_VALUE"""),2171.0)</f>
        <v>2171</v>
      </c>
      <c r="O728" s="189">
        <f>IFERROR(__xludf.DUMMYFUNCTION("""COMPUTED_VALUE"""),2198.0)</f>
        <v>2198</v>
      </c>
      <c r="P728" s="189">
        <f>IFERROR(__xludf.DUMMYFUNCTION("""COMPUTED_VALUE"""),2205.0)</f>
        <v>2205</v>
      </c>
      <c r="Q728" s="189">
        <f>IFERROR(__xludf.DUMMYFUNCTION("""COMPUTED_VALUE"""),2197.0)</f>
        <v>2197</v>
      </c>
      <c r="R728" s="186"/>
      <c r="S728" s="189">
        <f>IFERROR(__xludf.DUMMYFUNCTION("""COMPUTED_VALUE"""),2116.0)</f>
        <v>2116</v>
      </c>
    </row>
    <row r="729">
      <c r="A729" s="186" t="str">
        <f>IFERROR(__xludf.DUMMYFUNCTION("""COMPUTED_VALUE"""),"NORDICS")</f>
        <v>NORDICS</v>
      </c>
      <c r="B729" s="186" t="str">
        <f>IFERROR(__xludf.DUMMYFUNCTION("""COMPUTED_VALUE"""),"W12")</f>
        <v>W12</v>
      </c>
      <c r="C729" s="186">
        <f>IFERROR(__xludf.DUMMYFUNCTION("""COMPUTED_VALUE"""),607.0)</f>
        <v>607</v>
      </c>
      <c r="D729" s="186" t="str">
        <f>IFERROR(__xludf.DUMMYFUNCTION("""COMPUTED_VALUE"""),"CON-00-147844-2")</f>
        <v>CON-00-147844-2</v>
      </c>
      <c r="E729" s="186" t="str">
        <f>IFERROR(__xludf.DUMMYFUNCTION("""COMPUTED_VALUE"""),"Indian style butter chicken")</f>
        <v>Indian style butter chicken</v>
      </c>
      <c r="F729" s="186" t="str">
        <f>IFERROR(__xludf.DUMMYFUNCTION("""COMPUTED_VALUE"""),"Indisk-inspireret butter chicken")</f>
        <v>Indisk-inspireret butter chicken</v>
      </c>
      <c r="G729" s="186" t="str">
        <f>IFERROR(__xludf.DUMMYFUNCTION("""COMPUTED_VALUE"""),"FE0472B")</f>
        <v>FE0472B</v>
      </c>
      <c r="H729" s="186">
        <f>IFERROR(__xludf.DUMMYFUNCTION("""COMPUTED_VALUE"""),565145.0)</f>
        <v>565145</v>
      </c>
      <c r="I729" s="186" t="str">
        <f>IFERROR(__xludf.DUMMYFUNCTION("""COMPUTED_VALUE"""),"HF RW Butter Chicken")</f>
        <v>HF RW Butter Chicken</v>
      </c>
      <c r="J729" s="189">
        <f>IFERROR(__xludf.DUMMYFUNCTION("""COMPUTED_VALUE"""),1862.0)</f>
        <v>1862</v>
      </c>
      <c r="K729" s="189">
        <f>IFERROR(__xludf.DUMMYFUNCTION("""COMPUTED_VALUE"""),1568.0)</f>
        <v>1568</v>
      </c>
      <c r="L729" s="189">
        <f>IFERROR(__xludf.DUMMYFUNCTION("""COMPUTED_VALUE"""),1639.0)</f>
        <v>1639</v>
      </c>
      <c r="M729" s="189">
        <f>IFERROR(__xludf.DUMMYFUNCTION("""COMPUTED_VALUE"""),1687.0)</f>
        <v>1687</v>
      </c>
      <c r="N729" s="189">
        <f>IFERROR(__xludf.DUMMYFUNCTION("""COMPUTED_VALUE"""),1700.0)</f>
        <v>1700</v>
      </c>
      <c r="O729" s="189">
        <f>IFERROR(__xludf.DUMMYFUNCTION("""COMPUTED_VALUE"""),1743.0)</f>
        <v>1743</v>
      </c>
      <c r="P729" s="189">
        <f>IFERROR(__xludf.DUMMYFUNCTION("""COMPUTED_VALUE"""),1748.0)</f>
        <v>1748</v>
      </c>
      <c r="Q729" s="189">
        <f>IFERROR(__xludf.DUMMYFUNCTION("""COMPUTED_VALUE"""),1742.0)</f>
        <v>1742</v>
      </c>
      <c r="R729" s="186"/>
      <c r="S729" s="189">
        <f>IFERROR(__xludf.DUMMYFUNCTION("""COMPUTED_VALUE"""),1718.0)</f>
        <v>1718</v>
      </c>
    </row>
    <row r="730">
      <c r="A730" s="186" t="str">
        <f>IFERROR(__xludf.DUMMYFUNCTION("""COMPUTED_VALUE"""),"NORDICS")</f>
        <v>NORDICS</v>
      </c>
      <c r="B730" s="186" t="str">
        <f>IFERROR(__xludf.DUMMYFUNCTION("""COMPUTED_VALUE"""),"W12")</f>
        <v>W12</v>
      </c>
      <c r="C730" s="186">
        <f>IFERROR(__xludf.DUMMYFUNCTION("""COMPUTED_VALUE"""),608.0)</f>
        <v>608</v>
      </c>
      <c r="D730" s="186" t="str">
        <f>IFERROR(__xludf.DUMMYFUNCTION("""COMPUTED_VALUE"""),"CON-00-147894-2")</f>
        <v>CON-00-147894-2</v>
      </c>
      <c r="E730" s="186" t="str">
        <f>IFERROR(__xludf.DUMMYFUNCTION("""COMPUTED_VALUE"""),"Chicken in mushroom sauce")</f>
        <v>Chicken in mushroom sauce</v>
      </c>
      <c r="F730" s="186" t="str">
        <f>IFERROR(__xludf.DUMMYFUNCTION("""COMPUTED_VALUE"""),"Kylling i svampesauce     ")</f>
        <v>Kylling i svampesauce     </v>
      </c>
      <c r="G730" s="186" t="str">
        <f>IFERROR(__xludf.DUMMYFUNCTION("""COMPUTED_VALUE"""),"FE4038B")</f>
        <v>FE4038B</v>
      </c>
      <c r="H730" s="186">
        <f>IFERROR(__xludf.DUMMYFUNCTION("""COMPUTED_VALUE"""),565160.0)</f>
        <v>565160</v>
      </c>
      <c r="I730" s="186"/>
      <c r="J730" s="189">
        <f>IFERROR(__xludf.DUMMYFUNCTION("""COMPUTED_VALUE"""),2019.0)</f>
        <v>2019</v>
      </c>
      <c r="K730" s="189">
        <f>IFERROR(__xludf.DUMMYFUNCTION("""COMPUTED_VALUE"""),1636.0)</f>
        <v>1636</v>
      </c>
      <c r="L730" s="189">
        <f>IFERROR(__xludf.DUMMYFUNCTION("""COMPUTED_VALUE"""),1582.0)</f>
        <v>1582</v>
      </c>
      <c r="M730" s="189">
        <f>IFERROR(__xludf.DUMMYFUNCTION("""COMPUTED_VALUE"""),1481.0)</f>
        <v>1481</v>
      </c>
      <c r="N730" s="189">
        <f>IFERROR(__xludf.DUMMYFUNCTION("""COMPUTED_VALUE"""),1483.0)</f>
        <v>1483</v>
      </c>
      <c r="O730" s="189">
        <f>IFERROR(__xludf.DUMMYFUNCTION("""COMPUTED_VALUE"""),1521.0)</f>
        <v>1521</v>
      </c>
      <c r="P730" s="189">
        <f>IFERROR(__xludf.DUMMYFUNCTION("""COMPUTED_VALUE"""),1526.0)</f>
        <v>1526</v>
      </c>
      <c r="Q730" s="189">
        <f>IFERROR(__xludf.DUMMYFUNCTION("""COMPUTED_VALUE"""),1521.0)</f>
        <v>1521</v>
      </c>
      <c r="R730" s="186"/>
      <c r="S730" s="189">
        <f>IFERROR(__xludf.DUMMYFUNCTION("""COMPUTED_VALUE"""),1500.0)</f>
        <v>1500</v>
      </c>
    </row>
    <row r="731">
      <c r="A731" s="186" t="str">
        <f>IFERROR(__xludf.DUMMYFUNCTION("""COMPUTED_VALUE"""),"NORDICS")</f>
        <v>NORDICS</v>
      </c>
      <c r="B731" s="186" t="str">
        <f>IFERROR(__xludf.DUMMYFUNCTION("""COMPUTED_VALUE"""),"W12")</f>
        <v>W12</v>
      </c>
      <c r="C731" s="186">
        <f>IFERROR(__xludf.DUMMYFUNCTION("""COMPUTED_VALUE"""),609.0)</f>
        <v>609</v>
      </c>
      <c r="D731" s="186" t="str">
        <f>IFERROR(__xludf.DUMMYFUNCTION("""COMPUTED_VALUE"""),"CON-00-147818-2")</f>
        <v>CON-00-147818-2</v>
      </c>
      <c r="E731" s="186" t="str">
        <f>IFERROR(__xludf.DUMMYFUNCTION("""COMPUTED_VALUE"""),"Mexican style corn cake")</f>
        <v>Mexican style corn cake</v>
      </c>
      <c r="F731" s="186" t="str">
        <f>IFERROR(__xludf.DUMMYFUNCTION("""COMPUTED_VALUE"""),"Mexicansk-inspireret majskage")</f>
        <v>Mexicansk-inspireret majskage</v>
      </c>
      <c r="G731" s="186" t="str">
        <f>IFERROR(__xludf.DUMMYFUNCTION("""COMPUTED_VALUE"""),"FE0121C")</f>
        <v>FE0121C</v>
      </c>
      <c r="H731" s="186">
        <f>IFERROR(__xludf.DUMMYFUNCTION("""COMPUTED_VALUE"""),565023.0)</f>
        <v>565023</v>
      </c>
      <c r="I731" s="186" t="str">
        <f>IFERROR(__xludf.DUMMYFUNCTION("""COMPUTED_VALUE"""),"HF Mex.stijl maiscake")</f>
        <v>HF Mex.stijl maiscake</v>
      </c>
      <c r="J731" s="189">
        <f>IFERROR(__xludf.DUMMYFUNCTION("""COMPUTED_VALUE"""),412.0)</f>
        <v>412</v>
      </c>
      <c r="K731" s="189">
        <f>IFERROR(__xludf.DUMMYFUNCTION("""COMPUTED_VALUE"""),352.0)</f>
        <v>352</v>
      </c>
      <c r="L731" s="189">
        <f>IFERROR(__xludf.DUMMYFUNCTION("""COMPUTED_VALUE"""),276.0)</f>
        <v>276</v>
      </c>
      <c r="M731" s="189">
        <f>IFERROR(__xludf.DUMMYFUNCTION("""COMPUTED_VALUE"""),313.0)</f>
        <v>313</v>
      </c>
      <c r="N731" s="189">
        <f>IFERROR(__xludf.DUMMYFUNCTION("""COMPUTED_VALUE"""),333.0)</f>
        <v>333</v>
      </c>
      <c r="O731" s="189">
        <f>IFERROR(__xludf.DUMMYFUNCTION("""COMPUTED_VALUE"""),333.0)</f>
        <v>333</v>
      </c>
      <c r="P731" s="189">
        <f>IFERROR(__xludf.DUMMYFUNCTION("""COMPUTED_VALUE"""),334.0)</f>
        <v>334</v>
      </c>
      <c r="Q731" s="189">
        <f>IFERROR(__xludf.DUMMYFUNCTION("""COMPUTED_VALUE"""),333.0)</f>
        <v>333</v>
      </c>
      <c r="R731" s="186"/>
      <c r="S731" s="189">
        <f>IFERROR(__xludf.DUMMYFUNCTION("""COMPUTED_VALUE"""),348.0)</f>
        <v>348</v>
      </c>
    </row>
    <row r="732">
      <c r="A732" s="186" t="str">
        <f>IFERROR(__xludf.DUMMYFUNCTION("""COMPUTED_VALUE"""),"NORDICS")</f>
        <v>NORDICS</v>
      </c>
      <c r="B732" s="186" t="str">
        <f>IFERROR(__xludf.DUMMYFUNCTION("""COMPUTED_VALUE"""),"W12")</f>
        <v>W12</v>
      </c>
      <c r="C732" s="186">
        <f>IFERROR(__xludf.DUMMYFUNCTION("""COMPUTED_VALUE"""),610.0)</f>
        <v>610</v>
      </c>
      <c r="D732" s="186" t="str">
        <f>IFERROR(__xludf.DUMMYFUNCTION("""COMPUTED_VALUE"""),"CON-00-147816-2")</f>
        <v>CON-00-147816-2</v>
      </c>
      <c r="E732" s="186" t="str">
        <f>IFERROR(__xludf.DUMMYFUNCTION("""COMPUTED_VALUE"""),"Creamy tomato risotto")</f>
        <v>Creamy tomato risotto</v>
      </c>
      <c r="F732" s="186" t="str">
        <f>IFERROR(__xludf.DUMMYFUNCTION("""COMPUTED_VALUE"""),"Cremet tomatrisotto")</f>
        <v>Cremet tomatrisotto</v>
      </c>
      <c r="G732" s="186" t="str">
        <f>IFERROR(__xludf.DUMMYFUNCTION("""COMPUTED_VALUE"""),"FE0031C")</f>
        <v>FE0031C</v>
      </c>
      <c r="H732" s="186">
        <f>IFERROR(__xludf.DUMMYFUNCTION("""COMPUTED_VALUE"""),565244.0)</f>
        <v>565244</v>
      </c>
      <c r="I732" s="186" t="str">
        <f>IFERROR(__xludf.DUMMYFUNCTION("""COMPUTED_VALUE"""),"IO HF Romige tomatenrisotto V2")</f>
        <v>IO HF Romige tomatenrisotto V2</v>
      </c>
      <c r="J732" s="189">
        <f>IFERROR(__xludf.DUMMYFUNCTION("""COMPUTED_VALUE"""),337.0)</f>
        <v>337</v>
      </c>
      <c r="K732" s="189">
        <f>IFERROR(__xludf.DUMMYFUNCTION("""COMPUTED_VALUE"""),305.0)</f>
        <v>305</v>
      </c>
      <c r="L732" s="189">
        <f>IFERROR(__xludf.DUMMYFUNCTION("""COMPUTED_VALUE"""),302.0)</f>
        <v>302</v>
      </c>
      <c r="M732" s="189">
        <f>IFERROR(__xludf.DUMMYFUNCTION("""COMPUTED_VALUE"""),245.0)</f>
        <v>245</v>
      </c>
      <c r="N732" s="189">
        <f>IFERROR(__xludf.DUMMYFUNCTION("""COMPUTED_VALUE"""),253.0)</f>
        <v>253</v>
      </c>
      <c r="O732" s="189">
        <f>IFERROR(__xludf.DUMMYFUNCTION("""COMPUTED_VALUE"""),280.0)</f>
        <v>280</v>
      </c>
      <c r="P732" s="189">
        <f>IFERROR(__xludf.DUMMYFUNCTION("""COMPUTED_VALUE"""),281.0)</f>
        <v>281</v>
      </c>
      <c r="Q732" s="189">
        <f>IFERROR(__xludf.DUMMYFUNCTION("""COMPUTED_VALUE"""),280.0)</f>
        <v>280</v>
      </c>
      <c r="R732" s="186"/>
      <c r="S732" s="189">
        <f>IFERROR(__xludf.DUMMYFUNCTION("""COMPUTED_VALUE"""),279.0)</f>
        <v>279</v>
      </c>
    </row>
    <row r="733">
      <c r="A733" s="186" t="str">
        <f>IFERROR(__xludf.DUMMYFUNCTION("""COMPUTED_VALUE"""),"NORDICS")</f>
        <v>NORDICS</v>
      </c>
      <c r="B733" s="186" t="str">
        <f>IFERROR(__xludf.DUMMYFUNCTION("""COMPUTED_VALUE"""),"W12")</f>
        <v>W12</v>
      </c>
      <c r="C733" s="186">
        <f>IFERROR(__xludf.DUMMYFUNCTION("""COMPUTED_VALUE"""),611.0)</f>
        <v>611</v>
      </c>
      <c r="D733" s="186" t="str">
        <f>IFERROR(__xludf.DUMMYFUNCTION("""COMPUTED_VALUE"""),"CON-00-147870-2")</f>
        <v>CON-00-147870-2</v>
      </c>
      <c r="E733" s="186" t="str">
        <f>IFERROR(__xludf.DUMMYFUNCTION("""COMPUTED_VALUE"""),"Pork tenderloin in sundried tomato sauce")</f>
        <v>Pork tenderloin in sundried tomato sauce</v>
      </c>
      <c r="F733" s="186" t="str">
        <f>IFERROR(__xludf.DUMMYFUNCTION("""COMPUTED_VALUE"""),"Svinemørbrad i soltørret tomatsauce")</f>
        <v>Svinemørbrad i soltørret tomatsauce</v>
      </c>
      <c r="G733" s="186" t="str">
        <f>IFERROR(__xludf.DUMMYFUNCTION("""COMPUTED_VALUE"""),"FE4006A")</f>
        <v>FE4006A</v>
      </c>
      <c r="H733" s="186">
        <f>IFERROR(__xludf.DUMMYFUNCTION("""COMPUTED_VALUE"""),565063.0)</f>
        <v>565063</v>
      </c>
      <c r="I733" s="186" t="str">
        <f>IFERROR(__xludf.DUMMYFUNCTION("""COMPUTED_VALUE"""),"HF Varkenshaas met tomatensaus 384g")</f>
        <v>HF Varkenshaas met tomatensaus 384g</v>
      </c>
      <c r="J733" s="189">
        <f>IFERROR(__xludf.DUMMYFUNCTION("""COMPUTED_VALUE"""),742.0)</f>
        <v>742</v>
      </c>
      <c r="K733" s="189">
        <f>IFERROR(__xludf.DUMMYFUNCTION("""COMPUTED_VALUE"""),712.0)</f>
        <v>712</v>
      </c>
      <c r="L733" s="189">
        <f>IFERROR(__xludf.DUMMYFUNCTION("""COMPUTED_VALUE"""),512.0)</f>
        <v>512</v>
      </c>
      <c r="M733" s="189">
        <f>IFERROR(__xludf.DUMMYFUNCTION("""COMPUTED_VALUE"""),458.0)</f>
        <v>458</v>
      </c>
      <c r="N733" s="189">
        <f>IFERROR(__xludf.DUMMYFUNCTION("""COMPUTED_VALUE"""),462.0)</f>
        <v>462</v>
      </c>
      <c r="O733" s="189">
        <f>IFERROR(__xludf.DUMMYFUNCTION("""COMPUTED_VALUE"""),487.0)</f>
        <v>487</v>
      </c>
      <c r="P733" s="189">
        <f>IFERROR(__xludf.DUMMYFUNCTION("""COMPUTED_VALUE"""),488.0)</f>
        <v>488</v>
      </c>
      <c r="Q733" s="189">
        <f>IFERROR(__xludf.DUMMYFUNCTION("""COMPUTED_VALUE"""),486.0)</f>
        <v>486</v>
      </c>
      <c r="R733" s="186"/>
      <c r="S733" s="189">
        <f>IFERROR(__xludf.DUMMYFUNCTION("""COMPUTED_VALUE"""),523.0)</f>
        <v>523</v>
      </c>
    </row>
    <row r="734">
      <c r="A734" s="186" t="str">
        <f>IFERROR(__xludf.DUMMYFUNCTION("""COMPUTED_VALUE"""),"NORDICS")</f>
        <v>NORDICS</v>
      </c>
      <c r="B734" s="186" t="str">
        <f>IFERROR(__xludf.DUMMYFUNCTION("""COMPUTED_VALUE"""),"W12")</f>
        <v>W12</v>
      </c>
      <c r="C734" s="186">
        <f>IFERROR(__xludf.DUMMYFUNCTION("""COMPUTED_VALUE"""),612.0)</f>
        <v>612</v>
      </c>
      <c r="D734" s="186" t="str">
        <f>IFERROR(__xludf.DUMMYFUNCTION("""COMPUTED_VALUE"""),"CON-00-154556-2")</f>
        <v>CON-00-154556-2</v>
      </c>
      <c r="E734" s="186" t="str">
        <f>IFERROR(__xludf.DUMMYFUNCTION("""COMPUTED_VALUE"""),"Citrus–Miso Salmon Bowl")</f>
        <v>Citrus–Miso Salmon Bowl</v>
      </c>
      <c r="F734" s="186" t="str">
        <f>IFERROR(__xludf.DUMMYFUNCTION("""COMPUTED_VALUE"""),"Laksebowl med citrus-miso")</f>
        <v>Laksebowl med citrus-miso</v>
      </c>
      <c r="G734" s="186" t="str">
        <f>IFERROR(__xludf.DUMMYFUNCTION("""COMPUTED_VALUE"""),"FE1731A")</f>
        <v>FE1731A</v>
      </c>
      <c r="H734" s="186">
        <f>IFERROR(__xludf.DUMMYFUNCTION("""COMPUTED_VALUE"""),565221.0)</f>
        <v>565221</v>
      </c>
      <c r="I734" s="186" t="str">
        <f>IFERROR(__xludf.DUMMYFUNCTION("""COMPUTED_VALUE"""),"HF Citrus-miso zalm bowl")</f>
        <v>HF Citrus-miso zalm bowl</v>
      </c>
      <c r="J734" s="189">
        <f>IFERROR(__xludf.DUMMYFUNCTION("""COMPUTED_VALUE"""),2641.0)</f>
        <v>2641</v>
      </c>
      <c r="K734" s="189">
        <f>IFERROR(__xludf.DUMMYFUNCTION("""COMPUTED_VALUE"""),2270.0)</f>
        <v>2270</v>
      </c>
      <c r="L734" s="189">
        <f>IFERROR(__xludf.DUMMYFUNCTION("""COMPUTED_VALUE"""),2063.0)</f>
        <v>2063</v>
      </c>
      <c r="M734" s="189">
        <f>IFERROR(__xludf.DUMMYFUNCTION("""COMPUTED_VALUE"""),1924.0)</f>
        <v>1924</v>
      </c>
      <c r="N734" s="189">
        <f>IFERROR(__xludf.DUMMYFUNCTION("""COMPUTED_VALUE"""),1963.0)</f>
        <v>1963</v>
      </c>
      <c r="O734" s="189">
        <f>IFERROR(__xludf.DUMMYFUNCTION("""COMPUTED_VALUE"""),2021.0)</f>
        <v>2021</v>
      </c>
      <c r="P734" s="189">
        <f>IFERROR(__xludf.DUMMYFUNCTION("""COMPUTED_VALUE"""),2027.0)</f>
        <v>2027</v>
      </c>
      <c r="Q734" s="189">
        <f>IFERROR(__xludf.DUMMYFUNCTION("""COMPUTED_VALUE"""),2020.0)</f>
        <v>2020</v>
      </c>
      <c r="R734" s="186"/>
      <c r="S734" s="189">
        <f>IFERROR(__xludf.DUMMYFUNCTION("""COMPUTED_VALUE"""),1945.0)</f>
        <v>1945</v>
      </c>
    </row>
    <row r="735">
      <c r="A735" s="186" t="str">
        <f>IFERROR(__xludf.DUMMYFUNCTION("""COMPUTED_VALUE"""),"NORDICS")</f>
        <v>NORDICS</v>
      </c>
      <c r="B735" s="186" t="str">
        <f>IFERROR(__xludf.DUMMYFUNCTION("""COMPUTED_VALUE"""),"W12")</f>
        <v>W12</v>
      </c>
      <c r="C735" s="186">
        <f>IFERROR(__xludf.DUMMYFUNCTION("""COMPUTED_VALUE"""),613.0)</f>
        <v>613</v>
      </c>
      <c r="D735" s="186" t="str">
        <f>IFERROR(__xludf.DUMMYFUNCTION("""COMPUTED_VALUE"""),"CON-00-156130-2")</f>
        <v>CON-00-156130-2</v>
      </c>
      <c r="E735" s="186" t="str">
        <f>IFERROR(__xludf.DUMMYFUNCTION("""COMPUTED_VALUE"""),"Japanese-Style BBQ Chicken &amp; Cabbage")</f>
        <v>Japanese-Style BBQ Chicken &amp; Cabbage</v>
      </c>
      <c r="F735" s="186" t="str">
        <f>IFERROR(__xludf.DUMMYFUNCTION("""COMPUTED_VALUE"""),"Japansk-inspireret BBQ-kylling med kål")</f>
        <v>Japansk-inspireret BBQ-kylling med kål</v>
      </c>
      <c r="G735" s="186" t="str">
        <f>IFERROR(__xludf.DUMMYFUNCTION("""COMPUTED_VALUE"""),"FE1458A")</f>
        <v>FE1458A</v>
      </c>
      <c r="H735" s="186">
        <f>IFERROR(__xludf.DUMMYFUNCTION("""COMPUTED_VALUE"""),565258.0)</f>
        <v>565258</v>
      </c>
      <c r="I735" s="186" t="str">
        <f>IFERROR(__xludf.DUMMYFUNCTION("""COMPUTED_VALUE"""),"HF Japanse style kip en kool")</f>
        <v>HF Japanse style kip en kool</v>
      </c>
      <c r="J735" s="189">
        <f>IFERROR(__xludf.DUMMYFUNCTION("""COMPUTED_VALUE"""),3185.0)</f>
        <v>3185</v>
      </c>
      <c r="K735" s="189">
        <f>IFERROR(__xludf.DUMMYFUNCTION("""COMPUTED_VALUE"""),2434.0)</f>
        <v>2434</v>
      </c>
      <c r="L735" s="189">
        <f>IFERROR(__xludf.DUMMYFUNCTION("""COMPUTED_VALUE"""),2682.0)</f>
        <v>2682</v>
      </c>
      <c r="M735" s="189">
        <f>IFERROR(__xludf.DUMMYFUNCTION("""COMPUTED_VALUE"""),2447.0)</f>
        <v>2447</v>
      </c>
      <c r="N735" s="189">
        <f>IFERROR(__xludf.DUMMYFUNCTION("""COMPUTED_VALUE"""),2475.0)</f>
        <v>2475</v>
      </c>
      <c r="O735" s="189">
        <f>IFERROR(__xludf.DUMMYFUNCTION("""COMPUTED_VALUE"""),2464.0)</f>
        <v>2464</v>
      </c>
      <c r="P735" s="189">
        <f>IFERROR(__xludf.DUMMYFUNCTION("""COMPUTED_VALUE"""),2472.0)</f>
        <v>2472</v>
      </c>
      <c r="Q735" s="189">
        <f>IFERROR(__xludf.DUMMYFUNCTION("""COMPUTED_VALUE"""),2463.0)</f>
        <v>2463</v>
      </c>
      <c r="R735" s="186"/>
      <c r="S735" s="189">
        <f>IFERROR(__xludf.DUMMYFUNCTION("""COMPUTED_VALUE"""),2303.0)</f>
        <v>2303</v>
      </c>
    </row>
    <row r="736">
      <c r="A736" s="186" t="str">
        <f>IFERROR(__xludf.DUMMYFUNCTION("""COMPUTED_VALUE"""),"NORDICS")</f>
        <v>NORDICS</v>
      </c>
      <c r="B736" s="186" t="str">
        <f>IFERROR(__xludf.DUMMYFUNCTION("""COMPUTED_VALUE"""),"W12")</f>
        <v>W12</v>
      </c>
      <c r="C736" s="186">
        <f>IFERROR(__xludf.DUMMYFUNCTION("""COMPUTED_VALUE"""),614.0)</f>
        <v>614</v>
      </c>
      <c r="D736" s="186" t="str">
        <f>IFERROR(__xludf.DUMMYFUNCTION("""COMPUTED_VALUE"""),"CON-00-155188-2")</f>
        <v>CON-00-155188-2</v>
      </c>
      <c r="E736" s="186" t="str">
        <f>IFERROR(__xludf.DUMMYFUNCTION("""COMPUTED_VALUE"""),"Sun-Dried Tomato Beef Ragu &amp; Pasta")</f>
        <v>Sun-Dried Tomato Beef Ragu &amp; Pasta</v>
      </c>
      <c r="F736" s="186" t="str">
        <f>IFERROR(__xludf.DUMMYFUNCTION("""COMPUTED_VALUE"""),"Pasta med oksekødsragù og soltørrede tomater")</f>
        <v>Pasta med oksekødsragù og soltørrede tomater</v>
      </c>
      <c r="G736" s="186" t="str">
        <f>IFERROR(__xludf.DUMMYFUNCTION("""COMPUTED_VALUE"""),"FE4075A")</f>
        <v>FE4075A</v>
      </c>
      <c r="H736" s="186">
        <f>IFERROR(__xludf.DUMMYFUNCTION("""COMPUTED_VALUE"""),565252.0)</f>
        <v>565252</v>
      </c>
      <c r="I736" s="186" t="str">
        <f>IFERROR(__xludf.DUMMYFUNCTION("""COMPUTED_VALUE"""),"HF Tomato Beef Ragu &amp; Pasta")</f>
        <v>HF Tomato Beef Ragu &amp; Pasta</v>
      </c>
      <c r="J736" s="189">
        <f>IFERROR(__xludf.DUMMYFUNCTION("""COMPUTED_VALUE"""),1364.0)</f>
        <v>1364</v>
      </c>
      <c r="K736" s="189">
        <f>IFERROR(__xludf.DUMMYFUNCTION("""COMPUTED_VALUE"""),1157.0)</f>
        <v>1157</v>
      </c>
      <c r="L736" s="189">
        <f>IFERROR(__xludf.DUMMYFUNCTION("""COMPUTED_VALUE"""),1281.0)</f>
        <v>1281</v>
      </c>
      <c r="M736" s="189">
        <f>IFERROR(__xludf.DUMMYFUNCTION("""COMPUTED_VALUE"""),1042.0)</f>
        <v>1042</v>
      </c>
      <c r="N736" s="189">
        <f>IFERROR(__xludf.DUMMYFUNCTION("""COMPUTED_VALUE"""),979.0)</f>
        <v>979</v>
      </c>
      <c r="O736" s="189">
        <f>IFERROR(__xludf.DUMMYFUNCTION("""COMPUTED_VALUE"""),939.0)</f>
        <v>939</v>
      </c>
      <c r="P736" s="189">
        <f>IFERROR(__xludf.DUMMYFUNCTION("""COMPUTED_VALUE"""),942.0)</f>
        <v>942</v>
      </c>
      <c r="Q736" s="189">
        <f>IFERROR(__xludf.DUMMYFUNCTION("""COMPUTED_VALUE"""),939.0)</f>
        <v>939</v>
      </c>
      <c r="R736" s="186"/>
      <c r="S736" s="189">
        <f>IFERROR(__xludf.DUMMYFUNCTION("""COMPUTED_VALUE"""),947.0)</f>
        <v>947</v>
      </c>
    </row>
    <row r="737">
      <c r="A737" s="186" t="str">
        <f>IFERROR(__xludf.DUMMYFUNCTION("""COMPUTED_VALUE"""),"NORDICS")</f>
        <v>NORDICS</v>
      </c>
      <c r="B737" s="186" t="str">
        <f>IFERROR(__xludf.DUMMYFUNCTION("""COMPUTED_VALUE"""),"W12")</f>
        <v>W12</v>
      </c>
      <c r="C737" s="186">
        <f>IFERROR(__xludf.DUMMYFUNCTION("""COMPUTED_VALUE"""),615.0)</f>
        <v>615</v>
      </c>
      <c r="D737" s="186" t="str">
        <f>IFERROR(__xludf.DUMMYFUNCTION("""COMPUTED_VALUE"""),"CON-00-147854-2")</f>
        <v>CON-00-147854-2</v>
      </c>
      <c r="E737" s="186" t="str">
        <f>IFERROR(__xludf.DUMMYFUNCTION("""COMPUTED_VALUE"""),"Cabbage in cheese sauce with minced beef")</f>
        <v>Cabbage in cheese sauce with minced beef</v>
      </c>
      <c r="F737" s="186" t="str">
        <f>IFERROR(__xludf.DUMMYFUNCTION("""COMPUTED_VALUE"""),"Kål i ostesauce med hakket oksekød")</f>
        <v>Kål i ostesauce med hakket oksekød</v>
      </c>
      <c r="G737" s="186" t="str">
        <f>IFERROR(__xludf.DUMMYFUNCTION("""COMPUTED_VALUE"""),"FE0713B")</f>
        <v>FE0713B</v>
      </c>
      <c r="H737" s="186">
        <f>IFERROR(__xludf.DUMMYFUNCTION("""COMPUTED_VALUE"""),565240.0)</f>
        <v>565240</v>
      </c>
      <c r="I737" s="186" t="str">
        <f>IFERROR(__xludf.DUMMYFUNCTION("""COMPUTED_VALUE"""),"HF RW Kool in kaassaus")</f>
        <v>HF RW Kool in kaassaus</v>
      </c>
      <c r="J737" s="189">
        <f>IFERROR(__xludf.DUMMYFUNCTION("""COMPUTED_VALUE"""),1158.0)</f>
        <v>1158</v>
      </c>
      <c r="K737" s="189">
        <f>IFERROR(__xludf.DUMMYFUNCTION("""COMPUTED_VALUE"""),923.0)</f>
        <v>923</v>
      </c>
      <c r="L737" s="189">
        <f>IFERROR(__xludf.DUMMYFUNCTION("""COMPUTED_VALUE"""),713.0)</f>
        <v>713</v>
      </c>
      <c r="M737" s="189">
        <f>IFERROR(__xludf.DUMMYFUNCTION("""COMPUTED_VALUE"""),683.0)</f>
        <v>683</v>
      </c>
      <c r="N737" s="189">
        <f>IFERROR(__xludf.DUMMYFUNCTION("""COMPUTED_VALUE"""),713.0)</f>
        <v>713</v>
      </c>
      <c r="O737" s="189">
        <f>IFERROR(__xludf.DUMMYFUNCTION("""COMPUTED_VALUE"""),725.0)</f>
        <v>725</v>
      </c>
      <c r="P737" s="189">
        <f>IFERROR(__xludf.DUMMYFUNCTION("""COMPUTED_VALUE"""),727.0)</f>
        <v>727</v>
      </c>
      <c r="Q737" s="189">
        <f>IFERROR(__xludf.DUMMYFUNCTION("""COMPUTED_VALUE"""),724.0)</f>
        <v>724</v>
      </c>
      <c r="R737" s="186"/>
      <c r="S737" s="189">
        <f>IFERROR(__xludf.DUMMYFUNCTION("""COMPUTED_VALUE"""),677.0)</f>
        <v>677</v>
      </c>
    </row>
    <row r="738">
      <c r="A738" s="186" t="str">
        <f>IFERROR(__xludf.DUMMYFUNCTION("""COMPUTED_VALUE"""),"NORDICS")</f>
        <v>NORDICS</v>
      </c>
      <c r="B738" s="186" t="str">
        <f>IFERROR(__xludf.DUMMYFUNCTION("""COMPUTED_VALUE"""),"W12")</f>
        <v>W12</v>
      </c>
      <c r="C738" s="186">
        <f>IFERROR(__xludf.DUMMYFUNCTION("""COMPUTED_VALUE"""),616.0)</f>
        <v>616</v>
      </c>
      <c r="D738" s="186" t="str">
        <f>IFERROR(__xludf.DUMMYFUNCTION("""COMPUTED_VALUE"""),"CON-00-156138-2")</f>
        <v>CON-00-156138-2</v>
      </c>
      <c r="E738" s="186" t="str">
        <f>IFERROR(__xludf.DUMMYFUNCTION("""COMPUTED_VALUE"""),"Pulled Beef &amp; Mushroom Cream Pasta")</f>
        <v>Pulled Beef &amp; Mushroom Cream Pasta</v>
      </c>
      <c r="F738" s="186" t="str">
        <f>IFERROR(__xludf.DUMMYFUNCTION("""COMPUTED_VALUE"""),"Pulled beef med cremet svampepasta")</f>
        <v>Pulled beef med cremet svampepasta</v>
      </c>
      <c r="G738" s="186" t="str">
        <f>IFERROR(__xludf.DUMMYFUNCTION("""COMPUTED_VALUE"""),"FE4079A")</f>
        <v>FE4079A</v>
      </c>
      <c r="H738" s="186">
        <f>IFERROR(__xludf.DUMMYFUNCTION("""COMPUTED_VALUE"""),565254.0)</f>
        <v>565254</v>
      </c>
      <c r="I738" s="186" t="str">
        <f>IFERROR(__xludf.DUMMYFUNCTION("""COMPUTED_VALUE"""),"HF Pulled beef mushroom pasta")</f>
        <v>HF Pulled beef mushroom pasta</v>
      </c>
      <c r="J738" s="189">
        <f>IFERROR(__xludf.DUMMYFUNCTION("""COMPUTED_VALUE"""),1136.0)</f>
        <v>1136</v>
      </c>
      <c r="K738" s="189">
        <f>IFERROR(__xludf.DUMMYFUNCTION("""COMPUTED_VALUE"""),851.0)</f>
        <v>851</v>
      </c>
      <c r="L738" s="189">
        <f>IFERROR(__xludf.DUMMYFUNCTION("""COMPUTED_VALUE"""),1192.0)</f>
        <v>1192</v>
      </c>
      <c r="M738" s="189">
        <f>IFERROR(__xludf.DUMMYFUNCTION("""COMPUTED_VALUE"""),928.0)</f>
        <v>928</v>
      </c>
      <c r="N738" s="189">
        <f>IFERROR(__xludf.DUMMYFUNCTION("""COMPUTED_VALUE"""),909.0)</f>
        <v>909</v>
      </c>
      <c r="O738" s="189">
        <f>IFERROR(__xludf.DUMMYFUNCTION("""COMPUTED_VALUE"""),875.0)</f>
        <v>875</v>
      </c>
      <c r="P738" s="189">
        <f>IFERROR(__xludf.DUMMYFUNCTION("""COMPUTED_VALUE"""),878.0)</f>
        <v>878</v>
      </c>
      <c r="Q738" s="189">
        <f>IFERROR(__xludf.DUMMYFUNCTION("""COMPUTED_VALUE"""),875.0)</f>
        <v>875</v>
      </c>
      <c r="R738" s="186"/>
      <c r="S738" s="189">
        <f>IFERROR(__xludf.DUMMYFUNCTION("""COMPUTED_VALUE"""),905.0)</f>
        <v>905</v>
      </c>
    </row>
    <row r="739">
      <c r="A739" s="186" t="str">
        <f>IFERROR(__xludf.DUMMYFUNCTION("""COMPUTED_VALUE"""),"NORDICS")</f>
        <v>NORDICS</v>
      </c>
      <c r="B739" s="186" t="str">
        <f>IFERROR(__xludf.DUMMYFUNCTION("""COMPUTED_VALUE"""),"W12")</f>
        <v>W12</v>
      </c>
      <c r="C739" s="186">
        <f>IFERROR(__xludf.DUMMYFUNCTION("""COMPUTED_VALUE"""),617.0)</f>
        <v>617</v>
      </c>
      <c r="D739" s="186" t="str">
        <f>IFERROR(__xludf.DUMMYFUNCTION("""COMPUTED_VALUE"""),"CON-00-147861-2")</f>
        <v>CON-00-147861-2</v>
      </c>
      <c r="E739" s="186" t="str">
        <f>IFERROR(__xludf.DUMMYFUNCTION("""COMPUTED_VALUE"""),"Pork tenderloin with apple-mustard sauce")</f>
        <v>Pork tenderloin with apple-mustard sauce</v>
      </c>
      <c r="F739" s="186" t="str">
        <f>IFERROR(__xludf.DUMMYFUNCTION("""COMPUTED_VALUE"""),"Svinemørbrad med æble-sennepssauce ")</f>
        <v>Svinemørbrad med æble-sennepssauce </v>
      </c>
      <c r="G739" s="186" t="str">
        <f>IFERROR(__xludf.DUMMYFUNCTION("""COMPUTED_VALUE"""),"FE0890B")</f>
        <v>FE0890B</v>
      </c>
      <c r="H739" s="186">
        <f>IFERROR(__xludf.DUMMYFUNCTION("""COMPUTED_VALUE"""),565117.0)</f>
        <v>565117</v>
      </c>
      <c r="I739" s="186"/>
      <c r="J739" s="189">
        <f>IFERROR(__xludf.DUMMYFUNCTION("""COMPUTED_VALUE"""),1622.0)</f>
        <v>1622</v>
      </c>
      <c r="K739" s="189">
        <f>IFERROR(__xludf.DUMMYFUNCTION("""COMPUTED_VALUE"""),1297.0)</f>
        <v>1297</v>
      </c>
      <c r="L739" s="189">
        <f>IFERROR(__xludf.DUMMYFUNCTION("""COMPUTED_VALUE"""),1098.0)</f>
        <v>1098</v>
      </c>
      <c r="M739" s="189">
        <f>IFERROR(__xludf.DUMMYFUNCTION("""COMPUTED_VALUE"""),1068.0)</f>
        <v>1068</v>
      </c>
      <c r="N739" s="189">
        <f>IFERROR(__xludf.DUMMYFUNCTION("""COMPUTED_VALUE"""),1106.0)</f>
        <v>1106</v>
      </c>
      <c r="O739" s="189">
        <f>IFERROR(__xludf.DUMMYFUNCTION("""COMPUTED_VALUE"""),1127.0)</f>
        <v>1127</v>
      </c>
      <c r="P739" s="189">
        <f>IFERROR(__xludf.DUMMYFUNCTION("""COMPUTED_VALUE"""),1130.0)</f>
        <v>1130</v>
      </c>
      <c r="Q739" s="189">
        <f>IFERROR(__xludf.DUMMYFUNCTION("""COMPUTED_VALUE"""),1126.0)</f>
        <v>1126</v>
      </c>
      <c r="R739" s="186"/>
      <c r="S739" s="189">
        <f>IFERROR(__xludf.DUMMYFUNCTION("""COMPUTED_VALUE"""),1054.0)</f>
        <v>1054</v>
      </c>
    </row>
    <row r="740">
      <c r="A740" s="186" t="str">
        <f>IFERROR(__xludf.DUMMYFUNCTION("""COMPUTED_VALUE"""),"NORDICS")</f>
        <v>NORDICS</v>
      </c>
      <c r="B740" s="186" t="str">
        <f>IFERROR(__xludf.DUMMYFUNCTION("""COMPUTED_VALUE"""),"W12")</f>
        <v>W12</v>
      </c>
      <c r="C740" s="186">
        <f>IFERROR(__xludf.DUMMYFUNCTION("""COMPUTED_VALUE"""),618.0)</f>
        <v>618</v>
      </c>
      <c r="D740" s="186" t="str">
        <f>IFERROR(__xludf.DUMMYFUNCTION("""COMPUTED_VALUE"""),"CON-00-147895-2")</f>
        <v>CON-00-147895-2</v>
      </c>
      <c r="E740" s="186" t="str">
        <f>IFERROR(__xludf.DUMMYFUNCTION("""COMPUTED_VALUE"""),"Pork tenderloin and Mediterranean mash")</f>
        <v>Pork tenderloin and Mediterranean mash</v>
      </c>
      <c r="F740" s="186" t="str">
        <f>IFERROR(__xludf.DUMMYFUNCTION("""COMPUTED_VALUE"""),"Svinemørbrad og middelhavsinspireret kartoffelmos ")</f>
        <v>Svinemørbrad og middelhavsinspireret kartoffelmos </v>
      </c>
      <c r="G740" s="186" t="str">
        <f>IFERROR(__xludf.DUMMYFUNCTION("""COMPUTED_VALUE"""),"FE4042A")</f>
        <v>FE4042A</v>
      </c>
      <c r="H740" s="186">
        <f>IFERROR(__xludf.DUMMYFUNCTION("""COMPUTED_VALUE"""),565109.0)</f>
        <v>565109</v>
      </c>
      <c r="I740" s="186"/>
      <c r="J740" s="189">
        <f>IFERROR(__xludf.DUMMYFUNCTION("""COMPUTED_VALUE"""),1098.0)</f>
        <v>1098</v>
      </c>
      <c r="K740" s="189">
        <f>IFERROR(__xludf.DUMMYFUNCTION("""COMPUTED_VALUE"""),895.0)</f>
        <v>895</v>
      </c>
      <c r="L740" s="189">
        <f>IFERROR(__xludf.DUMMYFUNCTION("""COMPUTED_VALUE"""),842.0)</f>
        <v>842</v>
      </c>
      <c r="M740" s="189">
        <f>IFERROR(__xludf.DUMMYFUNCTION("""COMPUTED_VALUE"""),879.0)</f>
        <v>879</v>
      </c>
      <c r="N740" s="189">
        <f>IFERROR(__xludf.DUMMYFUNCTION("""COMPUTED_VALUE"""),865.0)</f>
        <v>865</v>
      </c>
      <c r="O740" s="189">
        <f>IFERROR(__xludf.DUMMYFUNCTION("""COMPUTED_VALUE"""),899.0)</f>
        <v>899</v>
      </c>
      <c r="P740" s="189">
        <f>IFERROR(__xludf.DUMMYFUNCTION("""COMPUTED_VALUE"""),902.0)</f>
        <v>902</v>
      </c>
      <c r="Q740" s="189">
        <f>IFERROR(__xludf.DUMMYFUNCTION("""COMPUTED_VALUE"""),899.0)</f>
        <v>899</v>
      </c>
      <c r="R740" s="186"/>
      <c r="S740" s="189">
        <f>IFERROR(__xludf.DUMMYFUNCTION("""COMPUTED_VALUE"""),873.0)</f>
        <v>873</v>
      </c>
    </row>
    <row r="741">
      <c r="A741" s="186" t="str">
        <f>IFERROR(__xludf.DUMMYFUNCTION("""COMPUTED_VALUE"""),"NORDICS")</f>
        <v>NORDICS</v>
      </c>
      <c r="B741" s="186" t="str">
        <f>IFERROR(__xludf.DUMMYFUNCTION("""COMPUTED_VALUE"""),"W12")</f>
        <v>W12</v>
      </c>
      <c r="C741" s="186">
        <f>IFERROR(__xludf.DUMMYFUNCTION("""COMPUTED_VALUE"""),706.0)</f>
        <v>706</v>
      </c>
      <c r="D741" s="186" t="str">
        <f>IFERROR(__xludf.DUMMYFUNCTION("""COMPUTED_VALUE"""),"PTN-00-148223-2")</f>
        <v>PTN-00-148223-2</v>
      </c>
      <c r="E741" s="186" t="str">
        <f>IFERROR(__xludf.DUMMYFUNCTION("""COMPUTED_VALUE"""),"Garlic Herb Grilled Chicken")</f>
        <v>Garlic Herb Grilled Chicken</v>
      </c>
      <c r="F741" s="186" t="str">
        <f>IFERROR(__xludf.DUMMYFUNCTION("""COMPUTED_VALUE"""),"Grillet kylling med hvidlød og urter")</f>
        <v>Grillet kylling med hvidlød og urter</v>
      </c>
      <c r="G741" s="186" t="str">
        <f>IFERROR(__xludf.DUMMYFUNCTION("""COMPUTED_VALUE"""),"FEA006A")</f>
        <v>FEA006A</v>
      </c>
      <c r="H741" s="186">
        <f>IFERROR(__xludf.DUMMYFUNCTION("""COMPUTED_VALUE"""),565119.0)</f>
        <v>565119</v>
      </c>
      <c r="I741" s="186"/>
      <c r="J741" s="189">
        <f>IFERROR(__xludf.DUMMYFUNCTION("""COMPUTED_VALUE"""),56.0)</f>
        <v>56</v>
      </c>
      <c r="K741" s="189">
        <f>IFERROR(__xludf.DUMMYFUNCTION("""COMPUTED_VALUE"""),56.0)</f>
        <v>56</v>
      </c>
      <c r="L741" s="189">
        <f>IFERROR(__xludf.DUMMYFUNCTION("""COMPUTED_VALUE"""),56.0)</f>
        <v>56</v>
      </c>
      <c r="M741" s="189">
        <f>IFERROR(__xludf.DUMMYFUNCTION("""COMPUTED_VALUE"""),48.0)</f>
        <v>48</v>
      </c>
      <c r="N741" s="189">
        <f>IFERROR(__xludf.DUMMYFUNCTION("""COMPUTED_VALUE"""),48.0)</f>
        <v>48</v>
      </c>
      <c r="O741" s="189">
        <f>IFERROR(__xludf.DUMMYFUNCTION("""COMPUTED_VALUE"""),48.0)</f>
        <v>48</v>
      </c>
      <c r="P741" s="189">
        <f>IFERROR(__xludf.DUMMYFUNCTION("""COMPUTED_VALUE"""),48.0)</f>
        <v>48</v>
      </c>
      <c r="Q741" s="189">
        <f>IFERROR(__xludf.DUMMYFUNCTION("""COMPUTED_VALUE"""),48.0)</f>
        <v>48</v>
      </c>
      <c r="R741" s="186"/>
      <c r="S741" s="189">
        <f>IFERROR(__xludf.DUMMYFUNCTION("""COMPUTED_VALUE"""),43.0)</f>
        <v>43</v>
      </c>
    </row>
    <row r="742">
      <c r="A742" s="186" t="str">
        <f>IFERROR(__xludf.DUMMYFUNCTION("""COMPUTED_VALUE"""),"NORDICS")</f>
        <v>NORDICS</v>
      </c>
      <c r="B742" s="186" t="str">
        <f>IFERROR(__xludf.DUMMYFUNCTION("""COMPUTED_VALUE"""),"W12")</f>
        <v>W12</v>
      </c>
      <c r="C742" s="186"/>
      <c r="D742" s="186"/>
      <c r="E742" s="186"/>
      <c r="F742" s="186"/>
      <c r="G742" s="186"/>
      <c r="H742" s="186"/>
      <c r="I742" s="186"/>
      <c r="J742" s="189">
        <f>IFERROR(__xludf.DUMMYFUNCTION("""COMPUTED_VALUE"""),37831.0)</f>
        <v>37831</v>
      </c>
      <c r="K742" s="189">
        <f>IFERROR(__xludf.DUMMYFUNCTION("""COMPUTED_VALUE"""),31833.0)</f>
        <v>31833</v>
      </c>
      <c r="L742" s="189">
        <f>IFERROR(__xludf.DUMMYFUNCTION("""COMPUTED_VALUE"""),30515.0)</f>
        <v>30515</v>
      </c>
      <c r="M742" s="189">
        <f>IFERROR(__xludf.DUMMYFUNCTION("""COMPUTED_VALUE"""),29792.0)</f>
        <v>29792</v>
      </c>
      <c r="N742" s="189">
        <f>IFERROR(__xludf.DUMMYFUNCTION("""COMPUTED_VALUE"""),29946.0)</f>
        <v>29946</v>
      </c>
      <c r="O742" s="189">
        <f>IFERROR(__xludf.DUMMYFUNCTION("""COMPUTED_VALUE"""),30297.0)</f>
        <v>30297</v>
      </c>
      <c r="P742" s="189">
        <f>IFERROR(__xludf.DUMMYFUNCTION("""COMPUTED_VALUE"""),30391.0)</f>
        <v>30391</v>
      </c>
      <c r="Q742" s="189">
        <f>IFERROR(__xludf.DUMMYFUNCTION("""COMPUTED_VALUE"""),30284.0)</f>
        <v>30284</v>
      </c>
      <c r="R742" s="189">
        <f>IFERROR(__xludf.DUMMYFUNCTION("""COMPUTED_VALUE"""),0.0)</f>
        <v>0</v>
      </c>
      <c r="S742" s="189">
        <f>IFERROR(__xludf.DUMMYFUNCTION("""COMPUTED_VALUE"""),29469.0)</f>
        <v>29469</v>
      </c>
    </row>
    <row r="743">
      <c r="A743" s="186" t="str">
        <f>IFERROR(__xludf.DUMMYFUNCTION("""COMPUTED_VALUE"""),"DE")</f>
        <v>DE</v>
      </c>
      <c r="B743" s="186" t="str">
        <f>IFERROR(__xludf.DUMMYFUNCTION("""COMPUTED_VALUE"""),"W12")</f>
        <v>W12</v>
      </c>
      <c r="C743" s="186">
        <f>IFERROR(__xludf.DUMMYFUNCTION("""COMPUTED_VALUE"""),301.0)</f>
        <v>301</v>
      </c>
      <c r="D743" s="186" t="str">
        <f>IFERROR(__xludf.DUMMYFUNCTION("""COMPUTED_VALUE"""),"CON-00-136674-3")</f>
        <v>CON-00-136674-3</v>
      </c>
      <c r="E743" s="186" t="str">
        <f>IFERROR(__xludf.DUMMYFUNCTION("""COMPUTED_VALUE"""),"Grilled chicken and ratatouille")</f>
        <v>Grilled chicken and ratatouille</v>
      </c>
      <c r="F743" s="186" t="str">
        <f>IFERROR(__xludf.DUMMYFUNCTION("""COMPUTED_VALUE"""),"Gegrilltes Hähnchen mit Ratatouille")</f>
        <v>Gegrilltes Hähnchen mit Ratatouille</v>
      </c>
      <c r="G743" s="186" t="str">
        <f>IFERROR(__xludf.DUMMYFUNCTION("""COMPUTED_VALUE"""),"FE4015B")</f>
        <v>FE4015B</v>
      </c>
      <c r="H743" s="186">
        <f>IFERROR(__xludf.DUMMYFUNCTION("""COMPUTED_VALUE"""),565072.0)</f>
        <v>565072</v>
      </c>
      <c r="I743" s="186" t="str">
        <f>IFERROR(__xludf.DUMMYFUNCTION("""COMPUTED_VALUE"""),"HF Kipfilet met Ratatouille")</f>
        <v>HF Kipfilet met Ratatouille</v>
      </c>
      <c r="J743" s="189">
        <f>IFERROR(__xludf.DUMMYFUNCTION("""COMPUTED_VALUE"""),3462.0)</f>
        <v>3462</v>
      </c>
      <c r="K743" s="189">
        <f>IFERROR(__xludf.DUMMYFUNCTION("""COMPUTED_VALUE"""),3466.0)</f>
        <v>3466</v>
      </c>
      <c r="L743" s="189">
        <f>IFERROR(__xludf.DUMMYFUNCTION("""COMPUTED_VALUE"""),3505.0)</f>
        <v>3505</v>
      </c>
      <c r="M743" s="189">
        <f>IFERROR(__xludf.DUMMYFUNCTION("""COMPUTED_VALUE"""),3221.0)</f>
        <v>3221</v>
      </c>
      <c r="N743" s="189">
        <f>IFERROR(__xludf.DUMMYFUNCTION("""COMPUTED_VALUE"""),3137.0)</f>
        <v>3137</v>
      </c>
      <c r="O743" s="189">
        <f>IFERROR(__xludf.DUMMYFUNCTION("""COMPUTED_VALUE"""),3169.0)</f>
        <v>3169</v>
      </c>
      <c r="P743" s="189">
        <f>IFERROR(__xludf.DUMMYFUNCTION("""COMPUTED_VALUE"""),3225.0)</f>
        <v>3225</v>
      </c>
      <c r="Q743" s="189">
        <f>IFERROR(__xludf.DUMMYFUNCTION("""COMPUTED_VALUE"""),3210.0)</f>
        <v>3210</v>
      </c>
      <c r="R743" s="186"/>
      <c r="S743" s="189">
        <f>IFERROR(__xludf.DUMMYFUNCTION("""COMPUTED_VALUE"""),3245.0)</f>
        <v>3245</v>
      </c>
    </row>
    <row r="744">
      <c r="A744" s="186" t="str">
        <f>IFERROR(__xludf.DUMMYFUNCTION("""COMPUTED_VALUE"""),"DE")</f>
        <v>DE</v>
      </c>
      <c r="B744" s="186" t="str">
        <f>IFERROR(__xludf.DUMMYFUNCTION("""COMPUTED_VALUE"""),"W12")</f>
        <v>W12</v>
      </c>
      <c r="C744" s="186">
        <f>IFERROR(__xludf.DUMMYFUNCTION("""COMPUTED_VALUE"""),302.0)</f>
        <v>302</v>
      </c>
      <c r="D744" s="186" t="str">
        <f>IFERROR(__xludf.DUMMYFUNCTION("""COMPUTED_VALUE"""),"CON-00-136675-3")</f>
        <v>CON-00-136675-3</v>
      </c>
      <c r="E744" s="186" t="str">
        <f>IFERROR(__xludf.DUMMYFUNCTION("""COMPUTED_VALUE"""),"Creamy basil risotto with chicken")</f>
        <v>Creamy basil risotto with chicken</v>
      </c>
      <c r="F744" s="186" t="str">
        <f>IFERROR(__xludf.DUMMYFUNCTION("""COMPUTED_VALUE"""),"Cremiges Basilikum-Risotto")</f>
        <v>Cremiges Basilikum-Risotto</v>
      </c>
      <c r="G744" s="186" t="str">
        <f>IFERROR(__xludf.DUMMYFUNCTION("""COMPUTED_VALUE"""),"FE4014B")</f>
        <v>FE4014B</v>
      </c>
      <c r="H744" s="186">
        <f>IFERROR(__xludf.DUMMYFUNCTION("""COMPUTED_VALUE"""),565122.0)</f>
        <v>565122</v>
      </c>
      <c r="I744" s="186"/>
      <c r="J744" s="189">
        <f>IFERROR(__xludf.DUMMYFUNCTION("""COMPUTED_VALUE"""),2149.0)</f>
        <v>2149</v>
      </c>
      <c r="K744" s="189">
        <f>IFERROR(__xludf.DUMMYFUNCTION("""COMPUTED_VALUE"""),2042.0)</f>
        <v>2042</v>
      </c>
      <c r="L744" s="189">
        <f>IFERROR(__xludf.DUMMYFUNCTION("""COMPUTED_VALUE"""),1840.0)</f>
        <v>1840</v>
      </c>
      <c r="M744" s="189">
        <f>IFERROR(__xludf.DUMMYFUNCTION("""COMPUTED_VALUE"""),1845.0)</f>
        <v>1845</v>
      </c>
      <c r="N744" s="189">
        <f>IFERROR(__xludf.DUMMYFUNCTION("""COMPUTED_VALUE"""),1852.0)</f>
        <v>1852</v>
      </c>
      <c r="O744" s="189">
        <f>IFERROR(__xludf.DUMMYFUNCTION("""COMPUTED_VALUE"""),1944.0)</f>
        <v>1944</v>
      </c>
      <c r="P744" s="189">
        <f>IFERROR(__xludf.DUMMYFUNCTION("""COMPUTED_VALUE"""),1978.0)</f>
        <v>1978</v>
      </c>
      <c r="Q744" s="189">
        <f>IFERROR(__xludf.DUMMYFUNCTION("""COMPUTED_VALUE"""),1969.0)</f>
        <v>1969</v>
      </c>
      <c r="R744" s="186"/>
      <c r="S744" s="189">
        <f>IFERROR(__xludf.DUMMYFUNCTION("""COMPUTED_VALUE"""),1904.0)</f>
        <v>1904</v>
      </c>
    </row>
    <row r="745">
      <c r="A745" s="186" t="str">
        <f>IFERROR(__xludf.DUMMYFUNCTION("""COMPUTED_VALUE"""),"DE")</f>
        <v>DE</v>
      </c>
      <c r="B745" s="186" t="str">
        <f>IFERROR(__xludf.DUMMYFUNCTION("""COMPUTED_VALUE"""),"W12")</f>
        <v>W12</v>
      </c>
      <c r="C745" s="186">
        <f>IFERROR(__xludf.DUMMYFUNCTION("""COMPUTED_VALUE"""),303.0)</f>
        <v>303</v>
      </c>
      <c r="D745" s="186" t="str">
        <f>IFERROR(__xludf.DUMMYFUNCTION("""COMPUTED_VALUE"""),"CON-00-136694-3")</f>
        <v>CON-00-136694-3</v>
      </c>
      <c r="E745" s="186" t="str">
        <f>IFERROR(__xludf.DUMMYFUNCTION("""COMPUTED_VALUE"""),"Spicy ground beef with jalapenos")</f>
        <v>Spicy ground beef with jalapenos</v>
      </c>
      <c r="F745" s="186" t="str">
        <f>IFERROR(__xludf.DUMMYFUNCTION("""COMPUTED_VALUE"""),"Scharfes Rinderhack mit Jalapeños")</f>
        <v>Scharfes Rinderhack mit Jalapeños</v>
      </c>
      <c r="G745" s="186" t="str">
        <f>IFERROR(__xludf.DUMMYFUNCTION("""COMPUTED_VALUE"""),"FE0746A")</f>
        <v>FE0746A</v>
      </c>
      <c r="H745" s="186">
        <f>IFERROR(__xludf.DUMMYFUNCTION("""COMPUTED_VALUE"""),565091.0)</f>
        <v>565091</v>
      </c>
      <c r="I745" s="186" t="str">
        <f>IFERROR(__xludf.DUMMYFUNCTION("""COMPUTED_VALUE"""),"HF Beef burrito bowl")</f>
        <v>HF Beef burrito bowl</v>
      </c>
      <c r="J745" s="189">
        <f>IFERROR(__xludf.DUMMYFUNCTION("""COMPUTED_VALUE"""),2236.0)</f>
        <v>2236</v>
      </c>
      <c r="K745" s="189">
        <f>IFERROR(__xludf.DUMMYFUNCTION("""COMPUTED_VALUE"""),2191.0)</f>
        <v>2191</v>
      </c>
      <c r="L745" s="189">
        <f>IFERROR(__xludf.DUMMYFUNCTION("""COMPUTED_VALUE"""),1726.0)</f>
        <v>1726</v>
      </c>
      <c r="M745" s="189">
        <f>IFERROR(__xludf.DUMMYFUNCTION("""COMPUTED_VALUE"""),1653.0)</f>
        <v>1653</v>
      </c>
      <c r="N745" s="189">
        <f>IFERROR(__xludf.DUMMYFUNCTION("""COMPUTED_VALUE"""),1650.0)</f>
        <v>1650</v>
      </c>
      <c r="O745" s="189">
        <f>IFERROR(__xludf.DUMMYFUNCTION("""COMPUTED_VALUE"""),1681.0)</f>
        <v>1681</v>
      </c>
      <c r="P745" s="189">
        <f>IFERROR(__xludf.DUMMYFUNCTION("""COMPUTED_VALUE"""),1711.0)</f>
        <v>1711</v>
      </c>
      <c r="Q745" s="189">
        <f>IFERROR(__xludf.DUMMYFUNCTION("""COMPUTED_VALUE"""),1703.0)</f>
        <v>1703</v>
      </c>
      <c r="R745" s="186"/>
      <c r="S745" s="189">
        <f>IFERROR(__xludf.DUMMYFUNCTION("""COMPUTED_VALUE"""),1584.0)</f>
        <v>1584</v>
      </c>
    </row>
    <row r="746">
      <c r="A746" s="186" t="str">
        <f>IFERROR(__xludf.DUMMYFUNCTION("""COMPUTED_VALUE"""),"DE")</f>
        <v>DE</v>
      </c>
      <c r="B746" s="186" t="str">
        <f>IFERROR(__xludf.DUMMYFUNCTION("""COMPUTED_VALUE"""),"W12")</f>
        <v>W12</v>
      </c>
      <c r="C746" s="186">
        <f>IFERROR(__xludf.DUMMYFUNCTION("""COMPUTED_VALUE"""),304.0)</f>
        <v>304</v>
      </c>
      <c r="D746" s="186" t="str">
        <f>IFERROR(__xludf.DUMMYFUNCTION("""COMPUTED_VALUE"""),"CON-00-136693-3")</f>
        <v>CON-00-136693-3</v>
      </c>
      <c r="E746" s="186" t="str">
        <f>IFERROR(__xludf.DUMMYFUNCTION("""COMPUTED_VALUE"""),"Beef &amp; BBQ sauce")</f>
        <v>Beef &amp; BBQ sauce</v>
      </c>
      <c r="F746" s="186" t="str">
        <f>IFERROR(__xludf.DUMMYFUNCTION("""COMPUTED_VALUE"""),"Rindfleisch mit BBQ-Sauce")</f>
        <v>Rindfleisch mit BBQ-Sauce</v>
      </c>
      <c r="G746" s="186" t="str">
        <f>IFERROR(__xludf.DUMMYFUNCTION("""COMPUTED_VALUE"""),"FE4027B")</f>
        <v>FE4027B</v>
      </c>
      <c r="H746" s="186">
        <f>IFERROR(__xludf.DUMMYFUNCTION("""COMPUTED_VALUE"""),565142.0)</f>
        <v>565142</v>
      </c>
      <c r="I746" s="186" t="str">
        <f>IFERROR(__xludf.DUMMYFUNCTION("""COMPUTED_VALUE"""),"HF RW Rundvlees &amp; BBQ saus RW565085 / FE4027A / CS P+")</f>
        <v>HF RW Rundvlees &amp; BBQ saus RW565085 / FE4027A / CS P+</v>
      </c>
      <c r="J746" s="189">
        <f>IFERROR(__xludf.DUMMYFUNCTION("""COMPUTED_VALUE"""),2591.0)</f>
        <v>2591</v>
      </c>
      <c r="K746" s="189">
        <f>IFERROR(__xludf.DUMMYFUNCTION("""COMPUTED_VALUE"""),2801.0)</f>
        <v>2801</v>
      </c>
      <c r="L746" s="189">
        <f>IFERROR(__xludf.DUMMYFUNCTION("""COMPUTED_VALUE"""),2518.0)</f>
        <v>2518</v>
      </c>
      <c r="M746" s="189">
        <f>IFERROR(__xludf.DUMMYFUNCTION("""COMPUTED_VALUE"""),2550.0)</f>
        <v>2550</v>
      </c>
      <c r="N746" s="189">
        <f>IFERROR(__xludf.DUMMYFUNCTION("""COMPUTED_VALUE"""),2552.0)</f>
        <v>2552</v>
      </c>
      <c r="O746" s="189">
        <f>IFERROR(__xludf.DUMMYFUNCTION("""COMPUTED_VALUE"""),2522.0)</f>
        <v>2522</v>
      </c>
      <c r="P746" s="189">
        <f>IFERROR(__xludf.DUMMYFUNCTION("""COMPUTED_VALUE"""),2567.0)</f>
        <v>2567</v>
      </c>
      <c r="Q746" s="189">
        <f>IFERROR(__xludf.DUMMYFUNCTION("""COMPUTED_VALUE"""),2555.0)</f>
        <v>2555</v>
      </c>
      <c r="R746" s="186"/>
      <c r="S746" s="189">
        <f>IFERROR(__xludf.DUMMYFUNCTION("""COMPUTED_VALUE"""),2509.0)</f>
        <v>2509</v>
      </c>
    </row>
    <row r="747">
      <c r="A747" s="186" t="str">
        <f>IFERROR(__xludf.DUMMYFUNCTION("""COMPUTED_VALUE"""),"DE")</f>
        <v>DE</v>
      </c>
      <c r="B747" s="186" t="str">
        <f>IFERROR(__xludf.DUMMYFUNCTION("""COMPUTED_VALUE"""),"W12")</f>
        <v>W12</v>
      </c>
      <c r="C747" s="186">
        <f>IFERROR(__xludf.DUMMYFUNCTION("""COMPUTED_VALUE"""),305.0)</f>
        <v>305</v>
      </c>
      <c r="D747" s="186"/>
      <c r="E747" s="186"/>
      <c r="F747" s="186"/>
      <c r="G747" s="186" t="str">
        <f>IFERROR(__xludf.DUMMYFUNCTION("""COMPUTED_VALUE"""),"FE4001D")</f>
        <v>FE4001D</v>
      </c>
      <c r="H747" s="186"/>
      <c r="I747" s="186"/>
      <c r="J747" s="189">
        <f>IFERROR(__xludf.DUMMYFUNCTION("""COMPUTED_VALUE"""),2033.0)</f>
        <v>2033</v>
      </c>
      <c r="K747" s="189">
        <f>IFERROR(__xludf.DUMMYFUNCTION("""COMPUTED_VALUE"""),2010.0)</f>
        <v>2010</v>
      </c>
      <c r="L747" s="189">
        <f>IFERROR(__xludf.DUMMYFUNCTION("""COMPUTED_VALUE"""),2004.0)</f>
        <v>2004</v>
      </c>
      <c r="M747" s="189">
        <f>IFERROR(__xludf.DUMMYFUNCTION("""COMPUTED_VALUE"""),1834.0)</f>
        <v>1834</v>
      </c>
      <c r="N747" s="189">
        <f>IFERROR(__xludf.DUMMYFUNCTION("""COMPUTED_VALUE"""),1784.0)</f>
        <v>1784</v>
      </c>
      <c r="O747" s="189">
        <f>IFERROR(__xludf.DUMMYFUNCTION("""COMPUTED_VALUE"""),1834.0)</f>
        <v>1834</v>
      </c>
      <c r="P747" s="189">
        <f>IFERROR(__xludf.DUMMYFUNCTION("""COMPUTED_VALUE"""),1866.0)</f>
        <v>1866</v>
      </c>
      <c r="Q747" s="189">
        <f>IFERROR(__xludf.DUMMYFUNCTION("""COMPUTED_VALUE"""),1857.0)</f>
        <v>1857</v>
      </c>
      <c r="R747" s="186"/>
      <c r="S747" s="189">
        <f>IFERROR(__xludf.DUMMYFUNCTION("""COMPUTED_VALUE"""),1729.0)</f>
        <v>1729</v>
      </c>
    </row>
    <row r="748">
      <c r="A748" s="186" t="str">
        <f>IFERROR(__xludf.DUMMYFUNCTION("""COMPUTED_VALUE"""),"DE")</f>
        <v>DE</v>
      </c>
      <c r="B748" s="186" t="str">
        <f>IFERROR(__xludf.DUMMYFUNCTION("""COMPUTED_VALUE"""),"W12")</f>
        <v>W12</v>
      </c>
      <c r="C748" s="186">
        <f>IFERROR(__xludf.DUMMYFUNCTION("""COMPUTED_VALUE"""),306.0)</f>
        <v>306</v>
      </c>
      <c r="D748" s="186" t="str">
        <f>IFERROR(__xludf.DUMMYFUNCTION("""COMPUTED_VALUE"""),"CON-00-152029-2")</f>
        <v>CON-00-152029-2</v>
      </c>
      <c r="E748" s="186" t="str">
        <f>IFERROR(__xludf.DUMMYFUNCTION("""COMPUTED_VALUE"""),"Salmon Dijonnaise")</f>
        <v>Salmon Dijonnaise</v>
      </c>
      <c r="F748" s="186" t="str">
        <f>IFERROR(__xludf.DUMMYFUNCTION("""COMPUTED_VALUE"""),"Lachs Dijonnaise")</f>
        <v>Lachs Dijonnaise</v>
      </c>
      <c r="G748" s="186" t="str">
        <f>IFERROR(__xludf.DUMMYFUNCTION("""COMPUTED_VALUE"""),"FE1031A")</f>
        <v>FE1031A</v>
      </c>
      <c r="H748" s="186">
        <f>IFERROR(__xludf.DUMMYFUNCTION("""COMPUTED_VALUE"""),565207.0)</f>
        <v>565207</v>
      </c>
      <c r="I748" s="186" t="str">
        <f>IFERROR(__xludf.DUMMYFUNCTION("""COMPUTED_VALUE"""),"HF Zalm dijonnaise")</f>
        <v>HF Zalm dijonnaise</v>
      </c>
      <c r="J748" s="189">
        <f>IFERROR(__xludf.DUMMYFUNCTION("""COMPUTED_VALUE"""),2233.0)</f>
        <v>2233</v>
      </c>
      <c r="K748" s="189">
        <f>IFERROR(__xludf.DUMMYFUNCTION("""COMPUTED_VALUE"""),2197.0)</f>
        <v>2197</v>
      </c>
      <c r="L748" s="189">
        <f>IFERROR(__xludf.DUMMYFUNCTION("""COMPUTED_VALUE"""),2193.0)</f>
        <v>2193</v>
      </c>
      <c r="M748" s="189">
        <f>IFERROR(__xludf.DUMMYFUNCTION("""COMPUTED_VALUE"""),2124.0)</f>
        <v>2124</v>
      </c>
      <c r="N748" s="189">
        <f>IFERROR(__xludf.DUMMYFUNCTION("""COMPUTED_VALUE"""),2136.0)</f>
        <v>2136</v>
      </c>
      <c r="O748" s="189">
        <f>IFERROR(__xludf.DUMMYFUNCTION("""COMPUTED_VALUE"""),2124.0)</f>
        <v>2124</v>
      </c>
      <c r="P748" s="189">
        <f>IFERROR(__xludf.DUMMYFUNCTION("""COMPUTED_VALUE"""),2162.0)</f>
        <v>2162</v>
      </c>
      <c r="Q748" s="189">
        <f>IFERROR(__xludf.DUMMYFUNCTION("""COMPUTED_VALUE"""),2152.0)</f>
        <v>2152</v>
      </c>
      <c r="R748" s="186"/>
      <c r="S748" s="189">
        <f>IFERROR(__xludf.DUMMYFUNCTION("""COMPUTED_VALUE"""),2057.0)</f>
        <v>2057</v>
      </c>
    </row>
    <row r="749">
      <c r="A749" s="186" t="str">
        <f>IFERROR(__xludf.DUMMYFUNCTION("""COMPUTED_VALUE"""),"DE")</f>
        <v>DE</v>
      </c>
      <c r="B749" s="186" t="str">
        <f>IFERROR(__xludf.DUMMYFUNCTION("""COMPUTED_VALUE"""),"W12")</f>
        <v>W12</v>
      </c>
      <c r="C749" s="186">
        <f>IFERROR(__xludf.DUMMYFUNCTION("""COMPUTED_VALUE"""),307.0)</f>
        <v>307</v>
      </c>
      <c r="D749" s="186" t="str">
        <f>IFERROR(__xludf.DUMMYFUNCTION("""COMPUTED_VALUE"""),"CON-00-136623-3")</f>
        <v>CON-00-136623-3</v>
      </c>
      <c r="E749" s="186" t="str">
        <f>IFERROR(__xludf.DUMMYFUNCTION("""COMPUTED_VALUE"""),"Indian style butter chicken")</f>
        <v>Indian style butter chicken</v>
      </c>
      <c r="F749" s="186" t="str">
        <f>IFERROR(__xludf.DUMMYFUNCTION("""COMPUTED_VALUE"""),"Indisches Butterhuhn")</f>
        <v>Indisches Butterhuhn</v>
      </c>
      <c r="G749" s="186" t="str">
        <f>IFERROR(__xludf.DUMMYFUNCTION("""COMPUTED_VALUE"""),"FE0472B")</f>
        <v>FE0472B</v>
      </c>
      <c r="H749" s="186">
        <f>IFERROR(__xludf.DUMMYFUNCTION("""COMPUTED_VALUE"""),565145.0)</f>
        <v>565145</v>
      </c>
      <c r="I749" s="186" t="str">
        <f>IFERROR(__xludf.DUMMYFUNCTION("""COMPUTED_VALUE"""),"HF RW Butter Chicken")</f>
        <v>HF RW Butter Chicken</v>
      </c>
      <c r="J749" s="189">
        <f>IFERROR(__xludf.DUMMYFUNCTION("""COMPUTED_VALUE"""),1670.0)</f>
        <v>1670</v>
      </c>
      <c r="K749" s="189">
        <f>IFERROR(__xludf.DUMMYFUNCTION("""COMPUTED_VALUE"""),1642.0)</f>
        <v>1642</v>
      </c>
      <c r="L749" s="189">
        <f>IFERROR(__xludf.DUMMYFUNCTION("""COMPUTED_VALUE"""),1935.0)</f>
        <v>1935</v>
      </c>
      <c r="M749" s="189">
        <f>IFERROR(__xludf.DUMMYFUNCTION("""COMPUTED_VALUE"""),1875.0)</f>
        <v>1875</v>
      </c>
      <c r="N749" s="189">
        <f>IFERROR(__xludf.DUMMYFUNCTION("""COMPUTED_VALUE"""),1793.0)</f>
        <v>1793</v>
      </c>
      <c r="O749" s="189">
        <f>IFERROR(__xludf.DUMMYFUNCTION("""COMPUTED_VALUE"""),1802.0)</f>
        <v>1802</v>
      </c>
      <c r="P749" s="189">
        <f>IFERROR(__xludf.DUMMYFUNCTION("""COMPUTED_VALUE"""),1833.0)</f>
        <v>1833</v>
      </c>
      <c r="Q749" s="189">
        <f>IFERROR(__xludf.DUMMYFUNCTION("""COMPUTED_VALUE"""),1824.0)</f>
        <v>1824</v>
      </c>
      <c r="R749" s="186"/>
      <c r="S749" s="189">
        <f>IFERROR(__xludf.DUMMYFUNCTION("""COMPUTED_VALUE"""),1706.0)</f>
        <v>1706</v>
      </c>
    </row>
    <row r="750">
      <c r="A750" s="186" t="str">
        <f>IFERROR(__xludf.DUMMYFUNCTION("""COMPUTED_VALUE"""),"DE")</f>
        <v>DE</v>
      </c>
      <c r="B750" s="186" t="str">
        <f>IFERROR(__xludf.DUMMYFUNCTION("""COMPUTED_VALUE"""),"W12")</f>
        <v>W12</v>
      </c>
      <c r="C750" s="186">
        <f>IFERROR(__xludf.DUMMYFUNCTION("""COMPUTED_VALUE"""),308.0)</f>
        <v>308</v>
      </c>
      <c r="D750" s="186" t="str">
        <f>IFERROR(__xludf.DUMMYFUNCTION("""COMPUTED_VALUE"""),"CON-00-136711-3")</f>
        <v>CON-00-136711-3</v>
      </c>
      <c r="E750" s="186" t="str">
        <f>IFERROR(__xludf.DUMMYFUNCTION("""COMPUTED_VALUE"""),"Chicken in mushroom sauce")</f>
        <v>Chicken in mushroom sauce</v>
      </c>
      <c r="F750" s="186" t="str">
        <f>IFERROR(__xludf.DUMMYFUNCTION("""COMPUTED_VALUE"""),"Hähnchen in Pilzsauce")</f>
        <v>Hähnchen in Pilzsauce</v>
      </c>
      <c r="G750" s="186" t="str">
        <f>IFERROR(__xludf.DUMMYFUNCTION("""COMPUTED_VALUE"""),"FE4038B")</f>
        <v>FE4038B</v>
      </c>
      <c r="H750" s="186">
        <f>IFERROR(__xludf.DUMMYFUNCTION("""COMPUTED_VALUE"""),565160.0)</f>
        <v>565160</v>
      </c>
      <c r="I750" s="186"/>
      <c r="J750" s="189">
        <f>IFERROR(__xludf.DUMMYFUNCTION("""COMPUTED_VALUE"""),1739.0)</f>
        <v>1739</v>
      </c>
      <c r="K750" s="189">
        <f>IFERROR(__xludf.DUMMYFUNCTION("""COMPUTED_VALUE"""),1685.0)</f>
        <v>1685</v>
      </c>
      <c r="L750" s="189">
        <f>IFERROR(__xludf.DUMMYFUNCTION("""COMPUTED_VALUE"""),1398.0)</f>
        <v>1398</v>
      </c>
      <c r="M750" s="189">
        <f>IFERROR(__xludf.DUMMYFUNCTION("""COMPUTED_VALUE"""),1365.0)</f>
        <v>1365</v>
      </c>
      <c r="N750" s="189">
        <f>IFERROR(__xludf.DUMMYFUNCTION("""COMPUTED_VALUE"""),1343.0)</f>
        <v>1343</v>
      </c>
      <c r="O750" s="189">
        <f>IFERROR(__xludf.DUMMYFUNCTION("""COMPUTED_VALUE"""),1385.0)</f>
        <v>1385</v>
      </c>
      <c r="P750" s="189">
        <f>IFERROR(__xludf.DUMMYFUNCTION("""COMPUTED_VALUE"""),1409.0)</f>
        <v>1409</v>
      </c>
      <c r="Q750" s="189">
        <f>IFERROR(__xludf.DUMMYFUNCTION("""COMPUTED_VALUE"""),1402.0)</f>
        <v>1402</v>
      </c>
      <c r="R750" s="186"/>
      <c r="S750" s="189">
        <f>IFERROR(__xludf.DUMMYFUNCTION("""COMPUTED_VALUE"""),1367.0)</f>
        <v>1367</v>
      </c>
    </row>
    <row r="751">
      <c r="A751" s="186" t="str">
        <f>IFERROR(__xludf.DUMMYFUNCTION("""COMPUTED_VALUE"""),"DE")</f>
        <v>DE</v>
      </c>
      <c r="B751" s="186" t="str">
        <f>IFERROR(__xludf.DUMMYFUNCTION("""COMPUTED_VALUE"""),"W12")</f>
        <v>W12</v>
      </c>
      <c r="C751" s="186">
        <f>IFERROR(__xludf.DUMMYFUNCTION("""COMPUTED_VALUE"""),309.0)</f>
        <v>309</v>
      </c>
      <c r="D751" s="186" t="str">
        <f>IFERROR(__xludf.DUMMYFUNCTION("""COMPUTED_VALUE"""),"CON-00-136641-3")</f>
        <v>CON-00-136641-3</v>
      </c>
      <c r="E751" s="186" t="str">
        <f>IFERROR(__xludf.DUMMYFUNCTION("""COMPUTED_VALUE"""),"Mexican style corn cake")</f>
        <v>Mexican style corn cake</v>
      </c>
      <c r="F751" s="186" t="str">
        <f>IFERROR(__xludf.DUMMYFUNCTION("""COMPUTED_VALUE"""),"Mexikanischer Maiskuchen")</f>
        <v>Mexikanischer Maiskuchen</v>
      </c>
      <c r="G751" s="186" t="str">
        <f>IFERROR(__xludf.DUMMYFUNCTION("""COMPUTED_VALUE"""),"FE0121C")</f>
        <v>FE0121C</v>
      </c>
      <c r="H751" s="186">
        <f>IFERROR(__xludf.DUMMYFUNCTION("""COMPUTED_VALUE"""),565023.0)</f>
        <v>565023</v>
      </c>
      <c r="I751" s="186" t="str">
        <f>IFERROR(__xludf.DUMMYFUNCTION("""COMPUTED_VALUE"""),"HF Mex.stijl maiscake")</f>
        <v>HF Mex.stijl maiscake</v>
      </c>
      <c r="J751" s="189">
        <f>IFERROR(__xludf.DUMMYFUNCTION("""COMPUTED_VALUE"""),450.0)</f>
        <v>450</v>
      </c>
      <c r="K751" s="189">
        <f>IFERROR(__xludf.DUMMYFUNCTION("""COMPUTED_VALUE"""),438.0)</f>
        <v>438</v>
      </c>
      <c r="L751" s="189">
        <f>IFERROR(__xludf.DUMMYFUNCTION("""COMPUTED_VALUE"""),363.0)</f>
        <v>363</v>
      </c>
      <c r="M751" s="189">
        <f>IFERROR(__xludf.DUMMYFUNCTION("""COMPUTED_VALUE"""),387.0)</f>
        <v>387</v>
      </c>
      <c r="N751" s="189">
        <f>IFERROR(__xludf.DUMMYFUNCTION("""COMPUTED_VALUE"""),377.0)</f>
        <v>377</v>
      </c>
      <c r="O751" s="189">
        <f>IFERROR(__xludf.DUMMYFUNCTION("""COMPUTED_VALUE"""),369.0)</f>
        <v>369</v>
      </c>
      <c r="P751" s="189">
        <f>IFERROR(__xludf.DUMMYFUNCTION("""COMPUTED_VALUE"""),375.0)</f>
        <v>375</v>
      </c>
      <c r="Q751" s="189">
        <f>IFERROR(__xludf.DUMMYFUNCTION("""COMPUTED_VALUE"""),373.0)</f>
        <v>373</v>
      </c>
      <c r="R751" s="186"/>
      <c r="S751" s="189">
        <f>IFERROR(__xludf.DUMMYFUNCTION("""COMPUTED_VALUE"""),375.0)</f>
        <v>375</v>
      </c>
    </row>
    <row r="752">
      <c r="A752" s="186" t="str">
        <f>IFERROR(__xludf.DUMMYFUNCTION("""COMPUTED_VALUE"""),"DE")</f>
        <v>DE</v>
      </c>
      <c r="B752" s="186" t="str">
        <f>IFERROR(__xludf.DUMMYFUNCTION("""COMPUTED_VALUE"""),"W12")</f>
        <v>W12</v>
      </c>
      <c r="C752" s="186">
        <f>IFERROR(__xludf.DUMMYFUNCTION("""COMPUTED_VALUE"""),310.0)</f>
        <v>310</v>
      </c>
      <c r="D752" s="186" t="str">
        <f>IFERROR(__xludf.DUMMYFUNCTION("""COMPUTED_VALUE"""),"CON-00-136629-3")</f>
        <v>CON-00-136629-3</v>
      </c>
      <c r="E752" s="186" t="str">
        <f>IFERROR(__xludf.DUMMYFUNCTION("""COMPUTED_VALUE"""),"Creamy tomato risotto")</f>
        <v>Creamy tomato risotto</v>
      </c>
      <c r="F752" s="186" t="str">
        <f>IFERROR(__xludf.DUMMYFUNCTION("""COMPUTED_VALUE"""),"Cremiges Tomaten-Risotto")</f>
        <v>Cremiges Tomaten-Risotto</v>
      </c>
      <c r="G752" s="186" t="str">
        <f>IFERROR(__xludf.DUMMYFUNCTION("""COMPUTED_VALUE"""),"FE0031C")</f>
        <v>FE0031C</v>
      </c>
      <c r="H752" s="186">
        <f>IFERROR(__xludf.DUMMYFUNCTION("""COMPUTED_VALUE"""),565244.0)</f>
        <v>565244</v>
      </c>
      <c r="I752" s="186" t="str">
        <f>IFERROR(__xludf.DUMMYFUNCTION("""COMPUTED_VALUE"""),"IO HF Romige tomatenrisotto V2")</f>
        <v>IO HF Romige tomatenrisotto V2</v>
      </c>
      <c r="J752" s="189">
        <f>IFERROR(__xludf.DUMMYFUNCTION("""COMPUTED_VALUE"""),380.0)</f>
        <v>380</v>
      </c>
      <c r="K752" s="189">
        <f>IFERROR(__xludf.DUMMYFUNCTION("""COMPUTED_VALUE"""),400.0)</f>
        <v>400</v>
      </c>
      <c r="L752" s="189">
        <f>IFERROR(__xludf.DUMMYFUNCTION("""COMPUTED_VALUE"""),365.0)</f>
        <v>365</v>
      </c>
      <c r="M752" s="189">
        <f>IFERROR(__xludf.DUMMYFUNCTION("""COMPUTED_VALUE"""),414.0)</f>
        <v>414</v>
      </c>
      <c r="N752" s="189">
        <f>IFERROR(__xludf.DUMMYFUNCTION("""COMPUTED_VALUE"""),392.0)</f>
        <v>392</v>
      </c>
      <c r="O752" s="189">
        <f>IFERROR(__xludf.DUMMYFUNCTION("""COMPUTED_VALUE"""),362.0)</f>
        <v>362</v>
      </c>
      <c r="P752" s="189">
        <f>IFERROR(__xludf.DUMMYFUNCTION("""COMPUTED_VALUE"""),368.0)</f>
        <v>368</v>
      </c>
      <c r="Q752" s="189">
        <f>IFERROR(__xludf.DUMMYFUNCTION("""COMPUTED_VALUE"""),366.0)</f>
        <v>366</v>
      </c>
      <c r="R752" s="186"/>
      <c r="S752" s="189">
        <f>IFERROR(__xludf.DUMMYFUNCTION("""COMPUTED_VALUE"""),361.0)</f>
        <v>361</v>
      </c>
    </row>
    <row r="753">
      <c r="A753" s="186" t="str">
        <f>IFERROR(__xludf.DUMMYFUNCTION("""COMPUTED_VALUE"""),"DE")</f>
        <v>DE</v>
      </c>
      <c r="B753" s="186" t="str">
        <f>IFERROR(__xludf.DUMMYFUNCTION("""COMPUTED_VALUE"""),"W12")</f>
        <v>W12</v>
      </c>
      <c r="C753" s="186">
        <f>IFERROR(__xludf.DUMMYFUNCTION("""COMPUTED_VALUE"""),311.0)</f>
        <v>311</v>
      </c>
      <c r="D753" s="186" t="str">
        <f>IFERROR(__xludf.DUMMYFUNCTION("""COMPUTED_VALUE"""),"CON-00-136664-3")</f>
        <v>CON-00-136664-3</v>
      </c>
      <c r="E753" s="186" t="str">
        <f>IFERROR(__xludf.DUMMYFUNCTION("""COMPUTED_VALUE"""),"Pork tenderloin in sundried tomato sauce")</f>
        <v>Pork tenderloin in sundried tomato sauce</v>
      </c>
      <c r="F753" s="186" t="str">
        <f>IFERROR(__xludf.DUMMYFUNCTION("""COMPUTED_VALUE"""),"Schweinefilet in Sonnentomaten-Sauce")</f>
        <v>Schweinefilet in Sonnentomaten-Sauce</v>
      </c>
      <c r="G753" s="186" t="str">
        <f>IFERROR(__xludf.DUMMYFUNCTION("""COMPUTED_VALUE"""),"FE4006A")</f>
        <v>FE4006A</v>
      </c>
      <c r="H753" s="186">
        <f>IFERROR(__xludf.DUMMYFUNCTION("""COMPUTED_VALUE"""),565063.0)</f>
        <v>565063</v>
      </c>
      <c r="I753" s="186" t="str">
        <f>IFERROR(__xludf.DUMMYFUNCTION("""COMPUTED_VALUE"""),"HF Varkenshaas met tomatensaus 384g")</f>
        <v>HF Varkenshaas met tomatensaus 384g</v>
      </c>
      <c r="J753" s="189">
        <f>IFERROR(__xludf.DUMMYFUNCTION("""COMPUTED_VALUE"""),630.0)</f>
        <v>630</v>
      </c>
      <c r="K753" s="189">
        <f>IFERROR(__xludf.DUMMYFUNCTION("""COMPUTED_VALUE"""),655.0)</f>
        <v>655</v>
      </c>
      <c r="L753" s="189">
        <f>IFERROR(__xludf.DUMMYFUNCTION("""COMPUTED_VALUE"""),519.0)</f>
        <v>519</v>
      </c>
      <c r="M753" s="189">
        <f>IFERROR(__xludf.DUMMYFUNCTION("""COMPUTED_VALUE"""),552.0)</f>
        <v>552</v>
      </c>
      <c r="N753" s="189">
        <f>IFERROR(__xludf.DUMMYFUNCTION("""COMPUTED_VALUE"""),564.0)</f>
        <v>564</v>
      </c>
      <c r="O753" s="189">
        <f>IFERROR(__xludf.DUMMYFUNCTION("""COMPUTED_VALUE"""),548.0)</f>
        <v>548</v>
      </c>
      <c r="P753" s="189">
        <f>IFERROR(__xludf.DUMMYFUNCTION("""COMPUTED_VALUE"""),558.0)</f>
        <v>558</v>
      </c>
      <c r="Q753" s="189">
        <f>IFERROR(__xludf.DUMMYFUNCTION("""COMPUTED_VALUE"""),555.0)</f>
        <v>555</v>
      </c>
      <c r="R753" s="186"/>
      <c r="S753" s="189">
        <f>IFERROR(__xludf.DUMMYFUNCTION("""COMPUTED_VALUE"""),493.0)</f>
        <v>493</v>
      </c>
    </row>
    <row r="754">
      <c r="A754" s="186" t="str">
        <f>IFERROR(__xludf.DUMMYFUNCTION("""COMPUTED_VALUE"""),"DE")</f>
        <v>DE</v>
      </c>
      <c r="B754" s="186" t="str">
        <f>IFERROR(__xludf.DUMMYFUNCTION("""COMPUTED_VALUE"""),"W12")</f>
        <v>W12</v>
      </c>
      <c r="C754" s="186">
        <f>IFERROR(__xludf.DUMMYFUNCTION("""COMPUTED_VALUE"""),312.0)</f>
        <v>312</v>
      </c>
      <c r="D754" s="186" t="str">
        <f>IFERROR(__xludf.DUMMYFUNCTION("""COMPUTED_VALUE"""),"CON-00-154547-2")</f>
        <v>CON-00-154547-2</v>
      </c>
      <c r="E754" s="186" t="str">
        <f>IFERROR(__xludf.DUMMYFUNCTION("""COMPUTED_VALUE"""),"Citrus–Miso Salmon Bowl")</f>
        <v>Citrus–Miso Salmon Bowl</v>
      </c>
      <c r="F754" s="186" t="str">
        <f>IFERROR(__xludf.DUMMYFUNCTION("""COMPUTED_VALUE"""),"Lachs-Bowl mit Zitrus-Miso")</f>
        <v>Lachs-Bowl mit Zitrus-Miso</v>
      </c>
      <c r="G754" s="186" t="str">
        <f>IFERROR(__xludf.DUMMYFUNCTION("""COMPUTED_VALUE"""),"FE1731A")</f>
        <v>FE1731A</v>
      </c>
      <c r="H754" s="186">
        <f>IFERROR(__xludf.DUMMYFUNCTION("""COMPUTED_VALUE"""),565221.0)</f>
        <v>565221</v>
      </c>
      <c r="I754" s="186" t="str">
        <f>IFERROR(__xludf.DUMMYFUNCTION("""COMPUTED_VALUE"""),"HF Citrus-miso zalm bowl")</f>
        <v>HF Citrus-miso zalm bowl</v>
      </c>
      <c r="J754" s="189">
        <f>IFERROR(__xludf.DUMMYFUNCTION("""COMPUTED_VALUE"""),1912.0)</f>
        <v>1912</v>
      </c>
      <c r="K754" s="189">
        <f>IFERROR(__xludf.DUMMYFUNCTION("""COMPUTED_VALUE"""),1914.0)</f>
        <v>1914</v>
      </c>
      <c r="L754" s="189">
        <f>IFERROR(__xludf.DUMMYFUNCTION("""COMPUTED_VALUE"""),1727.0)</f>
        <v>1727</v>
      </c>
      <c r="M754" s="189">
        <f>IFERROR(__xludf.DUMMYFUNCTION("""COMPUTED_VALUE"""),1656.0)</f>
        <v>1656</v>
      </c>
      <c r="N754" s="189">
        <f>IFERROR(__xludf.DUMMYFUNCTION("""COMPUTED_VALUE"""),1721.0)</f>
        <v>1721</v>
      </c>
      <c r="O754" s="189">
        <f>IFERROR(__xludf.DUMMYFUNCTION("""COMPUTED_VALUE"""),1734.0)</f>
        <v>1734</v>
      </c>
      <c r="P754" s="189">
        <f>IFERROR(__xludf.DUMMYFUNCTION("""COMPUTED_VALUE"""),1764.0)</f>
        <v>1764</v>
      </c>
      <c r="Q754" s="189">
        <f>IFERROR(__xludf.DUMMYFUNCTION("""COMPUTED_VALUE"""),1756.0)</f>
        <v>1756</v>
      </c>
      <c r="R754" s="186"/>
      <c r="S754" s="189">
        <f>IFERROR(__xludf.DUMMYFUNCTION("""COMPUTED_VALUE"""),1757.0)</f>
        <v>1757</v>
      </c>
    </row>
    <row r="755">
      <c r="A755" s="186" t="str">
        <f>IFERROR(__xludf.DUMMYFUNCTION("""COMPUTED_VALUE"""),"DE")</f>
        <v>DE</v>
      </c>
      <c r="B755" s="186" t="str">
        <f>IFERROR(__xludf.DUMMYFUNCTION("""COMPUTED_VALUE"""),"W12")</f>
        <v>W12</v>
      </c>
      <c r="C755" s="186">
        <f>IFERROR(__xludf.DUMMYFUNCTION("""COMPUTED_VALUE"""),313.0)</f>
        <v>313</v>
      </c>
      <c r="D755" s="186" t="str">
        <f>IFERROR(__xludf.DUMMYFUNCTION("""COMPUTED_VALUE"""),"CON-00-156129-2")</f>
        <v>CON-00-156129-2</v>
      </c>
      <c r="E755" s="186" t="str">
        <f>IFERROR(__xludf.DUMMYFUNCTION("""COMPUTED_VALUE"""),"Japanese-Style BBQ Chicken &amp; Cabbage")</f>
        <v>Japanese-Style BBQ Chicken &amp; Cabbage</v>
      </c>
      <c r="F755" s="186" t="str">
        <f>IFERROR(__xludf.DUMMYFUNCTION("""COMPUTED_VALUE"""),"Japanisches BBQ-Hähnchen &amp; Kohl")</f>
        <v>Japanisches BBQ-Hähnchen &amp; Kohl</v>
      </c>
      <c r="G755" s="186" t="str">
        <f>IFERROR(__xludf.DUMMYFUNCTION("""COMPUTED_VALUE"""),"FE1458A")</f>
        <v>FE1458A</v>
      </c>
      <c r="H755" s="186">
        <f>IFERROR(__xludf.DUMMYFUNCTION("""COMPUTED_VALUE"""),565258.0)</f>
        <v>565258</v>
      </c>
      <c r="I755" s="186" t="str">
        <f>IFERROR(__xludf.DUMMYFUNCTION("""COMPUTED_VALUE"""),"HF Japanse style kip en kool")</f>
        <v>HF Japanse style kip en kool</v>
      </c>
      <c r="J755" s="189">
        <f>IFERROR(__xludf.DUMMYFUNCTION("""COMPUTED_VALUE"""),2200.0)</f>
        <v>2200</v>
      </c>
      <c r="K755" s="189">
        <f>IFERROR(__xludf.DUMMYFUNCTION("""COMPUTED_VALUE"""),1941.0)</f>
        <v>1941</v>
      </c>
      <c r="L755" s="189">
        <f>IFERROR(__xludf.DUMMYFUNCTION("""COMPUTED_VALUE"""),2202.0)</f>
        <v>2202</v>
      </c>
      <c r="M755" s="189">
        <f>IFERROR(__xludf.DUMMYFUNCTION("""COMPUTED_VALUE"""),2082.0)</f>
        <v>2082</v>
      </c>
      <c r="N755" s="189">
        <f>IFERROR(__xludf.DUMMYFUNCTION("""COMPUTED_VALUE"""),1992.0)</f>
        <v>1992</v>
      </c>
      <c r="O755" s="189">
        <f>IFERROR(__xludf.DUMMYFUNCTION("""COMPUTED_VALUE"""),1940.0)</f>
        <v>1940</v>
      </c>
      <c r="P755" s="189">
        <f>IFERROR(__xludf.DUMMYFUNCTION("""COMPUTED_VALUE"""),1974.0)</f>
        <v>1974</v>
      </c>
      <c r="Q755" s="189">
        <f>IFERROR(__xludf.DUMMYFUNCTION("""COMPUTED_VALUE"""),1965.0)</f>
        <v>1965</v>
      </c>
      <c r="R755" s="186"/>
      <c r="S755" s="189">
        <f>IFERROR(__xludf.DUMMYFUNCTION("""COMPUTED_VALUE"""),1920.0)</f>
        <v>1920</v>
      </c>
    </row>
    <row r="756">
      <c r="A756" s="186" t="str">
        <f>IFERROR(__xludf.DUMMYFUNCTION("""COMPUTED_VALUE"""),"DE")</f>
        <v>DE</v>
      </c>
      <c r="B756" s="186" t="str">
        <f>IFERROR(__xludf.DUMMYFUNCTION("""COMPUTED_VALUE"""),"W12")</f>
        <v>W12</v>
      </c>
      <c r="C756" s="186">
        <f>IFERROR(__xludf.DUMMYFUNCTION("""COMPUTED_VALUE"""),314.0)</f>
        <v>314</v>
      </c>
      <c r="D756" s="186" t="str">
        <f>IFERROR(__xludf.DUMMYFUNCTION("""COMPUTED_VALUE"""),"CON-00-155185-3")</f>
        <v>CON-00-155185-3</v>
      </c>
      <c r="E756" s="186" t="str">
        <f>IFERROR(__xludf.DUMMYFUNCTION("""COMPUTED_VALUE"""),"Sun-Dried Tomato Beef Ragu &amp; Pasta")</f>
        <v>Sun-Dried Tomato Beef Ragu &amp; Pasta</v>
      </c>
      <c r="F756" s="186" t="str">
        <f>IFERROR(__xludf.DUMMYFUNCTION("""COMPUTED_VALUE"""),"Rinderragù mit sonnengetrockneten Tomaten und Pasta")</f>
        <v>Rinderragù mit sonnengetrockneten Tomaten und Pasta</v>
      </c>
      <c r="G756" s="186" t="str">
        <f>IFERROR(__xludf.DUMMYFUNCTION("""COMPUTED_VALUE"""),"FE4075A")</f>
        <v>FE4075A</v>
      </c>
      <c r="H756" s="186">
        <f>IFERROR(__xludf.DUMMYFUNCTION("""COMPUTED_VALUE"""),565252.0)</f>
        <v>565252</v>
      </c>
      <c r="I756" s="186" t="str">
        <f>IFERROR(__xludf.DUMMYFUNCTION("""COMPUTED_VALUE"""),"HF Tomato Beef Ragu &amp; Pasta")</f>
        <v>HF Tomato Beef Ragu &amp; Pasta</v>
      </c>
      <c r="J756" s="189">
        <f>IFERROR(__xludf.DUMMYFUNCTION("""COMPUTED_VALUE"""),1052.0)</f>
        <v>1052</v>
      </c>
      <c r="K756" s="189">
        <f>IFERROR(__xludf.DUMMYFUNCTION("""COMPUTED_VALUE"""),1029.0)</f>
        <v>1029</v>
      </c>
      <c r="L756" s="189">
        <f>IFERROR(__xludf.DUMMYFUNCTION("""COMPUTED_VALUE"""),1018.0)</f>
        <v>1018</v>
      </c>
      <c r="M756" s="189">
        <f>IFERROR(__xludf.DUMMYFUNCTION("""COMPUTED_VALUE"""),1000.0)</f>
        <v>1000</v>
      </c>
      <c r="N756" s="189">
        <f>IFERROR(__xludf.DUMMYFUNCTION("""COMPUTED_VALUE"""),1032.0)</f>
        <v>1032</v>
      </c>
      <c r="O756" s="189">
        <f>IFERROR(__xludf.DUMMYFUNCTION("""COMPUTED_VALUE"""),975.0)</f>
        <v>975</v>
      </c>
      <c r="P756" s="189">
        <f>IFERROR(__xludf.DUMMYFUNCTION("""COMPUTED_VALUE"""),992.0)</f>
        <v>992</v>
      </c>
      <c r="Q756" s="189">
        <f>IFERROR(__xludf.DUMMYFUNCTION("""COMPUTED_VALUE"""),987.0)</f>
        <v>987</v>
      </c>
      <c r="R756" s="186"/>
      <c r="S756" s="189">
        <f>IFERROR(__xludf.DUMMYFUNCTION("""COMPUTED_VALUE"""),927.0)</f>
        <v>927</v>
      </c>
    </row>
    <row r="757">
      <c r="A757" s="186" t="str">
        <f>IFERROR(__xludf.DUMMYFUNCTION("""COMPUTED_VALUE"""),"DE")</f>
        <v>DE</v>
      </c>
      <c r="B757" s="186" t="str">
        <f>IFERROR(__xludf.DUMMYFUNCTION("""COMPUTED_VALUE"""),"W12")</f>
        <v>W12</v>
      </c>
      <c r="C757" s="186">
        <f>IFERROR(__xludf.DUMMYFUNCTION("""COMPUTED_VALUE"""),315.0)</f>
        <v>315</v>
      </c>
      <c r="D757" s="186" t="str">
        <f>IFERROR(__xludf.DUMMYFUNCTION("""COMPUTED_VALUE"""),"CON-00-136671-3")</f>
        <v>CON-00-136671-3</v>
      </c>
      <c r="E757" s="186" t="str">
        <f>IFERROR(__xludf.DUMMYFUNCTION("""COMPUTED_VALUE"""),"Cabbage in cheese sauce with minced beef")</f>
        <v>Cabbage in cheese sauce with minced beef</v>
      </c>
      <c r="F757" s="186" t="str">
        <f>IFERROR(__xludf.DUMMYFUNCTION("""COMPUTED_VALUE"""),"Wirsing in Käsesauce mit Hackfleisch")</f>
        <v>Wirsing in Käsesauce mit Hackfleisch</v>
      </c>
      <c r="G757" s="186" t="str">
        <f>IFERROR(__xludf.DUMMYFUNCTION("""COMPUTED_VALUE"""),"FE0713B")</f>
        <v>FE0713B</v>
      </c>
      <c r="H757" s="186">
        <f>IFERROR(__xludf.DUMMYFUNCTION("""COMPUTED_VALUE"""),565240.0)</f>
        <v>565240</v>
      </c>
      <c r="I757" s="186" t="str">
        <f>IFERROR(__xludf.DUMMYFUNCTION("""COMPUTED_VALUE"""),"HF RW Kool in kaassaus")</f>
        <v>HF RW Kool in kaassaus</v>
      </c>
      <c r="J757" s="189">
        <f>IFERROR(__xludf.DUMMYFUNCTION("""COMPUTED_VALUE"""),1025.0)</f>
        <v>1025</v>
      </c>
      <c r="K757" s="189">
        <f>IFERROR(__xludf.DUMMYFUNCTION("""COMPUTED_VALUE"""),1014.0)</f>
        <v>1014</v>
      </c>
      <c r="L757" s="189">
        <f>IFERROR(__xludf.DUMMYFUNCTION("""COMPUTED_VALUE"""),936.0)</f>
        <v>936</v>
      </c>
      <c r="M757" s="189">
        <f>IFERROR(__xludf.DUMMYFUNCTION("""COMPUTED_VALUE"""),855.0)</f>
        <v>855</v>
      </c>
      <c r="N757" s="189">
        <f>IFERROR(__xludf.DUMMYFUNCTION("""COMPUTED_VALUE"""),848.0)</f>
        <v>848</v>
      </c>
      <c r="O757" s="189">
        <f>IFERROR(__xludf.DUMMYFUNCTION("""COMPUTED_VALUE"""),826.0)</f>
        <v>826</v>
      </c>
      <c r="P757" s="189">
        <f>IFERROR(__xludf.DUMMYFUNCTION("""COMPUTED_VALUE"""),841.0)</f>
        <v>841</v>
      </c>
      <c r="Q757" s="189">
        <f>IFERROR(__xludf.DUMMYFUNCTION("""COMPUTED_VALUE"""),837.0)</f>
        <v>837</v>
      </c>
      <c r="R757" s="186"/>
      <c r="S757" s="189">
        <f>IFERROR(__xludf.DUMMYFUNCTION("""COMPUTED_VALUE"""),765.0)</f>
        <v>765</v>
      </c>
    </row>
    <row r="758">
      <c r="A758" s="186" t="str">
        <f>IFERROR(__xludf.DUMMYFUNCTION("""COMPUTED_VALUE"""),"DE")</f>
        <v>DE</v>
      </c>
      <c r="B758" s="186" t="str">
        <f>IFERROR(__xludf.DUMMYFUNCTION("""COMPUTED_VALUE"""),"W12")</f>
        <v>W12</v>
      </c>
      <c r="C758" s="186">
        <f>IFERROR(__xludf.DUMMYFUNCTION("""COMPUTED_VALUE"""),316.0)</f>
        <v>316</v>
      </c>
      <c r="D758" s="186" t="str">
        <f>IFERROR(__xludf.DUMMYFUNCTION("""COMPUTED_VALUE"""),"CON-00-154548-2")</f>
        <v>CON-00-154548-2</v>
      </c>
      <c r="E758" s="186" t="str">
        <f>IFERROR(__xludf.DUMMYFUNCTION("""COMPUTED_VALUE"""),"Pulled Beef &amp; Mushroom Cream Pasta")</f>
        <v>Pulled Beef &amp; Mushroom Cream Pasta</v>
      </c>
      <c r="F758" s="186" t="str">
        <f>IFERROR(__xludf.DUMMYFUNCTION("""COMPUTED_VALUE"""),"Pulled Beef mit Pilzrahm-Pasta")</f>
        <v>Pulled Beef mit Pilzrahm-Pasta</v>
      </c>
      <c r="G758" s="186" t="str">
        <f>IFERROR(__xludf.DUMMYFUNCTION("""COMPUTED_VALUE"""),"FE4079A")</f>
        <v>FE4079A</v>
      </c>
      <c r="H758" s="186">
        <f>IFERROR(__xludf.DUMMYFUNCTION("""COMPUTED_VALUE"""),565254.0)</f>
        <v>565254</v>
      </c>
      <c r="I758" s="186" t="str">
        <f>IFERROR(__xludf.DUMMYFUNCTION("""COMPUTED_VALUE"""),"HF Pulled beef mushroom pasta")</f>
        <v>HF Pulled beef mushroom pasta</v>
      </c>
      <c r="J758" s="189">
        <f>IFERROR(__xludf.DUMMYFUNCTION("""COMPUTED_VALUE"""),925.0)</f>
        <v>925</v>
      </c>
      <c r="K758" s="189">
        <f>IFERROR(__xludf.DUMMYFUNCTION("""COMPUTED_VALUE"""),853.0)</f>
        <v>853</v>
      </c>
      <c r="L758" s="189">
        <f>IFERROR(__xludf.DUMMYFUNCTION("""COMPUTED_VALUE"""),1175.0)</f>
        <v>1175</v>
      </c>
      <c r="M758" s="189">
        <f>IFERROR(__xludf.DUMMYFUNCTION("""COMPUTED_VALUE"""),1046.0)</f>
        <v>1046</v>
      </c>
      <c r="N758" s="189">
        <f>IFERROR(__xludf.DUMMYFUNCTION("""COMPUTED_VALUE"""),1001.0)</f>
        <v>1001</v>
      </c>
      <c r="O758" s="189">
        <f>IFERROR(__xludf.DUMMYFUNCTION("""COMPUTED_VALUE"""),979.0)</f>
        <v>979</v>
      </c>
      <c r="P758" s="189">
        <f>IFERROR(__xludf.DUMMYFUNCTION("""COMPUTED_VALUE"""),996.0)</f>
        <v>996</v>
      </c>
      <c r="Q758" s="189">
        <f>IFERROR(__xludf.DUMMYFUNCTION("""COMPUTED_VALUE"""),991.0)</f>
        <v>991</v>
      </c>
      <c r="R758" s="186"/>
      <c r="S758" s="189">
        <f>IFERROR(__xludf.DUMMYFUNCTION("""COMPUTED_VALUE"""),960.0)</f>
        <v>960</v>
      </c>
    </row>
    <row r="759">
      <c r="A759" s="186" t="str">
        <f>IFERROR(__xludf.DUMMYFUNCTION("""COMPUTED_VALUE"""),"DE")</f>
        <v>DE</v>
      </c>
      <c r="B759" s="186" t="str">
        <f>IFERROR(__xludf.DUMMYFUNCTION("""COMPUTED_VALUE"""),"W12")</f>
        <v>W12</v>
      </c>
      <c r="C759" s="186">
        <f>IFERROR(__xludf.DUMMYFUNCTION("""COMPUTED_VALUE"""),317.0)</f>
        <v>317</v>
      </c>
      <c r="D759" s="186" t="str">
        <f>IFERROR(__xludf.DUMMYFUNCTION("""COMPUTED_VALUE"""),"CON-00-136726-3")</f>
        <v>CON-00-136726-3</v>
      </c>
      <c r="E759" s="186" t="str">
        <f>IFERROR(__xludf.DUMMYFUNCTION("""COMPUTED_VALUE"""),"Pork tenderloin with apple-mustard sauce")</f>
        <v>Pork tenderloin with apple-mustard sauce</v>
      </c>
      <c r="F759" s="186" t="str">
        <f>IFERROR(__xludf.DUMMYFUNCTION("""COMPUTED_VALUE"""),"Schweinefilet mit Apfel-Senf-Soße")</f>
        <v>Schweinefilet mit Apfel-Senf-Soße</v>
      </c>
      <c r="G759" s="186" t="str">
        <f>IFERROR(__xludf.DUMMYFUNCTION("""COMPUTED_VALUE"""),"FE0890B")</f>
        <v>FE0890B</v>
      </c>
      <c r="H759" s="186">
        <f>IFERROR(__xludf.DUMMYFUNCTION("""COMPUTED_VALUE"""),565117.0)</f>
        <v>565117</v>
      </c>
      <c r="I759" s="186"/>
      <c r="J759" s="189">
        <f>IFERROR(__xludf.DUMMYFUNCTION("""COMPUTED_VALUE"""),1294.0)</f>
        <v>1294</v>
      </c>
      <c r="K759" s="189">
        <f>IFERROR(__xludf.DUMMYFUNCTION("""COMPUTED_VALUE"""),1208.0)</f>
        <v>1208</v>
      </c>
      <c r="L759" s="189">
        <f>IFERROR(__xludf.DUMMYFUNCTION("""COMPUTED_VALUE"""),1080.0)</f>
        <v>1080</v>
      </c>
      <c r="M759" s="189">
        <f>IFERROR(__xludf.DUMMYFUNCTION("""COMPUTED_VALUE"""),1026.0)</f>
        <v>1026</v>
      </c>
      <c r="N759" s="189">
        <f>IFERROR(__xludf.DUMMYFUNCTION("""COMPUTED_VALUE"""),1054.0)</f>
        <v>1054</v>
      </c>
      <c r="O759" s="189">
        <f>IFERROR(__xludf.DUMMYFUNCTION("""COMPUTED_VALUE"""),1015.0)</f>
        <v>1015</v>
      </c>
      <c r="P759" s="189">
        <f>IFERROR(__xludf.DUMMYFUNCTION("""COMPUTED_VALUE"""),1033.0)</f>
        <v>1033</v>
      </c>
      <c r="Q759" s="189">
        <f>IFERROR(__xludf.DUMMYFUNCTION("""COMPUTED_VALUE"""),1028.0)</f>
        <v>1028</v>
      </c>
      <c r="R759" s="186"/>
      <c r="S759" s="189">
        <f>IFERROR(__xludf.DUMMYFUNCTION("""COMPUTED_VALUE"""),1049.0)</f>
        <v>1049</v>
      </c>
    </row>
    <row r="760">
      <c r="A760" s="186" t="str">
        <f>IFERROR(__xludf.DUMMYFUNCTION("""COMPUTED_VALUE"""),"DE")</f>
        <v>DE</v>
      </c>
      <c r="B760" s="186" t="str">
        <f>IFERROR(__xludf.DUMMYFUNCTION("""COMPUTED_VALUE"""),"W12")</f>
        <v>W12</v>
      </c>
      <c r="C760" s="186">
        <f>IFERROR(__xludf.DUMMYFUNCTION("""COMPUTED_VALUE"""),318.0)</f>
        <v>318</v>
      </c>
      <c r="D760" s="186" t="str">
        <f>IFERROR(__xludf.DUMMYFUNCTION("""COMPUTED_VALUE"""),"CON-00-136717-3")</f>
        <v>CON-00-136717-3</v>
      </c>
      <c r="E760" s="186" t="str">
        <f>IFERROR(__xludf.DUMMYFUNCTION("""COMPUTED_VALUE"""),"Pork tenderloin and Mediterranean mash")</f>
        <v>Pork tenderloin and Mediterranean mash</v>
      </c>
      <c r="F760" s="186" t="str">
        <f>IFERROR(__xludf.DUMMYFUNCTION("""COMPUTED_VALUE"""),"Schweinefilet auf mediterranem Püree")</f>
        <v>Schweinefilet auf mediterranem Püree</v>
      </c>
      <c r="G760" s="186" t="str">
        <f>IFERROR(__xludf.DUMMYFUNCTION("""COMPUTED_VALUE"""),"FE4042A")</f>
        <v>FE4042A</v>
      </c>
      <c r="H760" s="186">
        <f>IFERROR(__xludf.DUMMYFUNCTION("""COMPUTED_VALUE"""),565109.0)</f>
        <v>565109</v>
      </c>
      <c r="I760" s="186"/>
      <c r="J760" s="189">
        <f>IFERROR(__xludf.DUMMYFUNCTION("""COMPUTED_VALUE"""),724.0)</f>
        <v>724</v>
      </c>
      <c r="K760" s="189">
        <f>IFERROR(__xludf.DUMMYFUNCTION("""COMPUTED_VALUE"""),664.0)</f>
        <v>664</v>
      </c>
      <c r="L760" s="189">
        <f>IFERROR(__xludf.DUMMYFUNCTION("""COMPUTED_VALUE"""),607.0)</f>
        <v>607</v>
      </c>
      <c r="M760" s="189">
        <f>IFERROR(__xludf.DUMMYFUNCTION("""COMPUTED_VALUE"""),661.0)</f>
        <v>661</v>
      </c>
      <c r="N760" s="189">
        <f>IFERROR(__xludf.DUMMYFUNCTION("""COMPUTED_VALUE"""),653.0)</f>
        <v>653</v>
      </c>
      <c r="O760" s="189">
        <f>IFERROR(__xludf.DUMMYFUNCTION("""COMPUTED_VALUE"""),693.0)</f>
        <v>693</v>
      </c>
      <c r="P760" s="189">
        <f>IFERROR(__xludf.DUMMYFUNCTION("""COMPUTED_VALUE"""),705.0)</f>
        <v>705</v>
      </c>
      <c r="Q760" s="189">
        <f>IFERROR(__xludf.DUMMYFUNCTION("""COMPUTED_VALUE"""),702.0)</f>
        <v>702</v>
      </c>
      <c r="R760" s="186"/>
      <c r="S760" s="189">
        <f>IFERROR(__xludf.DUMMYFUNCTION("""COMPUTED_VALUE"""),631.0)</f>
        <v>631</v>
      </c>
    </row>
    <row r="761">
      <c r="A761" s="186" t="str">
        <f>IFERROR(__xludf.DUMMYFUNCTION("""COMPUTED_VALUE"""),"DE")</f>
        <v>DE</v>
      </c>
      <c r="B761" s="186" t="str">
        <f>IFERROR(__xludf.DUMMYFUNCTION("""COMPUTED_VALUE"""),"W12")</f>
        <v>W12</v>
      </c>
      <c r="C761" s="186">
        <f>IFERROR(__xludf.DUMMYFUNCTION("""COMPUTED_VALUE"""),206.0)</f>
        <v>206</v>
      </c>
      <c r="D761" s="186" t="str">
        <f>IFERROR(__xludf.DUMMYFUNCTION("""COMPUTED_VALUE"""),"PTN-00-136930-3")</f>
        <v>PTN-00-136930-3</v>
      </c>
      <c r="E761" s="186" t="str">
        <f>IFERROR(__xludf.DUMMYFUNCTION("""COMPUTED_VALUE"""),"Garlic Herb Grilled Chicken")</f>
        <v>Garlic Herb Grilled Chicken</v>
      </c>
      <c r="F761" s="186" t="str">
        <f>IFERROR(__xludf.DUMMYFUNCTION("""COMPUTED_VALUE"""),"Gegrilltes Hähnchen mit Knoblauch-Kräutern")</f>
        <v>Gegrilltes Hähnchen mit Knoblauch-Kräutern</v>
      </c>
      <c r="G761" s="186" t="str">
        <f>IFERROR(__xludf.DUMMYFUNCTION("""COMPUTED_VALUE"""),"FEA006A")</f>
        <v>FEA006A</v>
      </c>
      <c r="H761" s="186">
        <f>IFERROR(__xludf.DUMMYFUNCTION("""COMPUTED_VALUE"""),565119.0)</f>
        <v>565119</v>
      </c>
      <c r="I761" s="186"/>
      <c r="J761" s="189">
        <f>IFERROR(__xludf.DUMMYFUNCTION("""COMPUTED_VALUE"""),87.0)</f>
        <v>87</v>
      </c>
      <c r="K761" s="189">
        <f>IFERROR(__xludf.DUMMYFUNCTION("""COMPUTED_VALUE"""),87.0)</f>
        <v>87</v>
      </c>
      <c r="L761" s="189">
        <f>IFERROR(__xludf.DUMMYFUNCTION("""COMPUTED_VALUE"""),87.0)</f>
        <v>87</v>
      </c>
      <c r="M761" s="189">
        <f>IFERROR(__xludf.DUMMYFUNCTION("""COMPUTED_VALUE"""),79.0)</f>
        <v>79</v>
      </c>
      <c r="N761" s="189">
        <f>IFERROR(__xludf.DUMMYFUNCTION("""COMPUTED_VALUE"""),79.0)</f>
        <v>79</v>
      </c>
      <c r="O761" s="189">
        <f>IFERROR(__xludf.DUMMYFUNCTION("""COMPUTED_VALUE"""),79.0)</f>
        <v>79</v>
      </c>
      <c r="P761" s="189">
        <f>IFERROR(__xludf.DUMMYFUNCTION("""COMPUTED_VALUE"""),79.0)</f>
        <v>79</v>
      </c>
      <c r="Q761" s="189">
        <f>IFERROR(__xludf.DUMMYFUNCTION("""COMPUTED_VALUE"""),79.0)</f>
        <v>79</v>
      </c>
      <c r="R761" s="186"/>
      <c r="S761" s="189">
        <f>IFERROR(__xludf.DUMMYFUNCTION("""COMPUTED_VALUE"""),46.0)</f>
        <v>46</v>
      </c>
    </row>
    <row r="762">
      <c r="A762" s="186" t="str">
        <f>IFERROR(__xludf.DUMMYFUNCTION("""COMPUTED_VALUE"""),"DE")</f>
        <v>DE</v>
      </c>
      <c r="B762" s="186" t="str">
        <f>IFERROR(__xludf.DUMMYFUNCTION("""COMPUTED_VALUE"""),"W12")</f>
        <v>W12</v>
      </c>
      <c r="C762" s="186"/>
      <c r="D762" s="186"/>
      <c r="E762" s="186"/>
      <c r="F762" s="186"/>
      <c r="G762" s="186"/>
      <c r="H762" s="186"/>
      <c r="I762" s="186"/>
      <c r="J762" s="189">
        <f>IFERROR(__xludf.DUMMYFUNCTION("""COMPUTED_VALUE"""),28792.0)</f>
        <v>28792</v>
      </c>
      <c r="K762" s="189">
        <f>IFERROR(__xludf.DUMMYFUNCTION("""COMPUTED_VALUE"""),28237.0)</f>
        <v>28237</v>
      </c>
      <c r="L762" s="189">
        <f>IFERROR(__xludf.DUMMYFUNCTION("""COMPUTED_VALUE"""),27198.0)</f>
        <v>27198</v>
      </c>
      <c r="M762" s="189">
        <f>IFERROR(__xludf.DUMMYFUNCTION("""COMPUTED_VALUE"""),26225.0)</f>
        <v>26225</v>
      </c>
      <c r="N762" s="189">
        <f>IFERROR(__xludf.DUMMYFUNCTION("""COMPUTED_VALUE"""),25960.0)</f>
        <v>25960</v>
      </c>
      <c r="O762" s="189">
        <f>IFERROR(__xludf.DUMMYFUNCTION("""COMPUTED_VALUE"""),25981.0)</f>
        <v>25981</v>
      </c>
      <c r="P762" s="189">
        <f>IFERROR(__xludf.DUMMYFUNCTION("""COMPUTED_VALUE"""),26436.0)</f>
        <v>26436</v>
      </c>
      <c r="Q762" s="189">
        <f>IFERROR(__xludf.DUMMYFUNCTION("""COMPUTED_VALUE"""),26311.0)</f>
        <v>26311</v>
      </c>
      <c r="R762" s="189">
        <f>IFERROR(__xludf.DUMMYFUNCTION("""COMPUTED_VALUE"""),0.0)</f>
        <v>0</v>
      </c>
      <c r="S762" s="189">
        <f>IFERROR(__xludf.DUMMYFUNCTION("""COMPUTED_VALUE"""),25385.0)</f>
        <v>25385</v>
      </c>
    </row>
    <row r="763">
      <c r="A763" s="186" t="str">
        <f>IFERROR(__xludf.DUMMYFUNCTION("""COMPUTED_VALUE"""),"NORDICS")</f>
        <v>NORDICS</v>
      </c>
      <c r="B763" s="186" t="str">
        <f>IFERROR(__xludf.DUMMYFUNCTION("""COMPUTED_VALUE"""),"W13")</f>
        <v>W13</v>
      </c>
      <c r="C763" s="186">
        <f>IFERROR(__xludf.DUMMYFUNCTION("""COMPUTED_VALUE"""),601.0)</f>
        <v>601</v>
      </c>
      <c r="D763" s="186" t="str">
        <f>IFERROR(__xludf.DUMMYFUNCTION("""COMPUTED_VALUE"""),"CON-00-147840-2")</f>
        <v>CON-00-147840-2</v>
      </c>
      <c r="E763" s="186" t="str">
        <f>IFERROR(__xludf.DUMMYFUNCTION("""COMPUTED_VALUE"""),"Grilled chicken fillet and potato leek mash")</f>
        <v>Grilled chicken fillet and potato leek mash</v>
      </c>
      <c r="F763" s="186" t="str">
        <f>IFERROR(__xludf.DUMMYFUNCTION("""COMPUTED_VALUE"""),"Grillet kyllingefilet og kartoffel-porremos")</f>
        <v>Grillet kyllingefilet og kartoffel-porremos</v>
      </c>
      <c r="G763" s="186" t="str">
        <f>IFERROR(__xludf.DUMMYFUNCTION("""COMPUTED_VALUE"""),"FE0426B")</f>
        <v>FE0426B</v>
      </c>
      <c r="H763" s="186">
        <f>IFERROR(__xludf.DUMMYFUNCTION("""COMPUTED_VALUE"""),565035.0)</f>
        <v>565035</v>
      </c>
      <c r="I763" s="186" t="str">
        <f>IFERROR(__xludf.DUMMYFUNCTION("""COMPUTED_VALUE"""),"HF Puree van aardappel en prei met gegrilde kip 416g")</f>
        <v>HF Puree van aardappel en prei met gegrilde kip 416g</v>
      </c>
      <c r="J763" s="189">
        <f>IFERROR(__xludf.DUMMYFUNCTION("""COMPUTED_VALUE"""),4144.0)</f>
        <v>4144</v>
      </c>
      <c r="K763" s="189">
        <f>IFERROR(__xludf.DUMMYFUNCTION("""COMPUTED_VALUE"""),4222.0)</f>
        <v>4222</v>
      </c>
      <c r="L763" s="189">
        <f>IFERROR(__xludf.DUMMYFUNCTION("""COMPUTED_VALUE"""),3852.0)</f>
        <v>3852</v>
      </c>
      <c r="M763" s="189">
        <f>IFERROR(__xludf.DUMMYFUNCTION("""COMPUTED_VALUE"""),3843.0)</f>
        <v>3843</v>
      </c>
      <c r="N763" s="189">
        <f>IFERROR(__xludf.DUMMYFUNCTION("""COMPUTED_VALUE"""),4118.0)</f>
        <v>4118</v>
      </c>
      <c r="O763" s="189">
        <f>IFERROR(__xludf.DUMMYFUNCTION("""COMPUTED_VALUE"""),4102.0)</f>
        <v>4102</v>
      </c>
      <c r="P763" s="189">
        <f>IFERROR(__xludf.DUMMYFUNCTION("""COMPUTED_VALUE"""),4057.0)</f>
        <v>4057</v>
      </c>
      <c r="Q763" s="189">
        <f>IFERROR(__xludf.DUMMYFUNCTION("""COMPUTED_VALUE"""),4116.0)</f>
        <v>4116</v>
      </c>
      <c r="R763" s="186"/>
      <c r="S763" s="189">
        <f>IFERROR(__xludf.DUMMYFUNCTION("""COMPUTED_VALUE"""),3948.0)</f>
        <v>3948</v>
      </c>
    </row>
    <row r="764">
      <c r="A764" s="186" t="str">
        <f>IFERROR(__xludf.DUMMYFUNCTION("""COMPUTED_VALUE"""),"NORDICS")</f>
        <v>NORDICS</v>
      </c>
      <c r="B764" s="186" t="str">
        <f>IFERROR(__xludf.DUMMYFUNCTION("""COMPUTED_VALUE"""),"W13")</f>
        <v>W13</v>
      </c>
      <c r="C764" s="186">
        <f>IFERROR(__xludf.DUMMYFUNCTION("""COMPUTED_VALUE"""),602.0)</f>
        <v>602</v>
      </c>
      <c r="D764" s="186" t="str">
        <f>IFERROR(__xludf.DUMMYFUNCTION("""COMPUTED_VALUE"""),"CON-00-147827-2")</f>
        <v>CON-00-147827-2</v>
      </c>
      <c r="E764" s="186" t="str">
        <f>IFERROR(__xludf.DUMMYFUNCTION("""COMPUTED_VALUE"""),"Chicken à la Florentine")</f>
        <v>Chicken à la Florentine</v>
      </c>
      <c r="F764" s="186" t="str">
        <f>IFERROR(__xludf.DUMMYFUNCTION("""COMPUTED_VALUE"""),"Kylling à la Florentine")</f>
        <v>Kylling à la Florentine</v>
      </c>
      <c r="G764" s="186" t="str">
        <f>IFERROR(__xludf.DUMMYFUNCTION("""COMPUTED_VALUE"""),"FE0224D")</f>
        <v>FE0224D</v>
      </c>
      <c r="H764" s="186">
        <f>IFERROR(__xludf.DUMMYFUNCTION("""COMPUTED_VALUE"""),565047.0)</f>
        <v>565047</v>
      </c>
      <c r="I764" s="186" t="str">
        <f>IFERROR(__xludf.DUMMYFUNCTION("""COMPUTED_VALUE"""),"HF Kip á la Florentine")</f>
        <v>HF Kip á la Florentine</v>
      </c>
      <c r="J764" s="189">
        <f>IFERROR(__xludf.DUMMYFUNCTION("""COMPUTED_VALUE"""),2603.0)</f>
        <v>2603</v>
      </c>
      <c r="K764" s="189">
        <f>IFERROR(__xludf.DUMMYFUNCTION("""COMPUTED_VALUE"""),2567.0)</f>
        <v>2567</v>
      </c>
      <c r="L764" s="189">
        <f>IFERROR(__xludf.DUMMYFUNCTION("""COMPUTED_VALUE"""),2569.0)</f>
        <v>2569</v>
      </c>
      <c r="M764" s="189">
        <f>IFERROR(__xludf.DUMMYFUNCTION("""COMPUTED_VALUE"""),2563.0)</f>
        <v>2563</v>
      </c>
      <c r="N764" s="189">
        <f>IFERROR(__xludf.DUMMYFUNCTION("""COMPUTED_VALUE"""),2612.0)</f>
        <v>2612</v>
      </c>
      <c r="O764" s="189">
        <f>IFERROR(__xludf.DUMMYFUNCTION("""COMPUTED_VALUE"""),2645.0)</f>
        <v>2645</v>
      </c>
      <c r="P764" s="189">
        <f>IFERROR(__xludf.DUMMYFUNCTION("""COMPUTED_VALUE"""),2599.0)</f>
        <v>2599</v>
      </c>
      <c r="Q764" s="189">
        <f>IFERROR(__xludf.DUMMYFUNCTION("""COMPUTED_VALUE"""),2646.0)</f>
        <v>2646</v>
      </c>
      <c r="R764" s="186"/>
      <c r="S764" s="189">
        <f>IFERROR(__xludf.DUMMYFUNCTION("""COMPUTED_VALUE"""),2498.0)</f>
        <v>2498</v>
      </c>
    </row>
    <row r="765">
      <c r="A765" s="186" t="str">
        <f>IFERROR(__xludf.DUMMYFUNCTION("""COMPUTED_VALUE"""),"NORDICS")</f>
        <v>NORDICS</v>
      </c>
      <c r="B765" s="186" t="str">
        <f>IFERROR(__xludf.DUMMYFUNCTION("""COMPUTED_VALUE"""),"W13")</f>
        <v>W13</v>
      </c>
      <c r="C765" s="186">
        <f>IFERROR(__xludf.DUMMYFUNCTION("""COMPUTED_VALUE"""),603.0)</f>
        <v>603</v>
      </c>
      <c r="D765" s="186" t="str">
        <f>IFERROR(__xludf.DUMMYFUNCTION("""COMPUTED_VALUE"""),"CON-00-147860-2")</f>
        <v>CON-00-147860-2</v>
      </c>
      <c r="E765" s="186" t="str">
        <f>IFERROR(__xludf.DUMMYFUNCTION("""COMPUTED_VALUE"""),"Courgette-spaghetti bolognese")</f>
        <v>Courgette-spaghetti bolognese</v>
      </c>
      <c r="F765" s="186" t="str">
        <f>IFERROR(__xludf.DUMMYFUNCTION("""COMPUTED_VALUE"""),"Zucchini-spaghetti bolognese")</f>
        <v>Zucchini-spaghetti bolognese</v>
      </c>
      <c r="G765" s="186" t="str">
        <f>IFERROR(__xludf.DUMMYFUNCTION("""COMPUTED_VALUE"""),"FE0849B")</f>
        <v>FE0849B</v>
      </c>
      <c r="H765" s="186">
        <f>IFERROR(__xludf.DUMMYFUNCTION("""COMPUTED_VALUE"""),565260.0)</f>
        <v>565260</v>
      </c>
      <c r="I765" s="186" t="str">
        <f>IFERROR(__xludf.DUMMYFUNCTION("""COMPUTED_VALUE"""),"HF RW Courgette-spagh bolognes")</f>
        <v>HF RW Courgette-spagh bolognes</v>
      </c>
      <c r="J765" s="189">
        <f>IFERROR(__xludf.DUMMYFUNCTION("""COMPUTED_VALUE"""),2225.0)</f>
        <v>2225</v>
      </c>
      <c r="K765" s="189">
        <f>IFERROR(__xludf.DUMMYFUNCTION("""COMPUTED_VALUE"""),2188.0)</f>
        <v>2188</v>
      </c>
      <c r="L765" s="189">
        <f>IFERROR(__xludf.DUMMYFUNCTION("""COMPUTED_VALUE"""),2264.0)</f>
        <v>2264</v>
      </c>
      <c r="M765" s="189">
        <f>IFERROR(__xludf.DUMMYFUNCTION("""COMPUTED_VALUE"""),2258.0)</f>
        <v>2258</v>
      </c>
      <c r="N765" s="189">
        <f>IFERROR(__xludf.DUMMYFUNCTION("""COMPUTED_VALUE"""),2388.0)</f>
        <v>2388</v>
      </c>
      <c r="O765" s="189">
        <f>IFERROR(__xludf.DUMMYFUNCTION("""COMPUTED_VALUE"""),2358.0)</f>
        <v>2358</v>
      </c>
      <c r="P765" s="189">
        <f>IFERROR(__xludf.DUMMYFUNCTION("""COMPUTED_VALUE"""),2362.0)</f>
        <v>2362</v>
      </c>
      <c r="Q765" s="189">
        <f>IFERROR(__xludf.DUMMYFUNCTION("""COMPUTED_VALUE"""),2378.0)</f>
        <v>2378</v>
      </c>
      <c r="R765" s="186"/>
      <c r="S765" s="189">
        <f>IFERROR(__xludf.DUMMYFUNCTION("""COMPUTED_VALUE"""),2210.0)</f>
        <v>2210</v>
      </c>
    </row>
    <row r="766">
      <c r="A766" s="186" t="str">
        <f>IFERROR(__xludf.DUMMYFUNCTION("""COMPUTED_VALUE"""),"NORDICS")</f>
        <v>NORDICS</v>
      </c>
      <c r="B766" s="186" t="str">
        <f>IFERROR(__xludf.DUMMYFUNCTION("""COMPUTED_VALUE"""),"W13")</f>
        <v>W13</v>
      </c>
      <c r="C766" s="186">
        <f>IFERROR(__xludf.DUMMYFUNCTION("""COMPUTED_VALUE"""),604.0)</f>
        <v>604</v>
      </c>
      <c r="D766" s="186" t="str">
        <f>IFERROR(__xludf.DUMMYFUNCTION("""COMPUTED_VALUE"""),"CON-00-150389-2")</f>
        <v>CON-00-150389-2</v>
      </c>
      <c r="E766" s="186" t="str">
        <f>IFERROR(__xludf.DUMMYFUNCTION("""COMPUTED_VALUE"""),"Parmesan &amp; Garlic Cream Pulled Beef")</f>
        <v>Parmesan &amp; Garlic Cream Pulled Beef</v>
      </c>
      <c r="F766" s="186" t="str">
        <f>IFERROR(__xludf.DUMMYFUNCTION("""COMPUTED_VALUE"""),"Pulled beef med cremet parmesan og hvidløg")</f>
        <v>Pulled beef med cremet parmesan og hvidløg</v>
      </c>
      <c r="G766" s="186" t="str">
        <f>IFERROR(__xludf.DUMMYFUNCTION("""COMPUTED_VALUE"""),"FE1346B")</f>
        <v>FE1346B</v>
      </c>
      <c r="H766" s="186">
        <f>IFERROR(__xludf.DUMMYFUNCTION("""COMPUTED_VALUE"""),565184.0)</f>
        <v>565184</v>
      </c>
      <c r="I766" s="186" t="str">
        <f>IFERROR(__xludf.DUMMYFUNCTION("""COMPUTED_VALUE"""),"HF Pulled beef &amp; knoflook room")</f>
        <v>HF Pulled beef &amp; knoflook room</v>
      </c>
      <c r="J766" s="189">
        <f>IFERROR(__xludf.DUMMYFUNCTION("""COMPUTED_VALUE"""),3360.0)</f>
        <v>3360</v>
      </c>
      <c r="K766" s="189">
        <f>IFERROR(__xludf.DUMMYFUNCTION("""COMPUTED_VALUE"""),3404.0)</f>
        <v>3404</v>
      </c>
      <c r="L766" s="189">
        <f>IFERROR(__xludf.DUMMYFUNCTION("""COMPUTED_VALUE"""),3640.0)</f>
        <v>3640</v>
      </c>
      <c r="M766" s="189">
        <f>IFERROR(__xludf.DUMMYFUNCTION("""COMPUTED_VALUE"""),3631.0)</f>
        <v>3631</v>
      </c>
      <c r="N766" s="189">
        <f>IFERROR(__xludf.DUMMYFUNCTION("""COMPUTED_VALUE"""),3767.0)</f>
        <v>3767</v>
      </c>
      <c r="O766" s="189">
        <f>IFERROR(__xludf.DUMMYFUNCTION("""COMPUTED_VALUE"""),3735.0)</f>
        <v>3735</v>
      </c>
      <c r="P766" s="189">
        <f>IFERROR(__xludf.DUMMYFUNCTION("""COMPUTED_VALUE"""),3703.0)</f>
        <v>3703</v>
      </c>
      <c r="Q766" s="189">
        <f>IFERROR(__xludf.DUMMYFUNCTION("""COMPUTED_VALUE"""),3763.0)</f>
        <v>3763</v>
      </c>
      <c r="R766" s="186"/>
      <c r="S766" s="189">
        <f>IFERROR(__xludf.DUMMYFUNCTION("""COMPUTED_VALUE"""),3595.0)</f>
        <v>3595</v>
      </c>
    </row>
    <row r="767">
      <c r="A767" s="186" t="str">
        <f>IFERROR(__xludf.DUMMYFUNCTION("""COMPUTED_VALUE"""),"NORDICS")</f>
        <v>NORDICS</v>
      </c>
      <c r="B767" s="186" t="str">
        <f>IFERROR(__xludf.DUMMYFUNCTION("""COMPUTED_VALUE"""),"W13")</f>
        <v>W13</v>
      </c>
      <c r="C767" s="186">
        <f>IFERROR(__xludf.DUMMYFUNCTION("""COMPUTED_VALUE"""),605.0)</f>
        <v>605</v>
      </c>
      <c r="D767" s="186" t="str">
        <f>IFERROR(__xludf.DUMMYFUNCTION("""COMPUTED_VALUE"""),"CON-00-149481-2")</f>
        <v>CON-00-149481-2</v>
      </c>
      <c r="E767" s="186" t="str">
        <f>IFERROR(__xludf.DUMMYFUNCTION("""COMPUTED_VALUE"""),"Sour Cream &amp; Chive Chicken")</f>
        <v>Sour Cream &amp; Chive Chicken</v>
      </c>
      <c r="F767" s="186" t="str">
        <f>IFERROR(__xludf.DUMMYFUNCTION("""COMPUTED_VALUE"""),"Kylling med syrnet fløde og purløg")</f>
        <v>Kylling med syrnet fløde og purløg</v>
      </c>
      <c r="G767" s="186" t="str">
        <f>IFERROR(__xludf.DUMMYFUNCTION("""COMPUTED_VALUE"""),"FE0322O")</f>
        <v>FE0322O</v>
      </c>
      <c r="H767" s="186">
        <f>IFERROR(__xludf.DUMMYFUNCTION("""COMPUTED_VALUE"""),565163.0)</f>
        <v>565163</v>
      </c>
      <c r="I767" s="186" t="str">
        <f>IFERROR(__xludf.DUMMYFUNCTION("""COMPUTED_VALUE"""),"HF Kip bieslook aardappel pure")</f>
        <v>HF Kip bieslook aardappel pure</v>
      </c>
      <c r="J767" s="189">
        <f>IFERROR(__xludf.DUMMYFUNCTION("""COMPUTED_VALUE"""),2143.0)</f>
        <v>2143</v>
      </c>
      <c r="K767" s="189">
        <f>IFERROR(__xludf.DUMMYFUNCTION("""COMPUTED_VALUE"""),2068.0)</f>
        <v>2068</v>
      </c>
      <c r="L767" s="189">
        <f>IFERROR(__xludf.DUMMYFUNCTION("""COMPUTED_VALUE"""),1778.0)</f>
        <v>1778</v>
      </c>
      <c r="M767" s="189">
        <f>IFERROR(__xludf.DUMMYFUNCTION("""COMPUTED_VALUE"""),1774.0)</f>
        <v>1774</v>
      </c>
      <c r="N767" s="189">
        <f>IFERROR(__xludf.DUMMYFUNCTION("""COMPUTED_VALUE"""),1931.0)</f>
        <v>1931</v>
      </c>
      <c r="O767" s="189">
        <f>IFERROR(__xludf.DUMMYFUNCTION("""COMPUTED_VALUE"""),1973.0)</f>
        <v>1973</v>
      </c>
      <c r="P767" s="189">
        <f>IFERROR(__xludf.DUMMYFUNCTION("""COMPUTED_VALUE"""),1926.0)</f>
        <v>1926</v>
      </c>
      <c r="Q767" s="189">
        <f>IFERROR(__xludf.DUMMYFUNCTION("""COMPUTED_VALUE"""),1945.0)</f>
        <v>1945</v>
      </c>
      <c r="R767" s="186"/>
      <c r="S767" s="189">
        <f>IFERROR(__xludf.DUMMYFUNCTION("""COMPUTED_VALUE"""),1820.0)</f>
        <v>1820</v>
      </c>
    </row>
    <row r="768">
      <c r="A768" s="186" t="str">
        <f>IFERROR(__xludf.DUMMYFUNCTION("""COMPUTED_VALUE"""),"NORDICS")</f>
        <v>NORDICS</v>
      </c>
      <c r="B768" s="186" t="str">
        <f>IFERROR(__xludf.DUMMYFUNCTION("""COMPUTED_VALUE"""),"W13")</f>
        <v>W13</v>
      </c>
      <c r="C768" s="186">
        <f>IFERROR(__xludf.DUMMYFUNCTION("""COMPUTED_VALUE"""),606.0)</f>
        <v>606</v>
      </c>
      <c r="D768" s="186" t="str">
        <f>IFERROR(__xludf.DUMMYFUNCTION("""COMPUTED_VALUE"""),"CON-00-147813-2")</f>
        <v>CON-00-147813-2</v>
      </c>
      <c r="E768" s="186" t="str">
        <f>IFERROR(__xludf.DUMMYFUNCTION("""COMPUTED_VALUE"""),"Salmon with pesto")</f>
        <v>Salmon with pesto</v>
      </c>
      <c r="F768" s="186" t="str">
        <f>IFERROR(__xludf.DUMMYFUNCTION("""COMPUTED_VALUE"""),"Laks med pesto")</f>
        <v>Laks med pesto</v>
      </c>
      <c r="G768" s="186" t="str">
        <f>IFERROR(__xludf.DUMMYFUNCTION("""COMPUTED_VALUE"""),"FE0035F")</f>
        <v>FE0035F</v>
      </c>
      <c r="H768" s="186">
        <f>IFERROR(__xludf.DUMMYFUNCTION("""COMPUTED_VALUE"""),565022.0)</f>
        <v>565022</v>
      </c>
      <c r="I768" s="186" t="str">
        <f>IFERROR(__xludf.DUMMYFUNCTION("""COMPUTED_VALUE"""),"HF Zalm met pesto")</f>
        <v>HF Zalm met pesto</v>
      </c>
      <c r="J768" s="189">
        <f>IFERROR(__xludf.DUMMYFUNCTION("""COMPUTED_VALUE"""),1924.0)</f>
        <v>1924</v>
      </c>
      <c r="K768" s="189">
        <f>IFERROR(__xludf.DUMMYFUNCTION("""COMPUTED_VALUE"""),1911.0)</f>
        <v>1911</v>
      </c>
      <c r="L768" s="189">
        <f>IFERROR(__xludf.DUMMYFUNCTION("""COMPUTED_VALUE"""),1932.0)</f>
        <v>1932</v>
      </c>
      <c r="M768" s="189">
        <f>IFERROR(__xludf.DUMMYFUNCTION("""COMPUTED_VALUE"""),1927.0)</f>
        <v>1927</v>
      </c>
      <c r="N768" s="189">
        <f>IFERROR(__xludf.DUMMYFUNCTION("""COMPUTED_VALUE"""),1898.0)</f>
        <v>1898</v>
      </c>
      <c r="O768" s="189">
        <f>IFERROR(__xludf.DUMMYFUNCTION("""COMPUTED_VALUE"""),1910.0)</f>
        <v>1910</v>
      </c>
      <c r="P768" s="189">
        <f>IFERROR(__xludf.DUMMYFUNCTION("""COMPUTED_VALUE"""),1878.0)</f>
        <v>1878</v>
      </c>
      <c r="Q768" s="189">
        <f>IFERROR(__xludf.DUMMYFUNCTION("""COMPUTED_VALUE"""),1900.0)</f>
        <v>1900</v>
      </c>
      <c r="R768" s="186"/>
      <c r="S768" s="189">
        <f>IFERROR(__xludf.DUMMYFUNCTION("""COMPUTED_VALUE"""),1760.0)</f>
        <v>1760</v>
      </c>
    </row>
    <row r="769">
      <c r="A769" s="186" t="str">
        <f>IFERROR(__xludf.DUMMYFUNCTION("""COMPUTED_VALUE"""),"NORDICS")</f>
        <v>NORDICS</v>
      </c>
      <c r="B769" s="186" t="str">
        <f>IFERROR(__xludf.DUMMYFUNCTION("""COMPUTED_VALUE"""),"W13")</f>
        <v>W13</v>
      </c>
      <c r="C769" s="186">
        <f>IFERROR(__xludf.DUMMYFUNCTION("""COMPUTED_VALUE"""),607.0)</f>
        <v>607</v>
      </c>
      <c r="D769" s="186"/>
      <c r="E769" s="186"/>
      <c r="F769" s="186"/>
      <c r="G769" s="186" t="str">
        <f>IFERROR(__xludf.DUMMYFUNCTION("""COMPUTED_VALUE"""),"FE4053A")</f>
        <v>FE4053A</v>
      </c>
      <c r="H769" s="186"/>
      <c r="I769" s="186"/>
      <c r="J769" s="189">
        <f>IFERROR(__xludf.DUMMYFUNCTION("""COMPUTED_VALUE"""),1480.0)</f>
        <v>1480</v>
      </c>
      <c r="K769" s="189">
        <f>IFERROR(__xludf.DUMMYFUNCTION("""COMPUTED_VALUE"""),1388.0)</f>
        <v>1388</v>
      </c>
      <c r="L769" s="189">
        <f>IFERROR(__xludf.DUMMYFUNCTION("""COMPUTED_VALUE"""),2071.0)</f>
        <v>2071</v>
      </c>
      <c r="M769" s="189">
        <f>IFERROR(__xludf.DUMMYFUNCTION("""COMPUTED_VALUE"""),2066.0)</f>
        <v>2066</v>
      </c>
      <c r="N769" s="189">
        <f>IFERROR(__xludf.DUMMYFUNCTION("""COMPUTED_VALUE"""),1975.0)</f>
        <v>1975</v>
      </c>
      <c r="O769" s="189">
        <f>IFERROR(__xludf.DUMMYFUNCTION("""COMPUTED_VALUE"""),2022.0)</f>
        <v>2022</v>
      </c>
      <c r="P769" s="189">
        <f>IFERROR(__xludf.DUMMYFUNCTION("""COMPUTED_VALUE"""),2031.0)</f>
        <v>2031</v>
      </c>
      <c r="Q769" s="189">
        <f>IFERROR(__xludf.DUMMYFUNCTION("""COMPUTED_VALUE"""),2044.0)</f>
        <v>2044</v>
      </c>
      <c r="R769" s="186"/>
      <c r="S769" s="189">
        <f>IFERROR(__xludf.DUMMYFUNCTION("""COMPUTED_VALUE"""),1858.0)</f>
        <v>1858</v>
      </c>
    </row>
    <row r="770">
      <c r="A770" s="186" t="str">
        <f>IFERROR(__xludf.DUMMYFUNCTION("""COMPUTED_VALUE"""),"NORDICS")</f>
        <v>NORDICS</v>
      </c>
      <c r="B770" s="186" t="str">
        <f>IFERROR(__xludf.DUMMYFUNCTION("""COMPUTED_VALUE"""),"W13")</f>
        <v>W13</v>
      </c>
      <c r="C770" s="186">
        <f>IFERROR(__xludf.DUMMYFUNCTION("""COMPUTED_VALUE"""),608.0)</f>
        <v>608</v>
      </c>
      <c r="D770" s="186" t="str">
        <f>IFERROR(__xludf.DUMMYFUNCTION("""COMPUTED_VALUE"""),"CON-00-147819-2")</f>
        <v>CON-00-147819-2</v>
      </c>
      <c r="E770" s="186" t="str">
        <f>IFERROR(__xludf.DUMMYFUNCTION("""COMPUTED_VALUE"""),"Peruvian style chicken breast")</f>
        <v>Peruvian style chicken breast</v>
      </c>
      <c r="F770" s="186" t="str">
        <f>IFERROR(__xludf.DUMMYFUNCTION("""COMPUTED_VALUE"""),"Peruviansk inspireret kyllingebryst")</f>
        <v>Peruviansk inspireret kyllingebryst</v>
      </c>
      <c r="G770" s="186" t="str">
        <f>IFERROR(__xludf.DUMMYFUNCTION("""COMPUTED_VALUE"""),"FE0129G")</f>
        <v>FE0129G</v>
      </c>
      <c r="H770" s="186">
        <f>IFERROR(__xludf.DUMMYFUNCTION("""COMPUTED_VALUE"""),565193.0)</f>
        <v>565193</v>
      </c>
      <c r="I770" s="186" t="str">
        <f>IFERROR(__xludf.DUMMYFUNCTION("""COMPUTED_VALUE"""),"HF RW Peruaanse stijl kipfilet")</f>
        <v>HF RW Peruaanse stijl kipfilet</v>
      </c>
      <c r="J770" s="189">
        <f>IFERROR(__xludf.DUMMYFUNCTION("""COMPUTED_VALUE"""),1545.0)</f>
        <v>1545</v>
      </c>
      <c r="K770" s="189">
        <f>IFERROR(__xludf.DUMMYFUNCTION("""COMPUTED_VALUE"""),1394.0)</f>
        <v>1394</v>
      </c>
      <c r="L770" s="189">
        <f>IFERROR(__xludf.DUMMYFUNCTION("""COMPUTED_VALUE"""),1387.0)</f>
        <v>1387</v>
      </c>
      <c r="M770" s="189">
        <f>IFERROR(__xludf.DUMMYFUNCTION("""COMPUTED_VALUE"""),1384.0)</f>
        <v>1384</v>
      </c>
      <c r="N770" s="189">
        <f>IFERROR(__xludf.DUMMYFUNCTION("""COMPUTED_VALUE"""),1270.0)</f>
        <v>1270</v>
      </c>
      <c r="O770" s="189">
        <f>IFERROR(__xludf.DUMMYFUNCTION("""COMPUTED_VALUE"""),1293.0)</f>
        <v>1293</v>
      </c>
      <c r="P770" s="189">
        <f>IFERROR(__xludf.DUMMYFUNCTION("""COMPUTED_VALUE"""),1276.0)</f>
        <v>1276</v>
      </c>
      <c r="Q770" s="189">
        <f>IFERROR(__xludf.DUMMYFUNCTION("""COMPUTED_VALUE"""),1258.0)</f>
        <v>1258</v>
      </c>
      <c r="R770" s="186"/>
      <c r="S770" s="189">
        <f>IFERROR(__xludf.DUMMYFUNCTION("""COMPUTED_VALUE"""),1150.0)</f>
        <v>1150</v>
      </c>
    </row>
    <row r="771">
      <c r="A771" s="186" t="str">
        <f>IFERROR(__xludf.DUMMYFUNCTION("""COMPUTED_VALUE"""),"NORDICS")</f>
        <v>NORDICS</v>
      </c>
      <c r="B771" s="186" t="str">
        <f>IFERROR(__xludf.DUMMYFUNCTION("""COMPUTED_VALUE"""),"W13")</f>
        <v>W13</v>
      </c>
      <c r="C771" s="186">
        <f>IFERROR(__xludf.DUMMYFUNCTION("""COMPUTED_VALUE"""),609.0)</f>
        <v>609</v>
      </c>
      <c r="D771" s="186" t="str">
        <f>IFERROR(__xludf.DUMMYFUNCTION("""COMPUTED_VALUE"""),"CON-00-147816-2")</f>
        <v>CON-00-147816-2</v>
      </c>
      <c r="E771" s="186" t="str">
        <f>IFERROR(__xludf.DUMMYFUNCTION("""COMPUTED_VALUE"""),"Creamy tomato risotto")</f>
        <v>Creamy tomato risotto</v>
      </c>
      <c r="F771" s="186" t="str">
        <f>IFERROR(__xludf.DUMMYFUNCTION("""COMPUTED_VALUE"""),"Cremet tomatrisotto")</f>
        <v>Cremet tomatrisotto</v>
      </c>
      <c r="G771" s="186" t="str">
        <f>IFERROR(__xludf.DUMMYFUNCTION("""COMPUTED_VALUE"""),"FE0031C")</f>
        <v>FE0031C</v>
      </c>
      <c r="H771" s="186">
        <f>IFERROR(__xludf.DUMMYFUNCTION("""COMPUTED_VALUE"""),565244.0)</f>
        <v>565244</v>
      </c>
      <c r="I771" s="186" t="str">
        <f>IFERROR(__xludf.DUMMYFUNCTION("""COMPUTED_VALUE"""),"IO HF Romige tomatenrisotto V2")</f>
        <v>IO HF Romige tomatenrisotto V2</v>
      </c>
      <c r="J771" s="189">
        <f>IFERROR(__xludf.DUMMYFUNCTION("""COMPUTED_VALUE"""),338.0)</f>
        <v>338</v>
      </c>
      <c r="K771" s="189">
        <f>IFERROR(__xludf.DUMMYFUNCTION("""COMPUTED_VALUE"""),294.0)</f>
        <v>294</v>
      </c>
      <c r="L771" s="189">
        <f>IFERROR(__xludf.DUMMYFUNCTION("""COMPUTED_VALUE"""),314.0)</f>
        <v>314</v>
      </c>
      <c r="M771" s="189">
        <f>IFERROR(__xludf.DUMMYFUNCTION("""COMPUTED_VALUE"""),313.0)</f>
        <v>313</v>
      </c>
      <c r="N771" s="189">
        <f>IFERROR(__xludf.DUMMYFUNCTION("""COMPUTED_VALUE"""),308.0)</f>
        <v>308</v>
      </c>
      <c r="O771" s="189">
        <f>IFERROR(__xludf.DUMMYFUNCTION("""COMPUTED_VALUE"""),336.0)</f>
        <v>336</v>
      </c>
      <c r="P771" s="189">
        <f>IFERROR(__xludf.DUMMYFUNCTION("""COMPUTED_VALUE"""),349.0)</f>
        <v>349</v>
      </c>
      <c r="Q771" s="189">
        <f>IFERROR(__xludf.DUMMYFUNCTION("""COMPUTED_VALUE"""),366.0)</f>
        <v>366</v>
      </c>
      <c r="R771" s="186"/>
      <c r="S771" s="189">
        <f>IFERROR(__xludf.DUMMYFUNCTION("""COMPUTED_VALUE"""),338.0)</f>
        <v>338</v>
      </c>
    </row>
    <row r="772">
      <c r="A772" s="186" t="str">
        <f>IFERROR(__xludf.DUMMYFUNCTION("""COMPUTED_VALUE"""),"NORDICS")</f>
        <v>NORDICS</v>
      </c>
      <c r="B772" s="186" t="str">
        <f>IFERROR(__xludf.DUMMYFUNCTION("""COMPUTED_VALUE"""),"W13")</f>
        <v>W13</v>
      </c>
      <c r="C772" s="186">
        <f>IFERROR(__xludf.DUMMYFUNCTION("""COMPUTED_VALUE"""),610.0)</f>
        <v>610</v>
      </c>
      <c r="D772" s="186" t="str">
        <f>IFERROR(__xludf.DUMMYFUNCTION("""COMPUTED_VALUE"""),"CON-00-147817-2")</f>
        <v>CON-00-147817-2</v>
      </c>
      <c r="E772" s="186" t="str">
        <f>IFERROR(__xludf.DUMMYFUNCTION("""COMPUTED_VALUE"""),"Ratatouille of zucchini and pepper")</f>
        <v>Ratatouille of zucchini and pepper</v>
      </c>
      <c r="F772" s="186" t="str">
        <f>IFERROR(__xludf.DUMMYFUNCTION("""COMPUTED_VALUE"""),"Squash- og peberfrugtsratatouille")</f>
        <v>Squash- og peberfrugtsratatouille</v>
      </c>
      <c r="G772" s="186" t="str">
        <f>IFERROR(__xludf.DUMMYFUNCTION("""COMPUTED_VALUE"""),"FE0090C")</f>
        <v>FE0090C</v>
      </c>
      <c r="H772" s="186">
        <f>IFERROR(__xludf.DUMMYFUNCTION("""COMPUTED_VALUE"""),565141.0)</f>
        <v>565141</v>
      </c>
      <c r="I772" s="186"/>
      <c r="J772" s="189">
        <f>IFERROR(__xludf.DUMMYFUNCTION("""COMPUTED_VALUE"""),291.0)</f>
        <v>291</v>
      </c>
      <c r="K772" s="189">
        <f>IFERROR(__xludf.DUMMYFUNCTION("""COMPUTED_VALUE"""),264.0)</f>
        <v>264</v>
      </c>
      <c r="L772" s="189">
        <f>IFERROR(__xludf.DUMMYFUNCTION("""COMPUTED_VALUE"""),234.0)</f>
        <v>234</v>
      </c>
      <c r="M772" s="189">
        <f>IFERROR(__xludf.DUMMYFUNCTION("""COMPUTED_VALUE"""),233.0)</f>
        <v>233</v>
      </c>
      <c r="N772" s="189">
        <f>IFERROR(__xludf.DUMMYFUNCTION("""COMPUTED_VALUE"""),222.0)</f>
        <v>222</v>
      </c>
      <c r="O772" s="189">
        <f>IFERROR(__xludf.DUMMYFUNCTION("""COMPUTED_VALUE"""),239.0)</f>
        <v>239</v>
      </c>
      <c r="P772" s="189">
        <f>IFERROR(__xludf.DUMMYFUNCTION("""COMPUTED_VALUE"""),243.0)</f>
        <v>243</v>
      </c>
      <c r="Q772" s="189">
        <f>IFERROR(__xludf.DUMMYFUNCTION("""COMPUTED_VALUE"""),261.0)</f>
        <v>261</v>
      </c>
      <c r="R772" s="186"/>
      <c r="S772" s="189">
        <f>IFERROR(__xludf.DUMMYFUNCTION("""COMPUTED_VALUE"""),240.0)</f>
        <v>240</v>
      </c>
    </row>
    <row r="773">
      <c r="A773" s="186" t="str">
        <f>IFERROR(__xludf.DUMMYFUNCTION("""COMPUTED_VALUE"""),"NORDICS")</f>
        <v>NORDICS</v>
      </c>
      <c r="B773" s="186" t="str">
        <f>IFERROR(__xludf.DUMMYFUNCTION("""COMPUTED_VALUE"""),"W13")</f>
        <v>W13</v>
      </c>
      <c r="C773" s="186">
        <f>IFERROR(__xludf.DUMMYFUNCTION("""COMPUTED_VALUE"""),611.0)</f>
        <v>611</v>
      </c>
      <c r="D773" s="186" t="str">
        <f>IFERROR(__xludf.DUMMYFUNCTION("""COMPUTED_VALUE"""),"CON-00-147907-2")</f>
        <v>CON-00-147907-2</v>
      </c>
      <c r="E773" s="186" t="str">
        <f>IFERROR(__xludf.DUMMYFUNCTION("""COMPUTED_VALUE"""),"Artichoke &amp; Spinach Pork tenderloin")</f>
        <v>Artichoke &amp; Spinach Pork tenderloin</v>
      </c>
      <c r="F773" s="186" t="str">
        <f>IFERROR(__xludf.DUMMYFUNCTION("""COMPUTED_VALUE"""),"Svinemørbrad med artiskok og spinat ")</f>
        <v>Svinemørbrad med artiskok og spinat </v>
      </c>
      <c r="G773" s="186" t="str">
        <f>IFERROR(__xludf.DUMMYFUNCTION("""COMPUTED_VALUE"""),"FE4060A")</f>
        <v>FE4060A</v>
      </c>
      <c r="H773" s="186">
        <f>IFERROR(__xludf.DUMMYFUNCTION("""COMPUTED_VALUE"""),565134.0)</f>
        <v>565134</v>
      </c>
      <c r="I773" s="186"/>
      <c r="J773" s="189">
        <f>IFERROR(__xludf.DUMMYFUNCTION("""COMPUTED_VALUE"""),677.0)</f>
        <v>677</v>
      </c>
      <c r="K773" s="189">
        <f>IFERROR(__xludf.DUMMYFUNCTION("""COMPUTED_VALUE"""),638.0)</f>
        <v>638</v>
      </c>
      <c r="L773" s="189">
        <f>IFERROR(__xludf.DUMMYFUNCTION("""COMPUTED_VALUE"""),424.0)</f>
        <v>424</v>
      </c>
      <c r="M773" s="189">
        <f>IFERROR(__xludf.DUMMYFUNCTION("""COMPUTED_VALUE"""),423.0)</f>
        <v>423</v>
      </c>
      <c r="N773" s="189">
        <f>IFERROR(__xludf.DUMMYFUNCTION("""COMPUTED_VALUE"""),473.0)</f>
        <v>473</v>
      </c>
      <c r="O773" s="189">
        <f>IFERROR(__xludf.DUMMYFUNCTION("""COMPUTED_VALUE"""),493.0)</f>
        <v>493</v>
      </c>
      <c r="P773" s="189">
        <f>IFERROR(__xludf.DUMMYFUNCTION("""COMPUTED_VALUE"""),510.0)</f>
        <v>510</v>
      </c>
      <c r="Q773" s="189">
        <f>IFERROR(__xludf.DUMMYFUNCTION("""COMPUTED_VALUE"""),519.0)</f>
        <v>519</v>
      </c>
      <c r="R773" s="186"/>
      <c r="S773" s="189">
        <f>IFERROR(__xludf.DUMMYFUNCTION("""COMPUTED_VALUE"""),488.0)</f>
        <v>488</v>
      </c>
    </row>
    <row r="774">
      <c r="A774" s="186" t="str">
        <f>IFERROR(__xludf.DUMMYFUNCTION("""COMPUTED_VALUE"""),"NORDICS")</f>
        <v>NORDICS</v>
      </c>
      <c r="B774" s="186" t="str">
        <f>IFERROR(__xludf.DUMMYFUNCTION("""COMPUTED_VALUE"""),"W13")</f>
        <v>W13</v>
      </c>
      <c r="C774" s="186">
        <f>IFERROR(__xludf.DUMMYFUNCTION("""COMPUTED_VALUE"""),612.0)</f>
        <v>612</v>
      </c>
      <c r="D774" s="186" t="str">
        <f>IFERROR(__xludf.DUMMYFUNCTION("""COMPUTED_VALUE"""),"CON-00-155004-2")</f>
        <v>CON-00-155004-2</v>
      </c>
      <c r="E774" s="186" t="str">
        <f>IFERROR(__xludf.DUMMYFUNCTION("""COMPUTED_VALUE"""),"Tzatziki Salmon &amp; Lemon Rice")</f>
        <v>Tzatziki Salmon &amp; Lemon Rice</v>
      </c>
      <c r="F774" s="186" t="str">
        <f>IFERROR(__xludf.DUMMYFUNCTION("""COMPUTED_VALUE"""),"Laks med tzatziki og citronris")</f>
        <v>Laks med tzatziki og citronris</v>
      </c>
      <c r="G774" s="186" t="str">
        <f>IFERROR(__xludf.DUMMYFUNCTION("""COMPUTED_VALUE"""),"FE1439A")</f>
        <v>FE1439A</v>
      </c>
      <c r="H774" s="186">
        <f>IFERROR(__xludf.DUMMYFUNCTION("""COMPUTED_VALUE"""),565236.0)</f>
        <v>565236</v>
      </c>
      <c r="I774" s="186" t="str">
        <f>IFERROR(__xludf.DUMMYFUNCTION("""COMPUTED_VALUE"""),"HF Zalm met citroen rijst")</f>
        <v>HF Zalm met citroen rijst</v>
      </c>
      <c r="J774" s="189">
        <f>IFERROR(__xludf.DUMMYFUNCTION("""COMPUTED_VALUE"""),2142.0)</f>
        <v>2142</v>
      </c>
      <c r="K774" s="189">
        <f>IFERROR(__xludf.DUMMYFUNCTION("""COMPUTED_VALUE"""),2101.0)</f>
        <v>2101</v>
      </c>
      <c r="L774" s="189">
        <f>IFERROR(__xludf.DUMMYFUNCTION("""COMPUTED_VALUE"""),1992.0)</f>
        <v>1992</v>
      </c>
      <c r="M774" s="189">
        <f>IFERROR(__xludf.DUMMYFUNCTION("""COMPUTED_VALUE"""),1987.0)</f>
        <v>1987</v>
      </c>
      <c r="N774" s="189">
        <f>IFERROR(__xludf.DUMMYFUNCTION("""COMPUTED_VALUE"""),2130.0)</f>
        <v>2130</v>
      </c>
      <c r="O774" s="189">
        <f>IFERROR(__xludf.DUMMYFUNCTION("""COMPUTED_VALUE"""),2202.0)</f>
        <v>2202</v>
      </c>
      <c r="P774" s="189">
        <f>IFERROR(__xludf.DUMMYFUNCTION("""COMPUTED_VALUE"""),2213.0)</f>
        <v>2213</v>
      </c>
      <c r="Q774" s="189">
        <f>IFERROR(__xludf.DUMMYFUNCTION("""COMPUTED_VALUE"""),2203.0)</f>
        <v>2203</v>
      </c>
      <c r="R774" s="186"/>
      <c r="S774" s="189">
        <f>IFERROR(__xludf.DUMMYFUNCTION("""COMPUTED_VALUE"""),2096.0)</f>
        <v>2096</v>
      </c>
    </row>
    <row r="775">
      <c r="A775" s="186" t="str">
        <f>IFERROR(__xludf.DUMMYFUNCTION("""COMPUTED_VALUE"""),"NORDICS")</f>
        <v>NORDICS</v>
      </c>
      <c r="B775" s="186" t="str">
        <f>IFERROR(__xludf.DUMMYFUNCTION("""COMPUTED_VALUE"""),"W13")</f>
        <v>W13</v>
      </c>
      <c r="C775" s="186">
        <f>IFERROR(__xludf.DUMMYFUNCTION("""COMPUTED_VALUE"""),613.0)</f>
        <v>613</v>
      </c>
      <c r="D775" s="186" t="str">
        <f>IFERROR(__xludf.DUMMYFUNCTION("""COMPUTED_VALUE"""),"CON-00-155634-2")</f>
        <v>CON-00-155634-2</v>
      </c>
      <c r="E775" s="186" t="str">
        <f>IFERROR(__xludf.DUMMYFUNCTION("""COMPUTED_VALUE"""),"Cajun Chicken, Tomato Gravy &amp; Mashed Potatoes")</f>
        <v>Cajun Chicken, Tomato Gravy &amp; Mashed Potatoes</v>
      </c>
      <c r="F775" s="186" t="str">
        <f>IFERROR(__xludf.DUMMYFUNCTION("""COMPUTED_VALUE"""),"Cajun-krydret kylling med tomatsauce og kartoffelmos")</f>
        <v>Cajun-krydret kylling med tomatsauce og kartoffelmos</v>
      </c>
      <c r="G775" s="186" t="str">
        <f>IFERROR(__xludf.DUMMYFUNCTION("""COMPUTED_VALUE"""),"FE4081A")</f>
        <v>FE4081A</v>
      </c>
      <c r="H775" s="186">
        <f>IFERROR(__xludf.DUMMYFUNCTION("""COMPUTED_VALUE"""),565255.0)</f>
        <v>565255</v>
      </c>
      <c r="I775" s="186" t="str">
        <f>IFERROR(__xludf.DUMMYFUNCTION("""COMPUTED_VALUE"""),"HF Cajun chicken tomato gravy")</f>
        <v>HF Cajun chicken tomato gravy</v>
      </c>
      <c r="J775" s="189">
        <f>IFERROR(__xludf.DUMMYFUNCTION("""COMPUTED_VALUE"""),2291.0)</f>
        <v>2291</v>
      </c>
      <c r="K775" s="189">
        <f>IFERROR(__xludf.DUMMYFUNCTION("""COMPUTED_VALUE"""),2171.0)</f>
        <v>2171</v>
      </c>
      <c r="L775" s="189">
        <f>IFERROR(__xludf.DUMMYFUNCTION("""COMPUTED_VALUE"""),2128.0)</f>
        <v>2128</v>
      </c>
      <c r="M775" s="189">
        <f>IFERROR(__xludf.DUMMYFUNCTION("""COMPUTED_VALUE"""),2123.0)</f>
        <v>2123</v>
      </c>
      <c r="N775" s="189">
        <f>IFERROR(__xludf.DUMMYFUNCTION("""COMPUTED_VALUE"""),2161.0)</f>
        <v>2161</v>
      </c>
      <c r="O775" s="189">
        <f>IFERROR(__xludf.DUMMYFUNCTION("""COMPUTED_VALUE"""),2173.0)</f>
        <v>2173</v>
      </c>
      <c r="P775" s="189">
        <f>IFERROR(__xludf.DUMMYFUNCTION("""COMPUTED_VALUE"""),2133.0)</f>
        <v>2133</v>
      </c>
      <c r="Q775" s="189">
        <f>IFERROR(__xludf.DUMMYFUNCTION("""COMPUTED_VALUE"""),2090.0)</f>
        <v>2090</v>
      </c>
      <c r="R775" s="186"/>
      <c r="S775" s="189">
        <f>IFERROR(__xludf.DUMMYFUNCTION("""COMPUTED_VALUE"""),1977.0)</f>
        <v>1977</v>
      </c>
    </row>
    <row r="776">
      <c r="A776" s="186" t="str">
        <f>IFERROR(__xludf.DUMMYFUNCTION("""COMPUTED_VALUE"""),"NORDICS")</f>
        <v>NORDICS</v>
      </c>
      <c r="B776" s="186" t="str">
        <f>IFERROR(__xludf.DUMMYFUNCTION("""COMPUTED_VALUE"""),"W13")</f>
        <v>W13</v>
      </c>
      <c r="C776" s="186">
        <f>IFERROR(__xludf.DUMMYFUNCTION("""COMPUTED_VALUE"""),614.0)</f>
        <v>614</v>
      </c>
      <c r="D776" s="186" t="str">
        <f>IFERROR(__xludf.DUMMYFUNCTION("""COMPUTED_VALUE"""),"CON-00-152026-2")</f>
        <v>CON-00-152026-2</v>
      </c>
      <c r="E776" s="186" t="str">
        <f>IFERROR(__xludf.DUMMYFUNCTION("""COMPUTED_VALUE"""),"Ginger Garlic Grilled Chicken")</f>
        <v>Ginger Garlic Grilled Chicken</v>
      </c>
      <c r="F776" s="186" t="str">
        <f>IFERROR(__xludf.DUMMYFUNCTION("""COMPUTED_VALUE"""),"Grillet kylling med ingefær og hvidløg")</f>
        <v>Grillet kylling med ingefær og hvidløg</v>
      </c>
      <c r="G776" s="186" t="str">
        <f>IFERROR(__xludf.DUMMYFUNCTION("""COMPUTED_VALUE"""),"FE4064A")</f>
        <v>FE4064A</v>
      </c>
      <c r="H776" s="186">
        <f>IFERROR(__xludf.DUMMYFUNCTION("""COMPUTED_VALUE"""),565211.0)</f>
        <v>565211</v>
      </c>
      <c r="I776" s="186" t="str">
        <f>IFERROR(__xludf.DUMMYFUNCTION("""COMPUTED_VALUE"""),"HF Gember knoflook kip")</f>
        <v>HF Gember knoflook kip</v>
      </c>
      <c r="J776" s="189">
        <f>IFERROR(__xludf.DUMMYFUNCTION("""COMPUTED_VALUE"""),1098.0)</f>
        <v>1098</v>
      </c>
      <c r="K776" s="189">
        <f>IFERROR(__xludf.DUMMYFUNCTION("""COMPUTED_VALUE"""),1020.0)</f>
        <v>1020</v>
      </c>
      <c r="L776" s="189">
        <f>IFERROR(__xludf.DUMMYFUNCTION("""COMPUTED_VALUE"""),629.0)</f>
        <v>629</v>
      </c>
      <c r="M776" s="189">
        <f>IFERROR(__xludf.DUMMYFUNCTION("""COMPUTED_VALUE"""),627.0)</f>
        <v>627</v>
      </c>
      <c r="N776" s="189">
        <f>IFERROR(__xludf.DUMMYFUNCTION("""COMPUTED_VALUE"""),650.0)</f>
        <v>650</v>
      </c>
      <c r="O776" s="189">
        <f>IFERROR(__xludf.DUMMYFUNCTION("""COMPUTED_VALUE"""),688.0)</f>
        <v>688</v>
      </c>
      <c r="P776" s="189">
        <f>IFERROR(__xludf.DUMMYFUNCTION("""COMPUTED_VALUE"""),682.0)</f>
        <v>682</v>
      </c>
      <c r="Q776" s="189">
        <f>IFERROR(__xludf.DUMMYFUNCTION("""COMPUTED_VALUE"""),685.0)</f>
        <v>685</v>
      </c>
      <c r="R776" s="186"/>
      <c r="S776" s="189">
        <f>IFERROR(__xludf.DUMMYFUNCTION("""COMPUTED_VALUE"""),670.0)</f>
        <v>670</v>
      </c>
    </row>
    <row r="777">
      <c r="A777" s="186" t="str">
        <f>IFERROR(__xludf.DUMMYFUNCTION("""COMPUTED_VALUE"""),"NORDICS")</f>
        <v>NORDICS</v>
      </c>
      <c r="B777" s="186" t="str">
        <f>IFERROR(__xludf.DUMMYFUNCTION("""COMPUTED_VALUE"""),"W13")</f>
        <v>W13</v>
      </c>
      <c r="C777" s="186">
        <f>IFERROR(__xludf.DUMMYFUNCTION("""COMPUTED_VALUE"""),615.0)</f>
        <v>615</v>
      </c>
      <c r="D777" s="186" t="str">
        <f>IFERROR(__xludf.DUMMYFUNCTION("""COMPUTED_VALUE"""),"CON-00-147839-2")</f>
        <v>CON-00-147839-2</v>
      </c>
      <c r="E777" s="186" t="str">
        <f>IFERROR(__xludf.DUMMYFUNCTION("""COMPUTED_VALUE"""),"Braised beef in herby jus")</f>
        <v>Braised beef in herby jus</v>
      </c>
      <c r="F777" s="186" t="str">
        <f>IFERROR(__xludf.DUMMYFUNCTION("""COMPUTED_VALUE"""),"Braiseret oksekød i urtesauce")</f>
        <v>Braiseret oksekød i urtesauce</v>
      </c>
      <c r="G777" s="186" t="str">
        <f>IFERROR(__xludf.DUMMYFUNCTION("""COMPUTED_VALUE"""),"FE0413F")</f>
        <v>FE0413F</v>
      </c>
      <c r="H777" s="186">
        <f>IFERROR(__xludf.DUMMYFUNCTION("""COMPUTED_VALUE"""),565089.0)</f>
        <v>565089</v>
      </c>
      <c r="I777" s="186" t="str">
        <f>IFERROR(__xludf.DUMMYFUNCTION("""COMPUTED_VALUE"""),"HF Franse stijl rundvlees")</f>
        <v>HF Franse stijl rundvlees</v>
      </c>
      <c r="J777" s="189">
        <f>IFERROR(__xludf.DUMMYFUNCTION("""COMPUTED_VALUE"""),874.0)</f>
        <v>874</v>
      </c>
      <c r="K777" s="189">
        <f>IFERROR(__xludf.DUMMYFUNCTION("""COMPUTED_VALUE"""),825.0)</f>
        <v>825</v>
      </c>
      <c r="L777" s="189">
        <f>IFERROR(__xludf.DUMMYFUNCTION("""COMPUTED_VALUE"""),1026.0)</f>
        <v>1026</v>
      </c>
      <c r="M777" s="189">
        <f>IFERROR(__xludf.DUMMYFUNCTION("""COMPUTED_VALUE"""),1024.0)</f>
        <v>1024</v>
      </c>
      <c r="N777" s="189">
        <f>IFERROR(__xludf.DUMMYFUNCTION("""COMPUTED_VALUE"""),1018.0)</f>
        <v>1018</v>
      </c>
      <c r="O777" s="189">
        <f>IFERROR(__xludf.DUMMYFUNCTION("""COMPUTED_VALUE"""),1026.0)</f>
        <v>1026</v>
      </c>
      <c r="P777" s="189">
        <f>IFERROR(__xludf.DUMMYFUNCTION("""COMPUTED_VALUE"""),1050.0)</f>
        <v>1050</v>
      </c>
      <c r="Q777" s="189">
        <f>IFERROR(__xludf.DUMMYFUNCTION("""COMPUTED_VALUE"""),1063.0)</f>
        <v>1063</v>
      </c>
      <c r="R777" s="186"/>
      <c r="S777" s="189">
        <f>IFERROR(__xludf.DUMMYFUNCTION("""COMPUTED_VALUE"""),970.0)</f>
        <v>970</v>
      </c>
    </row>
    <row r="778">
      <c r="A778" s="186" t="str">
        <f>IFERROR(__xludf.DUMMYFUNCTION("""COMPUTED_VALUE"""),"NORDICS")</f>
        <v>NORDICS</v>
      </c>
      <c r="B778" s="186" t="str">
        <f>IFERROR(__xludf.DUMMYFUNCTION("""COMPUTED_VALUE"""),"W13")</f>
        <v>W13</v>
      </c>
      <c r="C778" s="186">
        <f>IFERROR(__xludf.DUMMYFUNCTION("""COMPUTED_VALUE"""),616.0)</f>
        <v>616</v>
      </c>
      <c r="D778" s="186" t="str">
        <f>IFERROR(__xludf.DUMMYFUNCTION("""COMPUTED_VALUE"""),"CON-00-147823-2")</f>
        <v>CON-00-147823-2</v>
      </c>
      <c r="E778" s="186" t="str">
        <f>IFERROR(__xludf.DUMMYFUNCTION("""COMPUTED_VALUE"""),"Beef Shepherd's Pie")</f>
        <v>Beef Shepherd's Pie</v>
      </c>
      <c r="F778" s="186" t="str">
        <f>IFERROR(__xludf.DUMMYFUNCTION("""COMPUTED_VALUE"""),"Shepherd's Pie med oksekød ")</f>
        <v>Shepherd's Pie med oksekød </v>
      </c>
      <c r="G778" s="186" t="str">
        <f>IFERROR(__xludf.DUMMYFUNCTION("""COMPUTED_VALUE"""),"FE0160C")</f>
        <v>FE0160C</v>
      </c>
      <c r="H778" s="186">
        <f>IFERROR(__xludf.DUMMYFUNCTION("""COMPUTED_VALUE"""),565153.0)</f>
        <v>565153</v>
      </c>
      <c r="I778" s="186" t="str">
        <f>IFERROR(__xludf.DUMMYFUNCTION("""COMPUTED_VALUE"""),"HF Beef Shephards Pie")</f>
        <v>HF Beef Shephards Pie</v>
      </c>
      <c r="J778" s="189">
        <f>IFERROR(__xludf.DUMMYFUNCTION("""COMPUTED_VALUE"""),810.0)</f>
        <v>810</v>
      </c>
      <c r="K778" s="189">
        <f>IFERROR(__xludf.DUMMYFUNCTION("""COMPUTED_VALUE"""),743.0)</f>
        <v>743</v>
      </c>
      <c r="L778" s="189">
        <f>IFERROR(__xludf.DUMMYFUNCTION("""COMPUTED_VALUE"""),929.0)</f>
        <v>929</v>
      </c>
      <c r="M778" s="189">
        <f>IFERROR(__xludf.DUMMYFUNCTION("""COMPUTED_VALUE"""),927.0)</f>
        <v>927</v>
      </c>
      <c r="N778" s="189">
        <f>IFERROR(__xludf.DUMMYFUNCTION("""COMPUTED_VALUE"""),879.0)</f>
        <v>879</v>
      </c>
      <c r="O778" s="189">
        <f>IFERROR(__xludf.DUMMYFUNCTION("""COMPUTED_VALUE"""),915.0)</f>
        <v>915</v>
      </c>
      <c r="P778" s="189">
        <f>IFERROR(__xludf.DUMMYFUNCTION("""COMPUTED_VALUE"""),928.0)</f>
        <v>928</v>
      </c>
      <c r="Q778" s="189">
        <f>IFERROR(__xludf.DUMMYFUNCTION("""COMPUTED_VALUE"""),877.0)</f>
        <v>877</v>
      </c>
      <c r="R778" s="186"/>
      <c r="S778" s="189">
        <f>IFERROR(__xludf.DUMMYFUNCTION("""COMPUTED_VALUE"""),810.0)</f>
        <v>810</v>
      </c>
    </row>
    <row r="779">
      <c r="A779" s="186" t="str">
        <f>IFERROR(__xludf.DUMMYFUNCTION("""COMPUTED_VALUE"""),"NORDICS")</f>
        <v>NORDICS</v>
      </c>
      <c r="B779" s="186" t="str">
        <f>IFERROR(__xludf.DUMMYFUNCTION("""COMPUTED_VALUE"""),"W13")</f>
        <v>W13</v>
      </c>
      <c r="C779" s="186">
        <f>IFERROR(__xludf.DUMMYFUNCTION("""COMPUTED_VALUE"""),617.0)</f>
        <v>617</v>
      </c>
      <c r="D779" s="186" t="str">
        <f>IFERROR(__xludf.DUMMYFUNCTION("""COMPUTED_VALUE"""),"CON-00-155388-2")</f>
        <v>CON-00-155388-2</v>
      </c>
      <c r="E779" s="186" t="str">
        <f>IFERROR(__xludf.DUMMYFUNCTION("""COMPUTED_VALUE"""),"Creamy Pistou Pork Tenderloin")</f>
        <v>Creamy Pistou Pork Tenderloin</v>
      </c>
      <c r="F779" s="186" t="str">
        <f>IFERROR(__xludf.DUMMYFUNCTION("""COMPUTED_VALUE"""),"Svinefilet i cremet pistou-sauce")</f>
        <v>Svinefilet i cremet pistou-sauce</v>
      </c>
      <c r="G779" s="186" t="str">
        <f>IFERROR(__xludf.DUMMYFUNCTION("""COMPUTED_VALUE"""),"FE0959A")</f>
        <v>FE0959A</v>
      </c>
      <c r="H779" s="186">
        <f>IFERROR(__xludf.DUMMYFUNCTION("""COMPUTED_VALUE"""),565256.0)</f>
        <v>565256</v>
      </c>
      <c r="I779" s="186" t="str">
        <f>IFERROR(__xludf.DUMMYFUNCTION("""COMPUTED_VALUE"""),"HF Varkenshaas romige pesto")</f>
        <v>HF Varkenshaas romige pesto</v>
      </c>
      <c r="J779" s="189">
        <f>IFERROR(__xludf.DUMMYFUNCTION("""COMPUTED_VALUE"""),1223.0)</f>
        <v>1223</v>
      </c>
      <c r="K779" s="189">
        <f>IFERROR(__xludf.DUMMYFUNCTION("""COMPUTED_VALUE"""),1124.0)</f>
        <v>1124</v>
      </c>
      <c r="L779" s="189">
        <f>IFERROR(__xludf.DUMMYFUNCTION("""COMPUTED_VALUE"""),931.0)</f>
        <v>931</v>
      </c>
      <c r="M779" s="189">
        <f>IFERROR(__xludf.DUMMYFUNCTION("""COMPUTED_VALUE"""),929.0)</f>
        <v>929</v>
      </c>
      <c r="N779" s="189">
        <f>IFERROR(__xludf.DUMMYFUNCTION("""COMPUTED_VALUE"""),989.0)</f>
        <v>989</v>
      </c>
      <c r="O779" s="189">
        <f>IFERROR(__xludf.DUMMYFUNCTION("""COMPUTED_VALUE"""),981.0)</f>
        <v>981</v>
      </c>
      <c r="P779" s="189">
        <f>IFERROR(__xludf.DUMMYFUNCTION("""COMPUTED_VALUE"""),970.0)</f>
        <v>970</v>
      </c>
      <c r="Q779" s="189">
        <f>IFERROR(__xludf.DUMMYFUNCTION("""COMPUTED_VALUE"""),963.0)</f>
        <v>963</v>
      </c>
      <c r="R779" s="186"/>
      <c r="S779" s="189">
        <f>IFERROR(__xludf.DUMMYFUNCTION("""COMPUTED_VALUE"""),934.0)</f>
        <v>934</v>
      </c>
    </row>
    <row r="780">
      <c r="A780" s="186" t="str">
        <f>IFERROR(__xludf.DUMMYFUNCTION("""COMPUTED_VALUE"""),"NORDICS")</f>
        <v>NORDICS</v>
      </c>
      <c r="B780" s="186" t="str">
        <f>IFERROR(__xludf.DUMMYFUNCTION("""COMPUTED_VALUE"""),"W13")</f>
        <v>W13</v>
      </c>
      <c r="C780" s="186">
        <f>IFERROR(__xludf.DUMMYFUNCTION("""COMPUTED_VALUE"""),618.0)</f>
        <v>618</v>
      </c>
      <c r="D780" s="186" t="str">
        <f>IFERROR(__xludf.DUMMYFUNCTION("""COMPUTED_VALUE"""),"CON-00-147864-2")</f>
        <v>CON-00-147864-2</v>
      </c>
      <c r="E780" s="186" t="str">
        <f>IFERROR(__xludf.DUMMYFUNCTION("""COMPUTED_VALUE"""),"Pork tenderloin in spicy ancho chili sauce")</f>
        <v>Pork tenderloin in spicy ancho chili sauce</v>
      </c>
      <c r="F780" s="186" t="str">
        <f>IFERROR(__xludf.DUMMYFUNCTION("""COMPUTED_VALUE"""),"Svinemørbrad i ancho- og chilisauce")</f>
        <v>Svinemørbrad i ancho- og chilisauce</v>
      </c>
      <c r="G780" s="186" t="str">
        <f>IFERROR(__xludf.DUMMYFUNCTION("""COMPUTED_VALUE"""),"FE1072B")</f>
        <v>FE1072B</v>
      </c>
      <c r="H780" s="186">
        <f>IFERROR(__xludf.DUMMYFUNCTION("""COMPUTED_VALUE"""),565095.0)</f>
        <v>565095</v>
      </c>
      <c r="I780" s="186" t="str">
        <f>IFERROR(__xludf.DUMMYFUNCTION("""COMPUTED_VALUE"""),"HF V.haas pittige ancho chili")</f>
        <v>HF V.haas pittige ancho chili</v>
      </c>
      <c r="J780" s="189">
        <f>IFERROR(__xludf.DUMMYFUNCTION("""COMPUTED_VALUE"""),845.0)</f>
        <v>845</v>
      </c>
      <c r="K780" s="189">
        <f>IFERROR(__xludf.DUMMYFUNCTION("""COMPUTED_VALUE"""),804.0)</f>
        <v>804</v>
      </c>
      <c r="L780" s="189">
        <f>IFERROR(__xludf.DUMMYFUNCTION("""COMPUTED_VALUE"""),637.0)</f>
        <v>637</v>
      </c>
      <c r="M780" s="189">
        <f>IFERROR(__xludf.DUMMYFUNCTION("""COMPUTED_VALUE"""),635.0)</f>
        <v>635</v>
      </c>
      <c r="N780" s="189">
        <f>IFERROR(__xludf.DUMMYFUNCTION("""COMPUTED_VALUE"""),652.0)</f>
        <v>652</v>
      </c>
      <c r="O780" s="189">
        <f>IFERROR(__xludf.DUMMYFUNCTION("""COMPUTED_VALUE"""),682.0)</f>
        <v>682</v>
      </c>
      <c r="P780" s="189">
        <f>IFERROR(__xludf.DUMMYFUNCTION("""COMPUTED_VALUE"""),673.0)</f>
        <v>673</v>
      </c>
      <c r="Q780" s="189">
        <f>IFERROR(__xludf.DUMMYFUNCTION("""COMPUTED_VALUE"""),689.0)</f>
        <v>689</v>
      </c>
      <c r="R780" s="186"/>
      <c r="S780" s="189">
        <f>IFERROR(__xludf.DUMMYFUNCTION("""COMPUTED_VALUE"""),638.0)</f>
        <v>638</v>
      </c>
    </row>
    <row r="781">
      <c r="A781" s="186" t="str">
        <f>IFERROR(__xludf.DUMMYFUNCTION("""COMPUTED_VALUE"""),"NORDICS")</f>
        <v>NORDICS</v>
      </c>
      <c r="B781" s="186" t="str">
        <f>IFERROR(__xludf.DUMMYFUNCTION("""COMPUTED_VALUE"""),"W13")</f>
        <v>W13</v>
      </c>
      <c r="C781" s="186">
        <f>IFERROR(__xludf.DUMMYFUNCTION("""COMPUTED_VALUE"""),706.0)</f>
        <v>706</v>
      </c>
      <c r="D781" s="186" t="str">
        <f>IFERROR(__xludf.DUMMYFUNCTION("""COMPUTED_VALUE"""),"PTN-00-148223-2")</f>
        <v>PTN-00-148223-2</v>
      </c>
      <c r="E781" s="186" t="str">
        <f>IFERROR(__xludf.DUMMYFUNCTION("""COMPUTED_VALUE"""),"Garlic Herb Grilled Chicken")</f>
        <v>Garlic Herb Grilled Chicken</v>
      </c>
      <c r="F781" s="186" t="str">
        <f>IFERROR(__xludf.DUMMYFUNCTION("""COMPUTED_VALUE"""),"Grillet kylling med hvidlød og urter")</f>
        <v>Grillet kylling med hvidlød og urter</v>
      </c>
      <c r="G781" s="186" t="str">
        <f>IFERROR(__xludf.DUMMYFUNCTION("""COMPUTED_VALUE"""),"FEA006A")</f>
        <v>FEA006A</v>
      </c>
      <c r="H781" s="186">
        <f>IFERROR(__xludf.DUMMYFUNCTION("""COMPUTED_VALUE"""),565119.0)</f>
        <v>565119</v>
      </c>
      <c r="I781" s="186"/>
      <c r="J781" s="189">
        <f>IFERROR(__xludf.DUMMYFUNCTION("""COMPUTED_VALUE"""),56.0)</f>
        <v>56</v>
      </c>
      <c r="K781" s="189">
        <f>IFERROR(__xludf.DUMMYFUNCTION("""COMPUTED_VALUE"""),56.0)</f>
        <v>56</v>
      </c>
      <c r="L781" s="189">
        <f>IFERROR(__xludf.DUMMYFUNCTION("""COMPUTED_VALUE"""),48.0)</f>
        <v>48</v>
      </c>
      <c r="M781" s="189">
        <f>IFERROR(__xludf.DUMMYFUNCTION("""COMPUTED_VALUE"""),48.0)</f>
        <v>48</v>
      </c>
      <c r="N781" s="189">
        <f>IFERROR(__xludf.DUMMYFUNCTION("""COMPUTED_VALUE"""),48.0)</f>
        <v>48</v>
      </c>
      <c r="O781" s="189">
        <f>IFERROR(__xludf.DUMMYFUNCTION("""COMPUTED_VALUE"""),48.0)</f>
        <v>48</v>
      </c>
      <c r="P781" s="189">
        <f>IFERROR(__xludf.DUMMYFUNCTION("""COMPUTED_VALUE"""),48.0)</f>
        <v>48</v>
      </c>
      <c r="Q781" s="189">
        <f>IFERROR(__xludf.DUMMYFUNCTION("""COMPUTED_VALUE"""),48.0)</f>
        <v>48</v>
      </c>
      <c r="R781" s="186"/>
      <c r="S781" s="189">
        <f>IFERROR(__xludf.DUMMYFUNCTION("""COMPUTED_VALUE"""),49.0)</f>
        <v>49</v>
      </c>
    </row>
    <row r="782">
      <c r="A782" s="186" t="str">
        <f>IFERROR(__xludf.DUMMYFUNCTION("""COMPUTED_VALUE"""),"NORDICS")</f>
        <v>NORDICS</v>
      </c>
      <c r="B782" s="186" t="str">
        <f>IFERROR(__xludf.DUMMYFUNCTION("""COMPUTED_VALUE"""),"W13")</f>
        <v>W13</v>
      </c>
      <c r="C782" s="186"/>
      <c r="D782" s="186"/>
      <c r="E782" s="186"/>
      <c r="F782" s="186"/>
      <c r="G782" s="186"/>
      <c r="H782" s="186"/>
      <c r="I782" s="186"/>
      <c r="J782" s="189">
        <f>IFERROR(__xludf.DUMMYFUNCTION("""COMPUTED_VALUE"""),30069.0)</f>
        <v>30069</v>
      </c>
      <c r="K782" s="189">
        <f>IFERROR(__xludf.DUMMYFUNCTION("""COMPUTED_VALUE"""),29126.0)</f>
        <v>29126</v>
      </c>
      <c r="L782" s="189">
        <f>IFERROR(__xludf.DUMMYFUNCTION("""COMPUTED_VALUE"""),28737.0)</f>
        <v>28737</v>
      </c>
      <c r="M782" s="189">
        <f>IFERROR(__xludf.DUMMYFUNCTION("""COMPUTED_VALUE"""),28667.0)</f>
        <v>28667</v>
      </c>
      <c r="N782" s="189">
        <f>IFERROR(__xludf.DUMMYFUNCTION("""COMPUTED_VALUE"""),29441.0)</f>
        <v>29441</v>
      </c>
      <c r="O782" s="189">
        <f>IFERROR(__xludf.DUMMYFUNCTION("""COMPUTED_VALUE"""),29773.0)</f>
        <v>29773</v>
      </c>
      <c r="P782" s="189">
        <f>IFERROR(__xludf.DUMMYFUNCTION("""COMPUTED_VALUE"""),29583.0)</f>
        <v>29583</v>
      </c>
      <c r="Q782" s="189">
        <f>IFERROR(__xludf.DUMMYFUNCTION("""COMPUTED_VALUE"""),29766.0)</f>
        <v>29766</v>
      </c>
      <c r="R782" s="189">
        <f>IFERROR(__xludf.DUMMYFUNCTION("""COMPUTED_VALUE"""),0.0)</f>
        <v>0</v>
      </c>
      <c r="S782" s="189">
        <f>IFERROR(__xludf.DUMMYFUNCTION("""COMPUTED_VALUE"""),28000.0)</f>
        <v>28000</v>
      </c>
    </row>
    <row r="783">
      <c r="A783" s="186" t="str">
        <f>IFERROR(__xludf.DUMMYFUNCTION("""COMPUTED_VALUE"""),"DE")</f>
        <v>DE</v>
      </c>
      <c r="B783" s="186" t="str">
        <f>IFERROR(__xludf.DUMMYFUNCTION("""COMPUTED_VALUE"""),"W13")</f>
        <v>W13</v>
      </c>
      <c r="C783" s="186">
        <f>IFERROR(__xludf.DUMMYFUNCTION("""COMPUTED_VALUE"""),301.0)</f>
        <v>301</v>
      </c>
      <c r="D783" s="186" t="str">
        <f>IFERROR(__xludf.DUMMYFUNCTION("""COMPUTED_VALUE"""),"CON-00-136649-3")</f>
        <v>CON-00-136649-3</v>
      </c>
      <c r="E783" s="186" t="str">
        <f>IFERROR(__xludf.DUMMYFUNCTION("""COMPUTED_VALUE"""),"Grilled chicken fillet and potato leek mash")</f>
        <v>Grilled chicken fillet and potato leek mash</v>
      </c>
      <c r="F783" s="186" t="str">
        <f>IFERROR(__xludf.DUMMYFUNCTION("""COMPUTED_VALUE"""),"Gegrilltes Hähnchenfilet mit Kartoffel-Lauch-Püree")</f>
        <v>Gegrilltes Hähnchenfilet mit Kartoffel-Lauch-Püree</v>
      </c>
      <c r="G783" s="186" t="str">
        <f>IFERROR(__xludf.DUMMYFUNCTION("""COMPUTED_VALUE"""),"FE0426B")</f>
        <v>FE0426B</v>
      </c>
      <c r="H783" s="186">
        <f>IFERROR(__xludf.DUMMYFUNCTION("""COMPUTED_VALUE"""),565035.0)</f>
        <v>565035</v>
      </c>
      <c r="I783" s="186" t="str">
        <f>IFERROR(__xludf.DUMMYFUNCTION("""COMPUTED_VALUE"""),"HF Puree van aardappel en prei met gegrilde kip 416g")</f>
        <v>HF Puree van aardappel en prei met gegrilde kip 416g</v>
      </c>
      <c r="J783" s="189">
        <f>IFERROR(__xludf.DUMMYFUNCTION("""COMPUTED_VALUE"""),3353.0)</f>
        <v>3353</v>
      </c>
      <c r="K783" s="189">
        <f>IFERROR(__xludf.DUMMYFUNCTION("""COMPUTED_VALUE"""),3261.0)</f>
        <v>3261</v>
      </c>
      <c r="L783" s="189">
        <f>IFERROR(__xludf.DUMMYFUNCTION("""COMPUTED_VALUE"""),2989.0)</f>
        <v>2989</v>
      </c>
      <c r="M783" s="189">
        <f>IFERROR(__xludf.DUMMYFUNCTION("""COMPUTED_VALUE"""),2985.0)</f>
        <v>2985</v>
      </c>
      <c r="N783" s="189">
        <f>IFERROR(__xludf.DUMMYFUNCTION("""COMPUTED_VALUE"""),2864.0)</f>
        <v>2864</v>
      </c>
      <c r="O783" s="189">
        <f>IFERROR(__xludf.DUMMYFUNCTION("""COMPUTED_VALUE"""),2940.0)</f>
        <v>2940</v>
      </c>
      <c r="P783" s="189">
        <f>IFERROR(__xludf.DUMMYFUNCTION("""COMPUTED_VALUE"""),2890.0)</f>
        <v>2890</v>
      </c>
      <c r="Q783" s="189">
        <f>IFERROR(__xludf.DUMMYFUNCTION("""COMPUTED_VALUE"""),2885.0)</f>
        <v>2885</v>
      </c>
      <c r="R783" s="186"/>
      <c r="S783" s="189">
        <f>IFERROR(__xludf.DUMMYFUNCTION("""COMPUTED_VALUE"""),2977.0)</f>
        <v>2977</v>
      </c>
    </row>
    <row r="784">
      <c r="A784" s="186" t="str">
        <f>IFERROR(__xludf.DUMMYFUNCTION("""COMPUTED_VALUE"""),"DE")</f>
        <v>DE</v>
      </c>
      <c r="B784" s="186" t="str">
        <f>IFERROR(__xludf.DUMMYFUNCTION("""COMPUTED_VALUE"""),"W13")</f>
        <v>W13</v>
      </c>
      <c r="C784" s="186">
        <f>IFERROR(__xludf.DUMMYFUNCTION("""COMPUTED_VALUE"""),302.0)</f>
        <v>302</v>
      </c>
      <c r="D784" s="186" t="str">
        <f>IFERROR(__xludf.DUMMYFUNCTION("""COMPUTED_VALUE"""),"CON-00-136620-3")</f>
        <v>CON-00-136620-3</v>
      </c>
      <c r="E784" s="186" t="str">
        <f>IFERROR(__xludf.DUMMYFUNCTION("""COMPUTED_VALUE"""),"Chicken à la Florentine")</f>
        <v>Chicken à la Florentine</v>
      </c>
      <c r="F784" s="186" t="str">
        <f>IFERROR(__xludf.DUMMYFUNCTION("""COMPUTED_VALUE"""),"Hähnchen à la Florentine")</f>
        <v>Hähnchen à la Florentine</v>
      </c>
      <c r="G784" s="186" t="str">
        <f>IFERROR(__xludf.DUMMYFUNCTION("""COMPUTED_VALUE"""),"FE0224D")</f>
        <v>FE0224D</v>
      </c>
      <c r="H784" s="186">
        <f>IFERROR(__xludf.DUMMYFUNCTION("""COMPUTED_VALUE"""),565047.0)</f>
        <v>565047</v>
      </c>
      <c r="I784" s="186" t="str">
        <f>IFERROR(__xludf.DUMMYFUNCTION("""COMPUTED_VALUE"""),"HF Kip á la Florentine")</f>
        <v>HF Kip á la Florentine</v>
      </c>
      <c r="J784" s="189">
        <f>IFERROR(__xludf.DUMMYFUNCTION("""COMPUTED_VALUE"""),1981.0)</f>
        <v>1981</v>
      </c>
      <c r="K784" s="189">
        <f>IFERROR(__xludf.DUMMYFUNCTION("""COMPUTED_VALUE"""),1939.0)</f>
        <v>1939</v>
      </c>
      <c r="L784" s="189">
        <f>IFERROR(__xludf.DUMMYFUNCTION("""COMPUTED_VALUE"""),1970.0)</f>
        <v>1970</v>
      </c>
      <c r="M784" s="189">
        <f>IFERROR(__xludf.DUMMYFUNCTION("""COMPUTED_VALUE"""),1967.0)</f>
        <v>1967</v>
      </c>
      <c r="N784" s="189">
        <f>IFERROR(__xludf.DUMMYFUNCTION("""COMPUTED_VALUE"""),1849.0)</f>
        <v>1849</v>
      </c>
      <c r="O784" s="189">
        <f>IFERROR(__xludf.DUMMYFUNCTION("""COMPUTED_VALUE"""),1857.0)</f>
        <v>1857</v>
      </c>
      <c r="P784" s="189">
        <f>IFERROR(__xludf.DUMMYFUNCTION("""COMPUTED_VALUE"""),1812.0)</f>
        <v>1812</v>
      </c>
      <c r="Q784" s="189">
        <f>IFERROR(__xludf.DUMMYFUNCTION("""COMPUTED_VALUE"""),1851.0)</f>
        <v>1851</v>
      </c>
      <c r="R784" s="186"/>
      <c r="S784" s="189">
        <f>IFERROR(__xludf.DUMMYFUNCTION("""COMPUTED_VALUE"""),1909.0)</f>
        <v>1909</v>
      </c>
    </row>
    <row r="785">
      <c r="A785" s="186" t="str">
        <f>IFERROR(__xludf.DUMMYFUNCTION("""COMPUTED_VALUE"""),"DE")</f>
        <v>DE</v>
      </c>
      <c r="B785" s="186" t="str">
        <f>IFERROR(__xludf.DUMMYFUNCTION("""COMPUTED_VALUE"""),"W13")</f>
        <v>W13</v>
      </c>
      <c r="C785" s="186">
        <f>IFERROR(__xludf.DUMMYFUNCTION("""COMPUTED_VALUE"""),303.0)</f>
        <v>303</v>
      </c>
      <c r="D785" s="186" t="str">
        <f>IFERROR(__xludf.DUMMYFUNCTION("""COMPUTED_VALUE"""),"CON-00-136657-3")</f>
        <v>CON-00-136657-3</v>
      </c>
      <c r="E785" s="186" t="str">
        <f>IFERROR(__xludf.DUMMYFUNCTION("""COMPUTED_VALUE"""),"Courgette-spaghetti bolognese")</f>
        <v>Courgette-spaghetti bolognese</v>
      </c>
      <c r="F785" s="186" t="str">
        <f>IFERROR(__xludf.DUMMYFUNCTION("""COMPUTED_VALUE"""),"Zucchini-Spaghetti Bolognese")</f>
        <v>Zucchini-Spaghetti Bolognese</v>
      </c>
      <c r="G785" s="186" t="str">
        <f>IFERROR(__xludf.DUMMYFUNCTION("""COMPUTED_VALUE"""),"FE0849B")</f>
        <v>FE0849B</v>
      </c>
      <c r="H785" s="186">
        <f>IFERROR(__xludf.DUMMYFUNCTION("""COMPUTED_VALUE"""),565260.0)</f>
        <v>565260</v>
      </c>
      <c r="I785" s="186" t="str">
        <f>IFERROR(__xludf.DUMMYFUNCTION("""COMPUTED_VALUE"""),"HF RW Courgette-spagh bolognes")</f>
        <v>HF RW Courgette-spagh bolognes</v>
      </c>
      <c r="J785" s="189">
        <f>IFERROR(__xludf.DUMMYFUNCTION("""COMPUTED_VALUE"""),2123.0)</f>
        <v>2123</v>
      </c>
      <c r="K785" s="189">
        <f>IFERROR(__xludf.DUMMYFUNCTION("""COMPUTED_VALUE"""),2004.0)</f>
        <v>2004</v>
      </c>
      <c r="L785" s="189">
        <f>IFERROR(__xludf.DUMMYFUNCTION("""COMPUTED_VALUE"""),1871.0)</f>
        <v>1871</v>
      </c>
      <c r="M785" s="189">
        <f>IFERROR(__xludf.DUMMYFUNCTION("""COMPUTED_VALUE"""),1869.0)</f>
        <v>1869</v>
      </c>
      <c r="N785" s="189">
        <f>IFERROR(__xludf.DUMMYFUNCTION("""COMPUTED_VALUE"""),1704.0)</f>
        <v>1704</v>
      </c>
      <c r="O785" s="189">
        <f>IFERROR(__xludf.DUMMYFUNCTION("""COMPUTED_VALUE"""),1719.0)</f>
        <v>1719</v>
      </c>
      <c r="P785" s="189">
        <f>IFERROR(__xludf.DUMMYFUNCTION("""COMPUTED_VALUE"""),1696.0)</f>
        <v>1696</v>
      </c>
      <c r="Q785" s="189">
        <f>IFERROR(__xludf.DUMMYFUNCTION("""COMPUTED_VALUE"""),1733.0)</f>
        <v>1733</v>
      </c>
      <c r="R785" s="186"/>
      <c r="S785" s="189">
        <f>IFERROR(__xludf.DUMMYFUNCTION("""COMPUTED_VALUE"""),1776.0)</f>
        <v>1776</v>
      </c>
    </row>
    <row r="786">
      <c r="A786" s="186" t="str">
        <f>IFERROR(__xludf.DUMMYFUNCTION("""COMPUTED_VALUE"""),"DE")</f>
        <v>DE</v>
      </c>
      <c r="B786" s="186" t="str">
        <f>IFERROR(__xludf.DUMMYFUNCTION("""COMPUTED_VALUE"""),"W13")</f>
        <v>W13</v>
      </c>
      <c r="C786" s="186">
        <f>IFERROR(__xludf.DUMMYFUNCTION("""COMPUTED_VALUE"""),304.0)</f>
        <v>304</v>
      </c>
      <c r="D786" s="186" t="str">
        <f>IFERROR(__xludf.DUMMYFUNCTION("""COMPUTED_VALUE"""),"CON-00-150388-2")</f>
        <v>CON-00-150388-2</v>
      </c>
      <c r="E786" s="186" t="str">
        <f>IFERROR(__xludf.DUMMYFUNCTION("""COMPUTED_VALUE"""),"Parmesan &amp; Garlic Cream Pulled Beef")</f>
        <v>Parmesan &amp; Garlic Cream Pulled Beef</v>
      </c>
      <c r="F786" s="186" t="str">
        <f>IFERROR(__xludf.DUMMYFUNCTION("""COMPUTED_VALUE"""),"Pulled Beef in Parmesan-Knoblauch-Creme")</f>
        <v>Pulled Beef in Parmesan-Knoblauch-Creme</v>
      </c>
      <c r="G786" s="186" t="str">
        <f>IFERROR(__xludf.DUMMYFUNCTION("""COMPUTED_VALUE"""),"FE1346B")</f>
        <v>FE1346B</v>
      </c>
      <c r="H786" s="186">
        <f>IFERROR(__xludf.DUMMYFUNCTION("""COMPUTED_VALUE"""),565184.0)</f>
        <v>565184</v>
      </c>
      <c r="I786" s="186" t="str">
        <f>IFERROR(__xludf.DUMMYFUNCTION("""COMPUTED_VALUE"""),"HF Pulled beef &amp; knoflook room")</f>
        <v>HF Pulled beef &amp; knoflook room</v>
      </c>
      <c r="J786" s="189">
        <f>IFERROR(__xludf.DUMMYFUNCTION("""COMPUTED_VALUE"""),2713.0)</f>
        <v>2713</v>
      </c>
      <c r="K786" s="189">
        <f>IFERROR(__xludf.DUMMYFUNCTION("""COMPUTED_VALUE"""),2840.0)</f>
        <v>2840</v>
      </c>
      <c r="L786" s="189">
        <f>IFERROR(__xludf.DUMMYFUNCTION("""COMPUTED_VALUE"""),2954.0)</f>
        <v>2954</v>
      </c>
      <c r="M786" s="189">
        <f>IFERROR(__xludf.DUMMYFUNCTION("""COMPUTED_VALUE"""),2950.0)</f>
        <v>2950</v>
      </c>
      <c r="N786" s="189">
        <f>IFERROR(__xludf.DUMMYFUNCTION("""COMPUTED_VALUE"""),2681.0)</f>
        <v>2681</v>
      </c>
      <c r="O786" s="189">
        <f>IFERROR(__xludf.DUMMYFUNCTION("""COMPUTED_VALUE"""),2738.0)</f>
        <v>2738</v>
      </c>
      <c r="P786" s="189">
        <f>IFERROR(__xludf.DUMMYFUNCTION("""COMPUTED_VALUE"""),2711.0)</f>
        <v>2711</v>
      </c>
      <c r="Q786" s="189">
        <f>IFERROR(__xludf.DUMMYFUNCTION("""COMPUTED_VALUE"""),2800.0)</f>
        <v>2800</v>
      </c>
      <c r="R786" s="186"/>
      <c r="S786" s="189">
        <f>IFERROR(__xludf.DUMMYFUNCTION("""COMPUTED_VALUE"""),2875.0)</f>
        <v>2875</v>
      </c>
    </row>
    <row r="787">
      <c r="A787" s="186" t="str">
        <f>IFERROR(__xludf.DUMMYFUNCTION("""COMPUTED_VALUE"""),"DE")</f>
        <v>DE</v>
      </c>
      <c r="B787" s="186" t="str">
        <f>IFERROR(__xludf.DUMMYFUNCTION("""COMPUTED_VALUE"""),"W13")</f>
        <v>W13</v>
      </c>
      <c r="C787" s="186">
        <f>IFERROR(__xludf.DUMMYFUNCTION("""COMPUTED_VALUE"""),305.0)</f>
        <v>305</v>
      </c>
      <c r="D787" s="186" t="str">
        <f>IFERROR(__xludf.DUMMYFUNCTION("""COMPUTED_VALUE"""),"CON-00-149480-2")</f>
        <v>CON-00-149480-2</v>
      </c>
      <c r="E787" s="186" t="str">
        <f>IFERROR(__xludf.DUMMYFUNCTION("""COMPUTED_VALUE"""),"Sour Cream &amp; Chive Chicken")</f>
        <v>Sour Cream &amp; Chive Chicken</v>
      </c>
      <c r="F787" s="186" t="str">
        <f>IFERROR(__xludf.DUMMYFUNCTION("""COMPUTED_VALUE"""),"Hähnchen mit Sauerrahm und Schnittlauch")</f>
        <v>Hähnchen mit Sauerrahm und Schnittlauch</v>
      </c>
      <c r="G787" s="186" t="str">
        <f>IFERROR(__xludf.DUMMYFUNCTION("""COMPUTED_VALUE"""),"FE0322O")</f>
        <v>FE0322O</v>
      </c>
      <c r="H787" s="186">
        <f>IFERROR(__xludf.DUMMYFUNCTION("""COMPUTED_VALUE"""),565163.0)</f>
        <v>565163</v>
      </c>
      <c r="I787" s="186" t="str">
        <f>IFERROR(__xludf.DUMMYFUNCTION("""COMPUTED_VALUE"""),"HF Kip bieslook aardappel pure")</f>
        <v>HF Kip bieslook aardappel pure</v>
      </c>
      <c r="J787" s="189">
        <f>IFERROR(__xludf.DUMMYFUNCTION("""COMPUTED_VALUE"""),1953.0)</f>
        <v>1953</v>
      </c>
      <c r="K787" s="189">
        <f>IFERROR(__xludf.DUMMYFUNCTION("""COMPUTED_VALUE"""),1853.0)</f>
        <v>1853</v>
      </c>
      <c r="L787" s="189">
        <f>IFERROR(__xludf.DUMMYFUNCTION("""COMPUTED_VALUE"""),1526.0)</f>
        <v>1526</v>
      </c>
      <c r="M787" s="189">
        <f>IFERROR(__xludf.DUMMYFUNCTION("""COMPUTED_VALUE"""),1524.0)</f>
        <v>1524</v>
      </c>
      <c r="N787" s="189">
        <f>IFERROR(__xludf.DUMMYFUNCTION("""COMPUTED_VALUE"""),1524.0)</f>
        <v>1524</v>
      </c>
      <c r="O787" s="189">
        <f>IFERROR(__xludf.DUMMYFUNCTION("""COMPUTED_VALUE"""),1546.0)</f>
        <v>1546</v>
      </c>
      <c r="P787" s="189">
        <f>IFERROR(__xludf.DUMMYFUNCTION("""COMPUTED_VALUE"""),1522.0)</f>
        <v>1522</v>
      </c>
      <c r="Q787" s="189">
        <f>IFERROR(__xludf.DUMMYFUNCTION("""COMPUTED_VALUE"""),1564.0)</f>
        <v>1564</v>
      </c>
      <c r="R787" s="186"/>
      <c r="S787" s="189">
        <f>IFERROR(__xludf.DUMMYFUNCTION("""COMPUTED_VALUE"""),1604.0)</f>
        <v>1604</v>
      </c>
    </row>
    <row r="788">
      <c r="A788" s="186" t="str">
        <f>IFERROR(__xludf.DUMMYFUNCTION("""COMPUTED_VALUE"""),"DE")</f>
        <v>DE</v>
      </c>
      <c r="B788" s="186" t="str">
        <f>IFERROR(__xludf.DUMMYFUNCTION("""COMPUTED_VALUE"""),"W13")</f>
        <v>W13</v>
      </c>
      <c r="C788" s="186">
        <f>IFERROR(__xludf.DUMMYFUNCTION("""COMPUTED_VALUE"""),306.0)</f>
        <v>306</v>
      </c>
      <c r="D788" s="186" t="str">
        <f>IFERROR(__xludf.DUMMYFUNCTION("""COMPUTED_VALUE"""),"CON-00-136630-3")</f>
        <v>CON-00-136630-3</v>
      </c>
      <c r="E788" s="186" t="str">
        <f>IFERROR(__xludf.DUMMYFUNCTION("""COMPUTED_VALUE"""),"Salmon with pesto")</f>
        <v>Salmon with pesto</v>
      </c>
      <c r="F788" s="186" t="str">
        <f>IFERROR(__xludf.DUMMYFUNCTION("""COMPUTED_VALUE"""),"Lachs mit Pesto")</f>
        <v>Lachs mit Pesto</v>
      </c>
      <c r="G788" s="186" t="str">
        <f>IFERROR(__xludf.DUMMYFUNCTION("""COMPUTED_VALUE"""),"FE0035F")</f>
        <v>FE0035F</v>
      </c>
      <c r="H788" s="186">
        <f>IFERROR(__xludf.DUMMYFUNCTION("""COMPUTED_VALUE"""),565022.0)</f>
        <v>565022</v>
      </c>
      <c r="I788" s="186" t="str">
        <f>IFERROR(__xludf.DUMMYFUNCTION("""COMPUTED_VALUE"""),"HF Zalm met pesto")</f>
        <v>HF Zalm met pesto</v>
      </c>
      <c r="J788" s="189">
        <f>IFERROR(__xludf.DUMMYFUNCTION("""COMPUTED_VALUE"""),2131.0)</f>
        <v>2131</v>
      </c>
      <c r="K788" s="189">
        <f>IFERROR(__xludf.DUMMYFUNCTION("""COMPUTED_VALUE"""),2142.0)</f>
        <v>2142</v>
      </c>
      <c r="L788" s="189">
        <f>IFERROR(__xludf.DUMMYFUNCTION("""COMPUTED_VALUE"""),2007.0)</f>
        <v>2007</v>
      </c>
      <c r="M788" s="189">
        <f>IFERROR(__xludf.DUMMYFUNCTION("""COMPUTED_VALUE"""),2004.0)</f>
        <v>2004</v>
      </c>
      <c r="N788" s="189">
        <f>IFERROR(__xludf.DUMMYFUNCTION("""COMPUTED_VALUE"""),1812.0)</f>
        <v>1812</v>
      </c>
      <c r="O788" s="189">
        <f>IFERROR(__xludf.DUMMYFUNCTION("""COMPUTED_VALUE"""),1837.0)</f>
        <v>1837</v>
      </c>
      <c r="P788" s="189">
        <f>IFERROR(__xludf.DUMMYFUNCTION("""COMPUTED_VALUE"""),1824.0)</f>
        <v>1824</v>
      </c>
      <c r="Q788" s="189">
        <f>IFERROR(__xludf.DUMMYFUNCTION("""COMPUTED_VALUE"""),1838.0)</f>
        <v>1838</v>
      </c>
      <c r="R788" s="186"/>
      <c r="S788" s="189">
        <f>IFERROR(__xludf.DUMMYFUNCTION("""COMPUTED_VALUE"""),1859.0)</f>
        <v>1859</v>
      </c>
    </row>
    <row r="789">
      <c r="A789" s="186" t="str">
        <f>IFERROR(__xludf.DUMMYFUNCTION("""COMPUTED_VALUE"""),"DE")</f>
        <v>DE</v>
      </c>
      <c r="B789" s="186" t="str">
        <f>IFERROR(__xludf.DUMMYFUNCTION("""COMPUTED_VALUE"""),"W13")</f>
        <v>W13</v>
      </c>
      <c r="C789" s="186">
        <f>IFERROR(__xludf.DUMMYFUNCTION("""COMPUTED_VALUE"""),307.0)</f>
        <v>307</v>
      </c>
      <c r="D789" s="186"/>
      <c r="E789" s="186"/>
      <c r="F789" s="186"/>
      <c r="G789" s="186" t="str">
        <f>IFERROR(__xludf.DUMMYFUNCTION("""COMPUTED_VALUE"""),"FE4053A")</f>
        <v>FE4053A</v>
      </c>
      <c r="H789" s="186"/>
      <c r="I789" s="186"/>
      <c r="J789" s="189">
        <f>IFERROR(__xludf.DUMMYFUNCTION("""COMPUTED_VALUE"""),1593.0)</f>
        <v>1593</v>
      </c>
      <c r="K789" s="189">
        <f>IFERROR(__xludf.DUMMYFUNCTION("""COMPUTED_VALUE"""),1442.0)</f>
        <v>1442</v>
      </c>
      <c r="L789" s="189">
        <f>IFERROR(__xludf.DUMMYFUNCTION("""COMPUTED_VALUE"""),1746.0)</f>
        <v>1746</v>
      </c>
      <c r="M789" s="189">
        <f>IFERROR(__xludf.DUMMYFUNCTION("""COMPUTED_VALUE"""),1744.0)</f>
        <v>1744</v>
      </c>
      <c r="N789" s="189">
        <f>IFERROR(__xludf.DUMMYFUNCTION("""COMPUTED_VALUE"""),1569.0)</f>
        <v>1569</v>
      </c>
      <c r="O789" s="189">
        <f>IFERROR(__xludf.DUMMYFUNCTION("""COMPUTED_VALUE"""),1541.0)</f>
        <v>1541</v>
      </c>
      <c r="P789" s="189">
        <f>IFERROR(__xludf.DUMMYFUNCTION("""COMPUTED_VALUE"""),1542.0)</f>
        <v>1542</v>
      </c>
      <c r="Q789" s="189">
        <f>IFERROR(__xludf.DUMMYFUNCTION("""COMPUTED_VALUE"""),1613.0)</f>
        <v>1613</v>
      </c>
      <c r="R789" s="186"/>
      <c r="S789" s="189">
        <f>IFERROR(__xludf.DUMMYFUNCTION("""COMPUTED_VALUE"""),1650.0)</f>
        <v>1650</v>
      </c>
    </row>
    <row r="790">
      <c r="A790" s="186" t="str">
        <f>IFERROR(__xludf.DUMMYFUNCTION("""COMPUTED_VALUE"""),"DE")</f>
        <v>DE</v>
      </c>
      <c r="B790" s="186" t="str">
        <f>IFERROR(__xludf.DUMMYFUNCTION("""COMPUTED_VALUE"""),"W13")</f>
        <v>W13</v>
      </c>
      <c r="C790" s="186">
        <f>IFERROR(__xludf.DUMMYFUNCTION("""COMPUTED_VALUE"""),308.0)</f>
        <v>308</v>
      </c>
      <c r="D790" s="186" t="str">
        <f>IFERROR(__xludf.DUMMYFUNCTION("""COMPUTED_VALUE"""),"CON-00-136727-3")</f>
        <v>CON-00-136727-3</v>
      </c>
      <c r="E790" s="186" t="str">
        <f>IFERROR(__xludf.DUMMYFUNCTION("""COMPUTED_VALUE"""),"Peruvian style chicken breast")</f>
        <v>Peruvian style chicken breast</v>
      </c>
      <c r="F790" s="186" t="str">
        <f>IFERROR(__xludf.DUMMYFUNCTION("""COMPUTED_VALUE"""),"Hähnchenbrust nach peruanischer Art")</f>
        <v>Hähnchenbrust nach peruanischer Art</v>
      </c>
      <c r="G790" s="186" t="str">
        <f>IFERROR(__xludf.DUMMYFUNCTION("""COMPUTED_VALUE"""),"FE0129G")</f>
        <v>FE0129G</v>
      </c>
      <c r="H790" s="186">
        <f>IFERROR(__xludf.DUMMYFUNCTION("""COMPUTED_VALUE"""),565193.0)</f>
        <v>565193</v>
      </c>
      <c r="I790" s="186" t="str">
        <f>IFERROR(__xludf.DUMMYFUNCTION("""COMPUTED_VALUE"""),"HF RW Peruaanse stijl kipfilet")</f>
        <v>HF RW Peruaanse stijl kipfilet</v>
      </c>
      <c r="J790" s="189">
        <f>IFERROR(__xludf.DUMMYFUNCTION("""COMPUTED_VALUE"""),1634.0)</f>
        <v>1634</v>
      </c>
      <c r="K790" s="189">
        <f>IFERROR(__xludf.DUMMYFUNCTION("""COMPUTED_VALUE"""),1349.0)</f>
        <v>1349</v>
      </c>
      <c r="L790" s="189">
        <f>IFERROR(__xludf.DUMMYFUNCTION("""COMPUTED_VALUE"""),1161.0)</f>
        <v>1161</v>
      </c>
      <c r="M790" s="189">
        <f>IFERROR(__xludf.DUMMYFUNCTION("""COMPUTED_VALUE"""),1159.0)</f>
        <v>1159</v>
      </c>
      <c r="N790" s="189">
        <f>IFERROR(__xludf.DUMMYFUNCTION("""COMPUTED_VALUE"""),1078.0)</f>
        <v>1078</v>
      </c>
      <c r="O790" s="189">
        <f>IFERROR(__xludf.DUMMYFUNCTION("""COMPUTED_VALUE"""),1100.0)</f>
        <v>1100</v>
      </c>
      <c r="P790" s="189">
        <f>IFERROR(__xludf.DUMMYFUNCTION("""COMPUTED_VALUE"""),1105.0)</f>
        <v>1105</v>
      </c>
      <c r="Q790" s="189">
        <f>IFERROR(__xludf.DUMMYFUNCTION("""COMPUTED_VALUE"""),1126.0)</f>
        <v>1126</v>
      </c>
      <c r="R790" s="186"/>
      <c r="S790" s="189">
        <f>IFERROR(__xludf.DUMMYFUNCTION("""COMPUTED_VALUE"""),1117.0)</f>
        <v>1117</v>
      </c>
    </row>
    <row r="791">
      <c r="A791" s="186" t="str">
        <f>IFERROR(__xludf.DUMMYFUNCTION("""COMPUTED_VALUE"""),"DE")</f>
        <v>DE</v>
      </c>
      <c r="B791" s="186" t="str">
        <f>IFERROR(__xludf.DUMMYFUNCTION("""COMPUTED_VALUE"""),"W13")</f>
        <v>W13</v>
      </c>
      <c r="C791" s="186">
        <f>IFERROR(__xludf.DUMMYFUNCTION("""COMPUTED_VALUE"""),309.0)</f>
        <v>309</v>
      </c>
      <c r="D791" s="186" t="str">
        <f>IFERROR(__xludf.DUMMYFUNCTION("""COMPUTED_VALUE"""),"CON-00-136629-3")</f>
        <v>CON-00-136629-3</v>
      </c>
      <c r="E791" s="186" t="str">
        <f>IFERROR(__xludf.DUMMYFUNCTION("""COMPUTED_VALUE"""),"Creamy tomato risotto")</f>
        <v>Creamy tomato risotto</v>
      </c>
      <c r="F791" s="186" t="str">
        <f>IFERROR(__xludf.DUMMYFUNCTION("""COMPUTED_VALUE"""),"Cremiges Tomaten-Risotto")</f>
        <v>Cremiges Tomaten-Risotto</v>
      </c>
      <c r="G791" s="186" t="str">
        <f>IFERROR(__xludf.DUMMYFUNCTION("""COMPUTED_VALUE"""),"FE0031C")</f>
        <v>FE0031C</v>
      </c>
      <c r="H791" s="186">
        <f>IFERROR(__xludf.DUMMYFUNCTION("""COMPUTED_VALUE"""),565244.0)</f>
        <v>565244</v>
      </c>
      <c r="I791" s="186" t="str">
        <f>IFERROR(__xludf.DUMMYFUNCTION("""COMPUTED_VALUE"""),"IO HF Romige tomatenrisotto V2")</f>
        <v>IO HF Romige tomatenrisotto V2</v>
      </c>
      <c r="J791" s="189">
        <f>IFERROR(__xludf.DUMMYFUNCTION("""COMPUTED_VALUE"""),426.0)</f>
        <v>426</v>
      </c>
      <c r="K791" s="189">
        <f>IFERROR(__xludf.DUMMYFUNCTION("""COMPUTED_VALUE"""),403.0)</f>
        <v>403</v>
      </c>
      <c r="L791" s="189">
        <f>IFERROR(__xludf.DUMMYFUNCTION("""COMPUTED_VALUE"""),463.0)</f>
        <v>463</v>
      </c>
      <c r="M791" s="189">
        <f>IFERROR(__xludf.DUMMYFUNCTION("""COMPUTED_VALUE"""),462.0)</f>
        <v>462</v>
      </c>
      <c r="N791" s="189">
        <f>IFERROR(__xludf.DUMMYFUNCTION("""COMPUTED_VALUE"""),464.0)</f>
        <v>464</v>
      </c>
      <c r="O791" s="189">
        <f>IFERROR(__xludf.DUMMYFUNCTION("""COMPUTED_VALUE"""),432.0)</f>
        <v>432</v>
      </c>
      <c r="P791" s="189">
        <f>IFERROR(__xludf.DUMMYFUNCTION("""COMPUTED_VALUE"""),409.0)</f>
        <v>409</v>
      </c>
      <c r="Q791" s="189">
        <f>IFERROR(__xludf.DUMMYFUNCTION("""COMPUTED_VALUE"""),403.0)</f>
        <v>403</v>
      </c>
      <c r="R791" s="186"/>
      <c r="S791" s="189">
        <f>IFERROR(__xludf.DUMMYFUNCTION("""COMPUTED_VALUE"""),425.0)</f>
        <v>425</v>
      </c>
    </row>
    <row r="792">
      <c r="A792" s="186" t="str">
        <f>IFERROR(__xludf.DUMMYFUNCTION("""COMPUTED_VALUE"""),"DE")</f>
        <v>DE</v>
      </c>
      <c r="B792" s="186" t="str">
        <f>IFERROR(__xludf.DUMMYFUNCTION("""COMPUTED_VALUE"""),"W13")</f>
        <v>W13</v>
      </c>
      <c r="C792" s="186">
        <f>IFERROR(__xludf.DUMMYFUNCTION("""COMPUTED_VALUE"""),310.0)</f>
        <v>310</v>
      </c>
      <c r="D792" s="186" t="str">
        <f>IFERROR(__xludf.DUMMYFUNCTION("""COMPUTED_VALUE"""),"CON-00-136634-3")</f>
        <v>CON-00-136634-3</v>
      </c>
      <c r="E792" s="186" t="str">
        <f>IFERROR(__xludf.DUMMYFUNCTION("""COMPUTED_VALUE"""),"Ratatouille of zucchini and pepper")</f>
        <v>Ratatouille of zucchini and pepper</v>
      </c>
      <c r="F792" s="186" t="str">
        <f>IFERROR(__xludf.DUMMYFUNCTION("""COMPUTED_VALUE"""),"Zucchini-Paprika-Ratatouille")</f>
        <v>Zucchini-Paprika-Ratatouille</v>
      </c>
      <c r="G792" s="186" t="str">
        <f>IFERROR(__xludf.DUMMYFUNCTION("""COMPUTED_VALUE"""),"FE0090C")</f>
        <v>FE0090C</v>
      </c>
      <c r="H792" s="186">
        <f>IFERROR(__xludf.DUMMYFUNCTION("""COMPUTED_VALUE"""),565141.0)</f>
        <v>565141</v>
      </c>
      <c r="I792" s="186"/>
      <c r="J792" s="189">
        <f>IFERROR(__xludf.DUMMYFUNCTION("""COMPUTED_VALUE"""),391.0)</f>
        <v>391</v>
      </c>
      <c r="K792" s="189">
        <f>IFERROR(__xludf.DUMMYFUNCTION("""COMPUTED_VALUE"""),427.0)</f>
        <v>427</v>
      </c>
      <c r="L792" s="189">
        <f>IFERROR(__xludf.DUMMYFUNCTION("""COMPUTED_VALUE"""),408.0)</f>
        <v>408</v>
      </c>
      <c r="M792" s="189">
        <f>IFERROR(__xludf.DUMMYFUNCTION("""COMPUTED_VALUE"""),408.0)</f>
        <v>408</v>
      </c>
      <c r="N792" s="189">
        <f>IFERROR(__xludf.DUMMYFUNCTION("""COMPUTED_VALUE"""),337.0)</f>
        <v>337</v>
      </c>
      <c r="O792" s="189">
        <f>IFERROR(__xludf.DUMMYFUNCTION("""COMPUTED_VALUE"""),326.0)</f>
        <v>326</v>
      </c>
      <c r="P792" s="189">
        <f>IFERROR(__xludf.DUMMYFUNCTION("""COMPUTED_VALUE"""),326.0)</f>
        <v>326</v>
      </c>
      <c r="Q792" s="189">
        <f>IFERROR(__xludf.DUMMYFUNCTION("""COMPUTED_VALUE"""),335.0)</f>
        <v>335</v>
      </c>
      <c r="R792" s="186"/>
      <c r="S792" s="189">
        <f>IFERROR(__xludf.DUMMYFUNCTION("""COMPUTED_VALUE"""),364.0)</f>
        <v>364</v>
      </c>
    </row>
    <row r="793">
      <c r="A793" s="186" t="str">
        <f>IFERROR(__xludf.DUMMYFUNCTION("""COMPUTED_VALUE"""),"DE")</f>
        <v>DE</v>
      </c>
      <c r="B793" s="186" t="str">
        <f>IFERROR(__xludf.DUMMYFUNCTION("""COMPUTED_VALUE"""),"W13")</f>
        <v>W13</v>
      </c>
      <c r="C793" s="186">
        <f>IFERROR(__xludf.DUMMYFUNCTION("""COMPUTED_VALUE"""),311.0)</f>
        <v>311</v>
      </c>
      <c r="D793" s="186" t="str">
        <f>IFERROR(__xludf.DUMMYFUNCTION("""COMPUTED_VALUE"""),"CON-00-139494-2")</f>
        <v>CON-00-139494-2</v>
      </c>
      <c r="E793" s="186" t="str">
        <f>IFERROR(__xludf.DUMMYFUNCTION("""COMPUTED_VALUE"""),"Artichoke &amp; Spinach Pork tenderloin")</f>
        <v>Artichoke &amp; Spinach Pork tenderloin</v>
      </c>
      <c r="F793" s="186" t="str">
        <f>IFERROR(__xludf.DUMMYFUNCTION("""COMPUTED_VALUE"""),"Schweinefilet mit Artischocken und Spinat")</f>
        <v>Schweinefilet mit Artischocken und Spinat</v>
      </c>
      <c r="G793" s="186" t="str">
        <f>IFERROR(__xludf.DUMMYFUNCTION("""COMPUTED_VALUE"""),"FE4060A")</f>
        <v>FE4060A</v>
      </c>
      <c r="H793" s="186">
        <f>IFERROR(__xludf.DUMMYFUNCTION("""COMPUTED_VALUE"""),565134.0)</f>
        <v>565134</v>
      </c>
      <c r="I793" s="186"/>
      <c r="J793" s="189">
        <f>IFERROR(__xludf.DUMMYFUNCTION("""COMPUTED_VALUE"""),639.0)</f>
        <v>639</v>
      </c>
      <c r="K793" s="189">
        <f>IFERROR(__xludf.DUMMYFUNCTION("""COMPUTED_VALUE"""),593.0)</f>
        <v>593</v>
      </c>
      <c r="L793" s="189">
        <f>IFERROR(__xludf.DUMMYFUNCTION("""COMPUTED_VALUE"""),363.0)</f>
        <v>363</v>
      </c>
      <c r="M793" s="189">
        <f>IFERROR(__xludf.DUMMYFUNCTION("""COMPUTED_VALUE"""),363.0)</f>
        <v>363</v>
      </c>
      <c r="N793" s="189">
        <f>IFERROR(__xludf.DUMMYFUNCTION("""COMPUTED_VALUE"""),344.0)</f>
        <v>344</v>
      </c>
      <c r="O793" s="189">
        <f>IFERROR(__xludf.DUMMYFUNCTION("""COMPUTED_VALUE"""),378.0)</f>
        <v>378</v>
      </c>
      <c r="P793" s="189">
        <f>IFERROR(__xludf.DUMMYFUNCTION("""COMPUTED_VALUE"""),386.0)</f>
        <v>386</v>
      </c>
      <c r="Q793" s="189">
        <f>IFERROR(__xludf.DUMMYFUNCTION("""COMPUTED_VALUE"""),398.0)</f>
        <v>398</v>
      </c>
      <c r="R793" s="186"/>
      <c r="S793" s="189">
        <f>IFERROR(__xludf.DUMMYFUNCTION("""COMPUTED_VALUE"""),354.0)</f>
        <v>354</v>
      </c>
    </row>
    <row r="794">
      <c r="A794" s="186" t="str">
        <f>IFERROR(__xludf.DUMMYFUNCTION("""COMPUTED_VALUE"""),"DE")</f>
        <v>DE</v>
      </c>
      <c r="B794" s="186" t="str">
        <f>IFERROR(__xludf.DUMMYFUNCTION("""COMPUTED_VALUE"""),"W13")</f>
        <v>W13</v>
      </c>
      <c r="C794" s="186">
        <f>IFERROR(__xludf.DUMMYFUNCTION("""COMPUTED_VALUE"""),312.0)</f>
        <v>312</v>
      </c>
      <c r="D794" s="186" t="str">
        <f>IFERROR(__xludf.DUMMYFUNCTION("""COMPUTED_VALUE"""),"CON-00-154552-2")</f>
        <v>CON-00-154552-2</v>
      </c>
      <c r="E794" s="186" t="str">
        <f>IFERROR(__xludf.DUMMYFUNCTION("""COMPUTED_VALUE"""),"Tzatziki Salmon &amp; Lemon Rice")</f>
        <v>Tzatziki Salmon &amp; Lemon Rice</v>
      </c>
      <c r="F794" s="186" t="str">
        <f>IFERROR(__xludf.DUMMYFUNCTION("""COMPUTED_VALUE"""),"Tzatziki-Lachs &amp; Zitronenreis")</f>
        <v>Tzatziki-Lachs &amp; Zitronenreis</v>
      </c>
      <c r="G794" s="186" t="str">
        <f>IFERROR(__xludf.DUMMYFUNCTION("""COMPUTED_VALUE"""),"FE1439A")</f>
        <v>FE1439A</v>
      </c>
      <c r="H794" s="186">
        <f>IFERROR(__xludf.DUMMYFUNCTION("""COMPUTED_VALUE"""),565236.0)</f>
        <v>565236</v>
      </c>
      <c r="I794" s="186" t="str">
        <f>IFERROR(__xludf.DUMMYFUNCTION("""COMPUTED_VALUE"""),"HF Zalm met citroen rijst")</f>
        <v>HF Zalm met citroen rijst</v>
      </c>
      <c r="J794" s="189">
        <f>IFERROR(__xludf.DUMMYFUNCTION("""COMPUTED_VALUE"""),1857.0)</f>
        <v>1857</v>
      </c>
      <c r="K794" s="189">
        <f>IFERROR(__xludf.DUMMYFUNCTION("""COMPUTED_VALUE"""),1782.0)</f>
        <v>1782</v>
      </c>
      <c r="L794" s="189">
        <f>IFERROR(__xludf.DUMMYFUNCTION("""COMPUTED_VALUE"""),1822.0)</f>
        <v>1822</v>
      </c>
      <c r="M794" s="189">
        <f>IFERROR(__xludf.DUMMYFUNCTION("""COMPUTED_VALUE"""),1820.0)</f>
        <v>1820</v>
      </c>
      <c r="N794" s="189">
        <f>IFERROR(__xludf.DUMMYFUNCTION("""COMPUTED_VALUE"""),1601.0)</f>
        <v>1601</v>
      </c>
      <c r="O794" s="189">
        <f>IFERROR(__xludf.DUMMYFUNCTION("""COMPUTED_VALUE"""),1637.0)</f>
        <v>1637</v>
      </c>
      <c r="P794" s="189">
        <f>IFERROR(__xludf.DUMMYFUNCTION("""COMPUTED_VALUE"""),1618.0)</f>
        <v>1618</v>
      </c>
      <c r="Q794" s="189">
        <f>IFERROR(__xludf.DUMMYFUNCTION("""COMPUTED_VALUE"""),1671.0)</f>
        <v>1671</v>
      </c>
      <c r="R794" s="186"/>
      <c r="S794" s="189">
        <f>IFERROR(__xludf.DUMMYFUNCTION("""COMPUTED_VALUE"""),1702.0)</f>
        <v>1702</v>
      </c>
    </row>
    <row r="795">
      <c r="A795" s="186" t="str">
        <f>IFERROR(__xludf.DUMMYFUNCTION("""COMPUTED_VALUE"""),"DE")</f>
        <v>DE</v>
      </c>
      <c r="B795" s="186" t="str">
        <f>IFERROR(__xludf.DUMMYFUNCTION("""COMPUTED_VALUE"""),"W13")</f>
        <v>W13</v>
      </c>
      <c r="C795" s="186">
        <f>IFERROR(__xludf.DUMMYFUNCTION("""COMPUTED_VALUE"""),313.0)</f>
        <v>313</v>
      </c>
      <c r="D795" s="186" t="str">
        <f>IFERROR(__xludf.DUMMYFUNCTION("""COMPUTED_VALUE"""),"CON-00-155633-2")</f>
        <v>CON-00-155633-2</v>
      </c>
      <c r="E795" s="186" t="str">
        <f>IFERROR(__xludf.DUMMYFUNCTION("""COMPUTED_VALUE"""),"Cajun Chicken, Tomato Gravy &amp; Mashed Potatoes")</f>
        <v>Cajun Chicken, Tomato Gravy &amp; Mashed Potatoes</v>
      </c>
      <c r="F795" s="186" t="str">
        <f>IFERROR(__xludf.DUMMYFUNCTION("""COMPUTED_VALUE"""),"Cajun-Hähnchen mit Tomatensauce &amp; Kartoffelpüree")</f>
        <v>Cajun-Hähnchen mit Tomatensauce &amp; Kartoffelpüree</v>
      </c>
      <c r="G795" s="186" t="str">
        <f>IFERROR(__xludf.DUMMYFUNCTION("""COMPUTED_VALUE"""),"FE4081A")</f>
        <v>FE4081A</v>
      </c>
      <c r="H795" s="186">
        <f>IFERROR(__xludf.DUMMYFUNCTION("""COMPUTED_VALUE"""),565255.0)</f>
        <v>565255</v>
      </c>
      <c r="I795" s="186" t="str">
        <f>IFERROR(__xludf.DUMMYFUNCTION("""COMPUTED_VALUE"""),"HF Cajun chicken tomato gravy")</f>
        <v>HF Cajun chicken tomato gravy</v>
      </c>
      <c r="J795" s="189">
        <f>IFERROR(__xludf.DUMMYFUNCTION("""COMPUTED_VALUE"""),1884.0)</f>
        <v>1884</v>
      </c>
      <c r="K795" s="189">
        <f>IFERROR(__xludf.DUMMYFUNCTION("""COMPUTED_VALUE"""),1799.0)</f>
        <v>1799</v>
      </c>
      <c r="L795" s="189">
        <f>IFERROR(__xludf.DUMMYFUNCTION("""COMPUTED_VALUE"""),1867.0)</f>
        <v>1867</v>
      </c>
      <c r="M795" s="189">
        <f>IFERROR(__xludf.DUMMYFUNCTION("""COMPUTED_VALUE"""),1865.0)</f>
        <v>1865</v>
      </c>
      <c r="N795" s="189">
        <f>IFERROR(__xludf.DUMMYFUNCTION("""COMPUTED_VALUE"""),1585.0)</f>
        <v>1585</v>
      </c>
      <c r="O795" s="189">
        <f>IFERROR(__xludf.DUMMYFUNCTION("""COMPUTED_VALUE"""),1645.0)</f>
        <v>1645</v>
      </c>
      <c r="P795" s="189">
        <f>IFERROR(__xludf.DUMMYFUNCTION("""COMPUTED_VALUE"""),1635.0)</f>
        <v>1635</v>
      </c>
      <c r="Q795" s="189">
        <f>IFERROR(__xludf.DUMMYFUNCTION("""COMPUTED_VALUE"""),1647.0)</f>
        <v>1647</v>
      </c>
      <c r="R795" s="186"/>
      <c r="S795" s="189">
        <f>IFERROR(__xludf.DUMMYFUNCTION("""COMPUTED_VALUE"""),1609.0)</f>
        <v>1609</v>
      </c>
    </row>
    <row r="796">
      <c r="A796" s="186" t="str">
        <f>IFERROR(__xludf.DUMMYFUNCTION("""COMPUTED_VALUE"""),"DE")</f>
        <v>DE</v>
      </c>
      <c r="B796" s="186" t="str">
        <f>IFERROR(__xludf.DUMMYFUNCTION("""COMPUTED_VALUE"""),"W13")</f>
        <v>W13</v>
      </c>
      <c r="C796" s="186">
        <f>IFERROR(__xludf.DUMMYFUNCTION("""COMPUTED_VALUE"""),314.0)</f>
        <v>314</v>
      </c>
      <c r="D796" s="186" t="str">
        <f>IFERROR(__xludf.DUMMYFUNCTION("""COMPUTED_VALUE"""),"CON-00-152024-2")</f>
        <v>CON-00-152024-2</v>
      </c>
      <c r="E796" s="186" t="str">
        <f>IFERROR(__xludf.DUMMYFUNCTION("""COMPUTED_VALUE"""),"Ginger Garlic Grilled Chicken")</f>
        <v>Ginger Garlic Grilled Chicken</v>
      </c>
      <c r="F796" s="186" t="str">
        <f>IFERROR(__xludf.DUMMYFUNCTION("""COMPUTED_VALUE"""),"Gegrilltes Hähnchen in Ingwer-Knoblauch-Marinade")</f>
        <v>Gegrilltes Hähnchen in Ingwer-Knoblauch-Marinade</v>
      </c>
      <c r="G796" s="186" t="str">
        <f>IFERROR(__xludf.DUMMYFUNCTION("""COMPUTED_VALUE"""),"FE4064A")</f>
        <v>FE4064A</v>
      </c>
      <c r="H796" s="186">
        <f>IFERROR(__xludf.DUMMYFUNCTION("""COMPUTED_VALUE"""),565211.0)</f>
        <v>565211</v>
      </c>
      <c r="I796" s="186" t="str">
        <f>IFERROR(__xludf.DUMMYFUNCTION("""COMPUTED_VALUE"""),"HF Gember knoflook kip")</f>
        <v>HF Gember knoflook kip</v>
      </c>
      <c r="J796" s="189">
        <f>IFERROR(__xludf.DUMMYFUNCTION("""COMPUTED_VALUE"""),1004.0)</f>
        <v>1004</v>
      </c>
      <c r="K796" s="189">
        <f>IFERROR(__xludf.DUMMYFUNCTION("""COMPUTED_VALUE"""),961.0)</f>
        <v>961</v>
      </c>
      <c r="L796" s="189">
        <f>IFERROR(__xludf.DUMMYFUNCTION("""COMPUTED_VALUE"""),899.0)</f>
        <v>899</v>
      </c>
      <c r="M796" s="189">
        <f>IFERROR(__xludf.DUMMYFUNCTION("""COMPUTED_VALUE"""),898.0)</f>
        <v>898</v>
      </c>
      <c r="N796" s="189">
        <f>IFERROR(__xludf.DUMMYFUNCTION("""COMPUTED_VALUE"""),787.0)</f>
        <v>787</v>
      </c>
      <c r="O796" s="189">
        <f>IFERROR(__xludf.DUMMYFUNCTION("""COMPUTED_VALUE"""),805.0)</f>
        <v>805</v>
      </c>
      <c r="P796" s="189">
        <f>IFERROR(__xludf.DUMMYFUNCTION("""COMPUTED_VALUE"""),790.0)</f>
        <v>790</v>
      </c>
      <c r="Q796" s="189">
        <f>IFERROR(__xludf.DUMMYFUNCTION("""COMPUTED_VALUE"""),807.0)</f>
        <v>807</v>
      </c>
      <c r="R796" s="186"/>
      <c r="S796" s="189">
        <f>IFERROR(__xludf.DUMMYFUNCTION("""COMPUTED_VALUE"""),785.0)</f>
        <v>785</v>
      </c>
    </row>
    <row r="797">
      <c r="A797" s="186" t="str">
        <f>IFERROR(__xludf.DUMMYFUNCTION("""COMPUTED_VALUE"""),"DE")</f>
        <v>DE</v>
      </c>
      <c r="B797" s="186" t="str">
        <f>IFERROR(__xludf.DUMMYFUNCTION("""COMPUTED_VALUE"""),"W13")</f>
        <v>W13</v>
      </c>
      <c r="C797" s="186">
        <f>IFERROR(__xludf.DUMMYFUNCTION("""COMPUTED_VALUE"""),315.0)</f>
        <v>315</v>
      </c>
      <c r="D797" s="186" t="str">
        <f>IFERROR(__xludf.DUMMYFUNCTION("""COMPUTED_VALUE"""),"CON-00-136698-3")</f>
        <v>CON-00-136698-3</v>
      </c>
      <c r="E797" s="186" t="str">
        <f>IFERROR(__xludf.DUMMYFUNCTION("""COMPUTED_VALUE"""),"Braised beef in herby jus")</f>
        <v>Braised beef in herby jus</v>
      </c>
      <c r="F797" s="186" t="str">
        <f>IFERROR(__xludf.DUMMYFUNCTION("""COMPUTED_VALUE"""),"Geschmortes Rindfleisch in Kräuterjus")</f>
        <v>Geschmortes Rindfleisch in Kräuterjus</v>
      </c>
      <c r="G797" s="186" t="str">
        <f>IFERROR(__xludf.DUMMYFUNCTION("""COMPUTED_VALUE"""),"FE0413F")</f>
        <v>FE0413F</v>
      </c>
      <c r="H797" s="186">
        <f>IFERROR(__xludf.DUMMYFUNCTION("""COMPUTED_VALUE"""),565089.0)</f>
        <v>565089</v>
      </c>
      <c r="I797" s="186" t="str">
        <f>IFERROR(__xludf.DUMMYFUNCTION("""COMPUTED_VALUE"""),"HF Franse stijl rundvlees")</f>
        <v>HF Franse stijl rundvlees</v>
      </c>
      <c r="J797" s="189">
        <f>IFERROR(__xludf.DUMMYFUNCTION("""COMPUTED_VALUE"""),986.0)</f>
        <v>986</v>
      </c>
      <c r="K797" s="189">
        <f>IFERROR(__xludf.DUMMYFUNCTION("""COMPUTED_VALUE"""),955.0)</f>
        <v>955</v>
      </c>
      <c r="L797" s="189">
        <f>IFERROR(__xludf.DUMMYFUNCTION("""COMPUTED_VALUE"""),1153.0)</f>
        <v>1153</v>
      </c>
      <c r="M797" s="189">
        <f>IFERROR(__xludf.DUMMYFUNCTION("""COMPUTED_VALUE"""),1152.0)</f>
        <v>1152</v>
      </c>
      <c r="N797" s="189">
        <f>IFERROR(__xludf.DUMMYFUNCTION("""COMPUTED_VALUE"""),1008.0)</f>
        <v>1008</v>
      </c>
      <c r="O797" s="189">
        <f>IFERROR(__xludf.DUMMYFUNCTION("""COMPUTED_VALUE"""),1022.0)</f>
        <v>1022</v>
      </c>
      <c r="P797" s="189">
        <f>IFERROR(__xludf.DUMMYFUNCTION("""COMPUTED_VALUE"""),1041.0)</f>
        <v>1041</v>
      </c>
      <c r="Q797" s="189">
        <f>IFERROR(__xludf.DUMMYFUNCTION("""COMPUTED_VALUE"""),1035.0)</f>
        <v>1035</v>
      </c>
      <c r="R797" s="186"/>
      <c r="S797" s="189">
        <f>IFERROR(__xludf.DUMMYFUNCTION("""COMPUTED_VALUE"""),983.0)</f>
        <v>983</v>
      </c>
    </row>
    <row r="798">
      <c r="A798" s="186" t="str">
        <f>IFERROR(__xludf.DUMMYFUNCTION("""COMPUTED_VALUE"""),"DE")</f>
        <v>DE</v>
      </c>
      <c r="B798" s="186" t="str">
        <f>IFERROR(__xludf.DUMMYFUNCTION("""COMPUTED_VALUE"""),"W13")</f>
        <v>W13</v>
      </c>
      <c r="C798" s="186">
        <f>IFERROR(__xludf.DUMMYFUNCTION("""COMPUTED_VALUE"""),316.0)</f>
        <v>316</v>
      </c>
      <c r="D798" s="186" t="str">
        <f>IFERROR(__xludf.DUMMYFUNCTION("""COMPUTED_VALUE"""),"CON-00-137164-3")</f>
        <v>CON-00-137164-3</v>
      </c>
      <c r="E798" s="186" t="str">
        <f>IFERROR(__xludf.DUMMYFUNCTION("""COMPUTED_VALUE"""),"Beef Shepherd's Pie")</f>
        <v>Beef Shepherd's Pie</v>
      </c>
      <c r="F798" s="186" t="str">
        <f>IFERROR(__xludf.DUMMYFUNCTION("""COMPUTED_VALUE"""),"Shepherd’s Pie mit Rindfleisch")</f>
        <v>Shepherd’s Pie mit Rindfleisch</v>
      </c>
      <c r="G798" s="186" t="str">
        <f>IFERROR(__xludf.DUMMYFUNCTION("""COMPUTED_VALUE"""),"FE0160C")</f>
        <v>FE0160C</v>
      </c>
      <c r="H798" s="186">
        <f>IFERROR(__xludf.DUMMYFUNCTION("""COMPUTED_VALUE"""),565153.0)</f>
        <v>565153</v>
      </c>
      <c r="I798" s="186" t="str">
        <f>IFERROR(__xludf.DUMMYFUNCTION("""COMPUTED_VALUE"""),"HF Beef Shephards Pie")</f>
        <v>HF Beef Shephards Pie</v>
      </c>
      <c r="J798" s="189">
        <f>IFERROR(__xludf.DUMMYFUNCTION("""COMPUTED_VALUE"""),834.0)</f>
        <v>834</v>
      </c>
      <c r="K798" s="189">
        <f>IFERROR(__xludf.DUMMYFUNCTION("""COMPUTED_VALUE"""),739.0)</f>
        <v>739</v>
      </c>
      <c r="L798" s="189">
        <f>IFERROR(__xludf.DUMMYFUNCTION("""COMPUTED_VALUE"""),841.0)</f>
        <v>841</v>
      </c>
      <c r="M798" s="189">
        <f>IFERROR(__xludf.DUMMYFUNCTION("""COMPUTED_VALUE"""),840.0)</f>
        <v>840</v>
      </c>
      <c r="N798" s="189">
        <f>IFERROR(__xludf.DUMMYFUNCTION("""COMPUTED_VALUE"""),741.0)</f>
        <v>741</v>
      </c>
      <c r="O798" s="189">
        <f>IFERROR(__xludf.DUMMYFUNCTION("""COMPUTED_VALUE"""),717.0)</f>
        <v>717</v>
      </c>
      <c r="P798" s="189">
        <f>IFERROR(__xludf.DUMMYFUNCTION("""COMPUTED_VALUE"""),725.0)</f>
        <v>725</v>
      </c>
      <c r="Q798" s="189">
        <f>IFERROR(__xludf.DUMMYFUNCTION("""COMPUTED_VALUE"""),728.0)</f>
        <v>728</v>
      </c>
      <c r="R798" s="186"/>
      <c r="S798" s="189">
        <f>IFERROR(__xludf.DUMMYFUNCTION("""COMPUTED_VALUE"""),682.0)</f>
        <v>682</v>
      </c>
    </row>
    <row r="799">
      <c r="A799" s="186" t="str">
        <f>IFERROR(__xludf.DUMMYFUNCTION("""COMPUTED_VALUE"""),"DE")</f>
        <v>DE</v>
      </c>
      <c r="B799" s="186" t="str">
        <f>IFERROR(__xludf.DUMMYFUNCTION("""COMPUTED_VALUE"""),"W13")</f>
        <v>W13</v>
      </c>
      <c r="C799" s="186">
        <f>IFERROR(__xludf.DUMMYFUNCTION("""COMPUTED_VALUE"""),317.0)</f>
        <v>317</v>
      </c>
      <c r="D799" s="186" t="str">
        <f>IFERROR(__xludf.DUMMYFUNCTION("""COMPUTED_VALUE"""),"CON-00-155387-2")</f>
        <v>CON-00-155387-2</v>
      </c>
      <c r="E799" s="186" t="str">
        <f>IFERROR(__xludf.DUMMYFUNCTION("""COMPUTED_VALUE"""),"Creamy Pistou Pork Tenderloin")</f>
        <v>Creamy Pistou Pork Tenderloin</v>
      </c>
      <c r="F799" s="186" t="str">
        <f>IFERROR(__xludf.DUMMYFUNCTION("""COMPUTED_VALUE"""),"Schweinefilet mit cremigem Pistou")</f>
        <v>Schweinefilet mit cremigem Pistou</v>
      </c>
      <c r="G799" s="186" t="str">
        <f>IFERROR(__xludf.DUMMYFUNCTION("""COMPUTED_VALUE"""),"FE0959A")</f>
        <v>FE0959A</v>
      </c>
      <c r="H799" s="186">
        <f>IFERROR(__xludf.DUMMYFUNCTION("""COMPUTED_VALUE"""),565256.0)</f>
        <v>565256</v>
      </c>
      <c r="I799" s="186" t="str">
        <f>IFERROR(__xludf.DUMMYFUNCTION("""COMPUTED_VALUE"""),"HF Varkenshaas romige pesto")</f>
        <v>HF Varkenshaas romige pesto</v>
      </c>
      <c r="J799" s="189">
        <f>IFERROR(__xludf.DUMMYFUNCTION("""COMPUTED_VALUE"""),1168.0)</f>
        <v>1168</v>
      </c>
      <c r="K799" s="189">
        <f>IFERROR(__xludf.DUMMYFUNCTION("""COMPUTED_VALUE"""),1094.0)</f>
        <v>1094</v>
      </c>
      <c r="L799" s="189">
        <f>IFERROR(__xludf.DUMMYFUNCTION("""COMPUTED_VALUE"""),935.0)</f>
        <v>935</v>
      </c>
      <c r="M799" s="189">
        <f>IFERROR(__xludf.DUMMYFUNCTION("""COMPUTED_VALUE"""),934.0)</f>
        <v>934</v>
      </c>
      <c r="N799" s="189">
        <f>IFERROR(__xludf.DUMMYFUNCTION("""COMPUTED_VALUE"""),881.0)</f>
        <v>881</v>
      </c>
      <c r="O799" s="189">
        <f>IFERROR(__xludf.DUMMYFUNCTION("""COMPUTED_VALUE"""),906.0)</f>
        <v>906</v>
      </c>
      <c r="P799" s="189">
        <f>IFERROR(__xludf.DUMMYFUNCTION("""COMPUTED_VALUE"""),919.0)</f>
        <v>919</v>
      </c>
      <c r="Q799" s="189">
        <f>IFERROR(__xludf.DUMMYFUNCTION("""COMPUTED_VALUE"""),943.0)</f>
        <v>943</v>
      </c>
      <c r="R799" s="186"/>
      <c r="S799" s="189">
        <f>IFERROR(__xludf.DUMMYFUNCTION("""COMPUTED_VALUE"""),938.0)</f>
        <v>938</v>
      </c>
    </row>
    <row r="800">
      <c r="A800" s="186" t="str">
        <f>IFERROR(__xludf.DUMMYFUNCTION("""COMPUTED_VALUE"""),"DE")</f>
        <v>DE</v>
      </c>
      <c r="B800" s="186" t="str">
        <f>IFERROR(__xludf.DUMMYFUNCTION("""COMPUTED_VALUE"""),"W13")</f>
        <v>W13</v>
      </c>
      <c r="C800" s="186">
        <f>IFERROR(__xludf.DUMMYFUNCTION("""COMPUTED_VALUE"""),318.0)</f>
        <v>318</v>
      </c>
      <c r="D800" s="186" t="str">
        <f>IFERROR(__xludf.DUMMYFUNCTION("""COMPUTED_VALUE"""),"CON-00-136696-3")</f>
        <v>CON-00-136696-3</v>
      </c>
      <c r="E800" s="186" t="str">
        <f>IFERROR(__xludf.DUMMYFUNCTION("""COMPUTED_VALUE"""),"Pork tenderloin in spicy ancho chili sauce")</f>
        <v>Pork tenderloin in spicy ancho chili sauce</v>
      </c>
      <c r="F800" s="186" t="str">
        <f>IFERROR(__xludf.DUMMYFUNCTION("""COMPUTED_VALUE"""),"Schweinefilet in würziger Ancho-Chili-Sauce")</f>
        <v>Schweinefilet in würziger Ancho-Chili-Sauce</v>
      </c>
      <c r="G800" s="186" t="str">
        <f>IFERROR(__xludf.DUMMYFUNCTION("""COMPUTED_VALUE"""),"FE1072B")</f>
        <v>FE1072B</v>
      </c>
      <c r="H800" s="186">
        <f>IFERROR(__xludf.DUMMYFUNCTION("""COMPUTED_VALUE"""),565095.0)</f>
        <v>565095</v>
      </c>
      <c r="I800" s="186" t="str">
        <f>IFERROR(__xludf.DUMMYFUNCTION("""COMPUTED_VALUE"""),"HF V.haas pittige ancho chili")</f>
        <v>HF V.haas pittige ancho chili</v>
      </c>
      <c r="J800" s="189">
        <f>IFERROR(__xludf.DUMMYFUNCTION("""COMPUTED_VALUE"""),643.0)</f>
        <v>643</v>
      </c>
      <c r="K800" s="189">
        <f>IFERROR(__xludf.DUMMYFUNCTION("""COMPUTED_VALUE"""),619.0)</f>
        <v>619</v>
      </c>
      <c r="L800" s="189">
        <f>IFERROR(__xludf.DUMMYFUNCTION("""COMPUTED_VALUE"""),434.0)</f>
        <v>434</v>
      </c>
      <c r="M800" s="189">
        <f>IFERROR(__xludf.DUMMYFUNCTION("""COMPUTED_VALUE"""),433.0)</f>
        <v>433</v>
      </c>
      <c r="N800" s="189">
        <f>IFERROR(__xludf.DUMMYFUNCTION("""COMPUTED_VALUE"""),413.0)</f>
        <v>413</v>
      </c>
      <c r="O800" s="189">
        <f>IFERROR(__xludf.DUMMYFUNCTION("""COMPUTED_VALUE"""),437.0)</f>
        <v>437</v>
      </c>
      <c r="P800" s="189">
        <f>IFERROR(__xludf.DUMMYFUNCTION("""COMPUTED_VALUE"""),424.0)</f>
        <v>424</v>
      </c>
      <c r="Q800" s="189">
        <f>IFERROR(__xludf.DUMMYFUNCTION("""COMPUTED_VALUE"""),442.0)</f>
        <v>442</v>
      </c>
      <c r="R800" s="186"/>
      <c r="S800" s="189">
        <f>IFERROR(__xludf.DUMMYFUNCTION("""COMPUTED_VALUE"""),449.0)</f>
        <v>449</v>
      </c>
    </row>
    <row r="801">
      <c r="A801" s="186" t="str">
        <f>IFERROR(__xludf.DUMMYFUNCTION("""COMPUTED_VALUE"""),"DE")</f>
        <v>DE</v>
      </c>
      <c r="B801" s="186" t="str">
        <f>IFERROR(__xludf.DUMMYFUNCTION("""COMPUTED_VALUE"""),"W13")</f>
        <v>W13</v>
      </c>
      <c r="C801" s="186">
        <f>IFERROR(__xludf.DUMMYFUNCTION("""COMPUTED_VALUE"""),206.0)</f>
        <v>206</v>
      </c>
      <c r="D801" s="186" t="str">
        <f>IFERROR(__xludf.DUMMYFUNCTION("""COMPUTED_VALUE"""),"PTN-00-136930-3")</f>
        <v>PTN-00-136930-3</v>
      </c>
      <c r="E801" s="186" t="str">
        <f>IFERROR(__xludf.DUMMYFUNCTION("""COMPUTED_VALUE"""),"Garlic Herb Grilled Chicken")</f>
        <v>Garlic Herb Grilled Chicken</v>
      </c>
      <c r="F801" s="186" t="str">
        <f>IFERROR(__xludf.DUMMYFUNCTION("""COMPUTED_VALUE"""),"Gegrilltes Hähnchen mit Knoblauch-Kräutern")</f>
        <v>Gegrilltes Hähnchen mit Knoblauch-Kräutern</v>
      </c>
      <c r="G801" s="186" t="str">
        <f>IFERROR(__xludf.DUMMYFUNCTION("""COMPUTED_VALUE"""),"FEA006A")</f>
        <v>FEA006A</v>
      </c>
      <c r="H801" s="186">
        <f>IFERROR(__xludf.DUMMYFUNCTION("""COMPUTED_VALUE"""),565119.0)</f>
        <v>565119</v>
      </c>
      <c r="I801" s="186"/>
      <c r="J801" s="189">
        <f>IFERROR(__xludf.DUMMYFUNCTION("""COMPUTED_VALUE"""),87.0)</f>
        <v>87</v>
      </c>
      <c r="K801" s="189">
        <f>IFERROR(__xludf.DUMMYFUNCTION("""COMPUTED_VALUE"""),87.0)</f>
        <v>87</v>
      </c>
      <c r="L801" s="189">
        <f>IFERROR(__xludf.DUMMYFUNCTION("""COMPUTED_VALUE"""),79.0)</f>
        <v>79</v>
      </c>
      <c r="M801" s="189">
        <f>IFERROR(__xludf.DUMMYFUNCTION("""COMPUTED_VALUE"""),79.0)</f>
        <v>79</v>
      </c>
      <c r="N801" s="189">
        <f>IFERROR(__xludf.DUMMYFUNCTION("""COMPUTED_VALUE"""),79.0)</f>
        <v>79</v>
      </c>
      <c r="O801" s="189">
        <f>IFERROR(__xludf.DUMMYFUNCTION("""COMPUTED_VALUE"""),79.0)</f>
        <v>79</v>
      </c>
      <c r="P801" s="189">
        <f>IFERROR(__xludf.DUMMYFUNCTION("""COMPUTED_VALUE"""),79.0)</f>
        <v>79</v>
      </c>
      <c r="Q801" s="189">
        <f>IFERROR(__xludf.DUMMYFUNCTION("""COMPUTED_VALUE"""),79.0)</f>
        <v>79</v>
      </c>
      <c r="R801" s="186"/>
      <c r="S801" s="189">
        <f>IFERROR(__xludf.DUMMYFUNCTION("""COMPUTED_VALUE"""),42.0)</f>
        <v>42</v>
      </c>
    </row>
    <row r="802">
      <c r="A802" s="186" t="str">
        <f>IFERROR(__xludf.DUMMYFUNCTION("""COMPUTED_VALUE"""),"DE")</f>
        <v>DE</v>
      </c>
      <c r="B802" s="186" t="str">
        <f>IFERROR(__xludf.DUMMYFUNCTION("""COMPUTED_VALUE"""),"W13")</f>
        <v>W13</v>
      </c>
      <c r="C802" s="186"/>
      <c r="D802" s="186"/>
      <c r="E802" s="186"/>
      <c r="F802" s="186"/>
      <c r="G802" s="186"/>
      <c r="H802" s="186"/>
      <c r="I802" s="186"/>
      <c r="J802" s="189">
        <f>IFERROR(__xludf.DUMMYFUNCTION("""COMPUTED_VALUE"""),27400.0)</f>
        <v>27400</v>
      </c>
      <c r="K802" s="189">
        <f>IFERROR(__xludf.DUMMYFUNCTION("""COMPUTED_VALUE"""),26289.0)</f>
        <v>26289</v>
      </c>
      <c r="L802" s="189">
        <f>IFERROR(__xludf.DUMMYFUNCTION("""COMPUTED_VALUE"""),25488.0)</f>
        <v>25488</v>
      </c>
      <c r="M802" s="189">
        <f>IFERROR(__xludf.DUMMYFUNCTION("""COMPUTED_VALUE"""),25456.0)</f>
        <v>25456</v>
      </c>
      <c r="N802" s="189">
        <f>IFERROR(__xludf.DUMMYFUNCTION("""COMPUTED_VALUE"""),23321.0)</f>
        <v>23321</v>
      </c>
      <c r="O802" s="189">
        <f>IFERROR(__xludf.DUMMYFUNCTION("""COMPUTED_VALUE"""),23662.0)</f>
        <v>23662</v>
      </c>
      <c r="P802" s="189">
        <f>IFERROR(__xludf.DUMMYFUNCTION("""COMPUTED_VALUE"""),23454.0)</f>
        <v>23454</v>
      </c>
      <c r="Q802" s="189">
        <f>IFERROR(__xludf.DUMMYFUNCTION("""COMPUTED_VALUE"""),23898.0)</f>
        <v>23898</v>
      </c>
      <c r="R802" s="189">
        <f>IFERROR(__xludf.DUMMYFUNCTION("""COMPUTED_VALUE"""),0.0)</f>
        <v>0</v>
      </c>
      <c r="S802" s="189">
        <f>IFERROR(__xludf.DUMMYFUNCTION("""COMPUTED_VALUE"""),24100.0)</f>
        <v>24100</v>
      </c>
    </row>
    <row r="803">
      <c r="A803" s="186" t="str">
        <f>IFERROR(__xludf.DUMMYFUNCTION("""COMPUTED_VALUE"""),"NORDICS")</f>
        <v>NORDICS</v>
      </c>
      <c r="B803" s="186" t="str">
        <f>IFERROR(__xludf.DUMMYFUNCTION("""COMPUTED_VALUE"""),"W14")</f>
        <v>W14</v>
      </c>
      <c r="C803" s="186">
        <f>IFERROR(__xludf.DUMMYFUNCTION("""COMPUTED_VALUE"""),601.0)</f>
        <v>601</v>
      </c>
      <c r="D803" s="186" t="str">
        <f>IFERROR(__xludf.DUMMYFUNCTION("""COMPUTED_VALUE"""),"CON-00-147878-2")</f>
        <v>CON-00-147878-2</v>
      </c>
      <c r="E803" s="186" t="str">
        <f>IFERROR(__xludf.DUMMYFUNCTION("""COMPUTED_VALUE"""),"Grilled chicken and ratatouille")</f>
        <v>Grilled chicken and ratatouille</v>
      </c>
      <c r="F803" s="186" t="str">
        <f>IFERROR(__xludf.DUMMYFUNCTION("""COMPUTED_VALUE"""),"Grillet kylling med ratatouille")</f>
        <v>Grillet kylling med ratatouille</v>
      </c>
      <c r="G803" s="186" t="str">
        <f>IFERROR(__xludf.DUMMYFUNCTION("""COMPUTED_VALUE"""),"FE4015B")</f>
        <v>FE4015B</v>
      </c>
      <c r="H803" s="186">
        <f>IFERROR(__xludf.DUMMYFUNCTION("""COMPUTED_VALUE"""),565072.0)</f>
        <v>565072</v>
      </c>
      <c r="I803" s="186" t="str">
        <f>IFERROR(__xludf.DUMMYFUNCTION("""COMPUTED_VALUE"""),"HF Kipfilet met Ratatouille")</f>
        <v>HF Kipfilet met Ratatouille</v>
      </c>
      <c r="J803" s="189">
        <f>IFERROR(__xludf.DUMMYFUNCTION("""COMPUTED_VALUE"""),3925.0)</f>
        <v>3925</v>
      </c>
      <c r="K803" s="189">
        <f>IFERROR(__xludf.DUMMYFUNCTION("""COMPUTED_VALUE"""),3849.0)</f>
        <v>3849</v>
      </c>
      <c r="L803" s="189">
        <f>IFERROR(__xludf.DUMMYFUNCTION("""COMPUTED_VALUE"""),3841.0)</f>
        <v>3841</v>
      </c>
      <c r="M803" s="189">
        <f>IFERROR(__xludf.DUMMYFUNCTION("""COMPUTED_VALUE"""),3891.0)</f>
        <v>3891</v>
      </c>
      <c r="N803" s="189">
        <f>IFERROR(__xludf.DUMMYFUNCTION("""COMPUTED_VALUE"""),3694.0)</f>
        <v>3694</v>
      </c>
      <c r="O803" s="189">
        <f>IFERROR(__xludf.DUMMYFUNCTION("""COMPUTED_VALUE"""),3681.0)</f>
        <v>3681</v>
      </c>
      <c r="P803" s="189">
        <f>IFERROR(__xludf.DUMMYFUNCTION("""COMPUTED_VALUE"""),3647.0)</f>
        <v>3647</v>
      </c>
      <c r="Q803" s="189">
        <f>IFERROR(__xludf.DUMMYFUNCTION("""COMPUTED_VALUE"""),3548.0)</f>
        <v>3548</v>
      </c>
      <c r="R803" s="186"/>
      <c r="S803" s="189">
        <f>IFERROR(__xludf.DUMMYFUNCTION("""COMPUTED_VALUE"""),3492.0)</f>
        <v>3492</v>
      </c>
    </row>
    <row r="804">
      <c r="A804" s="186" t="str">
        <f>IFERROR(__xludf.DUMMYFUNCTION("""COMPUTED_VALUE"""),"NORDICS")</f>
        <v>NORDICS</v>
      </c>
      <c r="B804" s="186" t="str">
        <f>IFERROR(__xludf.DUMMYFUNCTION("""COMPUTED_VALUE"""),"W14")</f>
        <v>W14</v>
      </c>
      <c r="C804" s="186">
        <f>IFERROR(__xludf.DUMMYFUNCTION("""COMPUTED_VALUE"""),602.0)</f>
        <v>602</v>
      </c>
      <c r="D804" s="186" t="str">
        <f>IFERROR(__xludf.DUMMYFUNCTION("""COMPUTED_VALUE"""),"CON-00-152208-2")</f>
        <v>CON-00-152208-2</v>
      </c>
      <c r="E804" s="186" t="str">
        <f>IFERROR(__xludf.DUMMYFUNCTION("""COMPUTED_VALUE"""),"Green Chile Chicken &amp; Salsa Quinoa")</f>
        <v>Green Chile Chicken &amp; Salsa Quinoa</v>
      </c>
      <c r="F804" s="186" t="str">
        <f>IFERROR(__xludf.DUMMYFUNCTION("""COMPUTED_VALUE"""),"Chilensk inspireret kylling med salsa-quinoa")</f>
        <v>Chilensk inspireret kylling med salsa-quinoa</v>
      </c>
      <c r="G804" s="186" t="str">
        <f>IFERROR(__xludf.DUMMYFUNCTION("""COMPUTED_VALUE"""),"FE1636A")</f>
        <v>FE1636A</v>
      </c>
      <c r="H804" s="186">
        <f>IFERROR(__xludf.DUMMYFUNCTION("""COMPUTED_VALUE"""),565209.0)</f>
        <v>565209</v>
      </c>
      <c r="I804" s="186" t="str">
        <f>IFERROR(__xludf.DUMMYFUNCTION("""COMPUTED_VALUE"""),"HF Quinoa witte bonen salsa")</f>
        <v>HF Quinoa witte bonen salsa</v>
      </c>
      <c r="J804" s="189">
        <f>IFERROR(__xludf.DUMMYFUNCTION("""COMPUTED_VALUE"""),2390.0)</f>
        <v>2390</v>
      </c>
      <c r="K804" s="189">
        <f>IFERROR(__xludf.DUMMYFUNCTION("""COMPUTED_VALUE"""),2412.0)</f>
        <v>2412</v>
      </c>
      <c r="L804" s="189">
        <f>IFERROR(__xludf.DUMMYFUNCTION("""COMPUTED_VALUE"""),2407.0)</f>
        <v>2407</v>
      </c>
      <c r="M804" s="189">
        <f>IFERROR(__xludf.DUMMYFUNCTION("""COMPUTED_VALUE"""),2563.0)</f>
        <v>2563</v>
      </c>
      <c r="N804" s="189">
        <f>IFERROR(__xludf.DUMMYFUNCTION("""COMPUTED_VALUE"""),2458.0)</f>
        <v>2458</v>
      </c>
      <c r="O804" s="189">
        <f>IFERROR(__xludf.DUMMYFUNCTION("""COMPUTED_VALUE"""),2427.0)</f>
        <v>2427</v>
      </c>
      <c r="P804" s="189">
        <f>IFERROR(__xludf.DUMMYFUNCTION("""COMPUTED_VALUE"""),2404.0)</f>
        <v>2404</v>
      </c>
      <c r="Q804" s="189">
        <f>IFERROR(__xludf.DUMMYFUNCTION("""COMPUTED_VALUE"""),2362.0)</f>
        <v>2362</v>
      </c>
      <c r="R804" s="186"/>
      <c r="S804" s="189">
        <f>IFERROR(__xludf.DUMMYFUNCTION("""COMPUTED_VALUE"""),2392.0)</f>
        <v>2392</v>
      </c>
    </row>
    <row r="805">
      <c r="A805" s="186" t="str">
        <f>IFERROR(__xludf.DUMMYFUNCTION("""COMPUTED_VALUE"""),"NORDICS")</f>
        <v>NORDICS</v>
      </c>
      <c r="B805" s="186" t="str">
        <f>IFERROR(__xludf.DUMMYFUNCTION("""COMPUTED_VALUE"""),"W14")</f>
        <v>W14</v>
      </c>
      <c r="C805" s="186">
        <f>IFERROR(__xludf.DUMMYFUNCTION("""COMPUTED_VALUE"""),603.0)</f>
        <v>603</v>
      </c>
      <c r="D805" s="186" t="str">
        <f>IFERROR(__xludf.DUMMYFUNCTION("""COMPUTED_VALUE"""),"CON-00-147854-2")</f>
        <v>CON-00-147854-2</v>
      </c>
      <c r="E805" s="186" t="str">
        <f>IFERROR(__xludf.DUMMYFUNCTION("""COMPUTED_VALUE"""),"Cabbage in cheese sauce with minced beef")</f>
        <v>Cabbage in cheese sauce with minced beef</v>
      </c>
      <c r="F805" s="186" t="str">
        <f>IFERROR(__xludf.DUMMYFUNCTION("""COMPUTED_VALUE"""),"Kål i ostesauce med hakket oksekød")</f>
        <v>Kål i ostesauce med hakket oksekød</v>
      </c>
      <c r="G805" s="186" t="str">
        <f>IFERROR(__xludf.DUMMYFUNCTION("""COMPUTED_VALUE"""),"FE0713B")</f>
        <v>FE0713B</v>
      </c>
      <c r="H805" s="186">
        <f>IFERROR(__xludf.DUMMYFUNCTION("""COMPUTED_VALUE"""),565240.0)</f>
        <v>565240</v>
      </c>
      <c r="I805" s="186" t="str">
        <f>IFERROR(__xludf.DUMMYFUNCTION("""COMPUTED_VALUE"""),"HF RW Kool in kaassaus")</f>
        <v>HF RW Kool in kaassaus</v>
      </c>
      <c r="J805" s="189">
        <f>IFERROR(__xludf.DUMMYFUNCTION("""COMPUTED_VALUE"""),2051.0)</f>
        <v>2051</v>
      </c>
      <c r="K805" s="189">
        <f>IFERROR(__xludf.DUMMYFUNCTION("""COMPUTED_VALUE"""),2045.0)</f>
        <v>2045</v>
      </c>
      <c r="L805" s="189">
        <f>IFERROR(__xludf.DUMMYFUNCTION("""COMPUTED_VALUE"""),2041.0)</f>
        <v>2041</v>
      </c>
      <c r="M805" s="189">
        <f>IFERROR(__xludf.DUMMYFUNCTION("""COMPUTED_VALUE"""),2097.0)</f>
        <v>2097</v>
      </c>
      <c r="N805" s="189">
        <f>IFERROR(__xludf.DUMMYFUNCTION("""COMPUTED_VALUE"""),1987.0)</f>
        <v>1987</v>
      </c>
      <c r="O805" s="189">
        <f>IFERROR(__xludf.DUMMYFUNCTION("""COMPUTED_VALUE"""),1963.0)</f>
        <v>1963</v>
      </c>
      <c r="P805" s="189">
        <f>IFERROR(__xludf.DUMMYFUNCTION("""COMPUTED_VALUE"""),1967.0)</f>
        <v>1967</v>
      </c>
      <c r="Q805" s="189">
        <f>IFERROR(__xludf.DUMMYFUNCTION("""COMPUTED_VALUE"""),1908.0)</f>
        <v>1908</v>
      </c>
      <c r="R805" s="186"/>
      <c r="S805" s="189">
        <f>IFERROR(__xludf.DUMMYFUNCTION("""COMPUTED_VALUE"""),1899.0)</f>
        <v>1899</v>
      </c>
    </row>
    <row r="806">
      <c r="A806" s="186" t="str">
        <f>IFERROR(__xludf.DUMMYFUNCTION("""COMPUTED_VALUE"""),"NORDICS")</f>
        <v>NORDICS</v>
      </c>
      <c r="B806" s="186" t="str">
        <f>IFERROR(__xludf.DUMMYFUNCTION("""COMPUTED_VALUE"""),"W14")</f>
        <v>W14</v>
      </c>
      <c r="C806" s="186">
        <f>IFERROR(__xludf.DUMMYFUNCTION("""COMPUTED_VALUE"""),604.0)</f>
        <v>604</v>
      </c>
      <c r="D806" s="186" t="str">
        <f>IFERROR(__xludf.DUMMYFUNCTION("""COMPUTED_VALUE"""),"CON-00-155188-2")</f>
        <v>CON-00-155188-2</v>
      </c>
      <c r="E806" s="186" t="str">
        <f>IFERROR(__xludf.DUMMYFUNCTION("""COMPUTED_VALUE"""),"Sun-Dried Tomato Beef Ragu &amp; Pasta")</f>
        <v>Sun-Dried Tomato Beef Ragu &amp; Pasta</v>
      </c>
      <c r="F806" s="186" t="str">
        <f>IFERROR(__xludf.DUMMYFUNCTION("""COMPUTED_VALUE"""),"Pasta med oksekødsragù og soltørrede tomater")</f>
        <v>Pasta med oksekødsragù og soltørrede tomater</v>
      </c>
      <c r="G806" s="186" t="str">
        <f>IFERROR(__xludf.DUMMYFUNCTION("""COMPUTED_VALUE"""),"FE4075A")</f>
        <v>FE4075A</v>
      </c>
      <c r="H806" s="186">
        <f>IFERROR(__xludf.DUMMYFUNCTION("""COMPUTED_VALUE"""),565252.0)</f>
        <v>565252</v>
      </c>
      <c r="I806" s="186" t="str">
        <f>IFERROR(__xludf.DUMMYFUNCTION("""COMPUTED_VALUE"""),"HF Tomato Beef Ragu &amp; Pasta")</f>
        <v>HF Tomato Beef Ragu &amp; Pasta</v>
      </c>
      <c r="J806" s="189">
        <f>IFERROR(__xludf.DUMMYFUNCTION("""COMPUTED_VALUE"""),3177.0)</f>
        <v>3177</v>
      </c>
      <c r="K806" s="189">
        <f>IFERROR(__xludf.DUMMYFUNCTION("""COMPUTED_VALUE"""),3364.0)</f>
        <v>3364</v>
      </c>
      <c r="L806" s="189">
        <f>IFERROR(__xludf.DUMMYFUNCTION("""COMPUTED_VALUE"""),3357.0)</f>
        <v>3357</v>
      </c>
      <c r="M806" s="189">
        <f>IFERROR(__xludf.DUMMYFUNCTION("""COMPUTED_VALUE"""),3345.0)</f>
        <v>3345</v>
      </c>
      <c r="N806" s="189">
        <f>IFERROR(__xludf.DUMMYFUNCTION("""COMPUTED_VALUE"""),3188.0)</f>
        <v>3188</v>
      </c>
      <c r="O806" s="189">
        <f>IFERROR(__xludf.DUMMYFUNCTION("""COMPUTED_VALUE"""),3182.0)</f>
        <v>3182</v>
      </c>
      <c r="P806" s="189">
        <f>IFERROR(__xludf.DUMMYFUNCTION("""COMPUTED_VALUE"""),3162.0)</f>
        <v>3162</v>
      </c>
      <c r="Q806" s="189">
        <f>IFERROR(__xludf.DUMMYFUNCTION("""COMPUTED_VALUE"""),3072.0)</f>
        <v>3072</v>
      </c>
      <c r="R806" s="186"/>
      <c r="S806" s="189">
        <f>IFERROR(__xludf.DUMMYFUNCTION("""COMPUTED_VALUE"""),2978.0)</f>
        <v>2978</v>
      </c>
    </row>
    <row r="807">
      <c r="A807" s="186" t="str">
        <f>IFERROR(__xludf.DUMMYFUNCTION("""COMPUTED_VALUE"""),"NORDICS")</f>
        <v>NORDICS</v>
      </c>
      <c r="B807" s="186" t="str">
        <f>IFERROR(__xludf.DUMMYFUNCTION("""COMPUTED_VALUE"""),"W14")</f>
        <v>W14</v>
      </c>
      <c r="C807" s="186">
        <f>IFERROR(__xludf.DUMMYFUNCTION("""COMPUTED_VALUE"""),605.0)</f>
        <v>605</v>
      </c>
      <c r="D807" s="186"/>
      <c r="E807" s="186"/>
      <c r="F807" s="186"/>
      <c r="G807" s="186" t="str">
        <f>IFERROR(__xludf.DUMMYFUNCTION("""COMPUTED_VALUE"""),"FE4001D")</f>
        <v>FE4001D</v>
      </c>
      <c r="H807" s="186"/>
      <c r="I807" s="186"/>
      <c r="J807" s="189">
        <f>IFERROR(__xludf.DUMMYFUNCTION("""COMPUTED_VALUE"""),1921.0)</f>
        <v>1921</v>
      </c>
      <c r="K807" s="189">
        <f>IFERROR(__xludf.DUMMYFUNCTION("""COMPUTED_VALUE"""),1826.0)</f>
        <v>1826</v>
      </c>
      <c r="L807" s="189">
        <f>IFERROR(__xludf.DUMMYFUNCTION("""COMPUTED_VALUE"""),1822.0)</f>
        <v>1822</v>
      </c>
      <c r="M807" s="189">
        <f>IFERROR(__xludf.DUMMYFUNCTION("""COMPUTED_VALUE"""),1817.0)</f>
        <v>1817</v>
      </c>
      <c r="N807" s="189">
        <f>IFERROR(__xludf.DUMMYFUNCTION("""COMPUTED_VALUE"""),1720.0)</f>
        <v>1720</v>
      </c>
      <c r="O807" s="189">
        <f>IFERROR(__xludf.DUMMYFUNCTION("""COMPUTED_VALUE"""),1697.0)</f>
        <v>1697</v>
      </c>
      <c r="P807" s="189">
        <f>IFERROR(__xludf.DUMMYFUNCTION("""COMPUTED_VALUE"""),1686.0)</f>
        <v>1686</v>
      </c>
      <c r="Q807" s="189">
        <f>IFERROR(__xludf.DUMMYFUNCTION("""COMPUTED_VALUE"""),1672.0)</f>
        <v>1672</v>
      </c>
      <c r="R807" s="186"/>
      <c r="S807" s="189">
        <f>IFERROR(__xludf.DUMMYFUNCTION("""COMPUTED_VALUE"""),1683.0)</f>
        <v>1683</v>
      </c>
    </row>
    <row r="808">
      <c r="A808" s="186" t="str">
        <f>IFERROR(__xludf.DUMMYFUNCTION("""COMPUTED_VALUE"""),"NORDICS")</f>
        <v>NORDICS</v>
      </c>
      <c r="B808" s="186" t="str">
        <f>IFERROR(__xludf.DUMMYFUNCTION("""COMPUTED_VALUE"""),"W14")</f>
        <v>W14</v>
      </c>
      <c r="C808" s="186">
        <f>IFERROR(__xludf.DUMMYFUNCTION("""COMPUTED_VALUE"""),606.0)</f>
        <v>606</v>
      </c>
      <c r="D808" s="186" t="str">
        <f>IFERROR(__xludf.DUMMYFUNCTION("""COMPUTED_VALUE"""),"CON-00-147893-2")</f>
        <v>CON-00-147893-2</v>
      </c>
      <c r="E808" s="186" t="str">
        <f>IFERROR(__xludf.DUMMYFUNCTION("""COMPUTED_VALUE"""),"Salmon in creamy gochugaru sauce")</f>
        <v>Salmon in creamy gochugaru sauce</v>
      </c>
      <c r="F808" s="186" t="str">
        <f>IFERROR(__xludf.DUMMYFUNCTION("""COMPUTED_VALUE"""),"Laks i cremet gochugaru sauce")</f>
        <v>Laks i cremet gochugaru sauce</v>
      </c>
      <c r="G808" s="186" t="str">
        <f>IFERROR(__xludf.DUMMYFUNCTION("""COMPUTED_VALUE"""),"FE4039C")</f>
        <v>FE4039C</v>
      </c>
      <c r="H808" s="186">
        <f>IFERROR(__xludf.DUMMYFUNCTION("""COMPUTED_VALUE"""),565102.0)</f>
        <v>565102</v>
      </c>
      <c r="I808" s="186" t="str">
        <f>IFERROR(__xludf.DUMMYFUNCTION("""COMPUTED_VALUE"""),"HF Zalm romige gochugaru sa")</f>
        <v>HF Zalm romige gochugaru sa</v>
      </c>
      <c r="J808" s="189">
        <f>IFERROR(__xludf.DUMMYFUNCTION("""COMPUTED_VALUE"""),1789.0)</f>
        <v>1789</v>
      </c>
      <c r="K808" s="189">
        <f>IFERROR(__xludf.DUMMYFUNCTION("""COMPUTED_VALUE"""),1898.0)</f>
        <v>1898</v>
      </c>
      <c r="L808" s="189">
        <f>IFERROR(__xludf.DUMMYFUNCTION("""COMPUTED_VALUE"""),1894.0)</f>
        <v>1894</v>
      </c>
      <c r="M808" s="189">
        <f>IFERROR(__xludf.DUMMYFUNCTION("""COMPUTED_VALUE"""),1902.0)</f>
        <v>1902</v>
      </c>
      <c r="N808" s="189">
        <f>IFERROR(__xludf.DUMMYFUNCTION("""COMPUTED_VALUE"""),1767.0)</f>
        <v>1767</v>
      </c>
      <c r="O808" s="189">
        <f>IFERROR(__xludf.DUMMYFUNCTION("""COMPUTED_VALUE"""),1772.0)</f>
        <v>1772</v>
      </c>
      <c r="P808" s="189">
        <f>IFERROR(__xludf.DUMMYFUNCTION("""COMPUTED_VALUE"""),1769.0)</f>
        <v>1769</v>
      </c>
      <c r="Q808" s="189">
        <f>IFERROR(__xludf.DUMMYFUNCTION("""COMPUTED_VALUE"""),1714.0)</f>
        <v>1714</v>
      </c>
      <c r="R808" s="186"/>
      <c r="S808" s="189">
        <f>IFERROR(__xludf.DUMMYFUNCTION("""COMPUTED_VALUE"""),1718.0)</f>
        <v>1718</v>
      </c>
    </row>
    <row r="809">
      <c r="A809" s="186" t="str">
        <f>IFERROR(__xludf.DUMMYFUNCTION("""COMPUTED_VALUE"""),"NORDICS")</f>
        <v>NORDICS</v>
      </c>
      <c r="B809" s="186" t="str">
        <f>IFERROR(__xludf.DUMMYFUNCTION("""COMPUTED_VALUE"""),"W14")</f>
        <v>W14</v>
      </c>
      <c r="C809" s="186">
        <f>IFERROR(__xludf.DUMMYFUNCTION("""COMPUTED_VALUE"""),607.0)</f>
        <v>607</v>
      </c>
      <c r="D809" s="186" t="str">
        <f>IFERROR(__xludf.DUMMYFUNCTION("""COMPUTED_VALUE"""),"CON-00-150821-2")</f>
        <v>CON-00-150821-2</v>
      </c>
      <c r="E809" s="186" t="str">
        <f>IFERROR(__xludf.DUMMYFUNCTION("""COMPUTED_VALUE"""),"Loaded Bacon Shredded Chicken")</f>
        <v>Loaded Bacon Shredded Chicken</v>
      </c>
      <c r="F809" s="186" t="str">
        <f>IFERROR(__xludf.DUMMYFUNCTION("""COMPUTED_VALUE"""),"Pulled chicken med bacon")</f>
        <v>Pulled chicken med bacon</v>
      </c>
      <c r="G809" s="186" t="str">
        <f>IFERROR(__xludf.DUMMYFUNCTION("""COMPUTED_VALUE"""),"FE0794D")</f>
        <v>FE0794D</v>
      </c>
      <c r="H809" s="186">
        <f>IFERROR(__xludf.DUMMYFUNCTION("""COMPUTED_VALUE"""),565156.0)</f>
        <v>565156</v>
      </c>
      <c r="I809" s="186" t="str">
        <f>IFERROR(__xludf.DUMMYFUNCTION("""COMPUTED_VALUE"""),"HF Loaded Bacon Chicken")</f>
        <v>HF Loaded Bacon Chicken</v>
      </c>
      <c r="J809" s="189">
        <f>IFERROR(__xludf.DUMMYFUNCTION("""COMPUTED_VALUE"""),1295.0)</f>
        <v>1295</v>
      </c>
      <c r="K809" s="189">
        <f>IFERROR(__xludf.DUMMYFUNCTION("""COMPUTED_VALUE"""),1173.0)</f>
        <v>1173</v>
      </c>
      <c r="L809" s="189">
        <f>IFERROR(__xludf.DUMMYFUNCTION("""COMPUTED_VALUE"""),1171.0)</f>
        <v>1171</v>
      </c>
      <c r="M809" s="189">
        <f>IFERROR(__xludf.DUMMYFUNCTION("""COMPUTED_VALUE"""),2004.0)</f>
        <v>2004</v>
      </c>
      <c r="N809" s="189">
        <f>IFERROR(__xludf.DUMMYFUNCTION("""COMPUTED_VALUE"""),1859.0)</f>
        <v>1859</v>
      </c>
      <c r="O809" s="189">
        <f>IFERROR(__xludf.DUMMYFUNCTION("""COMPUTED_VALUE"""),1819.0)</f>
        <v>1819</v>
      </c>
      <c r="P809" s="189">
        <f>IFERROR(__xludf.DUMMYFUNCTION("""COMPUTED_VALUE"""),1801.0)</f>
        <v>1801</v>
      </c>
      <c r="Q809" s="189">
        <f>IFERROR(__xludf.DUMMYFUNCTION("""COMPUTED_VALUE"""),1805.0)</f>
        <v>1805</v>
      </c>
      <c r="R809" s="186"/>
      <c r="S809" s="189">
        <f>IFERROR(__xludf.DUMMYFUNCTION("""COMPUTED_VALUE"""),1694.0)</f>
        <v>1694</v>
      </c>
    </row>
    <row r="810">
      <c r="A810" s="186" t="str">
        <f>IFERROR(__xludf.DUMMYFUNCTION("""COMPUTED_VALUE"""),"NORDICS")</f>
        <v>NORDICS</v>
      </c>
      <c r="B810" s="186" t="str">
        <f>IFERROR(__xludf.DUMMYFUNCTION("""COMPUTED_VALUE"""),"W14")</f>
        <v>W14</v>
      </c>
      <c r="C810" s="186">
        <f>IFERROR(__xludf.DUMMYFUNCTION("""COMPUTED_VALUE"""),608.0)</f>
        <v>608</v>
      </c>
      <c r="D810" s="186" t="str">
        <f>IFERROR(__xludf.DUMMYFUNCTION("""COMPUTED_VALUE"""),"CON-00-149001-2")</f>
        <v>CON-00-149001-2</v>
      </c>
      <c r="E810" s="186" t="str">
        <f>IFERROR(__xludf.DUMMYFUNCTION("""COMPUTED_VALUE"""),"Garlic &amp; Herb Chicken Breast")</f>
        <v>Garlic &amp; Herb Chicken Breast</v>
      </c>
      <c r="F810" s="186" t="str">
        <f>IFERROR(__xludf.DUMMYFUNCTION("""COMPUTED_VALUE"""),"Hvidløgs- &amp; krydderurtekyllingebryst")</f>
        <v>Hvidløgs- &amp; krydderurtekyllingebryst</v>
      </c>
      <c r="G810" s="186" t="str">
        <f>IFERROR(__xludf.DUMMYFUNCTION("""COMPUTED_VALUE"""),"FE0183E")</f>
        <v>FE0183E</v>
      </c>
      <c r="H810" s="186">
        <f>IFERROR(__xludf.DUMMYFUNCTION("""COMPUTED_VALUE"""),565171.0)</f>
        <v>565171</v>
      </c>
      <c r="I810" s="186" t="str">
        <f>IFERROR(__xludf.DUMMYFUNCTION("""COMPUTED_VALUE"""),"HF Kip bloemkoolrijst cheddar")</f>
        <v>HF Kip bloemkoolrijst cheddar</v>
      </c>
      <c r="J810" s="189">
        <f>IFERROR(__xludf.DUMMYFUNCTION("""COMPUTED_VALUE"""),1302.0)</f>
        <v>1302</v>
      </c>
      <c r="K810" s="189">
        <f>IFERROR(__xludf.DUMMYFUNCTION("""COMPUTED_VALUE"""),1127.0)</f>
        <v>1127</v>
      </c>
      <c r="L810" s="189">
        <f>IFERROR(__xludf.DUMMYFUNCTION("""COMPUTED_VALUE"""),1125.0)</f>
        <v>1125</v>
      </c>
      <c r="M810" s="189">
        <f>IFERROR(__xludf.DUMMYFUNCTION("""COMPUTED_VALUE"""),1339.0)</f>
        <v>1339</v>
      </c>
      <c r="N810" s="189">
        <f>IFERROR(__xludf.DUMMYFUNCTION("""COMPUTED_VALUE"""),1216.0)</f>
        <v>1216</v>
      </c>
      <c r="O810" s="189">
        <f>IFERROR(__xludf.DUMMYFUNCTION("""COMPUTED_VALUE"""),1253.0)</f>
        <v>1253</v>
      </c>
      <c r="P810" s="189">
        <f>IFERROR(__xludf.DUMMYFUNCTION("""COMPUTED_VALUE"""),1262.0)</f>
        <v>1262</v>
      </c>
      <c r="Q810" s="189">
        <f>IFERROR(__xludf.DUMMYFUNCTION("""COMPUTED_VALUE"""),1229.0)</f>
        <v>1229</v>
      </c>
      <c r="R810" s="186"/>
      <c r="S810" s="189">
        <f>IFERROR(__xludf.DUMMYFUNCTION("""COMPUTED_VALUE"""),1176.0)</f>
        <v>1176</v>
      </c>
    </row>
    <row r="811">
      <c r="A811" s="186" t="str">
        <f>IFERROR(__xludf.DUMMYFUNCTION("""COMPUTED_VALUE"""),"NORDICS")</f>
        <v>NORDICS</v>
      </c>
      <c r="B811" s="186" t="str">
        <f>IFERROR(__xludf.DUMMYFUNCTION("""COMPUTED_VALUE"""),"W14")</f>
        <v>W14</v>
      </c>
      <c r="C811" s="186">
        <f>IFERROR(__xludf.DUMMYFUNCTION("""COMPUTED_VALUE"""),609.0)</f>
        <v>609</v>
      </c>
      <c r="D811" s="186" t="str">
        <f>IFERROR(__xludf.DUMMYFUNCTION("""COMPUTED_VALUE"""),"CON-00-147817-2")</f>
        <v>CON-00-147817-2</v>
      </c>
      <c r="E811" s="186" t="str">
        <f>IFERROR(__xludf.DUMMYFUNCTION("""COMPUTED_VALUE"""),"Ratatouille of zucchini and pepper")</f>
        <v>Ratatouille of zucchini and pepper</v>
      </c>
      <c r="F811" s="186" t="str">
        <f>IFERROR(__xludf.DUMMYFUNCTION("""COMPUTED_VALUE"""),"Squash- og peberfrugtsratatouille")</f>
        <v>Squash- og peberfrugtsratatouille</v>
      </c>
      <c r="G811" s="186" t="str">
        <f>IFERROR(__xludf.DUMMYFUNCTION("""COMPUTED_VALUE"""),"FE0090C")</f>
        <v>FE0090C</v>
      </c>
      <c r="H811" s="186">
        <f>IFERROR(__xludf.DUMMYFUNCTION("""COMPUTED_VALUE"""),565141.0)</f>
        <v>565141</v>
      </c>
      <c r="I811" s="186"/>
      <c r="J811" s="189">
        <f>IFERROR(__xludf.DUMMYFUNCTION("""COMPUTED_VALUE"""),277.0)</f>
        <v>277</v>
      </c>
      <c r="K811" s="189">
        <f>IFERROR(__xludf.DUMMYFUNCTION("""COMPUTED_VALUE"""),228.0)</f>
        <v>228</v>
      </c>
      <c r="L811" s="189">
        <f>IFERROR(__xludf.DUMMYFUNCTION("""COMPUTED_VALUE"""),228.0)</f>
        <v>228</v>
      </c>
      <c r="M811" s="189">
        <f>IFERROR(__xludf.DUMMYFUNCTION("""COMPUTED_VALUE"""),197.0)</f>
        <v>197</v>
      </c>
      <c r="N811" s="189">
        <f>IFERROR(__xludf.DUMMYFUNCTION("""COMPUTED_VALUE"""),187.0)</f>
        <v>187</v>
      </c>
      <c r="O811" s="189">
        <f>IFERROR(__xludf.DUMMYFUNCTION("""COMPUTED_VALUE"""),197.0)</f>
        <v>197</v>
      </c>
      <c r="P811" s="189">
        <f>IFERROR(__xludf.DUMMYFUNCTION("""COMPUTED_VALUE"""),201.0)</f>
        <v>201</v>
      </c>
      <c r="Q811" s="189">
        <f>IFERROR(__xludf.DUMMYFUNCTION("""COMPUTED_VALUE"""),187.0)</f>
        <v>187</v>
      </c>
      <c r="R811" s="186"/>
      <c r="S811" s="189">
        <f>IFERROR(__xludf.DUMMYFUNCTION("""COMPUTED_VALUE"""),176.0)</f>
        <v>176</v>
      </c>
    </row>
    <row r="812">
      <c r="A812" s="186" t="str">
        <f>IFERROR(__xludf.DUMMYFUNCTION("""COMPUTED_VALUE"""),"NORDICS")</f>
        <v>NORDICS</v>
      </c>
      <c r="B812" s="186" t="str">
        <f>IFERROR(__xludf.DUMMYFUNCTION("""COMPUTED_VALUE"""),"W14")</f>
        <v>W14</v>
      </c>
      <c r="C812" s="186">
        <f>IFERROR(__xludf.DUMMYFUNCTION("""COMPUTED_VALUE"""),610.0)</f>
        <v>610</v>
      </c>
      <c r="D812" s="186" t="str">
        <f>IFERROR(__xludf.DUMMYFUNCTION("""COMPUTED_VALUE"""),"CON-00-147818-2")</f>
        <v>CON-00-147818-2</v>
      </c>
      <c r="E812" s="186" t="str">
        <f>IFERROR(__xludf.DUMMYFUNCTION("""COMPUTED_VALUE"""),"Mexican style corn cake")</f>
        <v>Mexican style corn cake</v>
      </c>
      <c r="F812" s="186" t="str">
        <f>IFERROR(__xludf.DUMMYFUNCTION("""COMPUTED_VALUE"""),"Mexicansk-inspireret majskage")</f>
        <v>Mexicansk-inspireret majskage</v>
      </c>
      <c r="G812" s="186" t="str">
        <f>IFERROR(__xludf.DUMMYFUNCTION("""COMPUTED_VALUE"""),"FE0121C")</f>
        <v>FE0121C</v>
      </c>
      <c r="H812" s="186">
        <f>IFERROR(__xludf.DUMMYFUNCTION("""COMPUTED_VALUE"""),565023.0)</f>
        <v>565023</v>
      </c>
      <c r="I812" s="186" t="str">
        <f>IFERROR(__xludf.DUMMYFUNCTION("""COMPUTED_VALUE"""),"HF Mex.stijl maiscake")</f>
        <v>HF Mex.stijl maiscake</v>
      </c>
      <c r="J812" s="189">
        <f>IFERROR(__xludf.DUMMYFUNCTION("""COMPUTED_VALUE"""),249.0)</f>
        <v>249</v>
      </c>
      <c r="K812" s="189">
        <f>IFERROR(__xludf.DUMMYFUNCTION("""COMPUTED_VALUE"""),211.0)</f>
        <v>211</v>
      </c>
      <c r="L812" s="189">
        <f>IFERROR(__xludf.DUMMYFUNCTION("""COMPUTED_VALUE"""),211.0)</f>
        <v>211</v>
      </c>
      <c r="M812" s="189">
        <f>IFERROR(__xludf.DUMMYFUNCTION("""COMPUTED_VALUE"""),340.0)</f>
        <v>340</v>
      </c>
      <c r="N812" s="189">
        <f>IFERROR(__xludf.DUMMYFUNCTION("""COMPUTED_VALUE"""),306.0)</f>
        <v>306</v>
      </c>
      <c r="O812" s="189">
        <f>IFERROR(__xludf.DUMMYFUNCTION("""COMPUTED_VALUE"""),311.0)</f>
        <v>311</v>
      </c>
      <c r="P812" s="189">
        <f>IFERROR(__xludf.DUMMYFUNCTION("""COMPUTED_VALUE"""),301.0)</f>
        <v>301</v>
      </c>
      <c r="Q812" s="189">
        <f>IFERROR(__xludf.DUMMYFUNCTION("""COMPUTED_VALUE"""),269.0)</f>
        <v>269</v>
      </c>
      <c r="R812" s="186"/>
      <c r="S812" s="189">
        <f>IFERROR(__xludf.DUMMYFUNCTION("""COMPUTED_VALUE"""),241.0)</f>
        <v>241</v>
      </c>
    </row>
    <row r="813">
      <c r="A813" s="186" t="str">
        <f>IFERROR(__xludf.DUMMYFUNCTION("""COMPUTED_VALUE"""),"NORDICS")</f>
        <v>NORDICS</v>
      </c>
      <c r="B813" s="186" t="str">
        <f>IFERROR(__xludf.DUMMYFUNCTION("""COMPUTED_VALUE"""),"W14")</f>
        <v>W14</v>
      </c>
      <c r="C813" s="186">
        <f>IFERROR(__xludf.DUMMYFUNCTION("""COMPUTED_VALUE"""),611.0)</f>
        <v>611</v>
      </c>
      <c r="D813" s="186" t="str">
        <f>IFERROR(__xludf.DUMMYFUNCTION("""COMPUTED_VALUE"""),"CON-00-147874-2")</f>
        <v>CON-00-147874-2</v>
      </c>
      <c r="E813" s="186" t="str">
        <f>IFERROR(__xludf.DUMMYFUNCTION("""COMPUTED_VALUE"""),"Grilled pork tenderloin and tomato butter")</f>
        <v>Grilled pork tenderloin and tomato butter</v>
      </c>
      <c r="F813" s="186" t="str">
        <f>IFERROR(__xludf.DUMMYFUNCTION("""COMPUTED_VALUE"""),"Grillet svinemørbrad og tomatsmør")</f>
        <v>Grillet svinemørbrad og tomatsmør</v>
      </c>
      <c r="G813" s="186" t="str">
        <f>IFERROR(__xludf.DUMMYFUNCTION("""COMPUTED_VALUE"""),"FE4010B")</f>
        <v>FE4010B</v>
      </c>
      <c r="H813" s="186">
        <f>IFERROR(__xludf.DUMMYFUNCTION("""COMPUTED_VALUE"""),565138.0)</f>
        <v>565138</v>
      </c>
      <c r="I813" s="186"/>
      <c r="J813" s="189">
        <f>IFERROR(__xludf.DUMMYFUNCTION("""COMPUTED_VALUE"""),603.0)</f>
        <v>603</v>
      </c>
      <c r="K813" s="189">
        <f>IFERROR(__xludf.DUMMYFUNCTION("""COMPUTED_VALUE"""),442.0)</f>
        <v>442</v>
      </c>
      <c r="L813" s="189">
        <f>IFERROR(__xludf.DUMMYFUNCTION("""COMPUTED_VALUE"""),441.0)</f>
        <v>441</v>
      </c>
      <c r="M813" s="189">
        <f>IFERROR(__xludf.DUMMYFUNCTION("""COMPUTED_VALUE"""),524.0)</f>
        <v>524</v>
      </c>
      <c r="N813" s="189">
        <f>IFERROR(__xludf.DUMMYFUNCTION("""COMPUTED_VALUE"""),574.0)</f>
        <v>574</v>
      </c>
      <c r="O813" s="189">
        <f>IFERROR(__xludf.DUMMYFUNCTION("""COMPUTED_VALUE"""),586.0)</f>
        <v>586</v>
      </c>
      <c r="P813" s="189">
        <f>IFERROR(__xludf.DUMMYFUNCTION("""COMPUTED_VALUE"""),587.0)</f>
        <v>587</v>
      </c>
      <c r="Q813" s="189">
        <f>IFERROR(__xludf.DUMMYFUNCTION("""COMPUTED_VALUE"""),571.0)</f>
        <v>571</v>
      </c>
      <c r="R813" s="186"/>
      <c r="S813" s="189">
        <f>IFERROR(__xludf.DUMMYFUNCTION("""COMPUTED_VALUE"""),559.0)</f>
        <v>559</v>
      </c>
    </row>
    <row r="814">
      <c r="A814" s="186" t="str">
        <f>IFERROR(__xludf.DUMMYFUNCTION("""COMPUTED_VALUE"""),"NORDICS")</f>
        <v>NORDICS</v>
      </c>
      <c r="B814" s="186" t="str">
        <f>IFERROR(__xludf.DUMMYFUNCTION("""COMPUTED_VALUE"""),"W14")</f>
        <v>W14</v>
      </c>
      <c r="C814" s="186">
        <f>IFERROR(__xludf.DUMMYFUNCTION("""COMPUTED_VALUE"""),612.0)</f>
        <v>612</v>
      </c>
      <c r="D814" s="186" t="str">
        <f>IFERROR(__xludf.DUMMYFUNCTION("""COMPUTED_VALUE"""),"CON-00-147871-2")</f>
        <v>CON-00-147871-2</v>
      </c>
      <c r="E814" s="186" t="str">
        <f>IFERROR(__xludf.DUMMYFUNCTION("""COMPUTED_VALUE"""),"Salmon in mustard-dill sauce")</f>
        <v>Salmon in mustard-dill sauce</v>
      </c>
      <c r="F814" s="186" t="str">
        <f>IFERROR(__xludf.DUMMYFUNCTION("""COMPUTED_VALUE"""),"Laks i senneps-dild sauce")</f>
        <v>Laks i senneps-dild sauce</v>
      </c>
      <c r="G814" s="186" t="str">
        <f>IFERROR(__xludf.DUMMYFUNCTION("""COMPUTED_VALUE"""),"FE4009D")</f>
        <v>FE4009D</v>
      </c>
      <c r="H814" s="186">
        <f>IFERROR(__xludf.DUMMYFUNCTION("""COMPUTED_VALUE"""),565064.0)</f>
        <v>565064</v>
      </c>
      <c r="I814" s="186" t="str">
        <f>IFERROR(__xludf.DUMMYFUNCTION("""COMPUTED_VALUE"""),"HF Zalm in mosterd dillesaus")</f>
        <v>HF Zalm in mosterd dillesaus</v>
      </c>
      <c r="J814" s="189">
        <f>IFERROR(__xludf.DUMMYFUNCTION("""COMPUTED_VALUE"""),1963.0)</f>
        <v>1963</v>
      </c>
      <c r="K814" s="189">
        <f>IFERROR(__xludf.DUMMYFUNCTION("""COMPUTED_VALUE"""),1913.0)</f>
        <v>1913</v>
      </c>
      <c r="L814" s="189">
        <f>IFERROR(__xludf.DUMMYFUNCTION("""COMPUTED_VALUE"""),1909.0)</f>
        <v>1909</v>
      </c>
      <c r="M814" s="189">
        <f>IFERROR(__xludf.DUMMYFUNCTION("""COMPUTED_VALUE"""),1658.0)</f>
        <v>1658</v>
      </c>
      <c r="N814" s="189">
        <f>IFERROR(__xludf.DUMMYFUNCTION("""COMPUTED_VALUE"""),1612.0)</f>
        <v>1612</v>
      </c>
      <c r="O814" s="189">
        <f>IFERROR(__xludf.DUMMYFUNCTION("""COMPUTED_VALUE"""),1659.0)</f>
        <v>1659</v>
      </c>
      <c r="P814" s="189">
        <f>IFERROR(__xludf.DUMMYFUNCTION("""COMPUTED_VALUE"""),1659.0)</f>
        <v>1659</v>
      </c>
      <c r="Q814" s="189">
        <f>IFERROR(__xludf.DUMMYFUNCTION("""COMPUTED_VALUE"""),1607.0)</f>
        <v>1607</v>
      </c>
      <c r="R814" s="186"/>
      <c r="S814" s="189">
        <f>IFERROR(__xludf.DUMMYFUNCTION("""COMPUTED_VALUE"""),1496.0)</f>
        <v>1496</v>
      </c>
    </row>
    <row r="815">
      <c r="A815" s="186" t="str">
        <f>IFERROR(__xludf.DUMMYFUNCTION("""COMPUTED_VALUE"""),"NORDICS")</f>
        <v>NORDICS</v>
      </c>
      <c r="B815" s="186" t="str">
        <f>IFERROR(__xludf.DUMMYFUNCTION("""COMPUTED_VALUE"""),"W14")</f>
        <v>W14</v>
      </c>
      <c r="C815" s="186">
        <f>IFERROR(__xludf.DUMMYFUNCTION("""COMPUTED_VALUE"""),613.0)</f>
        <v>613</v>
      </c>
      <c r="D815" s="186" t="str">
        <f>IFERROR(__xludf.DUMMYFUNCTION("""COMPUTED_VALUE"""),"CON-00-150749-2")</f>
        <v>CON-00-150749-2</v>
      </c>
      <c r="E815" s="186" t="str">
        <f>IFERROR(__xludf.DUMMYFUNCTION("""COMPUTED_VALUE"""),"West African Style Chicken Peanut Curry")</f>
        <v>West African Style Chicken Peanut Curry</v>
      </c>
      <c r="F815" s="186" t="str">
        <f>IFERROR(__xludf.DUMMYFUNCTION("""COMPUTED_VALUE"""),"Vestfrikansk-inspireret peanut-kyllingecurry")</f>
        <v>Vestfrikansk-inspireret peanut-kyllingecurry</v>
      </c>
      <c r="G815" s="186" t="str">
        <f>IFERROR(__xludf.DUMMYFUNCTION("""COMPUTED_VALUE"""),"FE1451A")</f>
        <v>FE1451A</v>
      </c>
      <c r="H815" s="186">
        <f>IFERROR(__xludf.DUMMYFUNCTION("""COMPUTED_VALUE"""),565178.0)</f>
        <v>565178</v>
      </c>
      <c r="I815" s="186" t="str">
        <f>IFERROR(__xludf.DUMMYFUNCTION("""COMPUTED_VALUE"""),"HF Kruidige pinda curry")</f>
        <v>HF Kruidige pinda curry</v>
      </c>
      <c r="J815" s="189">
        <f>IFERROR(__xludf.DUMMYFUNCTION("""COMPUTED_VALUE"""),2018.0)</f>
        <v>2018</v>
      </c>
      <c r="K815" s="189">
        <f>IFERROR(__xludf.DUMMYFUNCTION("""COMPUTED_VALUE"""),1949.0)</f>
        <v>1949</v>
      </c>
      <c r="L815" s="189">
        <f>IFERROR(__xludf.DUMMYFUNCTION("""COMPUTED_VALUE"""),1945.0)</f>
        <v>1945</v>
      </c>
      <c r="M815" s="189">
        <f>IFERROR(__xludf.DUMMYFUNCTION("""COMPUTED_VALUE"""),2358.0)</f>
        <v>2358</v>
      </c>
      <c r="N815" s="189">
        <f>IFERROR(__xludf.DUMMYFUNCTION("""COMPUTED_VALUE"""),2211.0)</f>
        <v>2211</v>
      </c>
      <c r="O815" s="189">
        <f>IFERROR(__xludf.DUMMYFUNCTION("""COMPUTED_VALUE"""),2237.0)</f>
        <v>2237</v>
      </c>
      <c r="P815" s="189">
        <f>IFERROR(__xludf.DUMMYFUNCTION("""COMPUTED_VALUE"""),2221.0)</f>
        <v>2221</v>
      </c>
      <c r="Q815" s="189">
        <f>IFERROR(__xludf.DUMMYFUNCTION("""COMPUTED_VALUE"""),2171.0)</f>
        <v>2171</v>
      </c>
      <c r="R815" s="186"/>
      <c r="S815" s="189">
        <f>IFERROR(__xludf.DUMMYFUNCTION("""COMPUTED_VALUE"""),2054.0)</f>
        <v>2054</v>
      </c>
    </row>
    <row r="816">
      <c r="A816" s="186" t="str">
        <f>IFERROR(__xludf.DUMMYFUNCTION("""COMPUTED_VALUE"""),"NORDICS")</f>
        <v>NORDICS</v>
      </c>
      <c r="B816" s="186" t="str">
        <f>IFERROR(__xludf.DUMMYFUNCTION("""COMPUTED_VALUE"""),"W14")</f>
        <v>W14</v>
      </c>
      <c r="C816" s="186">
        <f>IFERROR(__xludf.DUMMYFUNCTION("""COMPUTED_VALUE"""),614.0)</f>
        <v>614</v>
      </c>
      <c r="D816" s="186" t="str">
        <f>IFERROR(__xludf.DUMMYFUNCTION("""COMPUTED_VALUE"""),"CON-00-158244-2")</f>
        <v>CON-00-158244-2</v>
      </c>
      <c r="E816" s="186" t="str">
        <f>IFERROR(__xludf.DUMMYFUNCTION("""COMPUTED_VALUE"""),"Citrus Mojo Chicken Breast")</f>
        <v>Citrus Mojo Chicken Breast</v>
      </c>
      <c r="F816" s="186" t="str">
        <f>IFERROR(__xludf.DUMMYFUNCTION("""COMPUTED_VALUE"""),"Citrus-mojo kyllingebryst")</f>
        <v>Citrus-mojo kyllingebryst</v>
      </c>
      <c r="G816" s="186" t="str">
        <f>IFERROR(__xludf.DUMMYFUNCTION("""COMPUTED_VALUE"""),"FE1203A")</f>
        <v>FE1203A</v>
      </c>
      <c r="H816" s="186">
        <f>IFERROR(__xludf.DUMMYFUNCTION("""COMPUTED_VALUE"""),565264.0)</f>
        <v>565264</v>
      </c>
      <c r="I816" s="186" t="str">
        <f>IFERROR(__xludf.DUMMYFUNCTION("""COMPUTED_VALUE"""),"HF Citrus Mojo Chicken")</f>
        <v>HF Citrus Mojo Chicken</v>
      </c>
      <c r="J816" s="189">
        <f>IFERROR(__xludf.DUMMYFUNCTION("""COMPUTED_VALUE"""),958.0)</f>
        <v>958</v>
      </c>
      <c r="K816" s="189">
        <f>IFERROR(__xludf.DUMMYFUNCTION("""COMPUTED_VALUE"""),776.0)</f>
        <v>776</v>
      </c>
      <c r="L816" s="189">
        <f>IFERROR(__xludf.DUMMYFUNCTION("""COMPUTED_VALUE"""),774.0)</f>
        <v>774</v>
      </c>
      <c r="M816" s="189">
        <f>IFERROR(__xludf.DUMMYFUNCTION("""COMPUTED_VALUE"""),845.0)</f>
        <v>845</v>
      </c>
      <c r="N816" s="189">
        <f>IFERROR(__xludf.DUMMYFUNCTION("""COMPUTED_VALUE"""),787.0)</f>
        <v>787</v>
      </c>
      <c r="O816" s="189">
        <f>IFERROR(__xludf.DUMMYFUNCTION("""COMPUTED_VALUE"""),832.0)</f>
        <v>832</v>
      </c>
      <c r="P816" s="189">
        <f>IFERROR(__xludf.DUMMYFUNCTION("""COMPUTED_VALUE"""),806.0)</f>
        <v>806</v>
      </c>
      <c r="Q816" s="189">
        <f>IFERROR(__xludf.DUMMYFUNCTION("""COMPUTED_VALUE"""),768.0)</f>
        <v>768</v>
      </c>
      <c r="R816" s="186"/>
      <c r="S816" s="189">
        <f>IFERROR(__xludf.DUMMYFUNCTION("""COMPUTED_VALUE"""),717.0)</f>
        <v>717</v>
      </c>
    </row>
    <row r="817">
      <c r="A817" s="186" t="str">
        <f>IFERROR(__xludf.DUMMYFUNCTION("""COMPUTED_VALUE"""),"NORDICS")</f>
        <v>NORDICS</v>
      </c>
      <c r="B817" s="186" t="str">
        <f>IFERROR(__xludf.DUMMYFUNCTION("""COMPUTED_VALUE"""),"W14")</f>
        <v>W14</v>
      </c>
      <c r="C817" s="186">
        <f>IFERROR(__xludf.DUMMYFUNCTION("""COMPUTED_VALUE"""),615.0)</f>
        <v>615</v>
      </c>
      <c r="D817" s="186" t="str">
        <f>IFERROR(__xludf.DUMMYFUNCTION("""COMPUTED_VALUE"""),"CON-00-147839-2")</f>
        <v>CON-00-147839-2</v>
      </c>
      <c r="E817" s="186" t="str">
        <f>IFERROR(__xludf.DUMMYFUNCTION("""COMPUTED_VALUE"""),"Braised beef in herby jus")</f>
        <v>Braised beef in herby jus</v>
      </c>
      <c r="F817" s="186" t="str">
        <f>IFERROR(__xludf.DUMMYFUNCTION("""COMPUTED_VALUE"""),"Braiseret oksekød i urtesauce")</f>
        <v>Braiseret oksekød i urtesauce</v>
      </c>
      <c r="G817" s="186" t="str">
        <f>IFERROR(__xludf.DUMMYFUNCTION("""COMPUTED_VALUE"""),"FE0413F")</f>
        <v>FE0413F</v>
      </c>
      <c r="H817" s="186">
        <f>IFERROR(__xludf.DUMMYFUNCTION("""COMPUTED_VALUE"""),565089.0)</f>
        <v>565089</v>
      </c>
      <c r="I817" s="186" t="str">
        <f>IFERROR(__xludf.DUMMYFUNCTION("""COMPUTED_VALUE"""),"HF Franse stijl rundvlees")</f>
        <v>HF Franse stijl rundvlees</v>
      </c>
      <c r="J817" s="189">
        <f>IFERROR(__xludf.DUMMYFUNCTION("""COMPUTED_VALUE"""),770.0)</f>
        <v>770</v>
      </c>
      <c r="K817" s="189">
        <f>IFERROR(__xludf.DUMMYFUNCTION("""COMPUTED_VALUE"""),787.0)</f>
        <v>787</v>
      </c>
      <c r="L817" s="189">
        <f>IFERROR(__xludf.DUMMYFUNCTION("""COMPUTED_VALUE"""),785.0)</f>
        <v>785</v>
      </c>
      <c r="M817" s="189">
        <f>IFERROR(__xludf.DUMMYFUNCTION("""COMPUTED_VALUE"""),675.0)</f>
        <v>675</v>
      </c>
      <c r="N817" s="189">
        <f>IFERROR(__xludf.DUMMYFUNCTION("""COMPUTED_VALUE"""),644.0)</f>
        <v>644</v>
      </c>
      <c r="O817" s="189">
        <f>IFERROR(__xludf.DUMMYFUNCTION("""COMPUTED_VALUE"""),691.0)</f>
        <v>691</v>
      </c>
      <c r="P817" s="189">
        <f>IFERROR(__xludf.DUMMYFUNCTION("""COMPUTED_VALUE"""),695.0)</f>
        <v>695</v>
      </c>
      <c r="Q817" s="189">
        <f>IFERROR(__xludf.DUMMYFUNCTION("""COMPUTED_VALUE"""),727.0)</f>
        <v>727</v>
      </c>
      <c r="R817" s="186"/>
      <c r="S817" s="189">
        <f>IFERROR(__xludf.DUMMYFUNCTION("""COMPUTED_VALUE"""),673.0)</f>
        <v>673</v>
      </c>
    </row>
    <row r="818">
      <c r="A818" s="186" t="str">
        <f>IFERROR(__xludf.DUMMYFUNCTION("""COMPUTED_VALUE"""),"NORDICS")</f>
        <v>NORDICS</v>
      </c>
      <c r="B818" s="186" t="str">
        <f>IFERROR(__xludf.DUMMYFUNCTION("""COMPUTED_VALUE"""),"W14")</f>
        <v>W14</v>
      </c>
      <c r="C818" s="186">
        <f>IFERROR(__xludf.DUMMYFUNCTION("""COMPUTED_VALUE"""),616.0)</f>
        <v>616</v>
      </c>
      <c r="D818" s="186" t="str">
        <f>IFERROR(__xludf.DUMMYFUNCTION("""COMPUTED_VALUE"""),"CON-00-155002-2")</f>
        <v>CON-00-155002-2</v>
      </c>
      <c r="E818" s="186" t="str">
        <f>IFERROR(__xludf.DUMMYFUNCTION("""COMPUTED_VALUE"""),"Apricot Smothered Pork Tenderloin")</f>
        <v>Apricot Smothered Pork Tenderloin</v>
      </c>
      <c r="F818" s="186" t="str">
        <f>IFERROR(__xludf.DUMMYFUNCTION("""COMPUTED_VALUE"""),"Svinefilet i abrikossauce")</f>
        <v>Svinefilet i abrikossauce</v>
      </c>
      <c r="G818" s="186" t="str">
        <f>IFERROR(__xludf.DUMMYFUNCTION("""COMPUTED_VALUE"""),"FE0962B")</f>
        <v>FE0962B</v>
      </c>
      <c r="H818" s="186">
        <f>IFERROR(__xludf.DUMMYFUNCTION("""COMPUTED_VALUE"""),565220.0)</f>
        <v>565220</v>
      </c>
      <c r="I818" s="186" t="str">
        <f>IFERROR(__xludf.DUMMYFUNCTION("""COMPUTED_VALUE"""),"HF Varkenshaas abrikozensaus")</f>
        <v>HF Varkenshaas abrikozensaus</v>
      </c>
      <c r="J818" s="189">
        <f>IFERROR(__xludf.DUMMYFUNCTION("""COMPUTED_VALUE"""),696.0)</f>
        <v>696</v>
      </c>
      <c r="K818" s="189">
        <f>IFERROR(__xludf.DUMMYFUNCTION("""COMPUTED_VALUE"""),484.0)</f>
        <v>484</v>
      </c>
      <c r="L818" s="189">
        <f>IFERROR(__xludf.DUMMYFUNCTION("""COMPUTED_VALUE"""),483.0)</f>
        <v>483</v>
      </c>
      <c r="M818" s="189">
        <f>IFERROR(__xludf.DUMMYFUNCTION("""COMPUTED_VALUE"""),349.0)</f>
        <v>349</v>
      </c>
      <c r="N818" s="189">
        <f>IFERROR(__xludf.DUMMYFUNCTION("""COMPUTED_VALUE"""),328.0)</f>
        <v>328</v>
      </c>
      <c r="O818" s="189">
        <f>IFERROR(__xludf.DUMMYFUNCTION("""COMPUTED_VALUE"""),327.0)</f>
        <v>327</v>
      </c>
      <c r="P818" s="189">
        <f>IFERROR(__xludf.DUMMYFUNCTION("""COMPUTED_VALUE"""),320.0)</f>
        <v>320</v>
      </c>
      <c r="Q818" s="189">
        <f>IFERROR(__xludf.DUMMYFUNCTION("""COMPUTED_VALUE"""),319.0)</f>
        <v>319</v>
      </c>
      <c r="R818" s="186"/>
      <c r="S818" s="189">
        <f>IFERROR(__xludf.DUMMYFUNCTION("""COMPUTED_VALUE"""),304.0)</f>
        <v>304</v>
      </c>
    </row>
    <row r="819">
      <c r="A819" s="186" t="str">
        <f>IFERROR(__xludf.DUMMYFUNCTION("""COMPUTED_VALUE"""),"NORDICS")</f>
        <v>NORDICS</v>
      </c>
      <c r="B819" s="186" t="str">
        <f>IFERROR(__xludf.DUMMYFUNCTION("""COMPUTED_VALUE"""),"W14")</f>
        <v>W14</v>
      </c>
      <c r="C819" s="186">
        <f>IFERROR(__xludf.DUMMYFUNCTION("""COMPUTED_VALUE"""),617.0)</f>
        <v>617</v>
      </c>
      <c r="D819" s="186" t="str">
        <f>IFERROR(__xludf.DUMMYFUNCTION("""COMPUTED_VALUE"""),"CON-00-147824-2")</f>
        <v>CON-00-147824-2</v>
      </c>
      <c r="E819" s="186" t="str">
        <f>IFERROR(__xludf.DUMMYFUNCTION("""COMPUTED_VALUE"""),"Pork tenderloin in creamy garlic-mustard sauce")</f>
        <v>Pork tenderloin in creamy garlic-mustard sauce</v>
      </c>
      <c r="F819" s="186" t="str">
        <f>IFERROR(__xludf.DUMMYFUNCTION("""COMPUTED_VALUE"""),"Svinemørbrad i cremet hvidløg-sennepssauce")</f>
        <v>Svinemørbrad i cremet hvidløg-sennepssauce</v>
      </c>
      <c r="G819" s="186" t="str">
        <f>IFERROR(__xludf.DUMMYFUNCTION("""COMPUTED_VALUE"""),"FE0169H")</f>
        <v>FE0169H</v>
      </c>
      <c r="H819" s="186">
        <f>IFERROR(__xludf.DUMMYFUNCTION("""COMPUTED_VALUE"""),565143.0)</f>
        <v>565143</v>
      </c>
      <c r="I819" s="186" t="str">
        <f>IFERROR(__xludf.DUMMYFUNCTION("""COMPUTED_VALUE"""),"Varkenshaas in romige knoflook-mosterdsaus")</f>
        <v>Varkenshaas in romige knoflook-mosterdsaus</v>
      </c>
      <c r="J819" s="189">
        <f>IFERROR(__xludf.DUMMYFUNCTION("""COMPUTED_VALUE"""),1046.0)</f>
        <v>1046</v>
      </c>
      <c r="K819" s="189">
        <f>IFERROR(__xludf.DUMMYFUNCTION("""COMPUTED_VALUE"""),1040.0)</f>
        <v>1040</v>
      </c>
      <c r="L819" s="189">
        <f>IFERROR(__xludf.DUMMYFUNCTION("""COMPUTED_VALUE"""),1038.0)</f>
        <v>1038</v>
      </c>
      <c r="M819" s="189">
        <f>IFERROR(__xludf.DUMMYFUNCTION("""COMPUTED_VALUE"""),1054.0)</f>
        <v>1054</v>
      </c>
      <c r="N819" s="189">
        <f>IFERROR(__xludf.DUMMYFUNCTION("""COMPUTED_VALUE"""),1002.0)</f>
        <v>1002</v>
      </c>
      <c r="O819" s="189">
        <f>IFERROR(__xludf.DUMMYFUNCTION("""COMPUTED_VALUE"""),1035.0)</f>
        <v>1035</v>
      </c>
      <c r="P819" s="189">
        <f>IFERROR(__xludf.DUMMYFUNCTION("""COMPUTED_VALUE"""),1037.0)</f>
        <v>1037</v>
      </c>
      <c r="Q819" s="189">
        <f>IFERROR(__xludf.DUMMYFUNCTION("""COMPUTED_VALUE"""),1012.0)</f>
        <v>1012</v>
      </c>
      <c r="R819" s="186"/>
      <c r="S819" s="189">
        <f>IFERROR(__xludf.DUMMYFUNCTION("""COMPUTED_VALUE"""),947.0)</f>
        <v>947</v>
      </c>
    </row>
    <row r="820">
      <c r="A820" s="186" t="str">
        <f>IFERROR(__xludf.DUMMYFUNCTION("""COMPUTED_VALUE"""),"NORDICS")</f>
        <v>NORDICS</v>
      </c>
      <c r="B820" s="186" t="str">
        <f>IFERROR(__xludf.DUMMYFUNCTION("""COMPUTED_VALUE"""),"W14")</f>
        <v>W14</v>
      </c>
      <c r="C820" s="186">
        <f>IFERROR(__xludf.DUMMYFUNCTION("""COMPUTED_VALUE"""),618.0)</f>
        <v>618</v>
      </c>
      <c r="D820" s="186" t="str">
        <f>IFERROR(__xludf.DUMMYFUNCTION("""COMPUTED_VALUE"""),"CON-00-155918-2")</f>
        <v>CON-00-155918-2</v>
      </c>
      <c r="E820" s="186" t="str">
        <f>IFERROR(__xludf.DUMMYFUNCTION("""COMPUTED_VALUE"""),"Chicken Biryani")</f>
        <v>Chicken Biryani</v>
      </c>
      <c r="F820" s="186" t="str">
        <f>IFERROR(__xludf.DUMMYFUNCTION("""COMPUTED_VALUE"""),"Chicken Biryani")</f>
        <v>Chicken Biryani</v>
      </c>
      <c r="G820" s="186" t="str">
        <f>IFERROR(__xludf.DUMMYFUNCTION("""COMPUTED_VALUE"""),"FE1403A")</f>
        <v>FE1403A</v>
      </c>
      <c r="H820" s="186">
        <f>IFERROR(__xludf.DUMMYFUNCTION("""COMPUTED_VALUE"""),565270.0)</f>
        <v>565270</v>
      </c>
      <c r="I820" s="186" t="str">
        <f>IFERROR(__xludf.DUMMYFUNCTION("""COMPUTED_VALUE"""),"HF Chicken biryani")</f>
        <v>HF Chicken biryani</v>
      </c>
      <c r="J820" s="189">
        <f>IFERROR(__xludf.DUMMYFUNCTION("""COMPUTED_VALUE"""),752.0)</f>
        <v>752</v>
      </c>
      <c r="K820" s="189">
        <f>IFERROR(__xludf.DUMMYFUNCTION("""COMPUTED_VALUE"""),670.0)</f>
        <v>670</v>
      </c>
      <c r="L820" s="189">
        <f>IFERROR(__xludf.DUMMYFUNCTION("""COMPUTED_VALUE"""),669.0)</f>
        <v>669</v>
      </c>
      <c r="M820" s="189">
        <f>IFERROR(__xludf.DUMMYFUNCTION("""COMPUTED_VALUE"""),653.0)</f>
        <v>653</v>
      </c>
      <c r="N820" s="189">
        <f>IFERROR(__xludf.DUMMYFUNCTION("""COMPUTED_VALUE"""),621.0)</f>
        <v>621</v>
      </c>
      <c r="O820" s="189">
        <f>IFERROR(__xludf.DUMMYFUNCTION("""COMPUTED_VALUE"""),615.0)</f>
        <v>615</v>
      </c>
      <c r="P820" s="189">
        <f>IFERROR(__xludf.DUMMYFUNCTION("""COMPUTED_VALUE"""),603.0)</f>
        <v>603</v>
      </c>
      <c r="Q820" s="189">
        <f>IFERROR(__xludf.DUMMYFUNCTION("""COMPUTED_VALUE"""),571.0)</f>
        <v>571</v>
      </c>
      <c r="R820" s="186"/>
      <c r="S820" s="189">
        <f>IFERROR(__xludf.DUMMYFUNCTION("""COMPUTED_VALUE"""),558.0)</f>
        <v>558</v>
      </c>
    </row>
    <row r="821">
      <c r="A821" s="186" t="str">
        <f>IFERROR(__xludf.DUMMYFUNCTION("""COMPUTED_VALUE"""),"NORDICS")</f>
        <v>NORDICS</v>
      </c>
      <c r="B821" s="186" t="str">
        <f>IFERROR(__xludf.DUMMYFUNCTION("""COMPUTED_VALUE"""),"W14")</f>
        <v>W14</v>
      </c>
      <c r="C821" s="186">
        <f>IFERROR(__xludf.DUMMYFUNCTION("""COMPUTED_VALUE"""),706.0)</f>
        <v>706</v>
      </c>
      <c r="D821" s="186" t="str">
        <f>IFERROR(__xludf.DUMMYFUNCTION("""COMPUTED_VALUE"""),"PTN-00-148223-2")</f>
        <v>PTN-00-148223-2</v>
      </c>
      <c r="E821" s="186" t="str">
        <f>IFERROR(__xludf.DUMMYFUNCTION("""COMPUTED_VALUE"""),"Garlic Herb Grilled Chicken")</f>
        <v>Garlic Herb Grilled Chicken</v>
      </c>
      <c r="F821" s="186" t="str">
        <f>IFERROR(__xludf.DUMMYFUNCTION("""COMPUTED_VALUE"""),"Grillet kylling med hvidlød og urter")</f>
        <v>Grillet kylling med hvidlød og urter</v>
      </c>
      <c r="G821" s="186" t="str">
        <f>IFERROR(__xludf.DUMMYFUNCTION("""COMPUTED_VALUE"""),"FEA006A")</f>
        <v>FEA006A</v>
      </c>
      <c r="H821" s="186">
        <f>IFERROR(__xludf.DUMMYFUNCTION("""COMPUTED_VALUE"""),565119.0)</f>
        <v>565119</v>
      </c>
      <c r="I821" s="186"/>
      <c r="J821" s="189">
        <f>IFERROR(__xludf.DUMMYFUNCTION("""COMPUTED_VALUE"""),56.0)</f>
        <v>56</v>
      </c>
      <c r="K821" s="189">
        <f>IFERROR(__xludf.DUMMYFUNCTION("""COMPUTED_VALUE"""),48.0)</f>
        <v>48</v>
      </c>
      <c r="L821" s="189">
        <f>IFERROR(__xludf.DUMMYFUNCTION("""COMPUTED_VALUE"""),48.0)</f>
        <v>48</v>
      </c>
      <c r="M821" s="189">
        <f>IFERROR(__xludf.DUMMYFUNCTION("""COMPUTED_VALUE"""),48.0)</f>
        <v>48</v>
      </c>
      <c r="N821" s="189">
        <f>IFERROR(__xludf.DUMMYFUNCTION("""COMPUTED_VALUE"""),48.0)</f>
        <v>48</v>
      </c>
      <c r="O821" s="189">
        <f>IFERROR(__xludf.DUMMYFUNCTION("""COMPUTED_VALUE"""),48.0)</f>
        <v>48</v>
      </c>
      <c r="P821" s="189">
        <f>IFERROR(__xludf.DUMMYFUNCTION("""COMPUTED_VALUE"""),48.0)</f>
        <v>48</v>
      </c>
      <c r="Q821" s="189">
        <f>IFERROR(__xludf.DUMMYFUNCTION("""COMPUTED_VALUE"""),48.0)</f>
        <v>48</v>
      </c>
      <c r="R821" s="186"/>
      <c r="S821" s="189">
        <f>IFERROR(__xludf.DUMMYFUNCTION("""COMPUTED_VALUE"""),44.0)</f>
        <v>44</v>
      </c>
    </row>
    <row r="822">
      <c r="A822" s="186" t="str">
        <f>IFERROR(__xludf.DUMMYFUNCTION("""COMPUTED_VALUE"""),"NORDICS")</f>
        <v>NORDICS</v>
      </c>
      <c r="B822" s="186" t="str">
        <f>IFERROR(__xludf.DUMMYFUNCTION("""COMPUTED_VALUE"""),"W14")</f>
        <v>W14</v>
      </c>
      <c r="C822" s="186"/>
      <c r="D822" s="186"/>
      <c r="E822" s="186"/>
      <c r="F822" s="186"/>
      <c r="G822" s="186"/>
      <c r="H822" s="186"/>
      <c r="I822" s="186"/>
      <c r="J822" s="189">
        <f>IFERROR(__xludf.DUMMYFUNCTION("""COMPUTED_VALUE"""),27238.0)</f>
        <v>27238</v>
      </c>
      <c r="K822" s="189">
        <f>IFERROR(__xludf.DUMMYFUNCTION("""COMPUTED_VALUE"""),26194.0)</f>
        <v>26194</v>
      </c>
      <c r="L822" s="189">
        <f>IFERROR(__xludf.DUMMYFUNCTION("""COMPUTED_VALUE"""),26141.0)</f>
        <v>26141</v>
      </c>
      <c r="M822" s="189">
        <f>IFERROR(__xludf.DUMMYFUNCTION("""COMPUTED_VALUE"""),27611.0)</f>
        <v>27611</v>
      </c>
      <c r="N822" s="189">
        <f>IFERROR(__xludf.DUMMYFUNCTION("""COMPUTED_VALUE"""),26161.0)</f>
        <v>26161</v>
      </c>
      <c r="O822" s="189">
        <f>IFERROR(__xludf.DUMMYFUNCTION("""COMPUTED_VALUE"""),26284.0)</f>
        <v>26284</v>
      </c>
      <c r="P822" s="189">
        <f>IFERROR(__xludf.DUMMYFUNCTION("""COMPUTED_VALUE"""),26128.0)</f>
        <v>26128</v>
      </c>
      <c r="Q822" s="189">
        <f>IFERROR(__xludf.DUMMYFUNCTION("""COMPUTED_VALUE"""),25512.0)</f>
        <v>25512</v>
      </c>
      <c r="R822" s="189">
        <f>IFERROR(__xludf.DUMMYFUNCTION("""COMPUTED_VALUE"""),0.0)</f>
        <v>0</v>
      </c>
      <c r="S822" s="189">
        <f>IFERROR(__xludf.DUMMYFUNCTION("""COMPUTED_VALUE"""),24757.0)</f>
        <v>24757</v>
      </c>
    </row>
    <row r="823">
      <c r="A823" s="186" t="str">
        <f>IFERROR(__xludf.DUMMYFUNCTION("""COMPUTED_VALUE"""),"DE")</f>
        <v>DE</v>
      </c>
      <c r="B823" s="186" t="str">
        <f>IFERROR(__xludf.DUMMYFUNCTION("""COMPUTED_VALUE"""),"W14")</f>
        <v>W14</v>
      </c>
      <c r="C823" s="186">
        <f>IFERROR(__xludf.DUMMYFUNCTION("""COMPUTED_VALUE"""),301.0)</f>
        <v>301</v>
      </c>
      <c r="D823" s="186" t="str">
        <f>IFERROR(__xludf.DUMMYFUNCTION("""COMPUTED_VALUE"""),"CON-00-136674-3")</f>
        <v>CON-00-136674-3</v>
      </c>
      <c r="E823" s="186" t="str">
        <f>IFERROR(__xludf.DUMMYFUNCTION("""COMPUTED_VALUE"""),"Grilled chicken and ratatouille")</f>
        <v>Grilled chicken and ratatouille</v>
      </c>
      <c r="F823" s="186" t="str">
        <f>IFERROR(__xludf.DUMMYFUNCTION("""COMPUTED_VALUE"""),"Gegrilltes Hähnchen mit Ratatouille")</f>
        <v>Gegrilltes Hähnchen mit Ratatouille</v>
      </c>
      <c r="G823" s="186" t="str">
        <f>IFERROR(__xludf.DUMMYFUNCTION("""COMPUTED_VALUE"""),"FE4015B")</f>
        <v>FE4015B</v>
      </c>
      <c r="H823" s="186">
        <f>IFERROR(__xludf.DUMMYFUNCTION("""COMPUTED_VALUE"""),565072.0)</f>
        <v>565072</v>
      </c>
      <c r="I823" s="186" t="str">
        <f>IFERROR(__xludf.DUMMYFUNCTION("""COMPUTED_VALUE"""),"HF Kipfilet met Ratatouille")</f>
        <v>HF Kipfilet met Ratatouille</v>
      </c>
      <c r="J823" s="189">
        <f>IFERROR(__xludf.DUMMYFUNCTION("""COMPUTED_VALUE"""),3181.0)</f>
        <v>3181</v>
      </c>
      <c r="K823" s="189">
        <f>IFERROR(__xludf.DUMMYFUNCTION("""COMPUTED_VALUE"""),3154.0)</f>
        <v>3154</v>
      </c>
      <c r="L823" s="189">
        <f>IFERROR(__xludf.DUMMYFUNCTION("""COMPUTED_VALUE"""),3150.0)</f>
        <v>3150</v>
      </c>
      <c r="M823" s="189">
        <f>IFERROR(__xludf.DUMMYFUNCTION("""COMPUTED_VALUE"""),2725.0)</f>
        <v>2725</v>
      </c>
      <c r="N823" s="189">
        <f>IFERROR(__xludf.DUMMYFUNCTION("""COMPUTED_VALUE"""),2689.0)</f>
        <v>2689</v>
      </c>
      <c r="O823" s="189">
        <f>IFERROR(__xludf.DUMMYFUNCTION("""COMPUTED_VALUE"""),2743.0)</f>
        <v>2743</v>
      </c>
      <c r="P823" s="189">
        <f>IFERROR(__xludf.DUMMYFUNCTION("""COMPUTED_VALUE"""),2743.0)</f>
        <v>2743</v>
      </c>
      <c r="Q823" s="189">
        <f>IFERROR(__xludf.DUMMYFUNCTION("""COMPUTED_VALUE"""),2734.0)</f>
        <v>2734</v>
      </c>
      <c r="R823" s="186"/>
      <c r="S823" s="189">
        <f>IFERROR(__xludf.DUMMYFUNCTION("""COMPUTED_VALUE"""),2674.0)</f>
        <v>2674</v>
      </c>
    </row>
    <row r="824">
      <c r="A824" s="186" t="str">
        <f>IFERROR(__xludf.DUMMYFUNCTION("""COMPUTED_VALUE"""),"DE")</f>
        <v>DE</v>
      </c>
      <c r="B824" s="186" t="str">
        <f>IFERROR(__xludf.DUMMYFUNCTION("""COMPUTED_VALUE"""),"W14")</f>
        <v>W14</v>
      </c>
      <c r="C824" s="186">
        <f>IFERROR(__xludf.DUMMYFUNCTION("""COMPUTED_VALUE"""),302.0)</f>
        <v>302</v>
      </c>
      <c r="D824" s="186" t="str">
        <f>IFERROR(__xludf.DUMMYFUNCTION("""COMPUTED_VALUE"""),"CON-00-152205-2")</f>
        <v>CON-00-152205-2</v>
      </c>
      <c r="E824" s="186" t="str">
        <f>IFERROR(__xludf.DUMMYFUNCTION("""COMPUTED_VALUE"""),"Green Chile Chicken &amp; Salsa Quinoa")</f>
        <v>Green Chile Chicken &amp; Salsa Quinoa</v>
      </c>
      <c r="F824" s="186" t="str">
        <f>IFERROR(__xludf.DUMMYFUNCTION("""COMPUTED_VALUE"""),"Grünes Chili-Hähnchen mit Quinoa-Salsa")</f>
        <v>Grünes Chili-Hähnchen mit Quinoa-Salsa</v>
      </c>
      <c r="G824" s="186" t="str">
        <f>IFERROR(__xludf.DUMMYFUNCTION("""COMPUTED_VALUE"""),"FE1636A")</f>
        <v>FE1636A</v>
      </c>
      <c r="H824" s="186">
        <f>IFERROR(__xludf.DUMMYFUNCTION("""COMPUTED_VALUE"""),565209.0)</f>
        <v>565209</v>
      </c>
      <c r="I824" s="186" t="str">
        <f>IFERROR(__xludf.DUMMYFUNCTION("""COMPUTED_VALUE"""),"HF Quinoa witte bonen salsa")</f>
        <v>HF Quinoa witte bonen salsa</v>
      </c>
      <c r="J824" s="189">
        <f>IFERROR(__xludf.DUMMYFUNCTION("""COMPUTED_VALUE"""),1890.0)</f>
        <v>1890</v>
      </c>
      <c r="K824" s="189">
        <f>IFERROR(__xludf.DUMMYFUNCTION("""COMPUTED_VALUE"""),1889.0)</f>
        <v>1889</v>
      </c>
      <c r="L824" s="189">
        <f>IFERROR(__xludf.DUMMYFUNCTION("""COMPUTED_VALUE"""),1902.0)</f>
        <v>1902</v>
      </c>
      <c r="M824" s="189">
        <f>IFERROR(__xludf.DUMMYFUNCTION("""COMPUTED_VALUE"""),1742.0)</f>
        <v>1742</v>
      </c>
      <c r="N824" s="189">
        <f>IFERROR(__xludf.DUMMYFUNCTION("""COMPUTED_VALUE"""),1687.0)</f>
        <v>1687</v>
      </c>
      <c r="O824" s="189">
        <f>IFERROR(__xludf.DUMMYFUNCTION("""COMPUTED_VALUE"""),1697.0)</f>
        <v>1697</v>
      </c>
      <c r="P824" s="189">
        <f>IFERROR(__xludf.DUMMYFUNCTION("""COMPUTED_VALUE"""),1682.0)</f>
        <v>1682</v>
      </c>
      <c r="Q824" s="189">
        <f>IFERROR(__xludf.DUMMYFUNCTION("""COMPUTED_VALUE"""),1709.0)</f>
        <v>1709</v>
      </c>
      <c r="R824" s="186"/>
      <c r="S824" s="189">
        <f>IFERROR(__xludf.DUMMYFUNCTION("""COMPUTED_VALUE"""),1667.0)</f>
        <v>1667</v>
      </c>
    </row>
    <row r="825">
      <c r="A825" s="186" t="str">
        <f>IFERROR(__xludf.DUMMYFUNCTION("""COMPUTED_VALUE"""),"DE")</f>
        <v>DE</v>
      </c>
      <c r="B825" s="186" t="str">
        <f>IFERROR(__xludf.DUMMYFUNCTION("""COMPUTED_VALUE"""),"W14")</f>
        <v>W14</v>
      </c>
      <c r="C825" s="186">
        <f>IFERROR(__xludf.DUMMYFUNCTION("""COMPUTED_VALUE"""),303.0)</f>
        <v>303</v>
      </c>
      <c r="D825" s="186" t="str">
        <f>IFERROR(__xludf.DUMMYFUNCTION("""COMPUTED_VALUE"""),"CON-00-136671-3")</f>
        <v>CON-00-136671-3</v>
      </c>
      <c r="E825" s="186" t="str">
        <f>IFERROR(__xludf.DUMMYFUNCTION("""COMPUTED_VALUE"""),"Cabbage in cheese sauce with minced beef")</f>
        <v>Cabbage in cheese sauce with minced beef</v>
      </c>
      <c r="F825" s="186" t="str">
        <f>IFERROR(__xludf.DUMMYFUNCTION("""COMPUTED_VALUE"""),"Wirsing in Käsesauce mit Hackfleisch")</f>
        <v>Wirsing in Käsesauce mit Hackfleisch</v>
      </c>
      <c r="G825" s="186" t="str">
        <f>IFERROR(__xludf.DUMMYFUNCTION("""COMPUTED_VALUE"""),"FE0713B")</f>
        <v>FE0713B</v>
      </c>
      <c r="H825" s="186">
        <f>IFERROR(__xludf.DUMMYFUNCTION("""COMPUTED_VALUE"""),565240.0)</f>
        <v>565240</v>
      </c>
      <c r="I825" s="186" t="str">
        <f>IFERROR(__xludf.DUMMYFUNCTION("""COMPUTED_VALUE"""),"HF RW Kool in kaassaus")</f>
        <v>HF RW Kool in kaassaus</v>
      </c>
      <c r="J825" s="189">
        <f>IFERROR(__xludf.DUMMYFUNCTION("""COMPUTED_VALUE"""),1927.0)</f>
        <v>1927</v>
      </c>
      <c r="K825" s="189">
        <f>IFERROR(__xludf.DUMMYFUNCTION("""COMPUTED_VALUE"""),1896.0)</f>
        <v>1896</v>
      </c>
      <c r="L825" s="189">
        <f>IFERROR(__xludf.DUMMYFUNCTION("""COMPUTED_VALUE"""),1893.0)</f>
        <v>1893</v>
      </c>
      <c r="M825" s="189">
        <f>IFERROR(__xludf.DUMMYFUNCTION("""COMPUTED_VALUE"""),1516.0)</f>
        <v>1516</v>
      </c>
      <c r="N825" s="189">
        <f>IFERROR(__xludf.DUMMYFUNCTION("""COMPUTED_VALUE"""),1543.0)</f>
        <v>1543</v>
      </c>
      <c r="O825" s="189">
        <f>IFERROR(__xludf.DUMMYFUNCTION("""COMPUTED_VALUE"""),1565.0)</f>
        <v>1565</v>
      </c>
      <c r="P825" s="189">
        <f>IFERROR(__xludf.DUMMYFUNCTION("""COMPUTED_VALUE"""),1560.0)</f>
        <v>1560</v>
      </c>
      <c r="Q825" s="189">
        <f>IFERROR(__xludf.DUMMYFUNCTION("""COMPUTED_VALUE"""),1574.0)</f>
        <v>1574</v>
      </c>
      <c r="R825" s="186"/>
      <c r="S825" s="189">
        <f>IFERROR(__xludf.DUMMYFUNCTION("""COMPUTED_VALUE"""),1550.0)</f>
        <v>1550</v>
      </c>
    </row>
    <row r="826">
      <c r="A826" s="186" t="str">
        <f>IFERROR(__xludf.DUMMYFUNCTION("""COMPUTED_VALUE"""),"DE")</f>
        <v>DE</v>
      </c>
      <c r="B826" s="186" t="str">
        <f>IFERROR(__xludf.DUMMYFUNCTION("""COMPUTED_VALUE"""),"W14")</f>
        <v>W14</v>
      </c>
      <c r="C826" s="186">
        <f>IFERROR(__xludf.DUMMYFUNCTION("""COMPUTED_VALUE"""),304.0)</f>
        <v>304</v>
      </c>
      <c r="D826" s="186" t="str">
        <f>IFERROR(__xludf.DUMMYFUNCTION("""COMPUTED_VALUE"""),"CON-00-155185-3")</f>
        <v>CON-00-155185-3</v>
      </c>
      <c r="E826" s="186" t="str">
        <f>IFERROR(__xludf.DUMMYFUNCTION("""COMPUTED_VALUE"""),"Sun-Dried Tomato Beef Ragu &amp; Pasta")</f>
        <v>Sun-Dried Tomato Beef Ragu &amp; Pasta</v>
      </c>
      <c r="F826" s="186" t="str">
        <f>IFERROR(__xludf.DUMMYFUNCTION("""COMPUTED_VALUE"""),"Rinderragù mit sonnengetrockneten Tomaten und Pasta")</f>
        <v>Rinderragù mit sonnengetrockneten Tomaten und Pasta</v>
      </c>
      <c r="G826" s="186" t="str">
        <f>IFERROR(__xludf.DUMMYFUNCTION("""COMPUTED_VALUE"""),"FE4075A")</f>
        <v>FE4075A</v>
      </c>
      <c r="H826" s="186">
        <f>IFERROR(__xludf.DUMMYFUNCTION("""COMPUTED_VALUE"""),565252.0)</f>
        <v>565252</v>
      </c>
      <c r="I826" s="186" t="str">
        <f>IFERROR(__xludf.DUMMYFUNCTION("""COMPUTED_VALUE"""),"HF Tomato Beef Ragu &amp; Pasta")</f>
        <v>HF Tomato Beef Ragu &amp; Pasta</v>
      </c>
      <c r="J826" s="189">
        <f>IFERROR(__xludf.DUMMYFUNCTION("""COMPUTED_VALUE"""),2771.0)</f>
        <v>2771</v>
      </c>
      <c r="K826" s="189">
        <f>IFERROR(__xludf.DUMMYFUNCTION("""COMPUTED_VALUE"""),2732.0)</f>
        <v>2732</v>
      </c>
      <c r="L826" s="189">
        <f>IFERROR(__xludf.DUMMYFUNCTION("""COMPUTED_VALUE"""),2760.0)</f>
        <v>2760</v>
      </c>
      <c r="M826" s="189">
        <f>IFERROR(__xludf.DUMMYFUNCTION("""COMPUTED_VALUE"""),2356.0)</f>
        <v>2356</v>
      </c>
      <c r="N826" s="189">
        <f>IFERROR(__xludf.DUMMYFUNCTION("""COMPUTED_VALUE"""),2337.0)</f>
        <v>2337</v>
      </c>
      <c r="O826" s="189">
        <f>IFERROR(__xludf.DUMMYFUNCTION("""COMPUTED_VALUE"""),2411.0)</f>
        <v>2411</v>
      </c>
      <c r="P826" s="189">
        <f>IFERROR(__xludf.DUMMYFUNCTION("""COMPUTED_VALUE"""),2392.0)</f>
        <v>2392</v>
      </c>
      <c r="Q826" s="189">
        <f>IFERROR(__xludf.DUMMYFUNCTION("""COMPUTED_VALUE"""),2419.0)</f>
        <v>2419</v>
      </c>
      <c r="R826" s="186"/>
      <c r="S826" s="189">
        <f>IFERROR(__xludf.DUMMYFUNCTION("""COMPUTED_VALUE"""),2365.0)</f>
        <v>2365</v>
      </c>
    </row>
    <row r="827">
      <c r="A827" s="186" t="str">
        <f>IFERROR(__xludf.DUMMYFUNCTION("""COMPUTED_VALUE"""),"DE")</f>
        <v>DE</v>
      </c>
      <c r="B827" s="186" t="str">
        <f>IFERROR(__xludf.DUMMYFUNCTION("""COMPUTED_VALUE"""),"W14")</f>
        <v>W14</v>
      </c>
      <c r="C827" s="186">
        <f>IFERROR(__xludf.DUMMYFUNCTION("""COMPUTED_VALUE"""),305.0)</f>
        <v>305</v>
      </c>
      <c r="D827" s="186"/>
      <c r="E827" s="186"/>
      <c r="F827" s="186"/>
      <c r="G827" s="186" t="str">
        <f>IFERROR(__xludf.DUMMYFUNCTION("""COMPUTED_VALUE"""),"FE4001D")</f>
        <v>FE4001D</v>
      </c>
      <c r="H827" s="186"/>
      <c r="I827" s="186"/>
      <c r="J827" s="189">
        <f>IFERROR(__xludf.DUMMYFUNCTION("""COMPUTED_VALUE"""),1808.0)</f>
        <v>1808</v>
      </c>
      <c r="K827" s="189">
        <f>IFERROR(__xludf.DUMMYFUNCTION("""COMPUTED_VALUE"""),1719.0)</f>
        <v>1719</v>
      </c>
      <c r="L827" s="189">
        <f>IFERROR(__xludf.DUMMYFUNCTION("""COMPUTED_VALUE"""),1717.0)</f>
        <v>1717</v>
      </c>
      <c r="M827" s="189">
        <f>IFERROR(__xludf.DUMMYFUNCTION("""COMPUTED_VALUE"""),1433.0)</f>
        <v>1433</v>
      </c>
      <c r="N827" s="189">
        <f>IFERROR(__xludf.DUMMYFUNCTION("""COMPUTED_VALUE"""),1410.0)</f>
        <v>1410</v>
      </c>
      <c r="O827" s="189">
        <f>IFERROR(__xludf.DUMMYFUNCTION("""COMPUTED_VALUE"""),1434.0)</f>
        <v>1434</v>
      </c>
      <c r="P827" s="189">
        <f>IFERROR(__xludf.DUMMYFUNCTION("""COMPUTED_VALUE"""),1449.0)</f>
        <v>1449</v>
      </c>
      <c r="Q827" s="189">
        <f>IFERROR(__xludf.DUMMYFUNCTION("""COMPUTED_VALUE"""),1439.0)</f>
        <v>1439</v>
      </c>
      <c r="R827" s="186"/>
      <c r="S827" s="189">
        <f>IFERROR(__xludf.DUMMYFUNCTION("""COMPUTED_VALUE"""),1439.0)</f>
        <v>1439</v>
      </c>
    </row>
    <row r="828">
      <c r="A828" s="186" t="str">
        <f>IFERROR(__xludf.DUMMYFUNCTION("""COMPUTED_VALUE"""),"DE")</f>
        <v>DE</v>
      </c>
      <c r="B828" s="186" t="str">
        <f>IFERROR(__xludf.DUMMYFUNCTION("""COMPUTED_VALUE"""),"W14")</f>
        <v>W14</v>
      </c>
      <c r="C828" s="186">
        <f>IFERROR(__xludf.DUMMYFUNCTION("""COMPUTED_VALUE"""),306.0)</f>
        <v>306</v>
      </c>
      <c r="D828" s="186" t="str">
        <f>IFERROR(__xludf.DUMMYFUNCTION("""COMPUTED_VALUE"""),"CON-00-137744-2")</f>
        <v>CON-00-137744-2</v>
      </c>
      <c r="E828" s="186" t="str">
        <f>IFERROR(__xludf.DUMMYFUNCTION("""COMPUTED_VALUE"""),"Salmon in creamy gochugaru sauce")</f>
        <v>Salmon in creamy gochugaru sauce</v>
      </c>
      <c r="F828" s="186" t="str">
        <f>IFERROR(__xludf.DUMMYFUNCTION("""COMPUTED_VALUE"""),"Lachs in cremiger Gochugaru-Sauce")</f>
        <v>Lachs in cremiger Gochugaru-Sauce</v>
      </c>
      <c r="G828" s="186" t="str">
        <f>IFERROR(__xludf.DUMMYFUNCTION("""COMPUTED_VALUE"""),"FE4039C")</f>
        <v>FE4039C</v>
      </c>
      <c r="H828" s="186">
        <f>IFERROR(__xludf.DUMMYFUNCTION("""COMPUTED_VALUE"""),565102.0)</f>
        <v>565102</v>
      </c>
      <c r="I828" s="186" t="str">
        <f>IFERROR(__xludf.DUMMYFUNCTION("""COMPUTED_VALUE"""),"HF Zalm romige gochugaru sa")</f>
        <v>HF Zalm romige gochugaru sa</v>
      </c>
      <c r="J828" s="189">
        <f>IFERROR(__xludf.DUMMYFUNCTION("""COMPUTED_VALUE"""),2042.0)</f>
        <v>2042</v>
      </c>
      <c r="K828" s="189">
        <f>IFERROR(__xludf.DUMMYFUNCTION("""COMPUTED_VALUE"""),1997.0)</f>
        <v>1997</v>
      </c>
      <c r="L828" s="189">
        <f>IFERROR(__xludf.DUMMYFUNCTION("""COMPUTED_VALUE"""),2026.0)</f>
        <v>2026</v>
      </c>
      <c r="M828" s="189">
        <f>IFERROR(__xludf.DUMMYFUNCTION("""COMPUTED_VALUE"""),1701.0)</f>
        <v>1701</v>
      </c>
      <c r="N828" s="189">
        <f>IFERROR(__xludf.DUMMYFUNCTION("""COMPUTED_VALUE"""),1668.0)</f>
        <v>1668</v>
      </c>
      <c r="O828" s="189">
        <f>IFERROR(__xludf.DUMMYFUNCTION("""COMPUTED_VALUE"""),1667.0)</f>
        <v>1667</v>
      </c>
      <c r="P828" s="189">
        <f>IFERROR(__xludf.DUMMYFUNCTION("""COMPUTED_VALUE"""),1681.0)</f>
        <v>1681</v>
      </c>
      <c r="Q828" s="189">
        <f>IFERROR(__xludf.DUMMYFUNCTION("""COMPUTED_VALUE"""),1691.0)</f>
        <v>1691</v>
      </c>
      <c r="R828" s="186"/>
      <c r="S828" s="189">
        <f>IFERROR(__xludf.DUMMYFUNCTION("""COMPUTED_VALUE"""),1710.0)</f>
        <v>1710</v>
      </c>
    </row>
    <row r="829">
      <c r="A829" s="186" t="str">
        <f>IFERROR(__xludf.DUMMYFUNCTION("""COMPUTED_VALUE"""),"DE")</f>
        <v>DE</v>
      </c>
      <c r="B829" s="186" t="str">
        <f>IFERROR(__xludf.DUMMYFUNCTION("""COMPUTED_VALUE"""),"W14")</f>
        <v>W14</v>
      </c>
      <c r="C829" s="186">
        <f>IFERROR(__xludf.DUMMYFUNCTION("""COMPUTED_VALUE"""),307.0)</f>
        <v>307</v>
      </c>
      <c r="D829" s="186" t="str">
        <f>IFERROR(__xludf.DUMMYFUNCTION("""COMPUTED_VALUE"""),"CON-00-147983-2")</f>
        <v>CON-00-147983-2</v>
      </c>
      <c r="E829" s="186" t="str">
        <f>IFERROR(__xludf.DUMMYFUNCTION("""COMPUTED_VALUE"""),"Loaded Bacon Shredded Chicken")</f>
        <v>Loaded Bacon Shredded Chicken</v>
      </c>
      <c r="F829" s="186" t="str">
        <f>IFERROR(__xludf.DUMMYFUNCTION("""COMPUTED_VALUE"""),"Pulled Chicken mit Bacon")</f>
        <v>Pulled Chicken mit Bacon</v>
      </c>
      <c r="G829" s="186" t="str">
        <f>IFERROR(__xludf.DUMMYFUNCTION("""COMPUTED_VALUE"""),"FE0794D")</f>
        <v>FE0794D</v>
      </c>
      <c r="H829" s="186">
        <f>IFERROR(__xludf.DUMMYFUNCTION("""COMPUTED_VALUE"""),565156.0)</f>
        <v>565156</v>
      </c>
      <c r="I829" s="186" t="str">
        <f>IFERROR(__xludf.DUMMYFUNCTION("""COMPUTED_VALUE"""),"HF Loaded Bacon Chicken")</f>
        <v>HF Loaded Bacon Chicken</v>
      </c>
      <c r="J829" s="189">
        <f>IFERROR(__xludf.DUMMYFUNCTION("""COMPUTED_VALUE"""),1374.0)</f>
        <v>1374</v>
      </c>
      <c r="K829" s="189">
        <f>IFERROR(__xludf.DUMMYFUNCTION("""COMPUTED_VALUE"""),1330.0)</f>
        <v>1330</v>
      </c>
      <c r="L829" s="189">
        <f>IFERROR(__xludf.DUMMYFUNCTION("""COMPUTED_VALUE"""),1328.0)</f>
        <v>1328</v>
      </c>
      <c r="M829" s="189">
        <f>IFERROR(__xludf.DUMMYFUNCTION("""COMPUTED_VALUE"""),1668.0)</f>
        <v>1668</v>
      </c>
      <c r="N829" s="189">
        <f>IFERROR(__xludf.DUMMYFUNCTION("""COMPUTED_VALUE"""),1621.0)</f>
        <v>1621</v>
      </c>
      <c r="O829" s="189">
        <f>IFERROR(__xludf.DUMMYFUNCTION("""COMPUTED_VALUE"""),1653.0)</f>
        <v>1653</v>
      </c>
      <c r="P829" s="189">
        <f>IFERROR(__xludf.DUMMYFUNCTION("""COMPUTED_VALUE"""),1627.0)</f>
        <v>1627</v>
      </c>
      <c r="Q829" s="189">
        <f>IFERROR(__xludf.DUMMYFUNCTION("""COMPUTED_VALUE"""),1625.0)</f>
        <v>1625</v>
      </c>
      <c r="R829" s="186"/>
      <c r="S829" s="189">
        <f>IFERROR(__xludf.DUMMYFUNCTION("""COMPUTED_VALUE"""),1579.0)</f>
        <v>1579</v>
      </c>
    </row>
    <row r="830">
      <c r="A830" s="186" t="str">
        <f>IFERROR(__xludf.DUMMYFUNCTION("""COMPUTED_VALUE"""),"DE")</f>
        <v>DE</v>
      </c>
      <c r="B830" s="186" t="str">
        <f>IFERROR(__xludf.DUMMYFUNCTION("""COMPUTED_VALUE"""),"W14")</f>
        <v>W14</v>
      </c>
      <c r="C830" s="186">
        <f>IFERROR(__xludf.DUMMYFUNCTION("""COMPUTED_VALUE"""),308.0)</f>
        <v>308</v>
      </c>
      <c r="D830" s="186" t="str">
        <f>IFERROR(__xludf.DUMMYFUNCTION("""COMPUTED_VALUE"""),"CON-00-149000-2")</f>
        <v>CON-00-149000-2</v>
      </c>
      <c r="E830" s="186" t="str">
        <f>IFERROR(__xludf.DUMMYFUNCTION("""COMPUTED_VALUE"""),"Garlic &amp; Herb Chicken Breast")</f>
        <v>Garlic &amp; Herb Chicken Breast</v>
      </c>
      <c r="F830" s="186" t="str">
        <f>IFERROR(__xludf.DUMMYFUNCTION("""COMPUTED_VALUE"""),"Hähnchenbrustfilet mit Knoblauch und Kräutern")</f>
        <v>Hähnchenbrustfilet mit Knoblauch und Kräutern</v>
      </c>
      <c r="G830" s="186" t="str">
        <f>IFERROR(__xludf.DUMMYFUNCTION("""COMPUTED_VALUE"""),"FE0183E")</f>
        <v>FE0183E</v>
      </c>
      <c r="H830" s="186">
        <f>IFERROR(__xludf.DUMMYFUNCTION("""COMPUTED_VALUE"""),565171.0)</f>
        <v>565171</v>
      </c>
      <c r="I830" s="186" t="str">
        <f>IFERROR(__xludf.DUMMYFUNCTION("""COMPUTED_VALUE"""),"HF Kip bloemkoolrijst cheddar")</f>
        <v>HF Kip bloemkoolrijst cheddar</v>
      </c>
      <c r="J830" s="189">
        <f>IFERROR(__xludf.DUMMYFUNCTION("""COMPUTED_VALUE"""),1318.0)</f>
        <v>1318</v>
      </c>
      <c r="K830" s="189">
        <f>IFERROR(__xludf.DUMMYFUNCTION("""COMPUTED_VALUE"""),1300.0)</f>
        <v>1300</v>
      </c>
      <c r="L830" s="189">
        <f>IFERROR(__xludf.DUMMYFUNCTION("""COMPUTED_VALUE"""),1298.0)</f>
        <v>1298</v>
      </c>
      <c r="M830" s="189">
        <f>IFERROR(__xludf.DUMMYFUNCTION("""COMPUTED_VALUE"""),1398.0)</f>
        <v>1398</v>
      </c>
      <c r="N830" s="189">
        <f>IFERROR(__xludf.DUMMYFUNCTION("""COMPUTED_VALUE"""),1327.0)</f>
        <v>1327</v>
      </c>
      <c r="O830" s="189">
        <f>IFERROR(__xludf.DUMMYFUNCTION("""COMPUTED_VALUE"""),1313.0)</f>
        <v>1313</v>
      </c>
      <c r="P830" s="189">
        <f>IFERROR(__xludf.DUMMYFUNCTION("""COMPUTED_VALUE"""),1300.0)</f>
        <v>1300</v>
      </c>
      <c r="Q830" s="189">
        <f>IFERROR(__xludf.DUMMYFUNCTION("""COMPUTED_VALUE"""),1287.0)</f>
        <v>1287</v>
      </c>
      <c r="R830" s="186"/>
      <c r="S830" s="189">
        <f>IFERROR(__xludf.DUMMYFUNCTION("""COMPUTED_VALUE"""),1216.0)</f>
        <v>1216</v>
      </c>
    </row>
    <row r="831">
      <c r="A831" s="186" t="str">
        <f>IFERROR(__xludf.DUMMYFUNCTION("""COMPUTED_VALUE"""),"DE")</f>
        <v>DE</v>
      </c>
      <c r="B831" s="186" t="str">
        <f>IFERROR(__xludf.DUMMYFUNCTION("""COMPUTED_VALUE"""),"W14")</f>
        <v>W14</v>
      </c>
      <c r="C831" s="186">
        <f>IFERROR(__xludf.DUMMYFUNCTION("""COMPUTED_VALUE"""),309.0)</f>
        <v>309</v>
      </c>
      <c r="D831" s="186" t="str">
        <f>IFERROR(__xludf.DUMMYFUNCTION("""COMPUTED_VALUE"""),"CON-00-136634-3")</f>
        <v>CON-00-136634-3</v>
      </c>
      <c r="E831" s="186" t="str">
        <f>IFERROR(__xludf.DUMMYFUNCTION("""COMPUTED_VALUE"""),"Ratatouille of zucchini and pepper")</f>
        <v>Ratatouille of zucchini and pepper</v>
      </c>
      <c r="F831" s="186" t="str">
        <f>IFERROR(__xludf.DUMMYFUNCTION("""COMPUTED_VALUE"""),"Zucchini-Paprika-Ratatouille")</f>
        <v>Zucchini-Paprika-Ratatouille</v>
      </c>
      <c r="G831" s="186" t="str">
        <f>IFERROR(__xludf.DUMMYFUNCTION("""COMPUTED_VALUE"""),"FE0090C")</f>
        <v>FE0090C</v>
      </c>
      <c r="H831" s="186">
        <f>IFERROR(__xludf.DUMMYFUNCTION("""COMPUTED_VALUE"""),565141.0)</f>
        <v>565141</v>
      </c>
      <c r="I831" s="186"/>
      <c r="J831" s="189">
        <f>IFERROR(__xludf.DUMMYFUNCTION("""COMPUTED_VALUE"""),397.0)</f>
        <v>397</v>
      </c>
      <c r="K831" s="189">
        <f>IFERROR(__xludf.DUMMYFUNCTION("""COMPUTED_VALUE"""),371.0)</f>
        <v>371</v>
      </c>
      <c r="L831" s="189">
        <f>IFERROR(__xludf.DUMMYFUNCTION("""COMPUTED_VALUE"""),371.0)</f>
        <v>371</v>
      </c>
      <c r="M831" s="189">
        <f>IFERROR(__xludf.DUMMYFUNCTION("""COMPUTED_VALUE"""),226.0)</f>
        <v>226</v>
      </c>
      <c r="N831" s="189">
        <f>IFERROR(__xludf.DUMMYFUNCTION("""COMPUTED_VALUE"""),240.0)</f>
        <v>240</v>
      </c>
      <c r="O831" s="189">
        <f>IFERROR(__xludf.DUMMYFUNCTION("""COMPUTED_VALUE"""),243.0)</f>
        <v>243</v>
      </c>
      <c r="P831" s="189">
        <f>IFERROR(__xludf.DUMMYFUNCTION("""COMPUTED_VALUE"""),249.0)</f>
        <v>249</v>
      </c>
      <c r="Q831" s="189">
        <f>IFERROR(__xludf.DUMMYFUNCTION("""COMPUTED_VALUE"""),254.0)</f>
        <v>254</v>
      </c>
      <c r="R831" s="186"/>
      <c r="S831" s="189">
        <f>IFERROR(__xludf.DUMMYFUNCTION("""COMPUTED_VALUE"""),273.0)</f>
        <v>273</v>
      </c>
    </row>
    <row r="832">
      <c r="A832" s="186" t="str">
        <f>IFERROR(__xludf.DUMMYFUNCTION("""COMPUTED_VALUE"""),"DE")</f>
        <v>DE</v>
      </c>
      <c r="B832" s="186" t="str">
        <f>IFERROR(__xludf.DUMMYFUNCTION("""COMPUTED_VALUE"""),"W14")</f>
        <v>W14</v>
      </c>
      <c r="C832" s="186">
        <f>IFERROR(__xludf.DUMMYFUNCTION("""COMPUTED_VALUE"""),310.0)</f>
        <v>310</v>
      </c>
      <c r="D832" s="186" t="str">
        <f>IFERROR(__xludf.DUMMYFUNCTION("""COMPUTED_VALUE"""),"CON-00-136641-3")</f>
        <v>CON-00-136641-3</v>
      </c>
      <c r="E832" s="186" t="str">
        <f>IFERROR(__xludf.DUMMYFUNCTION("""COMPUTED_VALUE"""),"Mexican style corn cake")</f>
        <v>Mexican style corn cake</v>
      </c>
      <c r="F832" s="186" t="str">
        <f>IFERROR(__xludf.DUMMYFUNCTION("""COMPUTED_VALUE"""),"Mexikanischer Maiskuchen")</f>
        <v>Mexikanischer Maiskuchen</v>
      </c>
      <c r="G832" s="186" t="str">
        <f>IFERROR(__xludf.DUMMYFUNCTION("""COMPUTED_VALUE"""),"FE0121C")</f>
        <v>FE0121C</v>
      </c>
      <c r="H832" s="186">
        <f>IFERROR(__xludf.DUMMYFUNCTION("""COMPUTED_VALUE"""),565023.0)</f>
        <v>565023</v>
      </c>
      <c r="I832" s="186" t="str">
        <f>IFERROR(__xludf.DUMMYFUNCTION("""COMPUTED_VALUE"""),"HF Mex.stijl maiscake")</f>
        <v>HF Mex.stijl maiscake</v>
      </c>
      <c r="J832" s="189">
        <f>IFERROR(__xludf.DUMMYFUNCTION("""COMPUTED_VALUE"""),387.0)</f>
        <v>387</v>
      </c>
      <c r="K832" s="189">
        <f>IFERROR(__xludf.DUMMYFUNCTION("""COMPUTED_VALUE"""),392.0)</f>
        <v>392</v>
      </c>
      <c r="L832" s="189">
        <f>IFERROR(__xludf.DUMMYFUNCTION("""COMPUTED_VALUE"""),423.0)</f>
        <v>423</v>
      </c>
      <c r="M832" s="189">
        <f>IFERROR(__xludf.DUMMYFUNCTION("""COMPUTED_VALUE"""),336.0)</f>
        <v>336</v>
      </c>
      <c r="N832" s="189">
        <f>IFERROR(__xludf.DUMMYFUNCTION("""COMPUTED_VALUE"""),348.0)</f>
        <v>348</v>
      </c>
      <c r="O832" s="189">
        <f>IFERROR(__xludf.DUMMYFUNCTION("""COMPUTED_VALUE"""),356.0)</f>
        <v>356</v>
      </c>
      <c r="P832" s="189">
        <f>IFERROR(__xludf.DUMMYFUNCTION("""COMPUTED_VALUE"""),348.0)</f>
        <v>348</v>
      </c>
      <c r="Q832" s="189">
        <f>IFERROR(__xludf.DUMMYFUNCTION("""COMPUTED_VALUE"""),349.0)</f>
        <v>349</v>
      </c>
      <c r="R832" s="186"/>
      <c r="S832" s="189">
        <f>IFERROR(__xludf.DUMMYFUNCTION("""COMPUTED_VALUE"""),350.0)</f>
        <v>350</v>
      </c>
    </row>
    <row r="833">
      <c r="A833" s="186" t="str">
        <f>IFERROR(__xludf.DUMMYFUNCTION("""COMPUTED_VALUE"""),"DE")</f>
        <v>DE</v>
      </c>
      <c r="B833" s="186" t="str">
        <f>IFERROR(__xludf.DUMMYFUNCTION("""COMPUTED_VALUE"""),"W14")</f>
        <v>W14</v>
      </c>
      <c r="C833" s="186">
        <f>IFERROR(__xludf.DUMMYFUNCTION("""COMPUTED_VALUE"""),311.0)</f>
        <v>311</v>
      </c>
      <c r="D833" s="186" t="str">
        <f>IFERROR(__xludf.DUMMYFUNCTION("""COMPUTED_VALUE"""),"CON-00-136670-3")</f>
        <v>CON-00-136670-3</v>
      </c>
      <c r="E833" s="186" t="str">
        <f>IFERROR(__xludf.DUMMYFUNCTION("""COMPUTED_VALUE"""),"Grilled pork tenderloin and tomato butter")</f>
        <v>Grilled pork tenderloin and tomato butter</v>
      </c>
      <c r="F833" s="186" t="str">
        <f>IFERROR(__xludf.DUMMYFUNCTION("""COMPUTED_VALUE"""),"Gegrilltes Schweinefilet mit Tomatenbutter")</f>
        <v>Gegrilltes Schweinefilet mit Tomatenbutter</v>
      </c>
      <c r="G833" s="186" t="str">
        <f>IFERROR(__xludf.DUMMYFUNCTION("""COMPUTED_VALUE"""),"FE4010B")</f>
        <v>FE4010B</v>
      </c>
      <c r="H833" s="186">
        <f>IFERROR(__xludf.DUMMYFUNCTION("""COMPUTED_VALUE"""),565138.0)</f>
        <v>565138</v>
      </c>
      <c r="I833" s="186"/>
      <c r="J833" s="189">
        <f>IFERROR(__xludf.DUMMYFUNCTION("""COMPUTED_VALUE"""),580.0)</f>
        <v>580</v>
      </c>
      <c r="K833" s="189">
        <f>IFERROR(__xludf.DUMMYFUNCTION("""COMPUTED_VALUE"""),469.0)</f>
        <v>469</v>
      </c>
      <c r="L833" s="189">
        <f>IFERROR(__xludf.DUMMYFUNCTION("""COMPUTED_VALUE"""),468.0)</f>
        <v>468</v>
      </c>
      <c r="M833" s="189">
        <f>IFERROR(__xludf.DUMMYFUNCTION("""COMPUTED_VALUE"""),476.0)</f>
        <v>476</v>
      </c>
      <c r="N833" s="189">
        <f>IFERROR(__xludf.DUMMYFUNCTION("""COMPUTED_VALUE"""),459.0)</f>
        <v>459</v>
      </c>
      <c r="O833" s="189">
        <f>IFERROR(__xludf.DUMMYFUNCTION("""COMPUTED_VALUE"""),487.0)</f>
        <v>487</v>
      </c>
      <c r="P833" s="189">
        <f>IFERROR(__xludf.DUMMYFUNCTION("""COMPUTED_VALUE"""),473.0)</f>
        <v>473</v>
      </c>
      <c r="Q833" s="189">
        <f>IFERROR(__xludf.DUMMYFUNCTION("""COMPUTED_VALUE"""),492.0)</f>
        <v>492</v>
      </c>
      <c r="R833" s="186"/>
      <c r="S833" s="189">
        <f>IFERROR(__xludf.DUMMYFUNCTION("""COMPUTED_VALUE"""),465.0)</f>
        <v>465</v>
      </c>
    </row>
    <row r="834">
      <c r="A834" s="186" t="str">
        <f>IFERROR(__xludf.DUMMYFUNCTION("""COMPUTED_VALUE"""),"DE")</f>
        <v>DE</v>
      </c>
      <c r="B834" s="186" t="str">
        <f>IFERROR(__xludf.DUMMYFUNCTION("""COMPUTED_VALUE"""),"W14")</f>
        <v>W14</v>
      </c>
      <c r="C834" s="186">
        <f>IFERROR(__xludf.DUMMYFUNCTION("""COMPUTED_VALUE"""),312.0)</f>
        <v>312</v>
      </c>
      <c r="D834" s="186" t="str">
        <f>IFERROR(__xludf.DUMMYFUNCTION("""COMPUTED_VALUE"""),"CON-00-137745-2")</f>
        <v>CON-00-137745-2</v>
      </c>
      <c r="E834" s="186" t="str">
        <f>IFERROR(__xludf.DUMMYFUNCTION("""COMPUTED_VALUE"""),"Salmon in mustard-dill sauce")</f>
        <v>Salmon in mustard-dill sauce</v>
      </c>
      <c r="F834" s="186" t="str">
        <f>IFERROR(__xludf.DUMMYFUNCTION("""COMPUTED_VALUE"""),"Lachs in Senf-Dill-Sauce")</f>
        <v>Lachs in Senf-Dill-Sauce</v>
      </c>
      <c r="G834" s="186" t="str">
        <f>IFERROR(__xludf.DUMMYFUNCTION("""COMPUTED_VALUE"""),"FE4009D")</f>
        <v>FE4009D</v>
      </c>
      <c r="H834" s="186">
        <f>IFERROR(__xludf.DUMMYFUNCTION("""COMPUTED_VALUE"""),565064.0)</f>
        <v>565064</v>
      </c>
      <c r="I834" s="186" t="str">
        <f>IFERROR(__xludf.DUMMYFUNCTION("""COMPUTED_VALUE"""),"HF Zalm in mosterd dillesaus")</f>
        <v>HF Zalm in mosterd dillesaus</v>
      </c>
      <c r="J834" s="189">
        <f>IFERROR(__xludf.DUMMYFUNCTION("""COMPUTED_VALUE"""),1739.0)</f>
        <v>1739</v>
      </c>
      <c r="K834" s="189">
        <f>IFERROR(__xludf.DUMMYFUNCTION("""COMPUTED_VALUE"""),1688.0)</f>
        <v>1688</v>
      </c>
      <c r="L834" s="189">
        <f>IFERROR(__xludf.DUMMYFUNCTION("""COMPUTED_VALUE"""),1686.0)</f>
        <v>1686</v>
      </c>
      <c r="M834" s="189">
        <f>IFERROR(__xludf.DUMMYFUNCTION("""COMPUTED_VALUE"""),1461.0)</f>
        <v>1461</v>
      </c>
      <c r="N834" s="189">
        <f>IFERROR(__xludf.DUMMYFUNCTION("""COMPUTED_VALUE"""),1456.0)</f>
        <v>1456</v>
      </c>
      <c r="O834" s="189">
        <f>IFERROR(__xludf.DUMMYFUNCTION("""COMPUTED_VALUE"""),1476.0)</f>
        <v>1476</v>
      </c>
      <c r="P834" s="189">
        <f>IFERROR(__xludf.DUMMYFUNCTION("""COMPUTED_VALUE"""),1462.0)</f>
        <v>1462</v>
      </c>
      <c r="Q834" s="189">
        <f>IFERROR(__xludf.DUMMYFUNCTION("""COMPUTED_VALUE"""),1463.0)</f>
        <v>1463</v>
      </c>
      <c r="R834" s="186"/>
      <c r="S834" s="189">
        <f>IFERROR(__xludf.DUMMYFUNCTION("""COMPUTED_VALUE"""),1416.0)</f>
        <v>1416</v>
      </c>
    </row>
    <row r="835">
      <c r="A835" s="186" t="str">
        <f>IFERROR(__xludf.DUMMYFUNCTION("""COMPUTED_VALUE"""),"DE")</f>
        <v>DE</v>
      </c>
      <c r="B835" s="186" t="str">
        <f>IFERROR(__xludf.DUMMYFUNCTION("""COMPUTED_VALUE"""),"W14")</f>
        <v>W14</v>
      </c>
      <c r="C835" s="186">
        <f>IFERROR(__xludf.DUMMYFUNCTION("""COMPUTED_VALUE"""),313.0)</f>
        <v>313</v>
      </c>
      <c r="D835" s="186" t="str">
        <f>IFERROR(__xludf.DUMMYFUNCTION("""COMPUTED_VALUE"""),"CON-00-150748-2")</f>
        <v>CON-00-150748-2</v>
      </c>
      <c r="E835" s="186" t="str">
        <f>IFERROR(__xludf.DUMMYFUNCTION("""COMPUTED_VALUE"""),"West African Style Chicken Peanut Curry")</f>
        <v>West African Style Chicken Peanut Curry</v>
      </c>
      <c r="F835" s="186" t="str">
        <f>IFERROR(__xludf.DUMMYFUNCTION("""COMPUTED_VALUE"""),"Westafrikanisches Hähnchen-Erdnuss-Curry")</f>
        <v>Westafrikanisches Hähnchen-Erdnuss-Curry</v>
      </c>
      <c r="G835" s="186" t="str">
        <f>IFERROR(__xludf.DUMMYFUNCTION("""COMPUTED_VALUE"""),"FE1451A")</f>
        <v>FE1451A</v>
      </c>
      <c r="H835" s="186">
        <f>IFERROR(__xludf.DUMMYFUNCTION("""COMPUTED_VALUE"""),565178.0)</f>
        <v>565178</v>
      </c>
      <c r="I835" s="186" t="str">
        <f>IFERROR(__xludf.DUMMYFUNCTION("""COMPUTED_VALUE"""),"HF Kruidige pinda curry")</f>
        <v>HF Kruidige pinda curry</v>
      </c>
      <c r="J835" s="189">
        <f>IFERROR(__xludf.DUMMYFUNCTION("""COMPUTED_VALUE"""),1754.0)</f>
        <v>1754</v>
      </c>
      <c r="K835" s="189">
        <f>IFERROR(__xludf.DUMMYFUNCTION("""COMPUTED_VALUE"""),1670.0)</f>
        <v>1670</v>
      </c>
      <c r="L835" s="189">
        <f>IFERROR(__xludf.DUMMYFUNCTION("""COMPUTED_VALUE"""),1668.0)</f>
        <v>1668</v>
      </c>
      <c r="M835" s="189">
        <f>IFERROR(__xludf.DUMMYFUNCTION("""COMPUTED_VALUE"""),1788.0)</f>
        <v>1788</v>
      </c>
      <c r="N835" s="189">
        <f>IFERROR(__xludf.DUMMYFUNCTION("""COMPUTED_VALUE"""),1786.0)</f>
        <v>1786</v>
      </c>
      <c r="O835" s="189">
        <f>IFERROR(__xludf.DUMMYFUNCTION("""COMPUTED_VALUE"""),1763.0)</f>
        <v>1763</v>
      </c>
      <c r="P835" s="189">
        <f>IFERROR(__xludf.DUMMYFUNCTION("""COMPUTED_VALUE"""),1743.0)</f>
        <v>1743</v>
      </c>
      <c r="Q835" s="189">
        <f>IFERROR(__xludf.DUMMYFUNCTION("""COMPUTED_VALUE"""),1769.0)</f>
        <v>1769</v>
      </c>
      <c r="R835" s="186"/>
      <c r="S835" s="189">
        <f>IFERROR(__xludf.DUMMYFUNCTION("""COMPUTED_VALUE"""),1677.0)</f>
        <v>1677</v>
      </c>
    </row>
    <row r="836">
      <c r="A836" s="186" t="str">
        <f>IFERROR(__xludf.DUMMYFUNCTION("""COMPUTED_VALUE"""),"DE")</f>
        <v>DE</v>
      </c>
      <c r="B836" s="186" t="str">
        <f>IFERROR(__xludf.DUMMYFUNCTION("""COMPUTED_VALUE"""),"W14")</f>
        <v>W14</v>
      </c>
      <c r="C836" s="186">
        <f>IFERROR(__xludf.DUMMYFUNCTION("""COMPUTED_VALUE"""),314.0)</f>
        <v>314</v>
      </c>
      <c r="D836" s="186" t="str">
        <f>IFERROR(__xludf.DUMMYFUNCTION("""COMPUTED_VALUE"""),"CON-00-158243-2")</f>
        <v>CON-00-158243-2</v>
      </c>
      <c r="E836" s="186" t="str">
        <f>IFERROR(__xludf.DUMMYFUNCTION("""COMPUTED_VALUE"""),"Citrus Mojo Chicken Breast")</f>
        <v>Citrus Mojo Chicken Breast</v>
      </c>
      <c r="F836" s="186" t="str">
        <f>IFERROR(__xludf.DUMMYFUNCTION("""COMPUTED_VALUE"""),"Hähnchenbrust mit Citrus-Mojo-Sauce")</f>
        <v>Hähnchenbrust mit Citrus-Mojo-Sauce</v>
      </c>
      <c r="G836" s="186" t="str">
        <f>IFERROR(__xludf.DUMMYFUNCTION("""COMPUTED_VALUE"""),"FE1203A")</f>
        <v>FE1203A</v>
      </c>
      <c r="H836" s="186">
        <f>IFERROR(__xludf.DUMMYFUNCTION("""COMPUTED_VALUE"""),565264.0)</f>
        <v>565264</v>
      </c>
      <c r="I836" s="186" t="str">
        <f>IFERROR(__xludf.DUMMYFUNCTION("""COMPUTED_VALUE"""),"HF Citrus Mojo Chicken")</f>
        <v>HF Citrus Mojo Chicken</v>
      </c>
      <c r="J836" s="189">
        <f>IFERROR(__xludf.DUMMYFUNCTION("""COMPUTED_VALUE"""),893.0)</f>
        <v>893</v>
      </c>
      <c r="K836" s="189">
        <f>IFERROR(__xludf.DUMMYFUNCTION("""COMPUTED_VALUE"""),866.0)</f>
        <v>866</v>
      </c>
      <c r="L836" s="189">
        <f>IFERROR(__xludf.DUMMYFUNCTION("""COMPUTED_VALUE"""),897.0)</f>
        <v>897</v>
      </c>
      <c r="M836" s="189">
        <f>IFERROR(__xludf.DUMMYFUNCTION("""COMPUTED_VALUE"""),1055.0)</f>
        <v>1055</v>
      </c>
      <c r="N836" s="189">
        <f>IFERROR(__xludf.DUMMYFUNCTION("""COMPUTED_VALUE"""),977.0)</f>
        <v>977</v>
      </c>
      <c r="O836" s="189">
        <f>IFERROR(__xludf.DUMMYFUNCTION("""COMPUTED_VALUE"""),984.0)</f>
        <v>984</v>
      </c>
      <c r="P836" s="189">
        <f>IFERROR(__xludf.DUMMYFUNCTION("""COMPUTED_VALUE"""),989.0)</f>
        <v>989</v>
      </c>
      <c r="Q836" s="189">
        <f>IFERROR(__xludf.DUMMYFUNCTION("""COMPUTED_VALUE"""),994.0)</f>
        <v>994</v>
      </c>
      <c r="R836" s="186"/>
      <c r="S836" s="189">
        <f>IFERROR(__xludf.DUMMYFUNCTION("""COMPUTED_VALUE"""),933.0)</f>
        <v>933</v>
      </c>
    </row>
    <row r="837">
      <c r="A837" s="186" t="str">
        <f>IFERROR(__xludf.DUMMYFUNCTION("""COMPUTED_VALUE"""),"DE")</f>
        <v>DE</v>
      </c>
      <c r="B837" s="186" t="str">
        <f>IFERROR(__xludf.DUMMYFUNCTION("""COMPUTED_VALUE"""),"W14")</f>
        <v>W14</v>
      </c>
      <c r="C837" s="186">
        <f>IFERROR(__xludf.DUMMYFUNCTION("""COMPUTED_VALUE"""),315.0)</f>
        <v>315</v>
      </c>
      <c r="D837" s="186" t="str">
        <f>IFERROR(__xludf.DUMMYFUNCTION("""COMPUTED_VALUE"""),"CON-00-136698-3")</f>
        <v>CON-00-136698-3</v>
      </c>
      <c r="E837" s="186" t="str">
        <f>IFERROR(__xludf.DUMMYFUNCTION("""COMPUTED_VALUE"""),"Braised beef in herby jus")</f>
        <v>Braised beef in herby jus</v>
      </c>
      <c r="F837" s="186" t="str">
        <f>IFERROR(__xludf.DUMMYFUNCTION("""COMPUTED_VALUE"""),"Geschmortes Rindfleisch in Kräuterjus")</f>
        <v>Geschmortes Rindfleisch in Kräuterjus</v>
      </c>
      <c r="G837" s="186" t="str">
        <f>IFERROR(__xludf.DUMMYFUNCTION("""COMPUTED_VALUE"""),"FE0413F")</f>
        <v>FE0413F</v>
      </c>
      <c r="H837" s="186">
        <f>IFERROR(__xludf.DUMMYFUNCTION("""COMPUTED_VALUE"""),565089.0)</f>
        <v>565089</v>
      </c>
      <c r="I837" s="186" t="str">
        <f>IFERROR(__xludf.DUMMYFUNCTION("""COMPUTED_VALUE"""),"HF Franse stijl rundvlees")</f>
        <v>HF Franse stijl rundvlees</v>
      </c>
      <c r="J837" s="189">
        <f>IFERROR(__xludf.DUMMYFUNCTION("""COMPUTED_VALUE"""),934.0)</f>
        <v>934</v>
      </c>
      <c r="K837" s="189">
        <f>IFERROR(__xludf.DUMMYFUNCTION("""COMPUTED_VALUE"""),914.0)</f>
        <v>914</v>
      </c>
      <c r="L837" s="189">
        <f>IFERROR(__xludf.DUMMYFUNCTION("""COMPUTED_VALUE"""),913.0)</f>
        <v>913</v>
      </c>
      <c r="M837" s="189">
        <f>IFERROR(__xludf.DUMMYFUNCTION("""COMPUTED_VALUE"""),796.0)</f>
        <v>796</v>
      </c>
      <c r="N837" s="189">
        <f>IFERROR(__xludf.DUMMYFUNCTION("""COMPUTED_VALUE"""),794.0)</f>
        <v>794</v>
      </c>
      <c r="O837" s="189">
        <f>IFERROR(__xludf.DUMMYFUNCTION("""COMPUTED_VALUE"""),774.0)</f>
        <v>774</v>
      </c>
      <c r="P837" s="189">
        <f>IFERROR(__xludf.DUMMYFUNCTION("""COMPUTED_VALUE"""),781.0)</f>
        <v>781</v>
      </c>
      <c r="Q837" s="189">
        <f>IFERROR(__xludf.DUMMYFUNCTION("""COMPUTED_VALUE"""),786.0)</f>
        <v>786</v>
      </c>
      <c r="R837" s="186"/>
      <c r="S837" s="189">
        <f>IFERROR(__xludf.DUMMYFUNCTION("""COMPUTED_VALUE"""),789.0)</f>
        <v>789</v>
      </c>
    </row>
    <row r="838">
      <c r="A838" s="186" t="str">
        <f>IFERROR(__xludf.DUMMYFUNCTION("""COMPUTED_VALUE"""),"DE")</f>
        <v>DE</v>
      </c>
      <c r="B838" s="186" t="str">
        <f>IFERROR(__xludf.DUMMYFUNCTION("""COMPUTED_VALUE"""),"W14")</f>
        <v>W14</v>
      </c>
      <c r="C838" s="186">
        <f>IFERROR(__xludf.DUMMYFUNCTION("""COMPUTED_VALUE"""),316.0)</f>
        <v>316</v>
      </c>
      <c r="D838" s="186" t="str">
        <f>IFERROR(__xludf.DUMMYFUNCTION("""COMPUTED_VALUE"""),"CON-00-155003-2")</f>
        <v>CON-00-155003-2</v>
      </c>
      <c r="E838" s="186" t="str">
        <f>IFERROR(__xludf.DUMMYFUNCTION("""COMPUTED_VALUE"""),"Apricot Smothered Pork Tenderloin")</f>
        <v>Apricot Smothered Pork Tenderloin</v>
      </c>
      <c r="F838" s="186" t="str">
        <f>IFERROR(__xludf.DUMMYFUNCTION("""COMPUTED_VALUE"""),"Schweinefilet mit Aprikosenglasur")</f>
        <v>Schweinefilet mit Aprikosenglasur</v>
      </c>
      <c r="G838" s="186" t="str">
        <f>IFERROR(__xludf.DUMMYFUNCTION("""COMPUTED_VALUE"""),"FE0962B")</f>
        <v>FE0962B</v>
      </c>
      <c r="H838" s="186">
        <f>IFERROR(__xludf.DUMMYFUNCTION("""COMPUTED_VALUE"""),565220.0)</f>
        <v>565220</v>
      </c>
      <c r="I838" s="186" t="str">
        <f>IFERROR(__xludf.DUMMYFUNCTION("""COMPUTED_VALUE"""),"HF Varkenshaas abrikozensaus")</f>
        <v>HF Varkenshaas abrikozensaus</v>
      </c>
      <c r="J838" s="189">
        <f>IFERROR(__xludf.DUMMYFUNCTION("""COMPUTED_VALUE"""),724.0)</f>
        <v>724</v>
      </c>
      <c r="K838" s="189">
        <f>IFERROR(__xludf.DUMMYFUNCTION("""COMPUTED_VALUE"""),632.0)</f>
        <v>632</v>
      </c>
      <c r="L838" s="189">
        <f>IFERROR(__xludf.DUMMYFUNCTION("""COMPUTED_VALUE"""),631.0)</f>
        <v>631</v>
      </c>
      <c r="M838" s="189">
        <f>IFERROR(__xludf.DUMMYFUNCTION("""COMPUTED_VALUE"""),396.0)</f>
        <v>396</v>
      </c>
      <c r="N838" s="189">
        <f>IFERROR(__xludf.DUMMYFUNCTION("""COMPUTED_VALUE"""),390.0)</f>
        <v>390</v>
      </c>
      <c r="O838" s="189">
        <f>IFERROR(__xludf.DUMMYFUNCTION("""COMPUTED_VALUE"""),428.0)</f>
        <v>428</v>
      </c>
      <c r="P838" s="189">
        <f>IFERROR(__xludf.DUMMYFUNCTION("""COMPUTED_VALUE"""),424.0)</f>
        <v>424</v>
      </c>
      <c r="Q838" s="189">
        <f>IFERROR(__xludf.DUMMYFUNCTION("""COMPUTED_VALUE"""),427.0)</f>
        <v>427</v>
      </c>
      <c r="R838" s="186"/>
      <c r="S838" s="189">
        <f>IFERROR(__xludf.DUMMYFUNCTION("""COMPUTED_VALUE"""),397.0)</f>
        <v>397</v>
      </c>
    </row>
    <row r="839">
      <c r="A839" s="186" t="str">
        <f>IFERROR(__xludf.DUMMYFUNCTION("""COMPUTED_VALUE"""),"DE")</f>
        <v>DE</v>
      </c>
      <c r="B839" s="186" t="str">
        <f>IFERROR(__xludf.DUMMYFUNCTION("""COMPUTED_VALUE"""),"W14")</f>
        <v>W14</v>
      </c>
      <c r="C839" s="186">
        <f>IFERROR(__xludf.DUMMYFUNCTION("""COMPUTED_VALUE"""),317.0)</f>
        <v>317</v>
      </c>
      <c r="D839" s="186" t="str">
        <f>IFERROR(__xludf.DUMMYFUNCTION("""COMPUTED_VALUE"""),"CON-00-136637-3")</f>
        <v>CON-00-136637-3</v>
      </c>
      <c r="E839" s="186" t="str">
        <f>IFERROR(__xludf.DUMMYFUNCTION("""COMPUTED_VALUE"""),"Pork tenderloin in creamy garlic-mustard sauce")</f>
        <v>Pork tenderloin in creamy garlic-mustard sauce</v>
      </c>
      <c r="F839" s="186" t="str">
        <f>IFERROR(__xludf.DUMMYFUNCTION("""COMPUTED_VALUE"""),"Schweinefilet in cremiger Knoblauch-Senf-Sauce")</f>
        <v>Schweinefilet in cremiger Knoblauch-Senf-Sauce</v>
      </c>
      <c r="G839" s="186" t="str">
        <f>IFERROR(__xludf.DUMMYFUNCTION("""COMPUTED_VALUE"""),"FE0169H")</f>
        <v>FE0169H</v>
      </c>
      <c r="H839" s="186">
        <f>IFERROR(__xludf.DUMMYFUNCTION("""COMPUTED_VALUE"""),565143.0)</f>
        <v>565143</v>
      </c>
      <c r="I839" s="186" t="str">
        <f>IFERROR(__xludf.DUMMYFUNCTION("""COMPUTED_VALUE"""),"Varkenshaas in romige knoflook-mosterdsaus")</f>
        <v>Varkenshaas in romige knoflook-mosterdsaus</v>
      </c>
      <c r="J839" s="189">
        <f>IFERROR(__xludf.DUMMYFUNCTION("""COMPUTED_VALUE"""),1067.0)</f>
        <v>1067</v>
      </c>
      <c r="K839" s="189">
        <f>IFERROR(__xludf.DUMMYFUNCTION("""COMPUTED_VALUE"""),1021.0)</f>
        <v>1021</v>
      </c>
      <c r="L839" s="189">
        <f>IFERROR(__xludf.DUMMYFUNCTION("""COMPUTED_VALUE"""),1020.0)</f>
        <v>1020</v>
      </c>
      <c r="M839" s="189">
        <f>IFERROR(__xludf.DUMMYFUNCTION("""COMPUTED_VALUE"""),890.0)</f>
        <v>890</v>
      </c>
      <c r="N839" s="189">
        <f>IFERROR(__xludf.DUMMYFUNCTION("""COMPUTED_VALUE"""),917.0)</f>
        <v>917</v>
      </c>
      <c r="O839" s="189">
        <f>IFERROR(__xludf.DUMMYFUNCTION("""COMPUTED_VALUE"""),972.0)</f>
        <v>972</v>
      </c>
      <c r="P839" s="189">
        <f>IFERROR(__xludf.DUMMYFUNCTION("""COMPUTED_VALUE"""),962.0)</f>
        <v>962</v>
      </c>
      <c r="Q839" s="189">
        <f>IFERROR(__xludf.DUMMYFUNCTION("""COMPUTED_VALUE"""),990.0)</f>
        <v>990</v>
      </c>
      <c r="R839" s="186"/>
      <c r="S839" s="189">
        <f>IFERROR(__xludf.DUMMYFUNCTION("""COMPUTED_VALUE"""),954.0)</f>
        <v>954</v>
      </c>
    </row>
    <row r="840">
      <c r="A840" s="186" t="str">
        <f>IFERROR(__xludf.DUMMYFUNCTION("""COMPUTED_VALUE"""),"DE")</f>
        <v>DE</v>
      </c>
      <c r="B840" s="186" t="str">
        <f>IFERROR(__xludf.DUMMYFUNCTION("""COMPUTED_VALUE"""),"W14")</f>
        <v>W14</v>
      </c>
      <c r="C840" s="186">
        <f>IFERROR(__xludf.DUMMYFUNCTION("""COMPUTED_VALUE"""),318.0)</f>
        <v>318</v>
      </c>
      <c r="D840" s="186" t="str">
        <f>IFERROR(__xludf.DUMMYFUNCTION("""COMPUTED_VALUE"""),"CON-00-155917-2")</f>
        <v>CON-00-155917-2</v>
      </c>
      <c r="E840" s="186" t="str">
        <f>IFERROR(__xludf.DUMMYFUNCTION("""COMPUTED_VALUE"""),"Chicken Biryani")</f>
        <v>Chicken Biryani</v>
      </c>
      <c r="F840" s="186" t="str">
        <f>IFERROR(__xludf.DUMMYFUNCTION("""COMPUTED_VALUE"""),"Hähnchen Biryani")</f>
        <v>Hähnchen Biryani</v>
      </c>
      <c r="G840" s="186" t="str">
        <f>IFERROR(__xludf.DUMMYFUNCTION("""COMPUTED_VALUE"""),"FE1403A")</f>
        <v>FE1403A</v>
      </c>
      <c r="H840" s="186">
        <f>IFERROR(__xludf.DUMMYFUNCTION("""COMPUTED_VALUE"""),565270.0)</f>
        <v>565270</v>
      </c>
      <c r="I840" s="186" t="str">
        <f>IFERROR(__xludf.DUMMYFUNCTION("""COMPUTED_VALUE"""),"HF Chicken biryani")</f>
        <v>HF Chicken biryani</v>
      </c>
      <c r="J840" s="189">
        <f>IFERROR(__xludf.DUMMYFUNCTION("""COMPUTED_VALUE"""),605.0)</f>
        <v>605</v>
      </c>
      <c r="K840" s="189">
        <f>IFERROR(__xludf.DUMMYFUNCTION("""COMPUTED_VALUE"""),554.0)</f>
        <v>554</v>
      </c>
      <c r="L840" s="189">
        <f>IFERROR(__xludf.DUMMYFUNCTION("""COMPUTED_VALUE"""),585.0)</f>
        <v>585</v>
      </c>
      <c r="M840" s="189">
        <f>IFERROR(__xludf.DUMMYFUNCTION("""COMPUTED_VALUE"""),530.0)</f>
        <v>530</v>
      </c>
      <c r="N840" s="189">
        <f>IFERROR(__xludf.DUMMYFUNCTION("""COMPUTED_VALUE"""),513.0)</f>
        <v>513</v>
      </c>
      <c r="O840" s="189">
        <f>IFERROR(__xludf.DUMMYFUNCTION("""COMPUTED_VALUE"""),509.0)</f>
        <v>509</v>
      </c>
      <c r="P840" s="189">
        <f>IFERROR(__xludf.DUMMYFUNCTION("""COMPUTED_VALUE"""),526.0)</f>
        <v>526</v>
      </c>
      <c r="Q840" s="189">
        <f>IFERROR(__xludf.DUMMYFUNCTION("""COMPUTED_VALUE"""),547.0)</f>
        <v>547</v>
      </c>
      <c r="R840" s="186"/>
      <c r="S840" s="189">
        <f>IFERROR(__xludf.DUMMYFUNCTION("""COMPUTED_VALUE"""),519.0)</f>
        <v>519</v>
      </c>
    </row>
    <row r="841">
      <c r="A841" s="186" t="str">
        <f>IFERROR(__xludf.DUMMYFUNCTION("""COMPUTED_VALUE"""),"DE")</f>
        <v>DE</v>
      </c>
      <c r="B841" s="186" t="str">
        <f>IFERROR(__xludf.DUMMYFUNCTION("""COMPUTED_VALUE"""),"W14")</f>
        <v>W14</v>
      </c>
      <c r="C841" s="186">
        <f>IFERROR(__xludf.DUMMYFUNCTION("""COMPUTED_VALUE"""),206.0)</f>
        <v>206</v>
      </c>
      <c r="D841" s="186" t="str">
        <f>IFERROR(__xludf.DUMMYFUNCTION("""COMPUTED_VALUE"""),"PTN-00-136930-3")</f>
        <v>PTN-00-136930-3</v>
      </c>
      <c r="E841" s="186" t="str">
        <f>IFERROR(__xludf.DUMMYFUNCTION("""COMPUTED_VALUE"""),"Garlic Herb Grilled Chicken")</f>
        <v>Garlic Herb Grilled Chicken</v>
      </c>
      <c r="F841" s="186" t="str">
        <f>IFERROR(__xludf.DUMMYFUNCTION("""COMPUTED_VALUE"""),"Gegrilltes Hähnchen mit Knoblauch-Kräutern")</f>
        <v>Gegrilltes Hähnchen mit Knoblauch-Kräutern</v>
      </c>
      <c r="G841" s="186" t="str">
        <f>IFERROR(__xludf.DUMMYFUNCTION("""COMPUTED_VALUE"""),"FEA006A")</f>
        <v>FEA006A</v>
      </c>
      <c r="H841" s="186">
        <f>IFERROR(__xludf.DUMMYFUNCTION("""COMPUTED_VALUE"""),565119.0)</f>
        <v>565119</v>
      </c>
      <c r="I841" s="186"/>
      <c r="J841" s="189">
        <f>IFERROR(__xludf.DUMMYFUNCTION("""COMPUTED_VALUE"""),87.0)</f>
        <v>87</v>
      </c>
      <c r="K841" s="189">
        <f>IFERROR(__xludf.DUMMYFUNCTION("""COMPUTED_VALUE"""),79.0)</f>
        <v>79</v>
      </c>
      <c r="L841" s="189">
        <f>IFERROR(__xludf.DUMMYFUNCTION("""COMPUTED_VALUE"""),79.0)</f>
        <v>79</v>
      </c>
      <c r="M841" s="189">
        <f>IFERROR(__xludf.DUMMYFUNCTION("""COMPUTED_VALUE"""),79.0)</f>
        <v>79</v>
      </c>
      <c r="N841" s="189">
        <f>IFERROR(__xludf.DUMMYFUNCTION("""COMPUTED_VALUE"""),79.0)</f>
        <v>79</v>
      </c>
      <c r="O841" s="189">
        <f>IFERROR(__xludf.DUMMYFUNCTION("""COMPUTED_VALUE"""),79.0)</f>
        <v>79</v>
      </c>
      <c r="P841" s="189">
        <f>IFERROR(__xludf.DUMMYFUNCTION("""COMPUTED_VALUE"""),79.0)</f>
        <v>79</v>
      </c>
      <c r="Q841" s="189">
        <f>IFERROR(__xludf.DUMMYFUNCTION("""COMPUTED_VALUE"""),79.0)</f>
        <v>79</v>
      </c>
      <c r="R841" s="186"/>
      <c r="S841" s="189">
        <f>IFERROR(__xludf.DUMMYFUNCTION("""COMPUTED_VALUE"""),34.0)</f>
        <v>34</v>
      </c>
    </row>
    <row r="842">
      <c r="A842" s="186" t="str">
        <f>IFERROR(__xludf.DUMMYFUNCTION("""COMPUTED_VALUE"""),"DE")</f>
        <v>DE</v>
      </c>
      <c r="B842" s="186" t="str">
        <f>IFERROR(__xludf.DUMMYFUNCTION("""COMPUTED_VALUE"""),"W14")</f>
        <v>W14</v>
      </c>
      <c r="C842" s="186"/>
      <c r="D842" s="186"/>
      <c r="E842" s="186"/>
      <c r="F842" s="186"/>
      <c r="G842" s="186"/>
      <c r="H842" s="186"/>
      <c r="I842" s="186"/>
      <c r="J842" s="189">
        <f>IFERROR(__xludf.DUMMYFUNCTION("""COMPUTED_VALUE"""),25478.0)</f>
        <v>25478</v>
      </c>
      <c r="K842" s="189">
        <f>IFERROR(__xludf.DUMMYFUNCTION("""COMPUTED_VALUE"""),24673.0)</f>
        <v>24673</v>
      </c>
      <c r="L842" s="189">
        <f>IFERROR(__xludf.DUMMYFUNCTION("""COMPUTED_VALUE"""),24815.0)</f>
        <v>24815</v>
      </c>
      <c r="M842" s="189">
        <f>IFERROR(__xludf.DUMMYFUNCTION("""COMPUTED_VALUE"""),22572.0)</f>
        <v>22572</v>
      </c>
      <c r="N842" s="189">
        <f>IFERROR(__xludf.DUMMYFUNCTION("""COMPUTED_VALUE"""),22241.0)</f>
        <v>22241</v>
      </c>
      <c r="O842" s="189">
        <f>IFERROR(__xludf.DUMMYFUNCTION("""COMPUTED_VALUE"""),22554.0)</f>
        <v>22554</v>
      </c>
      <c r="P842" s="189">
        <f>IFERROR(__xludf.DUMMYFUNCTION("""COMPUTED_VALUE"""),22470.0)</f>
        <v>22470</v>
      </c>
      <c r="Q842" s="189">
        <f>IFERROR(__xludf.DUMMYFUNCTION("""COMPUTED_VALUE"""),22628.0)</f>
        <v>22628</v>
      </c>
      <c r="R842" s="189">
        <f>IFERROR(__xludf.DUMMYFUNCTION("""COMPUTED_VALUE"""),0.0)</f>
        <v>0</v>
      </c>
      <c r="S842" s="189">
        <f>IFERROR(__xludf.DUMMYFUNCTION("""COMPUTED_VALUE"""),22007.0)</f>
        <v>22007</v>
      </c>
    </row>
    <row r="843">
      <c r="A843" s="186" t="str">
        <f>IFERROR(__xludf.DUMMYFUNCTION("""COMPUTED_VALUE"""),"NORDICS")</f>
        <v>NORDICS</v>
      </c>
      <c r="B843" s="186" t="str">
        <f>IFERROR(__xludf.DUMMYFUNCTION("""COMPUTED_VALUE"""),"W15")</f>
        <v>W15</v>
      </c>
      <c r="C843" s="186">
        <f>IFERROR(__xludf.DUMMYFUNCTION("""COMPUTED_VALUE"""),601.0)</f>
        <v>601</v>
      </c>
      <c r="D843" s="186" t="str">
        <f>IFERROR(__xludf.DUMMYFUNCTION("""COMPUTED_VALUE"""),"CON-00-147827-2")</f>
        <v>CON-00-147827-2</v>
      </c>
      <c r="E843" s="186" t="str">
        <f>IFERROR(__xludf.DUMMYFUNCTION("""COMPUTED_VALUE"""),"Chicken à la Florentine")</f>
        <v>Chicken à la Florentine</v>
      </c>
      <c r="F843" s="186" t="str">
        <f>IFERROR(__xludf.DUMMYFUNCTION("""COMPUTED_VALUE"""),"Kylling à la Florentine")</f>
        <v>Kylling à la Florentine</v>
      </c>
      <c r="G843" s="186" t="str">
        <f>IFERROR(__xludf.DUMMYFUNCTION("""COMPUTED_VALUE"""),"FE0224D")</f>
        <v>FE0224D</v>
      </c>
      <c r="H843" s="186">
        <f>IFERROR(__xludf.DUMMYFUNCTION("""COMPUTED_VALUE"""),565047.0)</f>
        <v>565047</v>
      </c>
      <c r="I843" s="186" t="str">
        <f>IFERROR(__xludf.DUMMYFUNCTION("""COMPUTED_VALUE"""),"HF Kip á la Florentine")</f>
        <v>HF Kip á la Florentine</v>
      </c>
      <c r="J843" s="189">
        <f>IFERROR(__xludf.DUMMYFUNCTION("""COMPUTED_VALUE"""),3431.0)</f>
        <v>3431</v>
      </c>
      <c r="K843" s="189">
        <f>IFERROR(__xludf.DUMMYFUNCTION("""COMPUTED_VALUE"""),3423.0)</f>
        <v>3423</v>
      </c>
      <c r="L843" s="189">
        <f>IFERROR(__xludf.DUMMYFUNCTION("""COMPUTED_VALUE"""),3337.0)</f>
        <v>3337</v>
      </c>
      <c r="M843" s="189">
        <f>IFERROR(__xludf.DUMMYFUNCTION("""COMPUTED_VALUE"""),3161.0)</f>
        <v>3161</v>
      </c>
      <c r="N843" s="189">
        <f>IFERROR(__xludf.DUMMYFUNCTION("""COMPUTED_VALUE"""),3216.0)</f>
        <v>3216</v>
      </c>
      <c r="O843" s="189">
        <f>IFERROR(__xludf.DUMMYFUNCTION("""COMPUTED_VALUE"""),3196.0)</f>
        <v>3196</v>
      </c>
      <c r="P843" s="189">
        <f>IFERROR(__xludf.DUMMYFUNCTION("""COMPUTED_VALUE"""),3208.0)</f>
        <v>3208</v>
      </c>
      <c r="Q843" s="189">
        <f>IFERROR(__xludf.DUMMYFUNCTION("""COMPUTED_VALUE"""),3290.0)</f>
        <v>3290</v>
      </c>
      <c r="R843" s="186"/>
      <c r="S843" s="189">
        <f>IFERROR(__xludf.DUMMYFUNCTION("""COMPUTED_VALUE"""),3541.0)</f>
        <v>3541</v>
      </c>
    </row>
    <row r="844">
      <c r="A844" s="186" t="str">
        <f>IFERROR(__xludf.DUMMYFUNCTION("""COMPUTED_VALUE"""),"NORDICS")</f>
        <v>NORDICS</v>
      </c>
      <c r="B844" s="186" t="str">
        <f>IFERROR(__xludf.DUMMYFUNCTION("""COMPUTED_VALUE"""),"W15")</f>
        <v>W15</v>
      </c>
      <c r="C844" s="186">
        <f>IFERROR(__xludf.DUMMYFUNCTION("""COMPUTED_VALUE"""),602.0)</f>
        <v>602</v>
      </c>
      <c r="D844" s="186" t="str">
        <f>IFERROR(__xludf.DUMMYFUNCTION("""COMPUTED_VALUE"""),"CON-00-147877-2")</f>
        <v>CON-00-147877-2</v>
      </c>
      <c r="E844" s="186" t="str">
        <f>IFERROR(__xludf.DUMMYFUNCTION("""COMPUTED_VALUE"""),"Creamy basil risotto with chicken")</f>
        <v>Creamy basil risotto with chicken</v>
      </c>
      <c r="F844" s="186" t="str">
        <f>IFERROR(__xludf.DUMMYFUNCTION("""COMPUTED_VALUE"""),"Cremet basilikumrisotto med kylling")</f>
        <v>Cremet basilikumrisotto med kylling</v>
      </c>
      <c r="G844" s="186" t="str">
        <f>IFERROR(__xludf.DUMMYFUNCTION("""COMPUTED_VALUE"""),"FE4014B")</f>
        <v>FE4014B</v>
      </c>
      <c r="H844" s="186">
        <f>IFERROR(__xludf.DUMMYFUNCTION("""COMPUTED_VALUE"""),565122.0)</f>
        <v>565122</v>
      </c>
      <c r="I844" s="186"/>
      <c r="J844" s="189">
        <f>IFERROR(__xludf.DUMMYFUNCTION("""COMPUTED_VALUE"""),2145.0)</f>
        <v>2145</v>
      </c>
      <c r="K844" s="189">
        <f>IFERROR(__xludf.DUMMYFUNCTION("""COMPUTED_VALUE"""),2140.0)</f>
        <v>2140</v>
      </c>
      <c r="L844" s="189">
        <f>IFERROR(__xludf.DUMMYFUNCTION("""COMPUTED_VALUE"""),2279.0)</f>
        <v>2279</v>
      </c>
      <c r="M844" s="189">
        <f>IFERROR(__xludf.DUMMYFUNCTION("""COMPUTED_VALUE"""),2184.0)</f>
        <v>2184</v>
      </c>
      <c r="N844" s="189">
        <f>IFERROR(__xludf.DUMMYFUNCTION("""COMPUTED_VALUE"""),2219.0)</f>
        <v>2219</v>
      </c>
      <c r="O844" s="189">
        <f>IFERROR(__xludf.DUMMYFUNCTION("""COMPUTED_VALUE"""),2231.0)</f>
        <v>2231</v>
      </c>
      <c r="P844" s="189">
        <f>IFERROR(__xludf.DUMMYFUNCTION("""COMPUTED_VALUE"""),2243.0)</f>
        <v>2243</v>
      </c>
      <c r="Q844" s="189">
        <f>IFERROR(__xludf.DUMMYFUNCTION("""COMPUTED_VALUE"""),2244.0)</f>
        <v>2244</v>
      </c>
      <c r="R844" s="186"/>
      <c r="S844" s="189">
        <f>IFERROR(__xludf.DUMMYFUNCTION("""COMPUTED_VALUE"""),2409.0)</f>
        <v>2409</v>
      </c>
    </row>
    <row r="845">
      <c r="A845" s="186" t="str">
        <f>IFERROR(__xludf.DUMMYFUNCTION("""COMPUTED_VALUE"""),"NORDICS")</f>
        <v>NORDICS</v>
      </c>
      <c r="B845" s="186" t="str">
        <f>IFERROR(__xludf.DUMMYFUNCTION("""COMPUTED_VALUE"""),"W15")</f>
        <v>W15</v>
      </c>
      <c r="C845" s="186">
        <f>IFERROR(__xludf.DUMMYFUNCTION("""COMPUTED_VALUE"""),603.0)</f>
        <v>603</v>
      </c>
      <c r="D845" s="186" t="str">
        <f>IFERROR(__xludf.DUMMYFUNCTION("""COMPUTED_VALUE"""),"CON-00-147860-2")</f>
        <v>CON-00-147860-2</v>
      </c>
      <c r="E845" s="186" t="str">
        <f>IFERROR(__xludf.DUMMYFUNCTION("""COMPUTED_VALUE"""),"Courgette-spaghetti bolognese")</f>
        <v>Courgette-spaghetti bolognese</v>
      </c>
      <c r="F845" s="186" t="str">
        <f>IFERROR(__xludf.DUMMYFUNCTION("""COMPUTED_VALUE"""),"Zucchini-spaghetti bolognese")</f>
        <v>Zucchini-spaghetti bolognese</v>
      </c>
      <c r="G845" s="186" t="str">
        <f>IFERROR(__xludf.DUMMYFUNCTION("""COMPUTED_VALUE"""),"FE0849B")</f>
        <v>FE0849B</v>
      </c>
      <c r="H845" s="186">
        <f>IFERROR(__xludf.DUMMYFUNCTION("""COMPUTED_VALUE"""),565260.0)</f>
        <v>565260</v>
      </c>
      <c r="I845" s="186" t="str">
        <f>IFERROR(__xludf.DUMMYFUNCTION("""COMPUTED_VALUE"""),"HF RW Courgette-spagh bolognes")</f>
        <v>HF RW Courgette-spagh bolognes</v>
      </c>
      <c r="J845" s="189">
        <f>IFERROR(__xludf.DUMMYFUNCTION("""COMPUTED_VALUE"""),1809.0)</f>
        <v>1809</v>
      </c>
      <c r="K845" s="189">
        <f>IFERROR(__xludf.DUMMYFUNCTION("""COMPUTED_VALUE"""),1805.0)</f>
        <v>1805</v>
      </c>
      <c r="L845" s="189">
        <f>IFERROR(__xludf.DUMMYFUNCTION("""COMPUTED_VALUE"""),1868.0)</f>
        <v>1868</v>
      </c>
      <c r="M845" s="189">
        <f>IFERROR(__xludf.DUMMYFUNCTION("""COMPUTED_VALUE"""),1887.0)</f>
        <v>1887</v>
      </c>
      <c r="N845" s="189">
        <f>IFERROR(__xludf.DUMMYFUNCTION("""COMPUTED_VALUE"""),1944.0)</f>
        <v>1944</v>
      </c>
      <c r="O845" s="189">
        <f>IFERROR(__xludf.DUMMYFUNCTION("""COMPUTED_VALUE"""),1978.0)</f>
        <v>1978</v>
      </c>
      <c r="P845" s="189">
        <f>IFERROR(__xludf.DUMMYFUNCTION("""COMPUTED_VALUE"""),1990.0)</f>
        <v>1990</v>
      </c>
      <c r="Q845" s="189">
        <f>IFERROR(__xludf.DUMMYFUNCTION("""COMPUTED_VALUE"""),2039.0)</f>
        <v>2039</v>
      </c>
      <c r="R845" s="186"/>
      <c r="S845" s="189">
        <f>IFERROR(__xludf.DUMMYFUNCTION("""COMPUTED_VALUE"""),2122.0)</f>
        <v>2122</v>
      </c>
    </row>
    <row r="846">
      <c r="A846" s="186" t="str">
        <f>IFERROR(__xludf.DUMMYFUNCTION("""COMPUTED_VALUE"""),"NORDICS")</f>
        <v>NORDICS</v>
      </c>
      <c r="B846" s="186" t="str">
        <f>IFERROR(__xludf.DUMMYFUNCTION("""COMPUTED_VALUE"""),"W15")</f>
        <v>W15</v>
      </c>
      <c r="C846" s="186">
        <f>IFERROR(__xludf.DUMMYFUNCTION("""COMPUTED_VALUE"""),604.0)</f>
        <v>604</v>
      </c>
      <c r="D846" s="186" t="str">
        <f>IFERROR(__xludf.DUMMYFUNCTION("""COMPUTED_VALUE"""),"CON-00-147888-2")</f>
        <v>CON-00-147888-2</v>
      </c>
      <c r="E846" s="186" t="str">
        <f>IFERROR(__xludf.DUMMYFUNCTION("""COMPUTED_VALUE"""),"Beef &amp; BBQ sauce")</f>
        <v>Beef &amp; BBQ sauce</v>
      </c>
      <c r="F846" s="186" t="str">
        <f>IFERROR(__xludf.DUMMYFUNCTION("""COMPUTED_VALUE"""),"Pulled beef med BBQ sauce")</f>
        <v>Pulled beef med BBQ sauce</v>
      </c>
      <c r="G846" s="186" t="str">
        <f>IFERROR(__xludf.DUMMYFUNCTION("""COMPUTED_VALUE"""),"FE4027B")</f>
        <v>FE4027B</v>
      </c>
      <c r="H846" s="186">
        <f>IFERROR(__xludf.DUMMYFUNCTION("""COMPUTED_VALUE"""),565142.0)</f>
        <v>565142</v>
      </c>
      <c r="I846" s="186" t="str">
        <f>IFERROR(__xludf.DUMMYFUNCTION("""COMPUTED_VALUE"""),"HF RW Rundvlees &amp; BBQ saus RW565085 / FE4027A / CS P+")</f>
        <v>HF RW Rundvlees &amp; BBQ saus RW565085 / FE4027A / CS P+</v>
      </c>
      <c r="J846" s="189">
        <f>IFERROR(__xludf.DUMMYFUNCTION("""COMPUTED_VALUE"""),2986.0)</f>
        <v>2986</v>
      </c>
      <c r="K846" s="189">
        <f>IFERROR(__xludf.DUMMYFUNCTION("""COMPUTED_VALUE"""),2979.0)</f>
        <v>2979</v>
      </c>
      <c r="L846" s="189">
        <f>IFERROR(__xludf.DUMMYFUNCTION("""COMPUTED_VALUE"""),2804.0)</f>
        <v>2804</v>
      </c>
      <c r="M846" s="189">
        <f>IFERROR(__xludf.DUMMYFUNCTION("""COMPUTED_VALUE"""),2727.0)</f>
        <v>2727</v>
      </c>
      <c r="N846" s="189">
        <f>IFERROR(__xludf.DUMMYFUNCTION("""COMPUTED_VALUE"""),2715.0)</f>
        <v>2715</v>
      </c>
      <c r="O846" s="189">
        <f>IFERROR(__xludf.DUMMYFUNCTION("""COMPUTED_VALUE"""),2743.0)</f>
        <v>2743</v>
      </c>
      <c r="P846" s="189">
        <f>IFERROR(__xludf.DUMMYFUNCTION("""COMPUTED_VALUE"""),2755.0)</f>
        <v>2755</v>
      </c>
      <c r="Q846" s="189">
        <f>IFERROR(__xludf.DUMMYFUNCTION("""COMPUTED_VALUE"""),2794.0)</f>
        <v>2794</v>
      </c>
      <c r="R846" s="186"/>
      <c r="S846" s="189">
        <f>IFERROR(__xludf.DUMMYFUNCTION("""COMPUTED_VALUE"""),3000.0)</f>
        <v>3000</v>
      </c>
    </row>
    <row r="847">
      <c r="A847" s="186" t="str">
        <f>IFERROR(__xludf.DUMMYFUNCTION("""COMPUTED_VALUE"""),"NORDICS")</f>
        <v>NORDICS</v>
      </c>
      <c r="B847" s="186" t="str">
        <f>IFERROR(__xludf.DUMMYFUNCTION("""COMPUTED_VALUE"""),"W15")</f>
        <v>W15</v>
      </c>
      <c r="C847" s="186">
        <f>IFERROR(__xludf.DUMMYFUNCTION("""COMPUTED_VALUE"""),605.0)</f>
        <v>605</v>
      </c>
      <c r="D847" s="186" t="str">
        <f>IFERROR(__xludf.DUMMYFUNCTION("""COMPUTED_VALUE"""),"CON-00-149481-2")</f>
        <v>CON-00-149481-2</v>
      </c>
      <c r="E847" s="186" t="str">
        <f>IFERROR(__xludf.DUMMYFUNCTION("""COMPUTED_VALUE"""),"Sour Cream &amp; Chive Chicken")</f>
        <v>Sour Cream &amp; Chive Chicken</v>
      </c>
      <c r="F847" s="186" t="str">
        <f>IFERROR(__xludf.DUMMYFUNCTION("""COMPUTED_VALUE"""),"Kylling med syrnet fløde og purløg")</f>
        <v>Kylling med syrnet fløde og purløg</v>
      </c>
      <c r="G847" s="186" t="str">
        <f>IFERROR(__xludf.DUMMYFUNCTION("""COMPUTED_VALUE"""),"FE0322O")</f>
        <v>FE0322O</v>
      </c>
      <c r="H847" s="186">
        <f>IFERROR(__xludf.DUMMYFUNCTION("""COMPUTED_VALUE"""),565163.0)</f>
        <v>565163</v>
      </c>
      <c r="I847" s="186" t="str">
        <f>IFERROR(__xludf.DUMMYFUNCTION("""COMPUTED_VALUE"""),"HF Kip bieslook aardappel pure")</f>
        <v>HF Kip bieslook aardappel pure</v>
      </c>
      <c r="J847" s="189">
        <f>IFERROR(__xludf.DUMMYFUNCTION("""COMPUTED_VALUE"""),1631.0)</f>
        <v>1631</v>
      </c>
      <c r="K847" s="189">
        <f>IFERROR(__xludf.DUMMYFUNCTION("""COMPUTED_VALUE"""),1627.0)</f>
        <v>1627</v>
      </c>
      <c r="L847" s="189">
        <f>IFERROR(__xludf.DUMMYFUNCTION("""COMPUTED_VALUE"""),1688.0)</f>
        <v>1688</v>
      </c>
      <c r="M847" s="189">
        <f>IFERROR(__xludf.DUMMYFUNCTION("""COMPUTED_VALUE"""),1540.0)</f>
        <v>1540</v>
      </c>
      <c r="N847" s="189">
        <f>IFERROR(__xludf.DUMMYFUNCTION("""COMPUTED_VALUE"""),1570.0)</f>
        <v>1570</v>
      </c>
      <c r="O847" s="189">
        <f>IFERROR(__xludf.DUMMYFUNCTION("""COMPUTED_VALUE"""),1581.0)</f>
        <v>1581</v>
      </c>
      <c r="P847" s="189">
        <f>IFERROR(__xludf.DUMMYFUNCTION("""COMPUTED_VALUE"""),1593.0)</f>
        <v>1593</v>
      </c>
      <c r="Q847" s="189">
        <f>IFERROR(__xludf.DUMMYFUNCTION("""COMPUTED_VALUE"""),1652.0)</f>
        <v>1652</v>
      </c>
      <c r="R847" s="186"/>
      <c r="S847" s="189">
        <f>IFERROR(__xludf.DUMMYFUNCTION("""COMPUTED_VALUE"""),1741.0)</f>
        <v>1741</v>
      </c>
    </row>
    <row r="848">
      <c r="A848" s="186" t="str">
        <f>IFERROR(__xludf.DUMMYFUNCTION("""COMPUTED_VALUE"""),"NORDICS")</f>
        <v>NORDICS</v>
      </c>
      <c r="B848" s="186" t="str">
        <f>IFERROR(__xludf.DUMMYFUNCTION("""COMPUTED_VALUE"""),"W15")</f>
        <v>W15</v>
      </c>
      <c r="C848" s="186">
        <f>IFERROR(__xludf.DUMMYFUNCTION("""COMPUTED_VALUE"""),606.0)</f>
        <v>606</v>
      </c>
      <c r="D848" s="186" t="str">
        <f>IFERROR(__xludf.DUMMYFUNCTION("""COMPUTED_VALUE"""),"CON-00-152023-2")</f>
        <v>CON-00-152023-2</v>
      </c>
      <c r="E848" s="186" t="str">
        <f>IFERROR(__xludf.DUMMYFUNCTION("""COMPUTED_VALUE"""),"Salmon Piccata")</f>
        <v>Salmon Piccata</v>
      </c>
      <c r="F848" s="186" t="str">
        <f>IFERROR(__xludf.DUMMYFUNCTION("""COMPUTED_VALUE"""),"Laks Piccata ")</f>
        <v>Laks Piccata </v>
      </c>
      <c r="G848" s="186" t="str">
        <f>IFERROR(__xludf.DUMMYFUNCTION("""COMPUTED_VALUE"""),"FE0972B")</f>
        <v>FE0972B</v>
      </c>
      <c r="H848" s="186">
        <f>IFERROR(__xludf.DUMMYFUNCTION("""COMPUTED_VALUE"""),565189.0)</f>
        <v>565189</v>
      </c>
      <c r="I848" s="186" t="str">
        <f>IFERROR(__xludf.DUMMYFUNCTION("""COMPUTED_VALUE"""),"HF Zalm met piccata saus")</f>
        <v>HF Zalm met piccata saus</v>
      </c>
      <c r="J848" s="189">
        <f>IFERROR(__xludf.DUMMYFUNCTION("""COMPUTED_VALUE"""),1689.0)</f>
        <v>1689</v>
      </c>
      <c r="K848" s="189">
        <f>IFERROR(__xludf.DUMMYFUNCTION("""COMPUTED_VALUE"""),1685.0)</f>
        <v>1685</v>
      </c>
      <c r="L848" s="189">
        <f>IFERROR(__xludf.DUMMYFUNCTION("""COMPUTED_VALUE"""),1789.0)</f>
        <v>1789</v>
      </c>
      <c r="M848" s="189">
        <f>IFERROR(__xludf.DUMMYFUNCTION("""COMPUTED_VALUE"""),1605.0)</f>
        <v>1605</v>
      </c>
      <c r="N848" s="189">
        <f>IFERROR(__xludf.DUMMYFUNCTION("""COMPUTED_VALUE"""),1665.0)</f>
        <v>1665</v>
      </c>
      <c r="O848" s="189">
        <f>IFERROR(__xludf.DUMMYFUNCTION("""COMPUTED_VALUE"""),1670.0)</f>
        <v>1670</v>
      </c>
      <c r="P848" s="189">
        <f>IFERROR(__xludf.DUMMYFUNCTION("""COMPUTED_VALUE"""),1682.0)</f>
        <v>1682</v>
      </c>
      <c r="Q848" s="189">
        <f>IFERROR(__xludf.DUMMYFUNCTION("""COMPUTED_VALUE"""),1727.0)</f>
        <v>1727</v>
      </c>
      <c r="R848" s="186"/>
      <c r="S848" s="189">
        <f>IFERROR(__xludf.DUMMYFUNCTION("""COMPUTED_VALUE"""),1708.0)</f>
        <v>1708</v>
      </c>
    </row>
    <row r="849">
      <c r="A849" s="186" t="str">
        <f>IFERROR(__xludf.DUMMYFUNCTION("""COMPUTED_VALUE"""),"NORDICS")</f>
        <v>NORDICS</v>
      </c>
      <c r="B849" s="186" t="str">
        <f>IFERROR(__xludf.DUMMYFUNCTION("""COMPUTED_VALUE"""),"W15")</f>
        <v>W15</v>
      </c>
      <c r="C849" s="186">
        <f>IFERROR(__xludf.DUMMYFUNCTION("""COMPUTED_VALUE"""),607.0)</f>
        <v>607</v>
      </c>
      <c r="D849" s="186" t="str">
        <f>IFERROR(__xludf.DUMMYFUNCTION("""COMPUTED_VALUE"""),"CON-00-147904-2")</f>
        <v>CON-00-147904-2</v>
      </c>
      <c r="E849" s="186" t="str">
        <f>IFERROR(__xludf.DUMMYFUNCTION("""COMPUTED_VALUE"""),"Gochugaru Chicken")</f>
        <v>Gochugaru Chicken</v>
      </c>
      <c r="F849" s="186" t="str">
        <f>IFERROR(__xludf.DUMMYFUNCTION("""COMPUTED_VALUE"""),"Gochugaru-kylling")</f>
        <v>Gochugaru-kylling</v>
      </c>
      <c r="G849" s="186" t="str">
        <f>IFERROR(__xludf.DUMMYFUNCTION("""COMPUTED_VALUE"""),"FE4053B")</f>
        <v>FE4053B</v>
      </c>
      <c r="H849" s="186">
        <f>IFERROR(__xludf.DUMMYFUNCTION("""COMPUTED_VALUE"""),565131.0)</f>
        <v>565131</v>
      </c>
      <c r="I849" s="186" t="str">
        <f>IFERROR(__xludf.DUMMYFUNCTION("""COMPUTED_VALUE"""),"HF Gochugaru kipblokjes")</f>
        <v>HF Gochugaru kipblokjes</v>
      </c>
      <c r="J849" s="189">
        <f>IFERROR(__xludf.DUMMYFUNCTION("""COMPUTED_VALUE"""),1050.0)</f>
        <v>1050</v>
      </c>
      <c r="K849" s="189">
        <f>IFERROR(__xludf.DUMMYFUNCTION("""COMPUTED_VALUE"""),1047.0)</f>
        <v>1047</v>
      </c>
      <c r="L849" s="189">
        <f>IFERROR(__xludf.DUMMYFUNCTION("""COMPUTED_VALUE"""),1351.0)</f>
        <v>1351</v>
      </c>
      <c r="M849" s="189">
        <f>IFERROR(__xludf.DUMMYFUNCTION("""COMPUTED_VALUE"""),1407.0)</f>
        <v>1407</v>
      </c>
      <c r="N849" s="189">
        <f>IFERROR(__xludf.DUMMYFUNCTION("""COMPUTED_VALUE"""),1413.0)</f>
        <v>1413</v>
      </c>
      <c r="O849" s="189">
        <f>IFERROR(__xludf.DUMMYFUNCTION("""COMPUTED_VALUE"""),1451.0)</f>
        <v>1451</v>
      </c>
      <c r="P849" s="189">
        <f>IFERROR(__xludf.DUMMYFUNCTION("""COMPUTED_VALUE"""),1463.0)</f>
        <v>1463</v>
      </c>
      <c r="Q849" s="189">
        <f>IFERROR(__xludf.DUMMYFUNCTION("""COMPUTED_VALUE"""),1558.0)</f>
        <v>1558</v>
      </c>
      <c r="R849" s="186"/>
      <c r="S849" s="189">
        <f>IFERROR(__xludf.DUMMYFUNCTION("""COMPUTED_VALUE"""),1575.0)</f>
        <v>1575</v>
      </c>
    </row>
    <row r="850">
      <c r="A850" s="186" t="str">
        <f>IFERROR(__xludf.DUMMYFUNCTION("""COMPUTED_VALUE"""),"NORDICS")</f>
        <v>NORDICS</v>
      </c>
      <c r="B850" s="186" t="str">
        <f>IFERROR(__xludf.DUMMYFUNCTION("""COMPUTED_VALUE"""),"W15")</f>
        <v>W15</v>
      </c>
      <c r="C850" s="186">
        <f>IFERROR(__xludf.DUMMYFUNCTION("""COMPUTED_VALUE"""),608.0)</f>
        <v>608</v>
      </c>
      <c r="D850" s="186" t="str">
        <f>IFERROR(__xludf.DUMMYFUNCTION("""COMPUTED_VALUE"""),"CON-00-147825-2")</f>
        <v>CON-00-147825-2</v>
      </c>
      <c r="E850" s="186" t="str">
        <f>IFERROR(__xludf.DUMMYFUNCTION("""COMPUTED_VALUE"""),"Chicken in creamy spinach")</f>
        <v>Chicken in creamy spinach</v>
      </c>
      <c r="F850" s="186" t="str">
        <f>IFERROR(__xludf.DUMMYFUNCTION("""COMPUTED_VALUE"""),"Kylling i cremet spinat")</f>
        <v>Kylling i cremet spinat</v>
      </c>
      <c r="G850" s="186" t="str">
        <f>IFERROR(__xludf.DUMMYFUNCTION("""COMPUTED_VALUE"""),"FE0207I")</f>
        <v>FE0207I</v>
      </c>
      <c r="H850" s="186">
        <f>IFERROR(__xludf.DUMMYFUNCTION("""COMPUTED_VALUE"""),565148.0)</f>
        <v>565148</v>
      </c>
      <c r="I850" s="186" t="str">
        <f>IFERROR(__xludf.DUMMYFUNCTION("""COMPUTED_VALUE"""),"HF RW Kipfilet in rom spinazie")</f>
        <v>HF RW Kipfilet in rom spinazie</v>
      </c>
      <c r="J850" s="189">
        <f>IFERROR(__xludf.DUMMYFUNCTION("""COMPUTED_VALUE"""),1007.0)</f>
        <v>1007</v>
      </c>
      <c r="K850" s="189">
        <f>IFERROR(__xludf.DUMMYFUNCTION("""COMPUTED_VALUE"""),1005.0)</f>
        <v>1005</v>
      </c>
      <c r="L850" s="189">
        <f>IFERROR(__xludf.DUMMYFUNCTION("""COMPUTED_VALUE"""),1159.0)</f>
        <v>1159</v>
      </c>
      <c r="M850" s="189">
        <f>IFERROR(__xludf.DUMMYFUNCTION("""COMPUTED_VALUE"""),1064.0)</f>
        <v>1064</v>
      </c>
      <c r="N850" s="189">
        <f>IFERROR(__xludf.DUMMYFUNCTION("""COMPUTED_VALUE"""),1077.0)</f>
        <v>1077</v>
      </c>
      <c r="O850" s="189">
        <f>IFERROR(__xludf.DUMMYFUNCTION("""COMPUTED_VALUE"""),1065.0)</f>
        <v>1065</v>
      </c>
      <c r="P850" s="189">
        <f>IFERROR(__xludf.DUMMYFUNCTION("""COMPUTED_VALUE"""),1077.0)</f>
        <v>1077</v>
      </c>
      <c r="Q850" s="189">
        <f>IFERROR(__xludf.DUMMYFUNCTION("""COMPUTED_VALUE"""),1109.0)</f>
        <v>1109</v>
      </c>
      <c r="R850" s="186"/>
      <c r="S850" s="189">
        <f>IFERROR(__xludf.DUMMYFUNCTION("""COMPUTED_VALUE"""),1079.0)</f>
        <v>1079</v>
      </c>
    </row>
    <row r="851">
      <c r="A851" s="186" t="str">
        <f>IFERROR(__xludf.DUMMYFUNCTION("""COMPUTED_VALUE"""),"NORDICS")</f>
        <v>NORDICS</v>
      </c>
      <c r="B851" s="186" t="str">
        <f>IFERROR(__xludf.DUMMYFUNCTION("""COMPUTED_VALUE"""),"W15")</f>
        <v>W15</v>
      </c>
      <c r="C851" s="186">
        <f>IFERROR(__xludf.DUMMYFUNCTION("""COMPUTED_VALUE"""),609.0)</f>
        <v>609</v>
      </c>
      <c r="D851" s="186" t="str">
        <f>IFERROR(__xludf.DUMMYFUNCTION("""COMPUTED_VALUE"""),"CON-00-147816-2")</f>
        <v>CON-00-147816-2</v>
      </c>
      <c r="E851" s="186" t="str">
        <f>IFERROR(__xludf.DUMMYFUNCTION("""COMPUTED_VALUE"""),"Creamy tomato risotto")</f>
        <v>Creamy tomato risotto</v>
      </c>
      <c r="F851" s="186" t="str">
        <f>IFERROR(__xludf.DUMMYFUNCTION("""COMPUTED_VALUE"""),"Cremet tomatrisotto")</f>
        <v>Cremet tomatrisotto</v>
      </c>
      <c r="G851" s="186" t="str">
        <f>IFERROR(__xludf.DUMMYFUNCTION("""COMPUTED_VALUE"""),"FE0031C")</f>
        <v>FE0031C</v>
      </c>
      <c r="H851" s="186">
        <f>IFERROR(__xludf.DUMMYFUNCTION("""COMPUTED_VALUE"""),565244.0)</f>
        <v>565244</v>
      </c>
      <c r="I851" s="186" t="str">
        <f>IFERROR(__xludf.DUMMYFUNCTION("""COMPUTED_VALUE"""),"IO HF Romige tomatenrisotto V2")</f>
        <v>IO HF Romige tomatenrisotto V2</v>
      </c>
      <c r="J851" s="189">
        <f>IFERROR(__xludf.DUMMYFUNCTION("""COMPUTED_VALUE"""),202.0)</f>
        <v>202</v>
      </c>
      <c r="K851" s="189">
        <f>IFERROR(__xludf.DUMMYFUNCTION("""COMPUTED_VALUE"""),202.0)</f>
        <v>202</v>
      </c>
      <c r="L851" s="189">
        <f>IFERROR(__xludf.DUMMYFUNCTION("""COMPUTED_VALUE"""),270.0)</f>
        <v>270</v>
      </c>
      <c r="M851" s="189">
        <f>IFERROR(__xludf.DUMMYFUNCTION("""COMPUTED_VALUE"""),299.0)</f>
        <v>299</v>
      </c>
      <c r="N851" s="189">
        <f>IFERROR(__xludf.DUMMYFUNCTION("""COMPUTED_VALUE"""),290.0)</f>
        <v>290</v>
      </c>
      <c r="O851" s="189">
        <f>IFERROR(__xludf.DUMMYFUNCTION("""COMPUTED_VALUE"""),303.0)</f>
        <v>303</v>
      </c>
      <c r="P851" s="189">
        <f>IFERROR(__xludf.DUMMYFUNCTION("""COMPUTED_VALUE"""),315.0)</f>
        <v>315</v>
      </c>
      <c r="Q851" s="189">
        <f>IFERROR(__xludf.DUMMYFUNCTION("""COMPUTED_VALUE"""),287.0)</f>
        <v>287</v>
      </c>
      <c r="R851" s="186"/>
      <c r="S851" s="189">
        <f>IFERROR(__xludf.DUMMYFUNCTION("""COMPUTED_VALUE"""),262.0)</f>
        <v>262</v>
      </c>
    </row>
    <row r="852">
      <c r="A852" s="186" t="str">
        <f>IFERROR(__xludf.DUMMYFUNCTION("""COMPUTED_VALUE"""),"NORDICS")</f>
        <v>NORDICS</v>
      </c>
      <c r="B852" s="186" t="str">
        <f>IFERROR(__xludf.DUMMYFUNCTION("""COMPUTED_VALUE"""),"W15")</f>
        <v>W15</v>
      </c>
      <c r="C852" s="186">
        <f>IFERROR(__xludf.DUMMYFUNCTION("""COMPUTED_VALUE"""),610.0)</f>
        <v>610</v>
      </c>
      <c r="D852" s="186" t="str">
        <f>IFERROR(__xludf.DUMMYFUNCTION("""COMPUTED_VALUE"""),"CON-00-147818-2")</f>
        <v>CON-00-147818-2</v>
      </c>
      <c r="E852" s="186" t="str">
        <f>IFERROR(__xludf.DUMMYFUNCTION("""COMPUTED_VALUE"""),"Mexican style corn cake")</f>
        <v>Mexican style corn cake</v>
      </c>
      <c r="F852" s="186" t="str">
        <f>IFERROR(__xludf.DUMMYFUNCTION("""COMPUTED_VALUE"""),"Mexicansk-inspireret majskage")</f>
        <v>Mexicansk-inspireret majskage</v>
      </c>
      <c r="G852" s="186" t="str">
        <f>IFERROR(__xludf.DUMMYFUNCTION("""COMPUTED_VALUE"""),"FE0121C")</f>
        <v>FE0121C</v>
      </c>
      <c r="H852" s="186">
        <f>IFERROR(__xludf.DUMMYFUNCTION("""COMPUTED_VALUE"""),565023.0)</f>
        <v>565023</v>
      </c>
      <c r="I852" s="186" t="str">
        <f>IFERROR(__xludf.DUMMYFUNCTION("""COMPUTED_VALUE"""),"HF Mex.stijl maiscake")</f>
        <v>HF Mex.stijl maiscake</v>
      </c>
      <c r="J852" s="189">
        <f>IFERROR(__xludf.DUMMYFUNCTION("""COMPUTED_VALUE"""),191.0)</f>
        <v>191</v>
      </c>
      <c r="K852" s="189">
        <f>IFERROR(__xludf.DUMMYFUNCTION("""COMPUTED_VALUE"""),191.0)</f>
        <v>191</v>
      </c>
      <c r="L852" s="189">
        <f>IFERROR(__xludf.DUMMYFUNCTION("""COMPUTED_VALUE"""),298.0)</f>
        <v>298</v>
      </c>
      <c r="M852" s="189">
        <f>IFERROR(__xludf.DUMMYFUNCTION("""COMPUTED_VALUE"""),211.0)</f>
        <v>211</v>
      </c>
      <c r="N852" s="189">
        <f>IFERROR(__xludf.DUMMYFUNCTION("""COMPUTED_VALUE"""),210.0)</f>
        <v>210</v>
      </c>
      <c r="O852" s="189">
        <f>IFERROR(__xludf.DUMMYFUNCTION("""COMPUTED_VALUE"""),237.0)</f>
        <v>237</v>
      </c>
      <c r="P852" s="189">
        <f>IFERROR(__xludf.DUMMYFUNCTION("""COMPUTED_VALUE"""),249.0)</f>
        <v>249</v>
      </c>
      <c r="Q852" s="189">
        <f>IFERROR(__xludf.DUMMYFUNCTION("""COMPUTED_VALUE"""),247.0)</f>
        <v>247</v>
      </c>
      <c r="R852" s="186"/>
      <c r="S852" s="189">
        <f>IFERROR(__xludf.DUMMYFUNCTION("""COMPUTED_VALUE"""),250.0)</f>
        <v>250</v>
      </c>
    </row>
    <row r="853">
      <c r="A853" s="186" t="str">
        <f>IFERROR(__xludf.DUMMYFUNCTION("""COMPUTED_VALUE"""),"NORDICS")</f>
        <v>NORDICS</v>
      </c>
      <c r="B853" s="186" t="str">
        <f>IFERROR(__xludf.DUMMYFUNCTION("""COMPUTED_VALUE"""),"W15")</f>
        <v>W15</v>
      </c>
      <c r="C853" s="186">
        <f>IFERROR(__xludf.DUMMYFUNCTION("""COMPUTED_VALUE"""),611.0)</f>
        <v>611</v>
      </c>
      <c r="D853" s="186" t="str">
        <f>IFERROR(__xludf.DUMMYFUNCTION("""COMPUTED_VALUE"""),"CON-00-147861-2")</f>
        <v>CON-00-147861-2</v>
      </c>
      <c r="E853" s="186" t="str">
        <f>IFERROR(__xludf.DUMMYFUNCTION("""COMPUTED_VALUE"""),"Pork tenderloin with apple-mustard sauce")</f>
        <v>Pork tenderloin with apple-mustard sauce</v>
      </c>
      <c r="F853" s="186" t="str">
        <f>IFERROR(__xludf.DUMMYFUNCTION("""COMPUTED_VALUE"""),"Svinemørbrad med æble-sennepssauce ")</f>
        <v>Svinemørbrad med æble-sennepssauce </v>
      </c>
      <c r="G853" s="186" t="str">
        <f>IFERROR(__xludf.DUMMYFUNCTION("""COMPUTED_VALUE"""),"FE0890C")</f>
        <v>FE0890C</v>
      </c>
      <c r="H853" s="186">
        <f>IFERROR(__xludf.DUMMYFUNCTION("""COMPUTED_VALUE"""),565304.0)</f>
        <v>565304</v>
      </c>
      <c r="I853" s="186" t="str">
        <f>IFERROR(__xludf.DUMMYFUNCTION("""COMPUTED_VALUE"""),"HF RW Varkenshaas appel moster")</f>
        <v>HF RW Varkenshaas appel moster</v>
      </c>
      <c r="J853" s="189">
        <f>IFERROR(__xludf.DUMMYFUNCTION("""COMPUTED_VALUE"""),395.0)</f>
        <v>395</v>
      </c>
      <c r="K853" s="189">
        <f>IFERROR(__xludf.DUMMYFUNCTION("""COMPUTED_VALUE"""),394.0)</f>
        <v>394</v>
      </c>
      <c r="L853" s="189">
        <f>IFERROR(__xludf.DUMMYFUNCTION("""COMPUTED_VALUE"""),468.0)</f>
        <v>468</v>
      </c>
      <c r="M853" s="189">
        <f>IFERROR(__xludf.DUMMYFUNCTION("""COMPUTED_VALUE"""),380.0)</f>
        <v>380</v>
      </c>
      <c r="N853" s="189">
        <f>IFERROR(__xludf.DUMMYFUNCTION("""COMPUTED_VALUE"""),366.0)</f>
        <v>366</v>
      </c>
      <c r="O853" s="189">
        <f>IFERROR(__xludf.DUMMYFUNCTION("""COMPUTED_VALUE"""),396.0)</f>
        <v>396</v>
      </c>
      <c r="P853" s="189">
        <f>IFERROR(__xludf.DUMMYFUNCTION("""COMPUTED_VALUE"""),408.0)</f>
        <v>408</v>
      </c>
      <c r="Q853" s="189">
        <f>IFERROR(__xludf.DUMMYFUNCTION("""COMPUTED_VALUE"""),471.0)</f>
        <v>471</v>
      </c>
      <c r="R853" s="186"/>
      <c r="S853" s="189">
        <f>IFERROR(__xludf.DUMMYFUNCTION("""COMPUTED_VALUE"""),482.0)</f>
        <v>482</v>
      </c>
    </row>
    <row r="854">
      <c r="A854" s="186" t="str">
        <f>IFERROR(__xludf.DUMMYFUNCTION("""COMPUTED_VALUE"""),"NORDICS")</f>
        <v>NORDICS</v>
      </c>
      <c r="B854" s="186" t="str">
        <f>IFERROR(__xludf.DUMMYFUNCTION("""COMPUTED_VALUE"""),"W15")</f>
        <v>W15</v>
      </c>
      <c r="C854" s="186">
        <f>IFERROR(__xludf.DUMMYFUNCTION("""COMPUTED_VALUE"""),612.0)</f>
        <v>612</v>
      </c>
      <c r="D854" s="186" t="str">
        <f>IFERROR(__xludf.DUMMYFUNCTION("""COMPUTED_VALUE"""),"CON-00-151098-2")</f>
        <v>CON-00-151098-2</v>
      </c>
      <c r="E854" s="186" t="str">
        <f>IFERROR(__xludf.DUMMYFUNCTION("""COMPUTED_VALUE"""),"Roasted Salmon &amp; Dill Yogurt")</f>
        <v>Roasted Salmon &amp; Dill Yogurt</v>
      </c>
      <c r="F854" s="186" t="str">
        <f>IFERROR(__xludf.DUMMYFUNCTION("""COMPUTED_VALUE"""),"Ovnbagt laks med dild-yoghurtsauce")</f>
        <v>Ovnbagt laks med dild-yoghurtsauce</v>
      </c>
      <c r="G854" s="186" t="str">
        <f>IFERROR(__xludf.DUMMYFUNCTION("""COMPUTED_VALUE"""),"FE1145B")</f>
        <v>FE1145B</v>
      </c>
      <c r="H854" s="186">
        <f>IFERROR(__xludf.DUMMYFUNCTION("""COMPUTED_VALUE"""),565206.0)</f>
        <v>565206</v>
      </c>
      <c r="I854" s="186" t="str">
        <f>IFERROR(__xludf.DUMMYFUNCTION("""COMPUTED_VALUE"""),"HF Zalm citroen dille yoghurt")</f>
        <v>HF Zalm citroen dille yoghurt</v>
      </c>
      <c r="J854" s="189">
        <f>IFERROR(__xludf.DUMMYFUNCTION("""COMPUTED_VALUE"""),1705.0)</f>
        <v>1705</v>
      </c>
      <c r="K854" s="189">
        <f>IFERROR(__xludf.DUMMYFUNCTION("""COMPUTED_VALUE"""),1701.0)</f>
        <v>1701</v>
      </c>
      <c r="L854" s="189">
        <f>IFERROR(__xludf.DUMMYFUNCTION("""COMPUTED_VALUE"""),1447.0)</f>
        <v>1447</v>
      </c>
      <c r="M854" s="189">
        <f>IFERROR(__xludf.DUMMYFUNCTION("""COMPUTED_VALUE"""),1370.0)</f>
        <v>1370</v>
      </c>
      <c r="N854" s="189">
        <f>IFERROR(__xludf.DUMMYFUNCTION("""COMPUTED_VALUE"""),1358.0)</f>
        <v>1358</v>
      </c>
      <c r="O854" s="189">
        <f>IFERROR(__xludf.DUMMYFUNCTION("""COMPUTED_VALUE"""),1360.0)</f>
        <v>1360</v>
      </c>
      <c r="P854" s="189">
        <f>IFERROR(__xludf.DUMMYFUNCTION("""COMPUTED_VALUE"""),1372.0)</f>
        <v>1372</v>
      </c>
      <c r="Q854" s="189">
        <f>IFERROR(__xludf.DUMMYFUNCTION("""COMPUTED_VALUE"""),1431.0)</f>
        <v>1431</v>
      </c>
      <c r="R854" s="186"/>
      <c r="S854" s="189">
        <f>IFERROR(__xludf.DUMMYFUNCTION("""COMPUTED_VALUE"""),1526.0)</f>
        <v>1526</v>
      </c>
    </row>
    <row r="855">
      <c r="A855" s="186" t="str">
        <f>IFERROR(__xludf.DUMMYFUNCTION("""COMPUTED_VALUE"""),"NORDICS")</f>
        <v>NORDICS</v>
      </c>
      <c r="B855" s="186" t="str">
        <f>IFERROR(__xludf.DUMMYFUNCTION("""COMPUTED_VALUE"""),"W15")</f>
        <v>W15</v>
      </c>
      <c r="C855" s="186">
        <f>IFERROR(__xludf.DUMMYFUNCTION("""COMPUTED_VALUE"""),613.0)</f>
        <v>613</v>
      </c>
      <c r="D855" s="186" t="str">
        <f>IFERROR(__xludf.DUMMYFUNCTION("""COMPUTED_VALUE"""),"CON-00-168124-2")</f>
        <v>CON-00-168124-2</v>
      </c>
      <c r="E855" s="186" t="str">
        <f>IFERROR(__xludf.DUMMYFUNCTION("""COMPUTED_VALUE"""),"Chicken &amp; Mushroom Gravy")</f>
        <v>Chicken &amp; Mushroom Gravy</v>
      </c>
      <c r="F855" s="186" t="str">
        <f>IFERROR(__xludf.DUMMYFUNCTION("""COMPUTED_VALUE"""),"Kylling i svampesauce")</f>
        <v>Kylling i svampesauce</v>
      </c>
      <c r="G855" s="186" t="str">
        <f>IFERROR(__xludf.DUMMYFUNCTION("""COMPUTED_VALUE"""),"FE4088A")</f>
        <v>FE4088A</v>
      </c>
      <c r="H855" s="186">
        <f>IFERROR(__xludf.DUMMYFUNCTION("""COMPUTED_VALUE"""),565275.0)</f>
        <v>565275</v>
      </c>
      <c r="I855" s="186" t="str">
        <f>IFERROR(__xludf.DUMMYFUNCTION("""COMPUTED_VALUE"""),"HF Salie kip en mushroom gravy")</f>
        <v>HF Salie kip en mushroom gravy</v>
      </c>
      <c r="J855" s="189">
        <f>IFERROR(__xludf.DUMMYFUNCTION("""COMPUTED_VALUE"""),1739.0)</f>
        <v>1739</v>
      </c>
      <c r="K855" s="189">
        <f>IFERROR(__xludf.DUMMYFUNCTION("""COMPUTED_VALUE"""),1735.0)</f>
        <v>1735</v>
      </c>
      <c r="L855" s="189">
        <f>IFERROR(__xludf.DUMMYFUNCTION("""COMPUTED_VALUE"""),2583.0)</f>
        <v>2583</v>
      </c>
      <c r="M855" s="189">
        <f>IFERROR(__xludf.DUMMYFUNCTION("""COMPUTED_VALUE"""),2196.0)</f>
        <v>2196</v>
      </c>
      <c r="N855" s="189">
        <f>IFERROR(__xludf.DUMMYFUNCTION("""COMPUTED_VALUE"""),2159.0)</f>
        <v>2159</v>
      </c>
      <c r="O855" s="189">
        <f>IFERROR(__xludf.DUMMYFUNCTION("""COMPUTED_VALUE"""),2231.0)</f>
        <v>2231</v>
      </c>
      <c r="P855" s="189">
        <f>IFERROR(__xludf.DUMMYFUNCTION("""COMPUTED_VALUE"""),2243.0)</f>
        <v>2243</v>
      </c>
      <c r="Q855" s="189">
        <f>IFERROR(__xludf.DUMMYFUNCTION("""COMPUTED_VALUE"""),2197.0)</f>
        <v>2197</v>
      </c>
      <c r="R855" s="186"/>
      <c r="S855" s="189">
        <f>IFERROR(__xludf.DUMMYFUNCTION("""COMPUTED_VALUE"""),2326.0)</f>
        <v>2326</v>
      </c>
    </row>
    <row r="856">
      <c r="A856" s="186" t="str">
        <f>IFERROR(__xludf.DUMMYFUNCTION("""COMPUTED_VALUE"""),"NORDICS")</f>
        <v>NORDICS</v>
      </c>
      <c r="B856" s="186" t="str">
        <f>IFERROR(__xludf.DUMMYFUNCTION("""COMPUTED_VALUE"""),"W15")</f>
        <v>W15</v>
      </c>
      <c r="C856" s="186">
        <f>IFERROR(__xludf.DUMMYFUNCTION("""COMPUTED_VALUE"""),614.0)</f>
        <v>614</v>
      </c>
      <c r="D856" s="186" t="str">
        <f>IFERROR(__xludf.DUMMYFUNCTION("""COMPUTED_VALUE"""),"CON-00-152026-2")</f>
        <v>CON-00-152026-2</v>
      </c>
      <c r="E856" s="186" t="str">
        <f>IFERROR(__xludf.DUMMYFUNCTION("""COMPUTED_VALUE"""),"Ginger Garlic Grilled Chicken")</f>
        <v>Ginger Garlic Grilled Chicken</v>
      </c>
      <c r="F856" s="186" t="str">
        <f>IFERROR(__xludf.DUMMYFUNCTION("""COMPUTED_VALUE"""),"Grillet kylling med ingefær og hvidløg")</f>
        <v>Grillet kylling med ingefær og hvidløg</v>
      </c>
      <c r="G856" s="186" t="str">
        <f>IFERROR(__xludf.DUMMYFUNCTION("""COMPUTED_VALUE"""),"FE4064A")</f>
        <v>FE4064A</v>
      </c>
      <c r="H856" s="186">
        <f>IFERROR(__xludf.DUMMYFUNCTION("""COMPUTED_VALUE"""),565211.0)</f>
        <v>565211</v>
      </c>
      <c r="I856" s="186" t="str">
        <f>IFERROR(__xludf.DUMMYFUNCTION("""COMPUTED_VALUE"""),"HF Gember knoflook kip")</f>
        <v>HF Gember knoflook kip</v>
      </c>
      <c r="J856" s="189">
        <f>IFERROR(__xludf.DUMMYFUNCTION("""COMPUTED_VALUE"""),690.0)</f>
        <v>690</v>
      </c>
      <c r="K856" s="189">
        <f>IFERROR(__xludf.DUMMYFUNCTION("""COMPUTED_VALUE"""),688.0)</f>
        <v>688</v>
      </c>
      <c r="L856" s="189">
        <f>IFERROR(__xludf.DUMMYFUNCTION("""COMPUTED_VALUE"""),505.0)</f>
        <v>505</v>
      </c>
      <c r="M856" s="189">
        <f>IFERROR(__xludf.DUMMYFUNCTION("""COMPUTED_VALUE"""),419.0)</f>
        <v>419</v>
      </c>
      <c r="N856" s="189">
        <f>IFERROR(__xludf.DUMMYFUNCTION("""COMPUTED_VALUE"""),429.0)</f>
        <v>429</v>
      </c>
      <c r="O856" s="189">
        <f>IFERROR(__xludf.DUMMYFUNCTION("""COMPUTED_VALUE"""),443.0)</f>
        <v>443</v>
      </c>
      <c r="P856" s="189">
        <f>IFERROR(__xludf.DUMMYFUNCTION("""COMPUTED_VALUE"""),455.0)</f>
        <v>455</v>
      </c>
      <c r="Q856" s="189">
        <f>IFERROR(__xludf.DUMMYFUNCTION("""COMPUTED_VALUE"""),479.0)</f>
        <v>479</v>
      </c>
      <c r="R856" s="186"/>
      <c r="S856" s="189">
        <f>IFERROR(__xludf.DUMMYFUNCTION("""COMPUTED_VALUE"""),478.0)</f>
        <v>478</v>
      </c>
    </row>
    <row r="857">
      <c r="A857" s="186" t="str">
        <f>IFERROR(__xludf.DUMMYFUNCTION("""COMPUTED_VALUE"""),"NORDICS")</f>
        <v>NORDICS</v>
      </c>
      <c r="B857" s="186" t="str">
        <f>IFERROR(__xludf.DUMMYFUNCTION("""COMPUTED_VALUE"""),"W15")</f>
        <v>W15</v>
      </c>
      <c r="C857" s="186">
        <f>IFERROR(__xludf.DUMMYFUNCTION("""COMPUTED_VALUE"""),615.0)</f>
        <v>615</v>
      </c>
      <c r="D857" s="186" t="str">
        <f>IFERROR(__xludf.DUMMYFUNCTION("""COMPUTED_VALUE"""),"CON-00-147857-2")</f>
        <v>CON-00-147857-2</v>
      </c>
      <c r="E857" s="186" t="str">
        <f>IFERROR(__xludf.DUMMYFUNCTION("""COMPUTED_VALUE"""),"Spicy ground beef with jalapenos")</f>
        <v>Spicy ground beef with jalapenos</v>
      </c>
      <c r="F857" s="186" t="str">
        <f>IFERROR(__xludf.DUMMYFUNCTION("""COMPUTED_VALUE"""),"Krydret hakket oksekød med jalapenos")</f>
        <v>Krydret hakket oksekød med jalapenos</v>
      </c>
      <c r="G857" s="186" t="str">
        <f>IFERROR(__xludf.DUMMYFUNCTION("""COMPUTED_VALUE"""),"FE0746A")</f>
        <v>FE0746A</v>
      </c>
      <c r="H857" s="186">
        <f>IFERROR(__xludf.DUMMYFUNCTION("""COMPUTED_VALUE"""),565091.0)</f>
        <v>565091</v>
      </c>
      <c r="I857" s="186" t="str">
        <f>IFERROR(__xludf.DUMMYFUNCTION("""COMPUTED_VALUE"""),"HF Beef burrito bowl")</f>
        <v>HF Beef burrito bowl</v>
      </c>
      <c r="J857" s="189">
        <f>IFERROR(__xludf.DUMMYFUNCTION("""COMPUTED_VALUE"""),703.0)</f>
        <v>703</v>
      </c>
      <c r="K857" s="189">
        <f>IFERROR(__xludf.DUMMYFUNCTION("""COMPUTED_VALUE"""),701.0)</f>
        <v>701</v>
      </c>
      <c r="L857" s="189">
        <f>IFERROR(__xludf.DUMMYFUNCTION("""COMPUTED_VALUE"""),555.0)</f>
        <v>555</v>
      </c>
      <c r="M857" s="189">
        <f>IFERROR(__xludf.DUMMYFUNCTION("""COMPUTED_VALUE"""),624.0)</f>
        <v>624</v>
      </c>
      <c r="N857" s="189">
        <f>IFERROR(__xludf.DUMMYFUNCTION("""COMPUTED_VALUE"""),611.0)</f>
        <v>611</v>
      </c>
      <c r="O857" s="189">
        <f>IFERROR(__xludf.DUMMYFUNCTION("""COMPUTED_VALUE"""),632.0)</f>
        <v>632</v>
      </c>
      <c r="P857" s="189">
        <f>IFERROR(__xludf.DUMMYFUNCTION("""COMPUTED_VALUE"""),644.0)</f>
        <v>644</v>
      </c>
      <c r="Q857" s="189">
        <f>IFERROR(__xludf.DUMMYFUNCTION("""COMPUTED_VALUE"""),663.0)</f>
        <v>663</v>
      </c>
      <c r="R857" s="186"/>
      <c r="S857" s="189">
        <f>IFERROR(__xludf.DUMMYFUNCTION("""COMPUTED_VALUE"""),633.0)</f>
        <v>633</v>
      </c>
    </row>
    <row r="858">
      <c r="A858" s="186" t="str">
        <f>IFERROR(__xludf.DUMMYFUNCTION("""COMPUTED_VALUE"""),"NORDICS")</f>
        <v>NORDICS</v>
      </c>
      <c r="B858" s="186" t="str">
        <f>IFERROR(__xludf.DUMMYFUNCTION("""COMPUTED_VALUE"""),"W15")</f>
        <v>W15</v>
      </c>
      <c r="C858" s="186">
        <f>IFERROR(__xludf.DUMMYFUNCTION("""COMPUTED_VALUE"""),616.0)</f>
        <v>616</v>
      </c>
      <c r="D858" s="186" t="str">
        <f>IFERROR(__xludf.DUMMYFUNCTION("""COMPUTED_VALUE"""),"CON-00-168128-2")</f>
        <v>CON-00-168128-2</v>
      </c>
      <c r="E858" s="186" t="str">
        <f>IFERROR(__xludf.DUMMYFUNCTION("""COMPUTED_VALUE"""),"Tomato Escabeche Grilled Chicken")</f>
        <v>Tomato Escabeche Grilled Chicken</v>
      </c>
      <c r="F858" s="186" t="str">
        <f>IFERROR(__xludf.DUMMYFUNCTION("""COMPUTED_VALUE"""),"Grilled kylling med tomat-eecabeche ")</f>
        <v>Grilled kylling med tomat-eecabeche </v>
      </c>
      <c r="G858" s="186" t="str">
        <f>IFERROR(__xludf.DUMMYFUNCTION("""COMPUTED_VALUE"""),"FE1787A")</f>
        <v>FE1787A</v>
      </c>
      <c r="H858" s="186">
        <f>IFERROR(__xludf.DUMMYFUNCTION("""COMPUTED_VALUE"""),565266.0)</f>
        <v>565266</v>
      </c>
      <c r="I858" s="186" t="str">
        <f>IFERROR(__xludf.DUMMYFUNCTION("""COMPUTED_VALUE"""),"HF Kipfilet tomaat escabeche")</f>
        <v>HF Kipfilet tomaat escabeche</v>
      </c>
      <c r="J858" s="189">
        <f>IFERROR(__xludf.DUMMYFUNCTION("""COMPUTED_VALUE"""),432.0)</f>
        <v>432</v>
      </c>
      <c r="K858" s="189">
        <f>IFERROR(__xludf.DUMMYFUNCTION("""COMPUTED_VALUE"""),431.0)</f>
        <v>431</v>
      </c>
      <c r="L858" s="189">
        <f>IFERROR(__xludf.DUMMYFUNCTION("""COMPUTED_VALUE"""),905.0)</f>
        <v>905</v>
      </c>
      <c r="M858" s="189">
        <f>IFERROR(__xludf.DUMMYFUNCTION("""COMPUTED_VALUE"""),622.0)</f>
        <v>622</v>
      </c>
      <c r="N858" s="189">
        <f>IFERROR(__xludf.DUMMYFUNCTION("""COMPUTED_VALUE"""),559.0)</f>
        <v>559</v>
      </c>
      <c r="O858" s="189">
        <f>IFERROR(__xludf.DUMMYFUNCTION("""COMPUTED_VALUE"""),550.0)</f>
        <v>550</v>
      </c>
      <c r="P858" s="189">
        <f>IFERROR(__xludf.DUMMYFUNCTION("""COMPUTED_VALUE"""),562.0)</f>
        <v>562</v>
      </c>
      <c r="Q858" s="189">
        <f>IFERROR(__xludf.DUMMYFUNCTION("""COMPUTED_VALUE"""),516.0)</f>
        <v>516</v>
      </c>
      <c r="R858" s="186"/>
      <c r="S858" s="189">
        <f>IFERROR(__xludf.DUMMYFUNCTION("""COMPUTED_VALUE"""),462.0)</f>
        <v>462</v>
      </c>
    </row>
    <row r="859">
      <c r="A859" s="186" t="str">
        <f>IFERROR(__xludf.DUMMYFUNCTION("""COMPUTED_VALUE"""),"NORDICS")</f>
        <v>NORDICS</v>
      </c>
      <c r="B859" s="186" t="str">
        <f>IFERROR(__xludf.DUMMYFUNCTION("""COMPUTED_VALUE"""),"W15")</f>
        <v>W15</v>
      </c>
      <c r="C859" s="186">
        <f>IFERROR(__xludf.DUMMYFUNCTION("""COMPUTED_VALUE"""),617.0)</f>
        <v>617</v>
      </c>
      <c r="D859" s="186" t="str">
        <f>IFERROR(__xludf.DUMMYFUNCTION("""COMPUTED_VALUE"""),"CON-00-147870-2")</f>
        <v>CON-00-147870-2</v>
      </c>
      <c r="E859" s="186" t="str">
        <f>IFERROR(__xludf.DUMMYFUNCTION("""COMPUTED_VALUE"""),"Pork tenderloin in sundried tomato sauce")</f>
        <v>Pork tenderloin in sundried tomato sauce</v>
      </c>
      <c r="F859" s="186" t="str">
        <f>IFERROR(__xludf.DUMMYFUNCTION("""COMPUTED_VALUE"""),"Svinemørbrad i soltørret tomatsauce")</f>
        <v>Svinemørbrad i soltørret tomatsauce</v>
      </c>
      <c r="G859" s="186" t="str">
        <f>IFERROR(__xludf.DUMMYFUNCTION("""COMPUTED_VALUE"""),"FE4006A")</f>
        <v>FE4006A</v>
      </c>
      <c r="H859" s="186">
        <f>IFERROR(__xludf.DUMMYFUNCTION("""COMPUTED_VALUE"""),565063.0)</f>
        <v>565063</v>
      </c>
      <c r="I859" s="186" t="str">
        <f>IFERROR(__xludf.DUMMYFUNCTION("""COMPUTED_VALUE"""),"HF Varkenshaas met tomatensaus 384g")</f>
        <v>HF Varkenshaas met tomatensaus 384g</v>
      </c>
      <c r="J859" s="189">
        <f>IFERROR(__xludf.DUMMYFUNCTION("""COMPUTED_VALUE"""),929.0)</f>
        <v>929</v>
      </c>
      <c r="K859" s="189">
        <f>IFERROR(__xludf.DUMMYFUNCTION("""COMPUTED_VALUE"""),927.0)</f>
        <v>927</v>
      </c>
      <c r="L859" s="189">
        <f>IFERROR(__xludf.DUMMYFUNCTION("""COMPUTED_VALUE"""),994.0)</f>
        <v>994</v>
      </c>
      <c r="M859" s="189">
        <f>IFERROR(__xludf.DUMMYFUNCTION("""COMPUTED_VALUE"""),948.0)</f>
        <v>948</v>
      </c>
      <c r="N859" s="189">
        <f>IFERROR(__xludf.DUMMYFUNCTION("""COMPUTED_VALUE"""),961.0)</f>
        <v>961</v>
      </c>
      <c r="O859" s="189">
        <f>IFERROR(__xludf.DUMMYFUNCTION("""COMPUTED_VALUE"""),976.0)</f>
        <v>976</v>
      </c>
      <c r="P859" s="189">
        <f>IFERROR(__xludf.DUMMYFUNCTION("""COMPUTED_VALUE"""),988.0)</f>
        <v>988</v>
      </c>
      <c r="Q859" s="189">
        <f>IFERROR(__xludf.DUMMYFUNCTION("""COMPUTED_VALUE"""),1032.0)</f>
        <v>1032</v>
      </c>
      <c r="R859" s="186"/>
      <c r="S859" s="189">
        <f>IFERROR(__xludf.DUMMYFUNCTION("""COMPUTED_VALUE"""),1082.0)</f>
        <v>1082</v>
      </c>
    </row>
    <row r="860">
      <c r="A860" s="186" t="str">
        <f>IFERROR(__xludf.DUMMYFUNCTION("""COMPUTED_VALUE"""),"NORDICS")</f>
        <v>NORDICS</v>
      </c>
      <c r="B860" s="186" t="str">
        <f>IFERROR(__xludf.DUMMYFUNCTION("""COMPUTED_VALUE"""),"W15")</f>
        <v>W15</v>
      </c>
      <c r="C860" s="186">
        <f>IFERROR(__xludf.DUMMYFUNCTION("""COMPUTED_VALUE"""),618.0)</f>
        <v>618</v>
      </c>
      <c r="D860" s="186" t="str">
        <f>IFERROR(__xludf.DUMMYFUNCTION("""COMPUTED_VALUE"""),"CON-00-147901-2")</f>
        <v>CON-00-147901-2</v>
      </c>
      <c r="E860" s="186" t="str">
        <f>IFERROR(__xludf.DUMMYFUNCTION("""COMPUTED_VALUE"""),"Red chile pulled pork")</f>
        <v>Red chile pulled pork</v>
      </c>
      <c r="F860" s="186" t="str">
        <f>IFERROR(__xludf.DUMMYFUNCTION("""COMPUTED_VALUE"""),"Chilikryddet pulled pork")</f>
        <v>Chilikryddet pulled pork</v>
      </c>
      <c r="G860" s="186" t="str">
        <f>IFERROR(__xludf.DUMMYFUNCTION("""COMPUTED_VALUE"""),"FE4049B")</f>
        <v>FE4049B</v>
      </c>
      <c r="H860" s="186">
        <f>IFERROR(__xludf.DUMMYFUNCTION("""COMPUTED_VALUE"""),565130.0)</f>
        <v>565130</v>
      </c>
      <c r="I860" s="186" t="str">
        <f>IFERROR(__xludf.DUMMYFUNCTION("""COMPUTED_VALUE"""),"HF Rode Chili &amp; Pulled Pork")</f>
        <v>HF Rode Chili &amp; Pulled Pork</v>
      </c>
      <c r="J860" s="189">
        <f>IFERROR(__xludf.DUMMYFUNCTION("""COMPUTED_VALUE"""),598.0)</f>
        <v>598</v>
      </c>
      <c r="K860" s="189">
        <f>IFERROR(__xludf.DUMMYFUNCTION("""COMPUTED_VALUE"""),597.0)</f>
        <v>597</v>
      </c>
      <c r="L860" s="189">
        <f>IFERROR(__xludf.DUMMYFUNCTION("""COMPUTED_VALUE"""),970.0)</f>
        <v>970</v>
      </c>
      <c r="M860" s="189">
        <f>IFERROR(__xludf.DUMMYFUNCTION("""COMPUTED_VALUE"""),705.0)</f>
        <v>705</v>
      </c>
      <c r="N860" s="189">
        <f>IFERROR(__xludf.DUMMYFUNCTION("""COMPUTED_VALUE"""),702.0)</f>
        <v>702</v>
      </c>
      <c r="O860" s="189">
        <f>IFERROR(__xludf.DUMMYFUNCTION("""COMPUTED_VALUE"""),688.0)</f>
        <v>688</v>
      </c>
      <c r="P860" s="189">
        <f>IFERROR(__xludf.DUMMYFUNCTION("""COMPUTED_VALUE"""),700.0)</f>
        <v>700</v>
      </c>
      <c r="Q860" s="189">
        <f>IFERROR(__xludf.DUMMYFUNCTION("""COMPUTED_VALUE"""),709.0)</f>
        <v>709</v>
      </c>
      <c r="R860" s="186"/>
      <c r="S860" s="189">
        <f>IFERROR(__xludf.DUMMYFUNCTION("""COMPUTED_VALUE"""),736.0)</f>
        <v>736</v>
      </c>
    </row>
    <row r="861">
      <c r="A861" s="186" t="str">
        <f>IFERROR(__xludf.DUMMYFUNCTION("""COMPUTED_VALUE"""),"NORDICS")</f>
        <v>NORDICS</v>
      </c>
      <c r="B861" s="186" t="str">
        <f>IFERROR(__xludf.DUMMYFUNCTION("""COMPUTED_VALUE"""),"W15")</f>
        <v>W15</v>
      </c>
      <c r="C861" s="186">
        <f>IFERROR(__xludf.DUMMYFUNCTION("""COMPUTED_VALUE"""),706.0)</f>
        <v>706</v>
      </c>
      <c r="D861" s="186" t="str">
        <f>IFERROR(__xludf.DUMMYFUNCTION("""COMPUTED_VALUE"""),"PTN-00-148223-2")</f>
        <v>PTN-00-148223-2</v>
      </c>
      <c r="E861" s="186" t="str">
        <f>IFERROR(__xludf.DUMMYFUNCTION("""COMPUTED_VALUE"""),"Garlic Herb Grilled Chicken")</f>
        <v>Garlic Herb Grilled Chicken</v>
      </c>
      <c r="F861" s="186" t="str">
        <f>IFERROR(__xludf.DUMMYFUNCTION("""COMPUTED_VALUE"""),"Grillet kylling med hvidlød og urter")</f>
        <v>Grillet kylling med hvidlød og urter</v>
      </c>
      <c r="G861" s="186" t="str">
        <f>IFERROR(__xludf.DUMMYFUNCTION("""COMPUTED_VALUE"""),"FEA006A")</f>
        <v>FEA006A</v>
      </c>
      <c r="H861" s="186">
        <f>IFERROR(__xludf.DUMMYFUNCTION("""COMPUTED_VALUE"""),565119.0)</f>
        <v>565119</v>
      </c>
      <c r="I861" s="186"/>
      <c r="J861" s="189">
        <f>IFERROR(__xludf.DUMMYFUNCTION("""COMPUTED_VALUE"""),48.0)</f>
        <v>48</v>
      </c>
      <c r="K861" s="189">
        <f>IFERROR(__xludf.DUMMYFUNCTION("""COMPUTED_VALUE"""),48.0)</f>
        <v>48</v>
      </c>
      <c r="L861" s="189">
        <f>IFERROR(__xludf.DUMMYFUNCTION("""COMPUTED_VALUE"""),48.0)</f>
        <v>48</v>
      </c>
      <c r="M861" s="189">
        <f>IFERROR(__xludf.DUMMYFUNCTION("""COMPUTED_VALUE"""),48.0)</f>
        <v>48</v>
      </c>
      <c r="N861" s="189">
        <f>IFERROR(__xludf.DUMMYFUNCTION("""COMPUTED_VALUE"""),48.0)</f>
        <v>48</v>
      </c>
      <c r="O861" s="189">
        <f>IFERROR(__xludf.DUMMYFUNCTION("""COMPUTED_VALUE"""),48.0)</f>
        <v>48</v>
      </c>
      <c r="P861" s="189">
        <f>IFERROR(__xludf.DUMMYFUNCTION("""COMPUTED_VALUE"""),48.0)</f>
        <v>48</v>
      </c>
      <c r="Q861" s="189">
        <f>IFERROR(__xludf.DUMMYFUNCTION("""COMPUTED_VALUE"""),48.0)</f>
        <v>48</v>
      </c>
      <c r="R861" s="186"/>
      <c r="S861" s="189">
        <f>IFERROR(__xludf.DUMMYFUNCTION("""COMPUTED_VALUE"""),44.0)</f>
        <v>44</v>
      </c>
    </row>
    <row r="862">
      <c r="A862" s="186" t="str">
        <f>IFERROR(__xludf.DUMMYFUNCTION("""COMPUTED_VALUE"""),"NORDICS")</f>
        <v>NORDICS</v>
      </c>
      <c r="B862" s="186" t="str">
        <f>IFERROR(__xludf.DUMMYFUNCTION("""COMPUTED_VALUE"""),"W15")</f>
        <v>W15</v>
      </c>
      <c r="C862" s="186"/>
      <c r="D862" s="186"/>
      <c r="E862" s="186"/>
      <c r="F862" s="186"/>
      <c r="G862" s="186"/>
      <c r="H862" s="186"/>
      <c r="I862" s="186"/>
      <c r="J862" s="189">
        <f>IFERROR(__xludf.DUMMYFUNCTION("""COMPUTED_VALUE"""),23380.0)</f>
        <v>23380</v>
      </c>
      <c r="K862" s="189">
        <f>IFERROR(__xludf.DUMMYFUNCTION("""COMPUTED_VALUE"""),23278.0)</f>
        <v>23278</v>
      </c>
      <c r="L862" s="189">
        <f>IFERROR(__xludf.DUMMYFUNCTION("""COMPUTED_VALUE"""),25270.0)</f>
        <v>25270</v>
      </c>
      <c r="M862" s="189">
        <f>IFERROR(__xludf.DUMMYFUNCTION("""COMPUTED_VALUE"""),23349.0)</f>
        <v>23349</v>
      </c>
      <c r="N862" s="189">
        <f>IFERROR(__xludf.DUMMYFUNCTION("""COMPUTED_VALUE"""),23464.0)</f>
        <v>23464</v>
      </c>
      <c r="O862" s="189">
        <f>IFERROR(__xludf.DUMMYFUNCTION("""COMPUTED_VALUE"""),23731.0)</f>
        <v>23731</v>
      </c>
      <c r="P862" s="189">
        <f>IFERROR(__xludf.DUMMYFUNCTION("""COMPUTED_VALUE"""),23947.0)</f>
        <v>23947</v>
      </c>
      <c r="Q862" s="189">
        <f>IFERROR(__xludf.DUMMYFUNCTION("""COMPUTED_VALUE"""),24445.0)</f>
        <v>24445</v>
      </c>
      <c r="R862" s="189">
        <f>IFERROR(__xludf.DUMMYFUNCTION("""COMPUTED_VALUE"""),0.0)</f>
        <v>0</v>
      </c>
      <c r="S862" s="189">
        <f>IFERROR(__xludf.DUMMYFUNCTION("""COMPUTED_VALUE"""),25412.0)</f>
        <v>25412</v>
      </c>
    </row>
    <row r="863">
      <c r="A863" s="186" t="str">
        <f>IFERROR(__xludf.DUMMYFUNCTION("""COMPUTED_VALUE"""),"DE")</f>
        <v>DE</v>
      </c>
      <c r="B863" s="186" t="str">
        <f>IFERROR(__xludf.DUMMYFUNCTION("""COMPUTED_VALUE"""),"W15")</f>
        <v>W15</v>
      </c>
      <c r="C863" s="186">
        <f>IFERROR(__xludf.DUMMYFUNCTION("""COMPUTED_VALUE"""),301.0)</f>
        <v>301</v>
      </c>
      <c r="D863" s="186" t="str">
        <f>IFERROR(__xludf.DUMMYFUNCTION("""COMPUTED_VALUE"""),"CON-00-136620-3")</f>
        <v>CON-00-136620-3</v>
      </c>
      <c r="E863" s="186" t="str">
        <f>IFERROR(__xludf.DUMMYFUNCTION("""COMPUTED_VALUE"""),"Chicken à la Florentine")</f>
        <v>Chicken à la Florentine</v>
      </c>
      <c r="F863" s="186" t="str">
        <f>IFERROR(__xludf.DUMMYFUNCTION("""COMPUTED_VALUE"""),"Hähnchen à la Florentine")</f>
        <v>Hähnchen à la Florentine</v>
      </c>
      <c r="G863" s="186" t="str">
        <f>IFERROR(__xludf.DUMMYFUNCTION("""COMPUTED_VALUE"""),"FE0224D")</f>
        <v>FE0224D</v>
      </c>
      <c r="H863" s="186">
        <f>IFERROR(__xludf.DUMMYFUNCTION("""COMPUTED_VALUE"""),565047.0)</f>
        <v>565047</v>
      </c>
      <c r="I863" s="186" t="str">
        <f>IFERROR(__xludf.DUMMYFUNCTION("""COMPUTED_VALUE"""),"HF Kip á la Florentine")</f>
        <v>HF Kip á la Florentine</v>
      </c>
      <c r="J863" s="189">
        <f>IFERROR(__xludf.DUMMYFUNCTION("""COMPUTED_VALUE"""),2749.0)</f>
        <v>2749</v>
      </c>
      <c r="K863" s="189">
        <f>IFERROR(__xludf.DUMMYFUNCTION("""COMPUTED_VALUE"""),2746.0)</f>
        <v>2746</v>
      </c>
      <c r="L863" s="189">
        <f>IFERROR(__xludf.DUMMYFUNCTION("""COMPUTED_VALUE"""),2648.0)</f>
        <v>2648</v>
      </c>
      <c r="M863" s="189">
        <f>IFERROR(__xludf.DUMMYFUNCTION("""COMPUTED_VALUE"""),2472.0)</f>
        <v>2472</v>
      </c>
      <c r="N863" s="189">
        <f>IFERROR(__xludf.DUMMYFUNCTION("""COMPUTED_VALUE"""),2229.0)</f>
        <v>2229</v>
      </c>
      <c r="O863" s="189">
        <f>IFERROR(__xludf.DUMMYFUNCTION("""COMPUTED_VALUE"""),2258.0)</f>
        <v>2258</v>
      </c>
      <c r="P863" s="189">
        <f>IFERROR(__xludf.DUMMYFUNCTION("""COMPUTED_VALUE"""),2270.0)</f>
        <v>2270</v>
      </c>
      <c r="Q863" s="189">
        <f>IFERROR(__xludf.DUMMYFUNCTION("""COMPUTED_VALUE"""),2377.0)</f>
        <v>2377</v>
      </c>
      <c r="R863" s="186"/>
      <c r="S863" s="189">
        <f>IFERROR(__xludf.DUMMYFUNCTION("""COMPUTED_VALUE"""),2607.0)</f>
        <v>2607</v>
      </c>
    </row>
    <row r="864">
      <c r="A864" s="186" t="str">
        <f>IFERROR(__xludf.DUMMYFUNCTION("""COMPUTED_VALUE"""),"DE")</f>
        <v>DE</v>
      </c>
      <c r="B864" s="186" t="str">
        <f>IFERROR(__xludf.DUMMYFUNCTION("""COMPUTED_VALUE"""),"W15")</f>
        <v>W15</v>
      </c>
      <c r="C864" s="186">
        <f>IFERROR(__xludf.DUMMYFUNCTION("""COMPUTED_VALUE"""),302.0)</f>
        <v>302</v>
      </c>
      <c r="D864" s="186" t="str">
        <f>IFERROR(__xludf.DUMMYFUNCTION("""COMPUTED_VALUE"""),"CON-00-136675-3")</f>
        <v>CON-00-136675-3</v>
      </c>
      <c r="E864" s="186" t="str">
        <f>IFERROR(__xludf.DUMMYFUNCTION("""COMPUTED_VALUE"""),"Creamy basil risotto with chicken")</f>
        <v>Creamy basil risotto with chicken</v>
      </c>
      <c r="F864" s="186" t="str">
        <f>IFERROR(__xludf.DUMMYFUNCTION("""COMPUTED_VALUE"""),"Cremiges Basilikum-Risotto")</f>
        <v>Cremiges Basilikum-Risotto</v>
      </c>
      <c r="G864" s="186" t="str">
        <f>IFERROR(__xludf.DUMMYFUNCTION("""COMPUTED_VALUE"""),"FE4014B")</f>
        <v>FE4014B</v>
      </c>
      <c r="H864" s="186">
        <f>IFERROR(__xludf.DUMMYFUNCTION("""COMPUTED_VALUE"""),565122.0)</f>
        <v>565122</v>
      </c>
      <c r="I864" s="186"/>
      <c r="J864" s="189">
        <f>IFERROR(__xludf.DUMMYFUNCTION("""COMPUTED_VALUE"""),1643.0)</f>
        <v>1643</v>
      </c>
      <c r="K864" s="189">
        <f>IFERROR(__xludf.DUMMYFUNCTION("""COMPUTED_VALUE"""),1673.0)</f>
        <v>1673</v>
      </c>
      <c r="L864" s="189">
        <f>IFERROR(__xludf.DUMMYFUNCTION("""COMPUTED_VALUE"""),1605.0)</f>
        <v>1605</v>
      </c>
      <c r="M864" s="189">
        <f>IFERROR(__xludf.DUMMYFUNCTION("""COMPUTED_VALUE"""),1480.0)</f>
        <v>1480</v>
      </c>
      <c r="N864" s="189">
        <f>IFERROR(__xludf.DUMMYFUNCTION("""COMPUTED_VALUE"""),1353.0)</f>
        <v>1353</v>
      </c>
      <c r="O864" s="189">
        <f>IFERROR(__xludf.DUMMYFUNCTION("""COMPUTED_VALUE"""),1325.0)</f>
        <v>1325</v>
      </c>
      <c r="P864" s="189">
        <f>IFERROR(__xludf.DUMMYFUNCTION("""COMPUTED_VALUE"""),1369.0)</f>
        <v>1369</v>
      </c>
      <c r="Q864" s="189">
        <f>IFERROR(__xludf.DUMMYFUNCTION("""COMPUTED_VALUE"""),1435.0)</f>
        <v>1435</v>
      </c>
      <c r="R864" s="186"/>
      <c r="S864" s="189">
        <f>IFERROR(__xludf.DUMMYFUNCTION("""COMPUTED_VALUE"""),1532.0)</f>
        <v>1532</v>
      </c>
    </row>
    <row r="865">
      <c r="A865" s="186" t="str">
        <f>IFERROR(__xludf.DUMMYFUNCTION("""COMPUTED_VALUE"""),"DE")</f>
        <v>DE</v>
      </c>
      <c r="B865" s="186" t="str">
        <f>IFERROR(__xludf.DUMMYFUNCTION("""COMPUTED_VALUE"""),"W15")</f>
        <v>W15</v>
      </c>
      <c r="C865" s="186">
        <f>IFERROR(__xludf.DUMMYFUNCTION("""COMPUTED_VALUE"""),303.0)</f>
        <v>303</v>
      </c>
      <c r="D865" s="186" t="str">
        <f>IFERROR(__xludf.DUMMYFUNCTION("""COMPUTED_VALUE"""),"CON-00-136657-3")</f>
        <v>CON-00-136657-3</v>
      </c>
      <c r="E865" s="186" t="str">
        <f>IFERROR(__xludf.DUMMYFUNCTION("""COMPUTED_VALUE"""),"Courgette-spaghetti bolognese")</f>
        <v>Courgette-spaghetti bolognese</v>
      </c>
      <c r="F865" s="186" t="str">
        <f>IFERROR(__xludf.DUMMYFUNCTION("""COMPUTED_VALUE"""),"Zucchini-Spaghetti Bolognese")</f>
        <v>Zucchini-Spaghetti Bolognese</v>
      </c>
      <c r="G865" s="186" t="str">
        <f>IFERROR(__xludf.DUMMYFUNCTION("""COMPUTED_VALUE"""),"FE0849B")</f>
        <v>FE0849B</v>
      </c>
      <c r="H865" s="186">
        <f>IFERROR(__xludf.DUMMYFUNCTION("""COMPUTED_VALUE"""),565260.0)</f>
        <v>565260</v>
      </c>
      <c r="I865" s="186" t="str">
        <f>IFERROR(__xludf.DUMMYFUNCTION("""COMPUTED_VALUE"""),"HF RW Courgette-spagh bolognes")</f>
        <v>HF RW Courgette-spagh bolognes</v>
      </c>
      <c r="J865" s="189">
        <f>IFERROR(__xludf.DUMMYFUNCTION("""COMPUTED_VALUE"""),1648.0)</f>
        <v>1648</v>
      </c>
      <c r="K865" s="189">
        <f>IFERROR(__xludf.DUMMYFUNCTION("""COMPUTED_VALUE"""),1646.0)</f>
        <v>1646</v>
      </c>
      <c r="L865" s="189">
        <f>IFERROR(__xludf.DUMMYFUNCTION("""COMPUTED_VALUE"""),1467.0)</f>
        <v>1467</v>
      </c>
      <c r="M865" s="189">
        <f>IFERROR(__xludf.DUMMYFUNCTION("""COMPUTED_VALUE"""),1515.0)</f>
        <v>1515</v>
      </c>
      <c r="N865" s="189">
        <f>IFERROR(__xludf.DUMMYFUNCTION("""COMPUTED_VALUE"""),1335.0)</f>
        <v>1335</v>
      </c>
      <c r="O865" s="189">
        <f>IFERROR(__xludf.DUMMYFUNCTION("""COMPUTED_VALUE"""),1395.0)</f>
        <v>1395</v>
      </c>
      <c r="P865" s="189">
        <f>IFERROR(__xludf.DUMMYFUNCTION("""COMPUTED_VALUE"""),1407.0)</f>
        <v>1407</v>
      </c>
      <c r="Q865" s="189">
        <f>IFERROR(__xludf.DUMMYFUNCTION("""COMPUTED_VALUE"""),1459.0)</f>
        <v>1459</v>
      </c>
      <c r="R865" s="186"/>
      <c r="S865" s="189">
        <f>IFERROR(__xludf.DUMMYFUNCTION("""COMPUTED_VALUE"""),1523.0)</f>
        <v>1523</v>
      </c>
    </row>
    <row r="866">
      <c r="A866" s="186" t="str">
        <f>IFERROR(__xludf.DUMMYFUNCTION("""COMPUTED_VALUE"""),"DE")</f>
        <v>DE</v>
      </c>
      <c r="B866" s="186" t="str">
        <f>IFERROR(__xludf.DUMMYFUNCTION("""COMPUTED_VALUE"""),"W15")</f>
        <v>W15</v>
      </c>
      <c r="C866" s="186">
        <f>IFERROR(__xludf.DUMMYFUNCTION("""COMPUTED_VALUE"""),304.0)</f>
        <v>304</v>
      </c>
      <c r="D866" s="186" t="str">
        <f>IFERROR(__xludf.DUMMYFUNCTION("""COMPUTED_VALUE"""),"CON-00-136693-3")</f>
        <v>CON-00-136693-3</v>
      </c>
      <c r="E866" s="186" t="str">
        <f>IFERROR(__xludf.DUMMYFUNCTION("""COMPUTED_VALUE"""),"Beef &amp; BBQ sauce")</f>
        <v>Beef &amp; BBQ sauce</v>
      </c>
      <c r="F866" s="186" t="str">
        <f>IFERROR(__xludf.DUMMYFUNCTION("""COMPUTED_VALUE"""),"Rindfleisch mit BBQ-Sauce")</f>
        <v>Rindfleisch mit BBQ-Sauce</v>
      </c>
      <c r="G866" s="186" t="str">
        <f>IFERROR(__xludf.DUMMYFUNCTION("""COMPUTED_VALUE"""),"FE4027B")</f>
        <v>FE4027B</v>
      </c>
      <c r="H866" s="186">
        <f>IFERROR(__xludf.DUMMYFUNCTION("""COMPUTED_VALUE"""),565142.0)</f>
        <v>565142</v>
      </c>
      <c r="I866" s="186" t="str">
        <f>IFERROR(__xludf.DUMMYFUNCTION("""COMPUTED_VALUE"""),"HF RW Rundvlees &amp; BBQ saus RW565085 / FE4027A / CS P+")</f>
        <v>HF RW Rundvlees &amp; BBQ saus RW565085 / FE4027A / CS P+</v>
      </c>
      <c r="J866" s="189">
        <f>IFERROR(__xludf.DUMMYFUNCTION("""COMPUTED_VALUE"""),2378.0)</f>
        <v>2378</v>
      </c>
      <c r="K866" s="189">
        <f>IFERROR(__xludf.DUMMYFUNCTION("""COMPUTED_VALUE"""),2375.0)</f>
        <v>2375</v>
      </c>
      <c r="L866" s="189">
        <f>IFERROR(__xludf.DUMMYFUNCTION("""COMPUTED_VALUE"""),1980.0)</f>
        <v>1980</v>
      </c>
      <c r="M866" s="189">
        <f>IFERROR(__xludf.DUMMYFUNCTION("""COMPUTED_VALUE"""),2067.0)</f>
        <v>2067</v>
      </c>
      <c r="N866" s="189">
        <f>IFERROR(__xludf.DUMMYFUNCTION("""COMPUTED_VALUE"""),1841.0)</f>
        <v>1841</v>
      </c>
      <c r="O866" s="189">
        <f>IFERROR(__xludf.DUMMYFUNCTION("""COMPUTED_VALUE"""),1903.0)</f>
        <v>1903</v>
      </c>
      <c r="P866" s="189">
        <f>IFERROR(__xludf.DUMMYFUNCTION("""COMPUTED_VALUE"""),1915.0)</f>
        <v>1915</v>
      </c>
      <c r="Q866" s="189">
        <f>IFERROR(__xludf.DUMMYFUNCTION("""COMPUTED_VALUE"""),2007.0)</f>
        <v>2007</v>
      </c>
      <c r="R866" s="186"/>
      <c r="S866" s="189">
        <f>IFERROR(__xludf.DUMMYFUNCTION("""COMPUTED_VALUE"""),2069.0)</f>
        <v>2069</v>
      </c>
    </row>
    <row r="867">
      <c r="A867" s="186" t="str">
        <f>IFERROR(__xludf.DUMMYFUNCTION("""COMPUTED_VALUE"""),"DE")</f>
        <v>DE</v>
      </c>
      <c r="B867" s="186" t="str">
        <f>IFERROR(__xludf.DUMMYFUNCTION("""COMPUTED_VALUE"""),"W15")</f>
        <v>W15</v>
      </c>
      <c r="C867" s="186">
        <f>IFERROR(__xludf.DUMMYFUNCTION("""COMPUTED_VALUE"""),305.0)</f>
        <v>305</v>
      </c>
      <c r="D867" s="186" t="str">
        <f>IFERROR(__xludf.DUMMYFUNCTION("""COMPUTED_VALUE"""),"CON-00-149480-2")</f>
        <v>CON-00-149480-2</v>
      </c>
      <c r="E867" s="186" t="str">
        <f>IFERROR(__xludf.DUMMYFUNCTION("""COMPUTED_VALUE"""),"Sour Cream &amp; Chive Chicken")</f>
        <v>Sour Cream &amp; Chive Chicken</v>
      </c>
      <c r="F867" s="186" t="str">
        <f>IFERROR(__xludf.DUMMYFUNCTION("""COMPUTED_VALUE"""),"Hähnchen mit Sauerrahm und Schnittlauch")</f>
        <v>Hähnchen mit Sauerrahm und Schnittlauch</v>
      </c>
      <c r="G867" s="186" t="str">
        <f>IFERROR(__xludf.DUMMYFUNCTION("""COMPUTED_VALUE"""),"FE0322O")</f>
        <v>FE0322O</v>
      </c>
      <c r="H867" s="186">
        <f>IFERROR(__xludf.DUMMYFUNCTION("""COMPUTED_VALUE"""),565163.0)</f>
        <v>565163</v>
      </c>
      <c r="I867" s="186" t="str">
        <f>IFERROR(__xludf.DUMMYFUNCTION("""COMPUTED_VALUE"""),"HF Kip bieslook aardappel pure")</f>
        <v>HF Kip bieslook aardappel pure</v>
      </c>
      <c r="J867" s="186"/>
      <c r="K867" s="189">
        <f>IFERROR(__xludf.DUMMYFUNCTION("""COMPUTED_VALUE"""),1496.0)</f>
        <v>1496</v>
      </c>
      <c r="L867" s="189">
        <f>IFERROR(__xludf.DUMMYFUNCTION("""COMPUTED_VALUE"""),1508.0)</f>
        <v>1508</v>
      </c>
      <c r="M867" s="189">
        <f>IFERROR(__xludf.DUMMYFUNCTION("""COMPUTED_VALUE"""),1350.0)</f>
        <v>1350</v>
      </c>
      <c r="N867" s="189">
        <f>IFERROR(__xludf.DUMMYFUNCTION("""COMPUTED_VALUE"""),1235.0)</f>
        <v>1235</v>
      </c>
      <c r="O867" s="189">
        <f>IFERROR(__xludf.DUMMYFUNCTION("""COMPUTED_VALUE"""),1255.0)</f>
        <v>1255</v>
      </c>
      <c r="P867" s="189">
        <f>IFERROR(__xludf.DUMMYFUNCTION("""COMPUTED_VALUE"""),1267.0)</f>
        <v>1267</v>
      </c>
      <c r="Q867" s="189">
        <f>IFERROR(__xludf.DUMMYFUNCTION("""COMPUTED_VALUE"""),1292.0)</f>
        <v>1292</v>
      </c>
      <c r="R867" s="186"/>
      <c r="S867" s="189">
        <f>IFERROR(__xludf.DUMMYFUNCTION("""COMPUTED_VALUE"""),1381.0)</f>
        <v>1381</v>
      </c>
    </row>
    <row r="868">
      <c r="A868" s="186" t="str">
        <f>IFERROR(__xludf.DUMMYFUNCTION("""COMPUTED_VALUE"""),"DE")</f>
        <v>DE</v>
      </c>
      <c r="B868" s="186" t="str">
        <f>IFERROR(__xludf.DUMMYFUNCTION("""COMPUTED_VALUE"""),"W15")</f>
        <v>W15</v>
      </c>
      <c r="C868" s="186">
        <f>IFERROR(__xludf.DUMMYFUNCTION("""COMPUTED_VALUE"""),306.0)</f>
        <v>306</v>
      </c>
      <c r="D868" s="186" t="str">
        <f>IFERROR(__xludf.DUMMYFUNCTION("""COMPUTED_VALUE"""),"CON-00-152025-2")</f>
        <v>CON-00-152025-2</v>
      </c>
      <c r="E868" s="186" t="str">
        <f>IFERROR(__xludf.DUMMYFUNCTION("""COMPUTED_VALUE"""),"Salmon Piccata")</f>
        <v>Salmon Piccata</v>
      </c>
      <c r="F868" s="186" t="str">
        <f>IFERROR(__xludf.DUMMYFUNCTION("""COMPUTED_VALUE"""),"Lachs Piccata")</f>
        <v>Lachs Piccata</v>
      </c>
      <c r="G868" s="186" t="str">
        <f>IFERROR(__xludf.DUMMYFUNCTION("""COMPUTED_VALUE"""),"FE0972B")</f>
        <v>FE0972B</v>
      </c>
      <c r="H868" s="186">
        <f>IFERROR(__xludf.DUMMYFUNCTION("""COMPUTED_VALUE"""),565189.0)</f>
        <v>565189</v>
      </c>
      <c r="I868" s="186" t="str">
        <f>IFERROR(__xludf.DUMMYFUNCTION("""COMPUTED_VALUE"""),"HF Zalm met piccata saus")</f>
        <v>HF Zalm met piccata saus</v>
      </c>
      <c r="J868" s="189">
        <f>IFERROR(__xludf.DUMMYFUNCTION("""COMPUTED_VALUE"""),1736.0)</f>
        <v>1736</v>
      </c>
      <c r="K868" s="189">
        <f>IFERROR(__xludf.DUMMYFUNCTION("""COMPUTED_VALUE"""),1734.0)</f>
        <v>1734</v>
      </c>
      <c r="L868" s="189">
        <f>IFERROR(__xludf.DUMMYFUNCTION("""COMPUTED_VALUE"""),1752.0)</f>
        <v>1752</v>
      </c>
      <c r="M868" s="189">
        <f>IFERROR(__xludf.DUMMYFUNCTION("""COMPUTED_VALUE"""),1579.0)</f>
        <v>1579</v>
      </c>
      <c r="N868" s="189">
        <f>IFERROR(__xludf.DUMMYFUNCTION("""COMPUTED_VALUE"""),1460.0)</f>
        <v>1460</v>
      </c>
      <c r="O868" s="189">
        <f>IFERROR(__xludf.DUMMYFUNCTION("""COMPUTED_VALUE"""),1481.0)</f>
        <v>1481</v>
      </c>
      <c r="P868" s="189">
        <f>IFERROR(__xludf.DUMMYFUNCTION("""COMPUTED_VALUE"""),1493.0)</f>
        <v>1493</v>
      </c>
      <c r="Q868" s="189">
        <f>IFERROR(__xludf.DUMMYFUNCTION("""COMPUTED_VALUE"""),1563.0)</f>
        <v>1563</v>
      </c>
      <c r="R868" s="186"/>
      <c r="S868" s="189">
        <f>IFERROR(__xludf.DUMMYFUNCTION("""COMPUTED_VALUE"""),1637.0)</f>
        <v>1637</v>
      </c>
    </row>
    <row r="869">
      <c r="A869" s="186" t="str">
        <f>IFERROR(__xludf.DUMMYFUNCTION("""COMPUTED_VALUE"""),"DE")</f>
        <v>DE</v>
      </c>
      <c r="B869" s="186" t="str">
        <f>IFERROR(__xludf.DUMMYFUNCTION("""COMPUTED_VALUE"""),"W15")</f>
        <v>W15</v>
      </c>
      <c r="C869" s="186">
        <f>IFERROR(__xludf.DUMMYFUNCTION("""COMPUTED_VALUE"""),307.0)</f>
        <v>307</v>
      </c>
      <c r="D869" s="186" t="str">
        <f>IFERROR(__xludf.DUMMYFUNCTION("""COMPUTED_VALUE"""),"CON-00-137559-2")</f>
        <v>CON-00-137559-2</v>
      </c>
      <c r="E869" s="186" t="str">
        <f>IFERROR(__xludf.DUMMYFUNCTION("""COMPUTED_VALUE"""),"Gochugaru Chicken")</f>
        <v>Gochugaru Chicken</v>
      </c>
      <c r="F869" s="186" t="str">
        <f>IFERROR(__xludf.DUMMYFUNCTION("""COMPUTED_VALUE"""),"Gochugaru-Hähnchen")</f>
        <v>Gochugaru-Hähnchen</v>
      </c>
      <c r="G869" s="186" t="str">
        <f>IFERROR(__xludf.DUMMYFUNCTION("""COMPUTED_VALUE"""),"FE4053B")</f>
        <v>FE4053B</v>
      </c>
      <c r="H869" s="186">
        <f>IFERROR(__xludf.DUMMYFUNCTION("""COMPUTED_VALUE"""),565131.0)</f>
        <v>565131</v>
      </c>
      <c r="I869" s="186" t="str">
        <f>IFERROR(__xludf.DUMMYFUNCTION("""COMPUTED_VALUE"""),"HF Gochugaru kipblokjes")</f>
        <v>HF Gochugaru kipblokjes</v>
      </c>
      <c r="J869" s="189">
        <f>IFERROR(__xludf.DUMMYFUNCTION("""COMPUTED_VALUE"""),1159.0)</f>
        <v>1159</v>
      </c>
      <c r="K869" s="189">
        <f>IFERROR(__xludf.DUMMYFUNCTION("""COMPUTED_VALUE"""),1190.0)</f>
        <v>1190</v>
      </c>
      <c r="L869" s="189">
        <f>IFERROR(__xludf.DUMMYFUNCTION("""COMPUTED_VALUE"""),1357.0)</f>
        <v>1357</v>
      </c>
      <c r="M869" s="189">
        <f>IFERROR(__xludf.DUMMYFUNCTION("""COMPUTED_VALUE"""),1371.0)</f>
        <v>1371</v>
      </c>
      <c r="N869" s="189">
        <f>IFERROR(__xludf.DUMMYFUNCTION("""COMPUTED_VALUE"""),1200.0)</f>
        <v>1200</v>
      </c>
      <c r="O869" s="189">
        <f>IFERROR(__xludf.DUMMYFUNCTION("""COMPUTED_VALUE"""),1194.0)</f>
        <v>1194</v>
      </c>
      <c r="P869" s="189">
        <f>IFERROR(__xludf.DUMMYFUNCTION("""COMPUTED_VALUE"""),1238.0)</f>
        <v>1238</v>
      </c>
      <c r="Q869" s="189">
        <f>IFERROR(__xludf.DUMMYFUNCTION("""COMPUTED_VALUE"""),1310.0)</f>
        <v>1310</v>
      </c>
      <c r="R869" s="186"/>
      <c r="S869" s="189">
        <f>IFERROR(__xludf.DUMMYFUNCTION("""COMPUTED_VALUE"""),1323.0)</f>
        <v>1323</v>
      </c>
    </row>
    <row r="870">
      <c r="A870" s="186" t="str">
        <f>IFERROR(__xludf.DUMMYFUNCTION("""COMPUTED_VALUE"""),"DE")</f>
        <v>DE</v>
      </c>
      <c r="B870" s="186" t="str">
        <f>IFERROR(__xludf.DUMMYFUNCTION("""COMPUTED_VALUE"""),"W15")</f>
        <v>W15</v>
      </c>
      <c r="C870" s="186">
        <f>IFERROR(__xludf.DUMMYFUNCTION("""COMPUTED_VALUE"""),308.0)</f>
        <v>308</v>
      </c>
      <c r="D870" s="186" t="str">
        <f>IFERROR(__xludf.DUMMYFUNCTION("""COMPUTED_VALUE"""),"CON-00-136619-3")</f>
        <v>CON-00-136619-3</v>
      </c>
      <c r="E870" s="186" t="str">
        <f>IFERROR(__xludf.DUMMYFUNCTION("""COMPUTED_VALUE"""),"Chicken in creamy spinach")</f>
        <v>Chicken in creamy spinach</v>
      </c>
      <c r="F870" s="186" t="str">
        <f>IFERROR(__xludf.DUMMYFUNCTION("""COMPUTED_VALUE"""),"Hähnchen in Spinat-Creme")</f>
        <v>Hähnchen in Spinat-Creme</v>
      </c>
      <c r="G870" s="186" t="str">
        <f>IFERROR(__xludf.DUMMYFUNCTION("""COMPUTED_VALUE"""),"FE0207I")</f>
        <v>FE0207I</v>
      </c>
      <c r="H870" s="186">
        <f>IFERROR(__xludf.DUMMYFUNCTION("""COMPUTED_VALUE"""),565148.0)</f>
        <v>565148</v>
      </c>
      <c r="I870" s="186" t="str">
        <f>IFERROR(__xludf.DUMMYFUNCTION("""COMPUTED_VALUE"""),"HF RW Kipfilet in rom spinazie")</f>
        <v>HF RW Kipfilet in rom spinazie</v>
      </c>
      <c r="J870" s="189">
        <f>IFERROR(__xludf.DUMMYFUNCTION("""COMPUTED_VALUE"""),1136.0)</f>
        <v>1136</v>
      </c>
      <c r="K870" s="189">
        <f>IFERROR(__xludf.DUMMYFUNCTION("""COMPUTED_VALUE"""),1135.0)</f>
        <v>1135</v>
      </c>
      <c r="L870" s="189">
        <f>IFERROR(__xludf.DUMMYFUNCTION("""COMPUTED_VALUE"""),999.0)</f>
        <v>999</v>
      </c>
      <c r="M870" s="189">
        <f>IFERROR(__xludf.DUMMYFUNCTION("""COMPUTED_VALUE"""),986.0)</f>
        <v>986</v>
      </c>
      <c r="N870" s="189">
        <f>IFERROR(__xludf.DUMMYFUNCTION("""COMPUTED_VALUE"""),914.0)</f>
        <v>914</v>
      </c>
      <c r="O870" s="189">
        <f>IFERROR(__xludf.DUMMYFUNCTION("""COMPUTED_VALUE"""),890.0)</f>
        <v>890</v>
      </c>
      <c r="P870" s="189">
        <f>IFERROR(__xludf.DUMMYFUNCTION("""COMPUTED_VALUE"""),902.0)</f>
        <v>902</v>
      </c>
      <c r="Q870" s="189">
        <f>IFERROR(__xludf.DUMMYFUNCTION("""COMPUTED_VALUE"""),949.0)</f>
        <v>949</v>
      </c>
      <c r="R870" s="186"/>
      <c r="S870" s="189">
        <f>IFERROR(__xludf.DUMMYFUNCTION("""COMPUTED_VALUE"""),959.0)</f>
        <v>959</v>
      </c>
    </row>
    <row r="871">
      <c r="A871" s="186" t="str">
        <f>IFERROR(__xludf.DUMMYFUNCTION("""COMPUTED_VALUE"""),"DE")</f>
        <v>DE</v>
      </c>
      <c r="B871" s="186" t="str">
        <f>IFERROR(__xludf.DUMMYFUNCTION("""COMPUTED_VALUE"""),"W15")</f>
        <v>W15</v>
      </c>
      <c r="C871" s="186">
        <f>IFERROR(__xludf.DUMMYFUNCTION("""COMPUTED_VALUE"""),309.0)</f>
        <v>309</v>
      </c>
      <c r="D871" s="186" t="str">
        <f>IFERROR(__xludf.DUMMYFUNCTION("""COMPUTED_VALUE"""),"CON-00-136629-3")</f>
        <v>CON-00-136629-3</v>
      </c>
      <c r="E871" s="186" t="str">
        <f>IFERROR(__xludf.DUMMYFUNCTION("""COMPUTED_VALUE"""),"Creamy tomato risotto")</f>
        <v>Creamy tomato risotto</v>
      </c>
      <c r="F871" s="186" t="str">
        <f>IFERROR(__xludf.DUMMYFUNCTION("""COMPUTED_VALUE"""),"Cremiges Tomaten-Risotto")</f>
        <v>Cremiges Tomaten-Risotto</v>
      </c>
      <c r="G871" s="186" t="str">
        <f>IFERROR(__xludf.DUMMYFUNCTION("""COMPUTED_VALUE"""),"FE0031C")</f>
        <v>FE0031C</v>
      </c>
      <c r="H871" s="186">
        <f>IFERROR(__xludf.DUMMYFUNCTION("""COMPUTED_VALUE"""),565244.0)</f>
        <v>565244</v>
      </c>
      <c r="I871" s="186" t="str">
        <f>IFERROR(__xludf.DUMMYFUNCTION("""COMPUTED_VALUE"""),"IO HF Romige tomatenrisotto V2")</f>
        <v>IO HF Romige tomatenrisotto V2</v>
      </c>
      <c r="J871" s="189">
        <f>IFERROR(__xludf.DUMMYFUNCTION("""COMPUTED_VALUE"""),325.0)</f>
        <v>325</v>
      </c>
      <c r="K871" s="189">
        <f>IFERROR(__xludf.DUMMYFUNCTION("""COMPUTED_VALUE"""),357.0)</f>
        <v>357</v>
      </c>
      <c r="L871" s="189">
        <f>IFERROR(__xludf.DUMMYFUNCTION("""COMPUTED_VALUE"""),388.0)</f>
        <v>388</v>
      </c>
      <c r="M871" s="189">
        <f>IFERROR(__xludf.DUMMYFUNCTION("""COMPUTED_VALUE"""),342.0)</f>
        <v>342</v>
      </c>
      <c r="N871" s="189">
        <f>IFERROR(__xludf.DUMMYFUNCTION("""COMPUTED_VALUE"""),346.0)</f>
        <v>346</v>
      </c>
      <c r="O871" s="189">
        <f>IFERROR(__xludf.DUMMYFUNCTION("""COMPUTED_VALUE"""),297.0)</f>
        <v>297</v>
      </c>
      <c r="P871" s="189">
        <f>IFERROR(__xludf.DUMMYFUNCTION("""COMPUTED_VALUE"""),341.0)</f>
        <v>341</v>
      </c>
      <c r="Q871" s="189">
        <f>IFERROR(__xludf.DUMMYFUNCTION("""COMPUTED_VALUE"""),340.0)</f>
        <v>340</v>
      </c>
      <c r="R871" s="186"/>
      <c r="S871" s="189">
        <f>IFERROR(__xludf.DUMMYFUNCTION("""COMPUTED_VALUE"""),293.0)</f>
        <v>293</v>
      </c>
    </row>
    <row r="872">
      <c r="A872" s="186" t="str">
        <f>IFERROR(__xludf.DUMMYFUNCTION("""COMPUTED_VALUE"""),"DE")</f>
        <v>DE</v>
      </c>
      <c r="B872" s="186" t="str">
        <f>IFERROR(__xludf.DUMMYFUNCTION("""COMPUTED_VALUE"""),"W15")</f>
        <v>W15</v>
      </c>
      <c r="C872" s="186">
        <f>IFERROR(__xludf.DUMMYFUNCTION("""COMPUTED_VALUE"""),310.0)</f>
        <v>310</v>
      </c>
      <c r="D872" s="186" t="str">
        <f>IFERROR(__xludf.DUMMYFUNCTION("""COMPUTED_VALUE"""),"CON-00-136641-3")</f>
        <v>CON-00-136641-3</v>
      </c>
      <c r="E872" s="186" t="str">
        <f>IFERROR(__xludf.DUMMYFUNCTION("""COMPUTED_VALUE"""),"Mexican style corn cake")</f>
        <v>Mexican style corn cake</v>
      </c>
      <c r="F872" s="186" t="str">
        <f>IFERROR(__xludf.DUMMYFUNCTION("""COMPUTED_VALUE"""),"Mexikanischer Maiskuchen")</f>
        <v>Mexikanischer Maiskuchen</v>
      </c>
      <c r="G872" s="186" t="str">
        <f>IFERROR(__xludf.DUMMYFUNCTION("""COMPUTED_VALUE"""),"FE0121C")</f>
        <v>FE0121C</v>
      </c>
      <c r="H872" s="186">
        <f>IFERROR(__xludf.DUMMYFUNCTION("""COMPUTED_VALUE"""),565023.0)</f>
        <v>565023</v>
      </c>
      <c r="I872" s="186" t="str">
        <f>IFERROR(__xludf.DUMMYFUNCTION("""COMPUTED_VALUE"""),"HF Mex.stijl maiscake")</f>
        <v>HF Mex.stijl maiscake</v>
      </c>
      <c r="J872" s="189">
        <f>IFERROR(__xludf.DUMMYFUNCTION("""COMPUTED_VALUE"""),345.0)</f>
        <v>345</v>
      </c>
      <c r="K872" s="189">
        <f>IFERROR(__xludf.DUMMYFUNCTION("""COMPUTED_VALUE"""),345.0)</f>
        <v>345</v>
      </c>
      <c r="L872" s="189">
        <f>IFERROR(__xludf.DUMMYFUNCTION("""COMPUTED_VALUE"""),326.0)</f>
        <v>326</v>
      </c>
      <c r="M872" s="189">
        <f>IFERROR(__xludf.DUMMYFUNCTION("""COMPUTED_VALUE"""),274.0)</f>
        <v>274</v>
      </c>
      <c r="N872" s="189">
        <f>IFERROR(__xludf.DUMMYFUNCTION("""COMPUTED_VALUE"""),297.0)</f>
        <v>297</v>
      </c>
      <c r="O872" s="189">
        <f>IFERROR(__xludf.DUMMYFUNCTION("""COMPUTED_VALUE"""),268.0)</f>
        <v>268</v>
      </c>
      <c r="P872" s="189">
        <f>IFERROR(__xludf.DUMMYFUNCTION("""COMPUTED_VALUE"""),280.0)</f>
        <v>280</v>
      </c>
      <c r="Q872" s="189">
        <f>IFERROR(__xludf.DUMMYFUNCTION("""COMPUTED_VALUE"""),267.0)</f>
        <v>267</v>
      </c>
      <c r="R872" s="186"/>
      <c r="S872" s="189">
        <f>IFERROR(__xludf.DUMMYFUNCTION("""COMPUTED_VALUE"""),242.0)</f>
        <v>242</v>
      </c>
    </row>
    <row r="873">
      <c r="A873" s="186" t="str">
        <f>IFERROR(__xludf.DUMMYFUNCTION("""COMPUTED_VALUE"""),"DE")</f>
        <v>DE</v>
      </c>
      <c r="B873" s="186" t="str">
        <f>IFERROR(__xludf.DUMMYFUNCTION("""COMPUTED_VALUE"""),"W15")</f>
        <v>W15</v>
      </c>
      <c r="C873" s="186">
        <f>IFERROR(__xludf.DUMMYFUNCTION("""COMPUTED_VALUE"""),311.0)</f>
        <v>311</v>
      </c>
      <c r="D873" s="186" t="str">
        <f>IFERROR(__xludf.DUMMYFUNCTION("""COMPUTED_VALUE"""),"CON-00-136726-3")</f>
        <v>CON-00-136726-3</v>
      </c>
      <c r="E873" s="186" t="str">
        <f>IFERROR(__xludf.DUMMYFUNCTION("""COMPUTED_VALUE"""),"Pork tenderloin with apple-mustard sauce")</f>
        <v>Pork tenderloin with apple-mustard sauce</v>
      </c>
      <c r="F873" s="186" t="str">
        <f>IFERROR(__xludf.DUMMYFUNCTION("""COMPUTED_VALUE"""),"Schweinefilet mit Apfel-Senf-Soße")</f>
        <v>Schweinefilet mit Apfel-Senf-Soße</v>
      </c>
      <c r="G873" s="186" t="str">
        <f>IFERROR(__xludf.DUMMYFUNCTION("""COMPUTED_VALUE"""),"FE0890C")</f>
        <v>FE0890C</v>
      </c>
      <c r="H873" s="186">
        <f>IFERROR(__xludf.DUMMYFUNCTION("""COMPUTED_VALUE"""),565304.0)</f>
        <v>565304</v>
      </c>
      <c r="I873" s="186" t="str">
        <f>IFERROR(__xludf.DUMMYFUNCTION("""COMPUTED_VALUE"""),"HF RW Varkenshaas appel moster")</f>
        <v>HF RW Varkenshaas appel moster</v>
      </c>
      <c r="J873" s="189">
        <f>IFERROR(__xludf.DUMMYFUNCTION("""COMPUTED_VALUE"""),412.0)</f>
        <v>412</v>
      </c>
      <c r="K873" s="189">
        <f>IFERROR(__xludf.DUMMYFUNCTION("""COMPUTED_VALUE"""),412.0)</f>
        <v>412</v>
      </c>
      <c r="L873" s="189">
        <f>IFERROR(__xludf.DUMMYFUNCTION("""COMPUTED_VALUE"""),279.0)</f>
        <v>279</v>
      </c>
      <c r="M873" s="189">
        <f>IFERROR(__xludf.DUMMYFUNCTION("""COMPUTED_VALUE"""),389.0)</f>
        <v>389</v>
      </c>
      <c r="N873" s="189">
        <f>IFERROR(__xludf.DUMMYFUNCTION("""COMPUTED_VALUE"""),365.0)</f>
        <v>365</v>
      </c>
      <c r="O873" s="189">
        <f>IFERROR(__xludf.DUMMYFUNCTION("""COMPUTED_VALUE"""),378.0)</f>
        <v>378</v>
      </c>
      <c r="P873" s="189">
        <f>IFERROR(__xludf.DUMMYFUNCTION("""COMPUTED_VALUE"""),390.0)</f>
        <v>390</v>
      </c>
      <c r="Q873" s="189">
        <f>IFERROR(__xludf.DUMMYFUNCTION("""COMPUTED_VALUE"""),404.0)</f>
        <v>404</v>
      </c>
      <c r="R873" s="186"/>
      <c r="S873" s="189">
        <f>IFERROR(__xludf.DUMMYFUNCTION("""COMPUTED_VALUE"""),394.0)</f>
        <v>394</v>
      </c>
    </row>
    <row r="874">
      <c r="A874" s="186" t="str">
        <f>IFERROR(__xludf.DUMMYFUNCTION("""COMPUTED_VALUE"""),"DE")</f>
        <v>DE</v>
      </c>
      <c r="B874" s="186" t="str">
        <f>IFERROR(__xludf.DUMMYFUNCTION("""COMPUTED_VALUE"""),"W15")</f>
        <v>W15</v>
      </c>
      <c r="C874" s="186">
        <f>IFERROR(__xludf.DUMMYFUNCTION("""COMPUTED_VALUE"""),312.0)</f>
        <v>312</v>
      </c>
      <c r="D874" s="186" t="str">
        <f>IFERROR(__xludf.DUMMYFUNCTION("""COMPUTED_VALUE"""),"CON-00-151097-2")</f>
        <v>CON-00-151097-2</v>
      </c>
      <c r="E874" s="186" t="str">
        <f>IFERROR(__xludf.DUMMYFUNCTION("""COMPUTED_VALUE"""),"Roasted Salmon &amp; Dill Yogurt")</f>
        <v>Roasted Salmon &amp; Dill Yogurt</v>
      </c>
      <c r="F874" s="186" t="str">
        <f>IFERROR(__xludf.DUMMYFUNCTION("""COMPUTED_VALUE"""),"Ofengerösteter Lachs &amp; Dill-Joghurt")</f>
        <v>Ofengerösteter Lachs &amp; Dill-Joghurt</v>
      </c>
      <c r="G874" s="186" t="str">
        <f>IFERROR(__xludf.DUMMYFUNCTION("""COMPUTED_VALUE"""),"FE1145B")</f>
        <v>FE1145B</v>
      </c>
      <c r="H874" s="186">
        <f>IFERROR(__xludf.DUMMYFUNCTION("""COMPUTED_VALUE"""),565206.0)</f>
        <v>565206</v>
      </c>
      <c r="I874" s="186" t="str">
        <f>IFERROR(__xludf.DUMMYFUNCTION("""COMPUTED_VALUE"""),"HF Zalm citroen dille yoghurt")</f>
        <v>HF Zalm citroen dille yoghurt</v>
      </c>
      <c r="J874" s="189">
        <f>IFERROR(__xludf.DUMMYFUNCTION("""COMPUTED_VALUE"""),1474.0)</f>
        <v>1474</v>
      </c>
      <c r="K874" s="189">
        <f>IFERROR(__xludf.DUMMYFUNCTION("""COMPUTED_VALUE"""),1504.0)</f>
        <v>1504</v>
      </c>
      <c r="L874" s="189">
        <f>IFERROR(__xludf.DUMMYFUNCTION("""COMPUTED_VALUE"""),1247.0)</f>
        <v>1247</v>
      </c>
      <c r="M874" s="189">
        <f>IFERROR(__xludf.DUMMYFUNCTION("""COMPUTED_VALUE"""),1198.0)</f>
        <v>1198</v>
      </c>
      <c r="N874" s="189">
        <f>IFERROR(__xludf.DUMMYFUNCTION("""COMPUTED_VALUE"""),1091.0)</f>
        <v>1091</v>
      </c>
      <c r="O874" s="189">
        <f>IFERROR(__xludf.DUMMYFUNCTION("""COMPUTED_VALUE"""),1046.0)</f>
        <v>1046</v>
      </c>
      <c r="P874" s="189">
        <f>IFERROR(__xludf.DUMMYFUNCTION("""COMPUTED_VALUE"""),1090.0)</f>
        <v>1090</v>
      </c>
      <c r="Q874" s="189">
        <f>IFERROR(__xludf.DUMMYFUNCTION("""COMPUTED_VALUE"""),1108.0)</f>
        <v>1108</v>
      </c>
      <c r="R874" s="186"/>
      <c r="S874" s="189">
        <f>IFERROR(__xludf.DUMMYFUNCTION("""COMPUTED_VALUE"""),1125.0)</f>
        <v>1125</v>
      </c>
    </row>
    <row r="875">
      <c r="A875" s="186" t="str">
        <f>IFERROR(__xludf.DUMMYFUNCTION("""COMPUTED_VALUE"""),"DE")</f>
        <v>DE</v>
      </c>
      <c r="B875" s="186" t="str">
        <f>IFERROR(__xludf.DUMMYFUNCTION("""COMPUTED_VALUE"""),"W15")</f>
        <v>W15</v>
      </c>
      <c r="C875" s="186">
        <f>IFERROR(__xludf.DUMMYFUNCTION("""COMPUTED_VALUE"""),313.0)</f>
        <v>313</v>
      </c>
      <c r="D875" s="186" t="str">
        <f>IFERROR(__xludf.DUMMYFUNCTION("""COMPUTED_VALUE"""),"CON-00-168123-2")</f>
        <v>CON-00-168123-2</v>
      </c>
      <c r="E875" s="186" t="str">
        <f>IFERROR(__xludf.DUMMYFUNCTION("""COMPUTED_VALUE"""),"Chicken &amp; Mushroom Gravy")</f>
        <v>Chicken &amp; Mushroom Gravy</v>
      </c>
      <c r="F875" s="186" t="str">
        <f>IFERROR(__xludf.DUMMYFUNCTION("""COMPUTED_VALUE"""),"Hähnchen &amp; Pilzrahmsoße")</f>
        <v>Hähnchen &amp; Pilzrahmsoße</v>
      </c>
      <c r="G875" s="186" t="str">
        <f>IFERROR(__xludf.DUMMYFUNCTION("""COMPUTED_VALUE"""),"FE4088A")</f>
        <v>FE4088A</v>
      </c>
      <c r="H875" s="186">
        <f>IFERROR(__xludf.DUMMYFUNCTION("""COMPUTED_VALUE"""),565275.0)</f>
        <v>565275</v>
      </c>
      <c r="I875" s="186" t="str">
        <f>IFERROR(__xludf.DUMMYFUNCTION("""COMPUTED_VALUE"""),"HF Salie kip en mushroom gravy")</f>
        <v>HF Salie kip en mushroom gravy</v>
      </c>
      <c r="J875" s="189">
        <f>IFERROR(__xludf.DUMMYFUNCTION("""COMPUTED_VALUE"""),1460.0)</f>
        <v>1460</v>
      </c>
      <c r="K875" s="189">
        <f>IFERROR(__xludf.DUMMYFUNCTION("""COMPUTED_VALUE"""),1458.0)</f>
        <v>1458</v>
      </c>
      <c r="L875" s="189">
        <f>IFERROR(__xludf.DUMMYFUNCTION("""COMPUTED_VALUE"""),1822.0)</f>
        <v>1822</v>
      </c>
      <c r="M875" s="189">
        <f>IFERROR(__xludf.DUMMYFUNCTION("""COMPUTED_VALUE"""),1885.0)</f>
        <v>1885</v>
      </c>
      <c r="N875" s="189">
        <f>IFERROR(__xludf.DUMMYFUNCTION("""COMPUTED_VALUE"""),1593.0)</f>
        <v>1593</v>
      </c>
      <c r="O875" s="189">
        <f>IFERROR(__xludf.DUMMYFUNCTION("""COMPUTED_VALUE"""),1609.0)</f>
        <v>1609</v>
      </c>
      <c r="P875" s="189">
        <f>IFERROR(__xludf.DUMMYFUNCTION("""COMPUTED_VALUE"""),1621.0)</f>
        <v>1621</v>
      </c>
      <c r="Q875" s="189">
        <f>IFERROR(__xludf.DUMMYFUNCTION("""COMPUTED_VALUE"""),1708.0)</f>
        <v>1708</v>
      </c>
      <c r="R875" s="186"/>
      <c r="S875" s="189">
        <f>IFERROR(__xludf.DUMMYFUNCTION("""COMPUTED_VALUE"""),1641.0)</f>
        <v>1641</v>
      </c>
    </row>
    <row r="876">
      <c r="A876" s="186" t="str">
        <f>IFERROR(__xludf.DUMMYFUNCTION("""COMPUTED_VALUE"""),"DE")</f>
        <v>DE</v>
      </c>
      <c r="B876" s="186" t="str">
        <f>IFERROR(__xludf.DUMMYFUNCTION("""COMPUTED_VALUE"""),"W15")</f>
        <v>W15</v>
      </c>
      <c r="C876" s="186">
        <f>IFERROR(__xludf.DUMMYFUNCTION("""COMPUTED_VALUE"""),314.0)</f>
        <v>314</v>
      </c>
      <c r="D876" s="186" t="str">
        <f>IFERROR(__xludf.DUMMYFUNCTION("""COMPUTED_VALUE"""),"CON-00-152024-2")</f>
        <v>CON-00-152024-2</v>
      </c>
      <c r="E876" s="186" t="str">
        <f>IFERROR(__xludf.DUMMYFUNCTION("""COMPUTED_VALUE"""),"Ginger Garlic Grilled Chicken")</f>
        <v>Ginger Garlic Grilled Chicken</v>
      </c>
      <c r="F876" s="186" t="str">
        <f>IFERROR(__xludf.DUMMYFUNCTION("""COMPUTED_VALUE"""),"Gegrilltes Hähnchen in Ingwer-Knoblauch-Marinade")</f>
        <v>Gegrilltes Hähnchen in Ingwer-Knoblauch-Marinade</v>
      </c>
      <c r="G876" s="186" t="str">
        <f>IFERROR(__xludf.DUMMYFUNCTION("""COMPUTED_VALUE"""),"FE4064A")</f>
        <v>FE4064A</v>
      </c>
      <c r="H876" s="186">
        <f>IFERROR(__xludf.DUMMYFUNCTION("""COMPUTED_VALUE"""),565211.0)</f>
        <v>565211</v>
      </c>
      <c r="I876" s="186" t="str">
        <f>IFERROR(__xludf.DUMMYFUNCTION("""COMPUTED_VALUE"""),"HF Gember knoflook kip")</f>
        <v>HF Gember knoflook kip</v>
      </c>
      <c r="J876" s="189">
        <f>IFERROR(__xludf.DUMMYFUNCTION("""COMPUTED_VALUE"""),757.0)</f>
        <v>757</v>
      </c>
      <c r="K876" s="189">
        <f>IFERROR(__xludf.DUMMYFUNCTION("""COMPUTED_VALUE"""),788.0)</f>
        <v>788</v>
      </c>
      <c r="L876" s="189">
        <f>IFERROR(__xludf.DUMMYFUNCTION("""COMPUTED_VALUE"""),538.0)</f>
        <v>538</v>
      </c>
      <c r="M876" s="189">
        <f>IFERROR(__xludf.DUMMYFUNCTION("""COMPUTED_VALUE"""),568.0)</f>
        <v>568</v>
      </c>
      <c r="N876" s="189">
        <f>IFERROR(__xludf.DUMMYFUNCTION("""COMPUTED_VALUE"""),505.0)</f>
        <v>505</v>
      </c>
      <c r="O876" s="189">
        <f>IFERROR(__xludf.DUMMYFUNCTION("""COMPUTED_VALUE"""),478.0)</f>
        <v>478</v>
      </c>
      <c r="P876" s="189">
        <f>IFERROR(__xludf.DUMMYFUNCTION("""COMPUTED_VALUE"""),522.0)</f>
        <v>522</v>
      </c>
      <c r="Q876" s="189">
        <f>IFERROR(__xludf.DUMMYFUNCTION("""COMPUTED_VALUE"""),565.0)</f>
        <v>565</v>
      </c>
      <c r="R876" s="186"/>
      <c r="S876" s="189">
        <f>IFERROR(__xludf.DUMMYFUNCTION("""COMPUTED_VALUE"""),568.0)</f>
        <v>568</v>
      </c>
    </row>
    <row r="877">
      <c r="A877" s="186" t="str">
        <f>IFERROR(__xludf.DUMMYFUNCTION("""COMPUTED_VALUE"""),"DE")</f>
        <v>DE</v>
      </c>
      <c r="B877" s="186" t="str">
        <f>IFERROR(__xludf.DUMMYFUNCTION("""COMPUTED_VALUE"""),"W15")</f>
        <v>W15</v>
      </c>
      <c r="C877" s="186">
        <f>IFERROR(__xludf.DUMMYFUNCTION("""COMPUTED_VALUE"""),315.0)</f>
        <v>315</v>
      </c>
      <c r="D877" s="186" t="str">
        <f>IFERROR(__xludf.DUMMYFUNCTION("""COMPUTED_VALUE"""),"CON-00-136694-3")</f>
        <v>CON-00-136694-3</v>
      </c>
      <c r="E877" s="186" t="str">
        <f>IFERROR(__xludf.DUMMYFUNCTION("""COMPUTED_VALUE"""),"Spicy ground beef with jalapenos")</f>
        <v>Spicy ground beef with jalapenos</v>
      </c>
      <c r="F877" s="186" t="str">
        <f>IFERROR(__xludf.DUMMYFUNCTION("""COMPUTED_VALUE"""),"Scharfes Rinderhack mit Jalapeños")</f>
        <v>Scharfes Rinderhack mit Jalapeños</v>
      </c>
      <c r="G877" s="186" t="str">
        <f>IFERROR(__xludf.DUMMYFUNCTION("""COMPUTED_VALUE"""),"FE0746A")</f>
        <v>FE0746A</v>
      </c>
      <c r="H877" s="186">
        <f>IFERROR(__xludf.DUMMYFUNCTION("""COMPUTED_VALUE"""),565091.0)</f>
        <v>565091</v>
      </c>
      <c r="I877" s="186" t="str">
        <f>IFERROR(__xludf.DUMMYFUNCTION("""COMPUTED_VALUE"""),"HF Beef burrito bowl")</f>
        <v>HF Beef burrito bowl</v>
      </c>
      <c r="J877" s="189">
        <f>IFERROR(__xludf.DUMMYFUNCTION("""COMPUTED_VALUE"""),797.0)</f>
        <v>797</v>
      </c>
      <c r="K877" s="189">
        <f>IFERROR(__xludf.DUMMYFUNCTION("""COMPUTED_VALUE"""),796.0)</f>
        <v>796</v>
      </c>
      <c r="L877" s="189">
        <f>IFERROR(__xludf.DUMMYFUNCTION("""COMPUTED_VALUE"""),543.0)</f>
        <v>543</v>
      </c>
      <c r="M877" s="189">
        <f>IFERROR(__xludf.DUMMYFUNCTION("""COMPUTED_VALUE"""),530.0)</f>
        <v>530</v>
      </c>
      <c r="N877" s="189">
        <f>IFERROR(__xludf.DUMMYFUNCTION("""COMPUTED_VALUE"""),467.0)</f>
        <v>467</v>
      </c>
      <c r="O877" s="189">
        <f>IFERROR(__xludf.DUMMYFUNCTION("""COMPUTED_VALUE"""),486.0)</f>
        <v>486</v>
      </c>
      <c r="P877" s="189">
        <f>IFERROR(__xludf.DUMMYFUNCTION("""COMPUTED_VALUE"""),498.0)</f>
        <v>498</v>
      </c>
      <c r="Q877" s="189">
        <f>IFERROR(__xludf.DUMMYFUNCTION("""COMPUTED_VALUE"""),518.0)</f>
        <v>518</v>
      </c>
      <c r="R877" s="186"/>
      <c r="S877" s="189">
        <f>IFERROR(__xludf.DUMMYFUNCTION("""COMPUTED_VALUE"""),505.0)</f>
        <v>505</v>
      </c>
    </row>
    <row r="878">
      <c r="A878" s="186" t="str">
        <f>IFERROR(__xludf.DUMMYFUNCTION("""COMPUTED_VALUE"""),"DE")</f>
        <v>DE</v>
      </c>
      <c r="B878" s="186" t="str">
        <f>IFERROR(__xludf.DUMMYFUNCTION("""COMPUTED_VALUE"""),"W15")</f>
        <v>W15</v>
      </c>
      <c r="C878" s="186">
        <f>IFERROR(__xludf.DUMMYFUNCTION("""COMPUTED_VALUE"""),316.0)</f>
        <v>316</v>
      </c>
      <c r="D878" s="186" t="str">
        <f>IFERROR(__xludf.DUMMYFUNCTION("""COMPUTED_VALUE"""),"CON-00-168127-2")</f>
        <v>CON-00-168127-2</v>
      </c>
      <c r="E878" s="186" t="str">
        <f>IFERROR(__xludf.DUMMYFUNCTION("""COMPUTED_VALUE"""),"Tomato Escabeche Grilled Chicken")</f>
        <v>Tomato Escabeche Grilled Chicken</v>
      </c>
      <c r="F878" s="186" t="str">
        <f>IFERROR(__xludf.DUMMYFUNCTION("""COMPUTED_VALUE"""),"Gegrilltes Hähnchen mit Tomaten-Escabeche")</f>
        <v>Gegrilltes Hähnchen mit Tomaten-Escabeche</v>
      </c>
      <c r="G878" s="186" t="str">
        <f>IFERROR(__xludf.DUMMYFUNCTION("""COMPUTED_VALUE"""),"FE1787A")</f>
        <v>FE1787A</v>
      </c>
      <c r="H878" s="186">
        <f>IFERROR(__xludf.DUMMYFUNCTION("""COMPUTED_VALUE"""),565266.0)</f>
        <v>565266</v>
      </c>
      <c r="I878" s="186" t="str">
        <f>IFERROR(__xludf.DUMMYFUNCTION("""COMPUTED_VALUE"""),"HF Kipfilet tomaat escabeche")</f>
        <v>HF Kipfilet tomaat escabeche</v>
      </c>
      <c r="J878" s="189">
        <f>IFERROR(__xludf.DUMMYFUNCTION("""COMPUTED_VALUE"""),553.0)</f>
        <v>553</v>
      </c>
      <c r="K878" s="189">
        <f>IFERROR(__xludf.DUMMYFUNCTION("""COMPUTED_VALUE"""),552.0)</f>
        <v>552</v>
      </c>
      <c r="L878" s="189">
        <f>IFERROR(__xludf.DUMMYFUNCTION("""COMPUTED_VALUE"""),888.0)</f>
        <v>888</v>
      </c>
      <c r="M878" s="189">
        <f>IFERROR(__xludf.DUMMYFUNCTION("""COMPUTED_VALUE"""),762.0)</f>
        <v>762</v>
      </c>
      <c r="N878" s="189">
        <f>IFERROR(__xludf.DUMMYFUNCTION("""COMPUTED_VALUE"""),584.0)</f>
        <v>584</v>
      </c>
      <c r="O878" s="189">
        <f>IFERROR(__xludf.DUMMYFUNCTION("""COMPUTED_VALUE"""),570.0)</f>
        <v>570</v>
      </c>
      <c r="P878" s="189">
        <f>IFERROR(__xludf.DUMMYFUNCTION("""COMPUTED_VALUE"""),582.0)</f>
        <v>582</v>
      </c>
      <c r="Q878" s="189">
        <f>IFERROR(__xludf.DUMMYFUNCTION("""COMPUTED_VALUE"""),596.0)</f>
        <v>596</v>
      </c>
      <c r="R878" s="186"/>
      <c r="S878" s="189">
        <f>IFERROR(__xludf.DUMMYFUNCTION("""COMPUTED_VALUE"""),433.0)</f>
        <v>433</v>
      </c>
    </row>
    <row r="879">
      <c r="A879" s="186" t="str">
        <f>IFERROR(__xludf.DUMMYFUNCTION("""COMPUTED_VALUE"""),"DE")</f>
        <v>DE</v>
      </c>
      <c r="B879" s="186" t="str">
        <f>IFERROR(__xludf.DUMMYFUNCTION("""COMPUTED_VALUE"""),"W15")</f>
        <v>W15</v>
      </c>
      <c r="C879" s="186">
        <f>IFERROR(__xludf.DUMMYFUNCTION("""COMPUTED_VALUE"""),317.0)</f>
        <v>317</v>
      </c>
      <c r="D879" s="186" t="str">
        <f>IFERROR(__xludf.DUMMYFUNCTION("""COMPUTED_VALUE"""),"CON-00-136664-3")</f>
        <v>CON-00-136664-3</v>
      </c>
      <c r="E879" s="186" t="str">
        <f>IFERROR(__xludf.DUMMYFUNCTION("""COMPUTED_VALUE"""),"Pork tenderloin in sundried tomato sauce")</f>
        <v>Pork tenderloin in sundried tomato sauce</v>
      </c>
      <c r="F879" s="186" t="str">
        <f>IFERROR(__xludf.DUMMYFUNCTION("""COMPUTED_VALUE"""),"Schweinefilet in Sonnentomaten-Sauce")</f>
        <v>Schweinefilet in Sonnentomaten-Sauce</v>
      </c>
      <c r="G879" s="186" t="str">
        <f>IFERROR(__xludf.DUMMYFUNCTION("""COMPUTED_VALUE"""),"FE4006A")</f>
        <v>FE4006A</v>
      </c>
      <c r="H879" s="186">
        <f>IFERROR(__xludf.DUMMYFUNCTION("""COMPUTED_VALUE"""),565063.0)</f>
        <v>565063</v>
      </c>
      <c r="I879" s="186" t="str">
        <f>IFERROR(__xludf.DUMMYFUNCTION("""COMPUTED_VALUE"""),"HF Varkenshaas met tomatensaus 384g")</f>
        <v>HF Varkenshaas met tomatensaus 384g</v>
      </c>
      <c r="J879" s="189">
        <f>IFERROR(__xludf.DUMMYFUNCTION("""COMPUTED_VALUE"""),892.0)</f>
        <v>892</v>
      </c>
      <c r="K879" s="189">
        <f>IFERROR(__xludf.DUMMYFUNCTION("""COMPUTED_VALUE"""),891.0)</f>
        <v>891</v>
      </c>
      <c r="L879" s="189">
        <f>IFERROR(__xludf.DUMMYFUNCTION("""COMPUTED_VALUE"""),856.0)</f>
        <v>856</v>
      </c>
      <c r="M879" s="189">
        <f>IFERROR(__xludf.DUMMYFUNCTION("""COMPUTED_VALUE"""),923.0)</f>
        <v>923</v>
      </c>
      <c r="N879" s="189">
        <f>IFERROR(__xludf.DUMMYFUNCTION("""COMPUTED_VALUE"""),835.0)</f>
        <v>835</v>
      </c>
      <c r="O879" s="189">
        <f>IFERROR(__xludf.DUMMYFUNCTION("""COMPUTED_VALUE"""),844.0)</f>
        <v>844</v>
      </c>
      <c r="P879" s="189">
        <f>IFERROR(__xludf.DUMMYFUNCTION("""COMPUTED_VALUE"""),856.0)</f>
        <v>856</v>
      </c>
      <c r="Q879" s="189">
        <f>IFERROR(__xludf.DUMMYFUNCTION("""COMPUTED_VALUE"""),899.0)</f>
        <v>899</v>
      </c>
      <c r="R879" s="186"/>
      <c r="S879" s="189">
        <f>IFERROR(__xludf.DUMMYFUNCTION("""COMPUTED_VALUE"""),894.0)</f>
        <v>894</v>
      </c>
    </row>
    <row r="880">
      <c r="A880" s="186" t="str">
        <f>IFERROR(__xludf.DUMMYFUNCTION("""COMPUTED_VALUE"""),"DE")</f>
        <v>DE</v>
      </c>
      <c r="B880" s="186" t="str">
        <f>IFERROR(__xludf.DUMMYFUNCTION("""COMPUTED_VALUE"""),"W15")</f>
        <v>W15</v>
      </c>
      <c r="C880" s="186">
        <f>IFERROR(__xludf.DUMMYFUNCTION("""COMPUTED_VALUE"""),318.0)</f>
        <v>318</v>
      </c>
      <c r="D880" s="186" t="str">
        <f>IFERROR(__xludf.DUMMYFUNCTION("""COMPUTED_VALUE"""),"CON-00-138152-2")</f>
        <v>CON-00-138152-2</v>
      </c>
      <c r="E880" s="186" t="str">
        <f>IFERROR(__xludf.DUMMYFUNCTION("""COMPUTED_VALUE"""),"Red chile pulled pork")</f>
        <v>Red chile pulled pork</v>
      </c>
      <c r="F880" s="186" t="str">
        <f>IFERROR(__xludf.DUMMYFUNCTION("""COMPUTED_VALUE"""),"Pulled Pork mit roter Chilisauce")</f>
        <v>Pulled Pork mit roter Chilisauce</v>
      </c>
      <c r="G880" s="186" t="str">
        <f>IFERROR(__xludf.DUMMYFUNCTION("""COMPUTED_VALUE"""),"FE4049B")</f>
        <v>FE4049B</v>
      </c>
      <c r="H880" s="186">
        <f>IFERROR(__xludf.DUMMYFUNCTION("""COMPUTED_VALUE"""),565130.0)</f>
        <v>565130</v>
      </c>
      <c r="I880" s="186" t="str">
        <f>IFERROR(__xludf.DUMMYFUNCTION("""COMPUTED_VALUE"""),"HF Rode Chili &amp; Pulled Pork")</f>
        <v>HF Rode Chili &amp; Pulled Pork</v>
      </c>
      <c r="J880" s="189">
        <f>IFERROR(__xludf.DUMMYFUNCTION("""COMPUTED_VALUE"""),488.0)</f>
        <v>488</v>
      </c>
      <c r="K880" s="189">
        <f>IFERROR(__xludf.DUMMYFUNCTION("""COMPUTED_VALUE"""),503.0)</f>
        <v>503</v>
      </c>
      <c r="L880" s="189">
        <f>IFERROR(__xludf.DUMMYFUNCTION("""COMPUTED_VALUE"""),498.0)</f>
        <v>498</v>
      </c>
      <c r="M880" s="189">
        <f>IFERROR(__xludf.DUMMYFUNCTION("""COMPUTED_VALUE"""),482.0)</f>
        <v>482</v>
      </c>
      <c r="N880" s="189">
        <f>IFERROR(__xludf.DUMMYFUNCTION("""COMPUTED_VALUE"""),438.0)</f>
        <v>438</v>
      </c>
      <c r="O880" s="189">
        <f>IFERROR(__xludf.DUMMYFUNCTION("""COMPUTED_VALUE"""),442.0)</f>
        <v>442</v>
      </c>
      <c r="P880" s="189">
        <f>IFERROR(__xludf.DUMMYFUNCTION("""COMPUTED_VALUE"""),470.0)</f>
        <v>470</v>
      </c>
      <c r="Q880" s="189">
        <f>IFERROR(__xludf.DUMMYFUNCTION("""COMPUTED_VALUE"""),474.0)</f>
        <v>474</v>
      </c>
      <c r="R880" s="186"/>
      <c r="S880" s="189">
        <f>IFERROR(__xludf.DUMMYFUNCTION("""COMPUTED_VALUE"""),457.0)</f>
        <v>457</v>
      </c>
    </row>
    <row r="881">
      <c r="A881" s="186" t="str">
        <f>IFERROR(__xludf.DUMMYFUNCTION("""COMPUTED_VALUE"""),"DE")</f>
        <v>DE</v>
      </c>
      <c r="B881" s="186" t="str">
        <f>IFERROR(__xludf.DUMMYFUNCTION("""COMPUTED_VALUE"""),"W15")</f>
        <v>W15</v>
      </c>
      <c r="C881" s="186">
        <f>IFERROR(__xludf.DUMMYFUNCTION("""COMPUTED_VALUE"""),206.0)</f>
        <v>206</v>
      </c>
      <c r="D881" s="186" t="str">
        <f>IFERROR(__xludf.DUMMYFUNCTION("""COMPUTED_VALUE"""),"PTN-00-136930-3")</f>
        <v>PTN-00-136930-3</v>
      </c>
      <c r="E881" s="186" t="str">
        <f>IFERROR(__xludf.DUMMYFUNCTION("""COMPUTED_VALUE"""),"Garlic Herb Grilled Chicken")</f>
        <v>Garlic Herb Grilled Chicken</v>
      </c>
      <c r="F881" s="186" t="str">
        <f>IFERROR(__xludf.DUMMYFUNCTION("""COMPUTED_VALUE"""),"Gegrilltes Hähnchen mit Knoblauch-Kräutern")</f>
        <v>Gegrilltes Hähnchen mit Knoblauch-Kräutern</v>
      </c>
      <c r="G881" s="186" t="str">
        <f>IFERROR(__xludf.DUMMYFUNCTION("""COMPUTED_VALUE"""),"FEA006A")</f>
        <v>FEA006A</v>
      </c>
      <c r="H881" s="186">
        <f>IFERROR(__xludf.DUMMYFUNCTION("""COMPUTED_VALUE"""),565119.0)</f>
        <v>565119</v>
      </c>
      <c r="I881" s="186"/>
      <c r="J881" s="189">
        <f>IFERROR(__xludf.DUMMYFUNCTION("""COMPUTED_VALUE"""),79.0)</f>
        <v>79</v>
      </c>
      <c r="K881" s="189">
        <f>IFERROR(__xludf.DUMMYFUNCTION("""COMPUTED_VALUE"""),79.0)</f>
        <v>79</v>
      </c>
      <c r="L881" s="189">
        <f>IFERROR(__xludf.DUMMYFUNCTION("""COMPUTED_VALUE"""),79.0)</f>
        <v>79</v>
      </c>
      <c r="M881" s="189">
        <f>IFERROR(__xludf.DUMMYFUNCTION("""COMPUTED_VALUE"""),79.0)</f>
        <v>79</v>
      </c>
      <c r="N881" s="189">
        <f>IFERROR(__xludf.DUMMYFUNCTION("""COMPUTED_VALUE"""),79.0)</f>
        <v>79</v>
      </c>
      <c r="O881" s="189">
        <f>IFERROR(__xludf.DUMMYFUNCTION("""COMPUTED_VALUE"""),79.0)</f>
        <v>79</v>
      </c>
      <c r="P881" s="189">
        <f>IFERROR(__xludf.DUMMYFUNCTION("""COMPUTED_VALUE"""),79.0)</f>
        <v>79</v>
      </c>
      <c r="Q881" s="189">
        <f>IFERROR(__xludf.DUMMYFUNCTION("""COMPUTED_VALUE"""),79.0)</f>
        <v>79</v>
      </c>
      <c r="R881" s="186"/>
      <c r="S881" s="189">
        <f>IFERROR(__xludf.DUMMYFUNCTION("""COMPUTED_VALUE"""),43.0)</f>
        <v>43</v>
      </c>
    </row>
    <row r="882">
      <c r="A882" s="186" t="str">
        <f>IFERROR(__xludf.DUMMYFUNCTION("""COMPUTED_VALUE"""),"DE")</f>
        <v>DE</v>
      </c>
      <c r="B882" s="186" t="str">
        <f>IFERROR(__xludf.DUMMYFUNCTION("""COMPUTED_VALUE"""),"W15")</f>
        <v>W15</v>
      </c>
      <c r="C882" s="186"/>
      <c r="D882" s="186"/>
      <c r="E882" s="186"/>
      <c r="F882" s="186"/>
      <c r="G882" s="186"/>
      <c r="H882" s="186"/>
      <c r="I882" s="186"/>
      <c r="J882" s="189">
        <f>IFERROR(__xludf.DUMMYFUNCTION("""COMPUTED_VALUE"""),20031.0)</f>
        <v>20031</v>
      </c>
      <c r="K882" s="189">
        <f>IFERROR(__xludf.DUMMYFUNCTION("""COMPUTED_VALUE"""),21680.0)</f>
        <v>21680</v>
      </c>
      <c r="L882" s="189">
        <f>IFERROR(__xludf.DUMMYFUNCTION("""COMPUTED_VALUE"""),20780.0)</f>
        <v>20780</v>
      </c>
      <c r="M882" s="189">
        <f>IFERROR(__xludf.DUMMYFUNCTION("""COMPUTED_VALUE"""),20252.0)</f>
        <v>20252</v>
      </c>
      <c r="N882" s="189">
        <f>IFERROR(__xludf.DUMMYFUNCTION("""COMPUTED_VALUE"""),18167.0)</f>
        <v>18167</v>
      </c>
      <c r="O882" s="189">
        <f>IFERROR(__xludf.DUMMYFUNCTION("""COMPUTED_VALUE"""),18198.0)</f>
        <v>18198</v>
      </c>
      <c r="P882" s="189">
        <f>IFERROR(__xludf.DUMMYFUNCTION("""COMPUTED_VALUE"""),18590.0)</f>
        <v>18590</v>
      </c>
      <c r="Q882" s="189">
        <f>IFERROR(__xludf.DUMMYFUNCTION("""COMPUTED_VALUE"""),19350.0)</f>
        <v>19350</v>
      </c>
      <c r="R882" s="189">
        <f>IFERROR(__xludf.DUMMYFUNCTION("""COMPUTED_VALUE"""),0.0)</f>
        <v>0</v>
      </c>
      <c r="S882" s="189">
        <f>IFERROR(__xludf.DUMMYFUNCTION("""COMPUTED_VALUE"""),19626.0)</f>
        <v>19626</v>
      </c>
    </row>
    <row r="883">
      <c r="A883" s="186" t="str">
        <f>IFERROR(__xludf.DUMMYFUNCTION("""COMPUTED_VALUE"""),"NORDICS")</f>
        <v>NORDICS</v>
      </c>
      <c r="B883" s="186" t="str">
        <f>IFERROR(__xludf.DUMMYFUNCTION("""COMPUTED_VALUE"""),"W16")</f>
        <v>W16</v>
      </c>
      <c r="C883" s="186">
        <f>IFERROR(__xludf.DUMMYFUNCTION("""COMPUTED_VALUE"""),601.0)</f>
        <v>601</v>
      </c>
      <c r="D883" s="186" t="str">
        <f>IFERROR(__xludf.DUMMYFUNCTION("""COMPUTED_VALUE"""),"CON-00-147840-2")</f>
        <v>CON-00-147840-2</v>
      </c>
      <c r="E883" s="186" t="str">
        <f>IFERROR(__xludf.DUMMYFUNCTION("""COMPUTED_VALUE"""),"Grilled chicken fillet and potato leek mash")</f>
        <v>Grilled chicken fillet and potato leek mash</v>
      </c>
      <c r="F883" s="186" t="str">
        <f>IFERROR(__xludf.DUMMYFUNCTION("""COMPUTED_VALUE"""),"Grillet kyllingefilet og kartoffel-porremos")</f>
        <v>Grillet kyllingefilet og kartoffel-porremos</v>
      </c>
      <c r="G883" s="186" t="str">
        <f>IFERROR(__xludf.DUMMYFUNCTION("""COMPUTED_VALUE"""),"FE0426B")</f>
        <v>FE0426B</v>
      </c>
      <c r="H883" s="186">
        <f>IFERROR(__xludf.DUMMYFUNCTION("""COMPUTED_VALUE"""),565035.0)</f>
        <v>565035</v>
      </c>
      <c r="I883" s="186" t="str">
        <f>IFERROR(__xludf.DUMMYFUNCTION("""COMPUTED_VALUE"""),"HF Puree van aardappel en prei met gegrilde kip 416g")</f>
        <v>HF Puree van aardappel en prei met gegrilde kip 416g</v>
      </c>
      <c r="J883" s="189">
        <f>IFERROR(__xludf.DUMMYFUNCTION("""COMPUTED_VALUE"""),3426.0)</f>
        <v>3426</v>
      </c>
      <c r="K883" s="189">
        <f>IFERROR(__xludf.DUMMYFUNCTION("""COMPUTED_VALUE"""),3606.0)</f>
        <v>3606</v>
      </c>
      <c r="L883" s="189">
        <f>IFERROR(__xludf.DUMMYFUNCTION("""COMPUTED_VALUE"""),3356.0)</f>
        <v>3356</v>
      </c>
      <c r="M883" s="189">
        <f>IFERROR(__xludf.DUMMYFUNCTION("""COMPUTED_VALUE"""),3231.0)</f>
        <v>3231</v>
      </c>
      <c r="N883" s="189">
        <f>IFERROR(__xludf.DUMMYFUNCTION("""COMPUTED_VALUE"""),3411.0)</f>
        <v>3411</v>
      </c>
      <c r="O883" s="186"/>
      <c r="P883" s="189">
        <f>IFERROR(__xludf.DUMMYFUNCTION("""COMPUTED_VALUE"""),3568.0)</f>
        <v>3568</v>
      </c>
      <c r="Q883" s="189">
        <f>IFERROR(__xludf.DUMMYFUNCTION("""COMPUTED_VALUE"""),3852.0)</f>
        <v>3852</v>
      </c>
      <c r="R883" s="186"/>
      <c r="S883" s="189">
        <f>IFERROR(__xludf.DUMMYFUNCTION("""COMPUTED_VALUE"""),4036.0)</f>
        <v>4036</v>
      </c>
    </row>
    <row r="884">
      <c r="A884" s="186" t="str">
        <f>IFERROR(__xludf.DUMMYFUNCTION("""COMPUTED_VALUE"""),"NORDICS")</f>
        <v>NORDICS</v>
      </c>
      <c r="B884" s="186" t="str">
        <f>IFERROR(__xludf.DUMMYFUNCTION("""COMPUTED_VALUE"""),"W16")</f>
        <v>W16</v>
      </c>
      <c r="C884" s="186">
        <f>IFERROR(__xludf.DUMMYFUNCTION("""COMPUTED_VALUE"""),602.0)</f>
        <v>602</v>
      </c>
      <c r="D884" s="186" t="str">
        <f>IFERROR(__xludf.DUMMYFUNCTION("""COMPUTED_VALUE"""),"CON-00-147878-2")</f>
        <v>CON-00-147878-2</v>
      </c>
      <c r="E884" s="186" t="str">
        <f>IFERROR(__xludf.DUMMYFUNCTION("""COMPUTED_VALUE"""),"Grilled chicken and ratatouille")</f>
        <v>Grilled chicken and ratatouille</v>
      </c>
      <c r="F884" s="186" t="str">
        <f>IFERROR(__xludf.DUMMYFUNCTION("""COMPUTED_VALUE"""),"Grillet kylling med ratatouille")</f>
        <v>Grillet kylling med ratatouille</v>
      </c>
      <c r="G884" s="186" t="str">
        <f>IFERROR(__xludf.DUMMYFUNCTION("""COMPUTED_VALUE"""),"FE4015B")</f>
        <v>FE4015B</v>
      </c>
      <c r="H884" s="186">
        <f>IFERROR(__xludf.DUMMYFUNCTION("""COMPUTED_VALUE"""),565072.0)</f>
        <v>565072</v>
      </c>
      <c r="I884" s="186" t="str">
        <f>IFERROR(__xludf.DUMMYFUNCTION("""COMPUTED_VALUE"""),"HF Kipfilet met Ratatouille")</f>
        <v>HF Kipfilet met Ratatouille</v>
      </c>
      <c r="J884" s="189">
        <f>IFERROR(__xludf.DUMMYFUNCTION("""COMPUTED_VALUE"""),2142.0)</f>
        <v>2142</v>
      </c>
      <c r="K884" s="189">
        <f>IFERROR(__xludf.DUMMYFUNCTION("""COMPUTED_VALUE"""),2260.0)</f>
        <v>2260</v>
      </c>
      <c r="L884" s="189">
        <f>IFERROR(__xludf.DUMMYFUNCTION("""COMPUTED_VALUE"""),2168.0)</f>
        <v>2168</v>
      </c>
      <c r="M884" s="189">
        <f>IFERROR(__xludf.DUMMYFUNCTION("""COMPUTED_VALUE"""),2115.0)</f>
        <v>2115</v>
      </c>
      <c r="N884" s="189">
        <f>IFERROR(__xludf.DUMMYFUNCTION("""COMPUTED_VALUE"""),2186.0)</f>
        <v>2186</v>
      </c>
      <c r="O884" s="186"/>
      <c r="P884" s="189">
        <f>IFERROR(__xludf.DUMMYFUNCTION("""COMPUTED_VALUE"""),2229.0)</f>
        <v>2229</v>
      </c>
      <c r="Q884" s="189">
        <f>IFERROR(__xludf.DUMMYFUNCTION("""COMPUTED_VALUE"""),2410.0)</f>
        <v>2410</v>
      </c>
      <c r="R884" s="186"/>
      <c r="S884" s="189">
        <f>IFERROR(__xludf.DUMMYFUNCTION("""COMPUTED_VALUE"""),2574.0)</f>
        <v>2574</v>
      </c>
    </row>
    <row r="885">
      <c r="A885" s="186" t="str">
        <f>IFERROR(__xludf.DUMMYFUNCTION("""COMPUTED_VALUE"""),"NORDICS")</f>
        <v>NORDICS</v>
      </c>
      <c r="B885" s="186" t="str">
        <f>IFERROR(__xludf.DUMMYFUNCTION("""COMPUTED_VALUE"""),"W16")</f>
        <v>W16</v>
      </c>
      <c r="C885" s="186">
        <f>IFERROR(__xludf.DUMMYFUNCTION("""COMPUTED_VALUE"""),603.0)</f>
        <v>603</v>
      </c>
      <c r="D885" s="186" t="str">
        <f>IFERROR(__xludf.DUMMYFUNCTION("""COMPUTED_VALUE"""),"CON-00-147854-2")</f>
        <v>CON-00-147854-2</v>
      </c>
      <c r="E885" s="186" t="str">
        <f>IFERROR(__xludf.DUMMYFUNCTION("""COMPUTED_VALUE"""),"Cabbage in cheese sauce with minced beef")</f>
        <v>Cabbage in cheese sauce with minced beef</v>
      </c>
      <c r="F885" s="186" t="str">
        <f>IFERROR(__xludf.DUMMYFUNCTION("""COMPUTED_VALUE"""),"Kål i ostesauce med hakket oksekød")</f>
        <v>Kål i ostesauce med hakket oksekød</v>
      </c>
      <c r="G885" s="186" t="str">
        <f>IFERROR(__xludf.DUMMYFUNCTION("""COMPUTED_VALUE"""),"FE0713B")</f>
        <v>FE0713B</v>
      </c>
      <c r="H885" s="186">
        <f>IFERROR(__xludf.DUMMYFUNCTION("""COMPUTED_VALUE"""),565240.0)</f>
        <v>565240</v>
      </c>
      <c r="I885" s="186" t="str">
        <f>IFERROR(__xludf.DUMMYFUNCTION("""COMPUTED_VALUE"""),"HF RW Kool in kaassaus")</f>
        <v>HF RW Kool in kaassaus</v>
      </c>
      <c r="J885" s="189">
        <f>IFERROR(__xludf.DUMMYFUNCTION("""COMPUTED_VALUE"""),1806.0)</f>
        <v>1806</v>
      </c>
      <c r="K885" s="189">
        <f>IFERROR(__xludf.DUMMYFUNCTION("""COMPUTED_VALUE"""),2042.0)</f>
        <v>2042</v>
      </c>
      <c r="L885" s="189">
        <f>IFERROR(__xludf.DUMMYFUNCTION("""COMPUTED_VALUE"""),1708.0)</f>
        <v>1708</v>
      </c>
      <c r="M885" s="189">
        <f>IFERROR(__xludf.DUMMYFUNCTION("""COMPUTED_VALUE"""),1838.0)</f>
        <v>1838</v>
      </c>
      <c r="N885" s="189">
        <f>IFERROR(__xludf.DUMMYFUNCTION("""COMPUTED_VALUE"""),1881.0)</f>
        <v>1881</v>
      </c>
      <c r="O885" s="186"/>
      <c r="P885" s="189">
        <f>IFERROR(__xludf.DUMMYFUNCTION("""COMPUTED_VALUE"""),1892.0)</f>
        <v>1892</v>
      </c>
      <c r="Q885" s="189">
        <f>IFERROR(__xludf.DUMMYFUNCTION("""COMPUTED_VALUE"""),2034.0)</f>
        <v>2034</v>
      </c>
      <c r="R885" s="186"/>
      <c r="S885" s="189">
        <f>IFERROR(__xludf.DUMMYFUNCTION("""COMPUTED_VALUE"""),2079.0)</f>
        <v>2079</v>
      </c>
    </row>
    <row r="886">
      <c r="A886" s="186" t="str">
        <f>IFERROR(__xludf.DUMMYFUNCTION("""COMPUTED_VALUE"""),"NORDICS")</f>
        <v>NORDICS</v>
      </c>
      <c r="B886" s="186" t="str">
        <f>IFERROR(__xludf.DUMMYFUNCTION("""COMPUTED_VALUE"""),"W16")</f>
        <v>W16</v>
      </c>
      <c r="C886" s="186">
        <f>IFERROR(__xludf.DUMMYFUNCTION("""COMPUTED_VALUE"""),604.0)</f>
        <v>604</v>
      </c>
      <c r="D886" s="186" t="str">
        <f>IFERROR(__xludf.DUMMYFUNCTION("""COMPUTED_VALUE"""),"CON-00-147888-2")</f>
        <v>CON-00-147888-2</v>
      </c>
      <c r="E886" s="186" t="str">
        <f>IFERROR(__xludf.DUMMYFUNCTION("""COMPUTED_VALUE"""),"Beef &amp; BBQ sauce")</f>
        <v>Beef &amp; BBQ sauce</v>
      </c>
      <c r="F886" s="186" t="str">
        <f>IFERROR(__xludf.DUMMYFUNCTION("""COMPUTED_VALUE"""),"Pulled beef med BBQ sauce")</f>
        <v>Pulled beef med BBQ sauce</v>
      </c>
      <c r="G886" s="186" t="str">
        <f>IFERROR(__xludf.DUMMYFUNCTION("""COMPUTED_VALUE"""),"FE4027B")</f>
        <v>FE4027B</v>
      </c>
      <c r="H886" s="186">
        <f>IFERROR(__xludf.DUMMYFUNCTION("""COMPUTED_VALUE"""),565142.0)</f>
        <v>565142</v>
      </c>
      <c r="I886" s="186" t="str">
        <f>IFERROR(__xludf.DUMMYFUNCTION("""COMPUTED_VALUE"""),"HF RW Rundvlees &amp; BBQ saus RW565085 / FE4027A / CS P+")</f>
        <v>HF RW Rundvlees &amp; BBQ saus RW565085 / FE4027A / CS P+</v>
      </c>
      <c r="J886" s="189">
        <f>IFERROR(__xludf.DUMMYFUNCTION("""COMPUTED_VALUE"""),2981.0)</f>
        <v>2981</v>
      </c>
      <c r="K886" s="189">
        <f>IFERROR(__xludf.DUMMYFUNCTION("""COMPUTED_VALUE"""),3088.0)</f>
        <v>3088</v>
      </c>
      <c r="L886" s="189">
        <f>IFERROR(__xludf.DUMMYFUNCTION("""COMPUTED_VALUE"""),2450.0)</f>
        <v>2450</v>
      </c>
      <c r="M886" s="189">
        <f>IFERROR(__xludf.DUMMYFUNCTION("""COMPUTED_VALUE"""),2422.0)</f>
        <v>2422</v>
      </c>
      <c r="N886" s="189">
        <f>IFERROR(__xludf.DUMMYFUNCTION("""COMPUTED_VALUE"""),2591.0)</f>
        <v>2591</v>
      </c>
      <c r="O886" s="186"/>
      <c r="P886" s="189">
        <f>IFERROR(__xludf.DUMMYFUNCTION("""COMPUTED_VALUE"""),2777.0)</f>
        <v>2777</v>
      </c>
      <c r="Q886" s="189">
        <f>IFERROR(__xludf.DUMMYFUNCTION("""COMPUTED_VALUE"""),2969.0)</f>
        <v>2969</v>
      </c>
      <c r="R886" s="186"/>
      <c r="S886" s="189">
        <f>IFERROR(__xludf.DUMMYFUNCTION("""COMPUTED_VALUE"""),3102.0)</f>
        <v>3102</v>
      </c>
    </row>
    <row r="887">
      <c r="A887" s="186" t="str">
        <f>IFERROR(__xludf.DUMMYFUNCTION("""COMPUTED_VALUE"""),"NORDICS")</f>
        <v>NORDICS</v>
      </c>
      <c r="B887" s="186" t="str">
        <f>IFERROR(__xludf.DUMMYFUNCTION("""COMPUTED_VALUE"""),"W16")</f>
        <v>W16</v>
      </c>
      <c r="C887" s="186">
        <f>IFERROR(__xludf.DUMMYFUNCTION("""COMPUTED_VALUE"""),605.0)</f>
        <v>605</v>
      </c>
      <c r="D887" s="186" t="str">
        <f>IFERROR(__xludf.DUMMYFUNCTION("""COMPUTED_VALUE"""),"CON-00-152208-2")</f>
        <v>CON-00-152208-2</v>
      </c>
      <c r="E887" s="186" t="str">
        <f>IFERROR(__xludf.DUMMYFUNCTION("""COMPUTED_VALUE"""),"Green Chile Chicken &amp; Salsa Quinoa")</f>
        <v>Green Chile Chicken &amp; Salsa Quinoa</v>
      </c>
      <c r="F887" s="186" t="str">
        <f>IFERROR(__xludf.DUMMYFUNCTION("""COMPUTED_VALUE"""),"Chilensk inspireret kylling med salsa-quinoa")</f>
        <v>Chilensk inspireret kylling med salsa-quinoa</v>
      </c>
      <c r="G887" s="186" t="str">
        <f>IFERROR(__xludf.DUMMYFUNCTION("""COMPUTED_VALUE"""),"FE1636A")</f>
        <v>FE1636A</v>
      </c>
      <c r="H887" s="186">
        <f>IFERROR(__xludf.DUMMYFUNCTION("""COMPUTED_VALUE"""),565209.0)</f>
        <v>565209</v>
      </c>
      <c r="I887" s="186" t="str">
        <f>IFERROR(__xludf.DUMMYFUNCTION("""COMPUTED_VALUE"""),"HF Quinoa witte bonen salsa")</f>
        <v>HF Quinoa witte bonen salsa</v>
      </c>
      <c r="J887" s="189">
        <f>IFERROR(__xludf.DUMMYFUNCTION("""COMPUTED_VALUE"""),1629.0)</f>
        <v>1629</v>
      </c>
      <c r="K887" s="189">
        <f>IFERROR(__xludf.DUMMYFUNCTION("""COMPUTED_VALUE"""),1690.0)</f>
        <v>1690</v>
      </c>
      <c r="L887" s="189">
        <f>IFERROR(__xludf.DUMMYFUNCTION("""COMPUTED_VALUE"""),1557.0)</f>
        <v>1557</v>
      </c>
      <c r="M887" s="189">
        <f>IFERROR(__xludf.DUMMYFUNCTION("""COMPUTED_VALUE"""),1642.0)</f>
        <v>1642</v>
      </c>
      <c r="N887" s="189">
        <f>IFERROR(__xludf.DUMMYFUNCTION("""COMPUTED_VALUE"""),1706.0)</f>
        <v>1706</v>
      </c>
      <c r="O887" s="186"/>
      <c r="P887" s="189">
        <f>IFERROR(__xludf.DUMMYFUNCTION("""COMPUTED_VALUE"""),1850.0)</f>
        <v>1850</v>
      </c>
      <c r="Q887" s="189">
        <f>IFERROR(__xludf.DUMMYFUNCTION("""COMPUTED_VALUE"""),1957.0)</f>
        <v>1957</v>
      </c>
      <c r="R887" s="186"/>
      <c r="S887" s="189">
        <f>IFERROR(__xludf.DUMMYFUNCTION("""COMPUTED_VALUE"""),2050.0)</f>
        <v>2050</v>
      </c>
    </row>
    <row r="888">
      <c r="A888" s="186" t="str">
        <f>IFERROR(__xludf.DUMMYFUNCTION("""COMPUTED_VALUE"""),"NORDICS")</f>
        <v>NORDICS</v>
      </c>
      <c r="B888" s="186" t="str">
        <f>IFERROR(__xludf.DUMMYFUNCTION("""COMPUTED_VALUE"""),"W16")</f>
        <v>W16</v>
      </c>
      <c r="C888" s="186">
        <f>IFERROR(__xludf.DUMMYFUNCTION("""COMPUTED_VALUE"""),606.0)</f>
        <v>606</v>
      </c>
      <c r="D888" s="186" t="str">
        <f>IFERROR(__xludf.DUMMYFUNCTION("""COMPUTED_VALUE"""),"CON-00-147893-2")</f>
        <v>CON-00-147893-2</v>
      </c>
      <c r="E888" s="186" t="str">
        <f>IFERROR(__xludf.DUMMYFUNCTION("""COMPUTED_VALUE"""),"Salmon in creamy gochugaru sauce")</f>
        <v>Salmon in creamy gochugaru sauce</v>
      </c>
      <c r="F888" s="186" t="str">
        <f>IFERROR(__xludf.DUMMYFUNCTION("""COMPUTED_VALUE"""),"Laks i cremet gochugaru sauce")</f>
        <v>Laks i cremet gochugaru sauce</v>
      </c>
      <c r="G888" s="186" t="str">
        <f>IFERROR(__xludf.DUMMYFUNCTION("""COMPUTED_VALUE"""),"FE4039C")</f>
        <v>FE4039C</v>
      </c>
      <c r="H888" s="186">
        <f>IFERROR(__xludf.DUMMYFUNCTION("""COMPUTED_VALUE"""),565102.0)</f>
        <v>565102</v>
      </c>
      <c r="I888" s="186" t="str">
        <f>IFERROR(__xludf.DUMMYFUNCTION("""COMPUTED_VALUE"""),"HF Zalm romige gochugaru sa")</f>
        <v>HF Zalm romige gochugaru sa</v>
      </c>
      <c r="J888" s="189">
        <f>IFERROR(__xludf.DUMMYFUNCTION("""COMPUTED_VALUE"""),1686.0)</f>
        <v>1686</v>
      </c>
      <c r="K888" s="189">
        <f>IFERROR(__xludf.DUMMYFUNCTION("""COMPUTED_VALUE"""),1819.0)</f>
        <v>1819</v>
      </c>
      <c r="L888" s="189">
        <f>IFERROR(__xludf.DUMMYFUNCTION("""COMPUTED_VALUE"""),1709.0)</f>
        <v>1709</v>
      </c>
      <c r="M888" s="189">
        <f>IFERROR(__xludf.DUMMYFUNCTION("""COMPUTED_VALUE"""),1653.0)</f>
        <v>1653</v>
      </c>
      <c r="N888" s="189">
        <f>IFERROR(__xludf.DUMMYFUNCTION("""COMPUTED_VALUE"""),1671.0)</f>
        <v>1671</v>
      </c>
      <c r="O888" s="186"/>
      <c r="P888" s="189">
        <f>IFERROR(__xludf.DUMMYFUNCTION("""COMPUTED_VALUE"""),1738.0)</f>
        <v>1738</v>
      </c>
      <c r="Q888" s="189">
        <f>IFERROR(__xludf.DUMMYFUNCTION("""COMPUTED_VALUE"""),1866.0)</f>
        <v>1866</v>
      </c>
      <c r="R888" s="186"/>
      <c r="S888" s="189">
        <f>IFERROR(__xludf.DUMMYFUNCTION("""COMPUTED_VALUE"""),1890.0)</f>
        <v>1890</v>
      </c>
    </row>
    <row r="889">
      <c r="A889" s="186" t="str">
        <f>IFERROR(__xludf.DUMMYFUNCTION("""COMPUTED_VALUE"""),"NORDICS")</f>
        <v>NORDICS</v>
      </c>
      <c r="B889" s="186" t="str">
        <f>IFERROR(__xludf.DUMMYFUNCTION("""COMPUTED_VALUE"""),"W16")</f>
        <v>W16</v>
      </c>
      <c r="C889" s="186">
        <f>IFERROR(__xludf.DUMMYFUNCTION("""COMPUTED_VALUE"""),607.0)</f>
        <v>607</v>
      </c>
      <c r="D889" s="186" t="str">
        <f>IFERROR(__xludf.DUMMYFUNCTION("""COMPUTED_VALUE"""),"CON-00-147844-2")</f>
        <v>CON-00-147844-2</v>
      </c>
      <c r="E889" s="186" t="str">
        <f>IFERROR(__xludf.DUMMYFUNCTION("""COMPUTED_VALUE"""),"Indian style butter chicken")</f>
        <v>Indian style butter chicken</v>
      </c>
      <c r="F889" s="186" t="str">
        <f>IFERROR(__xludf.DUMMYFUNCTION("""COMPUTED_VALUE"""),"Indisk-inspireret butter chicken")</f>
        <v>Indisk-inspireret butter chicken</v>
      </c>
      <c r="G889" s="186" t="str">
        <f>IFERROR(__xludf.DUMMYFUNCTION("""COMPUTED_VALUE"""),"FE0472B")</f>
        <v>FE0472B</v>
      </c>
      <c r="H889" s="186">
        <f>IFERROR(__xludf.DUMMYFUNCTION("""COMPUTED_VALUE"""),565145.0)</f>
        <v>565145</v>
      </c>
      <c r="I889" s="186" t="str">
        <f>IFERROR(__xludf.DUMMYFUNCTION("""COMPUTED_VALUE"""),"HF RW Butter Chicken")</f>
        <v>HF RW Butter Chicken</v>
      </c>
      <c r="J889" s="189">
        <f>IFERROR(__xludf.DUMMYFUNCTION("""COMPUTED_VALUE"""),1048.0)</f>
        <v>1048</v>
      </c>
      <c r="K889" s="189">
        <f>IFERROR(__xludf.DUMMYFUNCTION("""COMPUTED_VALUE"""),1256.0)</f>
        <v>1256</v>
      </c>
      <c r="L889" s="189">
        <f>IFERROR(__xludf.DUMMYFUNCTION("""COMPUTED_VALUE"""),1367.0)</f>
        <v>1367</v>
      </c>
      <c r="M889" s="189">
        <f>IFERROR(__xludf.DUMMYFUNCTION("""COMPUTED_VALUE"""),1337.0)</f>
        <v>1337</v>
      </c>
      <c r="N889" s="189">
        <f>IFERROR(__xludf.DUMMYFUNCTION("""COMPUTED_VALUE"""),1382.0)</f>
        <v>1382</v>
      </c>
      <c r="O889" s="186"/>
      <c r="P889" s="189">
        <f>IFERROR(__xludf.DUMMYFUNCTION("""COMPUTED_VALUE"""),1508.0)</f>
        <v>1508</v>
      </c>
      <c r="Q889" s="189">
        <f>IFERROR(__xludf.DUMMYFUNCTION("""COMPUTED_VALUE"""),1567.0)</f>
        <v>1567</v>
      </c>
      <c r="R889" s="186"/>
      <c r="S889" s="189">
        <f>IFERROR(__xludf.DUMMYFUNCTION("""COMPUTED_VALUE"""),1545.0)</f>
        <v>1545</v>
      </c>
    </row>
    <row r="890">
      <c r="A890" s="186" t="str">
        <f>IFERROR(__xludf.DUMMYFUNCTION("""COMPUTED_VALUE"""),"NORDICS")</f>
        <v>NORDICS</v>
      </c>
      <c r="B890" s="186" t="str">
        <f>IFERROR(__xludf.DUMMYFUNCTION("""COMPUTED_VALUE"""),"W16")</f>
        <v>W16</v>
      </c>
      <c r="C890" s="186">
        <f>IFERROR(__xludf.DUMMYFUNCTION("""COMPUTED_VALUE"""),608.0)</f>
        <v>608</v>
      </c>
      <c r="D890" s="186" t="str">
        <f>IFERROR(__xludf.DUMMYFUNCTION("""COMPUTED_VALUE"""),"CON-00-147884-2")</f>
        <v>CON-00-147884-2</v>
      </c>
      <c r="E890" s="186" t="str">
        <f>IFERROR(__xludf.DUMMYFUNCTION("""COMPUTED_VALUE"""),"Chicken in chive cream sauce")</f>
        <v>Chicken in chive cream sauce</v>
      </c>
      <c r="F890" s="186" t="str">
        <f>IFERROR(__xludf.DUMMYFUNCTION("""COMPUTED_VALUE"""),"Kylling i purløg-flødesauce")</f>
        <v>Kylling i purløg-flødesauce</v>
      </c>
      <c r="G890" s="186" t="str">
        <f>IFERROR(__xludf.DUMMYFUNCTION("""COMPUTED_VALUE"""),"FE4023B")</f>
        <v>FE4023B</v>
      </c>
      <c r="H890" s="186">
        <f>IFERROR(__xludf.DUMMYFUNCTION("""COMPUTED_VALUE"""),565161.0)</f>
        <v>565161</v>
      </c>
      <c r="I890" s="186" t="str">
        <f>IFERROR(__xludf.DUMMYFUNCTION("""COMPUTED_VALUE"""),"HF RW Kipf in bieslookroomsaus")</f>
        <v>HF RW Kipf in bieslookroomsaus</v>
      </c>
      <c r="J890" s="189">
        <f>IFERROR(__xludf.DUMMYFUNCTION("""COMPUTED_VALUE"""),1005.0)</f>
        <v>1005</v>
      </c>
      <c r="K890" s="189">
        <f>IFERROR(__xludf.DUMMYFUNCTION("""COMPUTED_VALUE"""),1228.0)</f>
        <v>1228</v>
      </c>
      <c r="L890" s="189">
        <f>IFERROR(__xludf.DUMMYFUNCTION("""COMPUTED_VALUE"""),1115.0)</f>
        <v>1115</v>
      </c>
      <c r="M890" s="189">
        <f>IFERROR(__xludf.DUMMYFUNCTION("""COMPUTED_VALUE"""),1164.0)</f>
        <v>1164</v>
      </c>
      <c r="N890" s="189">
        <f>IFERROR(__xludf.DUMMYFUNCTION("""COMPUTED_VALUE"""),1168.0)</f>
        <v>1168</v>
      </c>
      <c r="O890" s="186"/>
      <c r="P890" s="189">
        <f>IFERROR(__xludf.DUMMYFUNCTION("""COMPUTED_VALUE"""),1187.0)</f>
        <v>1187</v>
      </c>
      <c r="Q890" s="189">
        <f>IFERROR(__xludf.DUMMYFUNCTION("""COMPUTED_VALUE"""),1269.0)</f>
        <v>1269</v>
      </c>
      <c r="R890" s="186"/>
      <c r="S890" s="189">
        <f>IFERROR(__xludf.DUMMYFUNCTION("""COMPUTED_VALUE"""),1255.0)</f>
        <v>1255</v>
      </c>
    </row>
    <row r="891">
      <c r="A891" s="186" t="str">
        <f>IFERROR(__xludf.DUMMYFUNCTION("""COMPUTED_VALUE"""),"NORDICS")</f>
        <v>NORDICS</v>
      </c>
      <c r="B891" s="186" t="str">
        <f>IFERROR(__xludf.DUMMYFUNCTION("""COMPUTED_VALUE"""),"W16")</f>
        <v>W16</v>
      </c>
      <c r="C891" s="186">
        <f>IFERROR(__xludf.DUMMYFUNCTION("""COMPUTED_VALUE"""),609.0)</f>
        <v>609</v>
      </c>
      <c r="D891" s="186" t="str">
        <f>IFERROR(__xludf.DUMMYFUNCTION("""COMPUTED_VALUE"""),"CON-00-147817-2")</f>
        <v>CON-00-147817-2</v>
      </c>
      <c r="E891" s="186" t="str">
        <f>IFERROR(__xludf.DUMMYFUNCTION("""COMPUTED_VALUE"""),"Ratatouille of zucchini and pepper")</f>
        <v>Ratatouille of zucchini and pepper</v>
      </c>
      <c r="F891" s="186" t="str">
        <f>IFERROR(__xludf.DUMMYFUNCTION("""COMPUTED_VALUE"""),"Squash- og peberfrugtsratatouille")</f>
        <v>Squash- og peberfrugtsratatouille</v>
      </c>
      <c r="G891" s="186" t="str">
        <f>IFERROR(__xludf.DUMMYFUNCTION("""COMPUTED_VALUE"""),"FE0090C")</f>
        <v>FE0090C</v>
      </c>
      <c r="H891" s="186">
        <f>IFERROR(__xludf.DUMMYFUNCTION("""COMPUTED_VALUE"""),565141.0)</f>
        <v>565141</v>
      </c>
      <c r="I891" s="186"/>
      <c r="J891" s="189">
        <f>IFERROR(__xludf.DUMMYFUNCTION("""COMPUTED_VALUE"""),202.0)</f>
        <v>202</v>
      </c>
      <c r="K891" s="189">
        <f>IFERROR(__xludf.DUMMYFUNCTION("""COMPUTED_VALUE"""),238.0)</f>
        <v>238</v>
      </c>
      <c r="L891" s="189">
        <f>IFERROR(__xludf.DUMMYFUNCTION("""COMPUTED_VALUE"""),158.0)</f>
        <v>158</v>
      </c>
      <c r="M891" s="189">
        <f>IFERROR(__xludf.DUMMYFUNCTION("""COMPUTED_VALUE"""),195.0)</f>
        <v>195</v>
      </c>
      <c r="N891" s="189">
        <f>IFERROR(__xludf.DUMMYFUNCTION("""COMPUTED_VALUE"""),193.0)</f>
        <v>193</v>
      </c>
      <c r="O891" s="186"/>
      <c r="P891" s="189">
        <f>IFERROR(__xludf.DUMMYFUNCTION("""COMPUTED_VALUE"""),195.0)</f>
        <v>195</v>
      </c>
      <c r="Q891" s="189">
        <f>IFERROR(__xludf.DUMMYFUNCTION("""COMPUTED_VALUE"""),200.0)</f>
        <v>200</v>
      </c>
      <c r="R891" s="186"/>
      <c r="S891" s="189">
        <f>IFERROR(__xludf.DUMMYFUNCTION("""COMPUTED_VALUE"""),214.0)</f>
        <v>214</v>
      </c>
    </row>
    <row r="892">
      <c r="A892" s="186" t="str">
        <f>IFERROR(__xludf.DUMMYFUNCTION("""COMPUTED_VALUE"""),"NORDICS")</f>
        <v>NORDICS</v>
      </c>
      <c r="B892" s="186" t="str">
        <f>IFERROR(__xludf.DUMMYFUNCTION("""COMPUTED_VALUE"""),"W16")</f>
        <v>W16</v>
      </c>
      <c r="C892" s="186">
        <f>IFERROR(__xludf.DUMMYFUNCTION("""COMPUTED_VALUE"""),610.0)</f>
        <v>610</v>
      </c>
      <c r="D892" s="186" t="str">
        <f>IFERROR(__xludf.DUMMYFUNCTION("""COMPUTED_VALUE"""),"CON-00-147816-2")</f>
        <v>CON-00-147816-2</v>
      </c>
      <c r="E892" s="186" t="str">
        <f>IFERROR(__xludf.DUMMYFUNCTION("""COMPUTED_VALUE"""),"Creamy tomato risotto")</f>
        <v>Creamy tomato risotto</v>
      </c>
      <c r="F892" s="186" t="str">
        <f>IFERROR(__xludf.DUMMYFUNCTION("""COMPUTED_VALUE"""),"Cremet tomatrisotto")</f>
        <v>Cremet tomatrisotto</v>
      </c>
      <c r="G892" s="186" t="str">
        <f>IFERROR(__xludf.DUMMYFUNCTION("""COMPUTED_VALUE"""),"FE0031C")</f>
        <v>FE0031C</v>
      </c>
      <c r="H892" s="186">
        <f>IFERROR(__xludf.DUMMYFUNCTION("""COMPUTED_VALUE"""),565244.0)</f>
        <v>565244</v>
      </c>
      <c r="I892" s="186" t="str">
        <f>IFERROR(__xludf.DUMMYFUNCTION("""COMPUTED_VALUE"""),"IO HF Romige tomatenrisotto V2")</f>
        <v>IO HF Romige tomatenrisotto V2</v>
      </c>
      <c r="J892" s="189">
        <f>IFERROR(__xludf.DUMMYFUNCTION("""COMPUTED_VALUE"""),191.0)</f>
        <v>191</v>
      </c>
      <c r="K892" s="189">
        <f>IFERROR(__xludf.DUMMYFUNCTION("""COMPUTED_VALUE"""),265.0)</f>
        <v>265</v>
      </c>
      <c r="L892" s="189">
        <f>IFERROR(__xludf.DUMMYFUNCTION("""COMPUTED_VALUE"""),304.0)</f>
        <v>304</v>
      </c>
      <c r="M892" s="189">
        <f>IFERROR(__xludf.DUMMYFUNCTION("""COMPUTED_VALUE"""),252.0)</f>
        <v>252</v>
      </c>
      <c r="N892" s="189">
        <f>IFERROR(__xludf.DUMMYFUNCTION("""COMPUTED_VALUE"""),262.0)</f>
        <v>262</v>
      </c>
      <c r="O892" s="186"/>
      <c r="P892" s="189">
        <f>IFERROR(__xludf.DUMMYFUNCTION("""COMPUTED_VALUE"""),288.0)</f>
        <v>288</v>
      </c>
      <c r="Q892" s="189">
        <f>IFERROR(__xludf.DUMMYFUNCTION("""COMPUTED_VALUE"""),305.0)</f>
        <v>305</v>
      </c>
      <c r="R892" s="186"/>
      <c r="S892" s="189">
        <f>IFERROR(__xludf.DUMMYFUNCTION("""COMPUTED_VALUE"""),343.0)</f>
        <v>343</v>
      </c>
    </row>
    <row r="893">
      <c r="A893" s="186" t="str">
        <f>IFERROR(__xludf.DUMMYFUNCTION("""COMPUTED_VALUE"""),"NORDICS")</f>
        <v>NORDICS</v>
      </c>
      <c r="B893" s="186" t="str">
        <f>IFERROR(__xludf.DUMMYFUNCTION("""COMPUTED_VALUE"""),"W16")</f>
        <v>W16</v>
      </c>
      <c r="C893" s="186">
        <f>IFERROR(__xludf.DUMMYFUNCTION("""COMPUTED_VALUE"""),611.0)</f>
        <v>611</v>
      </c>
      <c r="D893" s="186" t="str">
        <f>IFERROR(__xludf.DUMMYFUNCTION("""COMPUTED_VALUE"""),"CON-00-147907-2")</f>
        <v>CON-00-147907-2</v>
      </c>
      <c r="E893" s="186" t="str">
        <f>IFERROR(__xludf.DUMMYFUNCTION("""COMPUTED_VALUE"""),"Artichoke &amp; Spinach Pork tenderloin")</f>
        <v>Artichoke &amp; Spinach Pork tenderloin</v>
      </c>
      <c r="F893" s="186" t="str">
        <f>IFERROR(__xludf.DUMMYFUNCTION("""COMPUTED_VALUE"""),"Svinemørbrad med artiskok og spinat ")</f>
        <v>Svinemørbrad med artiskok og spinat </v>
      </c>
      <c r="G893" s="186" t="str">
        <f>IFERROR(__xludf.DUMMYFUNCTION("""COMPUTED_VALUE"""),"FE4060A")</f>
        <v>FE4060A</v>
      </c>
      <c r="H893" s="186">
        <f>IFERROR(__xludf.DUMMYFUNCTION("""COMPUTED_VALUE"""),565134.0)</f>
        <v>565134</v>
      </c>
      <c r="I893" s="186"/>
      <c r="J893" s="189">
        <f>IFERROR(__xludf.DUMMYFUNCTION("""COMPUTED_VALUE"""),394.0)</f>
        <v>394</v>
      </c>
      <c r="K893" s="189">
        <f>IFERROR(__xludf.DUMMYFUNCTION("""COMPUTED_VALUE"""),450.0)</f>
        <v>450</v>
      </c>
      <c r="L893" s="189">
        <f>IFERROR(__xludf.DUMMYFUNCTION("""COMPUTED_VALUE"""),285.0)</f>
        <v>285</v>
      </c>
      <c r="M893" s="189">
        <f>IFERROR(__xludf.DUMMYFUNCTION("""COMPUTED_VALUE"""),395.0)</f>
        <v>395</v>
      </c>
      <c r="N893" s="189">
        <f>IFERROR(__xludf.DUMMYFUNCTION("""COMPUTED_VALUE"""),418.0)</f>
        <v>418</v>
      </c>
      <c r="O893" s="186"/>
      <c r="P893" s="189">
        <f>IFERROR(__xludf.DUMMYFUNCTION("""COMPUTED_VALUE"""),461.0)</f>
        <v>461</v>
      </c>
      <c r="Q893" s="189">
        <f>IFERROR(__xludf.DUMMYFUNCTION("""COMPUTED_VALUE"""),438.0)</f>
        <v>438</v>
      </c>
      <c r="R893" s="186"/>
      <c r="S893" s="189">
        <f>IFERROR(__xludf.DUMMYFUNCTION("""COMPUTED_VALUE"""),441.0)</f>
        <v>441</v>
      </c>
    </row>
    <row r="894">
      <c r="A894" s="186" t="str">
        <f>IFERROR(__xludf.DUMMYFUNCTION("""COMPUTED_VALUE"""),"NORDICS")</f>
        <v>NORDICS</v>
      </c>
      <c r="B894" s="186" t="str">
        <f>IFERROR(__xludf.DUMMYFUNCTION("""COMPUTED_VALUE"""),"W16")</f>
        <v>W16</v>
      </c>
      <c r="C894" s="186">
        <f>IFERROR(__xludf.DUMMYFUNCTION("""COMPUTED_VALUE"""),612.0)</f>
        <v>612</v>
      </c>
      <c r="D894" s="186" t="str">
        <f>IFERROR(__xludf.DUMMYFUNCTION("""COMPUTED_VALUE"""),"CON-00-152030-2")</f>
        <v>CON-00-152030-2</v>
      </c>
      <c r="E894" s="186" t="str">
        <f>IFERROR(__xludf.DUMMYFUNCTION("""COMPUTED_VALUE"""),"Salmon Dijonnaise")</f>
        <v>Salmon Dijonnaise</v>
      </c>
      <c r="F894" s="186" t="str">
        <f>IFERROR(__xludf.DUMMYFUNCTION("""COMPUTED_VALUE"""),"Laks med dijonnaise")</f>
        <v>Laks med dijonnaise</v>
      </c>
      <c r="G894" s="186" t="str">
        <f>IFERROR(__xludf.DUMMYFUNCTION("""COMPUTED_VALUE"""),"FE1031A")</f>
        <v>FE1031A</v>
      </c>
      <c r="H894" s="186">
        <f>IFERROR(__xludf.DUMMYFUNCTION("""COMPUTED_VALUE"""),565207.0)</f>
        <v>565207</v>
      </c>
      <c r="I894" s="186" t="str">
        <f>IFERROR(__xludf.DUMMYFUNCTION("""COMPUTED_VALUE"""),"HF Zalm dijonnaise")</f>
        <v>HF Zalm dijonnaise</v>
      </c>
      <c r="J894" s="189">
        <f>IFERROR(__xludf.DUMMYFUNCTION("""COMPUTED_VALUE"""),1702.0)</f>
        <v>1702</v>
      </c>
      <c r="K894" s="189">
        <f>IFERROR(__xludf.DUMMYFUNCTION("""COMPUTED_VALUE"""),1640.0)</f>
        <v>1640</v>
      </c>
      <c r="L894" s="189">
        <f>IFERROR(__xludf.DUMMYFUNCTION("""COMPUTED_VALUE"""),1399.0)</f>
        <v>1399</v>
      </c>
      <c r="M894" s="189">
        <f>IFERROR(__xludf.DUMMYFUNCTION("""COMPUTED_VALUE"""),1470.0)</f>
        <v>1470</v>
      </c>
      <c r="N894" s="189">
        <f>IFERROR(__xludf.DUMMYFUNCTION("""COMPUTED_VALUE"""),1549.0)</f>
        <v>1549</v>
      </c>
      <c r="O894" s="186"/>
      <c r="P894" s="189">
        <f>IFERROR(__xludf.DUMMYFUNCTION("""COMPUTED_VALUE"""),1673.0)</f>
        <v>1673</v>
      </c>
      <c r="Q894" s="189">
        <f>IFERROR(__xludf.DUMMYFUNCTION("""COMPUTED_VALUE"""),1724.0)</f>
        <v>1724</v>
      </c>
      <c r="R894" s="186"/>
      <c r="S894" s="189">
        <f>IFERROR(__xludf.DUMMYFUNCTION("""COMPUTED_VALUE"""),1764.0)</f>
        <v>1764</v>
      </c>
    </row>
    <row r="895">
      <c r="A895" s="186" t="str">
        <f>IFERROR(__xludf.DUMMYFUNCTION("""COMPUTED_VALUE"""),"NORDICS")</f>
        <v>NORDICS</v>
      </c>
      <c r="B895" s="186" t="str">
        <f>IFERROR(__xludf.DUMMYFUNCTION("""COMPUTED_VALUE"""),"W16")</f>
        <v>W16</v>
      </c>
      <c r="C895" s="186">
        <f>IFERROR(__xludf.DUMMYFUNCTION("""COMPUTED_VALUE"""),613.0)</f>
        <v>613</v>
      </c>
      <c r="D895" s="186" t="str">
        <f>IFERROR(__xludf.DUMMYFUNCTION("""COMPUTED_VALUE"""),"CON-00-155634-2")</f>
        <v>CON-00-155634-2</v>
      </c>
      <c r="E895" s="186" t="str">
        <f>IFERROR(__xludf.DUMMYFUNCTION("""COMPUTED_VALUE"""),"Cajun Chicken, Tomato Gravy &amp; Mashed Potatoes")</f>
        <v>Cajun Chicken, Tomato Gravy &amp; Mashed Potatoes</v>
      </c>
      <c r="F895" s="186" t="str">
        <f>IFERROR(__xludf.DUMMYFUNCTION("""COMPUTED_VALUE"""),"Cajun-krydret kylling med tomatsauce og kartoffelmos")</f>
        <v>Cajun-krydret kylling med tomatsauce og kartoffelmos</v>
      </c>
      <c r="G895" s="186" t="str">
        <f>IFERROR(__xludf.DUMMYFUNCTION("""COMPUTED_VALUE"""),"FE4081A")</f>
        <v>FE4081A</v>
      </c>
      <c r="H895" s="186">
        <f>IFERROR(__xludf.DUMMYFUNCTION("""COMPUTED_VALUE"""),565255.0)</f>
        <v>565255</v>
      </c>
      <c r="I895" s="186" t="str">
        <f>IFERROR(__xludf.DUMMYFUNCTION("""COMPUTED_VALUE"""),"HF Cajun chicken tomato gravy")</f>
        <v>HF Cajun chicken tomato gravy</v>
      </c>
      <c r="J895" s="189">
        <f>IFERROR(__xludf.DUMMYFUNCTION("""COMPUTED_VALUE"""),1736.0)</f>
        <v>1736</v>
      </c>
      <c r="K895" s="189">
        <f>IFERROR(__xludf.DUMMYFUNCTION("""COMPUTED_VALUE"""),2079.0)</f>
        <v>2079</v>
      </c>
      <c r="L895" s="189">
        <f>IFERROR(__xludf.DUMMYFUNCTION("""COMPUTED_VALUE"""),1689.0)</f>
        <v>1689</v>
      </c>
      <c r="M895" s="189">
        <f>IFERROR(__xludf.DUMMYFUNCTION("""COMPUTED_VALUE"""),1585.0)</f>
        <v>1585</v>
      </c>
      <c r="N895" s="189">
        <f>IFERROR(__xludf.DUMMYFUNCTION("""COMPUTED_VALUE"""),1644.0)</f>
        <v>1644</v>
      </c>
      <c r="O895" s="186"/>
      <c r="P895" s="189">
        <f>IFERROR(__xludf.DUMMYFUNCTION("""COMPUTED_VALUE"""),1744.0)</f>
        <v>1744</v>
      </c>
      <c r="Q895" s="189">
        <f>IFERROR(__xludf.DUMMYFUNCTION("""COMPUTED_VALUE"""),1829.0)</f>
        <v>1829</v>
      </c>
      <c r="R895" s="186"/>
      <c r="S895" s="189">
        <f>IFERROR(__xludf.DUMMYFUNCTION("""COMPUTED_VALUE"""),1878.0)</f>
        <v>1878</v>
      </c>
    </row>
    <row r="896">
      <c r="A896" s="186" t="str">
        <f>IFERROR(__xludf.DUMMYFUNCTION("""COMPUTED_VALUE"""),"NORDICS")</f>
        <v>NORDICS</v>
      </c>
      <c r="B896" s="186" t="str">
        <f>IFERROR(__xludf.DUMMYFUNCTION("""COMPUTED_VALUE"""),"W16")</f>
        <v>W16</v>
      </c>
      <c r="C896" s="186">
        <f>IFERROR(__xludf.DUMMYFUNCTION("""COMPUTED_VALUE"""),614.0)</f>
        <v>614</v>
      </c>
      <c r="D896" s="186" t="str">
        <f>IFERROR(__xludf.DUMMYFUNCTION("""COMPUTED_VALUE"""),"CON-00-168316-2")</f>
        <v>CON-00-168316-2</v>
      </c>
      <c r="E896" s="186" t="str">
        <f>IFERROR(__xludf.DUMMYFUNCTION("""COMPUTED_VALUE"""),"Tangy Miso Chicken Bowl")</f>
        <v>Tangy Miso Chicken Bowl</v>
      </c>
      <c r="F896" s="186" t="str">
        <f>IFERROR(__xludf.DUMMYFUNCTION("""COMPUTED_VALUE"""),"Miso-kyllingebowl")</f>
        <v>Miso-kyllingebowl</v>
      </c>
      <c r="G896" s="186" t="str">
        <f>IFERROR(__xludf.DUMMYFUNCTION("""COMPUTED_VALUE"""),"FE1790A")</f>
        <v>FE1790A</v>
      </c>
      <c r="H896" s="186">
        <f>IFERROR(__xludf.DUMMYFUNCTION("""COMPUTED_VALUE"""),565267.0)</f>
        <v>565267</v>
      </c>
      <c r="I896" s="186" t="str">
        <f>IFERROR(__xludf.DUMMYFUNCTION("""COMPUTED_VALUE"""),"HF Tangy chicken miso bowl")</f>
        <v>HF Tangy chicken miso bowl</v>
      </c>
      <c r="J896" s="189">
        <f>IFERROR(__xludf.DUMMYFUNCTION("""COMPUTED_VALUE"""),689.0)</f>
        <v>689</v>
      </c>
      <c r="K896" s="189">
        <f>IFERROR(__xludf.DUMMYFUNCTION("""COMPUTED_VALUE"""),676.0)</f>
        <v>676</v>
      </c>
      <c r="L896" s="189">
        <f>IFERROR(__xludf.DUMMYFUNCTION("""COMPUTED_VALUE"""),947.0)</f>
        <v>947</v>
      </c>
      <c r="M896" s="189">
        <f>IFERROR(__xludf.DUMMYFUNCTION("""COMPUTED_VALUE"""),898.0)</f>
        <v>898</v>
      </c>
      <c r="N896" s="189">
        <f>IFERROR(__xludf.DUMMYFUNCTION("""COMPUTED_VALUE"""),858.0)</f>
        <v>858</v>
      </c>
      <c r="O896" s="186"/>
      <c r="P896" s="189">
        <f>IFERROR(__xludf.DUMMYFUNCTION("""COMPUTED_VALUE"""),956.0)</f>
        <v>956</v>
      </c>
      <c r="Q896" s="189">
        <f>IFERROR(__xludf.DUMMYFUNCTION("""COMPUTED_VALUE"""),962.0)</f>
        <v>962</v>
      </c>
      <c r="R896" s="186"/>
      <c r="S896" s="189">
        <f>IFERROR(__xludf.DUMMYFUNCTION("""COMPUTED_VALUE"""),991.0)</f>
        <v>991</v>
      </c>
    </row>
    <row r="897">
      <c r="A897" s="186" t="str">
        <f>IFERROR(__xludf.DUMMYFUNCTION("""COMPUTED_VALUE"""),"NORDICS")</f>
        <v>NORDICS</v>
      </c>
      <c r="B897" s="186" t="str">
        <f>IFERROR(__xludf.DUMMYFUNCTION("""COMPUTED_VALUE"""),"W16")</f>
        <v>W16</v>
      </c>
      <c r="C897" s="186">
        <f>IFERROR(__xludf.DUMMYFUNCTION("""COMPUTED_VALUE"""),615.0)</f>
        <v>615</v>
      </c>
      <c r="D897" s="186" t="str">
        <f>IFERROR(__xludf.DUMMYFUNCTION("""COMPUTED_VALUE"""),"CON-00-147839-2")</f>
        <v>CON-00-147839-2</v>
      </c>
      <c r="E897" s="186" t="str">
        <f>IFERROR(__xludf.DUMMYFUNCTION("""COMPUTED_VALUE"""),"Braised beef in herby jus")</f>
        <v>Braised beef in herby jus</v>
      </c>
      <c r="F897" s="186" t="str">
        <f>IFERROR(__xludf.DUMMYFUNCTION("""COMPUTED_VALUE"""),"Braiseret oksekød i urtesauce")</f>
        <v>Braiseret oksekød i urtesauce</v>
      </c>
      <c r="G897" s="186" t="str">
        <f>IFERROR(__xludf.DUMMYFUNCTION("""COMPUTED_VALUE"""),"FE0413F")</f>
        <v>FE0413F</v>
      </c>
      <c r="H897" s="186">
        <f>IFERROR(__xludf.DUMMYFUNCTION("""COMPUTED_VALUE"""),565089.0)</f>
        <v>565089</v>
      </c>
      <c r="I897" s="186" t="str">
        <f>IFERROR(__xludf.DUMMYFUNCTION("""COMPUTED_VALUE"""),"HF Franse stijl rundvlees")</f>
        <v>HF Franse stijl rundvlees</v>
      </c>
      <c r="J897" s="189">
        <f>IFERROR(__xludf.DUMMYFUNCTION("""COMPUTED_VALUE"""),702.0)</f>
        <v>702</v>
      </c>
      <c r="K897" s="189">
        <f>IFERROR(__xludf.DUMMYFUNCTION("""COMPUTED_VALUE"""),723.0)</f>
        <v>723</v>
      </c>
      <c r="L897" s="189">
        <f>IFERROR(__xludf.DUMMYFUNCTION("""COMPUTED_VALUE"""),749.0)</f>
        <v>749</v>
      </c>
      <c r="M897" s="189">
        <f>IFERROR(__xludf.DUMMYFUNCTION("""COMPUTED_VALUE"""),730.0)</f>
        <v>730</v>
      </c>
      <c r="N897" s="189">
        <f>IFERROR(__xludf.DUMMYFUNCTION("""COMPUTED_VALUE"""),794.0)</f>
        <v>794</v>
      </c>
      <c r="O897" s="186"/>
      <c r="P897" s="189">
        <f>IFERROR(__xludf.DUMMYFUNCTION("""COMPUTED_VALUE"""),849.0)</f>
        <v>849</v>
      </c>
      <c r="Q897" s="189">
        <f>IFERROR(__xludf.DUMMYFUNCTION("""COMPUTED_VALUE"""),893.0)</f>
        <v>893</v>
      </c>
      <c r="R897" s="186"/>
      <c r="S897" s="189">
        <f>IFERROR(__xludf.DUMMYFUNCTION("""COMPUTED_VALUE"""),883.0)</f>
        <v>883</v>
      </c>
    </row>
    <row r="898">
      <c r="A898" s="186" t="str">
        <f>IFERROR(__xludf.DUMMYFUNCTION("""COMPUTED_VALUE"""),"NORDICS")</f>
        <v>NORDICS</v>
      </c>
      <c r="B898" s="186" t="str">
        <f>IFERROR(__xludf.DUMMYFUNCTION("""COMPUTED_VALUE"""),"W16")</f>
        <v>W16</v>
      </c>
      <c r="C898" s="186">
        <f>IFERROR(__xludf.DUMMYFUNCTION("""COMPUTED_VALUE"""),616.0)</f>
        <v>616</v>
      </c>
      <c r="D898" s="186" t="str">
        <f>IFERROR(__xludf.DUMMYFUNCTION("""COMPUTED_VALUE"""),"CON-00-168315-2")</f>
        <v>CON-00-168315-2</v>
      </c>
      <c r="E898" s="186" t="str">
        <f>IFERROR(__xludf.DUMMYFUNCTION("""COMPUTED_VALUE"""),"Grilled Pork Tenderloin &amp; Butternut Mash")</f>
        <v>Grilled Pork Tenderloin &amp; Butternut Mash</v>
      </c>
      <c r="F898" s="186" t="str">
        <f>IFERROR(__xludf.DUMMYFUNCTION("""COMPUTED_VALUE"""),"Grillet svinemørbrad med butternutmos")</f>
        <v>Grillet svinemørbrad med butternutmos</v>
      </c>
      <c r="G898" s="186" t="str">
        <f>IFERROR(__xludf.DUMMYFUNCTION("""COMPUTED_VALUE"""),"FE1487A")</f>
        <v>FE1487A</v>
      </c>
      <c r="H898" s="186">
        <f>IFERROR(__xludf.DUMMYFUNCTION("""COMPUTED_VALUE"""),565285.0)</f>
        <v>565285</v>
      </c>
      <c r="I898" s="186" t="str">
        <f>IFERROR(__xludf.DUMMYFUNCTION("""COMPUTED_VALUE"""),"HF Varkenshaas pompoen puree")</f>
        <v>HF Varkenshaas pompoen puree</v>
      </c>
      <c r="J898" s="189">
        <f>IFERROR(__xludf.DUMMYFUNCTION("""COMPUTED_VALUE"""),431.0)</f>
        <v>431</v>
      </c>
      <c r="K898" s="189">
        <f>IFERROR(__xludf.DUMMYFUNCTION("""COMPUTED_VALUE"""),450.0)</f>
        <v>450</v>
      </c>
      <c r="L898" s="189">
        <f>IFERROR(__xludf.DUMMYFUNCTION("""COMPUTED_VALUE"""),661.0)</f>
        <v>661</v>
      </c>
      <c r="M898" s="189">
        <f>IFERROR(__xludf.DUMMYFUNCTION("""COMPUTED_VALUE"""),639.0)</f>
        <v>639</v>
      </c>
      <c r="N898" s="189">
        <f>IFERROR(__xludf.DUMMYFUNCTION("""COMPUTED_VALUE"""),595.0)</f>
        <v>595</v>
      </c>
      <c r="O898" s="186"/>
      <c r="P898" s="189">
        <f>IFERROR(__xludf.DUMMYFUNCTION("""COMPUTED_VALUE"""),703.0)</f>
        <v>703</v>
      </c>
      <c r="Q898" s="189">
        <f>IFERROR(__xludf.DUMMYFUNCTION("""COMPUTED_VALUE"""),734.0)</f>
        <v>734</v>
      </c>
      <c r="R898" s="186"/>
      <c r="S898" s="189">
        <f>IFERROR(__xludf.DUMMYFUNCTION("""COMPUTED_VALUE"""),742.0)</f>
        <v>742</v>
      </c>
    </row>
    <row r="899">
      <c r="A899" s="186" t="str">
        <f>IFERROR(__xludf.DUMMYFUNCTION("""COMPUTED_VALUE"""),"NORDICS")</f>
        <v>NORDICS</v>
      </c>
      <c r="B899" s="186" t="str">
        <f>IFERROR(__xludf.DUMMYFUNCTION("""COMPUTED_VALUE"""),"W16")</f>
        <v>W16</v>
      </c>
      <c r="C899" s="186">
        <f>IFERROR(__xludf.DUMMYFUNCTION("""COMPUTED_VALUE"""),617.0)</f>
        <v>617</v>
      </c>
      <c r="D899" s="186" t="str">
        <f>IFERROR(__xludf.DUMMYFUNCTION("""COMPUTED_VALUE"""),"CON-00-147824-2")</f>
        <v>CON-00-147824-2</v>
      </c>
      <c r="E899" s="186" t="str">
        <f>IFERROR(__xludf.DUMMYFUNCTION("""COMPUTED_VALUE"""),"Pork tenderloin in creamy garlic-mustard sauce")</f>
        <v>Pork tenderloin in creamy garlic-mustard sauce</v>
      </c>
      <c r="F899" s="186" t="str">
        <f>IFERROR(__xludf.DUMMYFUNCTION("""COMPUTED_VALUE"""),"Svinemørbrad i cremet hvidløg-sennepssauce")</f>
        <v>Svinemørbrad i cremet hvidløg-sennepssauce</v>
      </c>
      <c r="G899" s="186" t="str">
        <f>IFERROR(__xludf.DUMMYFUNCTION("""COMPUTED_VALUE"""),"FE0169H")</f>
        <v>FE0169H</v>
      </c>
      <c r="H899" s="186">
        <f>IFERROR(__xludf.DUMMYFUNCTION("""COMPUTED_VALUE"""),565143.0)</f>
        <v>565143</v>
      </c>
      <c r="I899" s="186" t="str">
        <f>IFERROR(__xludf.DUMMYFUNCTION("""COMPUTED_VALUE"""),"Varkenshaas in romige knoflook-mosterdsaus")</f>
        <v>Varkenshaas in romige knoflook-mosterdsaus</v>
      </c>
      <c r="J899" s="189">
        <f>IFERROR(__xludf.DUMMYFUNCTION("""COMPUTED_VALUE"""),928.0)</f>
        <v>928</v>
      </c>
      <c r="K899" s="189">
        <f>IFERROR(__xludf.DUMMYFUNCTION("""COMPUTED_VALUE"""),1039.0)</f>
        <v>1039</v>
      </c>
      <c r="L899" s="189">
        <f>IFERROR(__xludf.DUMMYFUNCTION("""COMPUTED_VALUE"""),835.0)</f>
        <v>835</v>
      </c>
      <c r="M899" s="189">
        <f>IFERROR(__xludf.DUMMYFUNCTION("""COMPUTED_VALUE"""),962.0)</f>
        <v>962</v>
      </c>
      <c r="N899" s="189">
        <f>IFERROR(__xludf.DUMMYFUNCTION("""COMPUTED_VALUE"""),1007.0)</f>
        <v>1007</v>
      </c>
      <c r="O899" s="186"/>
      <c r="P899" s="189">
        <f>IFERROR(__xludf.DUMMYFUNCTION("""COMPUTED_VALUE"""),1052.0)</f>
        <v>1052</v>
      </c>
      <c r="Q899" s="189">
        <f>IFERROR(__xludf.DUMMYFUNCTION("""COMPUTED_VALUE"""),1088.0)</f>
        <v>1088</v>
      </c>
      <c r="R899" s="186"/>
      <c r="S899" s="189">
        <f>IFERROR(__xludf.DUMMYFUNCTION("""COMPUTED_VALUE"""),1105.0)</f>
        <v>1105</v>
      </c>
    </row>
    <row r="900">
      <c r="A900" s="186" t="str">
        <f>IFERROR(__xludf.DUMMYFUNCTION("""COMPUTED_VALUE"""),"NORDICS")</f>
        <v>NORDICS</v>
      </c>
      <c r="B900" s="186" t="str">
        <f>IFERROR(__xludf.DUMMYFUNCTION("""COMPUTED_VALUE"""),"W16")</f>
        <v>W16</v>
      </c>
      <c r="C900" s="186">
        <f>IFERROR(__xludf.DUMMYFUNCTION("""COMPUTED_VALUE"""),618.0)</f>
        <v>618</v>
      </c>
      <c r="D900" s="186" t="str">
        <f>IFERROR(__xludf.DUMMYFUNCTION("""COMPUTED_VALUE"""),"CON-00-147864-2")</f>
        <v>CON-00-147864-2</v>
      </c>
      <c r="E900" s="186" t="str">
        <f>IFERROR(__xludf.DUMMYFUNCTION("""COMPUTED_VALUE"""),"Pork tenderloin in spicy ancho chili sauce")</f>
        <v>Pork tenderloin in spicy ancho chili sauce</v>
      </c>
      <c r="F900" s="186" t="str">
        <f>IFERROR(__xludf.DUMMYFUNCTION("""COMPUTED_VALUE"""),"Svinemørbrad i ancho- og chilisauce")</f>
        <v>Svinemørbrad i ancho- og chilisauce</v>
      </c>
      <c r="G900" s="186" t="str">
        <f>IFERROR(__xludf.DUMMYFUNCTION("""COMPUTED_VALUE"""),"FE1072B")</f>
        <v>FE1072B</v>
      </c>
      <c r="H900" s="186">
        <f>IFERROR(__xludf.DUMMYFUNCTION("""COMPUTED_VALUE"""),565095.0)</f>
        <v>565095</v>
      </c>
      <c r="I900" s="186" t="str">
        <f>IFERROR(__xludf.DUMMYFUNCTION("""COMPUTED_VALUE"""),"HF V.haas pittige ancho chili")</f>
        <v>HF V.haas pittige ancho chili</v>
      </c>
      <c r="J900" s="189">
        <f>IFERROR(__xludf.DUMMYFUNCTION("""COMPUTED_VALUE"""),597.0)</f>
        <v>597</v>
      </c>
      <c r="K900" s="189">
        <f>IFERROR(__xludf.DUMMYFUNCTION("""COMPUTED_VALUE"""),677.0)</f>
        <v>677</v>
      </c>
      <c r="L900" s="189">
        <f>IFERROR(__xludf.DUMMYFUNCTION("""COMPUTED_VALUE"""),440.0)</f>
        <v>440</v>
      </c>
      <c r="M900" s="189">
        <f>IFERROR(__xludf.DUMMYFUNCTION("""COMPUTED_VALUE"""),470.0)</f>
        <v>470</v>
      </c>
      <c r="N900" s="189">
        <f>IFERROR(__xludf.DUMMYFUNCTION("""COMPUTED_VALUE"""),523.0)</f>
        <v>523</v>
      </c>
      <c r="O900" s="186"/>
      <c r="P900" s="189">
        <f>IFERROR(__xludf.DUMMYFUNCTION("""COMPUTED_VALUE"""),544.0)</f>
        <v>544</v>
      </c>
      <c r="Q900" s="189">
        <f>IFERROR(__xludf.DUMMYFUNCTION("""COMPUTED_VALUE"""),587.0)</f>
        <v>587</v>
      </c>
      <c r="R900" s="186"/>
      <c r="S900" s="189">
        <f>IFERROR(__xludf.DUMMYFUNCTION("""COMPUTED_VALUE"""),643.0)</f>
        <v>643</v>
      </c>
    </row>
    <row r="901">
      <c r="A901" s="186" t="str">
        <f>IFERROR(__xludf.DUMMYFUNCTION("""COMPUTED_VALUE"""),"NORDICS")</f>
        <v>NORDICS</v>
      </c>
      <c r="B901" s="186" t="str">
        <f>IFERROR(__xludf.DUMMYFUNCTION("""COMPUTED_VALUE"""),"W16")</f>
        <v>W16</v>
      </c>
      <c r="C901" s="186">
        <f>IFERROR(__xludf.DUMMYFUNCTION("""COMPUTED_VALUE"""),706.0)</f>
        <v>706</v>
      </c>
      <c r="D901" s="186" t="str">
        <f>IFERROR(__xludf.DUMMYFUNCTION("""COMPUTED_VALUE"""),"PTN-00-148223-2")</f>
        <v>PTN-00-148223-2</v>
      </c>
      <c r="E901" s="186" t="str">
        <f>IFERROR(__xludf.DUMMYFUNCTION("""COMPUTED_VALUE"""),"Garlic Herb Grilled Chicken")</f>
        <v>Garlic Herb Grilled Chicken</v>
      </c>
      <c r="F901" s="186" t="str">
        <f>IFERROR(__xludf.DUMMYFUNCTION("""COMPUTED_VALUE"""),"Grillet kylling med hvidlød og urter")</f>
        <v>Grillet kylling med hvidlød og urter</v>
      </c>
      <c r="G901" s="186" t="str">
        <f>IFERROR(__xludf.DUMMYFUNCTION("""COMPUTED_VALUE"""),"FEA006A")</f>
        <v>FEA006A</v>
      </c>
      <c r="H901" s="186">
        <f>IFERROR(__xludf.DUMMYFUNCTION("""COMPUTED_VALUE"""),565119.0)</f>
        <v>565119</v>
      </c>
      <c r="I901" s="186"/>
      <c r="J901" s="189">
        <f>IFERROR(__xludf.DUMMYFUNCTION("""COMPUTED_VALUE"""),48.0)</f>
        <v>48</v>
      </c>
      <c r="K901" s="189">
        <f>IFERROR(__xludf.DUMMYFUNCTION("""COMPUTED_VALUE"""),48.0)</f>
        <v>48</v>
      </c>
      <c r="L901" s="189">
        <f>IFERROR(__xludf.DUMMYFUNCTION("""COMPUTED_VALUE"""),48.0)</f>
        <v>48</v>
      </c>
      <c r="M901" s="189">
        <f>IFERROR(__xludf.DUMMYFUNCTION("""COMPUTED_VALUE"""),48.0)</f>
        <v>48</v>
      </c>
      <c r="N901" s="189">
        <f>IFERROR(__xludf.DUMMYFUNCTION("""COMPUTED_VALUE"""),48.0)</f>
        <v>48</v>
      </c>
      <c r="O901" s="186"/>
      <c r="P901" s="189">
        <f>IFERROR(__xludf.DUMMYFUNCTION("""COMPUTED_VALUE"""),48.0)</f>
        <v>48</v>
      </c>
      <c r="Q901" s="189">
        <f>IFERROR(__xludf.DUMMYFUNCTION("""COMPUTED_VALUE"""),48.0)</f>
        <v>48</v>
      </c>
      <c r="R901" s="186"/>
      <c r="S901" s="189">
        <f>IFERROR(__xludf.DUMMYFUNCTION("""COMPUTED_VALUE"""),45.0)</f>
        <v>45</v>
      </c>
    </row>
    <row r="902">
      <c r="A902" s="186" t="str">
        <f>IFERROR(__xludf.DUMMYFUNCTION("""COMPUTED_VALUE"""),"NORDICS")</f>
        <v>NORDICS</v>
      </c>
      <c r="B902" s="186" t="str">
        <f>IFERROR(__xludf.DUMMYFUNCTION("""COMPUTED_VALUE"""),"W16")</f>
        <v>W16</v>
      </c>
      <c r="C902" s="186"/>
      <c r="D902" s="186"/>
      <c r="E902" s="186"/>
      <c r="F902" s="186"/>
      <c r="G902" s="186"/>
      <c r="H902" s="186"/>
      <c r="I902" s="186"/>
      <c r="J902" s="189">
        <f>IFERROR(__xludf.DUMMYFUNCTION("""COMPUTED_VALUE"""),23343.0)</f>
        <v>23343</v>
      </c>
      <c r="K902" s="189">
        <f>IFERROR(__xludf.DUMMYFUNCTION("""COMPUTED_VALUE"""),25226.0)</f>
        <v>25226</v>
      </c>
      <c r="L902" s="189">
        <f>IFERROR(__xludf.DUMMYFUNCTION("""COMPUTED_VALUE"""),22897.0)</f>
        <v>22897</v>
      </c>
      <c r="M902" s="189">
        <f>IFERROR(__xludf.DUMMYFUNCTION("""COMPUTED_VALUE"""),22998.0)</f>
        <v>22998</v>
      </c>
      <c r="N902" s="189">
        <f>IFERROR(__xludf.DUMMYFUNCTION("""COMPUTED_VALUE"""),23839.0)</f>
        <v>23839</v>
      </c>
      <c r="O902" s="189">
        <f>IFERROR(__xludf.DUMMYFUNCTION("""COMPUTED_VALUE"""),0.0)</f>
        <v>0</v>
      </c>
      <c r="P902" s="189">
        <f>IFERROR(__xludf.DUMMYFUNCTION("""COMPUTED_VALUE"""),25214.0)</f>
        <v>25214</v>
      </c>
      <c r="Q902" s="189">
        <f>IFERROR(__xludf.DUMMYFUNCTION("""COMPUTED_VALUE"""),26684.0)</f>
        <v>26684</v>
      </c>
      <c r="R902" s="189">
        <f>IFERROR(__xludf.DUMMYFUNCTION("""COMPUTED_VALUE"""),0.0)</f>
        <v>0</v>
      </c>
      <c r="S902" s="189">
        <f>IFERROR(__xludf.DUMMYFUNCTION("""COMPUTED_VALUE"""),27535.0)</f>
        <v>27535</v>
      </c>
    </row>
    <row r="903">
      <c r="A903" s="186" t="str">
        <f>IFERROR(__xludf.DUMMYFUNCTION("""COMPUTED_VALUE"""),"DE")</f>
        <v>DE</v>
      </c>
      <c r="B903" s="186" t="str">
        <f>IFERROR(__xludf.DUMMYFUNCTION("""COMPUTED_VALUE"""),"W16")</f>
        <v>W16</v>
      </c>
      <c r="C903" s="186">
        <f>IFERROR(__xludf.DUMMYFUNCTION("""COMPUTED_VALUE"""),301.0)</f>
        <v>301</v>
      </c>
      <c r="D903" s="186" t="str">
        <f>IFERROR(__xludf.DUMMYFUNCTION("""COMPUTED_VALUE"""),"CON-00-136649-3")</f>
        <v>CON-00-136649-3</v>
      </c>
      <c r="E903" s="186" t="str">
        <f>IFERROR(__xludf.DUMMYFUNCTION("""COMPUTED_VALUE"""),"Grilled chicken fillet and potato leek mash")</f>
        <v>Grilled chicken fillet and potato leek mash</v>
      </c>
      <c r="F903" s="186" t="str">
        <f>IFERROR(__xludf.DUMMYFUNCTION("""COMPUTED_VALUE"""),"Gegrilltes Hähnchenfilet mit Kartoffel-Lauch-Püree")</f>
        <v>Gegrilltes Hähnchenfilet mit Kartoffel-Lauch-Püree</v>
      </c>
      <c r="G903" s="186" t="str">
        <f>IFERROR(__xludf.DUMMYFUNCTION("""COMPUTED_VALUE"""),"FE0426B")</f>
        <v>FE0426B</v>
      </c>
      <c r="H903" s="186">
        <f>IFERROR(__xludf.DUMMYFUNCTION("""COMPUTED_VALUE"""),565035.0)</f>
        <v>565035</v>
      </c>
      <c r="I903" s="186" t="str">
        <f>IFERROR(__xludf.DUMMYFUNCTION("""COMPUTED_VALUE"""),"HF Puree van aardappel en prei met gegrilde kip 416g")</f>
        <v>HF Puree van aardappel en prei met gegrilde kip 416g</v>
      </c>
      <c r="J903" s="189">
        <f>IFERROR(__xludf.DUMMYFUNCTION("""COMPUTED_VALUE"""),2747.0)</f>
        <v>2747</v>
      </c>
      <c r="K903" s="189">
        <f>IFERROR(__xludf.DUMMYFUNCTION("""COMPUTED_VALUE"""),2613.0)</f>
        <v>2613</v>
      </c>
      <c r="L903" s="189">
        <f>IFERROR(__xludf.DUMMYFUNCTION("""COMPUTED_VALUE"""),2473.0)</f>
        <v>2473</v>
      </c>
      <c r="M903" s="189">
        <f>IFERROR(__xludf.DUMMYFUNCTION("""COMPUTED_VALUE"""),2464.0)</f>
        <v>2464</v>
      </c>
      <c r="N903" s="189">
        <f>IFERROR(__xludf.DUMMYFUNCTION("""COMPUTED_VALUE"""),2544.0)</f>
        <v>2544</v>
      </c>
      <c r="O903" s="186"/>
      <c r="P903" s="189">
        <f>IFERROR(__xludf.DUMMYFUNCTION("""COMPUTED_VALUE"""),2618.0)</f>
        <v>2618</v>
      </c>
      <c r="Q903" s="189">
        <f>IFERROR(__xludf.DUMMYFUNCTION("""COMPUTED_VALUE"""),2777.0)</f>
        <v>2777</v>
      </c>
      <c r="R903" s="186"/>
      <c r="S903" s="189">
        <f>IFERROR(__xludf.DUMMYFUNCTION("""COMPUTED_VALUE"""),3009.0)</f>
        <v>3009</v>
      </c>
    </row>
    <row r="904">
      <c r="A904" s="186" t="str">
        <f>IFERROR(__xludf.DUMMYFUNCTION("""COMPUTED_VALUE"""),"DE")</f>
        <v>DE</v>
      </c>
      <c r="B904" s="186" t="str">
        <f>IFERROR(__xludf.DUMMYFUNCTION("""COMPUTED_VALUE"""),"W16")</f>
        <v>W16</v>
      </c>
      <c r="C904" s="186">
        <f>IFERROR(__xludf.DUMMYFUNCTION("""COMPUTED_VALUE"""),302.0)</f>
        <v>302</v>
      </c>
      <c r="D904" s="186" t="str">
        <f>IFERROR(__xludf.DUMMYFUNCTION("""COMPUTED_VALUE"""),"CON-00-136674-3")</f>
        <v>CON-00-136674-3</v>
      </c>
      <c r="E904" s="186" t="str">
        <f>IFERROR(__xludf.DUMMYFUNCTION("""COMPUTED_VALUE"""),"Grilled chicken and ratatouille")</f>
        <v>Grilled chicken and ratatouille</v>
      </c>
      <c r="F904" s="186" t="str">
        <f>IFERROR(__xludf.DUMMYFUNCTION("""COMPUTED_VALUE"""),"Gegrilltes Hähnchen mit Ratatouille")</f>
        <v>Gegrilltes Hähnchen mit Ratatouille</v>
      </c>
      <c r="G904" s="186" t="str">
        <f>IFERROR(__xludf.DUMMYFUNCTION("""COMPUTED_VALUE"""),"FE4015B")</f>
        <v>FE4015B</v>
      </c>
      <c r="H904" s="186">
        <f>IFERROR(__xludf.DUMMYFUNCTION("""COMPUTED_VALUE"""),565072.0)</f>
        <v>565072</v>
      </c>
      <c r="I904" s="186" t="str">
        <f>IFERROR(__xludf.DUMMYFUNCTION("""COMPUTED_VALUE"""),"HF Kipfilet met Ratatouille")</f>
        <v>HF Kipfilet met Ratatouille</v>
      </c>
      <c r="J904" s="189">
        <f>IFERROR(__xludf.DUMMYFUNCTION("""COMPUTED_VALUE"""),1642.0)</f>
        <v>1642</v>
      </c>
      <c r="K904" s="189">
        <f>IFERROR(__xludf.DUMMYFUNCTION("""COMPUTED_VALUE"""),1563.0)</f>
        <v>1563</v>
      </c>
      <c r="L904" s="189">
        <f>IFERROR(__xludf.DUMMYFUNCTION("""COMPUTED_VALUE"""),1412.0)</f>
        <v>1412</v>
      </c>
      <c r="M904" s="189">
        <f>IFERROR(__xludf.DUMMYFUNCTION("""COMPUTED_VALUE"""),1563.0)</f>
        <v>1563</v>
      </c>
      <c r="N904" s="189">
        <f>IFERROR(__xludf.DUMMYFUNCTION("""COMPUTED_VALUE"""),1574.0)</f>
        <v>1574</v>
      </c>
      <c r="O904" s="186"/>
      <c r="P904" s="189">
        <f>IFERROR(__xludf.DUMMYFUNCTION("""COMPUTED_VALUE"""),1609.0)</f>
        <v>1609</v>
      </c>
      <c r="Q904" s="189">
        <f>IFERROR(__xludf.DUMMYFUNCTION("""COMPUTED_VALUE"""),1717.0)</f>
        <v>1717</v>
      </c>
      <c r="R904" s="186"/>
      <c r="S904" s="189">
        <f>IFERROR(__xludf.DUMMYFUNCTION("""COMPUTED_VALUE"""),1884.0)</f>
        <v>1884</v>
      </c>
    </row>
    <row r="905">
      <c r="A905" s="186" t="str">
        <f>IFERROR(__xludf.DUMMYFUNCTION("""COMPUTED_VALUE"""),"DE")</f>
        <v>DE</v>
      </c>
      <c r="B905" s="186" t="str">
        <f>IFERROR(__xludf.DUMMYFUNCTION("""COMPUTED_VALUE"""),"W16")</f>
        <v>W16</v>
      </c>
      <c r="C905" s="186">
        <f>IFERROR(__xludf.DUMMYFUNCTION("""COMPUTED_VALUE"""),303.0)</f>
        <v>303</v>
      </c>
      <c r="D905" s="186" t="str">
        <f>IFERROR(__xludf.DUMMYFUNCTION("""COMPUTED_VALUE"""),"CON-00-136671-3")</f>
        <v>CON-00-136671-3</v>
      </c>
      <c r="E905" s="186" t="str">
        <f>IFERROR(__xludf.DUMMYFUNCTION("""COMPUTED_VALUE"""),"Cabbage in cheese sauce with minced beef")</f>
        <v>Cabbage in cheese sauce with minced beef</v>
      </c>
      <c r="F905" s="186" t="str">
        <f>IFERROR(__xludf.DUMMYFUNCTION("""COMPUTED_VALUE"""),"Wirsing in Käsesauce mit Hackfleisch")</f>
        <v>Wirsing in Käsesauce mit Hackfleisch</v>
      </c>
      <c r="G905" s="186" t="str">
        <f>IFERROR(__xludf.DUMMYFUNCTION("""COMPUTED_VALUE"""),"FE0713B")</f>
        <v>FE0713B</v>
      </c>
      <c r="H905" s="186">
        <f>IFERROR(__xludf.DUMMYFUNCTION("""COMPUTED_VALUE"""),565240.0)</f>
        <v>565240</v>
      </c>
      <c r="I905" s="186" t="str">
        <f>IFERROR(__xludf.DUMMYFUNCTION("""COMPUTED_VALUE"""),"HF RW Kool in kaassaus")</f>
        <v>HF RW Kool in kaassaus</v>
      </c>
      <c r="J905" s="189">
        <f>IFERROR(__xludf.DUMMYFUNCTION("""COMPUTED_VALUE"""),1647.0)</f>
        <v>1647</v>
      </c>
      <c r="K905" s="189">
        <f>IFERROR(__xludf.DUMMYFUNCTION("""COMPUTED_VALUE"""),1508.0)</f>
        <v>1508</v>
      </c>
      <c r="L905" s="189">
        <f>IFERROR(__xludf.DUMMYFUNCTION("""COMPUTED_VALUE"""),1345.0)</f>
        <v>1345</v>
      </c>
      <c r="M905" s="189">
        <f>IFERROR(__xludf.DUMMYFUNCTION("""COMPUTED_VALUE"""),1466.0)</f>
        <v>1466</v>
      </c>
      <c r="N905" s="189">
        <f>IFERROR(__xludf.DUMMYFUNCTION("""COMPUTED_VALUE"""),1443.0)</f>
        <v>1443</v>
      </c>
      <c r="O905" s="186"/>
      <c r="P905" s="189">
        <f>IFERROR(__xludf.DUMMYFUNCTION("""COMPUTED_VALUE"""),1522.0)</f>
        <v>1522</v>
      </c>
      <c r="Q905" s="189">
        <f>IFERROR(__xludf.DUMMYFUNCTION("""COMPUTED_VALUE"""),1592.0)</f>
        <v>1592</v>
      </c>
      <c r="R905" s="186"/>
      <c r="S905" s="189">
        <f>IFERROR(__xludf.DUMMYFUNCTION("""COMPUTED_VALUE"""),1721.0)</f>
        <v>1721</v>
      </c>
    </row>
    <row r="906">
      <c r="A906" s="186" t="str">
        <f>IFERROR(__xludf.DUMMYFUNCTION("""COMPUTED_VALUE"""),"DE")</f>
        <v>DE</v>
      </c>
      <c r="B906" s="186" t="str">
        <f>IFERROR(__xludf.DUMMYFUNCTION("""COMPUTED_VALUE"""),"W16")</f>
        <v>W16</v>
      </c>
      <c r="C906" s="186">
        <f>IFERROR(__xludf.DUMMYFUNCTION("""COMPUTED_VALUE"""),304.0)</f>
        <v>304</v>
      </c>
      <c r="D906" s="186" t="str">
        <f>IFERROR(__xludf.DUMMYFUNCTION("""COMPUTED_VALUE"""),"CON-00-136693-3")</f>
        <v>CON-00-136693-3</v>
      </c>
      <c r="E906" s="186" t="str">
        <f>IFERROR(__xludf.DUMMYFUNCTION("""COMPUTED_VALUE"""),"Beef &amp; BBQ sauce")</f>
        <v>Beef &amp; BBQ sauce</v>
      </c>
      <c r="F906" s="186" t="str">
        <f>IFERROR(__xludf.DUMMYFUNCTION("""COMPUTED_VALUE"""),"Rindfleisch mit BBQ-Sauce")</f>
        <v>Rindfleisch mit BBQ-Sauce</v>
      </c>
      <c r="G906" s="186" t="str">
        <f>IFERROR(__xludf.DUMMYFUNCTION("""COMPUTED_VALUE"""),"FE4027B")</f>
        <v>FE4027B</v>
      </c>
      <c r="H906" s="186">
        <f>IFERROR(__xludf.DUMMYFUNCTION("""COMPUTED_VALUE"""),565142.0)</f>
        <v>565142</v>
      </c>
      <c r="I906" s="186" t="str">
        <f>IFERROR(__xludf.DUMMYFUNCTION("""COMPUTED_VALUE"""),"HF RW Rundvlees &amp; BBQ saus RW565085 / FE4027A / CS P+")</f>
        <v>HF RW Rundvlees &amp; BBQ saus RW565085 / FE4027A / CS P+</v>
      </c>
      <c r="J906" s="189">
        <f>IFERROR(__xludf.DUMMYFUNCTION("""COMPUTED_VALUE"""),2392.0)</f>
        <v>2392</v>
      </c>
      <c r="K906" s="189">
        <f>IFERROR(__xludf.DUMMYFUNCTION("""COMPUTED_VALUE"""),2212.0)</f>
        <v>2212</v>
      </c>
      <c r="L906" s="189">
        <f>IFERROR(__xludf.DUMMYFUNCTION("""COMPUTED_VALUE"""),2056.0)</f>
        <v>2056</v>
      </c>
      <c r="M906" s="189">
        <f>IFERROR(__xludf.DUMMYFUNCTION("""COMPUTED_VALUE"""),2030.0)</f>
        <v>2030</v>
      </c>
      <c r="N906" s="189">
        <f>IFERROR(__xludf.DUMMYFUNCTION("""COMPUTED_VALUE"""),2021.0)</f>
        <v>2021</v>
      </c>
      <c r="O906" s="186"/>
      <c r="P906" s="189">
        <f>IFERROR(__xludf.DUMMYFUNCTION("""COMPUTED_VALUE"""),2106.0)</f>
        <v>2106</v>
      </c>
      <c r="Q906" s="189">
        <f>IFERROR(__xludf.DUMMYFUNCTION("""COMPUTED_VALUE"""),2262.0)</f>
        <v>2262</v>
      </c>
      <c r="R906" s="186"/>
      <c r="S906" s="189">
        <f>IFERROR(__xludf.DUMMYFUNCTION("""COMPUTED_VALUE"""),2390.0)</f>
        <v>2390</v>
      </c>
    </row>
    <row r="907">
      <c r="A907" s="186" t="str">
        <f>IFERROR(__xludf.DUMMYFUNCTION("""COMPUTED_VALUE"""),"DE")</f>
        <v>DE</v>
      </c>
      <c r="B907" s="186" t="str">
        <f>IFERROR(__xludf.DUMMYFUNCTION("""COMPUTED_VALUE"""),"W16")</f>
        <v>W16</v>
      </c>
      <c r="C907" s="186">
        <f>IFERROR(__xludf.DUMMYFUNCTION("""COMPUTED_VALUE"""),305.0)</f>
        <v>305</v>
      </c>
      <c r="D907" s="186" t="str">
        <f>IFERROR(__xludf.DUMMYFUNCTION("""COMPUTED_VALUE"""),"CON-00-152205-2")</f>
        <v>CON-00-152205-2</v>
      </c>
      <c r="E907" s="186" t="str">
        <f>IFERROR(__xludf.DUMMYFUNCTION("""COMPUTED_VALUE"""),"Green Chile Chicken &amp; Salsa Quinoa")</f>
        <v>Green Chile Chicken &amp; Salsa Quinoa</v>
      </c>
      <c r="F907" s="186" t="str">
        <f>IFERROR(__xludf.DUMMYFUNCTION("""COMPUTED_VALUE"""),"Grünes Chili-Hähnchen mit Quinoa-Salsa")</f>
        <v>Grünes Chili-Hähnchen mit Quinoa-Salsa</v>
      </c>
      <c r="G907" s="186" t="str">
        <f>IFERROR(__xludf.DUMMYFUNCTION("""COMPUTED_VALUE"""),"FE1636A")</f>
        <v>FE1636A</v>
      </c>
      <c r="H907" s="186">
        <f>IFERROR(__xludf.DUMMYFUNCTION("""COMPUTED_VALUE"""),565209.0)</f>
        <v>565209</v>
      </c>
      <c r="I907" s="186" t="str">
        <f>IFERROR(__xludf.DUMMYFUNCTION("""COMPUTED_VALUE"""),"HF Quinoa witte bonen salsa")</f>
        <v>HF Quinoa witte bonen salsa</v>
      </c>
      <c r="J907" s="189">
        <f>IFERROR(__xludf.DUMMYFUNCTION("""COMPUTED_VALUE"""),1497.0)</f>
        <v>1497</v>
      </c>
      <c r="K907" s="189">
        <f>IFERROR(__xludf.DUMMYFUNCTION("""COMPUTED_VALUE"""),1425.0)</f>
        <v>1425</v>
      </c>
      <c r="L907" s="189">
        <f>IFERROR(__xludf.DUMMYFUNCTION("""COMPUTED_VALUE"""),1436.0)</f>
        <v>1436</v>
      </c>
      <c r="M907" s="189">
        <f>IFERROR(__xludf.DUMMYFUNCTION("""COMPUTED_VALUE"""),1426.0)</f>
        <v>1426</v>
      </c>
      <c r="N907" s="189">
        <f>IFERROR(__xludf.DUMMYFUNCTION("""COMPUTED_VALUE"""),1373.0)</f>
        <v>1373</v>
      </c>
      <c r="O907" s="186"/>
      <c r="P907" s="189">
        <f>IFERROR(__xludf.DUMMYFUNCTION("""COMPUTED_VALUE"""),1433.0)</f>
        <v>1433</v>
      </c>
      <c r="Q907" s="189">
        <f>IFERROR(__xludf.DUMMYFUNCTION("""COMPUTED_VALUE"""),1550.0)</f>
        <v>1550</v>
      </c>
      <c r="R907" s="186"/>
      <c r="S907" s="189">
        <f>IFERROR(__xludf.DUMMYFUNCTION("""COMPUTED_VALUE"""),1701.0)</f>
        <v>1701</v>
      </c>
    </row>
    <row r="908">
      <c r="A908" s="186" t="str">
        <f>IFERROR(__xludf.DUMMYFUNCTION("""COMPUTED_VALUE"""),"DE")</f>
        <v>DE</v>
      </c>
      <c r="B908" s="186" t="str">
        <f>IFERROR(__xludf.DUMMYFUNCTION("""COMPUTED_VALUE"""),"W16")</f>
        <v>W16</v>
      </c>
      <c r="C908" s="186">
        <f>IFERROR(__xludf.DUMMYFUNCTION("""COMPUTED_VALUE"""),306.0)</f>
        <v>306</v>
      </c>
      <c r="D908" s="186" t="str">
        <f>IFERROR(__xludf.DUMMYFUNCTION("""COMPUTED_VALUE"""),"CON-00-137744-2")</f>
        <v>CON-00-137744-2</v>
      </c>
      <c r="E908" s="186" t="str">
        <f>IFERROR(__xludf.DUMMYFUNCTION("""COMPUTED_VALUE"""),"Salmon in creamy gochugaru sauce")</f>
        <v>Salmon in creamy gochugaru sauce</v>
      </c>
      <c r="F908" s="186" t="str">
        <f>IFERROR(__xludf.DUMMYFUNCTION("""COMPUTED_VALUE"""),"Lachs in cremiger Gochugaru-Sauce")</f>
        <v>Lachs in cremiger Gochugaru-Sauce</v>
      </c>
      <c r="G908" s="186" t="str">
        <f>IFERROR(__xludf.DUMMYFUNCTION("""COMPUTED_VALUE"""),"FE4039C")</f>
        <v>FE4039C</v>
      </c>
      <c r="H908" s="186">
        <f>IFERROR(__xludf.DUMMYFUNCTION("""COMPUTED_VALUE"""),565102.0)</f>
        <v>565102</v>
      </c>
      <c r="I908" s="186" t="str">
        <f>IFERROR(__xludf.DUMMYFUNCTION("""COMPUTED_VALUE"""),"HF Zalm romige gochugaru sa")</f>
        <v>HF Zalm romige gochugaru sa</v>
      </c>
      <c r="J908" s="189">
        <f>IFERROR(__xludf.DUMMYFUNCTION("""COMPUTED_VALUE"""),1735.0)</f>
        <v>1735</v>
      </c>
      <c r="K908" s="189">
        <f>IFERROR(__xludf.DUMMYFUNCTION("""COMPUTED_VALUE"""),1693.0)</f>
        <v>1693</v>
      </c>
      <c r="L908" s="189">
        <f>IFERROR(__xludf.DUMMYFUNCTION("""COMPUTED_VALUE"""),1543.0)</f>
        <v>1543</v>
      </c>
      <c r="M908" s="189">
        <f>IFERROR(__xludf.DUMMYFUNCTION("""COMPUTED_VALUE"""),1472.0)</f>
        <v>1472</v>
      </c>
      <c r="N908" s="189">
        <f>IFERROR(__xludf.DUMMYFUNCTION("""COMPUTED_VALUE"""),1475.0)</f>
        <v>1475</v>
      </c>
      <c r="O908" s="186"/>
      <c r="P908" s="189">
        <f>IFERROR(__xludf.DUMMYFUNCTION("""COMPUTED_VALUE"""),1517.0)</f>
        <v>1517</v>
      </c>
      <c r="Q908" s="189">
        <f>IFERROR(__xludf.DUMMYFUNCTION("""COMPUTED_VALUE"""),1629.0)</f>
        <v>1629</v>
      </c>
      <c r="R908" s="186"/>
      <c r="S908" s="189">
        <f>IFERROR(__xludf.DUMMYFUNCTION("""COMPUTED_VALUE"""),1833.0)</f>
        <v>1833</v>
      </c>
    </row>
    <row r="909">
      <c r="A909" s="186" t="str">
        <f>IFERROR(__xludf.DUMMYFUNCTION("""COMPUTED_VALUE"""),"DE")</f>
        <v>DE</v>
      </c>
      <c r="B909" s="186" t="str">
        <f>IFERROR(__xludf.DUMMYFUNCTION("""COMPUTED_VALUE"""),"W16")</f>
        <v>W16</v>
      </c>
      <c r="C909" s="186">
        <f>IFERROR(__xludf.DUMMYFUNCTION("""COMPUTED_VALUE"""),307.0)</f>
        <v>307</v>
      </c>
      <c r="D909" s="186" t="str">
        <f>IFERROR(__xludf.DUMMYFUNCTION("""COMPUTED_VALUE"""),"CON-00-136623-3")</f>
        <v>CON-00-136623-3</v>
      </c>
      <c r="E909" s="186" t="str">
        <f>IFERROR(__xludf.DUMMYFUNCTION("""COMPUTED_VALUE"""),"Indian style butter chicken")</f>
        <v>Indian style butter chicken</v>
      </c>
      <c r="F909" s="186" t="str">
        <f>IFERROR(__xludf.DUMMYFUNCTION("""COMPUTED_VALUE"""),"Indisches Butterhuhn")</f>
        <v>Indisches Butterhuhn</v>
      </c>
      <c r="G909" s="186" t="str">
        <f>IFERROR(__xludf.DUMMYFUNCTION("""COMPUTED_VALUE"""),"FE0472B")</f>
        <v>FE0472B</v>
      </c>
      <c r="H909" s="186">
        <f>IFERROR(__xludf.DUMMYFUNCTION("""COMPUTED_VALUE"""),565145.0)</f>
        <v>565145</v>
      </c>
      <c r="I909" s="186" t="str">
        <f>IFERROR(__xludf.DUMMYFUNCTION("""COMPUTED_VALUE"""),"HF RW Butter Chicken")</f>
        <v>HF RW Butter Chicken</v>
      </c>
      <c r="J909" s="189">
        <f>IFERROR(__xludf.DUMMYFUNCTION("""COMPUTED_VALUE"""),1190.0)</f>
        <v>1190</v>
      </c>
      <c r="K909" s="189">
        <f>IFERROR(__xludf.DUMMYFUNCTION("""COMPUTED_VALUE"""),1182.0)</f>
        <v>1182</v>
      </c>
      <c r="L909" s="189">
        <f>IFERROR(__xludf.DUMMYFUNCTION("""COMPUTED_VALUE"""),1185.0)</f>
        <v>1185</v>
      </c>
      <c r="M909" s="189">
        <f>IFERROR(__xludf.DUMMYFUNCTION("""COMPUTED_VALUE"""),1326.0)</f>
        <v>1326</v>
      </c>
      <c r="N909" s="189">
        <f>IFERROR(__xludf.DUMMYFUNCTION("""COMPUTED_VALUE"""),1348.0)</f>
        <v>1348</v>
      </c>
      <c r="O909" s="186"/>
      <c r="P909" s="189">
        <f>IFERROR(__xludf.DUMMYFUNCTION("""COMPUTED_VALUE"""),1336.0)</f>
        <v>1336</v>
      </c>
      <c r="Q909" s="189">
        <f>IFERROR(__xludf.DUMMYFUNCTION("""COMPUTED_VALUE"""),1424.0)</f>
        <v>1424</v>
      </c>
      <c r="R909" s="186"/>
      <c r="S909" s="189">
        <f>IFERROR(__xludf.DUMMYFUNCTION("""COMPUTED_VALUE"""),1492.0)</f>
        <v>1492</v>
      </c>
    </row>
    <row r="910">
      <c r="A910" s="186" t="str">
        <f>IFERROR(__xludf.DUMMYFUNCTION("""COMPUTED_VALUE"""),"DE")</f>
        <v>DE</v>
      </c>
      <c r="B910" s="186" t="str">
        <f>IFERROR(__xludf.DUMMYFUNCTION("""COMPUTED_VALUE"""),"W16")</f>
        <v>W16</v>
      </c>
      <c r="C910" s="186">
        <f>IFERROR(__xludf.DUMMYFUNCTION("""COMPUTED_VALUE"""),308.0)</f>
        <v>308</v>
      </c>
      <c r="D910" s="186" t="str">
        <f>IFERROR(__xludf.DUMMYFUNCTION("""COMPUTED_VALUE"""),"CON-00-136687-3")</f>
        <v>CON-00-136687-3</v>
      </c>
      <c r="E910" s="186" t="str">
        <f>IFERROR(__xludf.DUMMYFUNCTION("""COMPUTED_VALUE"""),"Chicken in chive cream sauce")</f>
        <v>Chicken in chive cream sauce</v>
      </c>
      <c r="F910" s="186" t="str">
        <f>IFERROR(__xludf.DUMMYFUNCTION("""COMPUTED_VALUE"""),"Hähnchen in Schnittlauchcreme")</f>
        <v>Hähnchen in Schnittlauchcreme</v>
      </c>
      <c r="G910" s="186" t="str">
        <f>IFERROR(__xludf.DUMMYFUNCTION("""COMPUTED_VALUE"""),"FE4023B")</f>
        <v>FE4023B</v>
      </c>
      <c r="H910" s="186">
        <f>IFERROR(__xludf.DUMMYFUNCTION("""COMPUTED_VALUE"""),565161.0)</f>
        <v>565161</v>
      </c>
      <c r="I910" s="186" t="str">
        <f>IFERROR(__xludf.DUMMYFUNCTION("""COMPUTED_VALUE"""),"HF RW Kipf in bieslookroomsaus")</f>
        <v>HF RW Kipf in bieslookroomsaus</v>
      </c>
      <c r="J910" s="189">
        <f>IFERROR(__xludf.DUMMYFUNCTION("""COMPUTED_VALUE"""),1135.0)</f>
        <v>1135</v>
      </c>
      <c r="K910" s="189">
        <f>IFERROR(__xludf.DUMMYFUNCTION("""COMPUTED_VALUE"""),1061.0)</f>
        <v>1061</v>
      </c>
      <c r="L910" s="189">
        <f>IFERROR(__xludf.DUMMYFUNCTION("""COMPUTED_VALUE"""),1148.0)</f>
        <v>1148</v>
      </c>
      <c r="M910" s="189">
        <f>IFERROR(__xludf.DUMMYFUNCTION("""COMPUTED_VALUE"""),976.0)</f>
        <v>976</v>
      </c>
      <c r="N910" s="189">
        <f>IFERROR(__xludf.DUMMYFUNCTION("""COMPUTED_VALUE"""),1007.0)</f>
        <v>1007</v>
      </c>
      <c r="O910" s="186"/>
      <c r="P910" s="189">
        <f>IFERROR(__xludf.DUMMYFUNCTION("""COMPUTED_VALUE"""),1012.0)</f>
        <v>1012</v>
      </c>
      <c r="Q910" s="189">
        <f>IFERROR(__xludf.DUMMYFUNCTION("""COMPUTED_VALUE"""),1076.0)</f>
        <v>1076</v>
      </c>
      <c r="R910" s="186"/>
      <c r="S910" s="189">
        <f>IFERROR(__xludf.DUMMYFUNCTION("""COMPUTED_VALUE"""),1147.0)</f>
        <v>1147</v>
      </c>
    </row>
    <row r="911">
      <c r="A911" s="186" t="str">
        <f>IFERROR(__xludf.DUMMYFUNCTION("""COMPUTED_VALUE"""),"DE")</f>
        <v>DE</v>
      </c>
      <c r="B911" s="186" t="str">
        <f>IFERROR(__xludf.DUMMYFUNCTION("""COMPUTED_VALUE"""),"W16")</f>
        <v>W16</v>
      </c>
      <c r="C911" s="186">
        <f>IFERROR(__xludf.DUMMYFUNCTION("""COMPUTED_VALUE"""),309.0)</f>
        <v>309</v>
      </c>
      <c r="D911" s="186" t="str">
        <f>IFERROR(__xludf.DUMMYFUNCTION("""COMPUTED_VALUE"""),"CON-00-136634-3")</f>
        <v>CON-00-136634-3</v>
      </c>
      <c r="E911" s="186" t="str">
        <f>IFERROR(__xludf.DUMMYFUNCTION("""COMPUTED_VALUE"""),"Ratatouille of zucchini and pepper")</f>
        <v>Ratatouille of zucchini and pepper</v>
      </c>
      <c r="F911" s="186" t="str">
        <f>IFERROR(__xludf.DUMMYFUNCTION("""COMPUTED_VALUE"""),"Zucchini-Paprika-Ratatouille")</f>
        <v>Zucchini-Paprika-Ratatouille</v>
      </c>
      <c r="G911" s="186" t="str">
        <f>IFERROR(__xludf.DUMMYFUNCTION("""COMPUTED_VALUE"""),"FE0090C")</f>
        <v>FE0090C</v>
      </c>
      <c r="H911" s="186">
        <f>IFERROR(__xludf.DUMMYFUNCTION("""COMPUTED_VALUE"""),565141.0)</f>
        <v>565141</v>
      </c>
      <c r="I911" s="186"/>
      <c r="J911" s="189">
        <f>IFERROR(__xludf.DUMMYFUNCTION("""COMPUTED_VALUE"""),357.0)</f>
        <v>357</v>
      </c>
      <c r="K911" s="189">
        <f>IFERROR(__xludf.DUMMYFUNCTION("""COMPUTED_VALUE"""),316.0)</f>
        <v>316</v>
      </c>
      <c r="L911" s="189">
        <f>IFERROR(__xludf.DUMMYFUNCTION("""COMPUTED_VALUE"""),250.0)</f>
        <v>250</v>
      </c>
      <c r="M911" s="189">
        <f>IFERROR(__xludf.DUMMYFUNCTION("""COMPUTED_VALUE"""),246.0)</f>
        <v>246</v>
      </c>
      <c r="N911" s="189">
        <f>IFERROR(__xludf.DUMMYFUNCTION("""COMPUTED_VALUE"""),257.0)</f>
        <v>257</v>
      </c>
      <c r="O911" s="186"/>
      <c r="P911" s="189">
        <f>IFERROR(__xludf.DUMMYFUNCTION("""COMPUTED_VALUE"""),251.0)</f>
        <v>251</v>
      </c>
      <c r="Q911" s="189">
        <f>IFERROR(__xludf.DUMMYFUNCTION("""COMPUTED_VALUE"""),270.0)</f>
        <v>270</v>
      </c>
      <c r="R911" s="186"/>
      <c r="S911" s="189">
        <f>IFERROR(__xludf.DUMMYFUNCTION("""COMPUTED_VALUE"""),290.0)</f>
        <v>290</v>
      </c>
    </row>
    <row r="912">
      <c r="A912" s="186" t="str">
        <f>IFERROR(__xludf.DUMMYFUNCTION("""COMPUTED_VALUE"""),"DE")</f>
        <v>DE</v>
      </c>
      <c r="B912" s="186" t="str">
        <f>IFERROR(__xludf.DUMMYFUNCTION("""COMPUTED_VALUE"""),"W16")</f>
        <v>W16</v>
      </c>
      <c r="C912" s="186">
        <f>IFERROR(__xludf.DUMMYFUNCTION("""COMPUTED_VALUE"""),310.0)</f>
        <v>310</v>
      </c>
      <c r="D912" s="186" t="str">
        <f>IFERROR(__xludf.DUMMYFUNCTION("""COMPUTED_VALUE"""),"CON-00-136629-3")</f>
        <v>CON-00-136629-3</v>
      </c>
      <c r="E912" s="186" t="str">
        <f>IFERROR(__xludf.DUMMYFUNCTION("""COMPUTED_VALUE"""),"Creamy tomato risotto")</f>
        <v>Creamy tomato risotto</v>
      </c>
      <c r="F912" s="186" t="str">
        <f>IFERROR(__xludf.DUMMYFUNCTION("""COMPUTED_VALUE"""),"Cremiges Tomaten-Risotto")</f>
        <v>Cremiges Tomaten-Risotto</v>
      </c>
      <c r="G912" s="186" t="str">
        <f>IFERROR(__xludf.DUMMYFUNCTION("""COMPUTED_VALUE"""),"FE0031C")</f>
        <v>FE0031C</v>
      </c>
      <c r="H912" s="186">
        <f>IFERROR(__xludf.DUMMYFUNCTION("""COMPUTED_VALUE"""),565244.0)</f>
        <v>565244</v>
      </c>
      <c r="I912" s="186" t="str">
        <f>IFERROR(__xludf.DUMMYFUNCTION("""COMPUTED_VALUE"""),"IO HF Romige tomatenrisotto V2")</f>
        <v>IO HF Romige tomatenrisotto V2</v>
      </c>
      <c r="J912" s="189">
        <f>IFERROR(__xludf.DUMMYFUNCTION("""COMPUTED_VALUE"""),345.0)</f>
        <v>345</v>
      </c>
      <c r="K912" s="189">
        <f>IFERROR(__xludf.DUMMYFUNCTION("""COMPUTED_VALUE"""),333.0)</f>
        <v>333</v>
      </c>
      <c r="L912" s="189">
        <f>IFERROR(__xludf.DUMMYFUNCTION("""COMPUTED_VALUE"""),289.0)</f>
        <v>289</v>
      </c>
      <c r="M912" s="189">
        <f>IFERROR(__xludf.DUMMYFUNCTION("""COMPUTED_VALUE"""),320.0)</f>
        <v>320</v>
      </c>
      <c r="N912" s="189">
        <f>IFERROR(__xludf.DUMMYFUNCTION("""COMPUTED_VALUE"""),338.0)</f>
        <v>338</v>
      </c>
      <c r="O912" s="186"/>
      <c r="P912" s="189">
        <f>IFERROR(__xludf.DUMMYFUNCTION("""COMPUTED_VALUE"""),363.0)</f>
        <v>363</v>
      </c>
      <c r="Q912" s="189">
        <f>IFERROR(__xludf.DUMMYFUNCTION("""COMPUTED_VALUE"""),394.0)</f>
        <v>394</v>
      </c>
      <c r="R912" s="186"/>
      <c r="S912" s="189">
        <f>IFERROR(__xludf.DUMMYFUNCTION("""COMPUTED_VALUE"""),430.0)</f>
        <v>430</v>
      </c>
    </row>
    <row r="913">
      <c r="A913" s="186" t="str">
        <f>IFERROR(__xludf.DUMMYFUNCTION("""COMPUTED_VALUE"""),"DE")</f>
        <v>DE</v>
      </c>
      <c r="B913" s="186" t="str">
        <f>IFERROR(__xludf.DUMMYFUNCTION("""COMPUTED_VALUE"""),"W16")</f>
        <v>W16</v>
      </c>
      <c r="C913" s="186">
        <f>IFERROR(__xludf.DUMMYFUNCTION("""COMPUTED_VALUE"""),311.0)</f>
        <v>311</v>
      </c>
      <c r="D913" s="186" t="str">
        <f>IFERROR(__xludf.DUMMYFUNCTION("""COMPUTED_VALUE"""),"CON-00-139494-2")</f>
        <v>CON-00-139494-2</v>
      </c>
      <c r="E913" s="186" t="str">
        <f>IFERROR(__xludf.DUMMYFUNCTION("""COMPUTED_VALUE"""),"Artichoke &amp; Spinach Pork tenderloin")</f>
        <v>Artichoke &amp; Spinach Pork tenderloin</v>
      </c>
      <c r="F913" s="186" t="str">
        <f>IFERROR(__xludf.DUMMYFUNCTION("""COMPUTED_VALUE"""),"Schweinefilet mit Artischocken und Spinat")</f>
        <v>Schweinefilet mit Artischocken und Spinat</v>
      </c>
      <c r="G913" s="186" t="str">
        <f>IFERROR(__xludf.DUMMYFUNCTION("""COMPUTED_VALUE"""),"FE4060A")</f>
        <v>FE4060A</v>
      </c>
      <c r="H913" s="186">
        <f>IFERROR(__xludf.DUMMYFUNCTION("""COMPUTED_VALUE"""),565134.0)</f>
        <v>565134</v>
      </c>
      <c r="I913" s="186"/>
      <c r="J913" s="189">
        <f>IFERROR(__xludf.DUMMYFUNCTION("""COMPUTED_VALUE"""),412.0)</f>
        <v>412</v>
      </c>
      <c r="K913" s="189">
        <f>IFERROR(__xludf.DUMMYFUNCTION("""COMPUTED_VALUE"""),378.0)</f>
        <v>378</v>
      </c>
      <c r="L913" s="189">
        <f>IFERROR(__xludf.DUMMYFUNCTION("""COMPUTED_VALUE"""),236.0)</f>
        <v>236</v>
      </c>
      <c r="M913" s="189">
        <f>IFERROR(__xludf.DUMMYFUNCTION("""COMPUTED_VALUE"""),245.0)</f>
        <v>245</v>
      </c>
      <c r="N913" s="189">
        <f>IFERROR(__xludf.DUMMYFUNCTION("""COMPUTED_VALUE"""),246.0)</f>
        <v>246</v>
      </c>
      <c r="O913" s="186"/>
      <c r="P913" s="189">
        <f>IFERROR(__xludf.DUMMYFUNCTION("""COMPUTED_VALUE"""),256.0)</f>
        <v>256</v>
      </c>
      <c r="Q913" s="189">
        <f>IFERROR(__xludf.DUMMYFUNCTION("""COMPUTED_VALUE"""),297.0)</f>
        <v>297</v>
      </c>
      <c r="R913" s="186"/>
      <c r="S913" s="189">
        <f>IFERROR(__xludf.DUMMYFUNCTION("""COMPUTED_VALUE"""),299.0)</f>
        <v>299</v>
      </c>
    </row>
    <row r="914">
      <c r="A914" s="186" t="str">
        <f>IFERROR(__xludf.DUMMYFUNCTION("""COMPUTED_VALUE"""),"DE")</f>
        <v>DE</v>
      </c>
      <c r="B914" s="186" t="str">
        <f>IFERROR(__xludf.DUMMYFUNCTION("""COMPUTED_VALUE"""),"W16")</f>
        <v>W16</v>
      </c>
      <c r="C914" s="186">
        <f>IFERROR(__xludf.DUMMYFUNCTION("""COMPUTED_VALUE"""),312.0)</f>
        <v>312</v>
      </c>
      <c r="D914" s="186" t="str">
        <f>IFERROR(__xludf.DUMMYFUNCTION("""COMPUTED_VALUE"""),"CON-00-152029-2")</f>
        <v>CON-00-152029-2</v>
      </c>
      <c r="E914" s="186" t="str">
        <f>IFERROR(__xludf.DUMMYFUNCTION("""COMPUTED_VALUE"""),"Salmon Dijonnaise")</f>
        <v>Salmon Dijonnaise</v>
      </c>
      <c r="F914" s="186" t="str">
        <f>IFERROR(__xludf.DUMMYFUNCTION("""COMPUTED_VALUE"""),"Lachs Dijonnaise")</f>
        <v>Lachs Dijonnaise</v>
      </c>
      <c r="G914" s="186" t="str">
        <f>IFERROR(__xludf.DUMMYFUNCTION("""COMPUTED_VALUE"""),"FE1031A")</f>
        <v>FE1031A</v>
      </c>
      <c r="H914" s="186">
        <f>IFERROR(__xludf.DUMMYFUNCTION("""COMPUTED_VALUE"""),565207.0)</f>
        <v>565207</v>
      </c>
      <c r="I914" s="186" t="str">
        <f>IFERROR(__xludf.DUMMYFUNCTION("""COMPUTED_VALUE"""),"HF Zalm dijonnaise")</f>
        <v>HF Zalm dijonnaise</v>
      </c>
      <c r="J914" s="189">
        <f>IFERROR(__xludf.DUMMYFUNCTION("""COMPUTED_VALUE"""),1521.0)</f>
        <v>1521</v>
      </c>
      <c r="K914" s="189">
        <f>IFERROR(__xludf.DUMMYFUNCTION("""COMPUTED_VALUE"""),1370.0)</f>
        <v>1370</v>
      </c>
      <c r="L914" s="189">
        <f>IFERROR(__xludf.DUMMYFUNCTION("""COMPUTED_VALUE"""),1216.0)</f>
        <v>1216</v>
      </c>
      <c r="M914" s="189">
        <f>IFERROR(__xludf.DUMMYFUNCTION("""COMPUTED_VALUE"""),1295.0)</f>
        <v>1295</v>
      </c>
      <c r="N914" s="189">
        <f>IFERROR(__xludf.DUMMYFUNCTION("""COMPUTED_VALUE"""),1325.0)</f>
        <v>1325</v>
      </c>
      <c r="O914" s="186"/>
      <c r="P914" s="189">
        <f>IFERROR(__xludf.DUMMYFUNCTION("""COMPUTED_VALUE"""),1424.0)</f>
        <v>1424</v>
      </c>
      <c r="Q914" s="189">
        <f>IFERROR(__xludf.DUMMYFUNCTION("""COMPUTED_VALUE"""),1515.0)</f>
        <v>1515</v>
      </c>
      <c r="R914" s="186"/>
      <c r="S914" s="189">
        <f>IFERROR(__xludf.DUMMYFUNCTION("""COMPUTED_VALUE"""),1590.0)</f>
        <v>1590</v>
      </c>
    </row>
    <row r="915">
      <c r="A915" s="186" t="str">
        <f>IFERROR(__xludf.DUMMYFUNCTION("""COMPUTED_VALUE"""),"DE")</f>
        <v>DE</v>
      </c>
      <c r="B915" s="186" t="str">
        <f>IFERROR(__xludf.DUMMYFUNCTION("""COMPUTED_VALUE"""),"W16")</f>
        <v>W16</v>
      </c>
      <c r="C915" s="186">
        <f>IFERROR(__xludf.DUMMYFUNCTION("""COMPUTED_VALUE"""),313.0)</f>
        <v>313</v>
      </c>
      <c r="D915" s="186" t="str">
        <f>IFERROR(__xludf.DUMMYFUNCTION("""COMPUTED_VALUE"""),"CON-00-155633-2")</f>
        <v>CON-00-155633-2</v>
      </c>
      <c r="E915" s="186" t="str">
        <f>IFERROR(__xludf.DUMMYFUNCTION("""COMPUTED_VALUE"""),"Cajun Chicken, Tomato Gravy &amp; Mashed Potatoes")</f>
        <v>Cajun Chicken, Tomato Gravy &amp; Mashed Potatoes</v>
      </c>
      <c r="F915" s="186" t="str">
        <f>IFERROR(__xludf.DUMMYFUNCTION("""COMPUTED_VALUE"""),"Cajun-Hähnchen mit Tomatensauce &amp; Kartoffelpüree")</f>
        <v>Cajun-Hähnchen mit Tomatensauce &amp; Kartoffelpüree</v>
      </c>
      <c r="G915" s="186" t="str">
        <f>IFERROR(__xludf.DUMMYFUNCTION("""COMPUTED_VALUE"""),"FE4081A")</f>
        <v>FE4081A</v>
      </c>
      <c r="H915" s="186">
        <f>IFERROR(__xludf.DUMMYFUNCTION("""COMPUTED_VALUE"""),565255.0)</f>
        <v>565255</v>
      </c>
      <c r="I915" s="186" t="str">
        <f>IFERROR(__xludf.DUMMYFUNCTION("""COMPUTED_VALUE"""),"HF Cajun chicken tomato gravy")</f>
        <v>HF Cajun chicken tomato gravy</v>
      </c>
      <c r="J915" s="189">
        <f>IFERROR(__xludf.DUMMYFUNCTION("""COMPUTED_VALUE"""),1491.0)</f>
        <v>1491</v>
      </c>
      <c r="K915" s="189">
        <f>IFERROR(__xludf.DUMMYFUNCTION("""COMPUTED_VALUE"""),1567.0)</f>
        <v>1567</v>
      </c>
      <c r="L915" s="189">
        <f>IFERROR(__xludf.DUMMYFUNCTION("""COMPUTED_VALUE"""),1397.0)</f>
        <v>1397</v>
      </c>
      <c r="M915" s="189">
        <f>IFERROR(__xludf.DUMMYFUNCTION("""COMPUTED_VALUE"""),1345.0)</f>
        <v>1345</v>
      </c>
      <c r="N915" s="189">
        <f>IFERROR(__xludf.DUMMYFUNCTION("""COMPUTED_VALUE"""),1365.0)</f>
        <v>1365</v>
      </c>
      <c r="O915" s="186"/>
      <c r="P915" s="189">
        <f>IFERROR(__xludf.DUMMYFUNCTION("""COMPUTED_VALUE"""),1408.0)</f>
        <v>1408</v>
      </c>
      <c r="Q915" s="189">
        <f>IFERROR(__xludf.DUMMYFUNCTION("""COMPUTED_VALUE"""),1532.0)</f>
        <v>1532</v>
      </c>
      <c r="R915" s="186"/>
      <c r="S915" s="189">
        <f>IFERROR(__xludf.DUMMYFUNCTION("""COMPUTED_VALUE"""),1563.0)</f>
        <v>1563</v>
      </c>
    </row>
    <row r="916">
      <c r="A916" s="186" t="str">
        <f>IFERROR(__xludf.DUMMYFUNCTION("""COMPUTED_VALUE"""),"DE")</f>
        <v>DE</v>
      </c>
      <c r="B916" s="186" t="str">
        <f>IFERROR(__xludf.DUMMYFUNCTION("""COMPUTED_VALUE"""),"W16")</f>
        <v>W16</v>
      </c>
      <c r="C916" s="186">
        <f>IFERROR(__xludf.DUMMYFUNCTION("""COMPUTED_VALUE"""),314.0)</f>
        <v>314</v>
      </c>
      <c r="D916" s="186" t="str">
        <f>IFERROR(__xludf.DUMMYFUNCTION("""COMPUTED_VALUE"""),"CON-00-168317-2")</f>
        <v>CON-00-168317-2</v>
      </c>
      <c r="E916" s="186" t="str">
        <f>IFERROR(__xludf.DUMMYFUNCTION("""COMPUTED_VALUE"""),"Tangy Miso Chicken Bowl")</f>
        <v>Tangy Miso Chicken Bowl</v>
      </c>
      <c r="F916" s="186" t="str">
        <f>IFERROR(__xludf.DUMMYFUNCTION("""COMPUTED_VALUE"""),"Würzige Miso-Hähnchen-Bowl")</f>
        <v>Würzige Miso-Hähnchen-Bowl</v>
      </c>
      <c r="G916" s="186" t="str">
        <f>IFERROR(__xludf.DUMMYFUNCTION("""COMPUTED_VALUE"""),"FE1790A")</f>
        <v>FE1790A</v>
      </c>
      <c r="H916" s="186">
        <f>IFERROR(__xludf.DUMMYFUNCTION("""COMPUTED_VALUE"""),565267.0)</f>
        <v>565267</v>
      </c>
      <c r="I916" s="186" t="str">
        <f>IFERROR(__xludf.DUMMYFUNCTION("""COMPUTED_VALUE"""),"HF Tangy chicken miso bowl")</f>
        <v>HF Tangy chicken miso bowl</v>
      </c>
      <c r="J916" s="189">
        <f>IFERROR(__xludf.DUMMYFUNCTION("""COMPUTED_VALUE"""),756.0)</f>
        <v>756</v>
      </c>
      <c r="K916" s="189">
        <f>IFERROR(__xludf.DUMMYFUNCTION("""COMPUTED_VALUE"""),668.0)</f>
        <v>668</v>
      </c>
      <c r="L916" s="189">
        <f>IFERROR(__xludf.DUMMYFUNCTION("""COMPUTED_VALUE"""),888.0)</f>
        <v>888</v>
      </c>
      <c r="M916" s="189">
        <f>IFERROR(__xludf.DUMMYFUNCTION("""COMPUTED_VALUE"""),930.0)</f>
        <v>930</v>
      </c>
      <c r="N916" s="189">
        <f>IFERROR(__xludf.DUMMYFUNCTION("""COMPUTED_VALUE"""),892.0)</f>
        <v>892</v>
      </c>
      <c r="O916" s="186"/>
      <c r="P916" s="189">
        <f>IFERROR(__xludf.DUMMYFUNCTION("""COMPUTED_VALUE"""),895.0)</f>
        <v>895</v>
      </c>
      <c r="Q916" s="189">
        <f>IFERROR(__xludf.DUMMYFUNCTION("""COMPUTED_VALUE"""),1000.0)</f>
        <v>1000</v>
      </c>
      <c r="R916" s="186"/>
      <c r="S916" s="189">
        <f>IFERROR(__xludf.DUMMYFUNCTION("""COMPUTED_VALUE"""),995.0)</f>
        <v>995</v>
      </c>
    </row>
    <row r="917">
      <c r="A917" s="186" t="str">
        <f>IFERROR(__xludf.DUMMYFUNCTION("""COMPUTED_VALUE"""),"DE")</f>
        <v>DE</v>
      </c>
      <c r="B917" s="186" t="str">
        <f>IFERROR(__xludf.DUMMYFUNCTION("""COMPUTED_VALUE"""),"W16")</f>
        <v>W16</v>
      </c>
      <c r="C917" s="186">
        <f>IFERROR(__xludf.DUMMYFUNCTION("""COMPUTED_VALUE"""),315.0)</f>
        <v>315</v>
      </c>
      <c r="D917" s="186" t="str">
        <f>IFERROR(__xludf.DUMMYFUNCTION("""COMPUTED_VALUE"""),"CON-00-136698-3")</f>
        <v>CON-00-136698-3</v>
      </c>
      <c r="E917" s="186" t="str">
        <f>IFERROR(__xludf.DUMMYFUNCTION("""COMPUTED_VALUE"""),"Braised beef in herby jus")</f>
        <v>Braised beef in herby jus</v>
      </c>
      <c r="F917" s="186" t="str">
        <f>IFERROR(__xludf.DUMMYFUNCTION("""COMPUTED_VALUE"""),"Geschmortes Rindfleisch in Kräuterjus")</f>
        <v>Geschmortes Rindfleisch in Kräuterjus</v>
      </c>
      <c r="G917" s="186" t="str">
        <f>IFERROR(__xludf.DUMMYFUNCTION("""COMPUTED_VALUE"""),"FE0413F")</f>
        <v>FE0413F</v>
      </c>
      <c r="H917" s="186">
        <f>IFERROR(__xludf.DUMMYFUNCTION("""COMPUTED_VALUE"""),565089.0)</f>
        <v>565089</v>
      </c>
      <c r="I917" s="186" t="str">
        <f>IFERROR(__xludf.DUMMYFUNCTION("""COMPUTED_VALUE"""),"HF Franse stijl rundvlees")</f>
        <v>HF Franse stijl rundvlees</v>
      </c>
      <c r="J917" s="189">
        <f>IFERROR(__xludf.DUMMYFUNCTION("""COMPUTED_VALUE"""),796.0)</f>
        <v>796</v>
      </c>
      <c r="K917" s="189">
        <f>IFERROR(__xludf.DUMMYFUNCTION("""COMPUTED_VALUE"""),713.0)</f>
        <v>713</v>
      </c>
      <c r="L917" s="189">
        <f>IFERROR(__xludf.DUMMYFUNCTION("""COMPUTED_VALUE"""),739.0)</f>
        <v>739</v>
      </c>
      <c r="M917" s="189">
        <f>IFERROR(__xludf.DUMMYFUNCTION("""COMPUTED_VALUE"""),756.0)</f>
        <v>756</v>
      </c>
      <c r="N917" s="189">
        <f>IFERROR(__xludf.DUMMYFUNCTION("""COMPUTED_VALUE"""),810.0)</f>
        <v>810</v>
      </c>
      <c r="O917" s="186"/>
      <c r="P917" s="189">
        <f>IFERROR(__xludf.DUMMYFUNCTION("""COMPUTED_VALUE"""),822.0)</f>
        <v>822</v>
      </c>
      <c r="Q917" s="189">
        <f>IFERROR(__xludf.DUMMYFUNCTION("""COMPUTED_VALUE"""),864.0)</f>
        <v>864</v>
      </c>
      <c r="R917" s="186"/>
      <c r="S917" s="189">
        <f>IFERROR(__xludf.DUMMYFUNCTION("""COMPUTED_VALUE"""),934.0)</f>
        <v>934</v>
      </c>
    </row>
    <row r="918">
      <c r="A918" s="186" t="str">
        <f>IFERROR(__xludf.DUMMYFUNCTION("""COMPUTED_VALUE"""),"DE")</f>
        <v>DE</v>
      </c>
      <c r="B918" s="186" t="str">
        <f>IFERROR(__xludf.DUMMYFUNCTION("""COMPUTED_VALUE"""),"W16")</f>
        <v>W16</v>
      </c>
      <c r="C918" s="186">
        <f>IFERROR(__xludf.DUMMYFUNCTION("""COMPUTED_VALUE"""),316.0)</f>
        <v>316</v>
      </c>
      <c r="D918" s="186" t="str">
        <f>IFERROR(__xludf.DUMMYFUNCTION("""COMPUTED_VALUE"""),"CON-00-168314-2")</f>
        <v>CON-00-168314-2</v>
      </c>
      <c r="E918" s="186" t="str">
        <f>IFERROR(__xludf.DUMMYFUNCTION("""COMPUTED_VALUE"""),"Grilled Pork Tenderloin &amp; Butternut Mash")</f>
        <v>Grilled Pork Tenderloin &amp; Butternut Mash</v>
      </c>
      <c r="F918" s="186" t="str">
        <f>IFERROR(__xludf.DUMMYFUNCTION("""COMPUTED_VALUE"""),"Gegrilltes Schweinefilet mit Butternusskürbispüree")</f>
        <v>Gegrilltes Schweinefilet mit Butternusskürbispüree</v>
      </c>
      <c r="G918" s="186" t="str">
        <f>IFERROR(__xludf.DUMMYFUNCTION("""COMPUTED_VALUE"""),"FE1487A")</f>
        <v>FE1487A</v>
      </c>
      <c r="H918" s="186">
        <f>IFERROR(__xludf.DUMMYFUNCTION("""COMPUTED_VALUE"""),565285.0)</f>
        <v>565285</v>
      </c>
      <c r="I918" s="186" t="str">
        <f>IFERROR(__xludf.DUMMYFUNCTION("""COMPUTED_VALUE"""),"HF Varkenshaas pompoen puree")</f>
        <v>HF Varkenshaas pompoen puree</v>
      </c>
      <c r="J918" s="189">
        <f>IFERROR(__xludf.DUMMYFUNCTION("""COMPUTED_VALUE"""),553.0)</f>
        <v>553</v>
      </c>
      <c r="K918" s="189">
        <f>IFERROR(__xludf.DUMMYFUNCTION("""COMPUTED_VALUE"""),498.0)</f>
        <v>498</v>
      </c>
      <c r="L918" s="189">
        <f>IFERROR(__xludf.DUMMYFUNCTION("""COMPUTED_VALUE"""),666.0)</f>
        <v>666</v>
      </c>
      <c r="M918" s="189">
        <f>IFERROR(__xludf.DUMMYFUNCTION("""COMPUTED_VALUE"""),715.0)</f>
        <v>715</v>
      </c>
      <c r="N918" s="189">
        <f>IFERROR(__xludf.DUMMYFUNCTION("""COMPUTED_VALUE"""),662.0)</f>
        <v>662</v>
      </c>
      <c r="O918" s="186"/>
      <c r="P918" s="189">
        <f>IFERROR(__xludf.DUMMYFUNCTION("""COMPUTED_VALUE"""),626.0)</f>
        <v>626</v>
      </c>
      <c r="Q918" s="189">
        <f>IFERROR(__xludf.DUMMYFUNCTION("""COMPUTED_VALUE"""),675.0)</f>
        <v>675</v>
      </c>
      <c r="R918" s="186"/>
      <c r="S918" s="189">
        <f>IFERROR(__xludf.DUMMYFUNCTION("""COMPUTED_VALUE"""),627.0)</f>
        <v>627</v>
      </c>
    </row>
    <row r="919">
      <c r="A919" s="186" t="str">
        <f>IFERROR(__xludf.DUMMYFUNCTION("""COMPUTED_VALUE"""),"DE")</f>
        <v>DE</v>
      </c>
      <c r="B919" s="186" t="str">
        <f>IFERROR(__xludf.DUMMYFUNCTION("""COMPUTED_VALUE"""),"W16")</f>
        <v>W16</v>
      </c>
      <c r="C919" s="186">
        <f>IFERROR(__xludf.DUMMYFUNCTION("""COMPUTED_VALUE"""),317.0)</f>
        <v>317</v>
      </c>
      <c r="D919" s="186" t="str">
        <f>IFERROR(__xludf.DUMMYFUNCTION("""COMPUTED_VALUE"""),"CON-00-136637-3")</f>
        <v>CON-00-136637-3</v>
      </c>
      <c r="E919" s="186" t="str">
        <f>IFERROR(__xludf.DUMMYFUNCTION("""COMPUTED_VALUE"""),"Pork tenderloin in creamy garlic-mustard sauce")</f>
        <v>Pork tenderloin in creamy garlic-mustard sauce</v>
      </c>
      <c r="F919" s="186" t="str">
        <f>IFERROR(__xludf.DUMMYFUNCTION("""COMPUTED_VALUE"""),"Schweinefilet in cremiger Knoblauch-Senf-Sauce")</f>
        <v>Schweinefilet in cremiger Knoblauch-Senf-Sauce</v>
      </c>
      <c r="G919" s="186" t="str">
        <f>IFERROR(__xludf.DUMMYFUNCTION("""COMPUTED_VALUE"""),"FE0169H")</f>
        <v>FE0169H</v>
      </c>
      <c r="H919" s="186">
        <f>IFERROR(__xludf.DUMMYFUNCTION("""COMPUTED_VALUE"""),565143.0)</f>
        <v>565143</v>
      </c>
      <c r="I919" s="186" t="str">
        <f>IFERROR(__xludf.DUMMYFUNCTION("""COMPUTED_VALUE"""),"Varkenshaas in romige knoflook-mosterdsaus")</f>
        <v>Varkenshaas in romige knoflook-mosterdsaus</v>
      </c>
      <c r="J919" s="189">
        <f>IFERROR(__xludf.DUMMYFUNCTION("""COMPUTED_VALUE"""),891.0)</f>
        <v>891</v>
      </c>
      <c r="K919" s="189">
        <f>IFERROR(__xludf.DUMMYFUNCTION("""COMPUTED_VALUE"""),863.0)</f>
        <v>863</v>
      </c>
      <c r="L919" s="189">
        <f>IFERROR(__xludf.DUMMYFUNCTION("""COMPUTED_VALUE"""),930.0)</f>
        <v>930</v>
      </c>
      <c r="M919" s="189">
        <f>IFERROR(__xludf.DUMMYFUNCTION("""COMPUTED_VALUE"""),900.0)</f>
        <v>900</v>
      </c>
      <c r="N919" s="189">
        <f>IFERROR(__xludf.DUMMYFUNCTION("""COMPUTED_VALUE"""),926.0)</f>
        <v>926</v>
      </c>
      <c r="O919" s="186"/>
      <c r="P919" s="189">
        <f>IFERROR(__xludf.DUMMYFUNCTION("""COMPUTED_VALUE"""),954.0)</f>
        <v>954</v>
      </c>
      <c r="Q919" s="189">
        <f>IFERROR(__xludf.DUMMYFUNCTION("""COMPUTED_VALUE"""),971.0)</f>
        <v>971</v>
      </c>
      <c r="R919" s="186"/>
      <c r="S919" s="189">
        <f>IFERROR(__xludf.DUMMYFUNCTION("""COMPUTED_VALUE"""),1001.0)</f>
        <v>1001</v>
      </c>
    </row>
    <row r="920">
      <c r="A920" s="186" t="str">
        <f>IFERROR(__xludf.DUMMYFUNCTION("""COMPUTED_VALUE"""),"DE")</f>
        <v>DE</v>
      </c>
      <c r="B920" s="186" t="str">
        <f>IFERROR(__xludf.DUMMYFUNCTION("""COMPUTED_VALUE"""),"W16")</f>
        <v>W16</v>
      </c>
      <c r="C920" s="186">
        <f>IFERROR(__xludf.DUMMYFUNCTION("""COMPUTED_VALUE"""),318.0)</f>
        <v>318</v>
      </c>
      <c r="D920" s="186" t="str">
        <f>IFERROR(__xludf.DUMMYFUNCTION("""COMPUTED_VALUE"""),"CON-00-136696-3")</f>
        <v>CON-00-136696-3</v>
      </c>
      <c r="E920" s="186" t="str">
        <f>IFERROR(__xludf.DUMMYFUNCTION("""COMPUTED_VALUE"""),"Pork tenderloin in spicy ancho chili sauce")</f>
        <v>Pork tenderloin in spicy ancho chili sauce</v>
      </c>
      <c r="F920" s="186" t="str">
        <f>IFERROR(__xludf.DUMMYFUNCTION("""COMPUTED_VALUE"""),"Schweinefilet in würziger Ancho-Chili-Sauce")</f>
        <v>Schweinefilet in würziger Ancho-Chili-Sauce</v>
      </c>
      <c r="G920" s="186" t="str">
        <f>IFERROR(__xludf.DUMMYFUNCTION("""COMPUTED_VALUE"""),"FE1072B")</f>
        <v>FE1072B</v>
      </c>
      <c r="H920" s="186">
        <f>IFERROR(__xludf.DUMMYFUNCTION("""COMPUTED_VALUE"""),565095.0)</f>
        <v>565095</v>
      </c>
      <c r="I920" s="186" t="str">
        <f>IFERROR(__xludf.DUMMYFUNCTION("""COMPUTED_VALUE"""),"HF V.haas pittige ancho chili")</f>
        <v>HF V.haas pittige ancho chili</v>
      </c>
      <c r="J920" s="189">
        <f>IFERROR(__xludf.DUMMYFUNCTION("""COMPUTED_VALUE"""),520.0)</f>
        <v>520</v>
      </c>
      <c r="K920" s="189">
        <f>IFERROR(__xludf.DUMMYFUNCTION("""COMPUTED_VALUE"""),466.0)</f>
        <v>466</v>
      </c>
      <c r="L920" s="189">
        <f>IFERROR(__xludf.DUMMYFUNCTION("""COMPUTED_VALUE"""),390.0)</f>
        <v>390</v>
      </c>
      <c r="M920" s="189">
        <f>IFERROR(__xludf.DUMMYFUNCTION("""COMPUTED_VALUE"""),346.0)</f>
        <v>346</v>
      </c>
      <c r="N920" s="189">
        <f>IFERROR(__xludf.DUMMYFUNCTION("""COMPUTED_VALUE"""),354.0)</f>
        <v>354</v>
      </c>
      <c r="O920" s="186"/>
      <c r="P920" s="189">
        <f>IFERROR(__xludf.DUMMYFUNCTION("""COMPUTED_VALUE"""),349.0)</f>
        <v>349</v>
      </c>
      <c r="Q920" s="189">
        <f>IFERROR(__xludf.DUMMYFUNCTION("""COMPUTED_VALUE"""),419.0)</f>
        <v>419</v>
      </c>
      <c r="R920" s="186"/>
      <c r="S920" s="189">
        <f>IFERROR(__xludf.DUMMYFUNCTION("""COMPUTED_VALUE"""),400.0)</f>
        <v>400</v>
      </c>
    </row>
    <row r="921">
      <c r="A921" s="186" t="str">
        <f>IFERROR(__xludf.DUMMYFUNCTION("""COMPUTED_VALUE"""),"DE")</f>
        <v>DE</v>
      </c>
      <c r="B921" s="186" t="str">
        <f>IFERROR(__xludf.DUMMYFUNCTION("""COMPUTED_VALUE"""),"W16")</f>
        <v>W16</v>
      </c>
      <c r="C921" s="186">
        <f>IFERROR(__xludf.DUMMYFUNCTION("""COMPUTED_VALUE"""),206.0)</f>
        <v>206</v>
      </c>
      <c r="D921" s="186" t="str">
        <f>IFERROR(__xludf.DUMMYFUNCTION("""COMPUTED_VALUE"""),"PTN-00-136930-3")</f>
        <v>PTN-00-136930-3</v>
      </c>
      <c r="E921" s="186" t="str">
        <f>IFERROR(__xludf.DUMMYFUNCTION("""COMPUTED_VALUE"""),"Garlic Herb Grilled Chicken")</f>
        <v>Garlic Herb Grilled Chicken</v>
      </c>
      <c r="F921" s="186" t="str">
        <f>IFERROR(__xludf.DUMMYFUNCTION("""COMPUTED_VALUE"""),"Gegrilltes Hähnchen mit Knoblauch-Kräutern")</f>
        <v>Gegrilltes Hähnchen mit Knoblauch-Kräutern</v>
      </c>
      <c r="G921" s="186" t="str">
        <f>IFERROR(__xludf.DUMMYFUNCTION("""COMPUTED_VALUE"""),"FEA006A")</f>
        <v>FEA006A</v>
      </c>
      <c r="H921" s="186">
        <f>IFERROR(__xludf.DUMMYFUNCTION("""COMPUTED_VALUE"""),565119.0)</f>
        <v>565119</v>
      </c>
      <c r="I921" s="186"/>
      <c r="J921" s="189">
        <f>IFERROR(__xludf.DUMMYFUNCTION("""COMPUTED_VALUE"""),79.0)</f>
        <v>79</v>
      </c>
      <c r="K921" s="189">
        <f>IFERROR(__xludf.DUMMYFUNCTION("""COMPUTED_VALUE"""),79.0)</f>
        <v>79</v>
      </c>
      <c r="L921" s="189">
        <f>IFERROR(__xludf.DUMMYFUNCTION("""COMPUTED_VALUE"""),79.0)</f>
        <v>79</v>
      </c>
      <c r="M921" s="189">
        <f>IFERROR(__xludf.DUMMYFUNCTION("""COMPUTED_VALUE"""),79.0)</f>
        <v>79</v>
      </c>
      <c r="N921" s="189">
        <f>IFERROR(__xludf.DUMMYFUNCTION("""COMPUTED_VALUE"""),79.0)</f>
        <v>79</v>
      </c>
      <c r="O921" s="186"/>
      <c r="P921" s="189">
        <f>IFERROR(__xludf.DUMMYFUNCTION("""COMPUTED_VALUE"""),79.0)</f>
        <v>79</v>
      </c>
      <c r="Q921" s="189">
        <f>IFERROR(__xludf.DUMMYFUNCTION("""COMPUTED_VALUE"""),79.0)</f>
        <v>79</v>
      </c>
      <c r="R921" s="186"/>
      <c r="S921" s="189">
        <f>IFERROR(__xludf.DUMMYFUNCTION("""COMPUTED_VALUE"""),49.0)</f>
        <v>49</v>
      </c>
    </row>
    <row r="922">
      <c r="A922" s="186" t="str">
        <f>IFERROR(__xludf.DUMMYFUNCTION("""COMPUTED_VALUE"""),"DE")</f>
        <v>DE</v>
      </c>
      <c r="B922" s="186" t="str">
        <f>IFERROR(__xludf.DUMMYFUNCTION("""COMPUTED_VALUE"""),"W16")</f>
        <v>W16</v>
      </c>
      <c r="C922" s="186"/>
      <c r="D922" s="186"/>
      <c r="E922" s="186"/>
      <c r="F922" s="186"/>
      <c r="G922" s="186"/>
      <c r="H922" s="186"/>
      <c r="I922" s="186"/>
      <c r="J922" s="189">
        <f>IFERROR(__xludf.DUMMYFUNCTION("""COMPUTED_VALUE"""),21706.0)</f>
        <v>21706</v>
      </c>
      <c r="K922" s="189">
        <f>IFERROR(__xludf.DUMMYFUNCTION("""COMPUTED_VALUE"""),20508.0)</f>
        <v>20508</v>
      </c>
      <c r="L922" s="189">
        <f>IFERROR(__xludf.DUMMYFUNCTION("""COMPUTED_VALUE"""),19678.0)</f>
        <v>19678</v>
      </c>
      <c r="M922" s="189">
        <f>IFERROR(__xludf.DUMMYFUNCTION("""COMPUTED_VALUE"""),19900.0)</f>
        <v>19900</v>
      </c>
      <c r="N922" s="189">
        <f>IFERROR(__xludf.DUMMYFUNCTION("""COMPUTED_VALUE"""),20039.0)</f>
        <v>20039</v>
      </c>
      <c r="O922" s="189">
        <f>IFERROR(__xludf.DUMMYFUNCTION("""COMPUTED_VALUE"""),0.0)</f>
        <v>0</v>
      </c>
      <c r="P922" s="189">
        <f>IFERROR(__xludf.DUMMYFUNCTION("""COMPUTED_VALUE"""),20580.0)</f>
        <v>20580</v>
      </c>
      <c r="Q922" s="189">
        <f>IFERROR(__xludf.DUMMYFUNCTION("""COMPUTED_VALUE"""),22043.0)</f>
        <v>22043</v>
      </c>
      <c r="R922" s="189">
        <f>IFERROR(__xludf.DUMMYFUNCTION("""COMPUTED_VALUE"""),0.0)</f>
        <v>0</v>
      </c>
      <c r="S922" s="189">
        <f>IFERROR(__xludf.DUMMYFUNCTION("""COMPUTED_VALUE"""),23355.0)</f>
        <v>23355</v>
      </c>
    </row>
    <row r="923">
      <c r="A923" s="186" t="str">
        <f>IFERROR(__xludf.DUMMYFUNCTION("""COMPUTED_VALUE"""),"NORDICS")</f>
        <v>NORDICS</v>
      </c>
      <c r="B923" s="186" t="str">
        <f>IFERROR(__xludf.DUMMYFUNCTION("""COMPUTED_VALUE"""),"W17")</f>
        <v>W17</v>
      </c>
      <c r="C923" s="186">
        <f>IFERROR(__xludf.DUMMYFUNCTION("""COMPUTED_VALUE"""),601.0)</f>
        <v>601</v>
      </c>
      <c r="D923" s="186" t="str">
        <f>IFERROR(__xludf.DUMMYFUNCTION("""COMPUTED_VALUE"""),"CON-00-147877-2")</f>
        <v>CON-00-147877-2</v>
      </c>
      <c r="E923" s="186" t="str">
        <f>IFERROR(__xludf.DUMMYFUNCTION("""COMPUTED_VALUE"""),"Creamy basil risotto with chicken")</f>
        <v>Creamy basil risotto with chicken</v>
      </c>
      <c r="F923" s="186" t="str">
        <f>IFERROR(__xludf.DUMMYFUNCTION("""COMPUTED_VALUE"""),"Cremet basilikumrisotto med kylling")</f>
        <v>Cremet basilikumrisotto med kylling</v>
      </c>
      <c r="G923" s="186" t="str">
        <f>IFERROR(__xludf.DUMMYFUNCTION("""COMPUTED_VALUE"""),"FE4014B")</f>
        <v>FE4014B</v>
      </c>
      <c r="H923" s="186">
        <f>IFERROR(__xludf.DUMMYFUNCTION("""COMPUTED_VALUE"""),565122.0)</f>
        <v>565122</v>
      </c>
      <c r="I923" s="186"/>
      <c r="J923" s="189">
        <f>IFERROR(__xludf.DUMMYFUNCTION("""COMPUTED_VALUE"""),3679.0)</f>
        <v>3679</v>
      </c>
      <c r="K923" s="189">
        <f>IFERROR(__xludf.DUMMYFUNCTION("""COMPUTED_VALUE"""),3499.0)</f>
        <v>3499</v>
      </c>
      <c r="L923" s="189">
        <f>IFERROR(__xludf.DUMMYFUNCTION("""COMPUTED_VALUE"""),3206.0)</f>
        <v>3206</v>
      </c>
      <c r="M923" s="189">
        <f>IFERROR(__xludf.DUMMYFUNCTION("""COMPUTED_VALUE"""),3567.0)</f>
        <v>3567</v>
      </c>
      <c r="N923" s="189">
        <f>IFERROR(__xludf.DUMMYFUNCTION("""COMPUTED_VALUE"""),3848.0)</f>
        <v>3848</v>
      </c>
      <c r="O923" s="189">
        <f>IFERROR(__xludf.DUMMYFUNCTION("""COMPUTED_VALUE"""),3802.0)</f>
        <v>3802</v>
      </c>
      <c r="P923" s="189">
        <f>IFERROR(__xludf.DUMMYFUNCTION("""COMPUTED_VALUE"""),3754.0)</f>
        <v>3754</v>
      </c>
      <c r="Q923" s="189">
        <f>IFERROR(__xludf.DUMMYFUNCTION("""COMPUTED_VALUE"""),3750.0)</f>
        <v>3750</v>
      </c>
      <c r="R923" s="186"/>
      <c r="S923" s="189">
        <f>IFERROR(__xludf.DUMMYFUNCTION("""COMPUTED_VALUE"""),3818.0)</f>
        <v>3818</v>
      </c>
    </row>
    <row r="924">
      <c r="A924" s="186" t="str">
        <f>IFERROR(__xludf.DUMMYFUNCTION("""COMPUTED_VALUE"""),"NORDICS")</f>
        <v>NORDICS</v>
      </c>
      <c r="B924" s="186" t="str">
        <f>IFERROR(__xludf.DUMMYFUNCTION("""COMPUTED_VALUE"""),"W17")</f>
        <v>W17</v>
      </c>
      <c r="C924" s="186">
        <f>IFERROR(__xludf.DUMMYFUNCTION("""COMPUTED_VALUE"""),602.0)</f>
        <v>602</v>
      </c>
      <c r="D924" s="186" t="str">
        <f>IFERROR(__xludf.DUMMYFUNCTION("""COMPUTED_VALUE"""),"CON-00-149481-2")</f>
        <v>CON-00-149481-2</v>
      </c>
      <c r="E924" s="186" t="str">
        <f>IFERROR(__xludf.DUMMYFUNCTION("""COMPUTED_VALUE"""),"Sour Cream &amp; Chive Chicken")</f>
        <v>Sour Cream &amp; Chive Chicken</v>
      </c>
      <c r="F924" s="186" t="str">
        <f>IFERROR(__xludf.DUMMYFUNCTION("""COMPUTED_VALUE"""),"Kylling med syrnet fløde og purløg")</f>
        <v>Kylling med syrnet fløde og purløg</v>
      </c>
      <c r="G924" s="186" t="str">
        <f>IFERROR(__xludf.DUMMYFUNCTION("""COMPUTED_VALUE"""),"FE0322O")</f>
        <v>FE0322O</v>
      </c>
      <c r="H924" s="186">
        <f>IFERROR(__xludf.DUMMYFUNCTION("""COMPUTED_VALUE"""),565163.0)</f>
        <v>565163</v>
      </c>
      <c r="I924" s="186" t="str">
        <f>IFERROR(__xludf.DUMMYFUNCTION("""COMPUTED_VALUE"""),"HF Kip bieslook aardappel pure")</f>
        <v>HF Kip bieslook aardappel pure</v>
      </c>
      <c r="J924" s="189">
        <f>IFERROR(__xludf.DUMMYFUNCTION("""COMPUTED_VALUE"""),2311.0)</f>
        <v>2311</v>
      </c>
      <c r="K924" s="189">
        <f>IFERROR(__xludf.DUMMYFUNCTION("""COMPUTED_VALUE"""),2219.0)</f>
        <v>2219</v>
      </c>
      <c r="L924" s="189">
        <f>IFERROR(__xludf.DUMMYFUNCTION("""COMPUTED_VALUE"""),1894.0)</f>
        <v>1894</v>
      </c>
      <c r="M924" s="189">
        <f>IFERROR(__xludf.DUMMYFUNCTION("""COMPUTED_VALUE"""),2267.0)</f>
        <v>2267</v>
      </c>
      <c r="N924" s="189">
        <f>IFERROR(__xludf.DUMMYFUNCTION("""COMPUTED_VALUE"""),2458.0)</f>
        <v>2458</v>
      </c>
      <c r="O924" s="189">
        <f>IFERROR(__xludf.DUMMYFUNCTION("""COMPUTED_VALUE"""),2390.0)</f>
        <v>2390</v>
      </c>
      <c r="P924" s="189">
        <f>IFERROR(__xludf.DUMMYFUNCTION("""COMPUTED_VALUE"""),2363.0)</f>
        <v>2363</v>
      </c>
      <c r="Q924" s="189">
        <f>IFERROR(__xludf.DUMMYFUNCTION("""COMPUTED_VALUE"""),2397.0)</f>
        <v>2397</v>
      </c>
      <c r="R924" s="186"/>
      <c r="S924" s="189">
        <f>IFERROR(__xludf.DUMMYFUNCTION("""COMPUTED_VALUE"""),2396.0)</f>
        <v>2396</v>
      </c>
    </row>
    <row r="925">
      <c r="A925" s="186" t="str">
        <f>IFERROR(__xludf.DUMMYFUNCTION("""COMPUTED_VALUE"""),"NORDICS")</f>
        <v>NORDICS</v>
      </c>
      <c r="B925" s="186" t="str">
        <f>IFERROR(__xludf.DUMMYFUNCTION("""COMPUTED_VALUE"""),"W17")</f>
        <v>W17</v>
      </c>
      <c r="C925" s="186">
        <f>IFERROR(__xludf.DUMMYFUNCTION("""COMPUTED_VALUE"""),603.0)</f>
        <v>603</v>
      </c>
      <c r="D925" s="186" t="str">
        <f>IFERROR(__xludf.DUMMYFUNCTION("""COMPUTED_VALUE"""),"CON-00-147860-2")</f>
        <v>CON-00-147860-2</v>
      </c>
      <c r="E925" s="186" t="str">
        <f>IFERROR(__xludf.DUMMYFUNCTION("""COMPUTED_VALUE"""),"Courgette-spaghetti bolognese")</f>
        <v>Courgette-spaghetti bolognese</v>
      </c>
      <c r="F925" s="186" t="str">
        <f>IFERROR(__xludf.DUMMYFUNCTION("""COMPUTED_VALUE"""),"Zucchini-spaghetti bolognese")</f>
        <v>Zucchini-spaghetti bolognese</v>
      </c>
      <c r="G925" s="186" t="str">
        <f>IFERROR(__xludf.DUMMYFUNCTION("""COMPUTED_VALUE"""),"FE0849B")</f>
        <v>FE0849B</v>
      </c>
      <c r="H925" s="186">
        <f>IFERROR(__xludf.DUMMYFUNCTION("""COMPUTED_VALUE"""),565260.0)</f>
        <v>565260</v>
      </c>
      <c r="I925" s="186" t="str">
        <f>IFERROR(__xludf.DUMMYFUNCTION("""COMPUTED_VALUE"""),"HF RW Courgette-spagh bolognes")</f>
        <v>HF RW Courgette-spagh bolognes</v>
      </c>
      <c r="J925" s="189">
        <f>IFERROR(__xludf.DUMMYFUNCTION("""COMPUTED_VALUE"""),2092.0)</f>
        <v>2092</v>
      </c>
      <c r="K925" s="189">
        <f>IFERROR(__xludf.DUMMYFUNCTION("""COMPUTED_VALUE"""),1929.0)</f>
        <v>1929</v>
      </c>
      <c r="L925" s="189">
        <f>IFERROR(__xludf.DUMMYFUNCTION("""COMPUTED_VALUE"""),1759.0)</f>
        <v>1759</v>
      </c>
      <c r="M925" s="189">
        <f>IFERROR(__xludf.DUMMYFUNCTION("""COMPUTED_VALUE"""),2079.0)</f>
        <v>2079</v>
      </c>
      <c r="N925" s="189">
        <f>IFERROR(__xludf.DUMMYFUNCTION("""COMPUTED_VALUE"""),2224.0)</f>
        <v>2224</v>
      </c>
      <c r="O925" s="189">
        <f>IFERROR(__xludf.DUMMYFUNCTION("""COMPUTED_VALUE"""),2186.0)</f>
        <v>2186</v>
      </c>
      <c r="P925" s="189">
        <f>IFERROR(__xludf.DUMMYFUNCTION("""COMPUTED_VALUE"""),2181.0)</f>
        <v>2181</v>
      </c>
      <c r="Q925" s="189">
        <f>IFERROR(__xludf.DUMMYFUNCTION("""COMPUTED_VALUE"""),2208.0)</f>
        <v>2208</v>
      </c>
      <c r="R925" s="186"/>
      <c r="S925" s="189">
        <f>IFERROR(__xludf.DUMMYFUNCTION("""COMPUTED_VALUE"""),2159.0)</f>
        <v>2159</v>
      </c>
    </row>
    <row r="926">
      <c r="A926" s="186" t="str">
        <f>IFERROR(__xludf.DUMMYFUNCTION("""COMPUTED_VALUE"""),"NORDICS")</f>
        <v>NORDICS</v>
      </c>
      <c r="B926" s="186" t="str">
        <f>IFERROR(__xludf.DUMMYFUNCTION("""COMPUTED_VALUE"""),"W17")</f>
        <v>W17</v>
      </c>
      <c r="C926" s="186">
        <f>IFERROR(__xludf.DUMMYFUNCTION("""COMPUTED_VALUE"""),604.0)</f>
        <v>604</v>
      </c>
      <c r="D926" s="186" t="str">
        <f>IFERROR(__xludf.DUMMYFUNCTION("""COMPUTED_VALUE"""),"CON-00-150389-2")</f>
        <v>CON-00-150389-2</v>
      </c>
      <c r="E926" s="186" t="str">
        <f>IFERROR(__xludf.DUMMYFUNCTION("""COMPUTED_VALUE"""),"Parmesan &amp; Garlic Cream Pulled Beef")</f>
        <v>Parmesan &amp; Garlic Cream Pulled Beef</v>
      </c>
      <c r="F926" s="186" t="str">
        <f>IFERROR(__xludf.DUMMYFUNCTION("""COMPUTED_VALUE"""),"Pulled beef med cremet parmesan og hvidløg")</f>
        <v>Pulled beef med cremet parmesan og hvidløg</v>
      </c>
      <c r="G926" s="186" t="str">
        <f>IFERROR(__xludf.DUMMYFUNCTION("""COMPUTED_VALUE"""),"FE1346B")</f>
        <v>FE1346B</v>
      </c>
      <c r="H926" s="186">
        <f>IFERROR(__xludf.DUMMYFUNCTION("""COMPUTED_VALUE"""),565184.0)</f>
        <v>565184</v>
      </c>
      <c r="I926" s="186" t="str">
        <f>IFERROR(__xludf.DUMMYFUNCTION("""COMPUTED_VALUE"""),"HF Pulled beef &amp; knoflook room")</f>
        <v>HF Pulled beef &amp; knoflook room</v>
      </c>
      <c r="J926" s="189">
        <f>IFERROR(__xludf.DUMMYFUNCTION("""COMPUTED_VALUE"""),316.0)</f>
        <v>316</v>
      </c>
      <c r="K926" s="189">
        <f>IFERROR(__xludf.DUMMYFUNCTION("""COMPUTED_VALUE"""),301.0)</f>
        <v>301</v>
      </c>
      <c r="L926" s="189">
        <f>IFERROR(__xludf.DUMMYFUNCTION("""COMPUTED_VALUE"""),300.0)</f>
        <v>300</v>
      </c>
      <c r="M926" s="189">
        <f>IFERROR(__xludf.DUMMYFUNCTION("""COMPUTED_VALUE"""),572.0)</f>
        <v>572</v>
      </c>
      <c r="N926" s="189">
        <f>IFERROR(__xludf.DUMMYFUNCTION("""COMPUTED_VALUE"""),3433.0)</f>
        <v>3433</v>
      </c>
      <c r="O926" s="189">
        <f>IFERROR(__xludf.DUMMYFUNCTION("""COMPUTED_VALUE"""),3357.0)</f>
        <v>3357</v>
      </c>
      <c r="P926" s="189">
        <f>IFERROR(__xludf.DUMMYFUNCTION("""COMPUTED_VALUE"""),3321.0)</f>
        <v>3321</v>
      </c>
      <c r="Q926" s="189">
        <f>IFERROR(__xludf.DUMMYFUNCTION("""COMPUTED_VALUE"""),3342.0)</f>
        <v>3342</v>
      </c>
      <c r="R926" s="186"/>
      <c r="S926" s="189">
        <f>IFERROR(__xludf.DUMMYFUNCTION("""COMPUTED_VALUE"""),3400.0)</f>
        <v>3400</v>
      </c>
    </row>
    <row r="927">
      <c r="A927" s="186" t="str">
        <f>IFERROR(__xludf.DUMMYFUNCTION("""COMPUTED_VALUE"""),"NORDICS")</f>
        <v>NORDICS</v>
      </c>
      <c r="B927" s="186" t="str">
        <f>IFERROR(__xludf.DUMMYFUNCTION("""COMPUTED_VALUE"""),"W17")</f>
        <v>W17</v>
      </c>
      <c r="C927" s="186">
        <f>IFERROR(__xludf.DUMMYFUNCTION("""COMPUTED_VALUE"""),605.0)</f>
        <v>605</v>
      </c>
      <c r="D927" s="186" t="str">
        <f>IFERROR(__xludf.DUMMYFUNCTION("""COMPUTED_VALUE"""),"CON-00-147827-2")</f>
        <v>CON-00-147827-2</v>
      </c>
      <c r="E927" s="186" t="str">
        <f>IFERROR(__xludf.DUMMYFUNCTION("""COMPUTED_VALUE"""),"Chicken à la Florentine")</f>
        <v>Chicken à la Florentine</v>
      </c>
      <c r="F927" s="186" t="str">
        <f>IFERROR(__xludf.DUMMYFUNCTION("""COMPUTED_VALUE"""),"Kylling à la Florentine")</f>
        <v>Kylling à la Florentine</v>
      </c>
      <c r="G927" s="186" t="str">
        <f>IFERROR(__xludf.DUMMYFUNCTION("""COMPUTED_VALUE"""),"FE0224D")</f>
        <v>FE0224D</v>
      </c>
      <c r="H927" s="186">
        <f>IFERROR(__xludf.DUMMYFUNCTION("""COMPUTED_VALUE"""),565047.0)</f>
        <v>565047</v>
      </c>
      <c r="I927" s="186" t="str">
        <f>IFERROR(__xludf.DUMMYFUNCTION("""COMPUTED_VALUE"""),"HF Kip á la Florentine")</f>
        <v>HF Kip á la Florentine</v>
      </c>
      <c r="J927" s="189">
        <f>IFERROR(__xludf.DUMMYFUNCTION("""COMPUTED_VALUE"""),1736.0)</f>
        <v>1736</v>
      </c>
      <c r="K927" s="189">
        <f>IFERROR(__xludf.DUMMYFUNCTION("""COMPUTED_VALUE"""),1642.0)</f>
        <v>1642</v>
      </c>
      <c r="L927" s="189">
        <f>IFERROR(__xludf.DUMMYFUNCTION("""COMPUTED_VALUE"""),1696.0)</f>
        <v>1696</v>
      </c>
      <c r="M927" s="189">
        <f>IFERROR(__xludf.DUMMYFUNCTION("""COMPUTED_VALUE"""),1702.0)</f>
        <v>1702</v>
      </c>
      <c r="N927" s="189">
        <f>IFERROR(__xludf.DUMMYFUNCTION("""COMPUTED_VALUE"""),1859.0)</f>
        <v>1859</v>
      </c>
      <c r="O927" s="189">
        <f>IFERROR(__xludf.DUMMYFUNCTION("""COMPUTED_VALUE"""),1857.0)</f>
        <v>1857</v>
      </c>
      <c r="P927" s="189">
        <f>IFERROR(__xludf.DUMMYFUNCTION("""COMPUTED_VALUE"""),1843.0)</f>
        <v>1843</v>
      </c>
      <c r="Q927" s="189">
        <f>IFERROR(__xludf.DUMMYFUNCTION("""COMPUTED_VALUE"""),1812.0)</f>
        <v>1812</v>
      </c>
      <c r="R927" s="186"/>
      <c r="S927" s="189">
        <f>IFERROR(__xludf.DUMMYFUNCTION("""COMPUTED_VALUE"""),1833.0)</f>
        <v>1833</v>
      </c>
    </row>
    <row r="928">
      <c r="A928" s="186" t="str">
        <f>IFERROR(__xludf.DUMMYFUNCTION("""COMPUTED_VALUE"""),"NORDICS")</f>
        <v>NORDICS</v>
      </c>
      <c r="B928" s="186" t="str">
        <f>IFERROR(__xludf.DUMMYFUNCTION("""COMPUTED_VALUE"""),"W17")</f>
        <v>W17</v>
      </c>
      <c r="C928" s="186">
        <f>IFERROR(__xludf.DUMMYFUNCTION("""COMPUTED_VALUE"""),606.0)</f>
        <v>606</v>
      </c>
      <c r="D928" s="186" t="str">
        <f>IFERROR(__xludf.DUMMYFUNCTION("""COMPUTED_VALUE"""),"CON-00-147813-2")</f>
        <v>CON-00-147813-2</v>
      </c>
      <c r="E928" s="186" t="str">
        <f>IFERROR(__xludf.DUMMYFUNCTION("""COMPUTED_VALUE"""),"Salmon with pesto")</f>
        <v>Salmon with pesto</v>
      </c>
      <c r="F928" s="186" t="str">
        <f>IFERROR(__xludf.DUMMYFUNCTION("""COMPUTED_VALUE"""),"Laks med pesto")</f>
        <v>Laks med pesto</v>
      </c>
      <c r="G928" s="186" t="str">
        <f>IFERROR(__xludf.DUMMYFUNCTION("""COMPUTED_VALUE"""),"FE0035F")</f>
        <v>FE0035F</v>
      </c>
      <c r="H928" s="186">
        <f>IFERROR(__xludf.DUMMYFUNCTION("""COMPUTED_VALUE"""),565022.0)</f>
        <v>565022</v>
      </c>
      <c r="I928" s="186" t="str">
        <f>IFERROR(__xludf.DUMMYFUNCTION("""COMPUTED_VALUE"""),"HF Zalm met pesto")</f>
        <v>HF Zalm met pesto</v>
      </c>
      <c r="J928" s="189">
        <f>IFERROR(__xludf.DUMMYFUNCTION("""COMPUTED_VALUE"""),187.0)</f>
        <v>187</v>
      </c>
      <c r="K928" s="189">
        <f>IFERROR(__xludf.DUMMYFUNCTION("""COMPUTED_VALUE"""),173.0)</f>
        <v>173</v>
      </c>
      <c r="L928" s="189">
        <f>IFERROR(__xludf.DUMMYFUNCTION("""COMPUTED_VALUE"""),172.0)</f>
        <v>172</v>
      </c>
      <c r="M928" s="189">
        <f>IFERROR(__xludf.DUMMYFUNCTION("""COMPUTED_VALUE"""),365.0)</f>
        <v>365</v>
      </c>
      <c r="N928" s="189">
        <f>IFERROR(__xludf.DUMMYFUNCTION("""COMPUTED_VALUE"""),1762.0)</f>
        <v>1762</v>
      </c>
      <c r="O928" s="189">
        <f>IFERROR(__xludf.DUMMYFUNCTION("""COMPUTED_VALUE"""),1765.0)</f>
        <v>1765</v>
      </c>
      <c r="P928" s="189">
        <f>IFERROR(__xludf.DUMMYFUNCTION("""COMPUTED_VALUE"""),1741.0)</f>
        <v>1741</v>
      </c>
      <c r="Q928" s="189">
        <f>IFERROR(__xludf.DUMMYFUNCTION("""COMPUTED_VALUE"""),1746.0)</f>
        <v>1746</v>
      </c>
      <c r="R928" s="186"/>
      <c r="S928" s="189">
        <f>IFERROR(__xludf.DUMMYFUNCTION("""COMPUTED_VALUE"""),1684.0)</f>
        <v>1684</v>
      </c>
    </row>
    <row r="929">
      <c r="A929" s="186" t="str">
        <f>IFERROR(__xludf.DUMMYFUNCTION("""COMPUTED_VALUE"""),"NORDICS")</f>
        <v>NORDICS</v>
      </c>
      <c r="B929" s="186" t="str">
        <f>IFERROR(__xludf.DUMMYFUNCTION("""COMPUTED_VALUE"""),"W17")</f>
        <v>W17</v>
      </c>
      <c r="C929" s="186">
        <f>IFERROR(__xludf.DUMMYFUNCTION("""COMPUTED_VALUE"""),607.0)</f>
        <v>607</v>
      </c>
      <c r="D929" s="186" t="str">
        <f>IFERROR(__xludf.DUMMYFUNCTION("""COMPUTED_VALUE"""),"CON-00-147904-2")</f>
        <v>CON-00-147904-2</v>
      </c>
      <c r="E929" s="186" t="str">
        <f>IFERROR(__xludf.DUMMYFUNCTION("""COMPUTED_VALUE"""),"Gochugaru Chicken")</f>
        <v>Gochugaru Chicken</v>
      </c>
      <c r="F929" s="186" t="str">
        <f>IFERROR(__xludf.DUMMYFUNCTION("""COMPUTED_VALUE"""),"Gochugaru-kylling")</f>
        <v>Gochugaru-kylling</v>
      </c>
      <c r="G929" s="186" t="str">
        <f>IFERROR(__xludf.DUMMYFUNCTION("""COMPUTED_VALUE"""),"FE4053B")</f>
        <v>FE4053B</v>
      </c>
      <c r="H929" s="186">
        <f>IFERROR(__xludf.DUMMYFUNCTION("""COMPUTED_VALUE"""),565131.0)</f>
        <v>565131</v>
      </c>
      <c r="I929" s="186" t="str">
        <f>IFERROR(__xludf.DUMMYFUNCTION("""COMPUTED_VALUE"""),"HF Gochugaru kipblokjes")</f>
        <v>HF Gochugaru kipblokjes</v>
      </c>
      <c r="J929" s="189">
        <f>IFERROR(__xludf.DUMMYFUNCTION("""COMPUTED_VALUE"""),129.0)</f>
        <v>129</v>
      </c>
      <c r="K929" s="189">
        <f>IFERROR(__xludf.DUMMYFUNCTION("""COMPUTED_VALUE"""),134.0)</f>
        <v>134</v>
      </c>
      <c r="L929" s="189">
        <f>IFERROR(__xludf.DUMMYFUNCTION("""COMPUTED_VALUE"""),161.0)</f>
        <v>161</v>
      </c>
      <c r="M929" s="189">
        <f>IFERROR(__xludf.DUMMYFUNCTION("""COMPUTED_VALUE"""),564.0)</f>
        <v>564</v>
      </c>
      <c r="N929" s="189">
        <f>IFERROR(__xludf.DUMMYFUNCTION("""COMPUTED_VALUE"""),1507.0)</f>
        <v>1507</v>
      </c>
      <c r="O929" s="189">
        <f>IFERROR(__xludf.DUMMYFUNCTION("""COMPUTED_VALUE"""),1548.0)</f>
        <v>1548</v>
      </c>
      <c r="P929" s="189">
        <f>IFERROR(__xludf.DUMMYFUNCTION("""COMPUTED_VALUE"""),1549.0)</f>
        <v>1549</v>
      </c>
      <c r="Q929" s="189">
        <f>IFERROR(__xludf.DUMMYFUNCTION("""COMPUTED_VALUE"""),1568.0)</f>
        <v>1568</v>
      </c>
      <c r="R929" s="186"/>
      <c r="S929" s="189">
        <f>IFERROR(__xludf.DUMMYFUNCTION("""COMPUTED_VALUE"""),1547.0)</f>
        <v>1547</v>
      </c>
    </row>
    <row r="930">
      <c r="A930" s="186" t="str">
        <f>IFERROR(__xludf.DUMMYFUNCTION("""COMPUTED_VALUE"""),"NORDICS")</f>
        <v>NORDICS</v>
      </c>
      <c r="B930" s="186" t="str">
        <f>IFERROR(__xludf.DUMMYFUNCTION("""COMPUTED_VALUE"""),"W17")</f>
        <v>W17</v>
      </c>
      <c r="C930" s="186">
        <f>IFERROR(__xludf.DUMMYFUNCTION("""COMPUTED_VALUE"""),608.0)</f>
        <v>608</v>
      </c>
      <c r="D930" s="186" t="str">
        <f>IFERROR(__xludf.DUMMYFUNCTION("""COMPUTED_VALUE"""),"CON-00-150821-2")</f>
        <v>CON-00-150821-2</v>
      </c>
      <c r="E930" s="186" t="str">
        <f>IFERROR(__xludf.DUMMYFUNCTION("""COMPUTED_VALUE"""),"Loaded Bacon Shredded Chicken")</f>
        <v>Loaded Bacon Shredded Chicken</v>
      </c>
      <c r="F930" s="186" t="str">
        <f>IFERROR(__xludf.DUMMYFUNCTION("""COMPUTED_VALUE"""),"Pulled chicken med bacon")</f>
        <v>Pulled chicken med bacon</v>
      </c>
      <c r="G930" s="186" t="str">
        <f>IFERROR(__xludf.DUMMYFUNCTION("""COMPUTED_VALUE"""),"FE0794D")</f>
        <v>FE0794D</v>
      </c>
      <c r="H930" s="186">
        <f>IFERROR(__xludf.DUMMYFUNCTION("""COMPUTED_VALUE"""),565156.0)</f>
        <v>565156</v>
      </c>
      <c r="I930" s="186" t="str">
        <f>IFERROR(__xludf.DUMMYFUNCTION("""COMPUTED_VALUE"""),"HF Loaded Bacon Chicken")</f>
        <v>HF Loaded Bacon Chicken</v>
      </c>
      <c r="J930" s="189">
        <f>IFERROR(__xludf.DUMMYFUNCTION("""COMPUTED_VALUE"""),1267.0)</f>
        <v>1267</v>
      </c>
      <c r="K930" s="189">
        <f>IFERROR(__xludf.DUMMYFUNCTION("""COMPUTED_VALUE"""),1182.0)</f>
        <v>1182</v>
      </c>
      <c r="L930" s="189">
        <f>IFERROR(__xludf.DUMMYFUNCTION("""COMPUTED_VALUE"""),1774.0)</f>
        <v>1774</v>
      </c>
      <c r="M930" s="189">
        <f>IFERROR(__xludf.DUMMYFUNCTION("""COMPUTED_VALUE"""),1659.0)</f>
        <v>1659</v>
      </c>
      <c r="N930" s="189">
        <f>IFERROR(__xludf.DUMMYFUNCTION("""COMPUTED_VALUE"""),1726.0)</f>
        <v>1726</v>
      </c>
      <c r="O930" s="189">
        <f>IFERROR(__xludf.DUMMYFUNCTION("""COMPUTED_VALUE"""),1682.0)</f>
        <v>1682</v>
      </c>
      <c r="P930" s="189">
        <f>IFERROR(__xludf.DUMMYFUNCTION("""COMPUTED_VALUE"""),1710.0)</f>
        <v>1710</v>
      </c>
      <c r="Q930" s="189">
        <f>IFERROR(__xludf.DUMMYFUNCTION("""COMPUTED_VALUE"""),1717.0)</f>
        <v>1717</v>
      </c>
      <c r="R930" s="186"/>
      <c r="S930" s="189">
        <f>IFERROR(__xludf.DUMMYFUNCTION("""COMPUTED_VALUE"""),1703.0)</f>
        <v>1703</v>
      </c>
    </row>
    <row r="931">
      <c r="A931" s="186" t="str">
        <f>IFERROR(__xludf.DUMMYFUNCTION("""COMPUTED_VALUE"""),"NORDICS")</f>
        <v>NORDICS</v>
      </c>
      <c r="B931" s="186" t="str">
        <f>IFERROR(__xludf.DUMMYFUNCTION("""COMPUTED_VALUE"""),"W17")</f>
        <v>W17</v>
      </c>
      <c r="C931" s="186">
        <f>IFERROR(__xludf.DUMMYFUNCTION("""COMPUTED_VALUE"""),609.0)</f>
        <v>609</v>
      </c>
      <c r="D931" s="186" t="str">
        <f>IFERROR(__xludf.DUMMYFUNCTION("""COMPUTED_VALUE"""),"CON-00-147817-2")</f>
        <v>CON-00-147817-2</v>
      </c>
      <c r="E931" s="186" t="str">
        <f>IFERROR(__xludf.DUMMYFUNCTION("""COMPUTED_VALUE"""),"Ratatouille of zucchini and pepper")</f>
        <v>Ratatouille of zucchini and pepper</v>
      </c>
      <c r="F931" s="186" t="str">
        <f>IFERROR(__xludf.DUMMYFUNCTION("""COMPUTED_VALUE"""),"Squash- og peberfrugtsratatouille")</f>
        <v>Squash- og peberfrugtsratatouille</v>
      </c>
      <c r="G931" s="186" t="str">
        <f>IFERROR(__xludf.DUMMYFUNCTION("""COMPUTED_VALUE"""),"FE0090C")</f>
        <v>FE0090C</v>
      </c>
      <c r="H931" s="186">
        <f>IFERROR(__xludf.DUMMYFUNCTION("""COMPUTED_VALUE"""),565141.0)</f>
        <v>565141</v>
      </c>
      <c r="I931" s="186"/>
      <c r="J931" s="189">
        <f>IFERROR(__xludf.DUMMYFUNCTION("""COMPUTED_VALUE"""),260.0)</f>
        <v>260</v>
      </c>
      <c r="K931" s="189">
        <f>IFERROR(__xludf.DUMMYFUNCTION("""COMPUTED_VALUE"""),256.0)</f>
        <v>256</v>
      </c>
      <c r="L931" s="189">
        <f>IFERROR(__xludf.DUMMYFUNCTION("""COMPUTED_VALUE"""),183.0)</f>
        <v>183</v>
      </c>
      <c r="M931" s="189">
        <f>IFERROR(__xludf.DUMMYFUNCTION("""COMPUTED_VALUE"""),181.0)</f>
        <v>181</v>
      </c>
      <c r="N931" s="189">
        <f>IFERROR(__xludf.DUMMYFUNCTION("""COMPUTED_VALUE"""),176.0)</f>
        <v>176</v>
      </c>
      <c r="O931" s="189">
        <f>IFERROR(__xludf.DUMMYFUNCTION("""COMPUTED_VALUE"""),190.0)</f>
        <v>190</v>
      </c>
      <c r="P931" s="189">
        <f>IFERROR(__xludf.DUMMYFUNCTION("""COMPUTED_VALUE"""),193.0)</f>
        <v>193</v>
      </c>
      <c r="Q931" s="189">
        <f>IFERROR(__xludf.DUMMYFUNCTION("""COMPUTED_VALUE"""),189.0)</f>
        <v>189</v>
      </c>
      <c r="R931" s="186"/>
      <c r="S931" s="189">
        <f>IFERROR(__xludf.DUMMYFUNCTION("""COMPUTED_VALUE"""),187.0)</f>
        <v>187</v>
      </c>
    </row>
    <row r="932">
      <c r="A932" s="186" t="str">
        <f>IFERROR(__xludf.DUMMYFUNCTION("""COMPUTED_VALUE"""),"NORDICS")</f>
        <v>NORDICS</v>
      </c>
      <c r="B932" s="186" t="str">
        <f>IFERROR(__xludf.DUMMYFUNCTION("""COMPUTED_VALUE"""),"W17")</f>
        <v>W17</v>
      </c>
      <c r="C932" s="186">
        <f>IFERROR(__xludf.DUMMYFUNCTION("""COMPUTED_VALUE"""),610.0)</f>
        <v>610</v>
      </c>
      <c r="D932" s="186" t="str">
        <f>IFERROR(__xludf.DUMMYFUNCTION("""COMPUTED_VALUE"""),"CON-00-147818-2")</f>
        <v>CON-00-147818-2</v>
      </c>
      <c r="E932" s="186" t="str">
        <f>IFERROR(__xludf.DUMMYFUNCTION("""COMPUTED_VALUE"""),"Mexican style corn cake")</f>
        <v>Mexican style corn cake</v>
      </c>
      <c r="F932" s="186" t="str">
        <f>IFERROR(__xludf.DUMMYFUNCTION("""COMPUTED_VALUE"""),"Mexicansk-inspireret majskage")</f>
        <v>Mexicansk-inspireret majskage</v>
      </c>
      <c r="G932" s="186" t="str">
        <f>IFERROR(__xludf.DUMMYFUNCTION("""COMPUTED_VALUE"""),"FE0121D")</f>
        <v>FE0121D</v>
      </c>
      <c r="H932" s="186">
        <f>IFERROR(__xludf.DUMMYFUNCTION("""COMPUTED_VALUE"""),565299.0)</f>
        <v>565299</v>
      </c>
      <c r="I932" s="186" t="str">
        <f>IFERROR(__xludf.DUMMYFUNCTION("""COMPUTED_VALUE"""),"HF RW Mexcaanse stijl maiscake")</f>
        <v>HF RW Mexcaanse stijl maiscake</v>
      </c>
      <c r="J932" s="189">
        <f>IFERROR(__xludf.DUMMYFUNCTION("""COMPUTED_VALUE"""),288.0)</f>
        <v>288</v>
      </c>
      <c r="K932" s="189">
        <f>IFERROR(__xludf.DUMMYFUNCTION("""COMPUTED_VALUE"""),239.0)</f>
        <v>239</v>
      </c>
      <c r="L932" s="189">
        <f>IFERROR(__xludf.DUMMYFUNCTION("""COMPUTED_VALUE"""),215.0)</f>
        <v>215</v>
      </c>
      <c r="M932" s="189">
        <f>IFERROR(__xludf.DUMMYFUNCTION("""COMPUTED_VALUE"""),230.0)</f>
        <v>230</v>
      </c>
      <c r="N932" s="189">
        <f>IFERROR(__xludf.DUMMYFUNCTION("""COMPUTED_VALUE"""),260.0)</f>
        <v>260</v>
      </c>
      <c r="O932" s="189">
        <f>IFERROR(__xludf.DUMMYFUNCTION("""COMPUTED_VALUE"""),267.0)</f>
        <v>267</v>
      </c>
      <c r="P932" s="189">
        <f>IFERROR(__xludf.DUMMYFUNCTION("""COMPUTED_VALUE"""),290.0)</f>
        <v>290</v>
      </c>
      <c r="Q932" s="189">
        <f>IFERROR(__xludf.DUMMYFUNCTION("""COMPUTED_VALUE"""),286.0)</f>
        <v>286</v>
      </c>
      <c r="R932" s="186"/>
      <c r="S932" s="189">
        <f>IFERROR(__xludf.DUMMYFUNCTION("""COMPUTED_VALUE"""),286.0)</f>
        <v>286</v>
      </c>
    </row>
    <row r="933">
      <c r="A933" s="186" t="str">
        <f>IFERROR(__xludf.DUMMYFUNCTION("""COMPUTED_VALUE"""),"NORDICS")</f>
        <v>NORDICS</v>
      </c>
      <c r="B933" s="186" t="str">
        <f>IFERROR(__xludf.DUMMYFUNCTION("""COMPUTED_VALUE"""),"W17")</f>
        <v>W17</v>
      </c>
      <c r="C933" s="186">
        <f>IFERROR(__xludf.DUMMYFUNCTION("""COMPUTED_VALUE"""),611.0)</f>
        <v>611</v>
      </c>
      <c r="D933" s="186" t="str">
        <f>IFERROR(__xludf.DUMMYFUNCTION("""COMPUTED_VALUE"""),"CON-00-147861-2")</f>
        <v>CON-00-147861-2</v>
      </c>
      <c r="E933" s="186" t="str">
        <f>IFERROR(__xludf.DUMMYFUNCTION("""COMPUTED_VALUE"""),"Pork tenderloin with apple-mustard sauce")</f>
        <v>Pork tenderloin with apple-mustard sauce</v>
      </c>
      <c r="F933" s="186" t="str">
        <f>IFERROR(__xludf.DUMMYFUNCTION("""COMPUTED_VALUE"""),"Svinemørbrad med æble-sennepssauce ")</f>
        <v>Svinemørbrad med æble-sennepssauce </v>
      </c>
      <c r="G933" s="186" t="str">
        <f>IFERROR(__xludf.DUMMYFUNCTION("""COMPUTED_VALUE"""),"FE0890C")</f>
        <v>FE0890C</v>
      </c>
      <c r="H933" s="186">
        <f>IFERROR(__xludf.DUMMYFUNCTION("""COMPUTED_VALUE"""),565304.0)</f>
        <v>565304</v>
      </c>
      <c r="I933" s="186" t="str">
        <f>IFERROR(__xludf.DUMMYFUNCTION("""COMPUTED_VALUE"""),"HF RW Varkenshaas appel moster")</f>
        <v>HF RW Varkenshaas appel moster</v>
      </c>
      <c r="J933" s="189">
        <f>IFERROR(__xludf.DUMMYFUNCTION("""COMPUTED_VALUE"""),480.0)</f>
        <v>480</v>
      </c>
      <c r="K933" s="189">
        <f>IFERROR(__xludf.DUMMYFUNCTION("""COMPUTED_VALUE"""),390.0)</f>
        <v>390</v>
      </c>
      <c r="L933" s="189">
        <f>IFERROR(__xludf.DUMMYFUNCTION("""COMPUTED_VALUE"""),300.0)</f>
        <v>300</v>
      </c>
      <c r="M933" s="189">
        <f>IFERROR(__xludf.DUMMYFUNCTION("""COMPUTED_VALUE"""),303.0)</f>
        <v>303</v>
      </c>
      <c r="N933" s="189">
        <f>IFERROR(__xludf.DUMMYFUNCTION("""COMPUTED_VALUE"""),344.0)</f>
        <v>344</v>
      </c>
      <c r="O933" s="189">
        <f>IFERROR(__xludf.DUMMYFUNCTION("""COMPUTED_VALUE"""),389.0)</f>
        <v>389</v>
      </c>
      <c r="P933" s="189">
        <f>IFERROR(__xludf.DUMMYFUNCTION("""COMPUTED_VALUE"""),382.0)</f>
        <v>382</v>
      </c>
      <c r="Q933" s="189">
        <f>IFERROR(__xludf.DUMMYFUNCTION("""COMPUTED_VALUE"""),386.0)</f>
        <v>386</v>
      </c>
      <c r="R933" s="186"/>
      <c r="S933" s="189">
        <f>IFERROR(__xludf.DUMMYFUNCTION("""COMPUTED_VALUE"""),410.0)</f>
        <v>410</v>
      </c>
    </row>
    <row r="934">
      <c r="A934" s="186" t="str">
        <f>IFERROR(__xludf.DUMMYFUNCTION("""COMPUTED_VALUE"""),"NORDICS")</f>
        <v>NORDICS</v>
      </c>
      <c r="B934" s="186" t="str">
        <f>IFERROR(__xludf.DUMMYFUNCTION("""COMPUTED_VALUE"""),"W17")</f>
        <v>W17</v>
      </c>
      <c r="C934" s="186">
        <f>IFERROR(__xludf.DUMMYFUNCTION("""COMPUTED_VALUE"""),612.0)</f>
        <v>612</v>
      </c>
      <c r="D934" s="186" t="str">
        <f>IFERROR(__xludf.DUMMYFUNCTION("""COMPUTED_VALUE"""),"CON-00-151098-2")</f>
        <v>CON-00-151098-2</v>
      </c>
      <c r="E934" s="186" t="str">
        <f>IFERROR(__xludf.DUMMYFUNCTION("""COMPUTED_VALUE"""),"Roasted Salmon &amp; Dill Yogurt")</f>
        <v>Roasted Salmon &amp; Dill Yogurt</v>
      </c>
      <c r="F934" s="186" t="str">
        <f>IFERROR(__xludf.DUMMYFUNCTION("""COMPUTED_VALUE"""),"Ovnbagt laks med dild-yoghurtsauce")</f>
        <v>Ovnbagt laks med dild-yoghurtsauce</v>
      </c>
      <c r="G934" s="186" t="str">
        <f>IFERROR(__xludf.DUMMYFUNCTION("""COMPUTED_VALUE"""),"FE1145B")</f>
        <v>FE1145B</v>
      </c>
      <c r="H934" s="186">
        <f>IFERROR(__xludf.DUMMYFUNCTION("""COMPUTED_VALUE"""),565206.0)</f>
        <v>565206</v>
      </c>
      <c r="I934" s="186" t="str">
        <f>IFERROR(__xludf.DUMMYFUNCTION("""COMPUTED_VALUE"""),"HF Zalm citroen dille yoghurt")</f>
        <v>HF Zalm citroen dille yoghurt</v>
      </c>
      <c r="J934" s="189">
        <f>IFERROR(__xludf.DUMMYFUNCTION("""COMPUTED_VALUE"""),1682.0)</f>
        <v>1682</v>
      </c>
      <c r="K934" s="189">
        <f>IFERROR(__xludf.DUMMYFUNCTION("""COMPUTED_VALUE"""),1631.0)</f>
        <v>1631</v>
      </c>
      <c r="L934" s="189">
        <f>IFERROR(__xludf.DUMMYFUNCTION("""COMPUTED_VALUE"""),1301.0)</f>
        <v>1301</v>
      </c>
      <c r="M934" s="189">
        <f>IFERROR(__xludf.DUMMYFUNCTION("""COMPUTED_VALUE"""),1461.0)</f>
        <v>1461</v>
      </c>
      <c r="N934" s="189">
        <f>IFERROR(__xludf.DUMMYFUNCTION("""COMPUTED_VALUE"""),1533.0)</f>
        <v>1533</v>
      </c>
      <c r="O934" s="189">
        <f>IFERROR(__xludf.DUMMYFUNCTION("""COMPUTED_VALUE"""),1541.0)</f>
        <v>1541</v>
      </c>
      <c r="P934" s="189">
        <f>IFERROR(__xludf.DUMMYFUNCTION("""COMPUTED_VALUE"""),1525.0)</f>
        <v>1525</v>
      </c>
      <c r="Q934" s="189">
        <f>IFERROR(__xludf.DUMMYFUNCTION("""COMPUTED_VALUE"""),1510.0)</f>
        <v>1510</v>
      </c>
      <c r="R934" s="186"/>
      <c r="S934" s="189">
        <f>IFERROR(__xludf.DUMMYFUNCTION("""COMPUTED_VALUE"""),1519.0)</f>
        <v>1519</v>
      </c>
    </row>
    <row r="935">
      <c r="A935" s="186" t="str">
        <f>IFERROR(__xludf.DUMMYFUNCTION("""COMPUTED_VALUE"""),"NORDICS")</f>
        <v>NORDICS</v>
      </c>
      <c r="B935" s="186" t="str">
        <f>IFERROR(__xludf.DUMMYFUNCTION("""COMPUTED_VALUE"""),"W17")</f>
        <v>W17</v>
      </c>
      <c r="C935" s="186">
        <f>IFERROR(__xludf.DUMMYFUNCTION("""COMPUTED_VALUE"""),613.0)</f>
        <v>613</v>
      </c>
      <c r="D935" s="186" t="str">
        <f>IFERROR(__xludf.DUMMYFUNCTION("""COMPUTED_VALUE"""),"CON-00-168319-2")</f>
        <v>CON-00-168319-2</v>
      </c>
      <c r="E935" s="186" t="str">
        <f>IFERROR(__xludf.DUMMYFUNCTION("""COMPUTED_VALUE"""),"Chicken with Puttanesca-style sauce")</f>
        <v>Chicken with Puttanesca-style sauce</v>
      </c>
      <c r="F935" s="186" t="str">
        <f>IFERROR(__xludf.DUMMYFUNCTION("""COMPUTED_VALUE"""),"Kylling med Puttanesca-inspireret sauce")</f>
        <v>Kylling med Puttanesca-inspireret sauce</v>
      </c>
      <c r="G935" s="186" t="str">
        <f>IFERROR(__xludf.DUMMYFUNCTION("""COMPUTED_VALUE"""),"FE1777A")</f>
        <v>FE1777A</v>
      </c>
      <c r="H935" s="186">
        <f>IFERROR(__xludf.DUMMYFUNCTION("""COMPUTED_VALUE"""),565265.0)</f>
        <v>565265</v>
      </c>
      <c r="I935" s="186" t="str">
        <f>IFERROR(__xludf.DUMMYFUNCTION("""COMPUTED_VALUE"""),"HF Kipfilet puttanesca")</f>
        <v>HF Kipfilet puttanesca</v>
      </c>
      <c r="J935" s="189">
        <f>IFERROR(__xludf.DUMMYFUNCTION("""COMPUTED_VALUE"""),2133.0)</f>
        <v>2133</v>
      </c>
      <c r="K935" s="189">
        <f>IFERROR(__xludf.DUMMYFUNCTION("""COMPUTED_VALUE"""),1985.0)</f>
        <v>1985</v>
      </c>
      <c r="L935" s="189">
        <f>IFERROR(__xludf.DUMMYFUNCTION("""COMPUTED_VALUE"""),1833.0)</f>
        <v>1833</v>
      </c>
      <c r="M935" s="189">
        <f>IFERROR(__xludf.DUMMYFUNCTION("""COMPUTED_VALUE"""),1970.0)</f>
        <v>1970</v>
      </c>
      <c r="N935" s="189">
        <f>IFERROR(__xludf.DUMMYFUNCTION("""COMPUTED_VALUE"""),2095.0)</f>
        <v>2095</v>
      </c>
      <c r="O935" s="189">
        <f>IFERROR(__xludf.DUMMYFUNCTION("""COMPUTED_VALUE"""),2072.0)</f>
        <v>2072</v>
      </c>
      <c r="P935" s="189">
        <f>IFERROR(__xludf.DUMMYFUNCTION("""COMPUTED_VALUE"""),2085.0)</f>
        <v>2085</v>
      </c>
      <c r="Q935" s="189">
        <f>IFERROR(__xludf.DUMMYFUNCTION("""COMPUTED_VALUE"""),2006.0)</f>
        <v>2006</v>
      </c>
      <c r="R935" s="186"/>
      <c r="S935" s="189">
        <f>IFERROR(__xludf.DUMMYFUNCTION("""COMPUTED_VALUE"""),2032.0)</f>
        <v>2032</v>
      </c>
    </row>
    <row r="936">
      <c r="A936" s="186" t="str">
        <f>IFERROR(__xludf.DUMMYFUNCTION("""COMPUTED_VALUE"""),"NORDICS")</f>
        <v>NORDICS</v>
      </c>
      <c r="B936" s="186" t="str">
        <f>IFERROR(__xludf.DUMMYFUNCTION("""COMPUTED_VALUE"""),"W17")</f>
        <v>W17</v>
      </c>
      <c r="C936" s="186">
        <f>IFERROR(__xludf.DUMMYFUNCTION("""COMPUTED_VALUE"""),614.0)</f>
        <v>614</v>
      </c>
      <c r="D936" s="186" t="str">
        <f>IFERROR(__xludf.DUMMYFUNCTION("""COMPUTED_VALUE"""),"CON-00-152026-2")</f>
        <v>CON-00-152026-2</v>
      </c>
      <c r="E936" s="186" t="str">
        <f>IFERROR(__xludf.DUMMYFUNCTION("""COMPUTED_VALUE"""),"Ginger Garlic Grilled Chicken")</f>
        <v>Ginger Garlic Grilled Chicken</v>
      </c>
      <c r="F936" s="186" t="str">
        <f>IFERROR(__xludf.DUMMYFUNCTION("""COMPUTED_VALUE"""),"Grillet kylling med ingefær og hvidløg")</f>
        <v>Grillet kylling med ingefær og hvidløg</v>
      </c>
      <c r="G936" s="186" t="str">
        <f>IFERROR(__xludf.DUMMYFUNCTION("""COMPUTED_VALUE"""),"FE4064A")</f>
        <v>FE4064A</v>
      </c>
      <c r="H936" s="186">
        <f>IFERROR(__xludf.DUMMYFUNCTION("""COMPUTED_VALUE"""),565211.0)</f>
        <v>565211</v>
      </c>
      <c r="I936" s="186" t="str">
        <f>IFERROR(__xludf.DUMMYFUNCTION("""COMPUTED_VALUE"""),"HF Gember knoflook kip")</f>
        <v>HF Gember knoflook kip</v>
      </c>
      <c r="J936" s="189">
        <f>IFERROR(__xludf.DUMMYFUNCTION("""COMPUTED_VALUE"""),71.0)</f>
        <v>71</v>
      </c>
      <c r="K936" s="189">
        <f>IFERROR(__xludf.DUMMYFUNCTION("""COMPUTED_VALUE"""),61.0)</f>
        <v>61</v>
      </c>
      <c r="L936" s="189">
        <f>IFERROR(__xludf.DUMMYFUNCTION("""COMPUTED_VALUE"""),44.0)</f>
        <v>44</v>
      </c>
      <c r="M936" s="189">
        <f>IFERROR(__xludf.DUMMYFUNCTION("""COMPUTED_VALUE"""),537.0)</f>
        <v>537</v>
      </c>
      <c r="N936" s="189">
        <f>IFERROR(__xludf.DUMMYFUNCTION("""COMPUTED_VALUE"""),636.0)</f>
        <v>636</v>
      </c>
      <c r="O936" s="189">
        <f>IFERROR(__xludf.DUMMYFUNCTION("""COMPUTED_VALUE"""),673.0)</f>
        <v>673</v>
      </c>
      <c r="P936" s="189">
        <f>IFERROR(__xludf.DUMMYFUNCTION("""COMPUTED_VALUE"""),696.0)</f>
        <v>696</v>
      </c>
      <c r="Q936" s="189">
        <f>IFERROR(__xludf.DUMMYFUNCTION("""COMPUTED_VALUE"""),718.0)</f>
        <v>718</v>
      </c>
      <c r="R936" s="186"/>
      <c r="S936" s="189">
        <f>IFERROR(__xludf.DUMMYFUNCTION("""COMPUTED_VALUE"""),749.0)</f>
        <v>749</v>
      </c>
    </row>
    <row r="937">
      <c r="A937" s="186" t="str">
        <f>IFERROR(__xludf.DUMMYFUNCTION("""COMPUTED_VALUE"""),"NORDICS")</f>
        <v>NORDICS</v>
      </c>
      <c r="B937" s="186" t="str">
        <f>IFERROR(__xludf.DUMMYFUNCTION("""COMPUTED_VALUE"""),"W17")</f>
        <v>W17</v>
      </c>
      <c r="C937" s="186">
        <f>IFERROR(__xludf.DUMMYFUNCTION("""COMPUTED_VALUE"""),615.0)</f>
        <v>615</v>
      </c>
      <c r="D937" s="186" t="str">
        <f>IFERROR(__xludf.DUMMYFUNCTION("""COMPUTED_VALUE"""),"CON-00-147854-2")</f>
        <v>CON-00-147854-2</v>
      </c>
      <c r="E937" s="186" t="str">
        <f>IFERROR(__xludf.DUMMYFUNCTION("""COMPUTED_VALUE"""),"Cabbage in cheese sauce with minced beef")</f>
        <v>Cabbage in cheese sauce with minced beef</v>
      </c>
      <c r="F937" s="186" t="str">
        <f>IFERROR(__xludf.DUMMYFUNCTION("""COMPUTED_VALUE"""),"Kål i ostesauce med hakket oksekød")</f>
        <v>Kål i ostesauce med hakket oksekød</v>
      </c>
      <c r="G937" s="186" t="str">
        <f>IFERROR(__xludf.DUMMYFUNCTION("""COMPUTED_VALUE"""),"FE0713B")</f>
        <v>FE0713B</v>
      </c>
      <c r="H937" s="186">
        <f>IFERROR(__xludf.DUMMYFUNCTION("""COMPUTED_VALUE"""),565240.0)</f>
        <v>565240</v>
      </c>
      <c r="I937" s="186" t="str">
        <f>IFERROR(__xludf.DUMMYFUNCTION("""COMPUTED_VALUE"""),"HF RW Kool in kaassaus")</f>
        <v>HF RW Kool in kaassaus</v>
      </c>
      <c r="J937" s="189">
        <f>IFERROR(__xludf.DUMMYFUNCTION("""COMPUTED_VALUE"""),753.0)</f>
        <v>753</v>
      </c>
      <c r="K937" s="189">
        <f>IFERROR(__xludf.DUMMYFUNCTION("""COMPUTED_VALUE"""),675.0)</f>
        <v>675</v>
      </c>
      <c r="L937" s="189">
        <f>IFERROR(__xludf.DUMMYFUNCTION("""COMPUTED_VALUE"""),417.0)</f>
        <v>417</v>
      </c>
      <c r="M937" s="189">
        <f>IFERROR(__xludf.DUMMYFUNCTION("""COMPUTED_VALUE"""),557.0)</f>
        <v>557</v>
      </c>
      <c r="N937" s="189">
        <f>IFERROR(__xludf.DUMMYFUNCTION("""COMPUTED_VALUE"""),595.0)</f>
        <v>595</v>
      </c>
      <c r="O937" s="189">
        <f>IFERROR(__xludf.DUMMYFUNCTION("""COMPUTED_VALUE"""),606.0)</f>
        <v>606</v>
      </c>
      <c r="P937" s="189">
        <f>IFERROR(__xludf.DUMMYFUNCTION("""COMPUTED_VALUE"""),643.0)</f>
        <v>643</v>
      </c>
      <c r="Q937" s="189">
        <f>IFERROR(__xludf.DUMMYFUNCTION("""COMPUTED_VALUE"""),639.0)</f>
        <v>639</v>
      </c>
      <c r="R937" s="186"/>
      <c r="S937" s="189">
        <f>IFERROR(__xludf.DUMMYFUNCTION("""COMPUTED_VALUE"""),638.0)</f>
        <v>638</v>
      </c>
    </row>
    <row r="938">
      <c r="A938" s="186" t="str">
        <f>IFERROR(__xludf.DUMMYFUNCTION("""COMPUTED_VALUE"""),"NORDICS")</f>
        <v>NORDICS</v>
      </c>
      <c r="B938" s="186" t="str">
        <f>IFERROR(__xludf.DUMMYFUNCTION("""COMPUTED_VALUE"""),"W17")</f>
        <v>W17</v>
      </c>
      <c r="C938" s="186">
        <f>IFERROR(__xludf.DUMMYFUNCTION("""COMPUTED_VALUE"""),616.0)</f>
        <v>616</v>
      </c>
      <c r="D938" s="186" t="str">
        <f>IFERROR(__xludf.DUMMYFUNCTION("""COMPUTED_VALUE"""),"CON-00-147844-2")</f>
        <v>CON-00-147844-2</v>
      </c>
      <c r="E938" s="186" t="str">
        <f>IFERROR(__xludf.DUMMYFUNCTION("""COMPUTED_VALUE"""),"Indian style butter chicken")</f>
        <v>Indian style butter chicken</v>
      </c>
      <c r="F938" s="186" t="str">
        <f>IFERROR(__xludf.DUMMYFUNCTION("""COMPUTED_VALUE"""),"Indisk-inspireret butter chicken")</f>
        <v>Indisk-inspireret butter chicken</v>
      </c>
      <c r="G938" s="186" t="str">
        <f>IFERROR(__xludf.DUMMYFUNCTION("""COMPUTED_VALUE"""),"FE0472B")</f>
        <v>FE0472B</v>
      </c>
      <c r="H938" s="186">
        <f>IFERROR(__xludf.DUMMYFUNCTION("""COMPUTED_VALUE"""),565145.0)</f>
        <v>565145</v>
      </c>
      <c r="I938" s="186" t="str">
        <f>IFERROR(__xludf.DUMMYFUNCTION("""COMPUTED_VALUE"""),"HF RW Butter Chicken")</f>
        <v>HF RW Butter Chicken</v>
      </c>
      <c r="J938" s="189">
        <f>IFERROR(__xludf.DUMMYFUNCTION("""COMPUTED_VALUE"""),48.0)</f>
        <v>48</v>
      </c>
      <c r="K938" s="189">
        <f>IFERROR(__xludf.DUMMYFUNCTION("""COMPUTED_VALUE"""),52.0)</f>
        <v>52</v>
      </c>
      <c r="L938" s="189">
        <f>IFERROR(__xludf.DUMMYFUNCTION("""COMPUTED_VALUE"""),71.0)</f>
        <v>71</v>
      </c>
      <c r="M938" s="189">
        <f>IFERROR(__xludf.DUMMYFUNCTION("""COMPUTED_VALUE"""),320.0)</f>
        <v>320</v>
      </c>
      <c r="N938" s="189">
        <f>IFERROR(__xludf.DUMMYFUNCTION("""COMPUTED_VALUE"""),654.0)</f>
        <v>654</v>
      </c>
      <c r="O938" s="189">
        <f>IFERROR(__xludf.DUMMYFUNCTION("""COMPUTED_VALUE"""),663.0)</f>
        <v>663</v>
      </c>
      <c r="P938" s="189">
        <f>IFERROR(__xludf.DUMMYFUNCTION("""COMPUTED_VALUE"""),678.0)</f>
        <v>678</v>
      </c>
      <c r="Q938" s="189">
        <f>IFERROR(__xludf.DUMMYFUNCTION("""COMPUTED_VALUE"""),684.0)</f>
        <v>684</v>
      </c>
      <c r="R938" s="186"/>
      <c r="S938" s="189">
        <f>IFERROR(__xludf.DUMMYFUNCTION("""COMPUTED_VALUE"""),673.0)</f>
        <v>673</v>
      </c>
    </row>
    <row r="939">
      <c r="A939" s="186" t="str">
        <f>IFERROR(__xludf.DUMMYFUNCTION("""COMPUTED_VALUE"""),"NORDICS")</f>
        <v>NORDICS</v>
      </c>
      <c r="B939" s="186" t="str">
        <f>IFERROR(__xludf.DUMMYFUNCTION("""COMPUTED_VALUE"""),"W17")</f>
        <v>W17</v>
      </c>
      <c r="C939" s="186">
        <f>IFERROR(__xludf.DUMMYFUNCTION("""COMPUTED_VALUE"""),617.0)</f>
        <v>617</v>
      </c>
      <c r="D939" s="186" t="str">
        <f>IFERROR(__xludf.DUMMYFUNCTION("""COMPUTED_VALUE"""),"CON-00-147874-2")</f>
        <v>CON-00-147874-2</v>
      </c>
      <c r="E939" s="186" t="str">
        <f>IFERROR(__xludf.DUMMYFUNCTION("""COMPUTED_VALUE"""),"Grilled pork tenderloin and tomato butter")</f>
        <v>Grilled pork tenderloin and tomato butter</v>
      </c>
      <c r="F939" s="186" t="str">
        <f>IFERROR(__xludf.DUMMYFUNCTION("""COMPUTED_VALUE"""),"Grillet svinemørbrad og tomatsmør")</f>
        <v>Grillet svinemørbrad og tomatsmør</v>
      </c>
      <c r="G939" s="186" t="str">
        <f>IFERROR(__xludf.DUMMYFUNCTION("""COMPUTED_VALUE"""),"FE4010B")</f>
        <v>FE4010B</v>
      </c>
      <c r="H939" s="186">
        <f>IFERROR(__xludf.DUMMYFUNCTION("""COMPUTED_VALUE"""),565138.0)</f>
        <v>565138</v>
      </c>
      <c r="I939" s="186"/>
      <c r="J939" s="189">
        <f>IFERROR(__xludf.DUMMYFUNCTION("""COMPUTED_VALUE"""),1076.0)</f>
        <v>1076</v>
      </c>
      <c r="K939" s="189">
        <f>IFERROR(__xludf.DUMMYFUNCTION("""COMPUTED_VALUE"""),942.0)</f>
        <v>942</v>
      </c>
      <c r="L939" s="189">
        <f>IFERROR(__xludf.DUMMYFUNCTION("""COMPUTED_VALUE"""),1146.0)</f>
        <v>1146</v>
      </c>
      <c r="M939" s="189">
        <f>IFERROR(__xludf.DUMMYFUNCTION("""COMPUTED_VALUE"""),1177.0)</f>
        <v>1177</v>
      </c>
      <c r="N939" s="189">
        <f>IFERROR(__xludf.DUMMYFUNCTION("""COMPUTED_VALUE"""),1288.0)</f>
        <v>1288</v>
      </c>
      <c r="O939" s="189">
        <f>IFERROR(__xludf.DUMMYFUNCTION("""COMPUTED_VALUE"""),1230.0)</f>
        <v>1230</v>
      </c>
      <c r="P939" s="189">
        <f>IFERROR(__xludf.DUMMYFUNCTION("""COMPUTED_VALUE"""),1236.0)</f>
        <v>1236</v>
      </c>
      <c r="Q939" s="189">
        <f>IFERROR(__xludf.DUMMYFUNCTION("""COMPUTED_VALUE"""),1237.0)</f>
        <v>1237</v>
      </c>
      <c r="R939" s="186"/>
      <c r="S939" s="189">
        <f>IFERROR(__xludf.DUMMYFUNCTION("""COMPUTED_VALUE"""),1246.0)</f>
        <v>1246</v>
      </c>
    </row>
    <row r="940">
      <c r="A940" s="186" t="str">
        <f>IFERROR(__xludf.DUMMYFUNCTION("""COMPUTED_VALUE"""),"NORDICS")</f>
        <v>NORDICS</v>
      </c>
      <c r="B940" s="186" t="str">
        <f>IFERROR(__xludf.DUMMYFUNCTION("""COMPUTED_VALUE"""),"W17")</f>
        <v>W17</v>
      </c>
      <c r="C940" s="186">
        <f>IFERROR(__xludf.DUMMYFUNCTION("""COMPUTED_VALUE"""),618.0)</f>
        <v>618</v>
      </c>
      <c r="D940" s="186" t="str">
        <f>IFERROR(__xludf.DUMMYFUNCTION("""COMPUTED_VALUE"""),"CON-00-147895-2")</f>
        <v>CON-00-147895-2</v>
      </c>
      <c r="E940" s="186" t="str">
        <f>IFERROR(__xludf.DUMMYFUNCTION("""COMPUTED_VALUE"""),"Pork tenderloin and Mediterranean mash")</f>
        <v>Pork tenderloin and Mediterranean mash</v>
      </c>
      <c r="F940" s="186" t="str">
        <f>IFERROR(__xludf.DUMMYFUNCTION("""COMPUTED_VALUE"""),"Svinemørbrad og middelhavsinspireret kartoffelmos ")</f>
        <v>Svinemørbrad og middelhavsinspireret kartoffelmos </v>
      </c>
      <c r="G940" s="186" t="str">
        <f>IFERROR(__xludf.DUMMYFUNCTION("""COMPUTED_VALUE"""),"FE4042A")</f>
        <v>FE4042A</v>
      </c>
      <c r="H940" s="186">
        <f>IFERROR(__xludf.DUMMYFUNCTION("""COMPUTED_VALUE"""),565109.0)</f>
        <v>565109</v>
      </c>
      <c r="I940" s="186"/>
      <c r="J940" s="189">
        <f>IFERROR(__xludf.DUMMYFUNCTION("""COMPUTED_VALUE"""),708.0)</f>
        <v>708</v>
      </c>
      <c r="K940" s="189">
        <f>IFERROR(__xludf.DUMMYFUNCTION("""COMPUTED_VALUE"""),619.0)</f>
        <v>619</v>
      </c>
      <c r="L940" s="189">
        <f>IFERROR(__xludf.DUMMYFUNCTION("""COMPUTED_VALUE"""),809.0)</f>
        <v>809</v>
      </c>
      <c r="M940" s="189">
        <f>IFERROR(__xludf.DUMMYFUNCTION("""COMPUTED_VALUE"""),761.0)</f>
        <v>761</v>
      </c>
      <c r="N940" s="189">
        <f>IFERROR(__xludf.DUMMYFUNCTION("""COMPUTED_VALUE"""),779.0)</f>
        <v>779</v>
      </c>
      <c r="O940" s="189">
        <f>IFERROR(__xludf.DUMMYFUNCTION("""COMPUTED_VALUE"""),808.0)</f>
        <v>808</v>
      </c>
      <c r="P940" s="189">
        <f>IFERROR(__xludf.DUMMYFUNCTION("""COMPUTED_VALUE"""),826.0)</f>
        <v>826</v>
      </c>
      <c r="Q940" s="189">
        <f>IFERROR(__xludf.DUMMYFUNCTION("""COMPUTED_VALUE"""),842.0)</f>
        <v>842</v>
      </c>
      <c r="R940" s="186"/>
      <c r="S940" s="189">
        <f>IFERROR(__xludf.DUMMYFUNCTION("""COMPUTED_VALUE"""),876.0)</f>
        <v>876</v>
      </c>
    </row>
    <row r="941">
      <c r="A941" s="186" t="str">
        <f>IFERROR(__xludf.DUMMYFUNCTION("""COMPUTED_VALUE"""),"NORDICS")</f>
        <v>NORDICS</v>
      </c>
      <c r="B941" s="186" t="str">
        <f>IFERROR(__xludf.DUMMYFUNCTION("""COMPUTED_VALUE"""),"W17")</f>
        <v>W17</v>
      </c>
      <c r="C941" s="186">
        <f>IFERROR(__xludf.DUMMYFUNCTION("""COMPUTED_VALUE"""),706.0)</f>
        <v>706</v>
      </c>
      <c r="D941" s="186" t="str">
        <f>IFERROR(__xludf.DUMMYFUNCTION("""COMPUTED_VALUE"""),"PTN-00-148223-2")</f>
        <v>PTN-00-148223-2</v>
      </c>
      <c r="E941" s="186" t="str">
        <f>IFERROR(__xludf.DUMMYFUNCTION("""COMPUTED_VALUE"""),"Garlic Herb Grilled Chicken")</f>
        <v>Garlic Herb Grilled Chicken</v>
      </c>
      <c r="F941" s="186" t="str">
        <f>IFERROR(__xludf.DUMMYFUNCTION("""COMPUTED_VALUE"""),"Grillet kylling med hvidlød og urter")</f>
        <v>Grillet kylling med hvidlød og urter</v>
      </c>
      <c r="G941" s="186" t="str">
        <f>IFERROR(__xludf.DUMMYFUNCTION("""COMPUTED_VALUE"""),"FEA006A")</f>
        <v>FEA006A</v>
      </c>
      <c r="H941" s="186">
        <f>IFERROR(__xludf.DUMMYFUNCTION("""COMPUTED_VALUE"""),565119.0)</f>
        <v>565119</v>
      </c>
      <c r="I941" s="186"/>
      <c r="J941" s="189">
        <f>IFERROR(__xludf.DUMMYFUNCTION("""COMPUTED_VALUE"""),48.0)</f>
        <v>48</v>
      </c>
      <c r="K941" s="189">
        <f>IFERROR(__xludf.DUMMYFUNCTION("""COMPUTED_VALUE"""),36.0)</f>
        <v>36</v>
      </c>
      <c r="L941" s="189">
        <f>IFERROR(__xludf.DUMMYFUNCTION("""COMPUTED_VALUE"""),36.0)</f>
        <v>36</v>
      </c>
      <c r="M941" s="189">
        <f>IFERROR(__xludf.DUMMYFUNCTION("""COMPUTED_VALUE"""),48.0)</f>
        <v>48</v>
      </c>
      <c r="N941" s="189">
        <f>IFERROR(__xludf.DUMMYFUNCTION("""COMPUTED_VALUE"""),48.0)</f>
        <v>48</v>
      </c>
      <c r="O941" s="189">
        <f>IFERROR(__xludf.DUMMYFUNCTION("""COMPUTED_VALUE"""),48.0)</f>
        <v>48</v>
      </c>
      <c r="P941" s="189">
        <f>IFERROR(__xludf.DUMMYFUNCTION("""COMPUTED_VALUE"""),48.0)</f>
        <v>48</v>
      </c>
      <c r="Q941" s="189">
        <f>IFERROR(__xludf.DUMMYFUNCTION("""COMPUTED_VALUE"""),48.0)</f>
        <v>48</v>
      </c>
      <c r="R941" s="186"/>
      <c r="S941" s="189">
        <f>IFERROR(__xludf.DUMMYFUNCTION("""COMPUTED_VALUE"""),44.0)</f>
        <v>44</v>
      </c>
    </row>
    <row r="942">
      <c r="A942" s="186" t="str">
        <f>IFERROR(__xludf.DUMMYFUNCTION("""COMPUTED_VALUE"""),"NORDICS")</f>
        <v>NORDICS</v>
      </c>
      <c r="B942" s="186" t="str">
        <f>IFERROR(__xludf.DUMMYFUNCTION("""COMPUTED_VALUE"""),"W17")</f>
        <v>W17</v>
      </c>
      <c r="C942" s="186"/>
      <c r="D942" s="186"/>
      <c r="E942" s="186"/>
      <c r="F942" s="186"/>
      <c r="G942" s="186"/>
      <c r="H942" s="186"/>
      <c r="I942" s="186"/>
      <c r="J942" s="189">
        <f>IFERROR(__xludf.DUMMYFUNCTION("""COMPUTED_VALUE"""),19264.0)</f>
        <v>19264</v>
      </c>
      <c r="K942" s="189">
        <f>IFERROR(__xludf.DUMMYFUNCTION("""COMPUTED_VALUE"""),17929.0)</f>
        <v>17929</v>
      </c>
      <c r="L942" s="189">
        <f>IFERROR(__xludf.DUMMYFUNCTION("""COMPUTED_VALUE"""),17281.0)</f>
        <v>17281</v>
      </c>
      <c r="M942" s="189">
        <f>IFERROR(__xludf.DUMMYFUNCTION("""COMPUTED_VALUE"""),20272.0)</f>
        <v>20272</v>
      </c>
      <c r="N942" s="189">
        <f>IFERROR(__xludf.DUMMYFUNCTION("""COMPUTED_VALUE"""),27177.0)</f>
        <v>27177</v>
      </c>
      <c r="O942" s="189">
        <f>IFERROR(__xludf.DUMMYFUNCTION("""COMPUTED_VALUE"""),27026.0)</f>
        <v>27026</v>
      </c>
      <c r="P942" s="189">
        <f>IFERROR(__xludf.DUMMYFUNCTION("""COMPUTED_VALUE"""),27016.0)</f>
        <v>27016</v>
      </c>
      <c r="Q942" s="189">
        <f>IFERROR(__xludf.DUMMYFUNCTION("""COMPUTED_VALUE"""),27037.0)</f>
        <v>27037</v>
      </c>
      <c r="R942" s="189">
        <f>IFERROR(__xludf.DUMMYFUNCTION("""COMPUTED_VALUE"""),0.0)</f>
        <v>0</v>
      </c>
      <c r="S942" s="189">
        <f>IFERROR(__xludf.DUMMYFUNCTION("""COMPUTED_VALUE"""),27156.0)</f>
        <v>27156</v>
      </c>
    </row>
    <row r="943">
      <c r="A943" s="186" t="str">
        <f>IFERROR(__xludf.DUMMYFUNCTION("""COMPUTED_VALUE"""),"DE")</f>
        <v>DE</v>
      </c>
      <c r="B943" s="186" t="str">
        <f>IFERROR(__xludf.DUMMYFUNCTION("""COMPUTED_VALUE"""),"W17")</f>
        <v>W17</v>
      </c>
      <c r="C943" s="186">
        <f>IFERROR(__xludf.DUMMYFUNCTION("""COMPUTED_VALUE"""),301.0)</f>
        <v>301</v>
      </c>
      <c r="D943" s="186" t="str">
        <f>IFERROR(__xludf.DUMMYFUNCTION("""COMPUTED_VALUE"""),"CON-00-136675-3")</f>
        <v>CON-00-136675-3</v>
      </c>
      <c r="E943" s="186" t="str">
        <f>IFERROR(__xludf.DUMMYFUNCTION("""COMPUTED_VALUE"""),"Creamy basil risotto with chicken")</f>
        <v>Creamy basil risotto with chicken</v>
      </c>
      <c r="F943" s="186" t="str">
        <f>IFERROR(__xludf.DUMMYFUNCTION("""COMPUTED_VALUE"""),"Cremiges Basilikum-Risotto")</f>
        <v>Cremiges Basilikum-Risotto</v>
      </c>
      <c r="G943" s="186" t="str">
        <f>IFERROR(__xludf.DUMMYFUNCTION("""COMPUTED_VALUE"""),"FE4014B")</f>
        <v>FE4014B</v>
      </c>
      <c r="H943" s="186">
        <f>IFERROR(__xludf.DUMMYFUNCTION("""COMPUTED_VALUE"""),565122.0)</f>
        <v>565122</v>
      </c>
      <c r="I943" s="186"/>
      <c r="J943" s="189">
        <f>IFERROR(__xludf.DUMMYFUNCTION("""COMPUTED_VALUE"""),2798.0)</f>
        <v>2798</v>
      </c>
      <c r="K943" s="189">
        <f>IFERROR(__xludf.DUMMYFUNCTION("""COMPUTED_VALUE"""),2597.0)</f>
        <v>2597</v>
      </c>
      <c r="L943" s="189">
        <f>IFERROR(__xludf.DUMMYFUNCTION("""COMPUTED_VALUE"""),2486.0)</f>
        <v>2486</v>
      </c>
      <c r="M943" s="189">
        <f>IFERROR(__xludf.DUMMYFUNCTION("""COMPUTED_VALUE"""),2614.0)</f>
        <v>2614</v>
      </c>
      <c r="N943" s="189">
        <f>IFERROR(__xludf.DUMMYFUNCTION("""COMPUTED_VALUE"""),2767.0)</f>
        <v>2767</v>
      </c>
      <c r="O943" s="189">
        <f>IFERROR(__xludf.DUMMYFUNCTION("""COMPUTED_VALUE"""),2827.0)</f>
        <v>2827</v>
      </c>
      <c r="P943" s="189">
        <f>IFERROR(__xludf.DUMMYFUNCTION("""COMPUTED_VALUE"""),2847.0)</f>
        <v>2847</v>
      </c>
      <c r="Q943" s="189">
        <f>IFERROR(__xludf.DUMMYFUNCTION("""COMPUTED_VALUE"""),2763.0)</f>
        <v>2763</v>
      </c>
      <c r="R943" s="186"/>
      <c r="S943" s="189">
        <f>IFERROR(__xludf.DUMMYFUNCTION("""COMPUTED_VALUE"""),3036.0)</f>
        <v>3036</v>
      </c>
    </row>
    <row r="944">
      <c r="A944" s="186" t="str">
        <f>IFERROR(__xludf.DUMMYFUNCTION("""COMPUTED_VALUE"""),"DE")</f>
        <v>DE</v>
      </c>
      <c r="B944" s="186" t="str">
        <f>IFERROR(__xludf.DUMMYFUNCTION("""COMPUTED_VALUE"""),"W17")</f>
        <v>W17</v>
      </c>
      <c r="C944" s="186">
        <f>IFERROR(__xludf.DUMMYFUNCTION("""COMPUTED_VALUE"""),302.0)</f>
        <v>302</v>
      </c>
      <c r="D944" s="186" t="str">
        <f>IFERROR(__xludf.DUMMYFUNCTION("""COMPUTED_VALUE"""),"CON-00-149480-2")</f>
        <v>CON-00-149480-2</v>
      </c>
      <c r="E944" s="186" t="str">
        <f>IFERROR(__xludf.DUMMYFUNCTION("""COMPUTED_VALUE"""),"Sour Cream &amp; Chive Chicken")</f>
        <v>Sour Cream &amp; Chive Chicken</v>
      </c>
      <c r="F944" s="186" t="str">
        <f>IFERROR(__xludf.DUMMYFUNCTION("""COMPUTED_VALUE"""),"Hähnchen mit Sauerrahm und Schnittlauch")</f>
        <v>Hähnchen mit Sauerrahm und Schnittlauch</v>
      </c>
      <c r="G944" s="186" t="str">
        <f>IFERROR(__xludf.DUMMYFUNCTION("""COMPUTED_VALUE"""),"FE0322O")</f>
        <v>FE0322O</v>
      </c>
      <c r="H944" s="186">
        <f>IFERROR(__xludf.DUMMYFUNCTION("""COMPUTED_VALUE"""),565163.0)</f>
        <v>565163</v>
      </c>
      <c r="I944" s="186" t="str">
        <f>IFERROR(__xludf.DUMMYFUNCTION("""COMPUTED_VALUE"""),"HF Kip bieslook aardappel pure")</f>
        <v>HF Kip bieslook aardappel pure</v>
      </c>
      <c r="J944" s="189">
        <f>IFERROR(__xludf.DUMMYFUNCTION("""COMPUTED_VALUE"""),1684.0)</f>
        <v>1684</v>
      </c>
      <c r="K944" s="189">
        <f>IFERROR(__xludf.DUMMYFUNCTION("""COMPUTED_VALUE"""),1574.0)</f>
        <v>1574</v>
      </c>
      <c r="L944" s="189">
        <f>IFERROR(__xludf.DUMMYFUNCTION("""COMPUTED_VALUE"""),1334.0)</f>
        <v>1334</v>
      </c>
      <c r="M944" s="189">
        <f>IFERROR(__xludf.DUMMYFUNCTION("""COMPUTED_VALUE"""),1433.0)</f>
        <v>1433</v>
      </c>
      <c r="N944" s="189">
        <f>IFERROR(__xludf.DUMMYFUNCTION("""COMPUTED_VALUE"""),1562.0)</f>
        <v>1562</v>
      </c>
      <c r="O944" s="189">
        <f>IFERROR(__xludf.DUMMYFUNCTION("""COMPUTED_VALUE"""),1584.0)</f>
        <v>1584</v>
      </c>
      <c r="P944" s="189">
        <f>IFERROR(__xludf.DUMMYFUNCTION("""COMPUTED_VALUE"""),1579.0)</f>
        <v>1579</v>
      </c>
      <c r="Q944" s="189">
        <f>IFERROR(__xludf.DUMMYFUNCTION("""COMPUTED_VALUE"""),1571.0)</f>
        <v>1571</v>
      </c>
      <c r="R944" s="186"/>
      <c r="S944" s="189">
        <f>IFERROR(__xludf.DUMMYFUNCTION("""COMPUTED_VALUE"""),1674.0)</f>
        <v>1674</v>
      </c>
    </row>
    <row r="945">
      <c r="A945" s="186" t="str">
        <f>IFERROR(__xludf.DUMMYFUNCTION("""COMPUTED_VALUE"""),"DE")</f>
        <v>DE</v>
      </c>
      <c r="B945" s="186" t="str">
        <f>IFERROR(__xludf.DUMMYFUNCTION("""COMPUTED_VALUE"""),"W17")</f>
        <v>W17</v>
      </c>
      <c r="C945" s="186">
        <f>IFERROR(__xludf.DUMMYFUNCTION("""COMPUTED_VALUE"""),303.0)</f>
        <v>303</v>
      </c>
      <c r="D945" s="186" t="str">
        <f>IFERROR(__xludf.DUMMYFUNCTION("""COMPUTED_VALUE"""),"CON-00-136657-3")</f>
        <v>CON-00-136657-3</v>
      </c>
      <c r="E945" s="186" t="str">
        <f>IFERROR(__xludf.DUMMYFUNCTION("""COMPUTED_VALUE"""),"Courgette-spaghetti bolognese")</f>
        <v>Courgette-spaghetti bolognese</v>
      </c>
      <c r="F945" s="186" t="str">
        <f>IFERROR(__xludf.DUMMYFUNCTION("""COMPUTED_VALUE"""),"Zucchini-Spaghetti Bolognese")</f>
        <v>Zucchini-Spaghetti Bolognese</v>
      </c>
      <c r="G945" s="186" t="str">
        <f>IFERROR(__xludf.DUMMYFUNCTION("""COMPUTED_VALUE"""),"FE0849B")</f>
        <v>FE0849B</v>
      </c>
      <c r="H945" s="186">
        <f>IFERROR(__xludf.DUMMYFUNCTION("""COMPUTED_VALUE"""),565260.0)</f>
        <v>565260</v>
      </c>
      <c r="I945" s="186" t="str">
        <f>IFERROR(__xludf.DUMMYFUNCTION("""COMPUTED_VALUE"""),"HF RW Courgette-spagh bolognes")</f>
        <v>HF RW Courgette-spagh bolognes</v>
      </c>
      <c r="J945" s="189">
        <f>IFERROR(__xludf.DUMMYFUNCTION("""COMPUTED_VALUE"""),1625.0)</f>
        <v>1625</v>
      </c>
      <c r="K945" s="189">
        <f>IFERROR(__xludf.DUMMYFUNCTION("""COMPUTED_VALUE"""),1508.0)</f>
        <v>1508</v>
      </c>
      <c r="L945" s="189">
        <f>IFERROR(__xludf.DUMMYFUNCTION("""COMPUTED_VALUE"""),1424.0)</f>
        <v>1424</v>
      </c>
      <c r="M945" s="189">
        <f>IFERROR(__xludf.DUMMYFUNCTION("""COMPUTED_VALUE"""),1550.0)</f>
        <v>1550</v>
      </c>
      <c r="N945" s="189">
        <f>IFERROR(__xludf.DUMMYFUNCTION("""COMPUTED_VALUE"""),1665.0)</f>
        <v>1665</v>
      </c>
      <c r="O945" s="189">
        <f>IFERROR(__xludf.DUMMYFUNCTION("""COMPUTED_VALUE"""),1713.0)</f>
        <v>1713</v>
      </c>
      <c r="P945" s="189">
        <f>IFERROR(__xludf.DUMMYFUNCTION("""COMPUTED_VALUE"""),1715.0)</f>
        <v>1715</v>
      </c>
      <c r="Q945" s="189">
        <f>IFERROR(__xludf.DUMMYFUNCTION("""COMPUTED_VALUE"""),1712.0)</f>
        <v>1712</v>
      </c>
      <c r="R945" s="186"/>
      <c r="S945" s="189">
        <f>IFERROR(__xludf.DUMMYFUNCTION("""COMPUTED_VALUE"""),1752.0)</f>
        <v>1752</v>
      </c>
    </row>
    <row r="946">
      <c r="A946" s="186" t="str">
        <f>IFERROR(__xludf.DUMMYFUNCTION("""COMPUTED_VALUE"""),"DE")</f>
        <v>DE</v>
      </c>
      <c r="B946" s="186" t="str">
        <f>IFERROR(__xludf.DUMMYFUNCTION("""COMPUTED_VALUE"""),"W17")</f>
        <v>W17</v>
      </c>
      <c r="C946" s="186">
        <f>IFERROR(__xludf.DUMMYFUNCTION("""COMPUTED_VALUE"""),304.0)</f>
        <v>304</v>
      </c>
      <c r="D946" s="186" t="str">
        <f>IFERROR(__xludf.DUMMYFUNCTION("""COMPUTED_VALUE"""),"CON-00-150388-2")</f>
        <v>CON-00-150388-2</v>
      </c>
      <c r="E946" s="186" t="str">
        <f>IFERROR(__xludf.DUMMYFUNCTION("""COMPUTED_VALUE"""),"Parmesan &amp; Garlic Cream Pulled Beef")</f>
        <v>Parmesan &amp; Garlic Cream Pulled Beef</v>
      </c>
      <c r="F946" s="186" t="str">
        <f>IFERROR(__xludf.DUMMYFUNCTION("""COMPUTED_VALUE"""),"Pulled Beef in Parmesan-Knoblauch-Creme")</f>
        <v>Pulled Beef in Parmesan-Knoblauch-Creme</v>
      </c>
      <c r="G946" s="186" t="str">
        <f>IFERROR(__xludf.DUMMYFUNCTION("""COMPUTED_VALUE"""),"FE1346B")</f>
        <v>FE1346B</v>
      </c>
      <c r="H946" s="186">
        <f>IFERROR(__xludf.DUMMYFUNCTION("""COMPUTED_VALUE"""),565184.0)</f>
        <v>565184</v>
      </c>
      <c r="I946" s="186" t="str">
        <f>IFERROR(__xludf.DUMMYFUNCTION("""COMPUTED_VALUE"""),"HF Pulled beef &amp; knoflook room")</f>
        <v>HF Pulled beef &amp; knoflook room</v>
      </c>
      <c r="J946" s="189">
        <f>IFERROR(__xludf.DUMMYFUNCTION("""COMPUTED_VALUE"""),236.0)</f>
        <v>236</v>
      </c>
      <c r="K946" s="189">
        <f>IFERROR(__xludf.DUMMYFUNCTION("""COMPUTED_VALUE"""),221.0)</f>
        <v>221</v>
      </c>
      <c r="L946" s="189">
        <f>IFERROR(__xludf.DUMMYFUNCTION("""COMPUTED_VALUE"""),248.0)</f>
        <v>248</v>
      </c>
      <c r="M946" s="189">
        <f>IFERROR(__xludf.DUMMYFUNCTION("""COMPUTED_VALUE"""),392.0)</f>
        <v>392</v>
      </c>
      <c r="N946" s="189">
        <f>IFERROR(__xludf.DUMMYFUNCTION("""COMPUTED_VALUE"""),2648.0)</f>
        <v>2648</v>
      </c>
      <c r="O946" s="189">
        <f>IFERROR(__xludf.DUMMYFUNCTION("""COMPUTED_VALUE"""),2705.0)</f>
        <v>2705</v>
      </c>
      <c r="P946" s="189">
        <f>IFERROR(__xludf.DUMMYFUNCTION("""COMPUTED_VALUE"""),2706.0)</f>
        <v>2706</v>
      </c>
      <c r="Q946" s="189">
        <f>IFERROR(__xludf.DUMMYFUNCTION("""COMPUTED_VALUE"""),2741.0)</f>
        <v>2741</v>
      </c>
      <c r="R946" s="186"/>
      <c r="S946" s="189">
        <f>IFERROR(__xludf.DUMMYFUNCTION("""COMPUTED_VALUE"""),2808.0)</f>
        <v>2808</v>
      </c>
    </row>
    <row r="947">
      <c r="A947" s="186" t="str">
        <f>IFERROR(__xludf.DUMMYFUNCTION("""COMPUTED_VALUE"""),"DE")</f>
        <v>DE</v>
      </c>
      <c r="B947" s="186" t="str">
        <f>IFERROR(__xludf.DUMMYFUNCTION("""COMPUTED_VALUE"""),"W17")</f>
        <v>W17</v>
      </c>
      <c r="C947" s="186">
        <f>IFERROR(__xludf.DUMMYFUNCTION("""COMPUTED_VALUE"""),305.0)</f>
        <v>305</v>
      </c>
      <c r="D947" s="186" t="str">
        <f>IFERROR(__xludf.DUMMYFUNCTION("""COMPUTED_VALUE"""),"CON-00-136620-3")</f>
        <v>CON-00-136620-3</v>
      </c>
      <c r="E947" s="186" t="str">
        <f>IFERROR(__xludf.DUMMYFUNCTION("""COMPUTED_VALUE"""),"Chicken à la Florentine")</f>
        <v>Chicken à la Florentine</v>
      </c>
      <c r="F947" s="186" t="str">
        <f>IFERROR(__xludf.DUMMYFUNCTION("""COMPUTED_VALUE"""),"Hähnchen à la Florentine")</f>
        <v>Hähnchen à la Florentine</v>
      </c>
      <c r="G947" s="186" t="str">
        <f>IFERROR(__xludf.DUMMYFUNCTION("""COMPUTED_VALUE"""),"FE0224D")</f>
        <v>FE0224D</v>
      </c>
      <c r="H947" s="186">
        <f>IFERROR(__xludf.DUMMYFUNCTION("""COMPUTED_VALUE"""),565047.0)</f>
        <v>565047</v>
      </c>
      <c r="I947" s="186" t="str">
        <f>IFERROR(__xludf.DUMMYFUNCTION("""COMPUTED_VALUE"""),"HF Kip á la Florentine")</f>
        <v>HF Kip á la Florentine</v>
      </c>
      <c r="J947" s="189">
        <f>IFERROR(__xludf.DUMMYFUNCTION("""COMPUTED_VALUE"""),1539.0)</f>
        <v>1539</v>
      </c>
      <c r="K947" s="189">
        <f>IFERROR(__xludf.DUMMYFUNCTION("""COMPUTED_VALUE"""),1450.0)</f>
        <v>1450</v>
      </c>
      <c r="L947" s="189">
        <f>IFERROR(__xludf.DUMMYFUNCTION("""COMPUTED_VALUE"""),1498.0)</f>
        <v>1498</v>
      </c>
      <c r="M947" s="189">
        <f>IFERROR(__xludf.DUMMYFUNCTION("""COMPUTED_VALUE"""),1459.0)</f>
        <v>1459</v>
      </c>
      <c r="N947" s="189">
        <f>IFERROR(__xludf.DUMMYFUNCTION("""COMPUTED_VALUE"""),1529.0)</f>
        <v>1529</v>
      </c>
      <c r="O947" s="189">
        <f>IFERROR(__xludf.DUMMYFUNCTION("""COMPUTED_VALUE"""),1592.0)</f>
        <v>1592</v>
      </c>
      <c r="P947" s="189">
        <f>IFERROR(__xludf.DUMMYFUNCTION("""COMPUTED_VALUE"""),1596.0)</f>
        <v>1596</v>
      </c>
      <c r="Q947" s="189">
        <f>IFERROR(__xludf.DUMMYFUNCTION("""COMPUTED_VALUE"""),1585.0)</f>
        <v>1585</v>
      </c>
      <c r="R947" s="186"/>
      <c r="S947" s="189">
        <f>IFERROR(__xludf.DUMMYFUNCTION("""COMPUTED_VALUE"""),1673.0)</f>
        <v>1673</v>
      </c>
    </row>
    <row r="948">
      <c r="A948" s="186" t="str">
        <f>IFERROR(__xludf.DUMMYFUNCTION("""COMPUTED_VALUE"""),"DE")</f>
        <v>DE</v>
      </c>
      <c r="B948" s="186" t="str">
        <f>IFERROR(__xludf.DUMMYFUNCTION("""COMPUTED_VALUE"""),"W17")</f>
        <v>W17</v>
      </c>
      <c r="C948" s="186">
        <f>IFERROR(__xludf.DUMMYFUNCTION("""COMPUTED_VALUE"""),306.0)</f>
        <v>306</v>
      </c>
      <c r="D948" s="186" t="str">
        <f>IFERROR(__xludf.DUMMYFUNCTION("""COMPUTED_VALUE"""),"CON-00-136630-3")</f>
        <v>CON-00-136630-3</v>
      </c>
      <c r="E948" s="186" t="str">
        <f>IFERROR(__xludf.DUMMYFUNCTION("""COMPUTED_VALUE"""),"Salmon with pesto")</f>
        <v>Salmon with pesto</v>
      </c>
      <c r="F948" s="186" t="str">
        <f>IFERROR(__xludf.DUMMYFUNCTION("""COMPUTED_VALUE"""),"Lachs mit Pesto")</f>
        <v>Lachs mit Pesto</v>
      </c>
      <c r="G948" s="186" t="str">
        <f>IFERROR(__xludf.DUMMYFUNCTION("""COMPUTED_VALUE"""),"FE0035F")</f>
        <v>FE0035F</v>
      </c>
      <c r="H948" s="186">
        <f>IFERROR(__xludf.DUMMYFUNCTION("""COMPUTED_VALUE"""),565022.0)</f>
        <v>565022</v>
      </c>
      <c r="I948" s="186" t="str">
        <f>IFERROR(__xludf.DUMMYFUNCTION("""COMPUTED_VALUE"""),"HF Zalm met pesto")</f>
        <v>HF Zalm met pesto</v>
      </c>
      <c r="J948" s="189">
        <f>IFERROR(__xludf.DUMMYFUNCTION("""COMPUTED_VALUE"""),183.0)</f>
        <v>183</v>
      </c>
      <c r="K948" s="189">
        <f>IFERROR(__xludf.DUMMYFUNCTION("""COMPUTED_VALUE"""),167.0)</f>
        <v>167</v>
      </c>
      <c r="L948" s="189">
        <f>IFERROR(__xludf.DUMMYFUNCTION("""COMPUTED_VALUE"""),161.0)</f>
        <v>161</v>
      </c>
      <c r="M948" s="189">
        <f>IFERROR(__xludf.DUMMYFUNCTION("""COMPUTED_VALUE"""),310.0)</f>
        <v>310</v>
      </c>
      <c r="N948" s="189">
        <f>IFERROR(__xludf.DUMMYFUNCTION("""COMPUTED_VALUE"""),1606.0)</f>
        <v>1606</v>
      </c>
      <c r="O948" s="189">
        <f>IFERROR(__xludf.DUMMYFUNCTION("""COMPUTED_VALUE"""),1699.0)</f>
        <v>1699</v>
      </c>
      <c r="P948" s="189">
        <f>IFERROR(__xludf.DUMMYFUNCTION("""COMPUTED_VALUE"""),1712.0)</f>
        <v>1712</v>
      </c>
      <c r="Q948" s="189">
        <f>IFERROR(__xludf.DUMMYFUNCTION("""COMPUTED_VALUE"""),1710.0)</f>
        <v>1710</v>
      </c>
      <c r="R948" s="186"/>
      <c r="S948" s="189">
        <f>IFERROR(__xludf.DUMMYFUNCTION("""COMPUTED_VALUE"""),1803.0)</f>
        <v>1803</v>
      </c>
    </row>
    <row r="949">
      <c r="A949" s="186" t="str">
        <f>IFERROR(__xludf.DUMMYFUNCTION("""COMPUTED_VALUE"""),"DE")</f>
        <v>DE</v>
      </c>
      <c r="B949" s="186" t="str">
        <f>IFERROR(__xludf.DUMMYFUNCTION("""COMPUTED_VALUE"""),"W17")</f>
        <v>W17</v>
      </c>
      <c r="C949" s="186">
        <f>IFERROR(__xludf.DUMMYFUNCTION("""COMPUTED_VALUE"""),307.0)</f>
        <v>307</v>
      </c>
      <c r="D949" s="186" t="str">
        <f>IFERROR(__xludf.DUMMYFUNCTION("""COMPUTED_VALUE"""),"CON-00-137559-2")</f>
        <v>CON-00-137559-2</v>
      </c>
      <c r="E949" s="186" t="str">
        <f>IFERROR(__xludf.DUMMYFUNCTION("""COMPUTED_VALUE"""),"Gochugaru Chicken")</f>
        <v>Gochugaru Chicken</v>
      </c>
      <c r="F949" s="186" t="str">
        <f>IFERROR(__xludf.DUMMYFUNCTION("""COMPUTED_VALUE"""),"Gochugaru-Hähnchen")</f>
        <v>Gochugaru-Hähnchen</v>
      </c>
      <c r="G949" s="186" t="str">
        <f>IFERROR(__xludf.DUMMYFUNCTION("""COMPUTED_VALUE"""),"FE4053B")</f>
        <v>FE4053B</v>
      </c>
      <c r="H949" s="186">
        <f>IFERROR(__xludf.DUMMYFUNCTION("""COMPUTED_VALUE"""),565131.0)</f>
        <v>565131</v>
      </c>
      <c r="I949" s="186" t="str">
        <f>IFERROR(__xludf.DUMMYFUNCTION("""COMPUTED_VALUE"""),"HF Gochugaru kipblokjes")</f>
        <v>HF Gochugaru kipblokjes</v>
      </c>
      <c r="J949" s="189">
        <f>IFERROR(__xludf.DUMMYFUNCTION("""COMPUTED_VALUE"""),125.0)</f>
        <v>125</v>
      </c>
      <c r="K949" s="189">
        <f>IFERROR(__xludf.DUMMYFUNCTION("""COMPUTED_VALUE"""),123.0)</f>
        <v>123</v>
      </c>
      <c r="L949" s="189">
        <f>IFERROR(__xludf.DUMMYFUNCTION("""COMPUTED_VALUE"""),136.0)</f>
        <v>136</v>
      </c>
      <c r="M949" s="189">
        <f>IFERROR(__xludf.DUMMYFUNCTION("""COMPUTED_VALUE"""),666.0)</f>
        <v>666</v>
      </c>
      <c r="N949" s="189">
        <f>IFERROR(__xludf.DUMMYFUNCTION("""COMPUTED_VALUE"""),1444.0)</f>
        <v>1444</v>
      </c>
      <c r="O949" s="189">
        <f>IFERROR(__xludf.DUMMYFUNCTION("""COMPUTED_VALUE"""),1484.0)</f>
        <v>1484</v>
      </c>
      <c r="P949" s="189">
        <f>IFERROR(__xludf.DUMMYFUNCTION("""COMPUTED_VALUE"""),1513.0)</f>
        <v>1513</v>
      </c>
      <c r="Q949" s="189">
        <f>IFERROR(__xludf.DUMMYFUNCTION("""COMPUTED_VALUE"""),1528.0)</f>
        <v>1528</v>
      </c>
      <c r="R949" s="186"/>
      <c r="S949" s="189">
        <f>IFERROR(__xludf.DUMMYFUNCTION("""COMPUTED_VALUE"""),1482.0)</f>
        <v>1482</v>
      </c>
    </row>
    <row r="950">
      <c r="A950" s="186" t="str">
        <f>IFERROR(__xludf.DUMMYFUNCTION("""COMPUTED_VALUE"""),"DE")</f>
        <v>DE</v>
      </c>
      <c r="B950" s="186" t="str">
        <f>IFERROR(__xludf.DUMMYFUNCTION("""COMPUTED_VALUE"""),"W17")</f>
        <v>W17</v>
      </c>
      <c r="C950" s="186">
        <f>IFERROR(__xludf.DUMMYFUNCTION("""COMPUTED_VALUE"""),308.0)</f>
        <v>308</v>
      </c>
      <c r="D950" s="186" t="str">
        <f>IFERROR(__xludf.DUMMYFUNCTION("""COMPUTED_VALUE"""),"CON-00-147983-2")</f>
        <v>CON-00-147983-2</v>
      </c>
      <c r="E950" s="186" t="str">
        <f>IFERROR(__xludf.DUMMYFUNCTION("""COMPUTED_VALUE"""),"Loaded Bacon Shredded Chicken")</f>
        <v>Loaded Bacon Shredded Chicken</v>
      </c>
      <c r="F950" s="186" t="str">
        <f>IFERROR(__xludf.DUMMYFUNCTION("""COMPUTED_VALUE"""),"Pulled Chicken mit Bacon")</f>
        <v>Pulled Chicken mit Bacon</v>
      </c>
      <c r="G950" s="186" t="str">
        <f>IFERROR(__xludf.DUMMYFUNCTION("""COMPUTED_VALUE"""),"FE0794D")</f>
        <v>FE0794D</v>
      </c>
      <c r="H950" s="186">
        <f>IFERROR(__xludf.DUMMYFUNCTION("""COMPUTED_VALUE"""),565156.0)</f>
        <v>565156</v>
      </c>
      <c r="I950" s="186" t="str">
        <f>IFERROR(__xludf.DUMMYFUNCTION("""COMPUTED_VALUE"""),"HF Loaded Bacon Chicken")</f>
        <v>HF Loaded Bacon Chicken</v>
      </c>
      <c r="J950" s="189">
        <f>IFERROR(__xludf.DUMMYFUNCTION("""COMPUTED_VALUE"""),1150.0)</f>
        <v>1150</v>
      </c>
      <c r="K950" s="189">
        <f>IFERROR(__xludf.DUMMYFUNCTION("""COMPUTED_VALUE"""),1067.0)</f>
        <v>1067</v>
      </c>
      <c r="L950" s="189">
        <f>IFERROR(__xludf.DUMMYFUNCTION("""COMPUTED_VALUE"""),1651.0)</f>
        <v>1651</v>
      </c>
      <c r="M950" s="189">
        <f>IFERROR(__xludf.DUMMYFUNCTION("""COMPUTED_VALUE"""),1453.0)</f>
        <v>1453</v>
      </c>
      <c r="N950" s="189">
        <f>IFERROR(__xludf.DUMMYFUNCTION("""COMPUTED_VALUE"""),1482.0)</f>
        <v>1482</v>
      </c>
      <c r="O950" s="189">
        <f>IFERROR(__xludf.DUMMYFUNCTION("""COMPUTED_VALUE"""),1581.0)</f>
        <v>1581</v>
      </c>
      <c r="P950" s="189">
        <f>IFERROR(__xludf.DUMMYFUNCTION("""COMPUTED_VALUE"""),1560.0)</f>
        <v>1560</v>
      </c>
      <c r="Q950" s="189">
        <f>IFERROR(__xludf.DUMMYFUNCTION("""COMPUTED_VALUE"""),1577.0)</f>
        <v>1577</v>
      </c>
      <c r="R950" s="186"/>
      <c r="S950" s="189">
        <f>IFERROR(__xludf.DUMMYFUNCTION("""COMPUTED_VALUE"""),1488.0)</f>
        <v>1488</v>
      </c>
    </row>
    <row r="951">
      <c r="A951" s="186" t="str">
        <f>IFERROR(__xludf.DUMMYFUNCTION("""COMPUTED_VALUE"""),"DE")</f>
        <v>DE</v>
      </c>
      <c r="B951" s="186" t="str">
        <f>IFERROR(__xludf.DUMMYFUNCTION("""COMPUTED_VALUE"""),"W17")</f>
        <v>W17</v>
      </c>
      <c r="C951" s="186">
        <f>IFERROR(__xludf.DUMMYFUNCTION("""COMPUTED_VALUE"""),309.0)</f>
        <v>309</v>
      </c>
      <c r="D951" s="186" t="str">
        <f>IFERROR(__xludf.DUMMYFUNCTION("""COMPUTED_VALUE"""),"CON-00-136634-3")</f>
        <v>CON-00-136634-3</v>
      </c>
      <c r="E951" s="186" t="str">
        <f>IFERROR(__xludf.DUMMYFUNCTION("""COMPUTED_VALUE"""),"Ratatouille of zucchini and pepper")</f>
        <v>Ratatouille of zucchini and pepper</v>
      </c>
      <c r="F951" s="186" t="str">
        <f>IFERROR(__xludf.DUMMYFUNCTION("""COMPUTED_VALUE"""),"Zucchini-Paprika-Ratatouille")</f>
        <v>Zucchini-Paprika-Ratatouille</v>
      </c>
      <c r="G951" s="186" t="str">
        <f>IFERROR(__xludf.DUMMYFUNCTION("""COMPUTED_VALUE"""),"FE0090C")</f>
        <v>FE0090C</v>
      </c>
      <c r="H951" s="186">
        <f>IFERROR(__xludf.DUMMYFUNCTION("""COMPUTED_VALUE"""),565141.0)</f>
        <v>565141</v>
      </c>
      <c r="I951" s="186"/>
      <c r="J951" s="189">
        <f>IFERROR(__xludf.DUMMYFUNCTION("""COMPUTED_VALUE"""),319.0)</f>
        <v>319</v>
      </c>
      <c r="K951" s="189">
        <f>IFERROR(__xludf.DUMMYFUNCTION("""COMPUTED_VALUE"""),297.0)</f>
        <v>297</v>
      </c>
      <c r="L951" s="189">
        <f>IFERROR(__xludf.DUMMYFUNCTION("""COMPUTED_VALUE"""),330.0)</f>
        <v>330</v>
      </c>
      <c r="M951" s="189">
        <f>IFERROR(__xludf.DUMMYFUNCTION("""COMPUTED_VALUE"""),273.0)</f>
        <v>273</v>
      </c>
      <c r="N951" s="189">
        <f>IFERROR(__xludf.DUMMYFUNCTION("""COMPUTED_VALUE"""),268.0)</f>
        <v>268</v>
      </c>
      <c r="O951" s="189">
        <f>IFERROR(__xludf.DUMMYFUNCTION("""COMPUTED_VALUE"""),286.0)</f>
        <v>286</v>
      </c>
      <c r="P951" s="189">
        <f>IFERROR(__xludf.DUMMYFUNCTION("""COMPUTED_VALUE"""),270.0)</f>
        <v>270</v>
      </c>
      <c r="Q951" s="189">
        <f>IFERROR(__xludf.DUMMYFUNCTION("""COMPUTED_VALUE"""),268.0)</f>
        <v>268</v>
      </c>
      <c r="R951" s="186"/>
      <c r="S951" s="189">
        <f>IFERROR(__xludf.DUMMYFUNCTION("""COMPUTED_VALUE"""),252.0)</f>
        <v>252</v>
      </c>
    </row>
    <row r="952">
      <c r="A952" s="186" t="str">
        <f>IFERROR(__xludf.DUMMYFUNCTION("""COMPUTED_VALUE"""),"DE")</f>
        <v>DE</v>
      </c>
      <c r="B952" s="186" t="str">
        <f>IFERROR(__xludf.DUMMYFUNCTION("""COMPUTED_VALUE"""),"W17")</f>
        <v>W17</v>
      </c>
      <c r="C952" s="186">
        <f>IFERROR(__xludf.DUMMYFUNCTION("""COMPUTED_VALUE"""),310.0)</f>
        <v>310</v>
      </c>
      <c r="D952" s="186" t="str">
        <f>IFERROR(__xludf.DUMMYFUNCTION("""COMPUTED_VALUE"""),"CON-00-136641-3")</f>
        <v>CON-00-136641-3</v>
      </c>
      <c r="E952" s="186" t="str">
        <f>IFERROR(__xludf.DUMMYFUNCTION("""COMPUTED_VALUE"""),"Mexican style corn cake")</f>
        <v>Mexican style corn cake</v>
      </c>
      <c r="F952" s="186" t="str">
        <f>IFERROR(__xludf.DUMMYFUNCTION("""COMPUTED_VALUE"""),"Mexikanischer Maiskuchen")</f>
        <v>Mexikanischer Maiskuchen</v>
      </c>
      <c r="G952" s="186" t="str">
        <f>IFERROR(__xludf.DUMMYFUNCTION("""COMPUTED_VALUE"""),"FE0121D")</f>
        <v>FE0121D</v>
      </c>
      <c r="H952" s="186">
        <f>IFERROR(__xludf.DUMMYFUNCTION("""COMPUTED_VALUE"""),565299.0)</f>
        <v>565299</v>
      </c>
      <c r="I952" s="186" t="str">
        <f>IFERROR(__xludf.DUMMYFUNCTION("""COMPUTED_VALUE"""),"HF RW Mexcaanse stijl maiscake")</f>
        <v>HF RW Mexcaanse stijl maiscake</v>
      </c>
      <c r="J952" s="189">
        <f>IFERROR(__xludf.DUMMYFUNCTION("""COMPUTED_VALUE"""),371.0)</f>
        <v>371</v>
      </c>
      <c r="K952" s="189">
        <f>IFERROR(__xludf.DUMMYFUNCTION("""COMPUTED_VALUE"""),322.0)</f>
        <v>322</v>
      </c>
      <c r="L952" s="189">
        <f>IFERROR(__xludf.DUMMYFUNCTION("""COMPUTED_VALUE"""),411.0)</f>
        <v>411</v>
      </c>
      <c r="M952" s="189">
        <f>IFERROR(__xludf.DUMMYFUNCTION("""COMPUTED_VALUE"""),400.0)</f>
        <v>400</v>
      </c>
      <c r="N952" s="189">
        <f>IFERROR(__xludf.DUMMYFUNCTION("""COMPUTED_VALUE"""),383.0)</f>
        <v>383</v>
      </c>
      <c r="O952" s="189">
        <f>IFERROR(__xludf.DUMMYFUNCTION("""COMPUTED_VALUE"""),391.0)</f>
        <v>391</v>
      </c>
      <c r="P952" s="189">
        <f>IFERROR(__xludf.DUMMYFUNCTION("""COMPUTED_VALUE"""),371.0)</f>
        <v>371</v>
      </c>
      <c r="Q952" s="189">
        <f>IFERROR(__xludf.DUMMYFUNCTION("""COMPUTED_VALUE"""),370.0)</f>
        <v>370</v>
      </c>
      <c r="R952" s="186"/>
      <c r="S952" s="189">
        <f>IFERROR(__xludf.DUMMYFUNCTION("""COMPUTED_VALUE"""),338.0)</f>
        <v>338</v>
      </c>
    </row>
    <row r="953">
      <c r="A953" s="186" t="str">
        <f>IFERROR(__xludf.DUMMYFUNCTION("""COMPUTED_VALUE"""),"DE")</f>
        <v>DE</v>
      </c>
      <c r="B953" s="186" t="str">
        <f>IFERROR(__xludf.DUMMYFUNCTION("""COMPUTED_VALUE"""),"W17")</f>
        <v>W17</v>
      </c>
      <c r="C953" s="186">
        <f>IFERROR(__xludf.DUMMYFUNCTION("""COMPUTED_VALUE"""),311.0)</f>
        <v>311</v>
      </c>
      <c r="D953" s="186" t="str">
        <f>IFERROR(__xludf.DUMMYFUNCTION("""COMPUTED_VALUE"""),"CON-00-136726-3")</f>
        <v>CON-00-136726-3</v>
      </c>
      <c r="E953" s="186" t="str">
        <f>IFERROR(__xludf.DUMMYFUNCTION("""COMPUTED_VALUE"""),"Pork tenderloin with apple-mustard sauce")</f>
        <v>Pork tenderloin with apple-mustard sauce</v>
      </c>
      <c r="F953" s="186" t="str">
        <f>IFERROR(__xludf.DUMMYFUNCTION("""COMPUTED_VALUE"""),"Schweinefilet mit Apfel-Senf-Soße")</f>
        <v>Schweinefilet mit Apfel-Senf-Soße</v>
      </c>
      <c r="G953" s="186" t="str">
        <f>IFERROR(__xludf.DUMMYFUNCTION("""COMPUTED_VALUE"""),"FE0890C")</f>
        <v>FE0890C</v>
      </c>
      <c r="H953" s="186">
        <f>IFERROR(__xludf.DUMMYFUNCTION("""COMPUTED_VALUE"""),565304.0)</f>
        <v>565304</v>
      </c>
      <c r="I953" s="186" t="str">
        <f>IFERROR(__xludf.DUMMYFUNCTION("""COMPUTED_VALUE"""),"HF RW Varkenshaas appel moster")</f>
        <v>HF RW Varkenshaas appel moster</v>
      </c>
      <c r="J953" s="189">
        <f>IFERROR(__xludf.DUMMYFUNCTION("""COMPUTED_VALUE"""),419.0)</f>
        <v>419</v>
      </c>
      <c r="K953" s="189">
        <f>IFERROR(__xludf.DUMMYFUNCTION("""COMPUTED_VALUE"""),342.0)</f>
        <v>342</v>
      </c>
      <c r="L953" s="189">
        <f>IFERROR(__xludf.DUMMYFUNCTION("""COMPUTED_VALUE"""),292.0)</f>
        <v>292</v>
      </c>
      <c r="M953" s="189">
        <f>IFERROR(__xludf.DUMMYFUNCTION("""COMPUTED_VALUE"""),354.0)</f>
        <v>354</v>
      </c>
      <c r="N953" s="189">
        <f>IFERROR(__xludf.DUMMYFUNCTION("""COMPUTED_VALUE"""),350.0)</f>
        <v>350</v>
      </c>
      <c r="O953" s="189">
        <f>IFERROR(__xludf.DUMMYFUNCTION("""COMPUTED_VALUE"""),377.0)</f>
        <v>377</v>
      </c>
      <c r="P953" s="189">
        <f>IFERROR(__xludf.DUMMYFUNCTION("""COMPUTED_VALUE"""),381.0)</f>
        <v>381</v>
      </c>
      <c r="Q953" s="189">
        <f>IFERROR(__xludf.DUMMYFUNCTION("""COMPUTED_VALUE"""),398.0)</f>
        <v>398</v>
      </c>
      <c r="R953" s="186"/>
      <c r="S953" s="189">
        <f>IFERROR(__xludf.DUMMYFUNCTION("""COMPUTED_VALUE"""),396.0)</f>
        <v>396</v>
      </c>
    </row>
    <row r="954">
      <c r="A954" s="186" t="str">
        <f>IFERROR(__xludf.DUMMYFUNCTION("""COMPUTED_VALUE"""),"DE")</f>
        <v>DE</v>
      </c>
      <c r="B954" s="186" t="str">
        <f>IFERROR(__xludf.DUMMYFUNCTION("""COMPUTED_VALUE"""),"W17")</f>
        <v>W17</v>
      </c>
      <c r="C954" s="186">
        <f>IFERROR(__xludf.DUMMYFUNCTION("""COMPUTED_VALUE"""),312.0)</f>
        <v>312</v>
      </c>
      <c r="D954" s="186" t="str">
        <f>IFERROR(__xludf.DUMMYFUNCTION("""COMPUTED_VALUE"""),"CON-00-151097-2")</f>
        <v>CON-00-151097-2</v>
      </c>
      <c r="E954" s="186" t="str">
        <f>IFERROR(__xludf.DUMMYFUNCTION("""COMPUTED_VALUE"""),"Roasted Salmon &amp; Dill Yogurt")</f>
        <v>Roasted Salmon &amp; Dill Yogurt</v>
      </c>
      <c r="F954" s="186" t="str">
        <f>IFERROR(__xludf.DUMMYFUNCTION("""COMPUTED_VALUE"""),"Ofengerösteter Lachs &amp; Dill-Joghurt")</f>
        <v>Ofengerösteter Lachs &amp; Dill-Joghurt</v>
      </c>
      <c r="G954" s="186" t="str">
        <f>IFERROR(__xludf.DUMMYFUNCTION("""COMPUTED_VALUE"""),"FE1145B")</f>
        <v>FE1145B</v>
      </c>
      <c r="H954" s="186">
        <f>IFERROR(__xludf.DUMMYFUNCTION("""COMPUTED_VALUE"""),565206.0)</f>
        <v>565206</v>
      </c>
      <c r="I954" s="186" t="str">
        <f>IFERROR(__xludf.DUMMYFUNCTION("""COMPUTED_VALUE"""),"HF Zalm citroen dille yoghurt")</f>
        <v>HF Zalm citroen dille yoghurt</v>
      </c>
      <c r="J954" s="189">
        <f>IFERROR(__xludf.DUMMYFUNCTION("""COMPUTED_VALUE"""),1422.0)</f>
        <v>1422</v>
      </c>
      <c r="K954" s="189">
        <f>IFERROR(__xludf.DUMMYFUNCTION("""COMPUTED_VALUE"""),1343.0)</f>
        <v>1343</v>
      </c>
      <c r="L954" s="189">
        <f>IFERROR(__xludf.DUMMYFUNCTION("""COMPUTED_VALUE"""),1343.0)</f>
        <v>1343</v>
      </c>
      <c r="M954" s="189">
        <f>IFERROR(__xludf.DUMMYFUNCTION("""COMPUTED_VALUE"""),1182.0)</f>
        <v>1182</v>
      </c>
      <c r="N954" s="189">
        <f>IFERROR(__xludf.DUMMYFUNCTION("""COMPUTED_VALUE"""),1285.0)</f>
        <v>1285</v>
      </c>
      <c r="O954" s="189">
        <f>IFERROR(__xludf.DUMMYFUNCTION("""COMPUTED_VALUE"""),1312.0)</f>
        <v>1312</v>
      </c>
      <c r="P954" s="189">
        <f>IFERROR(__xludf.DUMMYFUNCTION("""COMPUTED_VALUE"""),1323.0)</f>
        <v>1323</v>
      </c>
      <c r="Q954" s="189">
        <f>IFERROR(__xludf.DUMMYFUNCTION("""COMPUTED_VALUE"""),1355.0)</f>
        <v>1355</v>
      </c>
      <c r="R954" s="186"/>
      <c r="S954" s="189">
        <f>IFERROR(__xludf.DUMMYFUNCTION("""COMPUTED_VALUE"""),1384.0)</f>
        <v>1384</v>
      </c>
    </row>
    <row r="955">
      <c r="A955" s="186" t="str">
        <f>IFERROR(__xludf.DUMMYFUNCTION("""COMPUTED_VALUE"""),"DE")</f>
        <v>DE</v>
      </c>
      <c r="B955" s="186" t="str">
        <f>IFERROR(__xludf.DUMMYFUNCTION("""COMPUTED_VALUE"""),"W17")</f>
        <v>W17</v>
      </c>
      <c r="C955" s="186">
        <f>IFERROR(__xludf.DUMMYFUNCTION("""COMPUTED_VALUE"""),313.0)</f>
        <v>313</v>
      </c>
      <c r="D955" s="186" t="str">
        <f>IFERROR(__xludf.DUMMYFUNCTION("""COMPUTED_VALUE"""),"CON-00-168318-2")</f>
        <v>CON-00-168318-2</v>
      </c>
      <c r="E955" s="186" t="str">
        <f>IFERROR(__xludf.DUMMYFUNCTION("""COMPUTED_VALUE"""),"Chicken with Puttanesca-style sauce")</f>
        <v>Chicken with Puttanesca-style sauce</v>
      </c>
      <c r="F955" s="186" t="str">
        <f>IFERROR(__xludf.DUMMYFUNCTION("""COMPUTED_VALUE"""),"Hähnchen mit Puttanesca-Sauce")</f>
        <v>Hähnchen mit Puttanesca-Sauce</v>
      </c>
      <c r="G955" s="186" t="str">
        <f>IFERROR(__xludf.DUMMYFUNCTION("""COMPUTED_VALUE"""),"FE1777A")</f>
        <v>FE1777A</v>
      </c>
      <c r="H955" s="186">
        <f>IFERROR(__xludf.DUMMYFUNCTION("""COMPUTED_VALUE"""),565265.0)</f>
        <v>565265</v>
      </c>
      <c r="I955" s="186" t="str">
        <f>IFERROR(__xludf.DUMMYFUNCTION("""COMPUTED_VALUE"""),"HF Kipfilet puttanesca")</f>
        <v>HF Kipfilet puttanesca</v>
      </c>
      <c r="J955" s="189">
        <f>IFERROR(__xludf.DUMMYFUNCTION("""COMPUTED_VALUE"""),1648.0)</f>
        <v>1648</v>
      </c>
      <c r="K955" s="189">
        <f>IFERROR(__xludf.DUMMYFUNCTION("""COMPUTED_VALUE"""),1482.0)</f>
        <v>1482</v>
      </c>
      <c r="L955" s="189">
        <f>IFERROR(__xludf.DUMMYFUNCTION("""COMPUTED_VALUE"""),1562.0)</f>
        <v>1562</v>
      </c>
      <c r="M955" s="189">
        <f>IFERROR(__xludf.DUMMYFUNCTION("""COMPUTED_VALUE"""),1684.0)</f>
        <v>1684</v>
      </c>
      <c r="N955" s="189">
        <f>IFERROR(__xludf.DUMMYFUNCTION("""COMPUTED_VALUE"""),1759.0)</f>
        <v>1759</v>
      </c>
      <c r="O955" s="189">
        <f>IFERROR(__xludf.DUMMYFUNCTION("""COMPUTED_VALUE"""),1779.0)</f>
        <v>1779</v>
      </c>
      <c r="P955" s="189">
        <f>IFERROR(__xludf.DUMMYFUNCTION("""COMPUTED_VALUE"""),1807.0)</f>
        <v>1807</v>
      </c>
      <c r="Q955" s="189">
        <f>IFERROR(__xludf.DUMMYFUNCTION("""COMPUTED_VALUE"""),1831.0)</f>
        <v>1831</v>
      </c>
      <c r="R955" s="186"/>
      <c r="S955" s="189">
        <f>IFERROR(__xludf.DUMMYFUNCTION("""COMPUTED_VALUE"""),1763.0)</f>
        <v>1763</v>
      </c>
    </row>
    <row r="956">
      <c r="A956" s="186" t="str">
        <f>IFERROR(__xludf.DUMMYFUNCTION("""COMPUTED_VALUE"""),"DE")</f>
        <v>DE</v>
      </c>
      <c r="B956" s="186" t="str">
        <f>IFERROR(__xludf.DUMMYFUNCTION("""COMPUTED_VALUE"""),"W17")</f>
        <v>W17</v>
      </c>
      <c r="C956" s="186">
        <f>IFERROR(__xludf.DUMMYFUNCTION("""COMPUTED_VALUE"""),314.0)</f>
        <v>314</v>
      </c>
      <c r="D956" s="186" t="str">
        <f>IFERROR(__xludf.DUMMYFUNCTION("""COMPUTED_VALUE"""),"CON-00-152024-2")</f>
        <v>CON-00-152024-2</v>
      </c>
      <c r="E956" s="186" t="str">
        <f>IFERROR(__xludf.DUMMYFUNCTION("""COMPUTED_VALUE"""),"Ginger Garlic Grilled Chicken")</f>
        <v>Ginger Garlic Grilled Chicken</v>
      </c>
      <c r="F956" s="186" t="str">
        <f>IFERROR(__xludf.DUMMYFUNCTION("""COMPUTED_VALUE"""),"Gegrilltes Hähnchen in Ingwer-Knoblauch-Marinade")</f>
        <v>Gegrilltes Hähnchen in Ingwer-Knoblauch-Marinade</v>
      </c>
      <c r="G956" s="186" t="str">
        <f>IFERROR(__xludf.DUMMYFUNCTION("""COMPUTED_VALUE"""),"FE4064A")</f>
        <v>FE4064A</v>
      </c>
      <c r="H956" s="186">
        <f>IFERROR(__xludf.DUMMYFUNCTION("""COMPUTED_VALUE"""),565211.0)</f>
        <v>565211</v>
      </c>
      <c r="I956" s="186" t="str">
        <f>IFERROR(__xludf.DUMMYFUNCTION("""COMPUTED_VALUE"""),"HF Gember knoflook kip")</f>
        <v>HF Gember knoflook kip</v>
      </c>
      <c r="J956" s="189">
        <f>IFERROR(__xludf.DUMMYFUNCTION("""COMPUTED_VALUE"""),73.0)</f>
        <v>73</v>
      </c>
      <c r="K956" s="189">
        <f>IFERROR(__xludf.DUMMYFUNCTION("""COMPUTED_VALUE"""),64.0)</f>
        <v>64</v>
      </c>
      <c r="L956" s="189">
        <f>IFERROR(__xludf.DUMMYFUNCTION("""COMPUTED_VALUE"""),52.0)</f>
        <v>52</v>
      </c>
      <c r="M956" s="189">
        <f>IFERROR(__xludf.DUMMYFUNCTION("""COMPUTED_VALUE"""),413.0)</f>
        <v>413</v>
      </c>
      <c r="N956" s="189">
        <f>IFERROR(__xludf.DUMMYFUNCTION("""COMPUTED_VALUE"""),629.0)</f>
        <v>629</v>
      </c>
      <c r="O956" s="189">
        <f>IFERROR(__xludf.DUMMYFUNCTION("""COMPUTED_VALUE"""),682.0)</f>
        <v>682</v>
      </c>
      <c r="P956" s="189">
        <f>IFERROR(__xludf.DUMMYFUNCTION("""COMPUTED_VALUE"""),692.0)</f>
        <v>692</v>
      </c>
      <c r="Q956" s="189">
        <f>IFERROR(__xludf.DUMMYFUNCTION("""COMPUTED_VALUE"""),697.0)</f>
        <v>697</v>
      </c>
      <c r="R956" s="186"/>
      <c r="S956" s="189">
        <f>IFERROR(__xludf.DUMMYFUNCTION("""COMPUTED_VALUE"""),693.0)</f>
        <v>693</v>
      </c>
    </row>
    <row r="957">
      <c r="A957" s="186" t="str">
        <f>IFERROR(__xludf.DUMMYFUNCTION("""COMPUTED_VALUE"""),"DE")</f>
        <v>DE</v>
      </c>
      <c r="B957" s="186" t="str">
        <f>IFERROR(__xludf.DUMMYFUNCTION("""COMPUTED_VALUE"""),"W17")</f>
        <v>W17</v>
      </c>
      <c r="C957" s="186">
        <f>IFERROR(__xludf.DUMMYFUNCTION("""COMPUTED_VALUE"""),315.0)</f>
        <v>315</v>
      </c>
      <c r="D957" s="186" t="str">
        <f>IFERROR(__xludf.DUMMYFUNCTION("""COMPUTED_VALUE"""),"CON-00-136671-3")</f>
        <v>CON-00-136671-3</v>
      </c>
      <c r="E957" s="186" t="str">
        <f>IFERROR(__xludf.DUMMYFUNCTION("""COMPUTED_VALUE"""),"Cabbage in cheese sauce with minced beef")</f>
        <v>Cabbage in cheese sauce with minced beef</v>
      </c>
      <c r="F957" s="186" t="str">
        <f>IFERROR(__xludf.DUMMYFUNCTION("""COMPUTED_VALUE"""),"Wirsing in Käsesauce mit Hackfleisch")</f>
        <v>Wirsing in Käsesauce mit Hackfleisch</v>
      </c>
      <c r="G957" s="186" t="str">
        <f>IFERROR(__xludf.DUMMYFUNCTION("""COMPUTED_VALUE"""),"FE0713B")</f>
        <v>FE0713B</v>
      </c>
      <c r="H957" s="186">
        <f>IFERROR(__xludf.DUMMYFUNCTION("""COMPUTED_VALUE"""),565240.0)</f>
        <v>565240</v>
      </c>
      <c r="I957" s="186" t="str">
        <f>IFERROR(__xludf.DUMMYFUNCTION("""COMPUTED_VALUE"""),"HF RW Kool in kaassaus")</f>
        <v>HF RW Kool in kaassaus</v>
      </c>
      <c r="J957" s="189">
        <f>IFERROR(__xludf.DUMMYFUNCTION("""COMPUTED_VALUE"""),781.0)</f>
        <v>781</v>
      </c>
      <c r="K957" s="189">
        <f>IFERROR(__xludf.DUMMYFUNCTION("""COMPUTED_VALUE"""),703.0)</f>
        <v>703</v>
      </c>
      <c r="L957" s="189">
        <f>IFERROR(__xludf.DUMMYFUNCTION("""COMPUTED_VALUE"""),681.0)</f>
        <v>681</v>
      </c>
      <c r="M957" s="189">
        <f>IFERROR(__xludf.DUMMYFUNCTION("""COMPUTED_VALUE"""),579.0)</f>
        <v>579</v>
      </c>
      <c r="N957" s="189">
        <f>IFERROR(__xludf.DUMMYFUNCTION("""COMPUTED_VALUE"""),615.0)</f>
        <v>615</v>
      </c>
      <c r="O957" s="189">
        <f>IFERROR(__xludf.DUMMYFUNCTION("""COMPUTED_VALUE"""),708.0)</f>
        <v>708</v>
      </c>
      <c r="P957" s="189">
        <f>IFERROR(__xludf.DUMMYFUNCTION("""COMPUTED_VALUE"""),729.0)</f>
        <v>729</v>
      </c>
      <c r="Q957" s="189">
        <f>IFERROR(__xludf.DUMMYFUNCTION("""COMPUTED_VALUE"""),734.0)</f>
        <v>734</v>
      </c>
      <c r="R957" s="186"/>
      <c r="S957" s="189">
        <f>IFERROR(__xludf.DUMMYFUNCTION("""COMPUTED_VALUE"""),658.0)</f>
        <v>658</v>
      </c>
    </row>
    <row r="958">
      <c r="A958" s="186" t="str">
        <f>IFERROR(__xludf.DUMMYFUNCTION("""COMPUTED_VALUE"""),"DE")</f>
        <v>DE</v>
      </c>
      <c r="B958" s="186" t="str">
        <f>IFERROR(__xludf.DUMMYFUNCTION("""COMPUTED_VALUE"""),"W17")</f>
        <v>W17</v>
      </c>
      <c r="C958" s="186">
        <f>IFERROR(__xludf.DUMMYFUNCTION("""COMPUTED_VALUE"""),316.0)</f>
        <v>316</v>
      </c>
      <c r="D958" s="186" t="str">
        <f>IFERROR(__xludf.DUMMYFUNCTION("""COMPUTED_VALUE"""),"CON-00-136623-3")</f>
        <v>CON-00-136623-3</v>
      </c>
      <c r="E958" s="186" t="str">
        <f>IFERROR(__xludf.DUMMYFUNCTION("""COMPUTED_VALUE"""),"Indian style butter chicken")</f>
        <v>Indian style butter chicken</v>
      </c>
      <c r="F958" s="186" t="str">
        <f>IFERROR(__xludf.DUMMYFUNCTION("""COMPUTED_VALUE"""),"Indisches Butterhuhn")</f>
        <v>Indisches Butterhuhn</v>
      </c>
      <c r="G958" s="186" t="str">
        <f>IFERROR(__xludf.DUMMYFUNCTION("""COMPUTED_VALUE"""),"FE0472B")</f>
        <v>FE0472B</v>
      </c>
      <c r="H958" s="186">
        <f>IFERROR(__xludf.DUMMYFUNCTION("""COMPUTED_VALUE"""),565145.0)</f>
        <v>565145</v>
      </c>
      <c r="I958" s="186" t="str">
        <f>IFERROR(__xludf.DUMMYFUNCTION("""COMPUTED_VALUE"""),"HF RW Butter Chicken")</f>
        <v>HF RW Butter Chicken</v>
      </c>
      <c r="J958" s="189">
        <f>IFERROR(__xludf.DUMMYFUNCTION("""COMPUTED_VALUE"""),55.0)</f>
        <v>55</v>
      </c>
      <c r="K958" s="189">
        <f>IFERROR(__xludf.DUMMYFUNCTION("""COMPUTED_VALUE"""),57.0)</f>
        <v>57</v>
      </c>
      <c r="L958" s="189">
        <f>IFERROR(__xludf.DUMMYFUNCTION("""COMPUTED_VALUE"""),33.0)</f>
        <v>33</v>
      </c>
      <c r="M958" s="189">
        <f>IFERROR(__xludf.DUMMYFUNCTION("""COMPUTED_VALUE"""),663.0)</f>
        <v>663</v>
      </c>
      <c r="N958" s="189">
        <f>IFERROR(__xludf.DUMMYFUNCTION("""COMPUTED_VALUE"""),666.0)</f>
        <v>666</v>
      </c>
      <c r="O958" s="189">
        <f>IFERROR(__xludf.DUMMYFUNCTION("""COMPUTED_VALUE"""),695.0)</f>
        <v>695</v>
      </c>
      <c r="P958" s="189">
        <f>IFERROR(__xludf.DUMMYFUNCTION("""COMPUTED_VALUE"""),735.0)</f>
        <v>735</v>
      </c>
      <c r="Q958" s="189">
        <f>IFERROR(__xludf.DUMMYFUNCTION("""COMPUTED_VALUE"""),816.0)</f>
        <v>816</v>
      </c>
      <c r="R958" s="186"/>
      <c r="S958" s="189">
        <f>IFERROR(__xludf.DUMMYFUNCTION("""COMPUTED_VALUE"""),774.0)</f>
        <v>774</v>
      </c>
    </row>
    <row r="959">
      <c r="A959" s="186" t="str">
        <f>IFERROR(__xludf.DUMMYFUNCTION("""COMPUTED_VALUE"""),"DE")</f>
        <v>DE</v>
      </c>
      <c r="B959" s="186" t="str">
        <f>IFERROR(__xludf.DUMMYFUNCTION("""COMPUTED_VALUE"""),"W17")</f>
        <v>W17</v>
      </c>
      <c r="C959" s="186">
        <f>IFERROR(__xludf.DUMMYFUNCTION("""COMPUTED_VALUE"""),317.0)</f>
        <v>317</v>
      </c>
      <c r="D959" s="186" t="str">
        <f>IFERROR(__xludf.DUMMYFUNCTION("""COMPUTED_VALUE"""),"CON-00-136670-3")</f>
        <v>CON-00-136670-3</v>
      </c>
      <c r="E959" s="186" t="str">
        <f>IFERROR(__xludf.DUMMYFUNCTION("""COMPUTED_VALUE"""),"Grilled pork tenderloin and tomato butter")</f>
        <v>Grilled pork tenderloin and tomato butter</v>
      </c>
      <c r="F959" s="186" t="str">
        <f>IFERROR(__xludf.DUMMYFUNCTION("""COMPUTED_VALUE"""),"Gegrilltes Schweinefilet mit Tomatenbutter")</f>
        <v>Gegrilltes Schweinefilet mit Tomatenbutter</v>
      </c>
      <c r="G959" s="186" t="str">
        <f>IFERROR(__xludf.DUMMYFUNCTION("""COMPUTED_VALUE"""),"FE4010B")</f>
        <v>FE4010B</v>
      </c>
      <c r="H959" s="186">
        <f>IFERROR(__xludf.DUMMYFUNCTION("""COMPUTED_VALUE"""),565138.0)</f>
        <v>565138</v>
      </c>
      <c r="I959" s="186"/>
      <c r="J959" s="189">
        <f>IFERROR(__xludf.DUMMYFUNCTION("""COMPUTED_VALUE"""),933.0)</f>
        <v>933</v>
      </c>
      <c r="K959" s="189">
        <f>IFERROR(__xludf.DUMMYFUNCTION("""COMPUTED_VALUE"""),810.0)</f>
        <v>810</v>
      </c>
      <c r="L959" s="189">
        <f>IFERROR(__xludf.DUMMYFUNCTION("""COMPUTED_VALUE"""),655.0)</f>
        <v>655</v>
      </c>
      <c r="M959" s="189">
        <f>IFERROR(__xludf.DUMMYFUNCTION("""COMPUTED_VALUE"""),892.0)</f>
        <v>892</v>
      </c>
      <c r="N959" s="189">
        <f>IFERROR(__xludf.DUMMYFUNCTION("""COMPUTED_VALUE"""),1013.0)</f>
        <v>1013</v>
      </c>
      <c r="O959" s="189">
        <f>IFERROR(__xludf.DUMMYFUNCTION("""COMPUTED_VALUE"""),1071.0)</f>
        <v>1071</v>
      </c>
      <c r="P959" s="189">
        <f>IFERROR(__xludf.DUMMYFUNCTION("""COMPUTED_VALUE"""),1095.0)</f>
        <v>1095</v>
      </c>
      <c r="Q959" s="189">
        <f>IFERROR(__xludf.DUMMYFUNCTION("""COMPUTED_VALUE"""),1114.0)</f>
        <v>1114</v>
      </c>
      <c r="R959" s="186"/>
      <c r="S959" s="189">
        <f>IFERROR(__xludf.DUMMYFUNCTION("""COMPUTED_VALUE"""),1130.0)</f>
        <v>1130</v>
      </c>
    </row>
    <row r="960">
      <c r="A960" s="186" t="str">
        <f>IFERROR(__xludf.DUMMYFUNCTION("""COMPUTED_VALUE"""),"DE")</f>
        <v>DE</v>
      </c>
      <c r="B960" s="186" t="str">
        <f>IFERROR(__xludf.DUMMYFUNCTION("""COMPUTED_VALUE"""),"W17")</f>
        <v>W17</v>
      </c>
      <c r="C960" s="186">
        <f>IFERROR(__xludf.DUMMYFUNCTION("""COMPUTED_VALUE"""),318.0)</f>
        <v>318</v>
      </c>
      <c r="D960" s="186" t="str">
        <f>IFERROR(__xludf.DUMMYFUNCTION("""COMPUTED_VALUE"""),"CON-00-136717-3")</f>
        <v>CON-00-136717-3</v>
      </c>
      <c r="E960" s="186" t="str">
        <f>IFERROR(__xludf.DUMMYFUNCTION("""COMPUTED_VALUE"""),"Pork tenderloin and Mediterranean mash")</f>
        <v>Pork tenderloin and Mediterranean mash</v>
      </c>
      <c r="F960" s="186" t="str">
        <f>IFERROR(__xludf.DUMMYFUNCTION("""COMPUTED_VALUE"""),"Schweinefilet auf mediterranem Püree")</f>
        <v>Schweinefilet auf mediterranem Püree</v>
      </c>
      <c r="G960" s="186" t="str">
        <f>IFERROR(__xludf.DUMMYFUNCTION("""COMPUTED_VALUE"""),"FE4042A")</f>
        <v>FE4042A</v>
      </c>
      <c r="H960" s="186">
        <f>IFERROR(__xludf.DUMMYFUNCTION("""COMPUTED_VALUE"""),565109.0)</f>
        <v>565109</v>
      </c>
      <c r="I960" s="186"/>
      <c r="J960" s="189">
        <f>IFERROR(__xludf.DUMMYFUNCTION("""COMPUTED_VALUE"""),483.0)</f>
        <v>483</v>
      </c>
      <c r="K960" s="189">
        <f>IFERROR(__xludf.DUMMYFUNCTION("""COMPUTED_VALUE"""),430.0)</f>
        <v>430</v>
      </c>
      <c r="L960" s="189">
        <f>IFERROR(__xludf.DUMMYFUNCTION("""COMPUTED_VALUE"""),354.0)</f>
        <v>354</v>
      </c>
      <c r="M960" s="189">
        <f>IFERROR(__xludf.DUMMYFUNCTION("""COMPUTED_VALUE"""),473.0)</f>
        <v>473</v>
      </c>
      <c r="N960" s="189">
        <f>IFERROR(__xludf.DUMMYFUNCTION("""COMPUTED_VALUE"""),468.0)</f>
        <v>468</v>
      </c>
      <c r="O960" s="189">
        <f>IFERROR(__xludf.DUMMYFUNCTION("""COMPUTED_VALUE"""),512.0)</f>
        <v>512</v>
      </c>
      <c r="P960" s="189">
        <f>IFERROR(__xludf.DUMMYFUNCTION("""COMPUTED_VALUE"""),530.0)</f>
        <v>530</v>
      </c>
      <c r="Q960" s="189">
        <f>IFERROR(__xludf.DUMMYFUNCTION("""COMPUTED_VALUE"""),542.0)</f>
        <v>542</v>
      </c>
      <c r="R960" s="186"/>
      <c r="S960" s="189">
        <f>IFERROR(__xludf.DUMMYFUNCTION("""COMPUTED_VALUE"""),543.0)</f>
        <v>543</v>
      </c>
    </row>
    <row r="961">
      <c r="A961" s="186" t="str">
        <f>IFERROR(__xludf.DUMMYFUNCTION("""COMPUTED_VALUE"""),"DE")</f>
        <v>DE</v>
      </c>
      <c r="B961" s="186" t="str">
        <f>IFERROR(__xludf.DUMMYFUNCTION("""COMPUTED_VALUE"""),"W17")</f>
        <v>W17</v>
      </c>
      <c r="C961" s="186">
        <f>IFERROR(__xludf.DUMMYFUNCTION("""COMPUTED_VALUE"""),206.0)</f>
        <v>206</v>
      </c>
      <c r="D961" s="186" t="str">
        <f>IFERROR(__xludf.DUMMYFUNCTION("""COMPUTED_VALUE"""),"PTN-00-136930-3")</f>
        <v>PTN-00-136930-3</v>
      </c>
      <c r="E961" s="186" t="str">
        <f>IFERROR(__xludf.DUMMYFUNCTION("""COMPUTED_VALUE"""),"Garlic Herb Grilled Chicken")</f>
        <v>Garlic Herb Grilled Chicken</v>
      </c>
      <c r="F961" s="186" t="str">
        <f>IFERROR(__xludf.DUMMYFUNCTION("""COMPUTED_VALUE"""),"Gegrilltes Hähnchen mit Knoblauch-Kräutern")</f>
        <v>Gegrilltes Hähnchen mit Knoblauch-Kräutern</v>
      </c>
      <c r="G961" s="186" t="str">
        <f>IFERROR(__xludf.DUMMYFUNCTION("""COMPUTED_VALUE"""),"FEA006A")</f>
        <v>FEA006A</v>
      </c>
      <c r="H961" s="186">
        <f>IFERROR(__xludf.DUMMYFUNCTION("""COMPUTED_VALUE"""),565119.0)</f>
        <v>565119</v>
      </c>
      <c r="I961" s="186"/>
      <c r="J961" s="189">
        <f>IFERROR(__xludf.DUMMYFUNCTION("""COMPUTED_VALUE"""),79.0)</f>
        <v>79</v>
      </c>
      <c r="K961" s="189">
        <f>IFERROR(__xludf.DUMMYFUNCTION("""COMPUTED_VALUE"""),67.0)</f>
        <v>67</v>
      </c>
      <c r="L961" s="189">
        <f>IFERROR(__xludf.DUMMYFUNCTION("""COMPUTED_VALUE"""),67.0)</f>
        <v>67</v>
      </c>
      <c r="M961" s="189">
        <f>IFERROR(__xludf.DUMMYFUNCTION("""COMPUTED_VALUE"""),79.0)</f>
        <v>79</v>
      </c>
      <c r="N961" s="189">
        <f>IFERROR(__xludf.DUMMYFUNCTION("""COMPUTED_VALUE"""),79.0)</f>
        <v>79</v>
      </c>
      <c r="O961" s="189">
        <f>IFERROR(__xludf.DUMMYFUNCTION("""COMPUTED_VALUE"""),79.0)</f>
        <v>79</v>
      </c>
      <c r="P961" s="189">
        <f>IFERROR(__xludf.DUMMYFUNCTION("""COMPUTED_VALUE"""),79.0)</f>
        <v>79</v>
      </c>
      <c r="Q961" s="189">
        <f>IFERROR(__xludf.DUMMYFUNCTION("""COMPUTED_VALUE"""),79.0)</f>
        <v>79</v>
      </c>
      <c r="R961" s="186"/>
      <c r="S961" s="189">
        <f>IFERROR(__xludf.DUMMYFUNCTION("""COMPUTED_VALUE"""),33.0)</f>
        <v>33</v>
      </c>
    </row>
    <row r="962">
      <c r="A962" s="186" t="str">
        <f>IFERROR(__xludf.DUMMYFUNCTION("""COMPUTED_VALUE"""),"DE")</f>
        <v>DE</v>
      </c>
      <c r="B962" s="186" t="str">
        <f>IFERROR(__xludf.DUMMYFUNCTION("""COMPUTED_VALUE"""),"W17")</f>
        <v>W17</v>
      </c>
      <c r="C962" s="186"/>
      <c r="D962" s="186"/>
      <c r="E962" s="186"/>
      <c r="F962" s="186"/>
      <c r="G962" s="186"/>
      <c r="H962" s="186"/>
      <c r="I962" s="186"/>
      <c r="J962" s="189">
        <f>IFERROR(__xludf.DUMMYFUNCTION("""COMPUTED_VALUE"""),15923.0)</f>
        <v>15923</v>
      </c>
      <c r="K962" s="189">
        <f>IFERROR(__xludf.DUMMYFUNCTION("""COMPUTED_VALUE"""),14624.0)</f>
        <v>14624</v>
      </c>
      <c r="L962" s="189">
        <f>IFERROR(__xludf.DUMMYFUNCTION("""COMPUTED_VALUE"""),14718.0)</f>
        <v>14718</v>
      </c>
      <c r="M962" s="189">
        <f>IFERROR(__xludf.DUMMYFUNCTION("""COMPUTED_VALUE"""),16869.0)</f>
        <v>16869</v>
      </c>
      <c r="N962" s="189">
        <f>IFERROR(__xludf.DUMMYFUNCTION("""COMPUTED_VALUE"""),22218.0)</f>
        <v>22218</v>
      </c>
      <c r="O962" s="189">
        <f>IFERROR(__xludf.DUMMYFUNCTION("""COMPUTED_VALUE"""),23077.0)</f>
        <v>23077</v>
      </c>
      <c r="P962" s="189">
        <f>IFERROR(__xludf.DUMMYFUNCTION("""COMPUTED_VALUE"""),23240.0)</f>
        <v>23240</v>
      </c>
      <c r="Q962" s="189">
        <f>IFERROR(__xludf.DUMMYFUNCTION("""COMPUTED_VALUE"""),23391.0)</f>
        <v>23391</v>
      </c>
      <c r="R962" s="189">
        <f>IFERROR(__xludf.DUMMYFUNCTION("""COMPUTED_VALUE"""),0.0)</f>
        <v>0</v>
      </c>
      <c r="S962" s="189">
        <f>IFERROR(__xludf.DUMMYFUNCTION("""COMPUTED_VALUE"""),23680.0)</f>
        <v>23680</v>
      </c>
    </row>
    <row r="963">
      <c r="A963" s="186" t="str">
        <f>IFERROR(__xludf.DUMMYFUNCTION("""COMPUTED_VALUE"""),"NORDICS")</f>
        <v>NORDICS</v>
      </c>
      <c r="B963" s="186" t="str">
        <f>IFERROR(__xludf.DUMMYFUNCTION("""COMPUTED_VALUE"""),"W18")</f>
        <v>W18</v>
      </c>
      <c r="C963" s="186">
        <f>IFERROR(__xludf.DUMMYFUNCTION("""COMPUTED_VALUE"""),601.0)</f>
        <v>601</v>
      </c>
      <c r="D963" s="186" t="str">
        <f>IFERROR(__xludf.DUMMYFUNCTION("""COMPUTED_VALUE"""),"CON-00-147840-2")</f>
        <v>CON-00-147840-2</v>
      </c>
      <c r="E963" s="186" t="str">
        <f>IFERROR(__xludf.DUMMYFUNCTION("""COMPUTED_VALUE"""),"Grilled chicken fillet and potato leek mash")</f>
        <v>Grilled chicken fillet and potato leek mash</v>
      </c>
      <c r="F963" s="186" t="str">
        <f>IFERROR(__xludf.DUMMYFUNCTION("""COMPUTED_VALUE"""),"Grillet kyllingefilet og kartoffel-porremos")</f>
        <v>Grillet kyllingefilet og kartoffel-porremos</v>
      </c>
      <c r="G963" s="186" t="str">
        <f>IFERROR(__xludf.DUMMYFUNCTION("""COMPUTED_VALUE"""),"FE0426C")</f>
        <v>FE0426C</v>
      </c>
      <c r="H963" s="186">
        <f>IFERROR(__xludf.DUMMYFUNCTION("""COMPUTED_VALUE"""),565300.0)</f>
        <v>565300</v>
      </c>
      <c r="I963" s="186" t="str">
        <f>IFERROR(__xludf.DUMMYFUNCTION("""COMPUTED_VALUE"""),"HF RW Kip aardappel prei puree")</f>
        <v>HF RW Kip aardappel prei puree</v>
      </c>
      <c r="J963" s="189">
        <f>IFERROR(__xludf.DUMMYFUNCTION("""COMPUTED_VALUE"""),3707.0)</f>
        <v>3707</v>
      </c>
      <c r="K963" s="189">
        <f>IFERROR(__xludf.DUMMYFUNCTION("""COMPUTED_VALUE"""),3480.0)</f>
        <v>3480</v>
      </c>
      <c r="L963" s="189">
        <f>IFERROR(__xludf.DUMMYFUNCTION("""COMPUTED_VALUE"""),3257.0)</f>
        <v>3257</v>
      </c>
      <c r="M963" s="189">
        <f>IFERROR(__xludf.DUMMYFUNCTION("""COMPUTED_VALUE"""),3800.0)</f>
        <v>3800</v>
      </c>
      <c r="N963" s="189">
        <f>IFERROR(__xludf.DUMMYFUNCTION("""COMPUTED_VALUE"""),3938.0)</f>
        <v>3938</v>
      </c>
      <c r="O963" s="189">
        <f>IFERROR(__xludf.DUMMYFUNCTION("""COMPUTED_VALUE"""),3895.0)</f>
        <v>3895</v>
      </c>
      <c r="P963" s="189">
        <f>IFERROR(__xludf.DUMMYFUNCTION("""COMPUTED_VALUE"""),3787.0)</f>
        <v>3787</v>
      </c>
      <c r="Q963" s="189">
        <f>IFERROR(__xludf.DUMMYFUNCTION("""COMPUTED_VALUE"""),3724.0)</f>
        <v>3724</v>
      </c>
      <c r="R963" s="186"/>
      <c r="S963" s="189">
        <f>IFERROR(__xludf.DUMMYFUNCTION("""COMPUTED_VALUE"""),3610.0)</f>
        <v>3610</v>
      </c>
    </row>
    <row r="964">
      <c r="A964" s="186" t="str">
        <f>IFERROR(__xludf.DUMMYFUNCTION("""COMPUTED_VALUE"""),"NORDICS")</f>
        <v>NORDICS</v>
      </c>
      <c r="B964" s="186" t="str">
        <f>IFERROR(__xludf.DUMMYFUNCTION("""COMPUTED_VALUE"""),"W18")</f>
        <v>W18</v>
      </c>
      <c r="C964" s="186">
        <f>IFERROR(__xludf.DUMMYFUNCTION("""COMPUTED_VALUE"""),602.0)</f>
        <v>602</v>
      </c>
      <c r="D964" s="186" t="str">
        <f>IFERROR(__xludf.DUMMYFUNCTION("""COMPUTED_VALUE"""),"CON-00-147853-2")</f>
        <v>CON-00-147853-2</v>
      </c>
      <c r="E964" s="186" t="str">
        <f>IFERROR(__xludf.DUMMYFUNCTION("""COMPUTED_VALUE"""),"Mushroom Chicken &amp; Rice")</f>
        <v>Mushroom Chicken &amp; Rice</v>
      </c>
      <c r="F964" s="186" t="str">
        <f>IFERROR(__xludf.DUMMYFUNCTION("""COMPUTED_VALUE"""),"Kylling med svampe og ris ")</f>
        <v>Kylling med svampe og ris </v>
      </c>
      <c r="G964" s="186" t="str">
        <f>IFERROR(__xludf.DUMMYFUNCTION("""COMPUTED_VALUE"""),"FE0628C")</f>
        <v>FE0628C</v>
      </c>
      <c r="H964" s="186">
        <f>IFERROR(__xludf.DUMMYFUNCTION("""COMPUTED_VALUE"""),565135.0)</f>
        <v>565135</v>
      </c>
      <c r="I964" s="186" t="str">
        <f>IFERROR(__xludf.DUMMYFUNCTION("""COMPUTED_VALUE"""),"HF Kip met champig wilde rijst")</f>
        <v>HF Kip met champig wilde rijst</v>
      </c>
      <c r="J964" s="189">
        <f>IFERROR(__xludf.DUMMYFUNCTION("""COMPUTED_VALUE"""),2352.0)</f>
        <v>2352</v>
      </c>
      <c r="K964" s="189">
        <f>IFERROR(__xludf.DUMMYFUNCTION("""COMPUTED_VALUE"""),2246.0)</f>
        <v>2246</v>
      </c>
      <c r="L964" s="189">
        <f>IFERROR(__xludf.DUMMYFUNCTION("""COMPUTED_VALUE"""),2434.0)</f>
        <v>2434</v>
      </c>
      <c r="M964" s="189">
        <f>IFERROR(__xludf.DUMMYFUNCTION("""COMPUTED_VALUE"""),2306.0)</f>
        <v>2306</v>
      </c>
      <c r="N964" s="189">
        <f>IFERROR(__xludf.DUMMYFUNCTION("""COMPUTED_VALUE"""),2394.0)</f>
        <v>2394</v>
      </c>
      <c r="O964" s="189">
        <f>IFERROR(__xludf.DUMMYFUNCTION("""COMPUTED_VALUE"""),2317.0)</f>
        <v>2317</v>
      </c>
      <c r="P964" s="189">
        <f>IFERROR(__xludf.DUMMYFUNCTION("""COMPUTED_VALUE"""),2285.0)</f>
        <v>2285</v>
      </c>
      <c r="Q964" s="189">
        <f>IFERROR(__xludf.DUMMYFUNCTION("""COMPUTED_VALUE"""),2225.0)</f>
        <v>2225</v>
      </c>
      <c r="R964" s="186"/>
      <c r="S964" s="189">
        <f>IFERROR(__xludf.DUMMYFUNCTION("""COMPUTED_VALUE"""),2270.0)</f>
        <v>2270</v>
      </c>
    </row>
    <row r="965">
      <c r="A965" s="186" t="str">
        <f>IFERROR(__xludf.DUMMYFUNCTION("""COMPUTED_VALUE"""),"NORDICS")</f>
        <v>NORDICS</v>
      </c>
      <c r="B965" s="186" t="str">
        <f>IFERROR(__xludf.DUMMYFUNCTION("""COMPUTED_VALUE"""),"W18")</f>
        <v>W18</v>
      </c>
      <c r="C965" s="186">
        <f>IFERROR(__xludf.DUMMYFUNCTION("""COMPUTED_VALUE"""),603.0)</f>
        <v>603</v>
      </c>
      <c r="D965" s="186" t="str">
        <f>IFERROR(__xludf.DUMMYFUNCTION("""COMPUTED_VALUE"""),"CON-00-147906-2")</f>
        <v>CON-00-147906-2</v>
      </c>
      <c r="E965" s="186" t="str">
        <f>IFERROR(__xludf.DUMMYFUNCTION("""COMPUTED_VALUE"""),"Cheddar pulled beef")</f>
        <v>Cheddar pulled beef</v>
      </c>
      <c r="F965" s="186" t="str">
        <f>IFERROR(__xludf.DUMMYFUNCTION("""COMPUTED_VALUE"""),"Pulled beef med cheddar")</f>
        <v>Pulled beef med cheddar</v>
      </c>
      <c r="G965" s="186" t="str">
        <f>IFERROR(__xludf.DUMMYFUNCTION("""COMPUTED_VALUE"""),"FE4063A")</f>
        <v>FE4063A</v>
      </c>
      <c r="H965" s="186">
        <f>IFERROR(__xludf.DUMMYFUNCTION("""COMPUTED_VALUE"""),565136.0)</f>
        <v>565136</v>
      </c>
      <c r="I965" s="186"/>
      <c r="J965" s="189">
        <f>IFERROR(__xludf.DUMMYFUNCTION("""COMPUTED_VALUE"""),0.0)</f>
        <v>0</v>
      </c>
      <c r="K965" s="189">
        <f>IFERROR(__xludf.DUMMYFUNCTION("""COMPUTED_VALUE"""),0.0)</f>
        <v>0</v>
      </c>
      <c r="L965" s="189">
        <f>IFERROR(__xludf.DUMMYFUNCTION("""COMPUTED_VALUE"""),189.0)</f>
        <v>189</v>
      </c>
      <c r="M965" s="189">
        <f>IFERROR(__xludf.DUMMYFUNCTION("""COMPUTED_VALUE"""),1562.0)</f>
        <v>1562</v>
      </c>
      <c r="N965" s="189">
        <f>IFERROR(__xludf.DUMMYFUNCTION("""COMPUTED_VALUE"""),2347.0)</f>
        <v>2347</v>
      </c>
      <c r="O965" s="189">
        <f>IFERROR(__xludf.DUMMYFUNCTION("""COMPUTED_VALUE"""),2257.0)</f>
        <v>2257</v>
      </c>
      <c r="P965" s="189">
        <f>IFERROR(__xludf.DUMMYFUNCTION("""COMPUTED_VALUE"""),2155.0)</f>
        <v>2155</v>
      </c>
      <c r="Q965" s="189">
        <f>IFERROR(__xludf.DUMMYFUNCTION("""COMPUTED_VALUE"""),2096.0)</f>
        <v>2096</v>
      </c>
      <c r="R965" s="186"/>
      <c r="S965" s="189">
        <f>IFERROR(__xludf.DUMMYFUNCTION("""COMPUTED_VALUE"""),1980.0)</f>
        <v>1980</v>
      </c>
    </row>
    <row r="966">
      <c r="A966" s="186" t="str">
        <f>IFERROR(__xludf.DUMMYFUNCTION("""COMPUTED_VALUE"""),"NORDICS")</f>
        <v>NORDICS</v>
      </c>
      <c r="B966" s="186" t="str">
        <f>IFERROR(__xludf.DUMMYFUNCTION("""COMPUTED_VALUE"""),"W18")</f>
        <v>W18</v>
      </c>
      <c r="C966" s="186">
        <f>IFERROR(__xludf.DUMMYFUNCTION("""COMPUTED_VALUE"""),604.0)</f>
        <v>604</v>
      </c>
      <c r="D966" s="186" t="str">
        <f>IFERROR(__xludf.DUMMYFUNCTION("""COMPUTED_VALUE"""),"CON-00-147888-2")</f>
        <v>CON-00-147888-2</v>
      </c>
      <c r="E966" s="186" t="str">
        <f>IFERROR(__xludf.DUMMYFUNCTION("""COMPUTED_VALUE"""),"Beef &amp; BBQ sauce")</f>
        <v>Beef &amp; BBQ sauce</v>
      </c>
      <c r="F966" s="186" t="str">
        <f>IFERROR(__xludf.DUMMYFUNCTION("""COMPUTED_VALUE"""),"Pulled beef med BBQ sauce")</f>
        <v>Pulled beef med BBQ sauce</v>
      </c>
      <c r="G966" s="186" t="str">
        <f>IFERROR(__xludf.DUMMYFUNCTION("""COMPUTED_VALUE"""),"FE4027B")</f>
        <v>FE4027B</v>
      </c>
      <c r="H966" s="186">
        <f>IFERROR(__xludf.DUMMYFUNCTION("""COMPUTED_VALUE"""),565142.0)</f>
        <v>565142</v>
      </c>
      <c r="I966" s="186" t="str">
        <f>IFERROR(__xludf.DUMMYFUNCTION("""COMPUTED_VALUE"""),"HF RW Rundvlees &amp; BBQ saus RW565085 / FE4027A / CS P+")</f>
        <v>HF RW Rundvlees &amp; BBQ saus RW565085 / FE4027A / CS P+</v>
      </c>
      <c r="J966" s="189">
        <f>IFERROR(__xludf.DUMMYFUNCTION("""COMPUTED_VALUE"""),3193.0)</f>
        <v>3193</v>
      </c>
      <c r="K966" s="189">
        <f>IFERROR(__xludf.DUMMYFUNCTION("""COMPUTED_VALUE"""),3032.0)</f>
        <v>3032</v>
      </c>
      <c r="L966" s="189">
        <f>IFERROR(__xludf.DUMMYFUNCTION("""COMPUTED_VALUE"""),2965.0)</f>
        <v>2965</v>
      </c>
      <c r="M966" s="189">
        <f>IFERROR(__xludf.DUMMYFUNCTION("""COMPUTED_VALUE"""),2943.0)</f>
        <v>2943</v>
      </c>
      <c r="N966" s="189">
        <f>IFERROR(__xludf.DUMMYFUNCTION("""COMPUTED_VALUE"""),3030.0)</f>
        <v>3030</v>
      </c>
      <c r="O966" s="189">
        <f>IFERROR(__xludf.DUMMYFUNCTION("""COMPUTED_VALUE"""),2976.0)</f>
        <v>2976</v>
      </c>
      <c r="P966" s="189">
        <f>IFERROR(__xludf.DUMMYFUNCTION("""COMPUTED_VALUE"""),2871.0)</f>
        <v>2871</v>
      </c>
      <c r="Q966" s="189">
        <f>IFERROR(__xludf.DUMMYFUNCTION("""COMPUTED_VALUE"""),2807.0)</f>
        <v>2807</v>
      </c>
      <c r="R966" s="186"/>
      <c r="S966" s="189">
        <f>IFERROR(__xludf.DUMMYFUNCTION("""COMPUTED_VALUE"""),2721.0)</f>
        <v>2721</v>
      </c>
    </row>
    <row r="967">
      <c r="A967" s="186" t="str">
        <f>IFERROR(__xludf.DUMMYFUNCTION("""COMPUTED_VALUE"""),"NORDICS")</f>
        <v>NORDICS</v>
      </c>
      <c r="B967" s="186" t="str">
        <f>IFERROR(__xludf.DUMMYFUNCTION("""COMPUTED_VALUE"""),"W18")</f>
        <v>W18</v>
      </c>
      <c r="C967" s="186">
        <f>IFERROR(__xludf.DUMMYFUNCTION("""COMPUTED_VALUE"""),605.0)</f>
        <v>605</v>
      </c>
      <c r="D967" s="186" t="str">
        <f>IFERROR(__xludf.DUMMYFUNCTION("""COMPUTED_VALUE"""),"CON-00-147878-2")</f>
        <v>CON-00-147878-2</v>
      </c>
      <c r="E967" s="186" t="str">
        <f>IFERROR(__xludf.DUMMYFUNCTION("""COMPUTED_VALUE"""),"Grilled chicken and ratatouille")</f>
        <v>Grilled chicken and ratatouille</v>
      </c>
      <c r="F967" s="186" t="str">
        <f>IFERROR(__xludf.DUMMYFUNCTION("""COMPUTED_VALUE"""),"Grillet kylling med ratatouille")</f>
        <v>Grillet kylling med ratatouille</v>
      </c>
      <c r="G967" s="186" t="str">
        <f>IFERROR(__xludf.DUMMYFUNCTION("""COMPUTED_VALUE"""),"FE4015B")</f>
        <v>FE4015B</v>
      </c>
      <c r="H967" s="186">
        <f>IFERROR(__xludf.DUMMYFUNCTION("""COMPUTED_VALUE"""),565072.0)</f>
        <v>565072</v>
      </c>
      <c r="I967" s="186" t="str">
        <f>IFERROR(__xludf.DUMMYFUNCTION("""COMPUTED_VALUE"""),"HF Kipfilet met Ratatouille")</f>
        <v>HF Kipfilet met Ratatouille</v>
      </c>
      <c r="J967" s="189">
        <f>IFERROR(__xludf.DUMMYFUNCTION("""COMPUTED_VALUE"""),1739.0)</f>
        <v>1739</v>
      </c>
      <c r="K967" s="189">
        <f>IFERROR(__xludf.DUMMYFUNCTION("""COMPUTED_VALUE"""),1671.0)</f>
        <v>1671</v>
      </c>
      <c r="L967" s="189">
        <f>IFERROR(__xludf.DUMMYFUNCTION("""COMPUTED_VALUE"""),1724.0)</f>
        <v>1724</v>
      </c>
      <c r="M967" s="189">
        <f>IFERROR(__xludf.DUMMYFUNCTION("""COMPUTED_VALUE"""),2014.0)</f>
        <v>2014</v>
      </c>
      <c r="N967" s="189">
        <f>IFERROR(__xludf.DUMMYFUNCTION("""COMPUTED_VALUE"""),2068.0)</f>
        <v>2068</v>
      </c>
      <c r="O967" s="189">
        <f>IFERROR(__xludf.DUMMYFUNCTION("""COMPUTED_VALUE"""),2039.0)</f>
        <v>2039</v>
      </c>
      <c r="P967" s="189">
        <f>IFERROR(__xludf.DUMMYFUNCTION("""COMPUTED_VALUE"""),1975.0)</f>
        <v>1975</v>
      </c>
      <c r="Q967" s="189">
        <f>IFERROR(__xludf.DUMMYFUNCTION("""COMPUTED_VALUE"""),2005.0)</f>
        <v>2005</v>
      </c>
      <c r="R967" s="186"/>
      <c r="S967" s="189">
        <f>IFERROR(__xludf.DUMMYFUNCTION("""COMPUTED_VALUE"""),1862.0)</f>
        <v>1862</v>
      </c>
    </row>
    <row r="968">
      <c r="A968" s="186" t="str">
        <f>IFERROR(__xludf.DUMMYFUNCTION("""COMPUTED_VALUE"""),"NORDICS")</f>
        <v>NORDICS</v>
      </c>
      <c r="B968" s="186" t="str">
        <f>IFERROR(__xludf.DUMMYFUNCTION("""COMPUTED_VALUE"""),"W18")</f>
        <v>W18</v>
      </c>
      <c r="C968" s="186">
        <f>IFERROR(__xludf.DUMMYFUNCTION("""COMPUTED_VALUE"""),606.0)</f>
        <v>606</v>
      </c>
      <c r="D968" s="186" t="str">
        <f>IFERROR(__xludf.DUMMYFUNCTION("""COMPUTED_VALUE"""),"CON-00-147893-2")</f>
        <v>CON-00-147893-2</v>
      </c>
      <c r="E968" s="186" t="str">
        <f>IFERROR(__xludf.DUMMYFUNCTION("""COMPUTED_VALUE"""),"Salmon in creamy gochugaru sauce")</f>
        <v>Salmon in creamy gochugaru sauce</v>
      </c>
      <c r="F968" s="186" t="str">
        <f>IFERROR(__xludf.DUMMYFUNCTION("""COMPUTED_VALUE"""),"Laks i cremet gochugaru sauce")</f>
        <v>Laks i cremet gochugaru sauce</v>
      </c>
      <c r="G968" s="186" t="str">
        <f>IFERROR(__xludf.DUMMYFUNCTION("""COMPUTED_VALUE"""),"FE4039C")</f>
        <v>FE4039C</v>
      </c>
      <c r="H968" s="186">
        <f>IFERROR(__xludf.DUMMYFUNCTION("""COMPUTED_VALUE"""),565102.0)</f>
        <v>565102</v>
      </c>
      <c r="I968" s="186" t="str">
        <f>IFERROR(__xludf.DUMMYFUNCTION("""COMPUTED_VALUE"""),"HF Zalm romige gochugaru sa")</f>
        <v>HF Zalm romige gochugaru sa</v>
      </c>
      <c r="J968" s="189">
        <f>IFERROR(__xludf.DUMMYFUNCTION("""COMPUTED_VALUE"""),0.0)</f>
        <v>0</v>
      </c>
      <c r="K968" s="189">
        <f>IFERROR(__xludf.DUMMYFUNCTION("""COMPUTED_VALUE"""),0.0)</f>
        <v>0</v>
      </c>
      <c r="L968" s="189">
        <f>IFERROR(__xludf.DUMMYFUNCTION("""COMPUTED_VALUE"""),170.0)</f>
        <v>170</v>
      </c>
      <c r="M968" s="189">
        <f>IFERROR(__xludf.DUMMYFUNCTION("""COMPUTED_VALUE"""),902.0)</f>
        <v>902</v>
      </c>
      <c r="N968" s="189">
        <f>IFERROR(__xludf.DUMMYFUNCTION("""COMPUTED_VALUE"""),1902.0)</f>
        <v>1902</v>
      </c>
      <c r="O968" s="189">
        <f>IFERROR(__xludf.DUMMYFUNCTION("""COMPUTED_VALUE"""),1837.0)</f>
        <v>1837</v>
      </c>
      <c r="P968" s="189">
        <f>IFERROR(__xludf.DUMMYFUNCTION("""COMPUTED_VALUE"""),1798.0)</f>
        <v>1798</v>
      </c>
      <c r="Q968" s="189">
        <f>IFERROR(__xludf.DUMMYFUNCTION("""COMPUTED_VALUE"""),1766.0)</f>
        <v>1766</v>
      </c>
      <c r="R968" s="186"/>
      <c r="S968" s="189">
        <f>IFERROR(__xludf.DUMMYFUNCTION("""COMPUTED_VALUE"""),1685.0)</f>
        <v>1685</v>
      </c>
    </row>
    <row r="969">
      <c r="A969" s="186" t="str">
        <f>IFERROR(__xludf.DUMMYFUNCTION("""COMPUTED_VALUE"""),"NORDICS")</f>
        <v>NORDICS</v>
      </c>
      <c r="B969" s="186" t="str">
        <f>IFERROR(__xludf.DUMMYFUNCTION("""COMPUTED_VALUE"""),"W18")</f>
        <v>W18</v>
      </c>
      <c r="C969" s="186">
        <f>IFERROR(__xludf.DUMMYFUNCTION("""COMPUTED_VALUE"""),607.0)</f>
        <v>607</v>
      </c>
      <c r="D969" s="186" t="str">
        <f>IFERROR(__xludf.DUMMYFUNCTION("""COMPUTED_VALUE"""),"CON-00-150821-2")</f>
        <v>CON-00-150821-2</v>
      </c>
      <c r="E969" s="186" t="str">
        <f>IFERROR(__xludf.DUMMYFUNCTION("""COMPUTED_VALUE"""),"Loaded Bacon Shredded Chicken")</f>
        <v>Loaded Bacon Shredded Chicken</v>
      </c>
      <c r="F969" s="186" t="str">
        <f>IFERROR(__xludf.DUMMYFUNCTION("""COMPUTED_VALUE"""),"Pulled chicken med bacon")</f>
        <v>Pulled chicken med bacon</v>
      </c>
      <c r="G969" s="186" t="str">
        <f>IFERROR(__xludf.DUMMYFUNCTION("""COMPUTED_VALUE"""),"FE0794D")</f>
        <v>FE0794D</v>
      </c>
      <c r="H969" s="186">
        <f>IFERROR(__xludf.DUMMYFUNCTION("""COMPUTED_VALUE"""),565156.0)</f>
        <v>565156</v>
      </c>
      <c r="I969" s="186" t="str">
        <f>IFERROR(__xludf.DUMMYFUNCTION("""COMPUTED_VALUE"""),"HF Loaded Bacon Chicken")</f>
        <v>HF Loaded Bacon Chicken</v>
      </c>
      <c r="J969" s="189">
        <f>IFERROR(__xludf.DUMMYFUNCTION("""COMPUTED_VALUE"""),0.0)</f>
        <v>0</v>
      </c>
      <c r="K969" s="189">
        <f>IFERROR(__xludf.DUMMYFUNCTION("""COMPUTED_VALUE"""),0.0)</f>
        <v>0</v>
      </c>
      <c r="L969" s="189">
        <f>IFERROR(__xludf.DUMMYFUNCTION("""COMPUTED_VALUE"""),168.0)</f>
        <v>168</v>
      </c>
      <c r="M969" s="189">
        <f>IFERROR(__xludf.DUMMYFUNCTION("""COMPUTED_VALUE"""),1374.0)</f>
        <v>1374</v>
      </c>
      <c r="N969" s="189">
        <f>IFERROR(__xludf.DUMMYFUNCTION("""COMPUTED_VALUE"""),1468.0)</f>
        <v>1468</v>
      </c>
      <c r="O969" s="189">
        <f>IFERROR(__xludf.DUMMYFUNCTION("""COMPUTED_VALUE"""),1544.0)</f>
        <v>1544</v>
      </c>
      <c r="P969" s="189">
        <f>IFERROR(__xludf.DUMMYFUNCTION("""COMPUTED_VALUE"""),1521.0)</f>
        <v>1521</v>
      </c>
      <c r="Q969" s="189">
        <f>IFERROR(__xludf.DUMMYFUNCTION("""COMPUTED_VALUE"""),1563.0)</f>
        <v>1563</v>
      </c>
      <c r="R969" s="186"/>
      <c r="S969" s="189">
        <f>IFERROR(__xludf.DUMMYFUNCTION("""COMPUTED_VALUE"""),1483.0)</f>
        <v>1483</v>
      </c>
    </row>
    <row r="970">
      <c r="A970" s="186" t="str">
        <f>IFERROR(__xludf.DUMMYFUNCTION("""COMPUTED_VALUE"""),"NORDICS")</f>
        <v>NORDICS</v>
      </c>
      <c r="B970" s="186" t="str">
        <f>IFERROR(__xludf.DUMMYFUNCTION("""COMPUTED_VALUE"""),"W18")</f>
        <v>W18</v>
      </c>
      <c r="C970" s="186">
        <f>IFERROR(__xludf.DUMMYFUNCTION("""COMPUTED_VALUE"""),608.0)</f>
        <v>608</v>
      </c>
      <c r="D970" s="186" t="str">
        <f>IFERROR(__xludf.DUMMYFUNCTION("""COMPUTED_VALUE"""),"CON-00-147825-2")</f>
        <v>CON-00-147825-2</v>
      </c>
      <c r="E970" s="186" t="str">
        <f>IFERROR(__xludf.DUMMYFUNCTION("""COMPUTED_VALUE"""),"Chicken in creamy spinach")</f>
        <v>Chicken in creamy spinach</v>
      </c>
      <c r="F970" s="186" t="str">
        <f>IFERROR(__xludf.DUMMYFUNCTION("""COMPUTED_VALUE"""),"Kylling i cremet spinat")</f>
        <v>Kylling i cremet spinat</v>
      </c>
      <c r="G970" s="186" t="str">
        <f>IFERROR(__xludf.DUMMYFUNCTION("""COMPUTED_VALUE"""),"FE0207I")</f>
        <v>FE0207I</v>
      </c>
      <c r="H970" s="186">
        <f>IFERROR(__xludf.DUMMYFUNCTION("""COMPUTED_VALUE"""),565148.0)</f>
        <v>565148</v>
      </c>
      <c r="I970" s="186" t="str">
        <f>IFERROR(__xludf.DUMMYFUNCTION("""COMPUTED_VALUE"""),"HF RW Kipfilet in rom spinazie")</f>
        <v>HF RW Kipfilet in rom spinazie</v>
      </c>
      <c r="J970" s="189">
        <f>IFERROR(__xludf.DUMMYFUNCTION("""COMPUTED_VALUE"""),1253.0)</f>
        <v>1253</v>
      </c>
      <c r="K970" s="189">
        <f>IFERROR(__xludf.DUMMYFUNCTION("""COMPUTED_VALUE"""),1184.0)</f>
        <v>1184</v>
      </c>
      <c r="L970" s="189">
        <f>IFERROR(__xludf.DUMMYFUNCTION("""COMPUTED_VALUE"""),1133.0)</f>
        <v>1133</v>
      </c>
      <c r="M970" s="189">
        <f>IFERROR(__xludf.DUMMYFUNCTION("""COMPUTED_VALUE"""),1193.0)</f>
        <v>1193</v>
      </c>
      <c r="N970" s="189">
        <f>IFERROR(__xludf.DUMMYFUNCTION("""COMPUTED_VALUE"""),1307.0)</f>
        <v>1307</v>
      </c>
      <c r="O970" s="189">
        <f>IFERROR(__xludf.DUMMYFUNCTION("""COMPUTED_VALUE"""),1312.0)</f>
        <v>1312</v>
      </c>
      <c r="P970" s="189">
        <f>IFERROR(__xludf.DUMMYFUNCTION("""COMPUTED_VALUE"""),1305.0)</f>
        <v>1305</v>
      </c>
      <c r="Q970" s="189">
        <f>IFERROR(__xludf.DUMMYFUNCTION("""COMPUTED_VALUE"""),1253.0)</f>
        <v>1253</v>
      </c>
      <c r="R970" s="186"/>
      <c r="S970" s="189">
        <f>IFERROR(__xludf.DUMMYFUNCTION("""COMPUTED_VALUE"""),1161.0)</f>
        <v>1161</v>
      </c>
    </row>
    <row r="971">
      <c r="A971" s="186" t="str">
        <f>IFERROR(__xludf.DUMMYFUNCTION("""COMPUTED_VALUE"""),"NORDICS")</f>
        <v>NORDICS</v>
      </c>
      <c r="B971" s="186" t="str">
        <f>IFERROR(__xludf.DUMMYFUNCTION("""COMPUTED_VALUE"""),"W18")</f>
        <v>W18</v>
      </c>
      <c r="C971" s="186">
        <f>IFERROR(__xludf.DUMMYFUNCTION("""COMPUTED_VALUE"""),609.0)</f>
        <v>609</v>
      </c>
      <c r="D971" s="186" t="str">
        <f>IFERROR(__xludf.DUMMYFUNCTION("""COMPUTED_VALUE"""),"CON-00-147818-2")</f>
        <v>CON-00-147818-2</v>
      </c>
      <c r="E971" s="186" t="str">
        <f>IFERROR(__xludf.DUMMYFUNCTION("""COMPUTED_VALUE"""),"Mexican style corn cake")</f>
        <v>Mexican style corn cake</v>
      </c>
      <c r="F971" s="186" t="str">
        <f>IFERROR(__xludf.DUMMYFUNCTION("""COMPUTED_VALUE"""),"Mexicansk-inspireret majskage")</f>
        <v>Mexicansk-inspireret majskage</v>
      </c>
      <c r="G971" s="186" t="str">
        <f>IFERROR(__xludf.DUMMYFUNCTION("""COMPUTED_VALUE"""),"FE0121D")</f>
        <v>FE0121D</v>
      </c>
      <c r="H971" s="186">
        <f>IFERROR(__xludf.DUMMYFUNCTION("""COMPUTED_VALUE"""),565299.0)</f>
        <v>565299</v>
      </c>
      <c r="I971" s="186" t="str">
        <f>IFERROR(__xludf.DUMMYFUNCTION("""COMPUTED_VALUE"""),"HF RW Mexcaanse stijl maiscake")</f>
        <v>HF RW Mexcaanse stijl maiscake</v>
      </c>
      <c r="J971" s="189">
        <f>IFERROR(__xludf.DUMMYFUNCTION("""COMPUTED_VALUE"""),272.0)</f>
        <v>272</v>
      </c>
      <c r="K971" s="189">
        <f>IFERROR(__xludf.DUMMYFUNCTION("""COMPUTED_VALUE"""),248.0)</f>
        <v>248</v>
      </c>
      <c r="L971" s="189">
        <f>IFERROR(__xludf.DUMMYFUNCTION("""COMPUTED_VALUE"""),190.0)</f>
        <v>190</v>
      </c>
      <c r="M971" s="189">
        <f>IFERROR(__xludf.DUMMYFUNCTION("""COMPUTED_VALUE"""),238.0)</f>
        <v>238</v>
      </c>
      <c r="N971" s="189">
        <f>IFERROR(__xludf.DUMMYFUNCTION("""COMPUTED_VALUE"""),270.0)</f>
        <v>270</v>
      </c>
      <c r="O971" s="189">
        <f>IFERROR(__xludf.DUMMYFUNCTION("""COMPUTED_VALUE"""),315.0)</f>
        <v>315</v>
      </c>
      <c r="P971" s="189">
        <f>IFERROR(__xludf.DUMMYFUNCTION("""COMPUTED_VALUE"""),325.0)</f>
        <v>325</v>
      </c>
      <c r="Q971" s="189">
        <f>IFERROR(__xludf.DUMMYFUNCTION("""COMPUTED_VALUE"""),312.0)</f>
        <v>312</v>
      </c>
      <c r="R971" s="186"/>
      <c r="S971" s="189">
        <f>IFERROR(__xludf.DUMMYFUNCTION("""COMPUTED_VALUE"""),309.0)</f>
        <v>309</v>
      </c>
    </row>
    <row r="972">
      <c r="A972" s="186" t="str">
        <f>IFERROR(__xludf.DUMMYFUNCTION("""COMPUTED_VALUE"""),"NORDICS")</f>
        <v>NORDICS</v>
      </c>
      <c r="B972" s="186" t="str">
        <f>IFERROR(__xludf.DUMMYFUNCTION("""COMPUTED_VALUE"""),"W18")</f>
        <v>W18</v>
      </c>
      <c r="C972" s="186">
        <f>IFERROR(__xludf.DUMMYFUNCTION("""COMPUTED_VALUE"""),610.0)</f>
        <v>610</v>
      </c>
      <c r="D972" s="186" t="str">
        <f>IFERROR(__xludf.DUMMYFUNCTION("""COMPUTED_VALUE"""),"CON-00-147816-2")</f>
        <v>CON-00-147816-2</v>
      </c>
      <c r="E972" s="186" t="str">
        <f>IFERROR(__xludf.DUMMYFUNCTION("""COMPUTED_VALUE"""),"Creamy tomato risotto")</f>
        <v>Creamy tomato risotto</v>
      </c>
      <c r="F972" s="186" t="str">
        <f>IFERROR(__xludf.DUMMYFUNCTION("""COMPUTED_VALUE"""),"Cremet tomatrisotto")</f>
        <v>Cremet tomatrisotto</v>
      </c>
      <c r="G972" s="186" t="str">
        <f>IFERROR(__xludf.DUMMYFUNCTION("""COMPUTED_VALUE"""),"FE0031C")</f>
        <v>FE0031C</v>
      </c>
      <c r="H972" s="186">
        <f>IFERROR(__xludf.DUMMYFUNCTION("""COMPUTED_VALUE"""),565244.0)</f>
        <v>565244</v>
      </c>
      <c r="I972" s="186" t="str">
        <f>IFERROR(__xludf.DUMMYFUNCTION("""COMPUTED_VALUE"""),"IO HF Romige tomatenrisotto V2")</f>
        <v>IO HF Romige tomatenrisotto V2</v>
      </c>
      <c r="J972" s="189">
        <f>IFERROR(__xludf.DUMMYFUNCTION("""COMPUTED_VALUE"""),253.0)</f>
        <v>253</v>
      </c>
      <c r="K972" s="189">
        <f>IFERROR(__xludf.DUMMYFUNCTION("""COMPUTED_VALUE"""),276.0)</f>
        <v>276</v>
      </c>
      <c r="L972" s="189">
        <f>IFERROR(__xludf.DUMMYFUNCTION("""COMPUTED_VALUE"""),140.0)</f>
        <v>140</v>
      </c>
      <c r="M972" s="189">
        <f>IFERROR(__xludf.DUMMYFUNCTION("""COMPUTED_VALUE"""),287.0)</f>
        <v>287</v>
      </c>
      <c r="N972" s="189">
        <f>IFERROR(__xludf.DUMMYFUNCTION("""COMPUTED_VALUE"""),285.0)</f>
        <v>285</v>
      </c>
      <c r="O972" s="189">
        <f>IFERROR(__xludf.DUMMYFUNCTION("""COMPUTED_VALUE"""),288.0)</f>
        <v>288</v>
      </c>
      <c r="P972" s="189">
        <f>IFERROR(__xludf.DUMMYFUNCTION("""COMPUTED_VALUE"""),296.0)</f>
        <v>296</v>
      </c>
      <c r="Q972" s="189">
        <f>IFERROR(__xludf.DUMMYFUNCTION("""COMPUTED_VALUE"""),335.0)</f>
        <v>335</v>
      </c>
      <c r="R972" s="186"/>
      <c r="S972" s="189">
        <f>IFERROR(__xludf.DUMMYFUNCTION("""COMPUTED_VALUE"""),318.0)</f>
        <v>318</v>
      </c>
    </row>
    <row r="973">
      <c r="A973" s="186" t="str">
        <f>IFERROR(__xludf.DUMMYFUNCTION("""COMPUTED_VALUE"""),"NORDICS")</f>
        <v>NORDICS</v>
      </c>
      <c r="B973" s="186" t="str">
        <f>IFERROR(__xludf.DUMMYFUNCTION("""COMPUTED_VALUE"""),"W18")</f>
        <v>W18</v>
      </c>
      <c r="C973" s="186">
        <f>IFERROR(__xludf.DUMMYFUNCTION("""COMPUTED_VALUE"""),611.0)</f>
        <v>611</v>
      </c>
      <c r="D973" s="186" t="str">
        <f>IFERROR(__xludf.DUMMYFUNCTION("""COMPUTED_VALUE"""),"CON-00-147902-2")</f>
        <v>CON-00-147902-2</v>
      </c>
      <c r="E973" s="186" t="str">
        <f>IFERROR(__xludf.DUMMYFUNCTION("""COMPUTED_VALUE"""),"Creamy leek pork tenderloin")</f>
        <v>Creamy leek pork tenderloin</v>
      </c>
      <c r="F973" s="186" t="str">
        <f>IFERROR(__xludf.DUMMYFUNCTION("""COMPUTED_VALUE"""),"Svinemørbrad med cremet porresauce")</f>
        <v>Svinemørbrad med cremet porresauce</v>
      </c>
      <c r="G973" s="186" t="str">
        <f>IFERROR(__xludf.DUMMYFUNCTION("""COMPUTED_VALUE"""),"FE4048B")</f>
        <v>FE4048B</v>
      </c>
      <c r="H973" s="186">
        <f>IFERROR(__xludf.DUMMYFUNCTION("""COMPUTED_VALUE"""),565293.0)</f>
        <v>565293</v>
      </c>
      <c r="I973" s="186" t="str">
        <f>IFERROR(__xludf.DUMMYFUNCTION("""COMPUTED_VALUE"""),"HF RW Romige prei varkenshaas")</f>
        <v>HF RW Romige prei varkenshaas</v>
      </c>
      <c r="J973" s="189">
        <f>IFERROR(__xludf.DUMMYFUNCTION("""COMPUTED_VALUE"""),418.0)</f>
        <v>418</v>
      </c>
      <c r="K973" s="189">
        <f>IFERROR(__xludf.DUMMYFUNCTION("""COMPUTED_VALUE"""),497.0)</f>
        <v>497</v>
      </c>
      <c r="L973" s="189">
        <f>IFERROR(__xludf.DUMMYFUNCTION("""COMPUTED_VALUE"""),455.0)</f>
        <v>455</v>
      </c>
      <c r="M973" s="189">
        <f>IFERROR(__xludf.DUMMYFUNCTION("""COMPUTED_VALUE"""),466.0)</f>
        <v>466</v>
      </c>
      <c r="N973" s="189">
        <f>IFERROR(__xludf.DUMMYFUNCTION("""COMPUTED_VALUE"""),485.0)</f>
        <v>485</v>
      </c>
      <c r="O973" s="189">
        <f>IFERROR(__xludf.DUMMYFUNCTION("""COMPUTED_VALUE"""),528.0)</f>
        <v>528</v>
      </c>
      <c r="P973" s="189">
        <f>IFERROR(__xludf.DUMMYFUNCTION("""COMPUTED_VALUE"""),547.0)</f>
        <v>547</v>
      </c>
      <c r="Q973" s="189">
        <f>IFERROR(__xludf.DUMMYFUNCTION("""COMPUTED_VALUE"""),560.0)</f>
        <v>560</v>
      </c>
      <c r="R973" s="186"/>
      <c r="S973" s="189">
        <f>IFERROR(__xludf.DUMMYFUNCTION("""COMPUTED_VALUE"""),534.0)</f>
        <v>534</v>
      </c>
    </row>
    <row r="974">
      <c r="A974" s="186" t="str">
        <f>IFERROR(__xludf.DUMMYFUNCTION("""COMPUTED_VALUE"""),"NORDICS")</f>
        <v>NORDICS</v>
      </c>
      <c r="B974" s="186" t="str">
        <f>IFERROR(__xludf.DUMMYFUNCTION("""COMPUTED_VALUE"""),"W18")</f>
        <v>W18</v>
      </c>
      <c r="C974" s="186">
        <f>IFERROR(__xludf.DUMMYFUNCTION("""COMPUTED_VALUE"""),612.0)</f>
        <v>612</v>
      </c>
      <c r="D974" s="186" t="str">
        <f>IFERROR(__xludf.DUMMYFUNCTION("""COMPUTED_VALUE"""),"CON-00-155004-2")</f>
        <v>CON-00-155004-2</v>
      </c>
      <c r="E974" s="186" t="str">
        <f>IFERROR(__xludf.DUMMYFUNCTION("""COMPUTED_VALUE"""),"Tzatziki Salmon &amp; Lemon Rice")</f>
        <v>Tzatziki Salmon &amp; Lemon Rice</v>
      </c>
      <c r="F974" s="186" t="str">
        <f>IFERROR(__xludf.DUMMYFUNCTION("""COMPUTED_VALUE"""),"Laks med tzatziki og citronris")</f>
        <v>Laks med tzatziki og citronris</v>
      </c>
      <c r="G974" s="186" t="str">
        <f>IFERROR(__xludf.DUMMYFUNCTION("""COMPUTED_VALUE"""),"FE1439A")</f>
        <v>FE1439A</v>
      </c>
      <c r="H974" s="186">
        <f>IFERROR(__xludf.DUMMYFUNCTION("""COMPUTED_VALUE"""),565236.0)</f>
        <v>565236</v>
      </c>
      <c r="I974" s="186" t="str">
        <f>IFERROR(__xludf.DUMMYFUNCTION("""COMPUTED_VALUE"""),"HF Zalm met citroen rijst")</f>
        <v>HF Zalm met citroen rijst</v>
      </c>
      <c r="J974" s="189">
        <f>IFERROR(__xludf.DUMMYFUNCTION("""COMPUTED_VALUE"""),0.0)</f>
        <v>0</v>
      </c>
      <c r="K974" s="189">
        <f>IFERROR(__xludf.DUMMYFUNCTION("""COMPUTED_VALUE"""),0.0)</f>
        <v>0</v>
      </c>
      <c r="L974" s="189">
        <f>IFERROR(__xludf.DUMMYFUNCTION("""COMPUTED_VALUE"""),1727.0)</f>
        <v>1727</v>
      </c>
      <c r="M974" s="189">
        <f>IFERROR(__xludf.DUMMYFUNCTION("""COMPUTED_VALUE"""),2090.0)</f>
        <v>2090</v>
      </c>
      <c r="N974" s="189">
        <f>IFERROR(__xludf.DUMMYFUNCTION("""COMPUTED_VALUE"""),1974.0)</f>
        <v>1974</v>
      </c>
      <c r="O974" s="189">
        <f>IFERROR(__xludf.DUMMYFUNCTION("""COMPUTED_VALUE"""),2040.0)</f>
        <v>2040</v>
      </c>
      <c r="P974" s="189">
        <f>IFERROR(__xludf.DUMMYFUNCTION("""COMPUTED_VALUE"""),2010.0)</f>
        <v>2010</v>
      </c>
      <c r="Q974" s="189">
        <f>IFERROR(__xludf.DUMMYFUNCTION("""COMPUTED_VALUE"""),1957.0)</f>
        <v>1957</v>
      </c>
      <c r="R974" s="186"/>
      <c r="S974" s="189">
        <f>IFERROR(__xludf.DUMMYFUNCTION("""COMPUTED_VALUE"""),1928.0)</f>
        <v>1928</v>
      </c>
    </row>
    <row r="975">
      <c r="A975" s="186" t="str">
        <f>IFERROR(__xludf.DUMMYFUNCTION("""COMPUTED_VALUE"""),"NORDICS")</f>
        <v>NORDICS</v>
      </c>
      <c r="B975" s="186" t="str">
        <f>IFERROR(__xludf.DUMMYFUNCTION("""COMPUTED_VALUE"""),"W18")</f>
        <v>W18</v>
      </c>
      <c r="C975" s="186">
        <f>IFERROR(__xludf.DUMMYFUNCTION("""COMPUTED_VALUE"""),613.0)</f>
        <v>613</v>
      </c>
      <c r="D975" s="186" t="str">
        <f>IFERROR(__xludf.DUMMYFUNCTION("""COMPUTED_VALUE"""),"CON-00-168677-2")</f>
        <v>CON-00-168677-2</v>
      </c>
      <c r="E975" s="186" t="str">
        <f>IFERROR(__xludf.DUMMYFUNCTION("""COMPUTED_VALUE"""),"Chicken &amp; Mushroom Tetrazzini")</f>
        <v>Chicken &amp; Mushroom Tetrazzini</v>
      </c>
      <c r="F975" s="186" t="str">
        <f>IFERROR(__xludf.DUMMYFUNCTION("""COMPUTED_VALUE"""),"Tetrazzini med kylling og svampe")</f>
        <v>Tetrazzini med kylling og svampe</v>
      </c>
      <c r="G975" s="186" t="str">
        <f>IFERROR(__xludf.DUMMYFUNCTION("""COMPUTED_VALUE"""),"FE0386A")</f>
        <v>FE0386A</v>
      </c>
      <c r="H975" s="186">
        <f>IFERROR(__xludf.DUMMYFUNCTION("""COMPUTED_VALUE"""),565278.0)</f>
        <v>565278</v>
      </c>
      <c r="I975" s="186" t="str">
        <f>IFERROR(__xludf.DUMMYFUNCTION("""COMPUTED_VALUE"""),"HF Pulled chicken tetrazzini")</f>
        <v>HF Pulled chicken tetrazzini</v>
      </c>
      <c r="J975" s="189">
        <f>IFERROR(__xludf.DUMMYFUNCTION("""COMPUTED_VALUE"""),2103.0)</f>
        <v>2103</v>
      </c>
      <c r="K975" s="189">
        <f>IFERROR(__xludf.DUMMYFUNCTION("""COMPUTED_VALUE"""),2017.0)</f>
        <v>2017</v>
      </c>
      <c r="L975" s="189">
        <f>IFERROR(__xludf.DUMMYFUNCTION("""COMPUTED_VALUE"""),2702.0)</f>
        <v>2702</v>
      </c>
      <c r="M975" s="189">
        <f>IFERROR(__xludf.DUMMYFUNCTION("""COMPUTED_VALUE"""),2304.0)</f>
        <v>2304</v>
      </c>
      <c r="N975" s="189">
        <f>IFERROR(__xludf.DUMMYFUNCTION("""COMPUTED_VALUE"""),2436.0)</f>
        <v>2436</v>
      </c>
      <c r="O975" s="189">
        <f>IFERROR(__xludf.DUMMYFUNCTION("""COMPUTED_VALUE"""),2483.0)</f>
        <v>2483</v>
      </c>
      <c r="P975" s="189">
        <f>IFERROR(__xludf.DUMMYFUNCTION("""COMPUTED_VALUE"""),2411.0)</f>
        <v>2411</v>
      </c>
      <c r="Q975" s="189">
        <f>IFERROR(__xludf.DUMMYFUNCTION("""COMPUTED_VALUE"""),2270.0)</f>
        <v>2270</v>
      </c>
      <c r="R975" s="186"/>
      <c r="S975" s="189">
        <f>IFERROR(__xludf.DUMMYFUNCTION("""COMPUTED_VALUE"""),2136.0)</f>
        <v>2136</v>
      </c>
    </row>
    <row r="976">
      <c r="A976" s="186" t="str">
        <f>IFERROR(__xludf.DUMMYFUNCTION("""COMPUTED_VALUE"""),"NORDICS")</f>
        <v>NORDICS</v>
      </c>
      <c r="B976" s="186" t="str">
        <f>IFERROR(__xludf.DUMMYFUNCTION("""COMPUTED_VALUE"""),"W18")</f>
        <v>W18</v>
      </c>
      <c r="C976" s="186">
        <f>IFERROR(__xludf.DUMMYFUNCTION("""COMPUTED_VALUE"""),614.0)</f>
        <v>614</v>
      </c>
      <c r="D976" s="186" t="str">
        <f>IFERROR(__xludf.DUMMYFUNCTION("""COMPUTED_VALUE"""),"CON-00-147851-2")</f>
        <v>CON-00-147851-2</v>
      </c>
      <c r="E976" s="186" t="str">
        <f>IFERROR(__xludf.DUMMYFUNCTION("""COMPUTED_VALUE"""),"Minced beef dish with cheese sauce")</f>
        <v>Minced beef dish with cheese sauce</v>
      </c>
      <c r="F976" s="186" t="str">
        <f>IFERROR(__xludf.DUMMYFUNCTION("""COMPUTED_VALUE"""),"Hakket oksekødsret med ostesauce")</f>
        <v>Hakket oksekødsret med ostesauce</v>
      </c>
      <c r="G976" s="186" t="str">
        <f>IFERROR(__xludf.DUMMYFUNCTION("""COMPUTED_VALUE"""),"FE0612C")</f>
        <v>FE0612C</v>
      </c>
      <c r="H976" s="186">
        <f>IFERROR(__xludf.DUMMYFUNCTION("""COMPUTED_VALUE"""),565100.0)</f>
        <v>565100</v>
      </c>
      <c r="I976" s="186"/>
      <c r="J976" s="189">
        <f>IFERROR(__xludf.DUMMYFUNCTION("""COMPUTED_VALUE"""),0.0)</f>
        <v>0</v>
      </c>
      <c r="K976" s="189">
        <f>IFERROR(__xludf.DUMMYFUNCTION("""COMPUTED_VALUE"""),0.0)</f>
        <v>0</v>
      </c>
      <c r="L976" s="189">
        <f>IFERROR(__xludf.DUMMYFUNCTION("""COMPUTED_VALUE"""),84.0)</f>
        <v>84</v>
      </c>
      <c r="M976" s="189">
        <f>IFERROR(__xludf.DUMMYFUNCTION("""COMPUTED_VALUE"""),711.0)</f>
        <v>711</v>
      </c>
      <c r="N976" s="189">
        <f>IFERROR(__xludf.DUMMYFUNCTION("""COMPUTED_VALUE"""),716.0)</f>
        <v>716</v>
      </c>
      <c r="O976" s="189">
        <f>IFERROR(__xludf.DUMMYFUNCTION("""COMPUTED_VALUE"""),759.0)</f>
        <v>759</v>
      </c>
      <c r="P976" s="189">
        <f>IFERROR(__xludf.DUMMYFUNCTION("""COMPUTED_VALUE"""),759.0)</f>
        <v>759</v>
      </c>
      <c r="Q976" s="189">
        <f>IFERROR(__xludf.DUMMYFUNCTION("""COMPUTED_VALUE"""),757.0)</f>
        <v>757</v>
      </c>
      <c r="R976" s="186"/>
      <c r="S976" s="189">
        <f>IFERROR(__xludf.DUMMYFUNCTION("""COMPUTED_VALUE"""),716.0)</f>
        <v>716</v>
      </c>
    </row>
    <row r="977">
      <c r="A977" s="186" t="str">
        <f>IFERROR(__xludf.DUMMYFUNCTION("""COMPUTED_VALUE"""),"NORDICS")</f>
        <v>NORDICS</v>
      </c>
      <c r="B977" s="186" t="str">
        <f>IFERROR(__xludf.DUMMYFUNCTION("""COMPUTED_VALUE"""),"W18")</f>
        <v>W18</v>
      </c>
      <c r="C977" s="186">
        <f>IFERROR(__xludf.DUMMYFUNCTION("""COMPUTED_VALUE"""),615.0)</f>
        <v>615</v>
      </c>
      <c r="D977" s="186" t="str">
        <f>IFERROR(__xludf.DUMMYFUNCTION("""COMPUTED_VALUE"""),"CON-00-147860-2")</f>
        <v>CON-00-147860-2</v>
      </c>
      <c r="E977" s="186" t="str">
        <f>IFERROR(__xludf.DUMMYFUNCTION("""COMPUTED_VALUE"""),"Courgette-spaghetti bolognese")</f>
        <v>Courgette-spaghetti bolognese</v>
      </c>
      <c r="F977" s="186" t="str">
        <f>IFERROR(__xludf.DUMMYFUNCTION("""COMPUTED_VALUE"""),"Zucchini-spaghetti bolognese")</f>
        <v>Zucchini-spaghetti bolognese</v>
      </c>
      <c r="G977" s="186" t="str">
        <f>IFERROR(__xludf.DUMMYFUNCTION("""COMPUTED_VALUE"""),"FE0849B")</f>
        <v>FE0849B</v>
      </c>
      <c r="H977" s="186">
        <f>IFERROR(__xludf.DUMMYFUNCTION("""COMPUTED_VALUE"""),565260.0)</f>
        <v>565260</v>
      </c>
      <c r="I977" s="186" t="str">
        <f>IFERROR(__xludf.DUMMYFUNCTION("""COMPUTED_VALUE"""),"HF RW Courgette-spagh bolognes")</f>
        <v>HF RW Courgette-spagh bolognes</v>
      </c>
      <c r="J977" s="189">
        <f>IFERROR(__xludf.DUMMYFUNCTION("""COMPUTED_VALUE"""),718.0)</f>
        <v>718</v>
      </c>
      <c r="K977" s="189">
        <f>IFERROR(__xludf.DUMMYFUNCTION("""COMPUTED_VALUE"""),725.0)</f>
        <v>725</v>
      </c>
      <c r="L977" s="189">
        <f>IFERROR(__xludf.DUMMYFUNCTION("""COMPUTED_VALUE"""),883.0)</f>
        <v>883</v>
      </c>
      <c r="M977" s="189">
        <f>IFERROR(__xludf.DUMMYFUNCTION("""COMPUTED_VALUE"""),563.0)</f>
        <v>563</v>
      </c>
      <c r="N977" s="189">
        <f>IFERROR(__xludf.DUMMYFUNCTION("""COMPUTED_VALUE"""),651.0)</f>
        <v>651</v>
      </c>
      <c r="O977" s="189">
        <f>IFERROR(__xludf.DUMMYFUNCTION("""COMPUTED_VALUE"""),685.0)</f>
        <v>685</v>
      </c>
      <c r="P977" s="189">
        <f>IFERROR(__xludf.DUMMYFUNCTION("""COMPUTED_VALUE"""),702.0)</f>
        <v>702</v>
      </c>
      <c r="Q977" s="189">
        <f>IFERROR(__xludf.DUMMYFUNCTION("""COMPUTED_VALUE"""),726.0)</f>
        <v>726</v>
      </c>
      <c r="R977" s="186"/>
      <c r="S977" s="189">
        <f>IFERROR(__xludf.DUMMYFUNCTION("""COMPUTED_VALUE"""),693.0)</f>
        <v>693</v>
      </c>
    </row>
    <row r="978">
      <c r="A978" s="186" t="str">
        <f>IFERROR(__xludf.DUMMYFUNCTION("""COMPUTED_VALUE"""),"NORDICS")</f>
        <v>NORDICS</v>
      </c>
      <c r="B978" s="186" t="str">
        <f>IFERROR(__xludf.DUMMYFUNCTION("""COMPUTED_VALUE"""),"W18")</f>
        <v>W18</v>
      </c>
      <c r="C978" s="186">
        <f>IFERROR(__xludf.DUMMYFUNCTION("""COMPUTED_VALUE"""),616.0)</f>
        <v>616</v>
      </c>
      <c r="D978" s="186"/>
      <c r="E978" s="186"/>
      <c r="F978" s="186"/>
      <c r="G978" s="186"/>
      <c r="H978" s="186"/>
      <c r="I978" s="186"/>
      <c r="J978" s="189">
        <f>IFERROR(__xludf.DUMMYFUNCTION("""COMPUTED_VALUE"""),0.0)</f>
        <v>0</v>
      </c>
      <c r="K978" s="189">
        <f>IFERROR(__xludf.DUMMYFUNCTION("""COMPUTED_VALUE"""),0.0)</f>
        <v>0</v>
      </c>
      <c r="L978" s="189">
        <f>IFERROR(__xludf.DUMMYFUNCTION("""COMPUTED_VALUE"""),0.0)</f>
        <v>0</v>
      </c>
      <c r="M978" s="189">
        <f>IFERROR(__xludf.DUMMYFUNCTION("""COMPUTED_VALUE"""),0.0)</f>
        <v>0</v>
      </c>
      <c r="N978" s="189">
        <f>IFERROR(__xludf.DUMMYFUNCTION("""COMPUTED_VALUE"""),0.0)</f>
        <v>0</v>
      </c>
      <c r="O978" s="189">
        <f>IFERROR(__xludf.DUMMYFUNCTION("""COMPUTED_VALUE"""),0.0)</f>
        <v>0</v>
      </c>
      <c r="P978" s="189">
        <f>IFERROR(__xludf.DUMMYFUNCTION("""COMPUTED_VALUE"""),0.0)</f>
        <v>0</v>
      </c>
      <c r="Q978" s="189">
        <f>IFERROR(__xludf.DUMMYFUNCTION("""COMPUTED_VALUE"""),0.0)</f>
        <v>0</v>
      </c>
      <c r="R978" s="186"/>
      <c r="S978" s="189">
        <f>IFERROR(__xludf.DUMMYFUNCTION("""COMPUTED_VALUE"""),0.0)</f>
        <v>0</v>
      </c>
    </row>
    <row r="979">
      <c r="A979" s="186" t="str">
        <f>IFERROR(__xludf.DUMMYFUNCTION("""COMPUTED_VALUE"""),"NORDICS")</f>
        <v>NORDICS</v>
      </c>
      <c r="B979" s="186" t="str">
        <f>IFERROR(__xludf.DUMMYFUNCTION("""COMPUTED_VALUE"""),"W18")</f>
        <v>W18</v>
      </c>
      <c r="C979" s="186">
        <f>IFERROR(__xludf.DUMMYFUNCTION("""COMPUTED_VALUE"""),617.0)</f>
        <v>617</v>
      </c>
      <c r="D979" s="186" t="str">
        <f>IFERROR(__xludf.DUMMYFUNCTION("""COMPUTED_VALUE"""),"CON-00-147870-2")</f>
        <v>CON-00-147870-2</v>
      </c>
      <c r="E979" s="186" t="str">
        <f>IFERROR(__xludf.DUMMYFUNCTION("""COMPUTED_VALUE"""),"Pork tenderloin in sundried tomato sauce")</f>
        <v>Pork tenderloin in sundried tomato sauce</v>
      </c>
      <c r="F979" s="186" t="str">
        <f>IFERROR(__xludf.DUMMYFUNCTION("""COMPUTED_VALUE"""),"Svinemørbrad i soltørret tomatsauce")</f>
        <v>Svinemørbrad i soltørret tomatsauce</v>
      </c>
      <c r="G979" s="186" t="str">
        <f>IFERROR(__xludf.DUMMYFUNCTION("""COMPUTED_VALUE"""),"FE4006A")</f>
        <v>FE4006A</v>
      </c>
      <c r="H979" s="186">
        <f>IFERROR(__xludf.DUMMYFUNCTION("""COMPUTED_VALUE"""),565063.0)</f>
        <v>565063</v>
      </c>
      <c r="I979" s="186" t="str">
        <f>IFERROR(__xludf.DUMMYFUNCTION("""COMPUTED_VALUE"""),"HF Varkenshaas met tomatensaus 384g")</f>
        <v>HF Varkenshaas met tomatensaus 384g</v>
      </c>
      <c r="J979" s="189">
        <f>IFERROR(__xludf.DUMMYFUNCTION("""COMPUTED_VALUE"""),996.0)</f>
        <v>996</v>
      </c>
      <c r="K979" s="189">
        <f>IFERROR(__xludf.DUMMYFUNCTION("""COMPUTED_VALUE"""),923.0)</f>
        <v>923</v>
      </c>
      <c r="L979" s="189">
        <f>IFERROR(__xludf.DUMMYFUNCTION("""COMPUTED_VALUE"""),833.0)</f>
        <v>833</v>
      </c>
      <c r="M979" s="189">
        <f>IFERROR(__xludf.DUMMYFUNCTION("""COMPUTED_VALUE"""),955.0)</f>
        <v>955</v>
      </c>
      <c r="N979" s="189">
        <f>IFERROR(__xludf.DUMMYFUNCTION("""COMPUTED_VALUE"""),1042.0)</f>
        <v>1042</v>
      </c>
      <c r="O979" s="189">
        <f>IFERROR(__xludf.DUMMYFUNCTION("""COMPUTED_VALUE"""),1065.0)</f>
        <v>1065</v>
      </c>
      <c r="P979" s="189">
        <f>IFERROR(__xludf.DUMMYFUNCTION("""COMPUTED_VALUE"""),1051.0)</f>
        <v>1051</v>
      </c>
      <c r="Q979" s="189">
        <f>IFERROR(__xludf.DUMMYFUNCTION("""COMPUTED_VALUE"""),1027.0)</f>
        <v>1027</v>
      </c>
      <c r="R979" s="186"/>
      <c r="S979" s="189">
        <f>IFERROR(__xludf.DUMMYFUNCTION("""COMPUTED_VALUE"""),996.0)</f>
        <v>996</v>
      </c>
    </row>
    <row r="980">
      <c r="A980" s="186" t="str">
        <f>IFERROR(__xludf.DUMMYFUNCTION("""COMPUTED_VALUE"""),"NORDICS")</f>
        <v>NORDICS</v>
      </c>
      <c r="B980" s="186" t="str">
        <f>IFERROR(__xludf.DUMMYFUNCTION("""COMPUTED_VALUE"""),"W18")</f>
        <v>W18</v>
      </c>
      <c r="C980" s="186">
        <f>IFERROR(__xludf.DUMMYFUNCTION("""COMPUTED_VALUE"""),618.0)</f>
        <v>618</v>
      </c>
      <c r="D980" s="186" t="str">
        <f>IFERROR(__xludf.DUMMYFUNCTION("""COMPUTED_VALUE"""),"CON-00-147848-2")</f>
        <v>CON-00-147848-2</v>
      </c>
      <c r="E980" s="186" t="str">
        <f>IFERROR(__xludf.DUMMYFUNCTION("""COMPUTED_VALUE"""),"Pork tenderloin in red pepper sauce")</f>
        <v>Pork tenderloin in red pepper sauce</v>
      </c>
      <c r="F980" s="186" t="str">
        <f>IFERROR(__xludf.DUMMYFUNCTION("""COMPUTED_VALUE"""),"Svinemørbrad i rød peberfrugtsauce")</f>
        <v>Svinemørbrad i rød peberfrugtsauce</v>
      </c>
      <c r="G980" s="186" t="str">
        <f>IFERROR(__xludf.DUMMYFUNCTION("""COMPUTED_VALUE"""),"FE0430E")</f>
        <v>FE0430E</v>
      </c>
      <c r="H980" s="186">
        <f>IFERROR(__xludf.DUMMYFUNCTION("""COMPUTED_VALUE"""),565140.0)</f>
        <v>565140</v>
      </c>
      <c r="I980" s="186"/>
      <c r="J980" s="189">
        <f>IFERROR(__xludf.DUMMYFUNCTION("""COMPUTED_VALUE"""),658.0)</f>
        <v>658</v>
      </c>
      <c r="K980" s="189">
        <f>IFERROR(__xludf.DUMMYFUNCTION("""COMPUTED_VALUE"""),628.0)</f>
        <v>628</v>
      </c>
      <c r="L980" s="189">
        <f>IFERROR(__xludf.DUMMYFUNCTION("""COMPUTED_VALUE"""),703.0)</f>
        <v>703</v>
      </c>
      <c r="M980" s="189">
        <f>IFERROR(__xludf.DUMMYFUNCTION("""COMPUTED_VALUE"""),654.0)</f>
        <v>654</v>
      </c>
      <c r="N980" s="189">
        <f>IFERROR(__xludf.DUMMYFUNCTION("""COMPUTED_VALUE"""),703.0)</f>
        <v>703</v>
      </c>
      <c r="O980" s="189">
        <f>IFERROR(__xludf.DUMMYFUNCTION("""COMPUTED_VALUE"""),753.0)</f>
        <v>753</v>
      </c>
      <c r="P980" s="189">
        <f>IFERROR(__xludf.DUMMYFUNCTION("""COMPUTED_VALUE"""),760.0)</f>
        <v>760</v>
      </c>
      <c r="Q980" s="189">
        <f>IFERROR(__xludf.DUMMYFUNCTION("""COMPUTED_VALUE"""),766.0)</f>
        <v>766</v>
      </c>
      <c r="R980" s="186"/>
      <c r="S980" s="189">
        <f>IFERROR(__xludf.DUMMYFUNCTION("""COMPUTED_VALUE"""),746.0)</f>
        <v>746</v>
      </c>
    </row>
    <row r="981">
      <c r="A981" s="186" t="str">
        <f>IFERROR(__xludf.DUMMYFUNCTION("""COMPUTED_VALUE"""),"NORDICS")</f>
        <v>NORDICS</v>
      </c>
      <c r="B981" s="186" t="str">
        <f>IFERROR(__xludf.DUMMYFUNCTION("""COMPUTED_VALUE"""),"W18")</f>
        <v>W18</v>
      </c>
      <c r="C981" s="186">
        <f>IFERROR(__xludf.DUMMYFUNCTION("""COMPUTED_VALUE"""),706.0)</f>
        <v>706</v>
      </c>
      <c r="D981" s="186" t="str">
        <f>IFERROR(__xludf.DUMMYFUNCTION("""COMPUTED_VALUE"""),"PTN-00-148223-2")</f>
        <v>PTN-00-148223-2</v>
      </c>
      <c r="E981" s="186" t="str">
        <f>IFERROR(__xludf.DUMMYFUNCTION("""COMPUTED_VALUE"""),"Garlic Herb Grilled Chicken")</f>
        <v>Garlic Herb Grilled Chicken</v>
      </c>
      <c r="F981" s="186" t="str">
        <f>IFERROR(__xludf.DUMMYFUNCTION("""COMPUTED_VALUE"""),"Grillet kylling med hvidlød og urter")</f>
        <v>Grillet kylling med hvidlød og urter</v>
      </c>
      <c r="G981" s="186" t="str">
        <f>IFERROR(__xludf.DUMMYFUNCTION("""COMPUTED_VALUE"""),"FEA006A")</f>
        <v>FEA006A</v>
      </c>
      <c r="H981" s="186">
        <f>IFERROR(__xludf.DUMMYFUNCTION("""COMPUTED_VALUE"""),565119.0)</f>
        <v>565119</v>
      </c>
      <c r="I981" s="186"/>
      <c r="J981" s="189">
        <f>IFERROR(__xludf.DUMMYFUNCTION("""COMPUTED_VALUE"""),36.0)</f>
        <v>36</v>
      </c>
      <c r="K981" s="189">
        <f>IFERROR(__xludf.DUMMYFUNCTION("""COMPUTED_VALUE"""),36.0)</f>
        <v>36</v>
      </c>
      <c r="L981" s="189">
        <f>IFERROR(__xludf.DUMMYFUNCTION("""COMPUTED_VALUE"""),36.0)</f>
        <v>36</v>
      </c>
      <c r="M981" s="189">
        <f>IFERROR(__xludf.DUMMYFUNCTION("""COMPUTED_VALUE"""),36.0)</f>
        <v>36</v>
      </c>
      <c r="N981" s="189">
        <f>IFERROR(__xludf.DUMMYFUNCTION("""COMPUTED_VALUE"""),36.0)</f>
        <v>36</v>
      </c>
      <c r="O981" s="189">
        <f>IFERROR(__xludf.DUMMYFUNCTION("""COMPUTED_VALUE"""),36.0)</f>
        <v>36</v>
      </c>
      <c r="P981" s="189">
        <f>IFERROR(__xludf.DUMMYFUNCTION("""COMPUTED_VALUE"""),36.0)</f>
        <v>36</v>
      </c>
      <c r="Q981" s="189">
        <f>IFERROR(__xludf.DUMMYFUNCTION("""COMPUTED_VALUE"""),36.0)</f>
        <v>36</v>
      </c>
      <c r="R981" s="186"/>
      <c r="S981" s="189">
        <f>IFERROR(__xludf.DUMMYFUNCTION("""COMPUTED_VALUE"""),52.0)</f>
        <v>52</v>
      </c>
    </row>
    <row r="982">
      <c r="A982" s="186" t="str">
        <f>IFERROR(__xludf.DUMMYFUNCTION("""COMPUTED_VALUE"""),"NORDICS")</f>
        <v>NORDICS</v>
      </c>
      <c r="B982" s="186" t="str">
        <f>IFERROR(__xludf.DUMMYFUNCTION("""COMPUTED_VALUE"""),"W18")</f>
        <v>W18</v>
      </c>
      <c r="C982" s="186"/>
      <c r="D982" s="186"/>
      <c r="E982" s="186"/>
      <c r="F982" s="186"/>
      <c r="G982" s="186"/>
      <c r="H982" s="186"/>
      <c r="I982" s="186"/>
      <c r="J982" s="189">
        <f>IFERROR(__xludf.DUMMYFUNCTION("""COMPUTED_VALUE"""),17698.0)</f>
        <v>17698</v>
      </c>
      <c r="K982" s="189">
        <f>IFERROR(__xludf.DUMMYFUNCTION("""COMPUTED_VALUE"""),16927.0)</f>
        <v>16927</v>
      </c>
      <c r="L982" s="189">
        <f>IFERROR(__xludf.DUMMYFUNCTION("""COMPUTED_VALUE"""),19757.0)</f>
        <v>19757</v>
      </c>
      <c r="M982" s="189">
        <f>IFERROR(__xludf.DUMMYFUNCTION("""COMPUTED_VALUE"""),24362.0)</f>
        <v>24362</v>
      </c>
      <c r="N982" s="189">
        <f>IFERROR(__xludf.DUMMYFUNCTION("""COMPUTED_VALUE"""),27016.0)</f>
        <v>27016</v>
      </c>
      <c r="O982" s="189">
        <f>IFERROR(__xludf.DUMMYFUNCTION("""COMPUTED_VALUE"""),27093.0)</f>
        <v>27093</v>
      </c>
      <c r="P982" s="189">
        <f>IFERROR(__xludf.DUMMYFUNCTION("""COMPUTED_VALUE"""),26558.0)</f>
        <v>26558</v>
      </c>
      <c r="Q982" s="189">
        <f>IFERROR(__xludf.DUMMYFUNCTION("""COMPUTED_VALUE"""),26149.0)</f>
        <v>26149</v>
      </c>
      <c r="R982" s="189">
        <f>IFERROR(__xludf.DUMMYFUNCTION("""COMPUTED_VALUE"""),0.0)</f>
        <v>0</v>
      </c>
      <c r="S982" s="189">
        <f>IFERROR(__xludf.DUMMYFUNCTION("""COMPUTED_VALUE"""),25148.0)</f>
        <v>25148</v>
      </c>
    </row>
    <row r="983">
      <c r="A983" s="186" t="str">
        <f>IFERROR(__xludf.DUMMYFUNCTION("""COMPUTED_VALUE"""),"DE")</f>
        <v>DE</v>
      </c>
      <c r="B983" s="186" t="str">
        <f>IFERROR(__xludf.DUMMYFUNCTION("""COMPUTED_VALUE"""),"W18")</f>
        <v>W18</v>
      </c>
      <c r="C983" s="186">
        <f>IFERROR(__xludf.DUMMYFUNCTION("""COMPUTED_VALUE"""),301.0)</f>
        <v>301</v>
      </c>
      <c r="D983" s="186" t="str">
        <f>IFERROR(__xludf.DUMMYFUNCTION("""COMPUTED_VALUE"""),"CON-00-136649-3")</f>
        <v>CON-00-136649-3</v>
      </c>
      <c r="E983" s="186" t="str">
        <f>IFERROR(__xludf.DUMMYFUNCTION("""COMPUTED_VALUE"""),"Grilled chicken fillet and potato leek mash")</f>
        <v>Grilled chicken fillet and potato leek mash</v>
      </c>
      <c r="F983" s="186" t="str">
        <f>IFERROR(__xludf.DUMMYFUNCTION("""COMPUTED_VALUE"""),"Gegrilltes Hähnchenfilet mit Kartoffel-Lauch-Püree")</f>
        <v>Gegrilltes Hähnchenfilet mit Kartoffel-Lauch-Püree</v>
      </c>
      <c r="G983" s="186" t="str">
        <f>IFERROR(__xludf.DUMMYFUNCTION("""COMPUTED_VALUE"""),"FE0426C")</f>
        <v>FE0426C</v>
      </c>
      <c r="H983" s="186">
        <f>IFERROR(__xludf.DUMMYFUNCTION("""COMPUTED_VALUE"""),565300.0)</f>
        <v>565300</v>
      </c>
      <c r="I983" s="186" t="str">
        <f>IFERROR(__xludf.DUMMYFUNCTION("""COMPUTED_VALUE"""),"HF RW Kip aardappel prei puree")</f>
        <v>HF RW Kip aardappel prei puree</v>
      </c>
      <c r="J983" s="189">
        <f>IFERROR(__xludf.DUMMYFUNCTION("""COMPUTED_VALUE"""),2634.0)</f>
        <v>2634</v>
      </c>
      <c r="K983" s="189">
        <f>IFERROR(__xludf.DUMMYFUNCTION("""COMPUTED_VALUE"""),2592.0)</f>
        <v>2592</v>
      </c>
      <c r="L983" s="189">
        <f>IFERROR(__xludf.DUMMYFUNCTION("""COMPUTED_VALUE"""),2630.0)</f>
        <v>2630</v>
      </c>
      <c r="M983" s="189">
        <f>IFERROR(__xludf.DUMMYFUNCTION("""COMPUTED_VALUE"""),2493.0)</f>
        <v>2493</v>
      </c>
      <c r="N983" s="189">
        <f>IFERROR(__xludf.DUMMYFUNCTION("""COMPUTED_VALUE"""),2662.0)</f>
        <v>2662</v>
      </c>
      <c r="O983" s="189">
        <f>IFERROR(__xludf.DUMMYFUNCTION("""COMPUTED_VALUE"""),2814.0)</f>
        <v>2814</v>
      </c>
      <c r="P983" s="189">
        <f>IFERROR(__xludf.DUMMYFUNCTION("""COMPUTED_VALUE"""),2861.0)</f>
        <v>2861</v>
      </c>
      <c r="Q983" s="189">
        <f>IFERROR(__xludf.DUMMYFUNCTION("""COMPUTED_VALUE"""),2799.0)</f>
        <v>2799</v>
      </c>
      <c r="R983" s="186"/>
      <c r="S983" s="189">
        <f>IFERROR(__xludf.DUMMYFUNCTION("""COMPUTED_VALUE"""),3089.0)</f>
        <v>3089</v>
      </c>
    </row>
    <row r="984">
      <c r="A984" s="186" t="str">
        <f>IFERROR(__xludf.DUMMYFUNCTION("""COMPUTED_VALUE"""),"DE")</f>
        <v>DE</v>
      </c>
      <c r="B984" s="186" t="str">
        <f>IFERROR(__xludf.DUMMYFUNCTION("""COMPUTED_VALUE"""),"W18")</f>
        <v>W18</v>
      </c>
      <c r="C984" s="186">
        <f>IFERROR(__xludf.DUMMYFUNCTION("""COMPUTED_VALUE"""),302.0)</f>
        <v>302</v>
      </c>
      <c r="D984" s="186" t="str">
        <f>IFERROR(__xludf.DUMMYFUNCTION("""COMPUTED_VALUE"""),"CON-00-138294-2")</f>
        <v>CON-00-138294-2</v>
      </c>
      <c r="E984" s="186" t="str">
        <f>IFERROR(__xludf.DUMMYFUNCTION("""COMPUTED_VALUE"""),"Mushroom Chicken &amp; Rice")</f>
        <v>Mushroom Chicken &amp; Rice</v>
      </c>
      <c r="F984" s="186" t="str">
        <f>IFERROR(__xludf.DUMMYFUNCTION("""COMPUTED_VALUE"""),"Hähnchen mit Pilzen &amp; Reis")</f>
        <v>Hähnchen mit Pilzen &amp; Reis</v>
      </c>
      <c r="G984" s="186" t="str">
        <f>IFERROR(__xludf.DUMMYFUNCTION("""COMPUTED_VALUE"""),"FE0628C")</f>
        <v>FE0628C</v>
      </c>
      <c r="H984" s="186">
        <f>IFERROR(__xludf.DUMMYFUNCTION("""COMPUTED_VALUE"""),565135.0)</f>
        <v>565135</v>
      </c>
      <c r="I984" s="186" t="str">
        <f>IFERROR(__xludf.DUMMYFUNCTION("""COMPUTED_VALUE"""),"HF Kip met champig wilde rijst")</f>
        <v>HF Kip met champig wilde rijst</v>
      </c>
      <c r="J984" s="189">
        <f>IFERROR(__xludf.DUMMYFUNCTION("""COMPUTED_VALUE"""),1599.0)</f>
        <v>1599</v>
      </c>
      <c r="K984" s="189">
        <f>IFERROR(__xludf.DUMMYFUNCTION("""COMPUTED_VALUE"""),1555.0)</f>
        <v>1555</v>
      </c>
      <c r="L984" s="189">
        <f>IFERROR(__xludf.DUMMYFUNCTION("""COMPUTED_VALUE"""),1390.0)</f>
        <v>1390</v>
      </c>
      <c r="M984" s="189">
        <f>IFERROR(__xludf.DUMMYFUNCTION("""COMPUTED_VALUE"""),1618.0)</f>
        <v>1618</v>
      </c>
      <c r="N984" s="189">
        <f>IFERROR(__xludf.DUMMYFUNCTION("""COMPUTED_VALUE"""),1702.0)</f>
        <v>1702</v>
      </c>
      <c r="O984" s="189">
        <f>IFERROR(__xludf.DUMMYFUNCTION("""COMPUTED_VALUE"""),1748.0)</f>
        <v>1748</v>
      </c>
      <c r="P984" s="189">
        <f>IFERROR(__xludf.DUMMYFUNCTION("""COMPUTED_VALUE"""),1766.0)</f>
        <v>1766</v>
      </c>
      <c r="Q984" s="189">
        <f>IFERROR(__xludf.DUMMYFUNCTION("""COMPUTED_VALUE"""),1736.0)</f>
        <v>1736</v>
      </c>
      <c r="R984" s="186"/>
      <c r="S984" s="189">
        <f>IFERROR(__xludf.DUMMYFUNCTION("""COMPUTED_VALUE"""),1977.0)</f>
        <v>1977</v>
      </c>
    </row>
    <row r="985">
      <c r="A985" s="186" t="str">
        <f>IFERROR(__xludf.DUMMYFUNCTION("""COMPUTED_VALUE"""),"DE")</f>
        <v>DE</v>
      </c>
      <c r="B985" s="186" t="str">
        <f>IFERROR(__xludf.DUMMYFUNCTION("""COMPUTED_VALUE"""),"W18")</f>
        <v>W18</v>
      </c>
      <c r="C985" s="186">
        <f>IFERROR(__xludf.DUMMYFUNCTION("""COMPUTED_VALUE"""),303.0)</f>
        <v>303</v>
      </c>
      <c r="D985" s="186" t="str">
        <f>IFERROR(__xludf.DUMMYFUNCTION("""COMPUTED_VALUE"""),"CON-00-138996-2")</f>
        <v>CON-00-138996-2</v>
      </c>
      <c r="E985" s="186" t="str">
        <f>IFERROR(__xludf.DUMMYFUNCTION("""COMPUTED_VALUE"""),"Cheddar pulled beef")</f>
        <v>Cheddar pulled beef</v>
      </c>
      <c r="F985" s="186" t="str">
        <f>IFERROR(__xludf.DUMMYFUNCTION("""COMPUTED_VALUE"""),"Cheddar Pulled Beef")</f>
        <v>Cheddar Pulled Beef</v>
      </c>
      <c r="G985" s="186" t="str">
        <f>IFERROR(__xludf.DUMMYFUNCTION("""COMPUTED_VALUE"""),"FE4063A")</f>
        <v>FE4063A</v>
      </c>
      <c r="H985" s="186">
        <f>IFERROR(__xludf.DUMMYFUNCTION("""COMPUTED_VALUE"""),565136.0)</f>
        <v>565136</v>
      </c>
      <c r="I985" s="186"/>
      <c r="J985" s="189">
        <f>IFERROR(__xludf.DUMMYFUNCTION("""COMPUTED_VALUE"""),0.0)</f>
        <v>0</v>
      </c>
      <c r="K985" s="189">
        <f>IFERROR(__xludf.DUMMYFUNCTION("""COMPUTED_VALUE"""),0.0)</f>
        <v>0</v>
      </c>
      <c r="L985" s="189">
        <f>IFERROR(__xludf.DUMMYFUNCTION("""COMPUTED_VALUE"""),168.0)</f>
        <v>168</v>
      </c>
      <c r="M985" s="189">
        <f>IFERROR(__xludf.DUMMYFUNCTION("""COMPUTED_VALUE"""),1251.0)</f>
        <v>1251</v>
      </c>
      <c r="N985" s="189">
        <f>IFERROR(__xludf.DUMMYFUNCTION("""COMPUTED_VALUE"""),1927.0)</f>
        <v>1927</v>
      </c>
      <c r="O985" s="189">
        <f>IFERROR(__xludf.DUMMYFUNCTION("""COMPUTED_VALUE"""),1970.0)</f>
        <v>1970</v>
      </c>
      <c r="P985" s="189">
        <f>IFERROR(__xludf.DUMMYFUNCTION("""COMPUTED_VALUE"""),1938.0)</f>
        <v>1938</v>
      </c>
      <c r="Q985" s="189">
        <f>IFERROR(__xludf.DUMMYFUNCTION("""COMPUTED_VALUE"""),1890.0)</f>
        <v>1890</v>
      </c>
      <c r="R985" s="186"/>
      <c r="S985" s="189">
        <f>IFERROR(__xludf.DUMMYFUNCTION("""COMPUTED_VALUE"""),2036.0)</f>
        <v>2036</v>
      </c>
    </row>
    <row r="986">
      <c r="A986" s="186" t="str">
        <f>IFERROR(__xludf.DUMMYFUNCTION("""COMPUTED_VALUE"""),"DE")</f>
        <v>DE</v>
      </c>
      <c r="B986" s="186" t="str">
        <f>IFERROR(__xludf.DUMMYFUNCTION("""COMPUTED_VALUE"""),"W18")</f>
        <v>W18</v>
      </c>
      <c r="C986" s="186">
        <f>IFERROR(__xludf.DUMMYFUNCTION("""COMPUTED_VALUE"""),304.0)</f>
        <v>304</v>
      </c>
      <c r="D986" s="186" t="str">
        <f>IFERROR(__xludf.DUMMYFUNCTION("""COMPUTED_VALUE"""),"CON-00-136693-3")</f>
        <v>CON-00-136693-3</v>
      </c>
      <c r="E986" s="186" t="str">
        <f>IFERROR(__xludf.DUMMYFUNCTION("""COMPUTED_VALUE"""),"Beef &amp; BBQ sauce")</f>
        <v>Beef &amp; BBQ sauce</v>
      </c>
      <c r="F986" s="186" t="str">
        <f>IFERROR(__xludf.DUMMYFUNCTION("""COMPUTED_VALUE"""),"Rindfleisch mit BBQ-Sauce")</f>
        <v>Rindfleisch mit BBQ-Sauce</v>
      </c>
      <c r="G986" s="186" t="str">
        <f>IFERROR(__xludf.DUMMYFUNCTION("""COMPUTED_VALUE"""),"FE4027B")</f>
        <v>FE4027B</v>
      </c>
      <c r="H986" s="186">
        <f>IFERROR(__xludf.DUMMYFUNCTION("""COMPUTED_VALUE"""),565142.0)</f>
        <v>565142</v>
      </c>
      <c r="I986" s="186" t="str">
        <f>IFERROR(__xludf.DUMMYFUNCTION("""COMPUTED_VALUE"""),"HF RW Rundvlees &amp; BBQ saus RW565085 / FE4027A / CS P+")</f>
        <v>HF RW Rundvlees &amp; BBQ saus RW565085 / FE4027A / CS P+</v>
      </c>
      <c r="J986" s="189">
        <f>IFERROR(__xludf.DUMMYFUNCTION("""COMPUTED_VALUE"""),2248.0)</f>
        <v>2248</v>
      </c>
      <c r="K986" s="189">
        <f>IFERROR(__xludf.DUMMYFUNCTION("""COMPUTED_VALUE"""),2275.0)</f>
        <v>2275</v>
      </c>
      <c r="L986" s="189">
        <f>IFERROR(__xludf.DUMMYFUNCTION("""COMPUTED_VALUE"""),1648.0)</f>
        <v>1648</v>
      </c>
      <c r="M986" s="189">
        <f>IFERROR(__xludf.DUMMYFUNCTION("""COMPUTED_VALUE"""),1909.0)</f>
        <v>1909</v>
      </c>
      <c r="N986" s="189">
        <f>IFERROR(__xludf.DUMMYFUNCTION("""COMPUTED_VALUE"""),2093.0)</f>
        <v>2093</v>
      </c>
      <c r="O986" s="189">
        <f>IFERROR(__xludf.DUMMYFUNCTION("""COMPUTED_VALUE"""),2195.0)</f>
        <v>2195</v>
      </c>
      <c r="P986" s="189">
        <f>IFERROR(__xludf.DUMMYFUNCTION("""COMPUTED_VALUE"""),2223.0)</f>
        <v>2223</v>
      </c>
      <c r="Q986" s="189">
        <f>IFERROR(__xludf.DUMMYFUNCTION("""COMPUTED_VALUE"""),2196.0)</f>
        <v>2196</v>
      </c>
      <c r="R986" s="186"/>
      <c r="S986" s="189">
        <f>IFERROR(__xludf.DUMMYFUNCTION("""COMPUTED_VALUE"""),2384.0)</f>
        <v>2384</v>
      </c>
    </row>
    <row r="987">
      <c r="A987" s="186" t="str">
        <f>IFERROR(__xludf.DUMMYFUNCTION("""COMPUTED_VALUE"""),"DE")</f>
        <v>DE</v>
      </c>
      <c r="B987" s="186" t="str">
        <f>IFERROR(__xludf.DUMMYFUNCTION("""COMPUTED_VALUE"""),"W18")</f>
        <v>W18</v>
      </c>
      <c r="C987" s="186">
        <f>IFERROR(__xludf.DUMMYFUNCTION("""COMPUTED_VALUE"""),305.0)</f>
        <v>305</v>
      </c>
      <c r="D987" s="186" t="str">
        <f>IFERROR(__xludf.DUMMYFUNCTION("""COMPUTED_VALUE"""),"CON-00-136674-3")</f>
        <v>CON-00-136674-3</v>
      </c>
      <c r="E987" s="186" t="str">
        <f>IFERROR(__xludf.DUMMYFUNCTION("""COMPUTED_VALUE"""),"Grilled chicken and ratatouille")</f>
        <v>Grilled chicken and ratatouille</v>
      </c>
      <c r="F987" s="186" t="str">
        <f>IFERROR(__xludf.DUMMYFUNCTION("""COMPUTED_VALUE"""),"Gegrilltes Hähnchen mit Ratatouille")</f>
        <v>Gegrilltes Hähnchen mit Ratatouille</v>
      </c>
      <c r="G987" s="186" t="str">
        <f>IFERROR(__xludf.DUMMYFUNCTION("""COMPUTED_VALUE"""),"FE4015B")</f>
        <v>FE4015B</v>
      </c>
      <c r="H987" s="186">
        <f>IFERROR(__xludf.DUMMYFUNCTION("""COMPUTED_VALUE"""),565072.0)</f>
        <v>565072</v>
      </c>
      <c r="I987" s="186" t="str">
        <f>IFERROR(__xludf.DUMMYFUNCTION("""COMPUTED_VALUE"""),"HF Kipfilet met Ratatouille")</f>
        <v>HF Kipfilet met Ratatouille</v>
      </c>
      <c r="J987" s="189">
        <f>IFERROR(__xludf.DUMMYFUNCTION("""COMPUTED_VALUE"""),1469.0)</f>
        <v>1469</v>
      </c>
      <c r="K987" s="189">
        <f>IFERROR(__xludf.DUMMYFUNCTION("""COMPUTED_VALUE"""),1430.0)</f>
        <v>1430</v>
      </c>
      <c r="L987" s="189">
        <f>IFERROR(__xludf.DUMMYFUNCTION("""COMPUTED_VALUE"""),1401.0)</f>
        <v>1401</v>
      </c>
      <c r="M987" s="189">
        <f>IFERROR(__xludf.DUMMYFUNCTION("""COMPUTED_VALUE"""),1544.0)</f>
        <v>1544</v>
      </c>
      <c r="N987" s="189">
        <f>IFERROR(__xludf.DUMMYFUNCTION("""COMPUTED_VALUE"""),1668.0)</f>
        <v>1668</v>
      </c>
      <c r="O987" s="189">
        <f>IFERROR(__xludf.DUMMYFUNCTION("""COMPUTED_VALUE"""),1716.0)</f>
        <v>1716</v>
      </c>
      <c r="P987" s="189">
        <f>IFERROR(__xludf.DUMMYFUNCTION("""COMPUTED_VALUE"""),1743.0)</f>
        <v>1743</v>
      </c>
      <c r="Q987" s="189">
        <f>IFERROR(__xludf.DUMMYFUNCTION("""COMPUTED_VALUE"""),1704.0)</f>
        <v>1704</v>
      </c>
      <c r="R987" s="186"/>
      <c r="S987" s="189">
        <f>IFERROR(__xludf.DUMMYFUNCTION("""COMPUTED_VALUE"""),1809.0)</f>
        <v>1809</v>
      </c>
    </row>
    <row r="988">
      <c r="A988" s="186" t="str">
        <f>IFERROR(__xludf.DUMMYFUNCTION("""COMPUTED_VALUE"""),"DE")</f>
        <v>DE</v>
      </c>
      <c r="B988" s="186" t="str">
        <f>IFERROR(__xludf.DUMMYFUNCTION("""COMPUTED_VALUE"""),"W18")</f>
        <v>W18</v>
      </c>
      <c r="C988" s="186">
        <f>IFERROR(__xludf.DUMMYFUNCTION("""COMPUTED_VALUE"""),306.0)</f>
        <v>306</v>
      </c>
      <c r="D988" s="186" t="str">
        <f>IFERROR(__xludf.DUMMYFUNCTION("""COMPUTED_VALUE"""),"CON-00-137744-2")</f>
        <v>CON-00-137744-2</v>
      </c>
      <c r="E988" s="186" t="str">
        <f>IFERROR(__xludf.DUMMYFUNCTION("""COMPUTED_VALUE"""),"Salmon in creamy gochugaru sauce")</f>
        <v>Salmon in creamy gochugaru sauce</v>
      </c>
      <c r="F988" s="186" t="str">
        <f>IFERROR(__xludf.DUMMYFUNCTION("""COMPUTED_VALUE"""),"Lachs in cremiger Gochugaru-Sauce")</f>
        <v>Lachs in cremiger Gochugaru-Sauce</v>
      </c>
      <c r="G988" s="186" t="str">
        <f>IFERROR(__xludf.DUMMYFUNCTION("""COMPUTED_VALUE"""),"FE4039C")</f>
        <v>FE4039C</v>
      </c>
      <c r="H988" s="186">
        <f>IFERROR(__xludf.DUMMYFUNCTION("""COMPUTED_VALUE"""),565102.0)</f>
        <v>565102</v>
      </c>
      <c r="I988" s="186" t="str">
        <f>IFERROR(__xludf.DUMMYFUNCTION("""COMPUTED_VALUE"""),"HF Zalm romige gochugaru sa")</f>
        <v>HF Zalm romige gochugaru sa</v>
      </c>
      <c r="J988" s="189">
        <f>IFERROR(__xludf.DUMMYFUNCTION("""COMPUTED_VALUE"""),0.0)</f>
        <v>0</v>
      </c>
      <c r="K988" s="189">
        <f>IFERROR(__xludf.DUMMYFUNCTION("""COMPUTED_VALUE"""),0.0)</f>
        <v>0</v>
      </c>
      <c r="L988" s="189">
        <f>IFERROR(__xludf.DUMMYFUNCTION("""COMPUTED_VALUE"""),155.0)</f>
        <v>155</v>
      </c>
      <c r="M988" s="189">
        <f>IFERROR(__xludf.DUMMYFUNCTION("""COMPUTED_VALUE"""),809.0)</f>
        <v>809</v>
      </c>
      <c r="N988" s="189">
        <f>IFERROR(__xludf.DUMMYFUNCTION("""COMPUTED_VALUE"""),1720.0)</f>
        <v>1720</v>
      </c>
      <c r="O988" s="189">
        <f>IFERROR(__xludf.DUMMYFUNCTION("""COMPUTED_VALUE"""),1793.0)</f>
        <v>1793</v>
      </c>
      <c r="P988" s="189">
        <f>IFERROR(__xludf.DUMMYFUNCTION("""COMPUTED_VALUE"""),1784.0)</f>
        <v>1784</v>
      </c>
      <c r="Q988" s="189">
        <f>IFERROR(__xludf.DUMMYFUNCTION("""COMPUTED_VALUE"""),1750.0)</f>
        <v>1750</v>
      </c>
      <c r="R988" s="186"/>
      <c r="S988" s="189">
        <f>IFERROR(__xludf.DUMMYFUNCTION("""COMPUTED_VALUE"""),1872.0)</f>
        <v>1872</v>
      </c>
    </row>
    <row r="989">
      <c r="A989" s="186" t="str">
        <f>IFERROR(__xludf.DUMMYFUNCTION("""COMPUTED_VALUE"""),"DE")</f>
        <v>DE</v>
      </c>
      <c r="B989" s="186" t="str">
        <f>IFERROR(__xludf.DUMMYFUNCTION("""COMPUTED_VALUE"""),"W18")</f>
        <v>W18</v>
      </c>
      <c r="C989" s="186">
        <f>IFERROR(__xludf.DUMMYFUNCTION("""COMPUTED_VALUE"""),307.0)</f>
        <v>307</v>
      </c>
      <c r="D989" s="186" t="str">
        <f>IFERROR(__xludf.DUMMYFUNCTION("""COMPUTED_VALUE"""),"CON-00-147983-2")</f>
        <v>CON-00-147983-2</v>
      </c>
      <c r="E989" s="186" t="str">
        <f>IFERROR(__xludf.DUMMYFUNCTION("""COMPUTED_VALUE"""),"Loaded Bacon Shredded Chicken")</f>
        <v>Loaded Bacon Shredded Chicken</v>
      </c>
      <c r="F989" s="186" t="str">
        <f>IFERROR(__xludf.DUMMYFUNCTION("""COMPUTED_VALUE"""),"Pulled Chicken mit Bacon")</f>
        <v>Pulled Chicken mit Bacon</v>
      </c>
      <c r="G989" s="186" t="str">
        <f>IFERROR(__xludf.DUMMYFUNCTION("""COMPUTED_VALUE"""),"FE0794D")</f>
        <v>FE0794D</v>
      </c>
      <c r="H989" s="186">
        <f>IFERROR(__xludf.DUMMYFUNCTION("""COMPUTED_VALUE"""),565156.0)</f>
        <v>565156</v>
      </c>
      <c r="I989" s="186" t="str">
        <f>IFERROR(__xludf.DUMMYFUNCTION("""COMPUTED_VALUE"""),"HF Loaded Bacon Chicken")</f>
        <v>HF Loaded Bacon Chicken</v>
      </c>
      <c r="J989" s="189">
        <f>IFERROR(__xludf.DUMMYFUNCTION("""COMPUTED_VALUE"""),0.0)</f>
        <v>0</v>
      </c>
      <c r="K989" s="189">
        <f>IFERROR(__xludf.DUMMYFUNCTION("""COMPUTED_VALUE"""),0.0)</f>
        <v>0</v>
      </c>
      <c r="L989" s="189">
        <f>IFERROR(__xludf.DUMMYFUNCTION("""COMPUTED_VALUE"""),117.0)</f>
        <v>117</v>
      </c>
      <c r="M989" s="189">
        <f>IFERROR(__xludf.DUMMYFUNCTION("""COMPUTED_VALUE"""),1288.0)</f>
        <v>1288</v>
      </c>
      <c r="N989" s="189">
        <f>IFERROR(__xludf.DUMMYFUNCTION("""COMPUTED_VALUE"""),1384.0)</f>
        <v>1384</v>
      </c>
      <c r="O989" s="189">
        <f>IFERROR(__xludf.DUMMYFUNCTION("""COMPUTED_VALUE"""),1439.0)</f>
        <v>1439</v>
      </c>
      <c r="P989" s="189">
        <f>IFERROR(__xludf.DUMMYFUNCTION("""COMPUTED_VALUE"""),1474.0)</f>
        <v>1474</v>
      </c>
      <c r="Q989" s="189">
        <f>IFERROR(__xludf.DUMMYFUNCTION("""COMPUTED_VALUE"""),1454.0)</f>
        <v>1454</v>
      </c>
      <c r="R989" s="186"/>
      <c r="S989" s="189">
        <f>IFERROR(__xludf.DUMMYFUNCTION("""COMPUTED_VALUE"""),1503.0)</f>
        <v>1503</v>
      </c>
    </row>
    <row r="990">
      <c r="A990" s="186" t="str">
        <f>IFERROR(__xludf.DUMMYFUNCTION("""COMPUTED_VALUE"""),"DE")</f>
        <v>DE</v>
      </c>
      <c r="B990" s="186" t="str">
        <f>IFERROR(__xludf.DUMMYFUNCTION("""COMPUTED_VALUE"""),"W18")</f>
        <v>W18</v>
      </c>
      <c r="C990" s="186">
        <f>IFERROR(__xludf.DUMMYFUNCTION("""COMPUTED_VALUE"""),308.0)</f>
        <v>308</v>
      </c>
      <c r="D990" s="186" t="str">
        <f>IFERROR(__xludf.DUMMYFUNCTION("""COMPUTED_VALUE"""),"CON-00-136619-3")</f>
        <v>CON-00-136619-3</v>
      </c>
      <c r="E990" s="186" t="str">
        <f>IFERROR(__xludf.DUMMYFUNCTION("""COMPUTED_VALUE"""),"Chicken in creamy spinach")</f>
        <v>Chicken in creamy spinach</v>
      </c>
      <c r="F990" s="186" t="str">
        <f>IFERROR(__xludf.DUMMYFUNCTION("""COMPUTED_VALUE"""),"Hähnchen in Spinat-Creme")</f>
        <v>Hähnchen in Spinat-Creme</v>
      </c>
      <c r="G990" s="186" t="str">
        <f>IFERROR(__xludf.DUMMYFUNCTION("""COMPUTED_VALUE"""),"FE0207I")</f>
        <v>FE0207I</v>
      </c>
      <c r="H990" s="186">
        <f>IFERROR(__xludf.DUMMYFUNCTION("""COMPUTED_VALUE"""),565148.0)</f>
        <v>565148</v>
      </c>
      <c r="I990" s="186" t="str">
        <f>IFERROR(__xludf.DUMMYFUNCTION("""COMPUTED_VALUE"""),"HF RW Kipfilet in rom spinazie")</f>
        <v>HF RW Kipfilet in rom spinazie</v>
      </c>
      <c r="J990" s="189">
        <f>IFERROR(__xludf.DUMMYFUNCTION("""COMPUTED_VALUE"""),1084.0)</f>
        <v>1084</v>
      </c>
      <c r="K990" s="189">
        <f>IFERROR(__xludf.DUMMYFUNCTION("""COMPUTED_VALUE"""),1061.0)</f>
        <v>1061</v>
      </c>
      <c r="L990" s="189">
        <f>IFERROR(__xludf.DUMMYFUNCTION("""COMPUTED_VALUE"""),1196.0)</f>
        <v>1196</v>
      </c>
      <c r="M990" s="189">
        <f>IFERROR(__xludf.DUMMYFUNCTION("""COMPUTED_VALUE"""),1131.0)</f>
        <v>1131</v>
      </c>
      <c r="N990" s="189">
        <f>IFERROR(__xludf.DUMMYFUNCTION("""COMPUTED_VALUE"""),1208.0)</f>
        <v>1208</v>
      </c>
      <c r="O990" s="189">
        <f>IFERROR(__xludf.DUMMYFUNCTION("""COMPUTED_VALUE"""),1238.0)</f>
        <v>1238</v>
      </c>
      <c r="P990" s="189">
        <f>IFERROR(__xludf.DUMMYFUNCTION("""COMPUTED_VALUE"""),1256.0)</f>
        <v>1256</v>
      </c>
      <c r="Q990" s="189">
        <f>IFERROR(__xludf.DUMMYFUNCTION("""COMPUTED_VALUE"""),1259.0)</f>
        <v>1259</v>
      </c>
      <c r="R990" s="186"/>
      <c r="S990" s="189">
        <f>IFERROR(__xludf.DUMMYFUNCTION("""COMPUTED_VALUE"""),1259.0)</f>
        <v>1259</v>
      </c>
    </row>
    <row r="991">
      <c r="A991" s="186" t="str">
        <f>IFERROR(__xludf.DUMMYFUNCTION("""COMPUTED_VALUE"""),"DE")</f>
        <v>DE</v>
      </c>
      <c r="B991" s="186" t="str">
        <f>IFERROR(__xludf.DUMMYFUNCTION("""COMPUTED_VALUE"""),"W18")</f>
        <v>W18</v>
      </c>
      <c r="C991" s="186">
        <f>IFERROR(__xludf.DUMMYFUNCTION("""COMPUTED_VALUE"""),309.0)</f>
        <v>309</v>
      </c>
      <c r="D991" s="186" t="str">
        <f>IFERROR(__xludf.DUMMYFUNCTION("""COMPUTED_VALUE"""),"CON-00-136641-3")</f>
        <v>CON-00-136641-3</v>
      </c>
      <c r="E991" s="186" t="str">
        <f>IFERROR(__xludf.DUMMYFUNCTION("""COMPUTED_VALUE"""),"Mexican style corn cake")</f>
        <v>Mexican style corn cake</v>
      </c>
      <c r="F991" s="186" t="str">
        <f>IFERROR(__xludf.DUMMYFUNCTION("""COMPUTED_VALUE"""),"Mexikanischer Maiskuchen")</f>
        <v>Mexikanischer Maiskuchen</v>
      </c>
      <c r="G991" s="186" t="str">
        <f>IFERROR(__xludf.DUMMYFUNCTION("""COMPUTED_VALUE"""),"FE0121D")</f>
        <v>FE0121D</v>
      </c>
      <c r="H991" s="186">
        <f>IFERROR(__xludf.DUMMYFUNCTION("""COMPUTED_VALUE"""),565299.0)</f>
        <v>565299</v>
      </c>
      <c r="I991" s="186" t="str">
        <f>IFERROR(__xludf.DUMMYFUNCTION("""COMPUTED_VALUE"""),"HF RW Mexcaanse stijl maiscake")</f>
        <v>HF RW Mexcaanse stijl maiscake</v>
      </c>
      <c r="J991" s="189">
        <f>IFERROR(__xludf.DUMMYFUNCTION("""COMPUTED_VALUE"""),304.0)</f>
        <v>304</v>
      </c>
      <c r="K991" s="189">
        <f>IFERROR(__xludf.DUMMYFUNCTION("""COMPUTED_VALUE"""),277.0)</f>
        <v>277</v>
      </c>
      <c r="L991" s="189">
        <f>IFERROR(__xludf.DUMMYFUNCTION("""COMPUTED_VALUE"""),173.0)</f>
        <v>173</v>
      </c>
      <c r="M991" s="189">
        <f>IFERROR(__xludf.DUMMYFUNCTION("""COMPUTED_VALUE"""),300.0)</f>
        <v>300</v>
      </c>
      <c r="N991" s="189">
        <f>IFERROR(__xludf.DUMMYFUNCTION("""COMPUTED_VALUE"""),301.0)</f>
        <v>301</v>
      </c>
      <c r="O991" s="189">
        <f>IFERROR(__xludf.DUMMYFUNCTION("""COMPUTED_VALUE"""),305.0)</f>
        <v>305</v>
      </c>
      <c r="P991" s="189">
        <f>IFERROR(__xludf.DUMMYFUNCTION("""COMPUTED_VALUE"""),305.0)</f>
        <v>305</v>
      </c>
      <c r="Q991" s="189">
        <f>IFERROR(__xludf.DUMMYFUNCTION("""COMPUTED_VALUE"""),327.0)</f>
        <v>327</v>
      </c>
      <c r="R991" s="186"/>
      <c r="S991" s="189">
        <f>IFERROR(__xludf.DUMMYFUNCTION("""COMPUTED_VALUE"""),319.0)</f>
        <v>319</v>
      </c>
    </row>
    <row r="992">
      <c r="A992" s="186" t="str">
        <f>IFERROR(__xludf.DUMMYFUNCTION("""COMPUTED_VALUE"""),"DE")</f>
        <v>DE</v>
      </c>
      <c r="B992" s="186" t="str">
        <f>IFERROR(__xludf.DUMMYFUNCTION("""COMPUTED_VALUE"""),"W18")</f>
        <v>W18</v>
      </c>
      <c r="C992" s="186">
        <f>IFERROR(__xludf.DUMMYFUNCTION("""COMPUTED_VALUE"""),310.0)</f>
        <v>310</v>
      </c>
      <c r="D992" s="186" t="str">
        <f>IFERROR(__xludf.DUMMYFUNCTION("""COMPUTED_VALUE"""),"CON-00-136629-3")</f>
        <v>CON-00-136629-3</v>
      </c>
      <c r="E992" s="186" t="str">
        <f>IFERROR(__xludf.DUMMYFUNCTION("""COMPUTED_VALUE"""),"Creamy tomato risotto")</f>
        <v>Creamy tomato risotto</v>
      </c>
      <c r="F992" s="186" t="str">
        <f>IFERROR(__xludf.DUMMYFUNCTION("""COMPUTED_VALUE"""),"Cremiges Tomaten-Risotto")</f>
        <v>Cremiges Tomaten-Risotto</v>
      </c>
      <c r="G992" s="186" t="str">
        <f>IFERROR(__xludf.DUMMYFUNCTION("""COMPUTED_VALUE"""),"FE0031C")</f>
        <v>FE0031C</v>
      </c>
      <c r="H992" s="186">
        <f>IFERROR(__xludf.DUMMYFUNCTION("""COMPUTED_VALUE"""),565244.0)</f>
        <v>565244</v>
      </c>
      <c r="I992" s="186" t="str">
        <f>IFERROR(__xludf.DUMMYFUNCTION("""COMPUTED_VALUE"""),"IO HF Romige tomatenrisotto V2")</f>
        <v>IO HF Romige tomatenrisotto V2</v>
      </c>
      <c r="J992" s="189">
        <f>IFERROR(__xludf.DUMMYFUNCTION("""COMPUTED_VALUE"""),327.0)</f>
        <v>327</v>
      </c>
      <c r="K992" s="189">
        <f>IFERROR(__xludf.DUMMYFUNCTION("""COMPUTED_VALUE"""),315.0)</f>
        <v>315</v>
      </c>
      <c r="L992" s="189">
        <f>IFERROR(__xludf.DUMMYFUNCTION("""COMPUTED_VALUE"""),164.0)</f>
        <v>164</v>
      </c>
      <c r="M992" s="189">
        <f>IFERROR(__xludf.DUMMYFUNCTION("""COMPUTED_VALUE"""),330.0)</f>
        <v>330</v>
      </c>
      <c r="N992" s="189">
        <f>IFERROR(__xludf.DUMMYFUNCTION("""COMPUTED_VALUE"""),433.0)</f>
        <v>433</v>
      </c>
      <c r="O992" s="189">
        <f>IFERROR(__xludf.DUMMYFUNCTION("""COMPUTED_VALUE"""),391.0)</f>
        <v>391</v>
      </c>
      <c r="P992" s="189">
        <f>IFERROR(__xludf.DUMMYFUNCTION("""COMPUTED_VALUE"""),395.0)</f>
        <v>395</v>
      </c>
      <c r="Q992" s="189">
        <f>IFERROR(__xludf.DUMMYFUNCTION("""COMPUTED_VALUE"""),411.0)</f>
        <v>411</v>
      </c>
      <c r="R992" s="186"/>
      <c r="S992" s="189">
        <f>IFERROR(__xludf.DUMMYFUNCTION("""COMPUTED_VALUE"""),397.0)</f>
        <v>397</v>
      </c>
    </row>
    <row r="993">
      <c r="A993" s="186" t="str">
        <f>IFERROR(__xludf.DUMMYFUNCTION("""COMPUTED_VALUE"""),"DE")</f>
        <v>DE</v>
      </c>
      <c r="B993" s="186" t="str">
        <f>IFERROR(__xludf.DUMMYFUNCTION("""COMPUTED_VALUE"""),"W18")</f>
        <v>W18</v>
      </c>
      <c r="C993" s="186">
        <f>IFERROR(__xludf.DUMMYFUNCTION("""COMPUTED_VALUE"""),311.0)</f>
        <v>311</v>
      </c>
      <c r="D993" s="186" t="str">
        <f>IFERROR(__xludf.DUMMYFUNCTION("""COMPUTED_VALUE"""),"CON-00-138006-2")</f>
        <v>CON-00-138006-2</v>
      </c>
      <c r="E993" s="186" t="str">
        <f>IFERROR(__xludf.DUMMYFUNCTION("""COMPUTED_VALUE"""),"Creamy leek pork tenderloin")</f>
        <v>Creamy leek pork tenderloin</v>
      </c>
      <c r="F993" s="186" t="str">
        <f>IFERROR(__xludf.DUMMYFUNCTION("""COMPUTED_VALUE"""),"Schweinefilet in cremiger Lauchsauce")</f>
        <v>Schweinefilet in cremiger Lauchsauce</v>
      </c>
      <c r="G993" s="186" t="str">
        <f>IFERROR(__xludf.DUMMYFUNCTION("""COMPUTED_VALUE"""),"FE4048B")</f>
        <v>FE4048B</v>
      </c>
      <c r="H993" s="186">
        <f>IFERROR(__xludf.DUMMYFUNCTION("""COMPUTED_VALUE"""),565293.0)</f>
        <v>565293</v>
      </c>
      <c r="I993" s="186" t="str">
        <f>IFERROR(__xludf.DUMMYFUNCTION("""COMPUTED_VALUE"""),"HF RW Romige prei varkenshaas")</f>
        <v>HF RW Romige prei varkenshaas</v>
      </c>
      <c r="J993" s="189">
        <f>IFERROR(__xludf.DUMMYFUNCTION("""COMPUTED_VALUE"""),345.0)</f>
        <v>345</v>
      </c>
      <c r="K993" s="189">
        <f>IFERROR(__xludf.DUMMYFUNCTION("""COMPUTED_VALUE"""),414.0)</f>
        <v>414</v>
      </c>
      <c r="L993" s="189">
        <f>IFERROR(__xludf.DUMMYFUNCTION("""COMPUTED_VALUE"""),356.0)</f>
        <v>356</v>
      </c>
      <c r="M993" s="189">
        <f>IFERROR(__xludf.DUMMYFUNCTION("""COMPUTED_VALUE"""),503.0)</f>
        <v>503</v>
      </c>
      <c r="N993" s="189">
        <f>IFERROR(__xludf.DUMMYFUNCTION("""COMPUTED_VALUE"""),514.0)</f>
        <v>514</v>
      </c>
      <c r="O993" s="189">
        <f>IFERROR(__xludf.DUMMYFUNCTION("""COMPUTED_VALUE"""),493.0)</f>
        <v>493</v>
      </c>
      <c r="P993" s="189">
        <f>IFERROR(__xludf.DUMMYFUNCTION("""COMPUTED_VALUE"""),495.0)</f>
        <v>495</v>
      </c>
      <c r="Q993" s="189">
        <f>IFERROR(__xludf.DUMMYFUNCTION("""COMPUTED_VALUE"""),507.0)</f>
        <v>507</v>
      </c>
      <c r="R993" s="186"/>
      <c r="S993" s="189">
        <f>IFERROR(__xludf.DUMMYFUNCTION("""COMPUTED_VALUE"""),448.0)</f>
        <v>448</v>
      </c>
    </row>
    <row r="994">
      <c r="A994" s="186" t="str">
        <f>IFERROR(__xludf.DUMMYFUNCTION("""COMPUTED_VALUE"""),"DE")</f>
        <v>DE</v>
      </c>
      <c r="B994" s="186" t="str">
        <f>IFERROR(__xludf.DUMMYFUNCTION("""COMPUTED_VALUE"""),"W18")</f>
        <v>W18</v>
      </c>
      <c r="C994" s="186">
        <f>IFERROR(__xludf.DUMMYFUNCTION("""COMPUTED_VALUE"""),312.0)</f>
        <v>312</v>
      </c>
      <c r="D994" s="186" t="str">
        <f>IFERROR(__xludf.DUMMYFUNCTION("""COMPUTED_VALUE"""),"CON-00-154552-2")</f>
        <v>CON-00-154552-2</v>
      </c>
      <c r="E994" s="186" t="str">
        <f>IFERROR(__xludf.DUMMYFUNCTION("""COMPUTED_VALUE"""),"Tzatziki Salmon &amp; Lemon Rice")</f>
        <v>Tzatziki Salmon &amp; Lemon Rice</v>
      </c>
      <c r="F994" s="186" t="str">
        <f>IFERROR(__xludf.DUMMYFUNCTION("""COMPUTED_VALUE"""),"Tzatziki-Lachs &amp; Zitronenreis")</f>
        <v>Tzatziki-Lachs &amp; Zitronenreis</v>
      </c>
      <c r="G994" s="186" t="str">
        <f>IFERROR(__xludf.DUMMYFUNCTION("""COMPUTED_VALUE"""),"FE1439A")</f>
        <v>FE1439A</v>
      </c>
      <c r="H994" s="186">
        <f>IFERROR(__xludf.DUMMYFUNCTION("""COMPUTED_VALUE"""),565236.0)</f>
        <v>565236</v>
      </c>
      <c r="I994" s="186" t="str">
        <f>IFERROR(__xludf.DUMMYFUNCTION("""COMPUTED_VALUE"""),"HF Zalm met citroen rijst")</f>
        <v>HF Zalm met citroen rijst</v>
      </c>
      <c r="J994" s="189">
        <f>IFERROR(__xludf.DUMMYFUNCTION("""COMPUTED_VALUE"""),0.0)</f>
        <v>0</v>
      </c>
      <c r="K994" s="189">
        <f>IFERROR(__xludf.DUMMYFUNCTION("""COMPUTED_VALUE"""),0.0)</f>
        <v>0</v>
      </c>
      <c r="L994" s="189">
        <f>IFERROR(__xludf.DUMMYFUNCTION("""COMPUTED_VALUE"""),1947.0)</f>
        <v>1947</v>
      </c>
      <c r="M994" s="189">
        <f>IFERROR(__xludf.DUMMYFUNCTION("""COMPUTED_VALUE"""),1688.0)</f>
        <v>1688</v>
      </c>
      <c r="N994" s="189">
        <f>IFERROR(__xludf.DUMMYFUNCTION("""COMPUTED_VALUE"""),1793.0)</f>
        <v>1793</v>
      </c>
      <c r="O994" s="189">
        <f>IFERROR(__xludf.DUMMYFUNCTION("""COMPUTED_VALUE"""),1793.0)</f>
        <v>1793</v>
      </c>
      <c r="P994" s="189">
        <f>IFERROR(__xludf.DUMMYFUNCTION("""COMPUTED_VALUE"""),1814.0)</f>
        <v>1814</v>
      </c>
      <c r="Q994" s="189">
        <f>IFERROR(__xludf.DUMMYFUNCTION("""COMPUTED_VALUE"""),1783.0)</f>
        <v>1783</v>
      </c>
      <c r="R994" s="186"/>
      <c r="S994" s="189">
        <f>IFERROR(__xludf.DUMMYFUNCTION("""COMPUTED_VALUE"""),1826.0)</f>
        <v>1826</v>
      </c>
    </row>
    <row r="995">
      <c r="A995" s="186" t="str">
        <f>IFERROR(__xludf.DUMMYFUNCTION("""COMPUTED_VALUE"""),"DE")</f>
        <v>DE</v>
      </c>
      <c r="B995" s="186" t="str">
        <f>IFERROR(__xludf.DUMMYFUNCTION("""COMPUTED_VALUE"""),"W18")</f>
        <v>W18</v>
      </c>
      <c r="C995" s="186">
        <f>IFERROR(__xludf.DUMMYFUNCTION("""COMPUTED_VALUE"""),313.0)</f>
        <v>313</v>
      </c>
      <c r="D995" s="186" t="str">
        <f>IFERROR(__xludf.DUMMYFUNCTION("""COMPUTED_VALUE"""),"CON-00-168676-2")</f>
        <v>CON-00-168676-2</v>
      </c>
      <c r="E995" s="186" t="str">
        <f>IFERROR(__xludf.DUMMYFUNCTION("""COMPUTED_VALUE"""),"Chicken &amp; Mushroom Tetrazzini")</f>
        <v>Chicken &amp; Mushroom Tetrazzini</v>
      </c>
      <c r="F995" s="186" t="str">
        <f>IFERROR(__xludf.DUMMYFUNCTION("""COMPUTED_VALUE"""),"Hähnchen-Pilz-Tetrazzini")</f>
        <v>Hähnchen-Pilz-Tetrazzini</v>
      </c>
      <c r="G995" s="186" t="str">
        <f>IFERROR(__xludf.DUMMYFUNCTION("""COMPUTED_VALUE"""),"FE0386A")</f>
        <v>FE0386A</v>
      </c>
      <c r="H995" s="186">
        <f>IFERROR(__xludf.DUMMYFUNCTION("""COMPUTED_VALUE"""),565278.0)</f>
        <v>565278</v>
      </c>
      <c r="I995" s="186" t="str">
        <f>IFERROR(__xludf.DUMMYFUNCTION("""COMPUTED_VALUE"""),"HF Pulled chicken tetrazzini")</f>
        <v>HF Pulled chicken tetrazzini</v>
      </c>
      <c r="J995" s="189">
        <f>IFERROR(__xludf.DUMMYFUNCTION("""COMPUTED_VALUE"""),1504.0)</f>
        <v>1504</v>
      </c>
      <c r="K995" s="189">
        <f>IFERROR(__xludf.DUMMYFUNCTION("""COMPUTED_VALUE"""),1513.0)</f>
        <v>1513</v>
      </c>
      <c r="L995" s="189">
        <f>IFERROR(__xludf.DUMMYFUNCTION("""COMPUTED_VALUE"""),1674.0)</f>
        <v>1674</v>
      </c>
      <c r="M995" s="189">
        <f>IFERROR(__xludf.DUMMYFUNCTION("""COMPUTED_VALUE"""),1795.0)</f>
        <v>1795</v>
      </c>
      <c r="N995" s="189">
        <f>IFERROR(__xludf.DUMMYFUNCTION("""COMPUTED_VALUE"""),1783.0)</f>
        <v>1783</v>
      </c>
      <c r="O995" s="189">
        <f>IFERROR(__xludf.DUMMYFUNCTION("""COMPUTED_VALUE"""),1806.0)</f>
        <v>1806</v>
      </c>
      <c r="P995" s="189">
        <f>IFERROR(__xludf.DUMMYFUNCTION("""COMPUTED_VALUE"""),1781.0)</f>
        <v>1781</v>
      </c>
      <c r="Q995" s="189">
        <f>IFERROR(__xludf.DUMMYFUNCTION("""COMPUTED_VALUE"""),1772.0)</f>
        <v>1772</v>
      </c>
      <c r="R995" s="186"/>
      <c r="S995" s="189">
        <f>IFERROR(__xludf.DUMMYFUNCTION("""COMPUTED_VALUE"""),1680.0)</f>
        <v>1680</v>
      </c>
    </row>
    <row r="996">
      <c r="A996" s="186" t="str">
        <f>IFERROR(__xludf.DUMMYFUNCTION("""COMPUTED_VALUE"""),"DE")</f>
        <v>DE</v>
      </c>
      <c r="B996" s="186" t="str">
        <f>IFERROR(__xludf.DUMMYFUNCTION("""COMPUTED_VALUE"""),"W18")</f>
        <v>W18</v>
      </c>
      <c r="C996" s="186">
        <f>IFERROR(__xludf.DUMMYFUNCTION("""COMPUTED_VALUE"""),314.0)</f>
        <v>314</v>
      </c>
      <c r="D996" s="186" t="str">
        <f>IFERROR(__xludf.DUMMYFUNCTION("""COMPUTED_VALUE"""),"CON-00-136713-3")</f>
        <v>CON-00-136713-3</v>
      </c>
      <c r="E996" s="186" t="str">
        <f>IFERROR(__xludf.DUMMYFUNCTION("""COMPUTED_VALUE"""),"Minced beef dish with cheese sauce")</f>
        <v>Minced beef dish with cheese sauce</v>
      </c>
      <c r="F996" s="186" t="str">
        <f>IFERROR(__xludf.DUMMYFUNCTION("""COMPUTED_VALUE"""),"Rindhackfleisch mit Käsesauce")</f>
        <v>Rindhackfleisch mit Käsesauce</v>
      </c>
      <c r="G996" s="186" t="str">
        <f>IFERROR(__xludf.DUMMYFUNCTION("""COMPUTED_VALUE"""),"FE0612C")</f>
        <v>FE0612C</v>
      </c>
      <c r="H996" s="186">
        <f>IFERROR(__xludf.DUMMYFUNCTION("""COMPUTED_VALUE"""),565100.0)</f>
        <v>565100</v>
      </c>
      <c r="I996" s="186"/>
      <c r="J996" s="189">
        <f>IFERROR(__xludf.DUMMYFUNCTION("""COMPUTED_VALUE"""),0.0)</f>
        <v>0</v>
      </c>
      <c r="K996" s="189">
        <f>IFERROR(__xludf.DUMMYFUNCTION("""COMPUTED_VALUE"""),0.0)</f>
        <v>0</v>
      </c>
      <c r="L996" s="189">
        <f>IFERROR(__xludf.DUMMYFUNCTION("""COMPUTED_VALUE"""),75.0)</f>
        <v>75</v>
      </c>
      <c r="M996" s="189">
        <f>IFERROR(__xludf.DUMMYFUNCTION("""COMPUTED_VALUE"""),805.0)</f>
        <v>805</v>
      </c>
      <c r="N996" s="189">
        <f>IFERROR(__xludf.DUMMYFUNCTION("""COMPUTED_VALUE"""),803.0)</f>
        <v>803</v>
      </c>
      <c r="O996" s="189">
        <f>IFERROR(__xludf.DUMMYFUNCTION("""COMPUTED_VALUE"""),806.0)</f>
        <v>806</v>
      </c>
      <c r="P996" s="189">
        <f>IFERROR(__xludf.DUMMYFUNCTION("""COMPUTED_VALUE"""),820.0)</f>
        <v>820</v>
      </c>
      <c r="Q996" s="189">
        <f>IFERROR(__xludf.DUMMYFUNCTION("""COMPUTED_VALUE"""),804.0)</f>
        <v>804</v>
      </c>
      <c r="R996" s="186"/>
      <c r="S996" s="189">
        <f>IFERROR(__xludf.DUMMYFUNCTION("""COMPUTED_VALUE"""),739.0)</f>
        <v>739</v>
      </c>
    </row>
    <row r="997">
      <c r="A997" s="186" t="str">
        <f>IFERROR(__xludf.DUMMYFUNCTION("""COMPUTED_VALUE"""),"DE")</f>
        <v>DE</v>
      </c>
      <c r="B997" s="186" t="str">
        <f>IFERROR(__xludf.DUMMYFUNCTION("""COMPUTED_VALUE"""),"W18")</f>
        <v>W18</v>
      </c>
      <c r="C997" s="186">
        <f>IFERROR(__xludf.DUMMYFUNCTION("""COMPUTED_VALUE"""),315.0)</f>
        <v>315</v>
      </c>
      <c r="D997" s="186" t="str">
        <f>IFERROR(__xludf.DUMMYFUNCTION("""COMPUTED_VALUE"""),"CON-00-136657-3")</f>
        <v>CON-00-136657-3</v>
      </c>
      <c r="E997" s="186" t="str">
        <f>IFERROR(__xludf.DUMMYFUNCTION("""COMPUTED_VALUE"""),"Courgette-spaghetti bolognese")</f>
        <v>Courgette-spaghetti bolognese</v>
      </c>
      <c r="F997" s="186" t="str">
        <f>IFERROR(__xludf.DUMMYFUNCTION("""COMPUTED_VALUE"""),"Zucchini-Spaghetti Bolognese")</f>
        <v>Zucchini-Spaghetti Bolognese</v>
      </c>
      <c r="G997" s="186" t="str">
        <f>IFERROR(__xludf.DUMMYFUNCTION("""COMPUTED_VALUE"""),"FE0849B")</f>
        <v>FE0849B</v>
      </c>
      <c r="H997" s="186">
        <f>IFERROR(__xludf.DUMMYFUNCTION("""COMPUTED_VALUE"""),565260.0)</f>
        <v>565260</v>
      </c>
      <c r="I997" s="186" t="str">
        <f>IFERROR(__xludf.DUMMYFUNCTION("""COMPUTED_VALUE"""),"HF RW Courgette-spagh bolognes")</f>
        <v>HF RW Courgette-spagh bolognes</v>
      </c>
      <c r="J997" s="189">
        <f>IFERROR(__xludf.DUMMYFUNCTION("""COMPUTED_VALUE"""),712.0)</f>
        <v>712</v>
      </c>
      <c r="K997" s="189">
        <f>IFERROR(__xludf.DUMMYFUNCTION("""COMPUTED_VALUE"""),756.0)</f>
        <v>756</v>
      </c>
      <c r="L997" s="189">
        <f>IFERROR(__xludf.DUMMYFUNCTION("""COMPUTED_VALUE"""),865.0)</f>
        <v>865</v>
      </c>
      <c r="M997" s="189">
        <f>IFERROR(__xludf.DUMMYFUNCTION("""COMPUTED_VALUE"""),580.0)</f>
        <v>580</v>
      </c>
      <c r="N997" s="189">
        <f>IFERROR(__xludf.DUMMYFUNCTION("""COMPUTED_VALUE"""),599.0)</f>
        <v>599</v>
      </c>
      <c r="O997" s="189">
        <f>IFERROR(__xludf.DUMMYFUNCTION("""COMPUTED_VALUE"""),632.0)</f>
        <v>632</v>
      </c>
      <c r="P997" s="189">
        <f>IFERROR(__xludf.DUMMYFUNCTION("""COMPUTED_VALUE"""),636.0)</f>
        <v>636</v>
      </c>
      <c r="Q997" s="189">
        <f>IFERROR(__xludf.DUMMYFUNCTION("""COMPUTED_VALUE"""),640.0)</f>
        <v>640</v>
      </c>
      <c r="R997" s="186"/>
      <c r="S997" s="189">
        <f>IFERROR(__xludf.DUMMYFUNCTION("""COMPUTED_VALUE"""),649.0)</f>
        <v>649</v>
      </c>
    </row>
    <row r="998">
      <c r="A998" s="186" t="str">
        <f>IFERROR(__xludf.DUMMYFUNCTION("""COMPUTED_VALUE"""),"DE")</f>
        <v>DE</v>
      </c>
      <c r="B998" s="186" t="str">
        <f>IFERROR(__xludf.DUMMYFUNCTION("""COMPUTED_VALUE"""),"W18")</f>
        <v>W18</v>
      </c>
      <c r="C998" s="186">
        <f>IFERROR(__xludf.DUMMYFUNCTION("""COMPUTED_VALUE"""),316.0)</f>
        <v>316</v>
      </c>
      <c r="D998" s="186"/>
      <c r="E998" s="186"/>
      <c r="F998" s="186"/>
      <c r="G998" s="186"/>
      <c r="H998" s="186"/>
      <c r="I998" s="186"/>
      <c r="J998" s="189">
        <f>IFERROR(__xludf.DUMMYFUNCTION("""COMPUTED_VALUE"""),0.0)</f>
        <v>0</v>
      </c>
      <c r="K998" s="189">
        <f>IFERROR(__xludf.DUMMYFUNCTION("""COMPUTED_VALUE"""),0.0)</f>
        <v>0</v>
      </c>
      <c r="L998" s="189">
        <f>IFERROR(__xludf.DUMMYFUNCTION("""COMPUTED_VALUE"""),0.0)</f>
        <v>0</v>
      </c>
      <c r="M998" s="189">
        <f>IFERROR(__xludf.DUMMYFUNCTION("""COMPUTED_VALUE"""),0.0)</f>
        <v>0</v>
      </c>
      <c r="N998" s="189">
        <f>IFERROR(__xludf.DUMMYFUNCTION("""COMPUTED_VALUE"""),0.0)</f>
        <v>0</v>
      </c>
      <c r="O998" s="189">
        <f>IFERROR(__xludf.DUMMYFUNCTION("""COMPUTED_VALUE"""),0.0)</f>
        <v>0</v>
      </c>
      <c r="P998" s="189">
        <f>IFERROR(__xludf.DUMMYFUNCTION("""COMPUTED_VALUE"""),0.0)</f>
        <v>0</v>
      </c>
      <c r="Q998" s="189">
        <f>IFERROR(__xludf.DUMMYFUNCTION("""COMPUTED_VALUE"""),0.0)</f>
        <v>0</v>
      </c>
      <c r="R998" s="186"/>
      <c r="S998" s="189">
        <f>IFERROR(__xludf.DUMMYFUNCTION("""COMPUTED_VALUE"""),0.0)</f>
        <v>0</v>
      </c>
    </row>
    <row r="999">
      <c r="A999" s="186" t="str">
        <f>IFERROR(__xludf.DUMMYFUNCTION("""COMPUTED_VALUE"""),"DE")</f>
        <v>DE</v>
      </c>
      <c r="B999" s="186" t="str">
        <f>IFERROR(__xludf.DUMMYFUNCTION("""COMPUTED_VALUE"""),"W18")</f>
        <v>W18</v>
      </c>
      <c r="C999" s="186">
        <f>IFERROR(__xludf.DUMMYFUNCTION("""COMPUTED_VALUE"""),317.0)</f>
        <v>317</v>
      </c>
      <c r="D999" s="186" t="str">
        <f>IFERROR(__xludf.DUMMYFUNCTION("""COMPUTED_VALUE"""),"CON-00-136664-3")</f>
        <v>CON-00-136664-3</v>
      </c>
      <c r="E999" s="186" t="str">
        <f>IFERROR(__xludf.DUMMYFUNCTION("""COMPUTED_VALUE"""),"Pork tenderloin in sundried tomato sauce")</f>
        <v>Pork tenderloin in sundried tomato sauce</v>
      </c>
      <c r="F999" s="186" t="str">
        <f>IFERROR(__xludf.DUMMYFUNCTION("""COMPUTED_VALUE"""),"Schweinefilet in Sonnentomaten-Sauce")</f>
        <v>Schweinefilet in Sonnentomaten-Sauce</v>
      </c>
      <c r="G999" s="186" t="str">
        <f>IFERROR(__xludf.DUMMYFUNCTION("""COMPUTED_VALUE"""),"FE4006A")</f>
        <v>FE4006A</v>
      </c>
      <c r="H999" s="186">
        <f>IFERROR(__xludf.DUMMYFUNCTION("""COMPUTED_VALUE"""),565063.0)</f>
        <v>565063</v>
      </c>
      <c r="I999" s="186" t="str">
        <f>IFERROR(__xludf.DUMMYFUNCTION("""COMPUTED_VALUE"""),"HF Varkenshaas met tomatensaus 384g")</f>
        <v>HF Varkenshaas met tomatensaus 384g</v>
      </c>
      <c r="J999" s="189">
        <f>IFERROR(__xludf.DUMMYFUNCTION("""COMPUTED_VALUE"""),822.0)</f>
        <v>822</v>
      </c>
      <c r="K999" s="189">
        <f>IFERROR(__xludf.DUMMYFUNCTION("""COMPUTED_VALUE"""),837.0)</f>
        <v>837</v>
      </c>
      <c r="L999" s="189">
        <f>IFERROR(__xludf.DUMMYFUNCTION("""COMPUTED_VALUE"""),745.0)</f>
        <v>745</v>
      </c>
      <c r="M999" s="189">
        <f>IFERROR(__xludf.DUMMYFUNCTION("""COMPUTED_VALUE"""),1002.0)</f>
        <v>1002</v>
      </c>
      <c r="N999" s="189">
        <f>IFERROR(__xludf.DUMMYFUNCTION("""COMPUTED_VALUE"""),1043.0)</f>
        <v>1043</v>
      </c>
      <c r="O999" s="189">
        <f>IFERROR(__xludf.DUMMYFUNCTION("""COMPUTED_VALUE"""),1052.0)</f>
        <v>1052</v>
      </c>
      <c r="P999" s="189">
        <f>IFERROR(__xludf.DUMMYFUNCTION("""COMPUTED_VALUE"""),1036.0)</f>
        <v>1036</v>
      </c>
      <c r="Q999" s="189">
        <f>IFERROR(__xludf.DUMMYFUNCTION("""COMPUTED_VALUE"""),1048.0)</f>
        <v>1048</v>
      </c>
      <c r="R999" s="186"/>
      <c r="S999" s="189">
        <f>IFERROR(__xludf.DUMMYFUNCTION("""COMPUTED_VALUE"""),1040.0)</f>
        <v>1040</v>
      </c>
    </row>
    <row r="1000">
      <c r="A1000" s="186" t="str">
        <f>IFERROR(__xludf.DUMMYFUNCTION("""COMPUTED_VALUE"""),"DE")</f>
        <v>DE</v>
      </c>
      <c r="B1000" s="186" t="str">
        <f>IFERROR(__xludf.DUMMYFUNCTION("""COMPUTED_VALUE"""),"W18")</f>
        <v>W18</v>
      </c>
      <c r="C1000" s="186">
        <f>IFERROR(__xludf.DUMMYFUNCTION("""COMPUTED_VALUE"""),318.0)</f>
        <v>318</v>
      </c>
      <c r="D1000" s="186" t="str">
        <f>IFERROR(__xludf.DUMMYFUNCTION("""COMPUTED_VALUE"""),"CON-00-136639-3")</f>
        <v>CON-00-136639-3</v>
      </c>
      <c r="E1000" s="186" t="str">
        <f>IFERROR(__xludf.DUMMYFUNCTION("""COMPUTED_VALUE"""),"Pork tenderloin in red pepper sauce")</f>
        <v>Pork tenderloin in red pepper sauce</v>
      </c>
      <c r="F1000" s="186" t="str">
        <f>IFERROR(__xludf.DUMMYFUNCTION("""COMPUTED_VALUE"""),"Schweinefilet in Paprikasauce")</f>
        <v>Schweinefilet in Paprikasauce</v>
      </c>
      <c r="G1000" s="186" t="str">
        <f>IFERROR(__xludf.DUMMYFUNCTION("""COMPUTED_VALUE"""),"FE0430E")</f>
        <v>FE0430E</v>
      </c>
      <c r="H1000" s="186">
        <f>IFERROR(__xludf.DUMMYFUNCTION("""COMPUTED_VALUE"""),565140.0)</f>
        <v>565140</v>
      </c>
      <c r="I1000" s="186"/>
      <c r="J1000" s="189">
        <f>IFERROR(__xludf.DUMMYFUNCTION("""COMPUTED_VALUE"""),435.0)</f>
        <v>435</v>
      </c>
      <c r="K1000" s="189">
        <f>IFERROR(__xludf.DUMMYFUNCTION("""COMPUTED_VALUE"""),438.0)</f>
        <v>438</v>
      </c>
      <c r="L1000" s="189">
        <f>IFERROR(__xludf.DUMMYFUNCTION("""COMPUTED_VALUE"""),526.0)</f>
        <v>526</v>
      </c>
      <c r="M1000" s="189">
        <f>IFERROR(__xludf.DUMMYFUNCTION("""COMPUTED_VALUE"""),478.0)</f>
        <v>478</v>
      </c>
      <c r="N1000" s="189">
        <f>IFERROR(__xludf.DUMMYFUNCTION("""COMPUTED_VALUE"""),541.0)</f>
        <v>541</v>
      </c>
      <c r="O1000" s="189">
        <f>IFERROR(__xludf.DUMMYFUNCTION("""COMPUTED_VALUE"""),544.0)</f>
        <v>544</v>
      </c>
      <c r="P1000" s="189">
        <f>IFERROR(__xludf.DUMMYFUNCTION("""COMPUTED_VALUE"""),546.0)</f>
        <v>546</v>
      </c>
      <c r="Q1000" s="189">
        <f>IFERROR(__xludf.DUMMYFUNCTION("""COMPUTED_VALUE"""),536.0)</f>
        <v>536</v>
      </c>
      <c r="R1000" s="186"/>
      <c r="S1000" s="189">
        <f>IFERROR(__xludf.DUMMYFUNCTION("""COMPUTED_VALUE"""),524.0)</f>
        <v>524</v>
      </c>
    </row>
    <row r="1001">
      <c r="A1001" s="186" t="str">
        <f>IFERROR(__xludf.DUMMYFUNCTION("""COMPUTED_VALUE"""),"DE")</f>
        <v>DE</v>
      </c>
      <c r="B1001" s="186" t="str">
        <f>IFERROR(__xludf.DUMMYFUNCTION("""COMPUTED_VALUE"""),"W18")</f>
        <v>W18</v>
      </c>
      <c r="C1001" s="186">
        <f>IFERROR(__xludf.DUMMYFUNCTION("""COMPUTED_VALUE"""),206.0)</f>
        <v>206</v>
      </c>
      <c r="D1001" s="186" t="str">
        <f>IFERROR(__xludf.DUMMYFUNCTION("""COMPUTED_VALUE"""),"PTN-00-136930-3")</f>
        <v>PTN-00-136930-3</v>
      </c>
      <c r="E1001" s="186" t="str">
        <f>IFERROR(__xludf.DUMMYFUNCTION("""COMPUTED_VALUE"""),"Garlic Herb Grilled Chicken")</f>
        <v>Garlic Herb Grilled Chicken</v>
      </c>
      <c r="F1001" s="186" t="str">
        <f>IFERROR(__xludf.DUMMYFUNCTION("""COMPUTED_VALUE"""),"Gegrilltes Hähnchen mit Knoblauch-Kräutern")</f>
        <v>Gegrilltes Hähnchen mit Knoblauch-Kräutern</v>
      </c>
      <c r="G1001" s="186" t="str">
        <f>IFERROR(__xludf.DUMMYFUNCTION("""COMPUTED_VALUE"""),"FEA006A")</f>
        <v>FEA006A</v>
      </c>
      <c r="H1001" s="186">
        <f>IFERROR(__xludf.DUMMYFUNCTION("""COMPUTED_VALUE"""),565119.0)</f>
        <v>565119</v>
      </c>
      <c r="I1001" s="186"/>
      <c r="J1001" s="189">
        <f>IFERROR(__xludf.DUMMYFUNCTION("""COMPUTED_VALUE"""),67.0)</f>
        <v>67</v>
      </c>
      <c r="K1001" s="189">
        <f>IFERROR(__xludf.DUMMYFUNCTION("""COMPUTED_VALUE"""),67.0)</f>
        <v>67</v>
      </c>
      <c r="L1001" s="189">
        <f>IFERROR(__xludf.DUMMYFUNCTION("""COMPUTED_VALUE"""),67.0)</f>
        <v>67</v>
      </c>
      <c r="M1001" s="189">
        <f>IFERROR(__xludf.DUMMYFUNCTION("""COMPUTED_VALUE"""),67.0)</f>
        <v>67</v>
      </c>
      <c r="N1001" s="189">
        <f>IFERROR(__xludf.DUMMYFUNCTION("""COMPUTED_VALUE"""),67.0)</f>
        <v>67</v>
      </c>
      <c r="O1001" s="189">
        <f>IFERROR(__xludf.DUMMYFUNCTION("""COMPUTED_VALUE"""),67.0)</f>
        <v>67</v>
      </c>
      <c r="P1001" s="189">
        <f>IFERROR(__xludf.DUMMYFUNCTION("""COMPUTED_VALUE"""),67.0)</f>
        <v>67</v>
      </c>
      <c r="Q1001" s="189">
        <f>IFERROR(__xludf.DUMMYFUNCTION("""COMPUTED_VALUE"""),67.0)</f>
        <v>67</v>
      </c>
      <c r="R1001" s="186"/>
      <c r="S1001" s="189">
        <f>IFERROR(__xludf.DUMMYFUNCTION("""COMPUTED_VALUE"""),45.0)</f>
        <v>45</v>
      </c>
    </row>
    <row r="1002">
      <c r="A1002" s="186" t="str">
        <f>IFERROR(__xludf.DUMMYFUNCTION("""COMPUTED_VALUE"""),"DE")</f>
        <v>DE</v>
      </c>
      <c r="B1002" s="186" t="str">
        <f>IFERROR(__xludf.DUMMYFUNCTION("""COMPUTED_VALUE"""),"W18")</f>
        <v>W18</v>
      </c>
      <c r="C1002" s="186"/>
      <c r="D1002" s="186"/>
      <c r="E1002" s="186"/>
      <c r="F1002" s="186"/>
      <c r="G1002" s="186"/>
      <c r="H1002" s="186"/>
      <c r="I1002" s="186"/>
      <c r="J1002" s="189">
        <f>IFERROR(__xludf.DUMMYFUNCTION("""COMPUTED_VALUE"""),13550.0)</f>
        <v>13550</v>
      </c>
      <c r="K1002" s="189">
        <f>IFERROR(__xludf.DUMMYFUNCTION("""COMPUTED_VALUE"""),13530.0)</f>
        <v>13530</v>
      </c>
      <c r="L1002" s="189">
        <f>IFERROR(__xludf.DUMMYFUNCTION("""COMPUTED_VALUE"""),15297.0)</f>
        <v>15297</v>
      </c>
      <c r="M1002" s="189">
        <f>IFERROR(__xludf.DUMMYFUNCTION("""COMPUTED_VALUE"""),19591.0)</f>
        <v>19591</v>
      </c>
      <c r="N1002" s="189">
        <f>IFERROR(__xludf.DUMMYFUNCTION("""COMPUTED_VALUE"""),22241.0)</f>
        <v>22241</v>
      </c>
      <c r="O1002" s="189">
        <f>IFERROR(__xludf.DUMMYFUNCTION("""COMPUTED_VALUE"""),22802.0)</f>
        <v>22802</v>
      </c>
      <c r="P1002" s="189">
        <f>IFERROR(__xludf.DUMMYFUNCTION("""COMPUTED_VALUE"""),22940.0)</f>
        <v>22940</v>
      </c>
      <c r="Q1002" s="189">
        <f>IFERROR(__xludf.DUMMYFUNCTION("""COMPUTED_VALUE"""),22683.0)</f>
        <v>22683</v>
      </c>
      <c r="R1002" s="189">
        <f>IFERROR(__xludf.DUMMYFUNCTION("""COMPUTED_VALUE"""),0.0)</f>
        <v>0</v>
      </c>
      <c r="S1002" s="189">
        <f>IFERROR(__xludf.DUMMYFUNCTION("""COMPUTED_VALUE"""),23596.0)</f>
        <v>23596</v>
      </c>
    </row>
    <row r="1003">
      <c r="A1003" s="186" t="str">
        <f>IFERROR(__xludf.DUMMYFUNCTION("""COMPUTED_VALUE"""),"NORDICS")</f>
        <v>NORDICS</v>
      </c>
      <c r="B1003" s="186" t="str">
        <f>IFERROR(__xludf.DUMMYFUNCTION("""COMPUTED_VALUE"""),"W19")</f>
        <v>W19</v>
      </c>
      <c r="C1003" s="186">
        <f>IFERROR(__xludf.DUMMYFUNCTION("""COMPUTED_VALUE"""),601.0)</f>
        <v>601</v>
      </c>
      <c r="D1003" s="186" t="str">
        <f>IFERROR(__xludf.DUMMYFUNCTION("""COMPUTED_VALUE"""),"CON-00-147878-2")</f>
        <v>CON-00-147878-2</v>
      </c>
      <c r="E1003" s="186" t="str">
        <f>IFERROR(__xludf.DUMMYFUNCTION("""COMPUTED_VALUE"""),"Grilled chicken and ratatouille")</f>
        <v>Grilled chicken and ratatouille</v>
      </c>
      <c r="F1003" s="186" t="str">
        <f>IFERROR(__xludf.DUMMYFUNCTION("""COMPUTED_VALUE"""),"Grillet kylling med ratatouille")</f>
        <v>Grillet kylling med ratatouille</v>
      </c>
      <c r="G1003" s="186" t="str">
        <f>IFERROR(__xludf.DUMMYFUNCTION("""COMPUTED_VALUE"""),"FE4015B")</f>
        <v>FE4015B</v>
      </c>
      <c r="H1003" s="186">
        <f>IFERROR(__xludf.DUMMYFUNCTION("""COMPUTED_VALUE"""),565072.0)</f>
        <v>565072</v>
      </c>
      <c r="I1003" s="186" t="str">
        <f>IFERROR(__xludf.DUMMYFUNCTION("""COMPUTED_VALUE"""),"HF Kipfilet met Ratatouille")</f>
        <v>HF Kipfilet met Ratatouille</v>
      </c>
      <c r="J1003" s="189">
        <f>IFERROR(__xludf.DUMMYFUNCTION("""COMPUTED_VALUE"""),3554.0)</f>
        <v>3554</v>
      </c>
      <c r="K1003" s="189">
        <f>IFERROR(__xludf.DUMMYFUNCTION("""COMPUTED_VALUE"""),3455.0)</f>
        <v>3455</v>
      </c>
      <c r="L1003" s="189">
        <f>IFERROR(__xludf.DUMMYFUNCTION("""COMPUTED_VALUE"""),3765.0)</f>
        <v>3765</v>
      </c>
      <c r="M1003" s="189">
        <f>IFERROR(__xludf.DUMMYFUNCTION("""COMPUTED_VALUE"""),3705.0)</f>
        <v>3705</v>
      </c>
      <c r="N1003" s="189">
        <f>IFERROR(__xludf.DUMMYFUNCTION("""COMPUTED_VALUE"""),3774.0)</f>
        <v>3774</v>
      </c>
      <c r="O1003" s="186"/>
      <c r="P1003" s="189">
        <f>IFERROR(__xludf.DUMMYFUNCTION("""COMPUTED_VALUE"""),3769.0)</f>
        <v>3769</v>
      </c>
      <c r="Q1003" s="189">
        <f>IFERROR(__xludf.DUMMYFUNCTION("""COMPUTED_VALUE"""),3760.0)</f>
        <v>3760</v>
      </c>
      <c r="R1003" s="186"/>
      <c r="S1003" s="189">
        <f>IFERROR(__xludf.DUMMYFUNCTION("""COMPUTED_VALUE"""),3731.0)</f>
        <v>3731</v>
      </c>
    </row>
    <row r="1004">
      <c r="A1004" s="186" t="str">
        <f>IFERROR(__xludf.DUMMYFUNCTION("""COMPUTED_VALUE"""),"NORDICS")</f>
        <v>NORDICS</v>
      </c>
      <c r="B1004" s="186" t="str">
        <f>IFERROR(__xludf.DUMMYFUNCTION("""COMPUTED_VALUE"""),"W19")</f>
        <v>W19</v>
      </c>
      <c r="C1004" s="186">
        <f>IFERROR(__xludf.DUMMYFUNCTION("""COMPUTED_VALUE"""),602.0)</f>
        <v>602</v>
      </c>
      <c r="D1004" s="186" t="str">
        <f>IFERROR(__xludf.DUMMYFUNCTION("""COMPUTED_VALUE"""),"CON-00-152208-2")</f>
        <v>CON-00-152208-2</v>
      </c>
      <c r="E1004" s="186" t="str">
        <f>IFERROR(__xludf.DUMMYFUNCTION("""COMPUTED_VALUE"""),"Green Chile Chicken &amp; Salsa Quinoa")</f>
        <v>Green Chile Chicken &amp; Salsa Quinoa</v>
      </c>
      <c r="F1004" s="186" t="str">
        <f>IFERROR(__xludf.DUMMYFUNCTION("""COMPUTED_VALUE"""),"Chilensk inspireret kylling med salsa-quinoa")</f>
        <v>Chilensk inspireret kylling med salsa-quinoa</v>
      </c>
      <c r="G1004" s="186" t="str">
        <f>IFERROR(__xludf.DUMMYFUNCTION("""COMPUTED_VALUE"""),"FE1636A")</f>
        <v>FE1636A</v>
      </c>
      <c r="H1004" s="186">
        <f>IFERROR(__xludf.DUMMYFUNCTION("""COMPUTED_VALUE"""),565209.0)</f>
        <v>565209</v>
      </c>
      <c r="I1004" s="186" t="str">
        <f>IFERROR(__xludf.DUMMYFUNCTION("""COMPUTED_VALUE"""),"HF Quinoa witte bonen salsa")</f>
        <v>HF Quinoa witte bonen salsa</v>
      </c>
      <c r="J1004" s="189">
        <f>IFERROR(__xludf.DUMMYFUNCTION("""COMPUTED_VALUE"""),2290.0)</f>
        <v>2290</v>
      </c>
      <c r="K1004" s="189">
        <f>IFERROR(__xludf.DUMMYFUNCTION("""COMPUTED_VALUE"""),2276.0)</f>
        <v>2276</v>
      </c>
      <c r="L1004" s="189">
        <f>IFERROR(__xludf.DUMMYFUNCTION("""COMPUTED_VALUE"""),2488.0)</f>
        <v>2488</v>
      </c>
      <c r="M1004" s="189">
        <f>IFERROR(__xludf.DUMMYFUNCTION("""COMPUTED_VALUE"""),2530.0)</f>
        <v>2530</v>
      </c>
      <c r="N1004" s="189">
        <f>IFERROR(__xludf.DUMMYFUNCTION("""COMPUTED_VALUE"""),2568.0)</f>
        <v>2568</v>
      </c>
      <c r="O1004" s="186"/>
      <c r="P1004" s="189">
        <f>IFERROR(__xludf.DUMMYFUNCTION("""COMPUTED_VALUE"""),2570.0)</f>
        <v>2570</v>
      </c>
      <c r="Q1004" s="189">
        <f>IFERROR(__xludf.DUMMYFUNCTION("""COMPUTED_VALUE"""),2546.0)</f>
        <v>2546</v>
      </c>
      <c r="R1004" s="186"/>
      <c r="S1004" s="189">
        <f>IFERROR(__xludf.DUMMYFUNCTION("""COMPUTED_VALUE"""),2460.0)</f>
        <v>2460</v>
      </c>
    </row>
    <row r="1005">
      <c r="A1005" s="186" t="str">
        <f>IFERROR(__xludf.DUMMYFUNCTION("""COMPUTED_VALUE"""),"NORDICS")</f>
        <v>NORDICS</v>
      </c>
      <c r="B1005" s="186" t="str">
        <f>IFERROR(__xludf.DUMMYFUNCTION("""COMPUTED_VALUE"""),"W19")</f>
        <v>W19</v>
      </c>
      <c r="C1005" s="186">
        <f>IFERROR(__xludf.DUMMYFUNCTION("""COMPUTED_VALUE"""),603.0)</f>
        <v>603</v>
      </c>
      <c r="D1005" s="186" t="str">
        <f>IFERROR(__xludf.DUMMYFUNCTION("""COMPUTED_VALUE"""),"CON-00-147839-2")</f>
        <v>CON-00-147839-2</v>
      </c>
      <c r="E1005" s="186" t="str">
        <f>IFERROR(__xludf.DUMMYFUNCTION("""COMPUTED_VALUE"""),"Braised beef in herby jus")</f>
        <v>Braised beef in herby jus</v>
      </c>
      <c r="F1005" s="186" t="str">
        <f>IFERROR(__xludf.DUMMYFUNCTION("""COMPUTED_VALUE"""),"Braiseret oksekød i urtesky")</f>
        <v>Braiseret oksekød i urtesky</v>
      </c>
      <c r="G1005" s="186" t="str">
        <f>IFERROR(__xludf.DUMMYFUNCTION("""COMPUTED_VALUE"""),"FE0413G")</f>
        <v>FE0413G</v>
      </c>
      <c r="H1005" s="186">
        <f>IFERROR(__xludf.DUMMYFUNCTION("""COMPUTED_VALUE"""),565309.0)</f>
        <v>565309</v>
      </c>
      <c r="I1005" s="186" t="str">
        <f>IFERROR(__xludf.DUMMYFUNCTION("""COMPUTED_VALUE"""),"HF RW French onion pulled beef")</f>
        <v>HF RW French onion pulled beef</v>
      </c>
      <c r="J1005" s="189">
        <f>IFERROR(__xludf.DUMMYFUNCTION("""COMPUTED_VALUE"""),0.0)</f>
        <v>0</v>
      </c>
      <c r="K1005" s="189">
        <f>IFERROR(__xludf.DUMMYFUNCTION("""COMPUTED_VALUE"""),0.0)</f>
        <v>0</v>
      </c>
      <c r="L1005" s="189">
        <f>IFERROR(__xludf.DUMMYFUNCTION("""COMPUTED_VALUE"""),0.0)</f>
        <v>0</v>
      </c>
      <c r="M1005" s="189">
        <f>IFERROR(__xludf.DUMMYFUNCTION("""COMPUTED_VALUE"""),2243.0)</f>
        <v>2243</v>
      </c>
      <c r="N1005" s="189">
        <f>IFERROR(__xludf.DUMMYFUNCTION("""COMPUTED_VALUE"""),2365.0)</f>
        <v>2365</v>
      </c>
      <c r="O1005" s="186"/>
      <c r="P1005" s="189">
        <f>IFERROR(__xludf.DUMMYFUNCTION("""COMPUTED_VALUE"""),2354.0)</f>
        <v>2354</v>
      </c>
      <c r="Q1005" s="189">
        <f>IFERROR(__xludf.DUMMYFUNCTION("""COMPUTED_VALUE"""),2302.0)</f>
        <v>2302</v>
      </c>
      <c r="R1005" s="186"/>
      <c r="S1005" s="189">
        <f>IFERROR(__xludf.DUMMYFUNCTION("""COMPUTED_VALUE"""),2270.0)</f>
        <v>2270</v>
      </c>
    </row>
    <row r="1006">
      <c r="A1006" s="186" t="str">
        <f>IFERROR(__xludf.DUMMYFUNCTION("""COMPUTED_VALUE"""),"NORDICS")</f>
        <v>NORDICS</v>
      </c>
      <c r="B1006" s="186" t="str">
        <f>IFERROR(__xludf.DUMMYFUNCTION("""COMPUTED_VALUE"""),"W19")</f>
        <v>W19</v>
      </c>
      <c r="C1006" s="186">
        <f>IFERROR(__xludf.DUMMYFUNCTION("""COMPUTED_VALUE"""),604.0)</f>
        <v>604</v>
      </c>
      <c r="D1006" s="186" t="str">
        <f>IFERROR(__xludf.DUMMYFUNCTION("""COMPUTED_VALUE"""),"CON-00-147871-2")</f>
        <v>CON-00-147871-2</v>
      </c>
      <c r="E1006" s="186" t="str">
        <f>IFERROR(__xludf.DUMMYFUNCTION("""COMPUTED_VALUE"""),"Salmon in mustard-dill sauce")</f>
        <v>Salmon in mustard-dill sauce</v>
      </c>
      <c r="F1006" s="186" t="str">
        <f>IFERROR(__xludf.DUMMYFUNCTION("""COMPUTED_VALUE"""),"Laks i senneps-dild sauce")</f>
        <v>Laks i senneps-dild sauce</v>
      </c>
      <c r="G1006" s="186" t="str">
        <f>IFERROR(__xludf.DUMMYFUNCTION("""COMPUTED_VALUE"""),"FE4009D")</f>
        <v>FE4009D</v>
      </c>
      <c r="H1006" s="186">
        <f>IFERROR(__xludf.DUMMYFUNCTION("""COMPUTED_VALUE"""),565064.0)</f>
        <v>565064</v>
      </c>
      <c r="I1006" s="186" t="str">
        <f>IFERROR(__xludf.DUMMYFUNCTION("""COMPUTED_VALUE"""),"HF Zalm in mosterd dillesaus")</f>
        <v>HF Zalm in mosterd dillesaus</v>
      </c>
      <c r="J1006" s="189">
        <f>IFERROR(__xludf.DUMMYFUNCTION("""COMPUTED_VALUE"""),0.0)</f>
        <v>0</v>
      </c>
      <c r="K1006" s="189">
        <f>IFERROR(__xludf.DUMMYFUNCTION("""COMPUTED_VALUE"""),0.0)</f>
        <v>0</v>
      </c>
      <c r="L1006" s="189">
        <f>IFERROR(__xludf.DUMMYFUNCTION("""COMPUTED_VALUE"""),0.0)</f>
        <v>0</v>
      </c>
      <c r="M1006" s="189">
        <f>IFERROR(__xludf.DUMMYFUNCTION("""COMPUTED_VALUE"""),0.0)</f>
        <v>0</v>
      </c>
      <c r="N1006" s="189">
        <f>IFERROR(__xludf.DUMMYFUNCTION("""COMPUTED_VALUE"""),0.0)</f>
        <v>0</v>
      </c>
      <c r="O1006" s="186"/>
      <c r="P1006" s="189">
        <f>IFERROR(__xludf.DUMMYFUNCTION("""COMPUTED_VALUE"""),0.0)</f>
        <v>0</v>
      </c>
      <c r="Q1006" s="189">
        <f>IFERROR(__xludf.DUMMYFUNCTION("""COMPUTED_VALUE"""),0.0)</f>
        <v>0</v>
      </c>
      <c r="R1006" s="186"/>
      <c r="S1006" s="189">
        <f>IFERROR(__xludf.DUMMYFUNCTION("""COMPUTED_VALUE"""),0.0)</f>
        <v>0</v>
      </c>
    </row>
    <row r="1007">
      <c r="A1007" s="186" t="str">
        <f>IFERROR(__xludf.DUMMYFUNCTION("""COMPUTED_VALUE"""),"NORDICS")</f>
        <v>NORDICS</v>
      </c>
      <c r="B1007" s="186" t="str">
        <f>IFERROR(__xludf.DUMMYFUNCTION("""COMPUTED_VALUE"""),"W19")</f>
        <v>W19</v>
      </c>
      <c r="C1007" s="186">
        <f>IFERROR(__xludf.DUMMYFUNCTION("""COMPUTED_VALUE"""),605.0)</f>
        <v>605</v>
      </c>
      <c r="D1007" s="186" t="str">
        <f>IFERROR(__xludf.DUMMYFUNCTION("""COMPUTED_VALUE"""),"CON-00-150749-2")</f>
        <v>CON-00-150749-2</v>
      </c>
      <c r="E1007" s="186" t="str">
        <f>IFERROR(__xludf.DUMMYFUNCTION("""COMPUTED_VALUE"""),"West African Style Chicken Peanut Curry")</f>
        <v>West African Style Chicken Peanut Curry</v>
      </c>
      <c r="F1007" s="186" t="str">
        <f>IFERROR(__xludf.DUMMYFUNCTION("""COMPUTED_VALUE"""),"Vestfrikansk-inspireret peanut-kyllingecurry")</f>
        <v>Vestfrikansk-inspireret peanut-kyllingecurry</v>
      </c>
      <c r="G1007" s="186" t="str">
        <f>IFERROR(__xludf.DUMMYFUNCTION("""COMPUTED_VALUE"""),"FE1451A")</f>
        <v>FE1451A</v>
      </c>
      <c r="H1007" s="186">
        <f>IFERROR(__xludf.DUMMYFUNCTION("""COMPUTED_VALUE"""),565178.0)</f>
        <v>565178</v>
      </c>
      <c r="I1007" s="186" t="str">
        <f>IFERROR(__xludf.DUMMYFUNCTION("""COMPUTED_VALUE"""),"HF Kruidige pinda curry")</f>
        <v>HF Kruidige pinda curry</v>
      </c>
      <c r="J1007" s="189">
        <f>IFERROR(__xludf.DUMMYFUNCTION("""COMPUTED_VALUE"""),1704.0)</f>
        <v>1704</v>
      </c>
      <c r="K1007" s="189">
        <f>IFERROR(__xludf.DUMMYFUNCTION("""COMPUTED_VALUE"""),1680.0)</f>
        <v>1680</v>
      </c>
      <c r="L1007" s="189">
        <f>IFERROR(__xludf.DUMMYFUNCTION("""COMPUTED_VALUE"""),1834.0)</f>
        <v>1834</v>
      </c>
      <c r="M1007" s="189">
        <f>IFERROR(__xludf.DUMMYFUNCTION("""COMPUTED_VALUE"""),2287.0)</f>
        <v>2287</v>
      </c>
      <c r="N1007" s="189">
        <f>IFERROR(__xludf.DUMMYFUNCTION("""COMPUTED_VALUE"""),2347.0)</f>
        <v>2347</v>
      </c>
      <c r="O1007" s="186"/>
      <c r="P1007" s="189">
        <f>IFERROR(__xludf.DUMMYFUNCTION("""COMPUTED_VALUE"""),2382.0)</f>
        <v>2382</v>
      </c>
      <c r="Q1007" s="189">
        <f>IFERROR(__xludf.DUMMYFUNCTION("""COMPUTED_VALUE"""),2328.0)</f>
        <v>2328</v>
      </c>
      <c r="R1007" s="186"/>
      <c r="S1007" s="189">
        <f>IFERROR(__xludf.DUMMYFUNCTION("""COMPUTED_VALUE"""),2236.0)</f>
        <v>2236</v>
      </c>
    </row>
    <row r="1008">
      <c r="A1008" s="186" t="str">
        <f>IFERROR(__xludf.DUMMYFUNCTION("""COMPUTED_VALUE"""),"NORDICS")</f>
        <v>NORDICS</v>
      </c>
      <c r="B1008" s="186" t="str">
        <f>IFERROR(__xludf.DUMMYFUNCTION("""COMPUTED_VALUE"""),"W19")</f>
        <v>W19</v>
      </c>
      <c r="C1008" s="186">
        <f>IFERROR(__xludf.DUMMYFUNCTION("""COMPUTED_VALUE"""),606.0)</f>
        <v>606</v>
      </c>
      <c r="D1008" s="186" t="str">
        <f>IFERROR(__xludf.DUMMYFUNCTION("""COMPUTED_VALUE"""),"CON-00-152023-2")</f>
        <v>CON-00-152023-2</v>
      </c>
      <c r="E1008" s="186" t="str">
        <f>IFERROR(__xludf.DUMMYFUNCTION("""COMPUTED_VALUE"""),"Salmon Piccata")</f>
        <v>Salmon Piccata</v>
      </c>
      <c r="F1008" s="186" t="str">
        <f>IFERROR(__xludf.DUMMYFUNCTION("""COMPUTED_VALUE"""),"Laks Piccata ")</f>
        <v>Laks Piccata </v>
      </c>
      <c r="G1008" s="186" t="str">
        <f>IFERROR(__xludf.DUMMYFUNCTION("""COMPUTED_VALUE"""),"FE0972B")</f>
        <v>FE0972B</v>
      </c>
      <c r="H1008" s="186">
        <f>IFERROR(__xludf.DUMMYFUNCTION("""COMPUTED_VALUE"""),565189.0)</f>
        <v>565189</v>
      </c>
      <c r="I1008" s="186" t="str">
        <f>IFERROR(__xludf.DUMMYFUNCTION("""COMPUTED_VALUE"""),"HF Zalm met piccata saus")</f>
        <v>HF Zalm met piccata saus</v>
      </c>
      <c r="J1008" s="189">
        <f>IFERROR(__xludf.DUMMYFUNCTION("""COMPUTED_VALUE"""),0.0)</f>
        <v>0</v>
      </c>
      <c r="K1008" s="189">
        <f>IFERROR(__xludf.DUMMYFUNCTION("""COMPUTED_VALUE"""),0.0)</f>
        <v>0</v>
      </c>
      <c r="L1008" s="189">
        <f>IFERROR(__xludf.DUMMYFUNCTION("""COMPUTED_VALUE"""),0.0)</f>
        <v>0</v>
      </c>
      <c r="M1008" s="189">
        <f>IFERROR(__xludf.DUMMYFUNCTION("""COMPUTED_VALUE"""),0.0)</f>
        <v>0</v>
      </c>
      <c r="N1008" s="189">
        <f>IFERROR(__xludf.DUMMYFUNCTION("""COMPUTED_VALUE"""),0.0)</f>
        <v>0</v>
      </c>
      <c r="O1008" s="186"/>
      <c r="P1008" s="189">
        <f>IFERROR(__xludf.DUMMYFUNCTION("""COMPUTED_VALUE"""),0.0)</f>
        <v>0</v>
      </c>
      <c r="Q1008" s="189">
        <f>IFERROR(__xludf.DUMMYFUNCTION("""COMPUTED_VALUE"""),0.0)</f>
        <v>0</v>
      </c>
      <c r="R1008" s="186"/>
      <c r="S1008" s="189">
        <f>IFERROR(__xludf.DUMMYFUNCTION("""COMPUTED_VALUE"""),0.0)</f>
        <v>0</v>
      </c>
    </row>
    <row r="1009">
      <c r="A1009" s="186" t="str">
        <f>IFERROR(__xludf.DUMMYFUNCTION("""COMPUTED_VALUE"""),"NORDICS")</f>
        <v>NORDICS</v>
      </c>
      <c r="B1009" s="186" t="str">
        <f>IFERROR(__xludf.DUMMYFUNCTION("""COMPUTED_VALUE"""),"W19")</f>
        <v>W19</v>
      </c>
      <c r="C1009" s="186">
        <f>IFERROR(__xludf.DUMMYFUNCTION("""COMPUTED_VALUE"""),607.0)</f>
        <v>607</v>
      </c>
      <c r="D1009" s="186" t="str">
        <f>IFERROR(__xludf.DUMMYFUNCTION("""COMPUTED_VALUE"""),"CON-00-148196-2")</f>
        <v>CON-00-148196-2</v>
      </c>
      <c r="E1009" s="186" t="str">
        <f>IFERROR(__xludf.DUMMYFUNCTION("""COMPUTED_VALUE"""),"Caramelized Onion &amp; Emmental Fondue Chicken")</f>
        <v>Caramelized Onion &amp; Emmental Fondue Chicken</v>
      </c>
      <c r="F1009" s="186" t="str">
        <f>IFERROR(__xludf.DUMMYFUNCTION("""COMPUTED_VALUE"""),"Kylling i Emmental-fondue med karamelliseret løg")</f>
        <v>Kylling i Emmental-fondue med karamelliseret løg</v>
      </c>
      <c r="G1009" s="186" t="str">
        <f>IFERROR(__xludf.DUMMYFUNCTION("""COMPUTED_VALUE"""),"FE0970B")</f>
        <v>FE0970B</v>
      </c>
      <c r="H1009" s="186">
        <f>IFERROR(__xludf.DUMMYFUNCTION("""COMPUTED_VALUE"""),565164.0)</f>
        <v>565164</v>
      </c>
      <c r="I1009" s="186"/>
      <c r="J1009" s="189">
        <f>IFERROR(__xludf.DUMMYFUNCTION("""COMPUTED_VALUE"""),0.0)</f>
        <v>0</v>
      </c>
      <c r="K1009" s="189">
        <f>IFERROR(__xludf.DUMMYFUNCTION("""COMPUTED_VALUE"""),0.0)</f>
        <v>0</v>
      </c>
      <c r="L1009" s="189">
        <f>IFERROR(__xludf.DUMMYFUNCTION("""COMPUTED_VALUE"""),0.0)</f>
        <v>0</v>
      </c>
      <c r="M1009" s="189">
        <f>IFERROR(__xludf.DUMMYFUNCTION("""COMPUTED_VALUE"""),0.0)</f>
        <v>0</v>
      </c>
      <c r="N1009" s="189">
        <f>IFERROR(__xludf.DUMMYFUNCTION("""COMPUTED_VALUE"""),0.0)</f>
        <v>0</v>
      </c>
      <c r="O1009" s="186"/>
      <c r="P1009" s="189">
        <f>IFERROR(__xludf.DUMMYFUNCTION("""COMPUTED_VALUE"""),0.0)</f>
        <v>0</v>
      </c>
      <c r="Q1009" s="189">
        <f>IFERROR(__xludf.DUMMYFUNCTION("""COMPUTED_VALUE"""),0.0)</f>
        <v>0</v>
      </c>
      <c r="R1009" s="186"/>
      <c r="S1009" s="189">
        <f>IFERROR(__xludf.DUMMYFUNCTION("""COMPUTED_VALUE"""),0.0)</f>
        <v>0</v>
      </c>
    </row>
    <row r="1010">
      <c r="A1010" s="186" t="str">
        <f>IFERROR(__xludf.DUMMYFUNCTION("""COMPUTED_VALUE"""),"NORDICS")</f>
        <v>NORDICS</v>
      </c>
      <c r="B1010" s="186" t="str">
        <f>IFERROR(__xludf.DUMMYFUNCTION("""COMPUTED_VALUE"""),"W19")</f>
        <v>W19</v>
      </c>
      <c r="C1010" s="186">
        <f>IFERROR(__xludf.DUMMYFUNCTION("""COMPUTED_VALUE"""),608.0)</f>
        <v>608</v>
      </c>
      <c r="D1010" s="186" t="str">
        <f>IFERROR(__xludf.DUMMYFUNCTION("""COMPUTED_VALUE"""),"CON-00-147826-2")</f>
        <v>CON-00-147826-2</v>
      </c>
      <c r="E1010" s="186" t="str">
        <f>IFERROR(__xludf.DUMMYFUNCTION("""COMPUTED_VALUE"""),"Spicy chicken with jalapeño, lime and cheddar")</f>
        <v>Spicy chicken with jalapeño, lime and cheddar</v>
      </c>
      <c r="F1010" s="186" t="str">
        <f>IFERROR(__xludf.DUMMYFUNCTION("""COMPUTED_VALUE"""),"Spicy kylling med jalapeño, lime og cheddar")</f>
        <v>Spicy kylling med jalapeño, lime og cheddar</v>
      </c>
      <c r="G1010" s="186" t="str">
        <f>IFERROR(__xludf.DUMMYFUNCTION("""COMPUTED_VALUE"""),"FE0198D")</f>
        <v>FE0198D</v>
      </c>
      <c r="H1010" s="186">
        <f>IFERROR(__xludf.DUMMYFUNCTION("""COMPUTED_VALUE"""),565043.0)</f>
        <v>565043</v>
      </c>
      <c r="I1010" s="186" t="str">
        <f>IFERROR(__xludf.DUMMYFUNCTION("""COMPUTED_VALUE"""),"HF Pitt. kipf+jalap,lim,chedda")</f>
        <v>HF Pitt. kipf+jalap,lim,chedda</v>
      </c>
      <c r="J1010" s="189">
        <f>IFERROR(__xludf.DUMMYFUNCTION("""COMPUTED_VALUE"""),1207.0)</f>
        <v>1207</v>
      </c>
      <c r="K1010" s="189">
        <f>IFERROR(__xludf.DUMMYFUNCTION("""COMPUTED_VALUE"""),1112.0)</f>
        <v>1112</v>
      </c>
      <c r="L1010" s="189">
        <f>IFERROR(__xludf.DUMMYFUNCTION("""COMPUTED_VALUE"""),1210.0)</f>
        <v>1210</v>
      </c>
      <c r="M1010" s="189">
        <f>IFERROR(__xludf.DUMMYFUNCTION("""COMPUTED_VALUE"""),1277.0)</f>
        <v>1277</v>
      </c>
      <c r="N1010" s="189">
        <f>IFERROR(__xludf.DUMMYFUNCTION("""COMPUTED_VALUE"""),1340.0)</f>
        <v>1340</v>
      </c>
      <c r="O1010" s="186"/>
      <c r="P1010" s="189">
        <f>IFERROR(__xludf.DUMMYFUNCTION("""COMPUTED_VALUE"""),1291.0)</f>
        <v>1291</v>
      </c>
      <c r="Q1010" s="189">
        <f>IFERROR(__xludf.DUMMYFUNCTION("""COMPUTED_VALUE"""),1216.0)</f>
        <v>1216</v>
      </c>
      <c r="R1010" s="186"/>
      <c r="S1010" s="189">
        <f>IFERROR(__xludf.DUMMYFUNCTION("""COMPUTED_VALUE"""),1193.0)</f>
        <v>1193</v>
      </c>
    </row>
    <row r="1011">
      <c r="A1011" s="186" t="str">
        <f>IFERROR(__xludf.DUMMYFUNCTION("""COMPUTED_VALUE"""),"NORDICS")</f>
        <v>NORDICS</v>
      </c>
      <c r="B1011" s="186" t="str">
        <f>IFERROR(__xludf.DUMMYFUNCTION("""COMPUTED_VALUE"""),"W19")</f>
        <v>W19</v>
      </c>
      <c r="C1011" s="186">
        <f>IFERROR(__xludf.DUMMYFUNCTION("""COMPUTED_VALUE"""),609.0)</f>
        <v>609</v>
      </c>
      <c r="D1011" s="186" t="str">
        <f>IFERROR(__xludf.DUMMYFUNCTION("""COMPUTED_VALUE"""),"CON-00-147816-2")</f>
        <v>CON-00-147816-2</v>
      </c>
      <c r="E1011" s="186" t="str">
        <f>IFERROR(__xludf.DUMMYFUNCTION("""COMPUTED_VALUE"""),"Creamy tomato risotto")</f>
        <v>Creamy tomato risotto</v>
      </c>
      <c r="F1011" s="186" t="str">
        <f>IFERROR(__xludf.DUMMYFUNCTION("""COMPUTED_VALUE"""),"Cremet tomatrisotto")</f>
        <v>Cremet tomatrisotto</v>
      </c>
      <c r="G1011" s="186" t="str">
        <f>IFERROR(__xludf.DUMMYFUNCTION("""COMPUTED_VALUE"""),"FE0031C")</f>
        <v>FE0031C</v>
      </c>
      <c r="H1011" s="186">
        <f>IFERROR(__xludf.DUMMYFUNCTION("""COMPUTED_VALUE"""),565244.0)</f>
        <v>565244</v>
      </c>
      <c r="I1011" s="186" t="str">
        <f>IFERROR(__xludf.DUMMYFUNCTION("""COMPUTED_VALUE"""),"IO HF Romige tomatenrisotto V2")</f>
        <v>IO HF Romige tomatenrisotto V2</v>
      </c>
      <c r="J1011" s="189">
        <f>IFERROR(__xludf.DUMMYFUNCTION("""COMPUTED_VALUE"""),253.0)</f>
        <v>253</v>
      </c>
      <c r="K1011" s="189">
        <f>IFERROR(__xludf.DUMMYFUNCTION("""COMPUTED_VALUE"""),247.0)</f>
        <v>247</v>
      </c>
      <c r="L1011" s="189">
        <f>IFERROR(__xludf.DUMMYFUNCTION("""COMPUTED_VALUE"""),265.0)</f>
        <v>265</v>
      </c>
      <c r="M1011" s="189">
        <f>IFERROR(__xludf.DUMMYFUNCTION("""COMPUTED_VALUE"""),313.0)</f>
        <v>313</v>
      </c>
      <c r="N1011" s="189">
        <f>IFERROR(__xludf.DUMMYFUNCTION("""COMPUTED_VALUE"""),302.0)</f>
        <v>302</v>
      </c>
      <c r="O1011" s="186"/>
      <c r="P1011" s="189">
        <f>IFERROR(__xludf.DUMMYFUNCTION("""COMPUTED_VALUE"""),310.0)</f>
        <v>310</v>
      </c>
      <c r="Q1011" s="189">
        <f>IFERROR(__xludf.DUMMYFUNCTION("""COMPUTED_VALUE"""),332.0)</f>
        <v>332</v>
      </c>
      <c r="R1011" s="186"/>
      <c r="S1011" s="189">
        <f>IFERROR(__xludf.DUMMYFUNCTION("""COMPUTED_VALUE"""),316.0)</f>
        <v>316</v>
      </c>
    </row>
    <row r="1012">
      <c r="A1012" s="186" t="str">
        <f>IFERROR(__xludf.DUMMYFUNCTION("""COMPUTED_VALUE"""),"NORDICS")</f>
        <v>NORDICS</v>
      </c>
      <c r="B1012" s="186" t="str">
        <f>IFERROR(__xludf.DUMMYFUNCTION("""COMPUTED_VALUE"""),"W19")</f>
        <v>W19</v>
      </c>
      <c r="C1012" s="186">
        <f>IFERROR(__xludf.DUMMYFUNCTION("""COMPUTED_VALUE"""),610.0)</f>
        <v>610</v>
      </c>
      <c r="D1012" s="186" t="str">
        <f>IFERROR(__xludf.DUMMYFUNCTION("""COMPUTED_VALUE"""),"CON-00-147817-2")</f>
        <v>CON-00-147817-2</v>
      </c>
      <c r="E1012" s="186" t="str">
        <f>IFERROR(__xludf.DUMMYFUNCTION("""COMPUTED_VALUE"""),"Ratatouille of zucchini and pepper")</f>
        <v>Ratatouille of zucchini and pepper</v>
      </c>
      <c r="F1012" s="186" t="str">
        <f>IFERROR(__xludf.DUMMYFUNCTION("""COMPUTED_VALUE"""),"Squash- og peberfrugtsratatouille")</f>
        <v>Squash- og peberfrugtsratatouille</v>
      </c>
      <c r="G1012" s="186" t="str">
        <f>IFERROR(__xludf.DUMMYFUNCTION("""COMPUTED_VALUE"""),"FE0090C")</f>
        <v>FE0090C</v>
      </c>
      <c r="H1012" s="186">
        <f>IFERROR(__xludf.DUMMYFUNCTION("""COMPUTED_VALUE"""),565141.0)</f>
        <v>565141</v>
      </c>
      <c r="I1012" s="186"/>
      <c r="J1012" s="189">
        <f>IFERROR(__xludf.DUMMYFUNCTION("""COMPUTED_VALUE"""),283.0)</f>
        <v>283</v>
      </c>
      <c r="K1012" s="189">
        <f>IFERROR(__xludf.DUMMYFUNCTION("""COMPUTED_VALUE"""),269.0)</f>
        <v>269</v>
      </c>
      <c r="L1012" s="189">
        <f>IFERROR(__xludf.DUMMYFUNCTION("""COMPUTED_VALUE"""),288.0)</f>
        <v>288</v>
      </c>
      <c r="M1012" s="189">
        <f>IFERROR(__xludf.DUMMYFUNCTION("""COMPUTED_VALUE"""),277.0)</f>
        <v>277</v>
      </c>
      <c r="N1012" s="189">
        <f>IFERROR(__xludf.DUMMYFUNCTION("""COMPUTED_VALUE"""),260.0)</f>
        <v>260</v>
      </c>
      <c r="O1012" s="186"/>
      <c r="P1012" s="189">
        <f>IFERROR(__xludf.DUMMYFUNCTION("""COMPUTED_VALUE"""),260.0)</f>
        <v>260</v>
      </c>
      <c r="Q1012" s="189">
        <f>IFERROR(__xludf.DUMMYFUNCTION("""COMPUTED_VALUE"""),257.0)</f>
        <v>257</v>
      </c>
      <c r="R1012" s="186"/>
      <c r="S1012" s="189">
        <f>IFERROR(__xludf.DUMMYFUNCTION("""COMPUTED_VALUE"""),207.0)</f>
        <v>207</v>
      </c>
    </row>
    <row r="1013">
      <c r="A1013" s="186" t="str">
        <f>IFERROR(__xludf.DUMMYFUNCTION("""COMPUTED_VALUE"""),"NORDICS")</f>
        <v>NORDICS</v>
      </c>
      <c r="B1013" s="186" t="str">
        <f>IFERROR(__xludf.DUMMYFUNCTION("""COMPUTED_VALUE"""),"W19")</f>
        <v>W19</v>
      </c>
      <c r="C1013" s="186">
        <f>IFERROR(__xludf.DUMMYFUNCTION("""COMPUTED_VALUE"""),611.0)</f>
        <v>611</v>
      </c>
      <c r="D1013" s="186" t="str">
        <f>IFERROR(__xludf.DUMMYFUNCTION("""COMPUTED_VALUE"""),"CON-00-147824-2")</f>
        <v>CON-00-147824-2</v>
      </c>
      <c r="E1013" s="186" t="str">
        <f>IFERROR(__xludf.DUMMYFUNCTION("""COMPUTED_VALUE"""),"Pork tenderloin in creamy garlic-mustard sauce")</f>
        <v>Pork tenderloin in creamy garlic-mustard sauce</v>
      </c>
      <c r="F1013" s="186" t="str">
        <f>IFERROR(__xludf.DUMMYFUNCTION("""COMPUTED_VALUE"""),"Svinemørbrad i cremet hvidløgs- og sennepssauce")</f>
        <v>Svinemørbrad i cremet hvidløgs- og sennepssauce</v>
      </c>
      <c r="G1013" s="186" t="str">
        <f>IFERROR(__xludf.DUMMYFUNCTION("""COMPUTED_VALUE"""),"FE0169I")</f>
        <v>FE0169I</v>
      </c>
      <c r="H1013" s="186">
        <f>IFERROR(__xludf.DUMMYFUNCTION("""COMPUTED_VALUE"""),565143.0)</f>
        <v>565143</v>
      </c>
      <c r="I1013" s="186" t="str">
        <f>IFERROR(__xludf.DUMMYFUNCTION("""COMPUTED_VALUE"""),"HF RW V.haas met mosterd saus")</f>
        <v>HF RW V.haas met mosterd saus</v>
      </c>
      <c r="J1013" s="189">
        <f>IFERROR(__xludf.DUMMYFUNCTION("""COMPUTED_VALUE"""),509.0)</f>
        <v>509</v>
      </c>
      <c r="K1013" s="189">
        <f>IFERROR(__xludf.DUMMYFUNCTION("""COMPUTED_VALUE"""),438.0)</f>
        <v>438</v>
      </c>
      <c r="L1013" s="189">
        <f>IFERROR(__xludf.DUMMYFUNCTION("""COMPUTED_VALUE"""),476.0)</f>
        <v>476</v>
      </c>
      <c r="M1013" s="189">
        <f>IFERROR(__xludf.DUMMYFUNCTION("""COMPUTED_VALUE"""),624.0)</f>
        <v>624</v>
      </c>
      <c r="N1013" s="189">
        <f>IFERROR(__xludf.DUMMYFUNCTION("""COMPUTED_VALUE"""),631.0)</f>
        <v>631</v>
      </c>
      <c r="O1013" s="186"/>
      <c r="P1013" s="189">
        <f>IFERROR(__xludf.DUMMYFUNCTION("""COMPUTED_VALUE"""),709.0)</f>
        <v>709</v>
      </c>
      <c r="Q1013" s="189">
        <f>IFERROR(__xludf.DUMMYFUNCTION("""COMPUTED_VALUE"""),719.0)</f>
        <v>719</v>
      </c>
      <c r="R1013" s="186"/>
      <c r="S1013" s="189">
        <f>IFERROR(__xludf.DUMMYFUNCTION("""COMPUTED_VALUE"""),650.0)</f>
        <v>650</v>
      </c>
    </row>
    <row r="1014">
      <c r="A1014" s="186" t="str">
        <f>IFERROR(__xludf.DUMMYFUNCTION("""COMPUTED_VALUE"""),"NORDICS")</f>
        <v>NORDICS</v>
      </c>
      <c r="B1014" s="186" t="str">
        <f>IFERROR(__xludf.DUMMYFUNCTION("""COMPUTED_VALUE"""),"W19")</f>
        <v>W19</v>
      </c>
      <c r="C1014" s="186">
        <f>IFERROR(__xludf.DUMMYFUNCTION("""COMPUTED_VALUE"""),612.0)</f>
        <v>612</v>
      </c>
      <c r="D1014" s="186" t="str">
        <f>IFERROR(__xludf.DUMMYFUNCTION("""COMPUTED_VALUE"""),"CON-00-151279-2")</f>
        <v>CON-00-151279-2</v>
      </c>
      <c r="E1014" s="186" t="str">
        <f>IFERROR(__xludf.DUMMYFUNCTION("""COMPUTED_VALUE"""),"Ají Verde Salmon")</f>
        <v>Ají Verde Salmon</v>
      </c>
      <c r="F1014" s="186" t="str">
        <f>IFERROR(__xludf.DUMMYFUNCTION("""COMPUTED_VALUE"""),"Laks med aji verde")</f>
        <v>Laks med aji verde</v>
      </c>
      <c r="G1014" s="186" t="str">
        <f>IFERROR(__xludf.DUMMYFUNCTION("""COMPUTED_VALUE"""),"FE1320C")</f>
        <v>FE1320C</v>
      </c>
      <c r="H1014" s="186">
        <f>IFERROR(__xludf.DUMMYFUNCTION("""COMPUTED_VALUE"""),565196.0)</f>
        <v>565196</v>
      </c>
      <c r="I1014" s="186" t="str">
        <f>IFERROR(__xludf.DUMMYFUNCTION("""COMPUTED_VALUE"""),"HF Aji verde zalm")</f>
        <v>HF Aji verde zalm</v>
      </c>
      <c r="J1014" s="189">
        <f>IFERROR(__xludf.DUMMYFUNCTION("""COMPUTED_VALUE"""),0.0)</f>
        <v>0</v>
      </c>
      <c r="K1014" s="189">
        <f>IFERROR(__xludf.DUMMYFUNCTION("""COMPUTED_VALUE"""),1551.0)</f>
        <v>1551</v>
      </c>
      <c r="L1014" s="189">
        <f>IFERROR(__xludf.DUMMYFUNCTION("""COMPUTED_VALUE"""),1678.0)</f>
        <v>1678</v>
      </c>
      <c r="M1014" s="189">
        <f>IFERROR(__xludf.DUMMYFUNCTION("""COMPUTED_VALUE"""),1334.0)</f>
        <v>1334</v>
      </c>
      <c r="N1014" s="189">
        <f>IFERROR(__xludf.DUMMYFUNCTION("""COMPUTED_VALUE"""),1363.0)</f>
        <v>1363</v>
      </c>
      <c r="O1014" s="186"/>
      <c r="P1014" s="189">
        <f>IFERROR(__xludf.DUMMYFUNCTION("""COMPUTED_VALUE"""),1383.0)</f>
        <v>1383</v>
      </c>
      <c r="Q1014" s="189">
        <f>IFERROR(__xludf.DUMMYFUNCTION("""COMPUTED_VALUE"""),1396.0)</f>
        <v>1396</v>
      </c>
      <c r="R1014" s="186"/>
      <c r="S1014" s="189">
        <f>IFERROR(__xludf.DUMMYFUNCTION("""COMPUTED_VALUE"""),1316.0)</f>
        <v>1316</v>
      </c>
    </row>
    <row r="1015">
      <c r="A1015" s="186" t="str">
        <f>IFERROR(__xludf.DUMMYFUNCTION("""COMPUTED_VALUE"""),"NORDICS")</f>
        <v>NORDICS</v>
      </c>
      <c r="B1015" s="186" t="str">
        <f>IFERROR(__xludf.DUMMYFUNCTION("""COMPUTED_VALUE"""),"W19")</f>
        <v>W19</v>
      </c>
      <c r="C1015" s="186">
        <f>IFERROR(__xludf.DUMMYFUNCTION("""COMPUTED_VALUE"""),613.0)</f>
        <v>613</v>
      </c>
      <c r="D1015" s="186" t="str">
        <f>IFERROR(__xludf.DUMMYFUNCTION("""COMPUTED_VALUE"""),"CON-00-147901-2")</f>
        <v>CON-00-147901-2</v>
      </c>
      <c r="E1015" s="186" t="str">
        <f>IFERROR(__xludf.DUMMYFUNCTION("""COMPUTED_VALUE"""),"Red chile pulled pork")</f>
        <v>Red chile pulled pork</v>
      </c>
      <c r="F1015" s="186" t="str">
        <f>IFERROR(__xludf.DUMMYFUNCTION("""COMPUTED_VALUE"""),"Chilikryddet pulled pork")</f>
        <v>Chilikryddet pulled pork</v>
      </c>
      <c r="G1015" s="186" t="str">
        <f>IFERROR(__xludf.DUMMYFUNCTION("""COMPUTED_VALUE"""),"FE4049B")</f>
        <v>FE4049B</v>
      </c>
      <c r="H1015" s="186">
        <f>IFERROR(__xludf.DUMMYFUNCTION("""COMPUTED_VALUE"""),565130.0)</f>
        <v>565130</v>
      </c>
      <c r="I1015" s="186" t="str">
        <f>IFERROR(__xludf.DUMMYFUNCTION("""COMPUTED_VALUE"""),"HF Rode Chili &amp; Pulled Pork")</f>
        <v>HF Rode Chili &amp; Pulled Pork</v>
      </c>
      <c r="J1015" s="186"/>
      <c r="K1015" s="186"/>
      <c r="L1015" s="189">
        <f>IFERROR(__xludf.DUMMYFUNCTION("""COMPUTED_VALUE"""),2056.0)</f>
        <v>2056</v>
      </c>
      <c r="M1015" s="189">
        <f>IFERROR(__xludf.DUMMYFUNCTION("""COMPUTED_VALUE"""),1910.0)</f>
        <v>1910</v>
      </c>
      <c r="N1015" s="189">
        <f>IFERROR(__xludf.DUMMYFUNCTION("""COMPUTED_VALUE"""),1960.0)</f>
        <v>1960</v>
      </c>
      <c r="O1015" s="186"/>
      <c r="P1015" s="189">
        <f>IFERROR(__xludf.DUMMYFUNCTION("""COMPUTED_VALUE"""),1996.0)</f>
        <v>1996</v>
      </c>
      <c r="Q1015" s="189">
        <f>IFERROR(__xludf.DUMMYFUNCTION("""COMPUTED_VALUE"""),1935.0)</f>
        <v>1935</v>
      </c>
      <c r="R1015" s="186"/>
      <c r="S1015" s="189">
        <f>IFERROR(__xludf.DUMMYFUNCTION("""COMPUTED_VALUE"""),1852.0)</f>
        <v>1852</v>
      </c>
    </row>
    <row r="1016">
      <c r="A1016" s="186" t="str">
        <f>IFERROR(__xludf.DUMMYFUNCTION("""COMPUTED_VALUE"""),"NORDICS")</f>
        <v>NORDICS</v>
      </c>
      <c r="B1016" s="186" t="str">
        <f>IFERROR(__xludf.DUMMYFUNCTION("""COMPUTED_VALUE"""),"W19")</f>
        <v>W19</v>
      </c>
      <c r="C1016" s="186">
        <f>IFERROR(__xludf.DUMMYFUNCTION("""COMPUTED_VALUE"""),614.0)</f>
        <v>614</v>
      </c>
      <c r="D1016" s="186" t="str">
        <f>IFERROR(__xludf.DUMMYFUNCTION("""COMPUTED_VALUE"""),"CON-00-152026-2")</f>
        <v>CON-00-152026-2</v>
      </c>
      <c r="E1016" s="186" t="str">
        <f>IFERROR(__xludf.DUMMYFUNCTION("""COMPUTED_VALUE"""),"Ginger Garlic Grilled Chicken")</f>
        <v>Ginger Garlic Grilled Chicken</v>
      </c>
      <c r="F1016" s="186" t="str">
        <f>IFERROR(__xludf.DUMMYFUNCTION("""COMPUTED_VALUE"""),"Grillet kylling med ingefær og hvidløg")</f>
        <v>Grillet kylling med ingefær og hvidløg</v>
      </c>
      <c r="G1016" s="186" t="str">
        <f>IFERROR(__xludf.DUMMYFUNCTION("""COMPUTED_VALUE"""),"FE4064A")</f>
        <v>FE4064A</v>
      </c>
      <c r="H1016" s="186">
        <f>IFERROR(__xludf.DUMMYFUNCTION("""COMPUTED_VALUE"""),565211.0)</f>
        <v>565211</v>
      </c>
      <c r="I1016" s="186" t="str">
        <f>IFERROR(__xludf.DUMMYFUNCTION("""COMPUTED_VALUE"""),"HF Gember knoflook kip")</f>
        <v>HF Gember knoflook kip</v>
      </c>
      <c r="J1016" s="186"/>
      <c r="K1016" s="186"/>
      <c r="L1016" s="189">
        <f>IFERROR(__xludf.DUMMYFUNCTION("""COMPUTED_VALUE"""),685.0)</f>
        <v>685</v>
      </c>
      <c r="M1016" s="189">
        <f>IFERROR(__xludf.DUMMYFUNCTION("""COMPUTED_VALUE"""),645.0)</f>
        <v>645</v>
      </c>
      <c r="N1016" s="189">
        <f>IFERROR(__xludf.DUMMYFUNCTION("""COMPUTED_VALUE"""),668.0)</f>
        <v>668</v>
      </c>
      <c r="O1016" s="186"/>
      <c r="P1016" s="189">
        <f>IFERROR(__xludf.DUMMYFUNCTION("""COMPUTED_VALUE"""),718.0)</f>
        <v>718</v>
      </c>
      <c r="Q1016" s="189">
        <f>IFERROR(__xludf.DUMMYFUNCTION("""COMPUTED_VALUE"""),691.0)</f>
        <v>691</v>
      </c>
      <c r="R1016" s="186"/>
      <c r="S1016" s="189">
        <f>IFERROR(__xludf.DUMMYFUNCTION("""COMPUTED_VALUE"""),649.0)</f>
        <v>649</v>
      </c>
    </row>
    <row r="1017">
      <c r="A1017" s="186" t="str">
        <f>IFERROR(__xludf.DUMMYFUNCTION("""COMPUTED_VALUE"""),"NORDICS")</f>
        <v>NORDICS</v>
      </c>
      <c r="B1017" s="186" t="str">
        <f>IFERROR(__xludf.DUMMYFUNCTION("""COMPUTED_VALUE"""),"W19")</f>
        <v>W19</v>
      </c>
      <c r="C1017" s="186">
        <f>IFERROR(__xludf.DUMMYFUNCTION("""COMPUTED_VALUE"""),615.0)</f>
        <v>615</v>
      </c>
      <c r="D1017" s="186" t="str">
        <f>IFERROR(__xludf.DUMMYFUNCTION("""COMPUTED_VALUE"""),"CON-00-147857-2")</f>
        <v>CON-00-147857-2</v>
      </c>
      <c r="E1017" s="186" t="str">
        <f>IFERROR(__xludf.DUMMYFUNCTION("""COMPUTED_VALUE"""),"Spicy ground beef with jalapenos")</f>
        <v>Spicy ground beef with jalapenos</v>
      </c>
      <c r="F1017" s="186" t="str">
        <f>IFERROR(__xludf.DUMMYFUNCTION("""COMPUTED_VALUE"""),"Krydret hakket oksekød med jalapenos")</f>
        <v>Krydret hakket oksekød med jalapenos</v>
      </c>
      <c r="G1017" s="186" t="str">
        <f>IFERROR(__xludf.DUMMYFUNCTION("""COMPUTED_VALUE"""),"FE0746A")</f>
        <v>FE0746A</v>
      </c>
      <c r="H1017" s="186">
        <f>IFERROR(__xludf.DUMMYFUNCTION("""COMPUTED_VALUE"""),565091.0)</f>
        <v>565091</v>
      </c>
      <c r="I1017" s="186" t="str">
        <f>IFERROR(__xludf.DUMMYFUNCTION("""COMPUTED_VALUE"""),"HF Beef burrito bowl")</f>
        <v>HF Beef burrito bowl</v>
      </c>
      <c r="J1017" s="189">
        <f>IFERROR(__xludf.DUMMYFUNCTION("""COMPUTED_VALUE"""),739.0)</f>
        <v>739</v>
      </c>
      <c r="K1017" s="189">
        <f>IFERROR(__xludf.DUMMYFUNCTION("""COMPUTED_VALUE"""),745.0)</f>
        <v>745</v>
      </c>
      <c r="L1017" s="189">
        <f>IFERROR(__xludf.DUMMYFUNCTION("""COMPUTED_VALUE"""),809.0)</f>
        <v>809</v>
      </c>
      <c r="M1017" s="189">
        <f>IFERROR(__xludf.DUMMYFUNCTION("""COMPUTED_VALUE"""),690.0)</f>
        <v>690</v>
      </c>
      <c r="N1017" s="189">
        <f>IFERROR(__xludf.DUMMYFUNCTION("""COMPUTED_VALUE"""),685.0)</f>
        <v>685</v>
      </c>
      <c r="O1017" s="186"/>
      <c r="P1017" s="189">
        <f>IFERROR(__xludf.DUMMYFUNCTION("""COMPUTED_VALUE"""),685.0)</f>
        <v>685</v>
      </c>
      <c r="Q1017" s="189">
        <f>IFERROR(__xludf.DUMMYFUNCTION("""COMPUTED_VALUE"""),666.0)</f>
        <v>666</v>
      </c>
      <c r="R1017" s="186"/>
      <c r="S1017" s="189">
        <f>IFERROR(__xludf.DUMMYFUNCTION("""COMPUTED_VALUE"""),595.0)</f>
        <v>595</v>
      </c>
    </row>
    <row r="1018">
      <c r="A1018" s="186" t="str">
        <f>IFERROR(__xludf.DUMMYFUNCTION("""COMPUTED_VALUE"""),"NORDICS")</f>
        <v>NORDICS</v>
      </c>
      <c r="B1018" s="186" t="str">
        <f>IFERROR(__xludf.DUMMYFUNCTION("""COMPUTED_VALUE"""),"W19")</f>
        <v>W19</v>
      </c>
      <c r="C1018" s="186">
        <f>IFERROR(__xludf.DUMMYFUNCTION("""COMPUTED_VALUE"""),616.0)</f>
        <v>616</v>
      </c>
      <c r="D1018" s="186" t="str">
        <f>IFERROR(__xludf.DUMMYFUNCTION("""COMPUTED_VALUE"""),"CON-00-154556-2")</f>
        <v>CON-00-154556-2</v>
      </c>
      <c r="E1018" s="186" t="str">
        <f>IFERROR(__xludf.DUMMYFUNCTION("""COMPUTED_VALUE"""),"Citrus–Miso Salmon Bowl")</f>
        <v>Citrus–Miso Salmon Bowl</v>
      </c>
      <c r="F1018" s="186" t="str">
        <f>IFERROR(__xludf.DUMMYFUNCTION("""COMPUTED_VALUE"""),"Laksebowl med citrus-miso")</f>
        <v>Laksebowl med citrus-miso</v>
      </c>
      <c r="G1018" s="186" t="str">
        <f>IFERROR(__xludf.DUMMYFUNCTION("""COMPUTED_VALUE"""),"FE1731A")</f>
        <v>FE1731A</v>
      </c>
      <c r="H1018" s="186">
        <f>IFERROR(__xludf.DUMMYFUNCTION("""COMPUTED_VALUE"""),565221.0)</f>
        <v>565221</v>
      </c>
      <c r="I1018" s="186" t="str">
        <f>IFERROR(__xludf.DUMMYFUNCTION("""COMPUTED_VALUE"""),"HF Citrus-miso zalm bowl")</f>
        <v>HF Citrus-miso zalm bowl</v>
      </c>
      <c r="J1018" s="186"/>
      <c r="K1018" s="186"/>
      <c r="L1018" s="189">
        <f>IFERROR(__xludf.DUMMYFUNCTION("""COMPUTED_VALUE"""),578.0)</f>
        <v>578</v>
      </c>
      <c r="M1018" s="189">
        <f>IFERROR(__xludf.DUMMYFUNCTION("""COMPUTED_VALUE"""),575.0)</f>
        <v>575</v>
      </c>
      <c r="N1018" s="189">
        <f>IFERROR(__xludf.DUMMYFUNCTION("""COMPUTED_VALUE"""),577.0)</f>
        <v>577</v>
      </c>
      <c r="O1018" s="186"/>
      <c r="P1018" s="189">
        <f>IFERROR(__xludf.DUMMYFUNCTION("""COMPUTED_VALUE"""),625.0)</f>
        <v>625</v>
      </c>
      <c r="Q1018" s="189">
        <f>IFERROR(__xludf.DUMMYFUNCTION("""COMPUTED_VALUE"""),656.0)</f>
        <v>656</v>
      </c>
      <c r="R1018" s="186"/>
      <c r="S1018" s="189">
        <f>IFERROR(__xludf.DUMMYFUNCTION("""COMPUTED_VALUE"""),603.0)</f>
        <v>603</v>
      </c>
    </row>
    <row r="1019">
      <c r="A1019" s="186" t="str">
        <f>IFERROR(__xludf.DUMMYFUNCTION("""COMPUTED_VALUE"""),"NORDICS")</f>
        <v>NORDICS</v>
      </c>
      <c r="B1019" s="186" t="str">
        <f>IFERROR(__xludf.DUMMYFUNCTION("""COMPUTED_VALUE"""),"W19")</f>
        <v>W19</v>
      </c>
      <c r="C1019" s="186">
        <f>IFERROR(__xludf.DUMMYFUNCTION("""COMPUTED_VALUE"""),617.0)</f>
        <v>617</v>
      </c>
      <c r="D1019" s="186" t="str">
        <f>IFERROR(__xludf.DUMMYFUNCTION("""COMPUTED_VALUE"""),"CON-00-155188-2")</f>
        <v>CON-00-155188-2</v>
      </c>
      <c r="E1019" s="186" t="str">
        <f>IFERROR(__xludf.DUMMYFUNCTION("""COMPUTED_VALUE"""),"Sun-Dried Tomato Beef Ragu &amp; Pasta")</f>
        <v>Sun-Dried Tomato Beef Ragu &amp; Pasta</v>
      </c>
      <c r="F1019" s="186" t="str">
        <f>IFERROR(__xludf.DUMMYFUNCTION("""COMPUTED_VALUE"""),"Pasta med oksekødsragù og soltørrede tomater")</f>
        <v>Pasta med oksekødsragù og soltørrede tomater</v>
      </c>
      <c r="G1019" s="186" t="str">
        <f>IFERROR(__xludf.DUMMYFUNCTION("""COMPUTED_VALUE"""),"FE4075A")</f>
        <v>FE4075A</v>
      </c>
      <c r="H1019" s="186">
        <f>IFERROR(__xludf.DUMMYFUNCTION("""COMPUTED_VALUE"""),565252.0)</f>
        <v>565252</v>
      </c>
      <c r="I1019" s="186" t="str">
        <f>IFERROR(__xludf.DUMMYFUNCTION("""COMPUTED_VALUE"""),"HF Tomato Beef Ragu &amp; Pasta")</f>
        <v>HF Tomato Beef Ragu &amp; Pasta</v>
      </c>
      <c r="J1019" s="189">
        <f>IFERROR(__xludf.DUMMYFUNCTION("""COMPUTED_VALUE"""),943.0)</f>
        <v>943</v>
      </c>
      <c r="K1019" s="189">
        <f>IFERROR(__xludf.DUMMYFUNCTION("""COMPUTED_VALUE"""),931.0)</f>
        <v>931</v>
      </c>
      <c r="L1019" s="189">
        <f>IFERROR(__xludf.DUMMYFUNCTION("""COMPUTED_VALUE"""),1011.0)</f>
        <v>1011</v>
      </c>
      <c r="M1019" s="189">
        <f>IFERROR(__xludf.DUMMYFUNCTION("""COMPUTED_VALUE"""),1841.0)</f>
        <v>1841</v>
      </c>
      <c r="N1019" s="189">
        <f>IFERROR(__xludf.DUMMYFUNCTION("""COMPUTED_VALUE"""),1828.0)</f>
        <v>1828</v>
      </c>
      <c r="O1019" s="186"/>
      <c r="P1019" s="189">
        <f>IFERROR(__xludf.DUMMYFUNCTION("""COMPUTED_VALUE"""),1844.0)</f>
        <v>1844</v>
      </c>
      <c r="Q1019" s="189">
        <f>IFERROR(__xludf.DUMMYFUNCTION("""COMPUTED_VALUE"""),1738.0)</f>
        <v>1738</v>
      </c>
      <c r="R1019" s="186"/>
      <c r="S1019" s="189">
        <f>IFERROR(__xludf.DUMMYFUNCTION("""COMPUTED_VALUE"""),1692.0)</f>
        <v>1692</v>
      </c>
    </row>
    <row r="1020">
      <c r="A1020" s="186" t="str">
        <f>IFERROR(__xludf.DUMMYFUNCTION("""COMPUTED_VALUE"""),"NORDICS")</f>
        <v>NORDICS</v>
      </c>
      <c r="B1020" s="186" t="str">
        <f>IFERROR(__xludf.DUMMYFUNCTION("""COMPUTED_VALUE"""),"W19")</f>
        <v>W19</v>
      </c>
      <c r="C1020" s="186">
        <f>IFERROR(__xludf.DUMMYFUNCTION("""COMPUTED_VALUE"""),618.0)</f>
        <v>618</v>
      </c>
      <c r="D1020" s="186" t="str">
        <f>IFERROR(__xludf.DUMMYFUNCTION("""COMPUTED_VALUE"""),"CON-00-147864-2")</f>
        <v>CON-00-147864-2</v>
      </c>
      <c r="E1020" s="186" t="str">
        <f>IFERROR(__xludf.DUMMYFUNCTION("""COMPUTED_VALUE"""),"Pork tenderloin in spicy ancho chili sauce")</f>
        <v>Pork tenderloin in spicy ancho chili sauce</v>
      </c>
      <c r="F1020" s="186" t="str">
        <f>IFERROR(__xludf.DUMMYFUNCTION("""COMPUTED_VALUE"""),"Svinemørbrad i ancho- og chilisauce")</f>
        <v>Svinemørbrad i ancho- og chilisauce</v>
      </c>
      <c r="G1020" s="186" t="str">
        <f>IFERROR(__xludf.DUMMYFUNCTION("""COMPUTED_VALUE"""),"FE1072B")</f>
        <v>FE1072B</v>
      </c>
      <c r="H1020" s="186">
        <f>IFERROR(__xludf.DUMMYFUNCTION("""COMPUTED_VALUE"""),565095.0)</f>
        <v>565095</v>
      </c>
      <c r="I1020" s="186" t="str">
        <f>IFERROR(__xludf.DUMMYFUNCTION("""COMPUTED_VALUE"""),"HF V.haas pittige ancho chili")</f>
        <v>HF V.haas pittige ancho chili</v>
      </c>
      <c r="J1020" s="189">
        <f>IFERROR(__xludf.DUMMYFUNCTION("""COMPUTED_VALUE"""),638.0)</f>
        <v>638</v>
      </c>
      <c r="K1020" s="189">
        <f>IFERROR(__xludf.DUMMYFUNCTION("""COMPUTED_VALUE"""),607.0)</f>
        <v>607</v>
      </c>
      <c r="L1020" s="189">
        <f>IFERROR(__xludf.DUMMYFUNCTION("""COMPUTED_VALUE"""),659.0)</f>
        <v>659</v>
      </c>
      <c r="M1020" s="189">
        <f>IFERROR(__xludf.DUMMYFUNCTION("""COMPUTED_VALUE"""),648.0)</f>
        <v>648</v>
      </c>
      <c r="N1020" s="189">
        <f>IFERROR(__xludf.DUMMYFUNCTION("""COMPUTED_VALUE"""),660.0)</f>
        <v>660</v>
      </c>
      <c r="O1020" s="186"/>
      <c r="P1020" s="189">
        <f>IFERROR(__xludf.DUMMYFUNCTION("""COMPUTED_VALUE"""),667.0)</f>
        <v>667</v>
      </c>
      <c r="Q1020" s="189">
        <f>IFERROR(__xludf.DUMMYFUNCTION("""COMPUTED_VALUE"""),675.0)</f>
        <v>675</v>
      </c>
      <c r="R1020" s="186"/>
      <c r="S1020" s="189">
        <f>IFERROR(__xludf.DUMMYFUNCTION("""COMPUTED_VALUE"""),631.0)</f>
        <v>631</v>
      </c>
    </row>
    <row r="1021">
      <c r="A1021" s="186" t="str">
        <f>IFERROR(__xludf.DUMMYFUNCTION("""COMPUTED_VALUE"""),"NORDICS")</f>
        <v>NORDICS</v>
      </c>
      <c r="B1021" s="186" t="str">
        <f>IFERROR(__xludf.DUMMYFUNCTION("""COMPUTED_VALUE"""),"W19")</f>
        <v>W19</v>
      </c>
      <c r="C1021" s="186">
        <f>IFERROR(__xludf.DUMMYFUNCTION("""COMPUTED_VALUE"""),706.0)</f>
        <v>706</v>
      </c>
      <c r="D1021" s="186" t="str">
        <f>IFERROR(__xludf.DUMMYFUNCTION("""COMPUTED_VALUE"""),"PTN-00-148223-2")</f>
        <v>PTN-00-148223-2</v>
      </c>
      <c r="E1021" s="186" t="str">
        <f>IFERROR(__xludf.DUMMYFUNCTION("""COMPUTED_VALUE"""),"Garlic Herb Grilled Chicken")</f>
        <v>Garlic Herb Grilled Chicken</v>
      </c>
      <c r="F1021" s="186" t="str">
        <f>IFERROR(__xludf.DUMMYFUNCTION("""COMPUTED_VALUE"""),"Grillet kylling med hvidlød og urter")</f>
        <v>Grillet kylling med hvidlød og urter</v>
      </c>
      <c r="G1021" s="186" t="str">
        <f>IFERROR(__xludf.DUMMYFUNCTION("""COMPUTED_VALUE"""),"FEA006A")</f>
        <v>FEA006A</v>
      </c>
      <c r="H1021" s="186">
        <f>IFERROR(__xludf.DUMMYFUNCTION("""COMPUTED_VALUE"""),565119.0)</f>
        <v>565119</v>
      </c>
      <c r="I1021" s="186"/>
      <c r="J1021" s="189">
        <f>IFERROR(__xludf.DUMMYFUNCTION("""COMPUTED_VALUE"""),36.0)</f>
        <v>36</v>
      </c>
      <c r="K1021" s="189">
        <f>IFERROR(__xludf.DUMMYFUNCTION("""COMPUTED_VALUE"""),36.0)</f>
        <v>36</v>
      </c>
      <c r="L1021" s="189">
        <f>IFERROR(__xludf.DUMMYFUNCTION("""COMPUTED_VALUE"""),36.0)</f>
        <v>36</v>
      </c>
      <c r="M1021" s="189">
        <f>IFERROR(__xludf.DUMMYFUNCTION("""COMPUTED_VALUE"""),36.0)</f>
        <v>36</v>
      </c>
      <c r="N1021" s="189">
        <f>IFERROR(__xludf.DUMMYFUNCTION("""COMPUTED_VALUE"""),36.0)</f>
        <v>36</v>
      </c>
      <c r="O1021" s="186"/>
      <c r="P1021" s="189">
        <f>IFERROR(__xludf.DUMMYFUNCTION("""COMPUTED_VALUE"""),36.0)</f>
        <v>36</v>
      </c>
      <c r="Q1021" s="189">
        <f>IFERROR(__xludf.DUMMYFUNCTION("""COMPUTED_VALUE"""),36.0)</f>
        <v>36</v>
      </c>
      <c r="R1021" s="186"/>
      <c r="S1021" s="189">
        <f>IFERROR(__xludf.DUMMYFUNCTION("""COMPUTED_VALUE"""),51.0)</f>
        <v>51</v>
      </c>
    </row>
    <row r="1022">
      <c r="A1022" s="186" t="str">
        <f>IFERROR(__xludf.DUMMYFUNCTION("""COMPUTED_VALUE"""),"NORDICS")</f>
        <v>NORDICS</v>
      </c>
      <c r="B1022" s="186" t="str">
        <f>IFERROR(__xludf.DUMMYFUNCTION("""COMPUTED_VALUE"""),"W19")</f>
        <v>W19</v>
      </c>
      <c r="C1022" s="186"/>
      <c r="D1022" s="186"/>
      <c r="E1022" s="186"/>
      <c r="F1022" s="186"/>
      <c r="G1022" s="186"/>
      <c r="H1022" s="186"/>
      <c r="I1022" s="186"/>
      <c r="J1022" s="189">
        <f>IFERROR(__xludf.DUMMYFUNCTION("""COMPUTED_VALUE"""),12156.0)</f>
        <v>12156</v>
      </c>
      <c r="K1022" s="189">
        <f>IFERROR(__xludf.DUMMYFUNCTION("""COMPUTED_VALUE"""),13347.0)</f>
        <v>13347</v>
      </c>
      <c r="L1022" s="189">
        <f>IFERROR(__xludf.DUMMYFUNCTION("""COMPUTED_VALUE"""),17802.0)</f>
        <v>17802</v>
      </c>
      <c r="M1022" s="189">
        <f>IFERROR(__xludf.DUMMYFUNCTION("""COMPUTED_VALUE"""),20899.0)</f>
        <v>20899</v>
      </c>
      <c r="N1022" s="189">
        <f>IFERROR(__xludf.DUMMYFUNCTION("""COMPUTED_VALUE"""),21328.0)</f>
        <v>21328</v>
      </c>
      <c r="O1022" s="186"/>
      <c r="P1022" s="189">
        <f>IFERROR(__xludf.DUMMYFUNCTION("""COMPUTED_VALUE"""),21563.0)</f>
        <v>21563</v>
      </c>
      <c r="Q1022" s="189">
        <f>IFERROR(__xludf.DUMMYFUNCTION("""COMPUTED_VALUE"""),21217.0)</f>
        <v>21217</v>
      </c>
      <c r="R1022" s="189">
        <f>IFERROR(__xludf.DUMMYFUNCTION("""COMPUTED_VALUE"""),0.0)</f>
        <v>0</v>
      </c>
      <c r="S1022" s="189">
        <f>IFERROR(__xludf.DUMMYFUNCTION("""COMPUTED_VALUE"""),20452.0)</f>
        <v>20452</v>
      </c>
    </row>
    <row r="1023">
      <c r="A1023" s="186" t="str">
        <f>IFERROR(__xludf.DUMMYFUNCTION("""COMPUTED_VALUE"""),"DE")</f>
        <v>DE</v>
      </c>
      <c r="B1023" s="186" t="str">
        <f>IFERROR(__xludf.DUMMYFUNCTION("""COMPUTED_VALUE"""),"W19")</f>
        <v>W19</v>
      </c>
      <c r="C1023" s="186">
        <f>IFERROR(__xludf.DUMMYFUNCTION("""COMPUTED_VALUE"""),301.0)</f>
        <v>301</v>
      </c>
      <c r="D1023" s="186" t="str">
        <f>IFERROR(__xludf.DUMMYFUNCTION("""COMPUTED_VALUE"""),"CON-00-136674-3")</f>
        <v>CON-00-136674-3</v>
      </c>
      <c r="E1023" s="186" t="str">
        <f>IFERROR(__xludf.DUMMYFUNCTION("""COMPUTED_VALUE"""),"Grilled chicken and ratatouille")</f>
        <v>Grilled chicken and ratatouille</v>
      </c>
      <c r="F1023" s="186" t="str">
        <f>IFERROR(__xludf.DUMMYFUNCTION("""COMPUTED_VALUE"""),"Gegrilltes Hähnchen mit Ratatouille")</f>
        <v>Gegrilltes Hähnchen mit Ratatouille</v>
      </c>
      <c r="G1023" s="186" t="str">
        <f>IFERROR(__xludf.DUMMYFUNCTION("""COMPUTED_VALUE"""),"FE4015B")</f>
        <v>FE4015B</v>
      </c>
      <c r="H1023" s="186">
        <f>IFERROR(__xludf.DUMMYFUNCTION("""COMPUTED_VALUE"""),565072.0)</f>
        <v>565072</v>
      </c>
      <c r="I1023" s="186" t="str">
        <f>IFERROR(__xludf.DUMMYFUNCTION("""COMPUTED_VALUE"""),"HF Kipfilet met Ratatouille")</f>
        <v>HF Kipfilet met Ratatouille</v>
      </c>
      <c r="J1023" s="189">
        <f>IFERROR(__xludf.DUMMYFUNCTION("""COMPUTED_VALUE"""),2603.0)</f>
        <v>2603</v>
      </c>
      <c r="K1023" s="189">
        <f>IFERROR(__xludf.DUMMYFUNCTION("""COMPUTED_VALUE"""),2473.0)</f>
        <v>2473</v>
      </c>
      <c r="L1023" s="189">
        <f>IFERROR(__xludf.DUMMYFUNCTION("""COMPUTED_VALUE"""),2722.0)</f>
        <v>2722</v>
      </c>
      <c r="M1023" s="189">
        <f>IFERROR(__xludf.DUMMYFUNCTION("""COMPUTED_VALUE"""),2659.0)</f>
        <v>2659</v>
      </c>
      <c r="N1023" s="189">
        <f>IFERROR(__xludf.DUMMYFUNCTION("""COMPUTED_VALUE"""),3014.0)</f>
        <v>3014</v>
      </c>
      <c r="O1023" s="186"/>
      <c r="P1023" s="189">
        <f>IFERROR(__xludf.DUMMYFUNCTION("""COMPUTED_VALUE"""),2993.0)</f>
        <v>2993</v>
      </c>
      <c r="Q1023" s="189">
        <f>IFERROR(__xludf.DUMMYFUNCTION("""COMPUTED_VALUE"""),2993.0)</f>
        <v>2993</v>
      </c>
      <c r="R1023" s="186"/>
      <c r="S1023" s="189">
        <f>IFERROR(__xludf.DUMMYFUNCTION("""COMPUTED_VALUE"""),2982.0)</f>
        <v>2982</v>
      </c>
    </row>
    <row r="1024">
      <c r="A1024" s="186" t="str">
        <f>IFERROR(__xludf.DUMMYFUNCTION("""COMPUTED_VALUE"""),"DE")</f>
        <v>DE</v>
      </c>
      <c r="B1024" s="186" t="str">
        <f>IFERROR(__xludf.DUMMYFUNCTION("""COMPUTED_VALUE"""),"W19")</f>
        <v>W19</v>
      </c>
      <c r="C1024" s="186">
        <f>IFERROR(__xludf.DUMMYFUNCTION("""COMPUTED_VALUE"""),302.0)</f>
        <v>302</v>
      </c>
      <c r="D1024" s="186" t="str">
        <f>IFERROR(__xludf.DUMMYFUNCTION("""COMPUTED_VALUE"""),"CON-00-152205-2")</f>
        <v>CON-00-152205-2</v>
      </c>
      <c r="E1024" s="186" t="str">
        <f>IFERROR(__xludf.DUMMYFUNCTION("""COMPUTED_VALUE"""),"Green Chile Chicken &amp; Salsa Quinoa")</f>
        <v>Green Chile Chicken &amp; Salsa Quinoa</v>
      </c>
      <c r="F1024" s="186" t="str">
        <f>IFERROR(__xludf.DUMMYFUNCTION("""COMPUTED_VALUE"""),"Grünes Chili-Hähnchen mit Quinoa-Salsa")</f>
        <v>Grünes Chili-Hähnchen mit Quinoa-Salsa</v>
      </c>
      <c r="G1024" s="186" t="str">
        <f>IFERROR(__xludf.DUMMYFUNCTION("""COMPUTED_VALUE"""),"FE1636A")</f>
        <v>FE1636A</v>
      </c>
      <c r="H1024" s="186">
        <f>IFERROR(__xludf.DUMMYFUNCTION("""COMPUTED_VALUE"""),565209.0)</f>
        <v>565209</v>
      </c>
      <c r="I1024" s="186" t="str">
        <f>IFERROR(__xludf.DUMMYFUNCTION("""COMPUTED_VALUE"""),"HF Quinoa witte bonen salsa")</f>
        <v>HF Quinoa witte bonen salsa</v>
      </c>
      <c r="J1024" s="189">
        <f>IFERROR(__xludf.DUMMYFUNCTION("""COMPUTED_VALUE"""),1564.0)</f>
        <v>1564</v>
      </c>
      <c r="K1024" s="189">
        <f>IFERROR(__xludf.DUMMYFUNCTION("""COMPUTED_VALUE"""),1510.0)</f>
        <v>1510</v>
      </c>
      <c r="L1024" s="189">
        <f>IFERROR(__xludf.DUMMYFUNCTION("""COMPUTED_VALUE"""),1661.0)</f>
        <v>1661</v>
      </c>
      <c r="M1024" s="189">
        <f>IFERROR(__xludf.DUMMYFUNCTION("""COMPUTED_VALUE"""),1690.0)</f>
        <v>1690</v>
      </c>
      <c r="N1024" s="189">
        <f>IFERROR(__xludf.DUMMYFUNCTION("""COMPUTED_VALUE"""),1931.0)</f>
        <v>1931</v>
      </c>
      <c r="O1024" s="186"/>
      <c r="P1024" s="189">
        <f>IFERROR(__xludf.DUMMYFUNCTION("""COMPUTED_VALUE"""),1863.0)</f>
        <v>1863</v>
      </c>
      <c r="Q1024" s="189">
        <f>IFERROR(__xludf.DUMMYFUNCTION("""COMPUTED_VALUE"""),1860.0)</f>
        <v>1860</v>
      </c>
      <c r="R1024" s="186"/>
      <c r="S1024" s="189">
        <f>IFERROR(__xludf.DUMMYFUNCTION("""COMPUTED_VALUE"""),1852.0)</f>
        <v>1852</v>
      </c>
    </row>
    <row r="1025">
      <c r="A1025" s="186" t="str">
        <f>IFERROR(__xludf.DUMMYFUNCTION("""COMPUTED_VALUE"""),"DE")</f>
        <v>DE</v>
      </c>
      <c r="B1025" s="186" t="str">
        <f>IFERROR(__xludf.DUMMYFUNCTION("""COMPUTED_VALUE"""),"W19")</f>
        <v>W19</v>
      </c>
      <c r="C1025" s="186">
        <f>IFERROR(__xludf.DUMMYFUNCTION("""COMPUTED_VALUE"""),303.0)</f>
        <v>303</v>
      </c>
      <c r="D1025" s="186" t="str">
        <f>IFERROR(__xludf.DUMMYFUNCTION("""COMPUTED_VALUE"""),"CON-00-136698-3")</f>
        <v>CON-00-136698-3</v>
      </c>
      <c r="E1025" s="186" t="str">
        <f>IFERROR(__xludf.DUMMYFUNCTION("""COMPUTED_VALUE"""),"Braised beef in herby jus")</f>
        <v>Braised beef in herby jus</v>
      </c>
      <c r="F1025" s="186" t="str">
        <f>IFERROR(__xludf.DUMMYFUNCTION("""COMPUTED_VALUE"""),"Geschmortes Rind in Kräuterjus")</f>
        <v>Geschmortes Rind in Kräuterjus</v>
      </c>
      <c r="G1025" s="186" t="str">
        <f>IFERROR(__xludf.DUMMYFUNCTION("""COMPUTED_VALUE"""),"FE0413G")</f>
        <v>FE0413G</v>
      </c>
      <c r="H1025" s="186">
        <f>IFERROR(__xludf.DUMMYFUNCTION("""COMPUTED_VALUE"""),565309.0)</f>
        <v>565309</v>
      </c>
      <c r="I1025" s="186" t="str">
        <f>IFERROR(__xludf.DUMMYFUNCTION("""COMPUTED_VALUE"""),"HF RW French onion pulled beef")</f>
        <v>HF RW French onion pulled beef</v>
      </c>
      <c r="J1025" s="189">
        <f>IFERROR(__xludf.DUMMYFUNCTION("""COMPUTED_VALUE"""),0.0)</f>
        <v>0</v>
      </c>
      <c r="K1025" s="189">
        <f>IFERROR(__xludf.DUMMYFUNCTION("""COMPUTED_VALUE"""),0.0)</f>
        <v>0</v>
      </c>
      <c r="L1025" s="189">
        <f>IFERROR(__xludf.DUMMYFUNCTION("""COMPUTED_VALUE"""),0.0)</f>
        <v>0</v>
      </c>
      <c r="M1025" s="189">
        <f>IFERROR(__xludf.DUMMYFUNCTION("""COMPUTED_VALUE"""),1930.0)</f>
        <v>1930</v>
      </c>
      <c r="N1025" s="189">
        <f>IFERROR(__xludf.DUMMYFUNCTION("""COMPUTED_VALUE"""),2105.0)</f>
        <v>2105</v>
      </c>
      <c r="O1025" s="186"/>
      <c r="P1025" s="189">
        <f>IFERROR(__xludf.DUMMYFUNCTION("""COMPUTED_VALUE"""),2052.0)</f>
        <v>2052</v>
      </c>
      <c r="Q1025" s="189">
        <f>IFERROR(__xludf.DUMMYFUNCTION("""COMPUTED_VALUE"""),2060.0)</f>
        <v>2060</v>
      </c>
      <c r="R1025" s="186"/>
      <c r="S1025" s="189">
        <f>IFERROR(__xludf.DUMMYFUNCTION("""COMPUTED_VALUE"""),2002.0)</f>
        <v>2002</v>
      </c>
    </row>
    <row r="1026">
      <c r="A1026" s="186" t="str">
        <f>IFERROR(__xludf.DUMMYFUNCTION("""COMPUTED_VALUE"""),"DE")</f>
        <v>DE</v>
      </c>
      <c r="B1026" s="186" t="str">
        <f>IFERROR(__xludf.DUMMYFUNCTION("""COMPUTED_VALUE"""),"W19")</f>
        <v>W19</v>
      </c>
      <c r="C1026" s="186">
        <f>IFERROR(__xludf.DUMMYFUNCTION("""COMPUTED_VALUE"""),304.0)</f>
        <v>304</v>
      </c>
      <c r="D1026" s="186" t="str">
        <f>IFERROR(__xludf.DUMMYFUNCTION("""COMPUTED_VALUE"""),"CON-00-137745-2")</f>
        <v>CON-00-137745-2</v>
      </c>
      <c r="E1026" s="186" t="str">
        <f>IFERROR(__xludf.DUMMYFUNCTION("""COMPUTED_VALUE"""),"Salmon in mustard-dill sauce")</f>
        <v>Salmon in mustard-dill sauce</v>
      </c>
      <c r="F1026" s="186" t="str">
        <f>IFERROR(__xludf.DUMMYFUNCTION("""COMPUTED_VALUE"""),"Lachs in Senf-Dill-Sauce")</f>
        <v>Lachs in Senf-Dill-Sauce</v>
      </c>
      <c r="G1026" s="186" t="str">
        <f>IFERROR(__xludf.DUMMYFUNCTION("""COMPUTED_VALUE"""),"FE4009D")</f>
        <v>FE4009D</v>
      </c>
      <c r="H1026" s="186">
        <f>IFERROR(__xludf.DUMMYFUNCTION("""COMPUTED_VALUE"""),565064.0)</f>
        <v>565064</v>
      </c>
      <c r="I1026" s="186" t="str">
        <f>IFERROR(__xludf.DUMMYFUNCTION("""COMPUTED_VALUE"""),"HF Zalm in mosterd dillesaus")</f>
        <v>HF Zalm in mosterd dillesaus</v>
      </c>
      <c r="J1026" s="189">
        <f>IFERROR(__xludf.DUMMYFUNCTION("""COMPUTED_VALUE"""),0.0)</f>
        <v>0</v>
      </c>
      <c r="K1026" s="189">
        <f>IFERROR(__xludf.DUMMYFUNCTION("""COMPUTED_VALUE"""),0.0)</f>
        <v>0</v>
      </c>
      <c r="L1026" s="189">
        <f>IFERROR(__xludf.DUMMYFUNCTION("""COMPUTED_VALUE"""),0.0)</f>
        <v>0</v>
      </c>
      <c r="M1026" s="189">
        <f>IFERROR(__xludf.DUMMYFUNCTION("""COMPUTED_VALUE"""),0.0)</f>
        <v>0</v>
      </c>
      <c r="N1026" s="189">
        <f>IFERROR(__xludf.DUMMYFUNCTION("""COMPUTED_VALUE"""),0.0)</f>
        <v>0</v>
      </c>
      <c r="O1026" s="186"/>
      <c r="P1026" s="189">
        <f>IFERROR(__xludf.DUMMYFUNCTION("""COMPUTED_VALUE"""),0.0)</f>
        <v>0</v>
      </c>
      <c r="Q1026" s="189">
        <f>IFERROR(__xludf.DUMMYFUNCTION("""COMPUTED_VALUE"""),0.0)</f>
        <v>0</v>
      </c>
      <c r="R1026" s="186"/>
      <c r="S1026" s="189">
        <f>IFERROR(__xludf.DUMMYFUNCTION("""COMPUTED_VALUE"""),10.0)</f>
        <v>10</v>
      </c>
    </row>
    <row r="1027">
      <c r="A1027" s="186" t="str">
        <f>IFERROR(__xludf.DUMMYFUNCTION("""COMPUTED_VALUE"""),"DE")</f>
        <v>DE</v>
      </c>
      <c r="B1027" s="186" t="str">
        <f>IFERROR(__xludf.DUMMYFUNCTION("""COMPUTED_VALUE"""),"W19")</f>
        <v>W19</v>
      </c>
      <c r="C1027" s="186">
        <f>IFERROR(__xludf.DUMMYFUNCTION("""COMPUTED_VALUE"""),305.0)</f>
        <v>305</v>
      </c>
      <c r="D1027" s="186" t="str">
        <f>IFERROR(__xludf.DUMMYFUNCTION("""COMPUTED_VALUE"""),"CON-00-150748-2")</f>
        <v>CON-00-150748-2</v>
      </c>
      <c r="E1027" s="186" t="str">
        <f>IFERROR(__xludf.DUMMYFUNCTION("""COMPUTED_VALUE"""),"West African Style Chicken Peanut Curry")</f>
        <v>West African Style Chicken Peanut Curry</v>
      </c>
      <c r="F1027" s="186" t="str">
        <f>IFERROR(__xludf.DUMMYFUNCTION("""COMPUTED_VALUE"""),"Westafrikanisches Hähnchen-Erdnuss-Curry")</f>
        <v>Westafrikanisches Hähnchen-Erdnuss-Curry</v>
      </c>
      <c r="G1027" s="186" t="str">
        <f>IFERROR(__xludf.DUMMYFUNCTION("""COMPUTED_VALUE"""),"FE1451A")</f>
        <v>FE1451A</v>
      </c>
      <c r="H1027" s="186">
        <f>IFERROR(__xludf.DUMMYFUNCTION("""COMPUTED_VALUE"""),565178.0)</f>
        <v>565178</v>
      </c>
      <c r="I1027" s="186" t="str">
        <f>IFERROR(__xludf.DUMMYFUNCTION("""COMPUTED_VALUE"""),"HF Kruidige pinda curry")</f>
        <v>HF Kruidige pinda curry</v>
      </c>
      <c r="J1027" s="189">
        <f>IFERROR(__xludf.DUMMYFUNCTION("""COMPUTED_VALUE"""),1434.0)</f>
        <v>1434</v>
      </c>
      <c r="K1027" s="189">
        <f>IFERROR(__xludf.DUMMYFUNCTION("""COMPUTED_VALUE"""),1356.0)</f>
        <v>1356</v>
      </c>
      <c r="L1027" s="189">
        <f>IFERROR(__xludf.DUMMYFUNCTION("""COMPUTED_VALUE"""),1498.0)</f>
        <v>1498</v>
      </c>
      <c r="M1027" s="189">
        <f>IFERROR(__xludf.DUMMYFUNCTION("""COMPUTED_VALUE"""),2091.0)</f>
        <v>2091</v>
      </c>
      <c r="N1027" s="189">
        <f>IFERROR(__xludf.DUMMYFUNCTION("""COMPUTED_VALUE"""),2233.0)</f>
        <v>2233</v>
      </c>
      <c r="O1027" s="186"/>
      <c r="P1027" s="189">
        <f>IFERROR(__xludf.DUMMYFUNCTION("""COMPUTED_VALUE"""),2180.0)</f>
        <v>2180</v>
      </c>
      <c r="Q1027" s="189">
        <f>IFERROR(__xludf.DUMMYFUNCTION("""COMPUTED_VALUE"""),2144.0)</f>
        <v>2144</v>
      </c>
      <c r="R1027" s="186"/>
      <c r="S1027" s="189">
        <f>IFERROR(__xludf.DUMMYFUNCTION("""COMPUTED_VALUE"""),2006.0)</f>
        <v>2006</v>
      </c>
    </row>
    <row r="1028">
      <c r="A1028" s="186" t="str">
        <f>IFERROR(__xludf.DUMMYFUNCTION("""COMPUTED_VALUE"""),"DE")</f>
        <v>DE</v>
      </c>
      <c r="B1028" s="186" t="str">
        <f>IFERROR(__xludf.DUMMYFUNCTION("""COMPUTED_VALUE"""),"W19")</f>
        <v>W19</v>
      </c>
      <c r="C1028" s="186">
        <f>IFERROR(__xludf.DUMMYFUNCTION("""COMPUTED_VALUE"""),306.0)</f>
        <v>306</v>
      </c>
      <c r="D1028" s="186" t="str">
        <f>IFERROR(__xludf.DUMMYFUNCTION("""COMPUTED_VALUE"""),"CON-00-152025-2")</f>
        <v>CON-00-152025-2</v>
      </c>
      <c r="E1028" s="186" t="str">
        <f>IFERROR(__xludf.DUMMYFUNCTION("""COMPUTED_VALUE"""),"Salmon Piccata")</f>
        <v>Salmon Piccata</v>
      </c>
      <c r="F1028" s="186" t="str">
        <f>IFERROR(__xludf.DUMMYFUNCTION("""COMPUTED_VALUE"""),"Lachs Piccata")</f>
        <v>Lachs Piccata</v>
      </c>
      <c r="G1028" s="186" t="str">
        <f>IFERROR(__xludf.DUMMYFUNCTION("""COMPUTED_VALUE"""),"FE0972B")</f>
        <v>FE0972B</v>
      </c>
      <c r="H1028" s="186">
        <f>IFERROR(__xludf.DUMMYFUNCTION("""COMPUTED_VALUE"""),565189.0)</f>
        <v>565189</v>
      </c>
      <c r="I1028" s="186" t="str">
        <f>IFERROR(__xludf.DUMMYFUNCTION("""COMPUTED_VALUE"""),"HF Zalm met piccata saus")</f>
        <v>HF Zalm met piccata saus</v>
      </c>
      <c r="J1028" s="189">
        <f>IFERROR(__xludf.DUMMYFUNCTION("""COMPUTED_VALUE"""),0.0)</f>
        <v>0</v>
      </c>
      <c r="K1028" s="189">
        <f>IFERROR(__xludf.DUMMYFUNCTION("""COMPUTED_VALUE"""),0.0)</f>
        <v>0</v>
      </c>
      <c r="L1028" s="189">
        <f>IFERROR(__xludf.DUMMYFUNCTION("""COMPUTED_VALUE"""),0.0)</f>
        <v>0</v>
      </c>
      <c r="M1028" s="189">
        <f>IFERROR(__xludf.DUMMYFUNCTION("""COMPUTED_VALUE"""),0.0)</f>
        <v>0</v>
      </c>
      <c r="N1028" s="189">
        <f>IFERROR(__xludf.DUMMYFUNCTION("""COMPUTED_VALUE"""),0.0)</f>
        <v>0</v>
      </c>
      <c r="O1028" s="186"/>
      <c r="P1028" s="189">
        <f>IFERROR(__xludf.DUMMYFUNCTION("""COMPUTED_VALUE"""),0.0)</f>
        <v>0</v>
      </c>
      <c r="Q1028" s="189">
        <f>IFERROR(__xludf.DUMMYFUNCTION("""COMPUTED_VALUE"""),0.0)</f>
        <v>0</v>
      </c>
      <c r="R1028" s="186"/>
      <c r="S1028" s="189">
        <f>IFERROR(__xludf.DUMMYFUNCTION("""COMPUTED_VALUE"""),10.0)</f>
        <v>10</v>
      </c>
    </row>
    <row r="1029">
      <c r="A1029" s="186" t="str">
        <f>IFERROR(__xludf.DUMMYFUNCTION("""COMPUTED_VALUE"""),"DE")</f>
        <v>DE</v>
      </c>
      <c r="B1029" s="186" t="str">
        <f>IFERROR(__xludf.DUMMYFUNCTION("""COMPUTED_VALUE"""),"W19")</f>
        <v>W19</v>
      </c>
      <c r="C1029" s="186">
        <f>IFERROR(__xludf.DUMMYFUNCTION("""COMPUTED_VALUE"""),307.0)</f>
        <v>307</v>
      </c>
      <c r="D1029" s="186" t="str">
        <f>IFERROR(__xludf.DUMMYFUNCTION("""COMPUTED_VALUE"""),"CON-00-148220-2")</f>
        <v>CON-00-148220-2</v>
      </c>
      <c r="E1029" s="186" t="str">
        <f>IFERROR(__xludf.DUMMYFUNCTION("""COMPUTED_VALUE"""),"Caramelized Onion &amp; Emmental Fondue Chicken")</f>
        <v>Caramelized Onion &amp; Emmental Fondue Chicken</v>
      </c>
      <c r="F1029" s="186" t="str">
        <f>IFERROR(__xludf.DUMMYFUNCTION("""COMPUTED_VALUE"""),"Hähnchen mit karamellisierten Zwiebeln &amp; Emmentaler-Fondue")</f>
        <v>Hähnchen mit karamellisierten Zwiebeln &amp; Emmentaler-Fondue</v>
      </c>
      <c r="G1029" s="186" t="str">
        <f>IFERROR(__xludf.DUMMYFUNCTION("""COMPUTED_VALUE"""),"FE0970B")</f>
        <v>FE0970B</v>
      </c>
      <c r="H1029" s="186">
        <f>IFERROR(__xludf.DUMMYFUNCTION("""COMPUTED_VALUE"""),565164.0)</f>
        <v>565164</v>
      </c>
      <c r="I1029" s="186"/>
      <c r="J1029" s="189">
        <f>IFERROR(__xludf.DUMMYFUNCTION("""COMPUTED_VALUE"""),0.0)</f>
        <v>0</v>
      </c>
      <c r="K1029" s="189">
        <f>IFERROR(__xludf.DUMMYFUNCTION("""COMPUTED_VALUE"""),0.0)</f>
        <v>0</v>
      </c>
      <c r="L1029" s="189">
        <f>IFERROR(__xludf.DUMMYFUNCTION("""COMPUTED_VALUE"""),0.0)</f>
        <v>0</v>
      </c>
      <c r="M1029" s="189">
        <f>IFERROR(__xludf.DUMMYFUNCTION("""COMPUTED_VALUE"""),0.0)</f>
        <v>0</v>
      </c>
      <c r="N1029" s="189">
        <f>IFERROR(__xludf.DUMMYFUNCTION("""COMPUTED_VALUE"""),0.0)</f>
        <v>0</v>
      </c>
      <c r="O1029" s="186"/>
      <c r="P1029" s="189">
        <f>IFERROR(__xludf.DUMMYFUNCTION("""COMPUTED_VALUE"""),0.0)</f>
        <v>0</v>
      </c>
      <c r="Q1029" s="189">
        <f>IFERROR(__xludf.DUMMYFUNCTION("""COMPUTED_VALUE"""),0.0)</f>
        <v>0</v>
      </c>
      <c r="R1029" s="186"/>
      <c r="S1029" s="189">
        <f>IFERROR(__xludf.DUMMYFUNCTION("""COMPUTED_VALUE"""),61.0)</f>
        <v>61</v>
      </c>
    </row>
    <row r="1030">
      <c r="A1030" s="186" t="str">
        <f>IFERROR(__xludf.DUMMYFUNCTION("""COMPUTED_VALUE"""),"DE")</f>
        <v>DE</v>
      </c>
      <c r="B1030" s="186" t="str">
        <f>IFERROR(__xludf.DUMMYFUNCTION("""COMPUTED_VALUE"""),"W19")</f>
        <v>W19</v>
      </c>
      <c r="C1030" s="186">
        <f>IFERROR(__xludf.DUMMYFUNCTION("""COMPUTED_VALUE"""),308.0)</f>
        <v>308</v>
      </c>
      <c r="D1030" s="186" t="str">
        <f>IFERROR(__xludf.DUMMYFUNCTION("""COMPUTED_VALUE"""),"CON-00-136638-3")</f>
        <v>CON-00-136638-3</v>
      </c>
      <c r="E1030" s="186" t="str">
        <f>IFERROR(__xludf.DUMMYFUNCTION("""COMPUTED_VALUE"""),"Spicy chicken with jalapeño, lime and cheddar")</f>
        <v>Spicy chicken with jalapeño, lime and cheddar</v>
      </c>
      <c r="F1030" s="186" t="str">
        <f>IFERROR(__xludf.DUMMYFUNCTION("""COMPUTED_VALUE"""),"Würziges Hähnchen mit Jalapeño, Limette und Cheddar")</f>
        <v>Würziges Hähnchen mit Jalapeño, Limette und Cheddar</v>
      </c>
      <c r="G1030" s="186" t="str">
        <f>IFERROR(__xludf.DUMMYFUNCTION("""COMPUTED_VALUE"""),"FE0198D")</f>
        <v>FE0198D</v>
      </c>
      <c r="H1030" s="186">
        <f>IFERROR(__xludf.DUMMYFUNCTION("""COMPUTED_VALUE"""),565043.0)</f>
        <v>565043</v>
      </c>
      <c r="I1030" s="186" t="str">
        <f>IFERROR(__xludf.DUMMYFUNCTION("""COMPUTED_VALUE"""),"HF Pitt. kipf+jalap,lim,chedda")</f>
        <v>HF Pitt. kipf+jalap,lim,chedda</v>
      </c>
      <c r="J1030" s="189">
        <f>IFERROR(__xludf.DUMMYFUNCTION("""COMPUTED_VALUE"""),1067.0)</f>
        <v>1067</v>
      </c>
      <c r="K1030" s="189">
        <f>IFERROR(__xludf.DUMMYFUNCTION("""COMPUTED_VALUE"""),997.0)</f>
        <v>997</v>
      </c>
      <c r="L1030" s="189">
        <f>IFERROR(__xludf.DUMMYFUNCTION("""COMPUTED_VALUE"""),1102.0)</f>
        <v>1102</v>
      </c>
      <c r="M1030" s="189">
        <f>IFERROR(__xludf.DUMMYFUNCTION("""COMPUTED_VALUE"""),1268.0)</f>
        <v>1268</v>
      </c>
      <c r="N1030" s="189">
        <f>IFERROR(__xludf.DUMMYFUNCTION("""COMPUTED_VALUE"""),1331.0)</f>
        <v>1331</v>
      </c>
      <c r="O1030" s="186"/>
      <c r="P1030" s="189">
        <f>IFERROR(__xludf.DUMMYFUNCTION("""COMPUTED_VALUE"""),1246.0)</f>
        <v>1246</v>
      </c>
      <c r="Q1030" s="189">
        <f>IFERROR(__xludf.DUMMYFUNCTION("""COMPUTED_VALUE"""),1263.0)</f>
        <v>1263</v>
      </c>
      <c r="R1030" s="186"/>
      <c r="S1030" s="189">
        <f>IFERROR(__xludf.DUMMYFUNCTION("""COMPUTED_VALUE"""),1133.0)</f>
        <v>1133</v>
      </c>
    </row>
    <row r="1031">
      <c r="A1031" s="186" t="str">
        <f>IFERROR(__xludf.DUMMYFUNCTION("""COMPUTED_VALUE"""),"DE")</f>
        <v>DE</v>
      </c>
      <c r="B1031" s="186" t="str">
        <f>IFERROR(__xludf.DUMMYFUNCTION("""COMPUTED_VALUE"""),"W19")</f>
        <v>W19</v>
      </c>
      <c r="C1031" s="186">
        <f>IFERROR(__xludf.DUMMYFUNCTION("""COMPUTED_VALUE"""),309.0)</f>
        <v>309</v>
      </c>
      <c r="D1031" s="186" t="str">
        <f>IFERROR(__xludf.DUMMYFUNCTION("""COMPUTED_VALUE"""),"CON-00-136629-3")</f>
        <v>CON-00-136629-3</v>
      </c>
      <c r="E1031" s="186" t="str">
        <f>IFERROR(__xludf.DUMMYFUNCTION("""COMPUTED_VALUE"""),"Creamy tomato risotto")</f>
        <v>Creamy tomato risotto</v>
      </c>
      <c r="F1031" s="186" t="str">
        <f>IFERROR(__xludf.DUMMYFUNCTION("""COMPUTED_VALUE"""),"Cremiges Tomaten-Risotto")</f>
        <v>Cremiges Tomaten-Risotto</v>
      </c>
      <c r="G1031" s="186" t="str">
        <f>IFERROR(__xludf.DUMMYFUNCTION("""COMPUTED_VALUE"""),"FE0031C")</f>
        <v>FE0031C</v>
      </c>
      <c r="H1031" s="186">
        <f>IFERROR(__xludf.DUMMYFUNCTION("""COMPUTED_VALUE"""),565244.0)</f>
        <v>565244</v>
      </c>
      <c r="I1031" s="186" t="str">
        <f>IFERROR(__xludf.DUMMYFUNCTION("""COMPUTED_VALUE"""),"IO HF Romige tomatenrisotto V2")</f>
        <v>IO HF Romige tomatenrisotto V2</v>
      </c>
      <c r="J1031" s="189">
        <f>IFERROR(__xludf.DUMMYFUNCTION("""COMPUTED_VALUE"""),279.0)</f>
        <v>279</v>
      </c>
      <c r="K1031" s="189">
        <f>IFERROR(__xludf.DUMMYFUNCTION("""COMPUTED_VALUE"""),272.0)</f>
        <v>272</v>
      </c>
      <c r="L1031" s="189">
        <f>IFERROR(__xludf.DUMMYFUNCTION("""COMPUTED_VALUE"""),296.0)</f>
        <v>296</v>
      </c>
      <c r="M1031" s="189">
        <f>IFERROR(__xludf.DUMMYFUNCTION("""COMPUTED_VALUE"""),317.0)</f>
        <v>317</v>
      </c>
      <c r="N1031" s="189">
        <f>IFERROR(__xludf.DUMMYFUNCTION("""COMPUTED_VALUE"""),333.0)</f>
        <v>333</v>
      </c>
      <c r="O1031" s="186"/>
      <c r="P1031" s="189">
        <f>IFERROR(__xludf.DUMMYFUNCTION("""COMPUTED_VALUE"""),326.0)</f>
        <v>326</v>
      </c>
      <c r="Q1031" s="189">
        <f>IFERROR(__xludf.DUMMYFUNCTION("""COMPUTED_VALUE"""),330.0)</f>
        <v>330</v>
      </c>
      <c r="R1031" s="186"/>
      <c r="S1031" s="189">
        <f>IFERROR(__xludf.DUMMYFUNCTION("""COMPUTED_VALUE"""),368.0)</f>
        <v>368</v>
      </c>
    </row>
    <row r="1032">
      <c r="A1032" s="186" t="str">
        <f>IFERROR(__xludf.DUMMYFUNCTION("""COMPUTED_VALUE"""),"DE")</f>
        <v>DE</v>
      </c>
      <c r="B1032" s="186" t="str">
        <f>IFERROR(__xludf.DUMMYFUNCTION("""COMPUTED_VALUE"""),"W19")</f>
        <v>W19</v>
      </c>
      <c r="C1032" s="186">
        <f>IFERROR(__xludf.DUMMYFUNCTION("""COMPUTED_VALUE"""),310.0)</f>
        <v>310</v>
      </c>
      <c r="D1032" s="186" t="str">
        <f>IFERROR(__xludf.DUMMYFUNCTION("""COMPUTED_VALUE"""),"CON-00-136634-3")</f>
        <v>CON-00-136634-3</v>
      </c>
      <c r="E1032" s="186" t="str">
        <f>IFERROR(__xludf.DUMMYFUNCTION("""COMPUTED_VALUE"""),"Ratatouille of zucchini and pepper")</f>
        <v>Ratatouille of zucchini and pepper</v>
      </c>
      <c r="F1032" s="186" t="str">
        <f>IFERROR(__xludf.DUMMYFUNCTION("""COMPUTED_VALUE"""),"Zucchini-Paprika-Ratatouille")</f>
        <v>Zucchini-Paprika-Ratatouille</v>
      </c>
      <c r="G1032" s="186" t="str">
        <f>IFERROR(__xludf.DUMMYFUNCTION("""COMPUTED_VALUE"""),"FE0090C")</f>
        <v>FE0090C</v>
      </c>
      <c r="H1032" s="186">
        <f>IFERROR(__xludf.DUMMYFUNCTION("""COMPUTED_VALUE"""),565141.0)</f>
        <v>565141</v>
      </c>
      <c r="I1032" s="186"/>
      <c r="J1032" s="189">
        <f>IFERROR(__xludf.DUMMYFUNCTION("""COMPUTED_VALUE"""),317.0)</f>
        <v>317</v>
      </c>
      <c r="K1032" s="189">
        <f>IFERROR(__xludf.DUMMYFUNCTION("""COMPUTED_VALUE"""),292.0)</f>
        <v>292</v>
      </c>
      <c r="L1032" s="189">
        <f>IFERROR(__xludf.DUMMYFUNCTION("""COMPUTED_VALUE"""),316.0)</f>
        <v>316</v>
      </c>
      <c r="M1032" s="189">
        <f>IFERROR(__xludf.DUMMYFUNCTION("""COMPUTED_VALUE"""),280.0)</f>
        <v>280</v>
      </c>
      <c r="N1032" s="189">
        <f>IFERROR(__xludf.DUMMYFUNCTION("""COMPUTED_VALUE"""),314.0)</f>
        <v>314</v>
      </c>
      <c r="O1032" s="186"/>
      <c r="P1032" s="189">
        <f>IFERROR(__xludf.DUMMYFUNCTION("""COMPUTED_VALUE"""),293.0)</f>
        <v>293</v>
      </c>
      <c r="Q1032" s="189">
        <f>IFERROR(__xludf.DUMMYFUNCTION("""COMPUTED_VALUE"""),282.0)</f>
        <v>282</v>
      </c>
      <c r="R1032" s="186"/>
      <c r="S1032" s="189">
        <f>IFERROR(__xludf.DUMMYFUNCTION("""COMPUTED_VALUE"""),298.0)</f>
        <v>298</v>
      </c>
    </row>
    <row r="1033">
      <c r="A1033" s="186" t="str">
        <f>IFERROR(__xludf.DUMMYFUNCTION("""COMPUTED_VALUE"""),"DE")</f>
        <v>DE</v>
      </c>
      <c r="B1033" s="186" t="str">
        <f>IFERROR(__xludf.DUMMYFUNCTION("""COMPUTED_VALUE"""),"W19")</f>
        <v>W19</v>
      </c>
      <c r="C1033" s="186">
        <f>IFERROR(__xludf.DUMMYFUNCTION("""COMPUTED_VALUE"""),311.0)</f>
        <v>311</v>
      </c>
      <c r="D1033" s="186" t="str">
        <f>IFERROR(__xludf.DUMMYFUNCTION("""COMPUTED_VALUE"""),"CON-00-136637-3")</f>
        <v>CON-00-136637-3</v>
      </c>
      <c r="E1033" s="186" t="str">
        <f>IFERROR(__xludf.DUMMYFUNCTION("""COMPUTED_VALUE"""),"Pork tenderloin in creamy garlic-mustard sauce")</f>
        <v>Pork tenderloin in creamy garlic-mustard sauce</v>
      </c>
      <c r="F1033" s="186" t="str">
        <f>IFERROR(__xludf.DUMMYFUNCTION("""COMPUTED_VALUE"""),"Schweinefilet in cremiger Knoblauch-Senf-Sauce")</f>
        <v>Schweinefilet in cremiger Knoblauch-Senf-Sauce</v>
      </c>
      <c r="G1033" s="186" t="str">
        <f>IFERROR(__xludf.DUMMYFUNCTION("""COMPUTED_VALUE"""),"FE0169I")</f>
        <v>FE0169I</v>
      </c>
      <c r="H1033" s="186">
        <f>IFERROR(__xludf.DUMMYFUNCTION("""COMPUTED_VALUE"""),565143.0)</f>
        <v>565143</v>
      </c>
      <c r="I1033" s="186" t="str">
        <f>IFERROR(__xludf.DUMMYFUNCTION("""COMPUTED_VALUE"""),"HF RW V.haas met mosterd saus")</f>
        <v>HF RW V.haas met mosterd saus</v>
      </c>
      <c r="J1033" s="189">
        <f>IFERROR(__xludf.DUMMYFUNCTION("""COMPUTED_VALUE"""),419.0)</f>
        <v>419</v>
      </c>
      <c r="K1033" s="189">
        <f>IFERROR(__xludf.DUMMYFUNCTION("""COMPUTED_VALUE"""),315.0)</f>
        <v>315</v>
      </c>
      <c r="L1033" s="189">
        <f>IFERROR(__xludf.DUMMYFUNCTION("""COMPUTED_VALUE"""),344.0)</f>
        <v>344</v>
      </c>
      <c r="M1033" s="189">
        <f>IFERROR(__xludf.DUMMYFUNCTION("""COMPUTED_VALUE"""),464.0)</f>
        <v>464</v>
      </c>
      <c r="N1033" s="189">
        <f>IFERROR(__xludf.DUMMYFUNCTION("""COMPUTED_VALUE"""),606.0)</f>
        <v>606</v>
      </c>
      <c r="O1033" s="186"/>
      <c r="P1033" s="189">
        <f>IFERROR(__xludf.DUMMYFUNCTION("""COMPUTED_VALUE"""),598.0)</f>
        <v>598</v>
      </c>
      <c r="Q1033" s="189">
        <f>IFERROR(__xludf.DUMMYFUNCTION("""COMPUTED_VALUE"""),626.0)</f>
        <v>626</v>
      </c>
      <c r="R1033" s="186"/>
      <c r="S1033" s="189">
        <f>IFERROR(__xludf.DUMMYFUNCTION("""COMPUTED_VALUE"""),517.0)</f>
        <v>517</v>
      </c>
    </row>
    <row r="1034">
      <c r="A1034" s="186" t="str">
        <f>IFERROR(__xludf.DUMMYFUNCTION("""COMPUTED_VALUE"""),"DE")</f>
        <v>DE</v>
      </c>
      <c r="B1034" s="186" t="str">
        <f>IFERROR(__xludf.DUMMYFUNCTION("""COMPUTED_VALUE"""),"W19")</f>
        <v>W19</v>
      </c>
      <c r="C1034" s="186">
        <f>IFERROR(__xludf.DUMMYFUNCTION("""COMPUTED_VALUE"""),312.0)</f>
        <v>312</v>
      </c>
      <c r="D1034" s="186" t="str">
        <f>IFERROR(__xludf.DUMMYFUNCTION("""COMPUTED_VALUE"""),"CON-00-151278-2")</f>
        <v>CON-00-151278-2</v>
      </c>
      <c r="E1034" s="186" t="str">
        <f>IFERROR(__xludf.DUMMYFUNCTION("""COMPUTED_VALUE"""),"Ají Verde Salmon")</f>
        <v>Ají Verde Salmon</v>
      </c>
      <c r="F1034" s="186" t="str">
        <f>IFERROR(__xludf.DUMMYFUNCTION("""COMPUTED_VALUE"""),"Ají Verde Lachs")</f>
        <v>Ají Verde Lachs</v>
      </c>
      <c r="G1034" s="186" t="str">
        <f>IFERROR(__xludf.DUMMYFUNCTION("""COMPUTED_VALUE"""),"FE1320C")</f>
        <v>FE1320C</v>
      </c>
      <c r="H1034" s="186">
        <f>IFERROR(__xludf.DUMMYFUNCTION("""COMPUTED_VALUE"""),565196.0)</f>
        <v>565196</v>
      </c>
      <c r="I1034" s="186" t="str">
        <f>IFERROR(__xludf.DUMMYFUNCTION("""COMPUTED_VALUE"""),"HF Aji verde zalm")</f>
        <v>HF Aji verde zalm</v>
      </c>
      <c r="J1034" s="189">
        <f>IFERROR(__xludf.DUMMYFUNCTION("""COMPUTED_VALUE"""),0.0)</f>
        <v>0</v>
      </c>
      <c r="K1034" s="189">
        <f>IFERROR(__xludf.DUMMYFUNCTION("""COMPUTED_VALUE"""),1272.0)</f>
        <v>1272</v>
      </c>
      <c r="L1034" s="189">
        <f>IFERROR(__xludf.DUMMYFUNCTION("""COMPUTED_VALUE"""),1396.0)</f>
        <v>1396</v>
      </c>
      <c r="M1034" s="189">
        <f>IFERROR(__xludf.DUMMYFUNCTION("""COMPUTED_VALUE"""),1217.0)</f>
        <v>1217</v>
      </c>
      <c r="N1034" s="189">
        <f>IFERROR(__xludf.DUMMYFUNCTION("""COMPUTED_VALUE"""),1282.0)</f>
        <v>1282</v>
      </c>
      <c r="O1034" s="186"/>
      <c r="P1034" s="189">
        <f>IFERROR(__xludf.DUMMYFUNCTION("""COMPUTED_VALUE"""),1282.0)</f>
        <v>1282</v>
      </c>
      <c r="Q1034" s="189">
        <f>IFERROR(__xludf.DUMMYFUNCTION("""COMPUTED_VALUE"""),1238.0)</f>
        <v>1238</v>
      </c>
      <c r="R1034" s="186"/>
      <c r="S1034" s="189">
        <f>IFERROR(__xludf.DUMMYFUNCTION("""COMPUTED_VALUE"""),1180.0)</f>
        <v>1180</v>
      </c>
    </row>
    <row r="1035">
      <c r="A1035" s="186" t="str">
        <f>IFERROR(__xludf.DUMMYFUNCTION("""COMPUTED_VALUE"""),"DE")</f>
        <v>DE</v>
      </c>
      <c r="B1035" s="186" t="str">
        <f>IFERROR(__xludf.DUMMYFUNCTION("""COMPUTED_VALUE"""),"W19")</f>
        <v>W19</v>
      </c>
      <c r="C1035" s="186">
        <f>IFERROR(__xludf.DUMMYFUNCTION("""COMPUTED_VALUE"""),313.0)</f>
        <v>313</v>
      </c>
      <c r="D1035" s="186" t="str">
        <f>IFERROR(__xludf.DUMMYFUNCTION("""COMPUTED_VALUE"""),"CON-00-138152-2")</f>
        <v>CON-00-138152-2</v>
      </c>
      <c r="E1035" s="186" t="str">
        <f>IFERROR(__xludf.DUMMYFUNCTION("""COMPUTED_VALUE"""),"Red chile pulled pork")</f>
        <v>Red chile pulled pork</v>
      </c>
      <c r="F1035" s="186" t="str">
        <f>IFERROR(__xludf.DUMMYFUNCTION("""COMPUTED_VALUE"""),"Pulled Pork mit roter Chilisauce")</f>
        <v>Pulled Pork mit roter Chilisauce</v>
      </c>
      <c r="G1035" s="186" t="str">
        <f>IFERROR(__xludf.DUMMYFUNCTION("""COMPUTED_VALUE"""),"FE4049B")</f>
        <v>FE4049B</v>
      </c>
      <c r="H1035" s="186">
        <f>IFERROR(__xludf.DUMMYFUNCTION("""COMPUTED_VALUE"""),565130.0)</f>
        <v>565130</v>
      </c>
      <c r="I1035" s="186" t="str">
        <f>IFERROR(__xludf.DUMMYFUNCTION("""COMPUTED_VALUE"""),"HF Rode Chili &amp; Pulled Pork")</f>
        <v>HF Rode Chili &amp; Pulled Pork</v>
      </c>
      <c r="J1035" s="186"/>
      <c r="K1035" s="186"/>
      <c r="L1035" s="189">
        <f>IFERROR(__xludf.DUMMYFUNCTION("""COMPUTED_VALUE"""),1536.0)</f>
        <v>1536</v>
      </c>
      <c r="M1035" s="189">
        <f>IFERROR(__xludf.DUMMYFUNCTION("""COMPUTED_VALUE"""),1163.0)</f>
        <v>1163</v>
      </c>
      <c r="N1035" s="189">
        <f>IFERROR(__xludf.DUMMYFUNCTION("""COMPUTED_VALUE"""),1313.0)</f>
        <v>1313</v>
      </c>
      <c r="O1035" s="186"/>
      <c r="P1035" s="189">
        <f>IFERROR(__xludf.DUMMYFUNCTION("""COMPUTED_VALUE"""),1276.0)</f>
        <v>1276</v>
      </c>
      <c r="Q1035" s="189">
        <f>IFERROR(__xludf.DUMMYFUNCTION("""COMPUTED_VALUE"""),1272.0)</f>
        <v>1272</v>
      </c>
      <c r="R1035" s="186"/>
      <c r="S1035" s="189">
        <f>IFERROR(__xludf.DUMMYFUNCTION("""COMPUTED_VALUE"""),1195.0)</f>
        <v>1195</v>
      </c>
    </row>
    <row r="1036">
      <c r="A1036" s="186" t="str">
        <f>IFERROR(__xludf.DUMMYFUNCTION("""COMPUTED_VALUE"""),"DE")</f>
        <v>DE</v>
      </c>
      <c r="B1036" s="186" t="str">
        <f>IFERROR(__xludf.DUMMYFUNCTION("""COMPUTED_VALUE"""),"W19")</f>
        <v>W19</v>
      </c>
      <c r="C1036" s="186">
        <f>IFERROR(__xludf.DUMMYFUNCTION("""COMPUTED_VALUE"""),314.0)</f>
        <v>314</v>
      </c>
      <c r="D1036" s="186" t="str">
        <f>IFERROR(__xludf.DUMMYFUNCTION("""COMPUTED_VALUE"""),"CON-00-152024-2")</f>
        <v>CON-00-152024-2</v>
      </c>
      <c r="E1036" s="186" t="str">
        <f>IFERROR(__xludf.DUMMYFUNCTION("""COMPUTED_VALUE"""),"Ginger Garlic Grilled Chicken")</f>
        <v>Ginger Garlic Grilled Chicken</v>
      </c>
      <c r="F1036" s="186" t="str">
        <f>IFERROR(__xludf.DUMMYFUNCTION("""COMPUTED_VALUE"""),"Gegrilltes Hähnchen in Ingwer-Knoblauch-Marinade")</f>
        <v>Gegrilltes Hähnchen in Ingwer-Knoblauch-Marinade</v>
      </c>
      <c r="G1036" s="186" t="str">
        <f>IFERROR(__xludf.DUMMYFUNCTION("""COMPUTED_VALUE"""),"FE4064A")</f>
        <v>FE4064A</v>
      </c>
      <c r="H1036" s="186">
        <f>IFERROR(__xludf.DUMMYFUNCTION("""COMPUTED_VALUE"""),565211.0)</f>
        <v>565211</v>
      </c>
      <c r="I1036" s="186" t="str">
        <f>IFERROR(__xludf.DUMMYFUNCTION("""COMPUTED_VALUE"""),"HF Gember knoflook kip")</f>
        <v>HF Gember knoflook kip</v>
      </c>
      <c r="J1036" s="186"/>
      <c r="K1036" s="186"/>
      <c r="L1036" s="189">
        <f>IFERROR(__xludf.DUMMYFUNCTION("""COMPUTED_VALUE"""),749.0)</f>
        <v>749</v>
      </c>
      <c r="M1036" s="189">
        <f>IFERROR(__xludf.DUMMYFUNCTION("""COMPUTED_VALUE"""),547.0)</f>
        <v>547</v>
      </c>
      <c r="N1036" s="189">
        <f>IFERROR(__xludf.DUMMYFUNCTION("""COMPUTED_VALUE"""),668.0)</f>
        <v>668</v>
      </c>
      <c r="O1036" s="186"/>
      <c r="P1036" s="189">
        <f>IFERROR(__xludf.DUMMYFUNCTION("""COMPUTED_VALUE"""),670.0)</f>
        <v>670</v>
      </c>
      <c r="Q1036" s="189">
        <f>IFERROR(__xludf.DUMMYFUNCTION("""COMPUTED_VALUE"""),694.0)</f>
        <v>694</v>
      </c>
      <c r="R1036" s="186"/>
      <c r="S1036" s="189">
        <f>IFERROR(__xludf.DUMMYFUNCTION("""COMPUTED_VALUE"""),627.0)</f>
        <v>627</v>
      </c>
    </row>
    <row r="1037">
      <c r="A1037" s="186" t="str">
        <f>IFERROR(__xludf.DUMMYFUNCTION("""COMPUTED_VALUE"""),"DE")</f>
        <v>DE</v>
      </c>
      <c r="B1037" s="186" t="str">
        <f>IFERROR(__xludf.DUMMYFUNCTION("""COMPUTED_VALUE"""),"W19")</f>
        <v>W19</v>
      </c>
      <c r="C1037" s="186">
        <f>IFERROR(__xludf.DUMMYFUNCTION("""COMPUTED_VALUE"""),315.0)</f>
        <v>315</v>
      </c>
      <c r="D1037" s="186" t="str">
        <f>IFERROR(__xludf.DUMMYFUNCTION("""COMPUTED_VALUE"""),"CON-00-136694-3")</f>
        <v>CON-00-136694-3</v>
      </c>
      <c r="E1037" s="186" t="str">
        <f>IFERROR(__xludf.DUMMYFUNCTION("""COMPUTED_VALUE"""),"Spicy ground beef with jalapenos")</f>
        <v>Spicy ground beef with jalapenos</v>
      </c>
      <c r="F1037" s="186" t="str">
        <f>IFERROR(__xludf.DUMMYFUNCTION("""COMPUTED_VALUE"""),"Scharfes Rinderhack mit Jalapeños")</f>
        <v>Scharfes Rinderhack mit Jalapeños</v>
      </c>
      <c r="G1037" s="186" t="str">
        <f>IFERROR(__xludf.DUMMYFUNCTION("""COMPUTED_VALUE"""),"FE0746A")</f>
        <v>FE0746A</v>
      </c>
      <c r="H1037" s="186">
        <f>IFERROR(__xludf.DUMMYFUNCTION("""COMPUTED_VALUE"""),565091.0)</f>
        <v>565091</v>
      </c>
      <c r="I1037" s="186" t="str">
        <f>IFERROR(__xludf.DUMMYFUNCTION("""COMPUTED_VALUE"""),"HF Beef burrito bowl")</f>
        <v>HF Beef burrito bowl</v>
      </c>
      <c r="J1037" s="189">
        <f>IFERROR(__xludf.DUMMYFUNCTION("""COMPUTED_VALUE"""),759.0)</f>
        <v>759</v>
      </c>
      <c r="K1037" s="189">
        <f>IFERROR(__xludf.DUMMYFUNCTION("""COMPUTED_VALUE"""),763.0)</f>
        <v>763</v>
      </c>
      <c r="L1037" s="189">
        <f>IFERROR(__xludf.DUMMYFUNCTION("""COMPUTED_VALUE"""),836.0)</f>
        <v>836</v>
      </c>
      <c r="M1037" s="189">
        <f>IFERROR(__xludf.DUMMYFUNCTION("""COMPUTED_VALUE"""),538.0)</f>
        <v>538</v>
      </c>
      <c r="N1037" s="189">
        <f>IFERROR(__xludf.DUMMYFUNCTION("""COMPUTED_VALUE"""),644.0)</f>
        <v>644</v>
      </c>
      <c r="O1037" s="186"/>
      <c r="P1037" s="189">
        <f>IFERROR(__xludf.DUMMYFUNCTION("""COMPUTED_VALUE"""),678.0)</f>
        <v>678</v>
      </c>
      <c r="Q1037" s="189">
        <f>IFERROR(__xludf.DUMMYFUNCTION("""COMPUTED_VALUE"""),693.0)</f>
        <v>693</v>
      </c>
      <c r="R1037" s="186"/>
      <c r="S1037" s="189">
        <f>IFERROR(__xludf.DUMMYFUNCTION("""COMPUTED_VALUE"""),561.0)</f>
        <v>561</v>
      </c>
    </row>
    <row r="1038">
      <c r="A1038" s="186" t="str">
        <f>IFERROR(__xludf.DUMMYFUNCTION("""COMPUTED_VALUE"""),"DE")</f>
        <v>DE</v>
      </c>
      <c r="B1038" s="186" t="str">
        <f>IFERROR(__xludf.DUMMYFUNCTION("""COMPUTED_VALUE"""),"W19")</f>
        <v>W19</v>
      </c>
      <c r="C1038" s="186">
        <f>IFERROR(__xludf.DUMMYFUNCTION("""COMPUTED_VALUE"""),316.0)</f>
        <v>316</v>
      </c>
      <c r="D1038" s="186" t="str">
        <f>IFERROR(__xludf.DUMMYFUNCTION("""COMPUTED_VALUE"""),"CON-00-154547-2")</f>
        <v>CON-00-154547-2</v>
      </c>
      <c r="E1038" s="186" t="str">
        <f>IFERROR(__xludf.DUMMYFUNCTION("""COMPUTED_VALUE"""),"Citrus–Miso Salmon Bowl")</f>
        <v>Citrus–Miso Salmon Bowl</v>
      </c>
      <c r="F1038" s="186" t="str">
        <f>IFERROR(__xludf.DUMMYFUNCTION("""COMPUTED_VALUE"""),"Lachs-Bowl mit Zitrus-Miso")</f>
        <v>Lachs-Bowl mit Zitrus-Miso</v>
      </c>
      <c r="G1038" s="186" t="str">
        <f>IFERROR(__xludf.DUMMYFUNCTION("""COMPUTED_VALUE"""),"FE1731A")</f>
        <v>FE1731A</v>
      </c>
      <c r="H1038" s="186">
        <f>IFERROR(__xludf.DUMMYFUNCTION("""COMPUTED_VALUE"""),565221.0)</f>
        <v>565221</v>
      </c>
      <c r="I1038" s="186" t="str">
        <f>IFERROR(__xludf.DUMMYFUNCTION("""COMPUTED_VALUE"""),"HF Citrus-miso zalm bowl")</f>
        <v>HF Citrus-miso zalm bowl</v>
      </c>
      <c r="J1038" s="186"/>
      <c r="K1038" s="186"/>
      <c r="L1038" s="189">
        <f>IFERROR(__xludf.DUMMYFUNCTION("""COMPUTED_VALUE"""),533.0)</f>
        <v>533</v>
      </c>
      <c r="M1038" s="189">
        <f>IFERROR(__xludf.DUMMYFUNCTION("""COMPUTED_VALUE"""),727.0)</f>
        <v>727</v>
      </c>
      <c r="N1038" s="189">
        <f>IFERROR(__xludf.DUMMYFUNCTION("""COMPUTED_VALUE"""),810.0)</f>
        <v>810</v>
      </c>
      <c r="O1038" s="186"/>
      <c r="P1038" s="189">
        <f>IFERROR(__xludf.DUMMYFUNCTION("""COMPUTED_VALUE"""),773.0)</f>
        <v>773</v>
      </c>
      <c r="Q1038" s="189">
        <f>IFERROR(__xludf.DUMMYFUNCTION("""COMPUTED_VALUE"""),773.0)</f>
        <v>773</v>
      </c>
      <c r="R1038" s="186"/>
      <c r="S1038" s="189">
        <f>IFERROR(__xludf.DUMMYFUNCTION("""COMPUTED_VALUE"""),695.0)</f>
        <v>695</v>
      </c>
    </row>
    <row r="1039">
      <c r="A1039" s="186" t="str">
        <f>IFERROR(__xludf.DUMMYFUNCTION("""COMPUTED_VALUE"""),"DE")</f>
        <v>DE</v>
      </c>
      <c r="B1039" s="186" t="str">
        <f>IFERROR(__xludf.DUMMYFUNCTION("""COMPUTED_VALUE"""),"W19")</f>
        <v>W19</v>
      </c>
      <c r="C1039" s="186">
        <f>IFERROR(__xludf.DUMMYFUNCTION("""COMPUTED_VALUE"""),317.0)</f>
        <v>317</v>
      </c>
      <c r="D1039" s="186" t="str">
        <f>IFERROR(__xludf.DUMMYFUNCTION("""COMPUTED_VALUE"""),"CON-00-155185-3")</f>
        <v>CON-00-155185-3</v>
      </c>
      <c r="E1039" s="186" t="str">
        <f>IFERROR(__xludf.DUMMYFUNCTION("""COMPUTED_VALUE"""),"Sun-Dried Tomato Beef Ragu &amp; Pasta")</f>
        <v>Sun-Dried Tomato Beef Ragu &amp; Pasta</v>
      </c>
      <c r="F1039" s="186" t="str">
        <f>IFERROR(__xludf.DUMMYFUNCTION("""COMPUTED_VALUE"""),"Rinderragù mit sonnengetrockneten Tomaten und Pasta")</f>
        <v>Rinderragù mit sonnengetrockneten Tomaten und Pasta</v>
      </c>
      <c r="G1039" s="186" t="str">
        <f>IFERROR(__xludf.DUMMYFUNCTION("""COMPUTED_VALUE"""),"FE4075A")</f>
        <v>FE4075A</v>
      </c>
      <c r="H1039" s="186">
        <f>IFERROR(__xludf.DUMMYFUNCTION("""COMPUTED_VALUE"""),565252.0)</f>
        <v>565252</v>
      </c>
      <c r="I1039" s="186" t="str">
        <f>IFERROR(__xludf.DUMMYFUNCTION("""COMPUTED_VALUE"""),"HF Tomato Beef Ragu &amp; Pasta")</f>
        <v>HF Tomato Beef Ragu &amp; Pasta</v>
      </c>
      <c r="J1039" s="189">
        <f>IFERROR(__xludf.DUMMYFUNCTION("""COMPUTED_VALUE"""),841.0)</f>
        <v>841</v>
      </c>
      <c r="K1039" s="189">
        <f>IFERROR(__xludf.DUMMYFUNCTION("""COMPUTED_VALUE"""),803.0)</f>
        <v>803</v>
      </c>
      <c r="L1039" s="189">
        <f>IFERROR(__xludf.DUMMYFUNCTION("""COMPUTED_VALUE"""),890.0)</f>
        <v>890</v>
      </c>
      <c r="M1039" s="189">
        <f>IFERROR(__xludf.DUMMYFUNCTION("""COMPUTED_VALUE"""),1633.0)</f>
        <v>1633</v>
      </c>
      <c r="N1039" s="189">
        <f>IFERROR(__xludf.DUMMYFUNCTION("""COMPUTED_VALUE"""),1788.0)</f>
        <v>1788</v>
      </c>
      <c r="O1039" s="186"/>
      <c r="P1039" s="189">
        <f>IFERROR(__xludf.DUMMYFUNCTION("""COMPUTED_VALUE"""),1733.0)</f>
        <v>1733</v>
      </c>
      <c r="Q1039" s="189">
        <f>IFERROR(__xludf.DUMMYFUNCTION("""COMPUTED_VALUE"""),1712.0)</f>
        <v>1712</v>
      </c>
      <c r="R1039" s="186"/>
      <c r="S1039" s="189">
        <f>IFERROR(__xludf.DUMMYFUNCTION("""COMPUTED_VALUE"""),1552.0)</f>
        <v>1552</v>
      </c>
    </row>
    <row r="1040">
      <c r="A1040" s="186" t="str">
        <f>IFERROR(__xludf.DUMMYFUNCTION("""COMPUTED_VALUE"""),"DE")</f>
        <v>DE</v>
      </c>
      <c r="B1040" s="186" t="str">
        <f>IFERROR(__xludf.DUMMYFUNCTION("""COMPUTED_VALUE"""),"W19")</f>
        <v>W19</v>
      </c>
      <c r="C1040" s="186">
        <f>IFERROR(__xludf.DUMMYFUNCTION("""COMPUTED_VALUE"""),318.0)</f>
        <v>318</v>
      </c>
      <c r="D1040" s="186" t="str">
        <f>IFERROR(__xludf.DUMMYFUNCTION("""COMPUTED_VALUE"""),"CON-00-136696-3")</f>
        <v>CON-00-136696-3</v>
      </c>
      <c r="E1040" s="186" t="str">
        <f>IFERROR(__xludf.DUMMYFUNCTION("""COMPUTED_VALUE"""),"Pork tenderloin in spicy ancho chili sauce")</f>
        <v>Pork tenderloin in spicy ancho chili sauce</v>
      </c>
      <c r="F1040" s="186" t="str">
        <f>IFERROR(__xludf.DUMMYFUNCTION("""COMPUTED_VALUE"""),"Schweinefilet in würziger Ancho-Chili-Sauce")</f>
        <v>Schweinefilet in würziger Ancho-Chili-Sauce</v>
      </c>
      <c r="G1040" s="186" t="str">
        <f>IFERROR(__xludf.DUMMYFUNCTION("""COMPUTED_VALUE"""),"FE1072B")</f>
        <v>FE1072B</v>
      </c>
      <c r="H1040" s="186">
        <f>IFERROR(__xludf.DUMMYFUNCTION("""COMPUTED_VALUE"""),565095.0)</f>
        <v>565095</v>
      </c>
      <c r="I1040" s="186" t="str">
        <f>IFERROR(__xludf.DUMMYFUNCTION("""COMPUTED_VALUE"""),"HF V.haas pittige ancho chili")</f>
        <v>HF V.haas pittige ancho chili</v>
      </c>
      <c r="J1040" s="189">
        <f>IFERROR(__xludf.DUMMYFUNCTION("""COMPUTED_VALUE"""),440.0)</f>
        <v>440</v>
      </c>
      <c r="K1040" s="189">
        <f>IFERROR(__xludf.DUMMYFUNCTION("""COMPUTED_VALUE"""),392.0)</f>
        <v>392</v>
      </c>
      <c r="L1040" s="189">
        <f>IFERROR(__xludf.DUMMYFUNCTION("""COMPUTED_VALUE"""),433.0)</f>
        <v>433</v>
      </c>
      <c r="M1040" s="189">
        <f>IFERROR(__xludf.DUMMYFUNCTION("""COMPUTED_VALUE"""),436.0)</f>
        <v>436</v>
      </c>
      <c r="N1040" s="189">
        <f>IFERROR(__xludf.DUMMYFUNCTION("""COMPUTED_VALUE"""),497.0)</f>
        <v>497</v>
      </c>
      <c r="O1040" s="186"/>
      <c r="P1040" s="189">
        <f>IFERROR(__xludf.DUMMYFUNCTION("""COMPUTED_VALUE"""),504.0)</f>
        <v>504</v>
      </c>
      <c r="Q1040" s="189">
        <f>IFERROR(__xludf.DUMMYFUNCTION("""COMPUTED_VALUE"""),525.0)</f>
        <v>525</v>
      </c>
      <c r="R1040" s="186"/>
      <c r="S1040" s="189">
        <f>IFERROR(__xludf.DUMMYFUNCTION("""COMPUTED_VALUE"""),457.0)</f>
        <v>457</v>
      </c>
    </row>
    <row r="1041">
      <c r="A1041" s="186" t="str">
        <f>IFERROR(__xludf.DUMMYFUNCTION("""COMPUTED_VALUE"""),"DE")</f>
        <v>DE</v>
      </c>
      <c r="B1041" s="186" t="str">
        <f>IFERROR(__xludf.DUMMYFUNCTION("""COMPUTED_VALUE"""),"W19")</f>
        <v>W19</v>
      </c>
      <c r="C1041" s="186">
        <f>IFERROR(__xludf.DUMMYFUNCTION("""COMPUTED_VALUE"""),206.0)</f>
        <v>206</v>
      </c>
      <c r="D1041" s="186" t="str">
        <f>IFERROR(__xludf.DUMMYFUNCTION("""COMPUTED_VALUE"""),"PTN-00-136930-3")</f>
        <v>PTN-00-136930-3</v>
      </c>
      <c r="E1041" s="186" t="str">
        <f>IFERROR(__xludf.DUMMYFUNCTION("""COMPUTED_VALUE"""),"Garlic Herb Grilled Chicken")</f>
        <v>Garlic Herb Grilled Chicken</v>
      </c>
      <c r="F1041" s="186" t="str">
        <f>IFERROR(__xludf.DUMMYFUNCTION("""COMPUTED_VALUE"""),"Gegrilltes Hähnchen mit Knoblauch-Kräutern")</f>
        <v>Gegrilltes Hähnchen mit Knoblauch-Kräutern</v>
      </c>
      <c r="G1041" s="186" t="str">
        <f>IFERROR(__xludf.DUMMYFUNCTION("""COMPUTED_VALUE"""),"FEA006A")</f>
        <v>FEA006A</v>
      </c>
      <c r="H1041" s="186">
        <f>IFERROR(__xludf.DUMMYFUNCTION("""COMPUTED_VALUE"""),565119.0)</f>
        <v>565119</v>
      </c>
      <c r="I1041" s="186"/>
      <c r="J1041" s="189">
        <f>IFERROR(__xludf.DUMMYFUNCTION("""COMPUTED_VALUE"""),67.0)</f>
        <v>67</v>
      </c>
      <c r="K1041" s="189">
        <f>IFERROR(__xludf.DUMMYFUNCTION("""COMPUTED_VALUE"""),67.0)</f>
        <v>67</v>
      </c>
      <c r="L1041" s="189">
        <f>IFERROR(__xludf.DUMMYFUNCTION("""COMPUTED_VALUE"""),67.0)</f>
        <v>67</v>
      </c>
      <c r="M1041" s="189">
        <f>IFERROR(__xludf.DUMMYFUNCTION("""COMPUTED_VALUE"""),67.0)</f>
        <v>67</v>
      </c>
      <c r="N1041" s="189">
        <f>IFERROR(__xludf.DUMMYFUNCTION("""COMPUTED_VALUE"""),67.0)</f>
        <v>67</v>
      </c>
      <c r="O1041" s="186"/>
      <c r="P1041" s="189">
        <f>IFERROR(__xludf.DUMMYFUNCTION("""COMPUTED_VALUE"""),67.0)</f>
        <v>67</v>
      </c>
      <c r="Q1041" s="189">
        <f>IFERROR(__xludf.DUMMYFUNCTION("""COMPUTED_VALUE"""),67.0)</f>
        <v>67</v>
      </c>
      <c r="R1041" s="186"/>
      <c r="S1041" s="189">
        <f>IFERROR(__xludf.DUMMYFUNCTION("""COMPUTED_VALUE"""),40.0)</f>
        <v>40</v>
      </c>
    </row>
    <row r="1042">
      <c r="A1042" s="186" t="str">
        <f>IFERROR(__xludf.DUMMYFUNCTION("""COMPUTED_VALUE"""),"DE")</f>
        <v>DE</v>
      </c>
      <c r="B1042" s="186" t="str">
        <f>IFERROR(__xludf.DUMMYFUNCTION("""COMPUTED_VALUE"""),"W19")</f>
        <v>W19</v>
      </c>
      <c r="C1042" s="186"/>
      <c r="D1042" s="186"/>
      <c r="E1042" s="186"/>
      <c r="F1042" s="186"/>
      <c r="G1042" s="186"/>
      <c r="H1042" s="186"/>
      <c r="I1042" s="186"/>
      <c r="J1042" s="189">
        <f>IFERROR(__xludf.DUMMYFUNCTION("""COMPUTED_VALUE"""),9790.0)</f>
        <v>9790</v>
      </c>
      <c r="K1042" s="189">
        <f>IFERROR(__xludf.DUMMYFUNCTION("""COMPUTED_VALUE"""),10512.0)</f>
        <v>10512</v>
      </c>
      <c r="L1042" s="189">
        <f>IFERROR(__xludf.DUMMYFUNCTION("""COMPUTED_VALUE"""),14379.0)</f>
        <v>14379</v>
      </c>
      <c r="M1042" s="189">
        <f>IFERROR(__xludf.DUMMYFUNCTION("""COMPUTED_VALUE"""),17027.0)</f>
        <v>17027</v>
      </c>
      <c r="N1042" s="189">
        <f>IFERROR(__xludf.DUMMYFUNCTION("""COMPUTED_VALUE"""),18936.0)</f>
        <v>18936</v>
      </c>
      <c r="O1042" s="186"/>
      <c r="P1042" s="189">
        <f>IFERROR(__xludf.DUMMYFUNCTION("""COMPUTED_VALUE"""),18534.0)</f>
        <v>18534</v>
      </c>
      <c r="Q1042" s="189">
        <f>IFERROR(__xludf.DUMMYFUNCTION("""COMPUTED_VALUE"""),18532.0)</f>
        <v>18532</v>
      </c>
      <c r="R1042" s="189">
        <f>IFERROR(__xludf.DUMMYFUNCTION("""COMPUTED_VALUE"""),0.0)</f>
        <v>0</v>
      </c>
      <c r="S1042" s="189">
        <f>IFERROR(__xludf.DUMMYFUNCTION("""COMPUTED_VALUE"""),17546.0)</f>
        <v>17546</v>
      </c>
    </row>
    <row r="1043">
      <c r="A1043" s="186" t="str">
        <f>IFERROR(__xludf.DUMMYFUNCTION("""COMPUTED_VALUE"""),"NORDICS")</f>
        <v>NORDICS</v>
      </c>
      <c r="B1043" s="186" t="str">
        <f>IFERROR(__xludf.DUMMYFUNCTION("""COMPUTED_VALUE"""),"W20")</f>
        <v>W20</v>
      </c>
      <c r="C1043" s="186">
        <f>IFERROR(__xludf.DUMMYFUNCTION("""COMPUTED_VALUE"""),601.0)</f>
        <v>601</v>
      </c>
      <c r="D1043" s="186" t="str">
        <f>IFERROR(__xludf.DUMMYFUNCTION("""COMPUTED_VALUE"""),"CON-00-147827-2")</f>
        <v>CON-00-147827-2</v>
      </c>
      <c r="E1043" s="186" t="str">
        <f>IFERROR(__xludf.DUMMYFUNCTION("""COMPUTED_VALUE"""),"Chicken à la Florentine")</f>
        <v>Chicken à la Florentine</v>
      </c>
      <c r="F1043" s="186" t="str">
        <f>IFERROR(__xludf.DUMMYFUNCTION("""COMPUTED_VALUE"""),"Kylling à la Florentine")</f>
        <v>Kylling à la Florentine</v>
      </c>
      <c r="G1043" s="186" t="str">
        <f>IFERROR(__xludf.DUMMYFUNCTION("""COMPUTED_VALUE"""),"FE0224D")</f>
        <v>FE0224D</v>
      </c>
      <c r="H1043" s="186">
        <f>IFERROR(__xludf.DUMMYFUNCTION("""COMPUTED_VALUE"""),565047.0)</f>
        <v>565047</v>
      </c>
      <c r="I1043" s="186" t="str">
        <f>IFERROR(__xludf.DUMMYFUNCTION("""COMPUTED_VALUE"""),"HF Kip á la Florentine")</f>
        <v>HF Kip á la Florentine</v>
      </c>
      <c r="J1043" s="189">
        <f>IFERROR(__xludf.DUMMYFUNCTION("""COMPUTED_VALUE"""),3540.0)</f>
        <v>3540</v>
      </c>
      <c r="K1043" s="189">
        <f>IFERROR(__xludf.DUMMYFUNCTION("""COMPUTED_VALUE"""),3474.0)</f>
        <v>3474</v>
      </c>
      <c r="L1043" s="189">
        <f>IFERROR(__xludf.DUMMYFUNCTION("""COMPUTED_VALUE"""),3422.0)</f>
        <v>3422</v>
      </c>
      <c r="M1043" s="189">
        <f>IFERROR(__xludf.DUMMYFUNCTION("""COMPUTED_VALUE"""),3153.0)</f>
        <v>3153</v>
      </c>
      <c r="N1043" s="186"/>
      <c r="O1043" s="186"/>
      <c r="P1043" s="186"/>
      <c r="Q1043" s="186"/>
      <c r="R1043" s="186"/>
      <c r="S1043" s="186"/>
    </row>
    <row r="1044">
      <c r="A1044" s="186" t="str">
        <f>IFERROR(__xludf.DUMMYFUNCTION("""COMPUTED_VALUE"""),"NORDICS")</f>
        <v>NORDICS</v>
      </c>
      <c r="B1044" s="186" t="str">
        <f>IFERROR(__xludf.DUMMYFUNCTION("""COMPUTED_VALUE"""),"W20")</f>
        <v>W20</v>
      </c>
      <c r="C1044" s="186">
        <f>IFERROR(__xludf.DUMMYFUNCTION("""COMPUTED_VALUE"""),602.0)</f>
        <v>602</v>
      </c>
      <c r="D1044" s="186" t="str">
        <f>IFERROR(__xludf.DUMMYFUNCTION("""COMPUTED_VALUE"""),"CON-00-147878-2")</f>
        <v>CON-00-147878-2</v>
      </c>
      <c r="E1044" s="186" t="str">
        <f>IFERROR(__xludf.DUMMYFUNCTION("""COMPUTED_VALUE"""),"Grilled chicken and ratatouille")</f>
        <v>Grilled chicken and ratatouille</v>
      </c>
      <c r="F1044" s="186" t="str">
        <f>IFERROR(__xludf.DUMMYFUNCTION("""COMPUTED_VALUE"""),"Grillet kylling og ratatouille")</f>
        <v>Grillet kylling og ratatouille</v>
      </c>
      <c r="G1044" s="186" t="str">
        <f>IFERROR(__xludf.DUMMYFUNCTION("""COMPUTED_VALUE"""),"FE4015A")</f>
        <v>FE4015A</v>
      </c>
      <c r="H1044" s="186">
        <f>IFERROR(__xludf.DUMMYFUNCTION("""COMPUTED_VALUE"""),565072.0)</f>
        <v>565072</v>
      </c>
      <c r="I1044" s="186" t="str">
        <f>IFERROR(__xludf.DUMMYFUNCTION("""COMPUTED_VALUE"""),"HF Gegrilde kipfilet en ratatouille 429g")</f>
        <v>HF Gegrilde kipfilet en ratatouille 429g</v>
      </c>
      <c r="J1044" s="189">
        <f>IFERROR(__xludf.DUMMYFUNCTION("""COMPUTED_VALUE"""),0.0)</f>
        <v>0</v>
      </c>
      <c r="K1044" s="189">
        <f>IFERROR(__xludf.DUMMYFUNCTION("""COMPUTED_VALUE"""),2293.0)</f>
        <v>2293</v>
      </c>
      <c r="L1044" s="189">
        <f>IFERROR(__xludf.DUMMYFUNCTION("""COMPUTED_VALUE"""),2227.0)</f>
        <v>2227</v>
      </c>
      <c r="M1044" s="189">
        <f>IFERROR(__xludf.DUMMYFUNCTION("""COMPUTED_VALUE"""),2204.0)</f>
        <v>2204</v>
      </c>
      <c r="N1044" s="186"/>
      <c r="O1044" s="186"/>
      <c r="P1044" s="186"/>
      <c r="Q1044" s="186"/>
      <c r="R1044" s="186"/>
      <c r="S1044" s="186"/>
    </row>
    <row r="1045">
      <c r="A1045" s="186" t="str">
        <f>IFERROR(__xludf.DUMMYFUNCTION("""COMPUTED_VALUE"""),"NORDICS")</f>
        <v>NORDICS</v>
      </c>
      <c r="B1045" s="186" t="str">
        <f>IFERROR(__xludf.DUMMYFUNCTION("""COMPUTED_VALUE"""),"W20")</f>
        <v>W20</v>
      </c>
      <c r="C1045" s="186">
        <f>IFERROR(__xludf.DUMMYFUNCTION("""COMPUTED_VALUE"""),603.0)</f>
        <v>603</v>
      </c>
      <c r="D1045" s="186" t="str">
        <f>IFERROR(__xludf.DUMMYFUNCTION("""COMPUTED_VALUE"""),"CON-00-147857-2")</f>
        <v>CON-00-147857-2</v>
      </c>
      <c r="E1045" s="186" t="str">
        <f>IFERROR(__xludf.DUMMYFUNCTION("""COMPUTED_VALUE"""),"Spicy ground beef with jalapenos")</f>
        <v>Spicy ground beef with jalapenos</v>
      </c>
      <c r="F1045" s="186" t="str">
        <f>IFERROR(__xludf.DUMMYFUNCTION("""COMPUTED_VALUE"""),"Spicy hakket oksekød med jalapeños")</f>
        <v>Spicy hakket oksekød med jalapeños</v>
      </c>
      <c r="G1045" s="186" t="str">
        <f>IFERROR(__xludf.DUMMYFUNCTION("""COMPUTED_VALUE"""),"FE0746B")</f>
        <v>FE0746B</v>
      </c>
      <c r="H1045" s="186">
        <f>IFERROR(__xludf.DUMMYFUNCTION("""COMPUTED_VALUE"""),565311.0)</f>
        <v>565311</v>
      </c>
      <c r="I1045" s="186" t="str">
        <f>IFERROR(__xludf.DUMMYFUNCTION("""COMPUTED_VALUE"""),"HF RW Pittige gehakt jalapeño")</f>
        <v>HF RW Pittige gehakt jalapeño</v>
      </c>
      <c r="J1045" s="189">
        <f>IFERROR(__xludf.DUMMYFUNCTION("""COMPUTED_VALUE"""),1999.0)</f>
        <v>1999</v>
      </c>
      <c r="K1045" s="189">
        <f>IFERROR(__xludf.DUMMYFUNCTION("""COMPUTED_VALUE"""),1971.0)</f>
        <v>1971</v>
      </c>
      <c r="L1045" s="189">
        <f>IFERROR(__xludf.DUMMYFUNCTION("""COMPUTED_VALUE"""),1935.0)</f>
        <v>1935</v>
      </c>
      <c r="M1045" s="189">
        <f>IFERROR(__xludf.DUMMYFUNCTION("""COMPUTED_VALUE"""),1611.0)</f>
        <v>1611</v>
      </c>
      <c r="N1045" s="186"/>
      <c r="O1045" s="186"/>
      <c r="P1045" s="186"/>
      <c r="Q1045" s="186"/>
      <c r="R1045" s="186"/>
      <c r="S1045" s="186"/>
    </row>
    <row r="1046">
      <c r="A1046" s="186" t="str">
        <f>IFERROR(__xludf.DUMMYFUNCTION("""COMPUTED_VALUE"""),"NORDICS")</f>
        <v>NORDICS</v>
      </c>
      <c r="B1046" s="186" t="str">
        <f>IFERROR(__xludf.DUMMYFUNCTION("""COMPUTED_VALUE"""),"W20")</f>
        <v>W20</v>
      </c>
      <c r="C1046" s="186">
        <f>IFERROR(__xludf.DUMMYFUNCTION("""COMPUTED_VALUE"""),604.0)</f>
        <v>604</v>
      </c>
      <c r="D1046" s="186" t="str">
        <f>IFERROR(__xludf.DUMMYFUNCTION("""COMPUTED_VALUE"""),"CON-00-151098-2")</f>
        <v>CON-00-151098-2</v>
      </c>
      <c r="E1046" s="186" t="str">
        <f>IFERROR(__xludf.DUMMYFUNCTION("""COMPUTED_VALUE"""),"Roasted Salmon &amp; Dill Yogurt")</f>
        <v>Roasted Salmon &amp; Dill Yogurt</v>
      </c>
      <c r="F1046" s="186" t="str">
        <f>IFERROR(__xludf.DUMMYFUNCTION("""COMPUTED_VALUE"""),"Ovnbagt laks med dild-yoghurtsauce")</f>
        <v>Ovnbagt laks med dild-yoghurtsauce</v>
      </c>
      <c r="G1046" s="186" t="str">
        <f>IFERROR(__xludf.DUMMYFUNCTION("""COMPUTED_VALUE"""),"FE1145B")</f>
        <v>FE1145B</v>
      </c>
      <c r="H1046" s="186">
        <f>IFERROR(__xludf.DUMMYFUNCTION("""COMPUTED_VALUE"""),565206.0)</f>
        <v>565206</v>
      </c>
      <c r="I1046" s="186" t="str">
        <f>IFERROR(__xludf.DUMMYFUNCTION("""COMPUTED_VALUE"""),"HF Zalm citroen dille yoghurt")</f>
        <v>HF Zalm citroen dille yoghurt</v>
      </c>
      <c r="J1046" s="189">
        <f>IFERROR(__xludf.DUMMYFUNCTION("""COMPUTED_VALUE"""),2934.0)</f>
        <v>2934</v>
      </c>
      <c r="K1046" s="189">
        <f>IFERROR(__xludf.DUMMYFUNCTION("""COMPUTED_VALUE"""),2886.0)</f>
        <v>2886</v>
      </c>
      <c r="L1046" s="189">
        <f>IFERROR(__xludf.DUMMYFUNCTION("""COMPUTED_VALUE"""),2830.0)</f>
        <v>2830</v>
      </c>
      <c r="M1046" s="189">
        <f>IFERROR(__xludf.DUMMYFUNCTION("""COMPUTED_VALUE"""),2873.0)</f>
        <v>2873</v>
      </c>
      <c r="N1046" s="186"/>
      <c r="O1046" s="186"/>
      <c r="P1046" s="186"/>
      <c r="Q1046" s="186"/>
      <c r="R1046" s="186"/>
      <c r="S1046" s="186"/>
    </row>
    <row r="1047">
      <c r="A1047" s="186" t="str">
        <f>IFERROR(__xludf.DUMMYFUNCTION("""COMPUTED_VALUE"""),"NORDICS")</f>
        <v>NORDICS</v>
      </c>
      <c r="B1047" s="186" t="str">
        <f>IFERROR(__xludf.DUMMYFUNCTION("""COMPUTED_VALUE"""),"W20")</f>
        <v>W20</v>
      </c>
      <c r="C1047" s="186">
        <f>IFERROR(__xludf.DUMMYFUNCTION("""COMPUTED_VALUE"""),605.0)</f>
        <v>605</v>
      </c>
      <c r="D1047" s="186" t="str">
        <f>IFERROR(__xludf.DUMMYFUNCTION("""COMPUTED_VALUE"""),"CON-00-152208-2")</f>
        <v>CON-00-152208-2</v>
      </c>
      <c r="E1047" s="186" t="str">
        <f>IFERROR(__xludf.DUMMYFUNCTION("""COMPUTED_VALUE"""),"Green Chile Chicken &amp; Salsa Quinoa")</f>
        <v>Green Chile Chicken &amp; Salsa Quinoa</v>
      </c>
      <c r="F1047" s="186" t="str">
        <f>IFERROR(__xludf.DUMMYFUNCTION("""COMPUTED_VALUE"""),"Chilensk inspireret kylling med salsa-quinoa")</f>
        <v>Chilensk inspireret kylling med salsa-quinoa</v>
      </c>
      <c r="G1047" s="186" t="str">
        <f>IFERROR(__xludf.DUMMYFUNCTION("""COMPUTED_VALUE"""),"FE1636A")</f>
        <v>FE1636A</v>
      </c>
      <c r="H1047" s="186">
        <f>IFERROR(__xludf.DUMMYFUNCTION("""COMPUTED_VALUE"""),565209.0)</f>
        <v>565209</v>
      </c>
      <c r="I1047" s="186" t="str">
        <f>IFERROR(__xludf.DUMMYFUNCTION("""COMPUTED_VALUE"""),"HF Quinoa witte bonen salsa")</f>
        <v>HF Quinoa witte bonen salsa</v>
      </c>
      <c r="J1047" s="189">
        <f>IFERROR(__xludf.DUMMYFUNCTION("""COMPUTED_VALUE"""),1716.0)</f>
        <v>1716</v>
      </c>
      <c r="K1047" s="189">
        <f>IFERROR(__xludf.DUMMYFUNCTION("""COMPUTED_VALUE"""),1689.0)</f>
        <v>1689</v>
      </c>
      <c r="L1047" s="189">
        <f>IFERROR(__xludf.DUMMYFUNCTION("""COMPUTED_VALUE"""),1667.0)</f>
        <v>1667</v>
      </c>
      <c r="M1047" s="189">
        <f>IFERROR(__xludf.DUMMYFUNCTION("""COMPUTED_VALUE"""),1903.0)</f>
        <v>1903</v>
      </c>
      <c r="N1047" s="186"/>
      <c r="O1047" s="186"/>
      <c r="P1047" s="186"/>
      <c r="Q1047" s="186"/>
      <c r="R1047" s="186"/>
      <c r="S1047" s="186"/>
    </row>
    <row r="1048">
      <c r="A1048" s="186" t="str">
        <f>IFERROR(__xludf.DUMMYFUNCTION("""COMPUTED_VALUE"""),"NORDICS")</f>
        <v>NORDICS</v>
      </c>
      <c r="B1048" s="186" t="str">
        <f>IFERROR(__xludf.DUMMYFUNCTION("""COMPUTED_VALUE"""),"W20")</f>
        <v>W20</v>
      </c>
      <c r="C1048" s="186">
        <f>IFERROR(__xludf.DUMMYFUNCTION("""COMPUTED_VALUE"""),606.0)</f>
        <v>606</v>
      </c>
      <c r="D1048" s="186" t="str">
        <f>IFERROR(__xludf.DUMMYFUNCTION("""COMPUTED_VALUE"""),"CON-00-147813-2")</f>
        <v>CON-00-147813-2</v>
      </c>
      <c r="E1048" s="186" t="str">
        <f>IFERROR(__xludf.DUMMYFUNCTION("""COMPUTED_VALUE"""),"Salmon with pesto")</f>
        <v>Salmon with pesto</v>
      </c>
      <c r="F1048" s="186" t="str">
        <f>IFERROR(__xludf.DUMMYFUNCTION("""COMPUTED_VALUE"""),"Laks med pesto")</f>
        <v>Laks med pesto</v>
      </c>
      <c r="G1048" s="186" t="str">
        <f>IFERROR(__xludf.DUMMYFUNCTION("""COMPUTED_VALUE"""),"FE0035F")</f>
        <v>FE0035F</v>
      </c>
      <c r="H1048" s="186">
        <f>IFERROR(__xludf.DUMMYFUNCTION("""COMPUTED_VALUE"""),565022.0)</f>
        <v>565022</v>
      </c>
      <c r="I1048" s="186" t="str">
        <f>IFERROR(__xludf.DUMMYFUNCTION("""COMPUTED_VALUE"""),"HF Zalm met pesto")</f>
        <v>HF Zalm met pesto</v>
      </c>
      <c r="J1048" s="189">
        <f>IFERROR(__xludf.DUMMYFUNCTION("""COMPUTED_VALUE"""),0.0)</f>
        <v>0</v>
      </c>
      <c r="K1048" s="189">
        <f>IFERROR(__xludf.DUMMYFUNCTION("""COMPUTED_VALUE"""),0.0)</f>
        <v>0</v>
      </c>
      <c r="L1048" s="189">
        <f>IFERROR(__xludf.DUMMYFUNCTION("""COMPUTED_VALUE"""),0.0)</f>
        <v>0</v>
      </c>
      <c r="M1048" s="189">
        <f>IFERROR(__xludf.DUMMYFUNCTION("""COMPUTED_VALUE"""),0.0)</f>
        <v>0</v>
      </c>
      <c r="N1048" s="186"/>
      <c r="O1048" s="186"/>
      <c r="P1048" s="186"/>
      <c r="Q1048" s="186"/>
      <c r="R1048" s="186"/>
      <c r="S1048" s="186"/>
    </row>
    <row r="1049">
      <c r="A1049" s="186" t="str">
        <f>IFERROR(__xludf.DUMMYFUNCTION("""COMPUTED_VALUE"""),"NORDICS")</f>
        <v>NORDICS</v>
      </c>
      <c r="B1049" s="186" t="str">
        <f>IFERROR(__xludf.DUMMYFUNCTION("""COMPUTED_VALUE"""),"W20")</f>
        <v>W20</v>
      </c>
      <c r="C1049" s="186">
        <f>IFERROR(__xludf.DUMMYFUNCTION("""COMPUTED_VALUE"""),607.0)</f>
        <v>607</v>
      </c>
      <c r="D1049" s="186" t="str">
        <f>IFERROR(__xludf.DUMMYFUNCTION("""COMPUTED_VALUE"""),"CON-00-147844-2")</f>
        <v>CON-00-147844-2</v>
      </c>
      <c r="E1049" s="186" t="str">
        <f>IFERROR(__xludf.DUMMYFUNCTION("""COMPUTED_VALUE"""),"Indian style butter chicken")</f>
        <v>Indian style butter chicken</v>
      </c>
      <c r="F1049" s="186" t="str">
        <f>IFERROR(__xludf.DUMMYFUNCTION("""COMPUTED_VALUE"""),"Indisk-inspireret butter chicken")</f>
        <v>Indisk-inspireret butter chicken</v>
      </c>
      <c r="G1049" s="186" t="str">
        <f>IFERROR(__xludf.DUMMYFUNCTION("""COMPUTED_VALUE"""),"FE0472B")</f>
        <v>FE0472B</v>
      </c>
      <c r="H1049" s="186">
        <f>IFERROR(__xludf.DUMMYFUNCTION("""COMPUTED_VALUE"""),565145.0)</f>
        <v>565145</v>
      </c>
      <c r="I1049" s="186" t="str">
        <f>IFERROR(__xludf.DUMMYFUNCTION("""COMPUTED_VALUE"""),"HF RW Butter Chicken")</f>
        <v>HF RW Butter Chicken</v>
      </c>
      <c r="J1049" s="189">
        <f>IFERROR(__xludf.DUMMYFUNCTION("""COMPUTED_VALUE"""),0.0)</f>
        <v>0</v>
      </c>
      <c r="K1049" s="189">
        <f>IFERROR(__xludf.DUMMYFUNCTION("""COMPUTED_VALUE"""),0.0)</f>
        <v>0</v>
      </c>
      <c r="L1049" s="189">
        <f>IFERROR(__xludf.DUMMYFUNCTION("""COMPUTED_VALUE"""),0.0)</f>
        <v>0</v>
      </c>
      <c r="M1049" s="189">
        <f>IFERROR(__xludf.DUMMYFUNCTION("""COMPUTED_VALUE"""),0.0)</f>
        <v>0</v>
      </c>
      <c r="N1049" s="186"/>
      <c r="O1049" s="186"/>
      <c r="P1049" s="186"/>
      <c r="Q1049" s="186"/>
      <c r="R1049" s="186"/>
      <c r="S1049" s="186"/>
    </row>
    <row r="1050">
      <c r="A1050" s="186" t="str">
        <f>IFERROR(__xludf.DUMMYFUNCTION("""COMPUTED_VALUE"""),"NORDICS")</f>
        <v>NORDICS</v>
      </c>
      <c r="B1050" s="186" t="str">
        <f>IFERROR(__xludf.DUMMYFUNCTION("""COMPUTED_VALUE"""),"W20")</f>
        <v>W20</v>
      </c>
      <c r="C1050" s="186">
        <f>IFERROR(__xludf.DUMMYFUNCTION("""COMPUTED_VALUE"""),608.0)</f>
        <v>608</v>
      </c>
      <c r="D1050" s="186" t="str">
        <f>IFERROR(__xludf.DUMMYFUNCTION("""COMPUTED_VALUE"""),"CON-00-147812-2")</f>
        <v>CON-00-147812-2</v>
      </c>
      <c r="E1050" s="186" t="str">
        <f>IFERROR(__xludf.DUMMYFUNCTION("""COMPUTED_VALUE"""),"Chicken in tomato cream sauce")</f>
        <v>Chicken in tomato cream sauce</v>
      </c>
      <c r="F1050" s="186" t="str">
        <f>IFERROR(__xludf.DUMMYFUNCTION("""COMPUTED_VALUE"""),"Kylling i cremet tomatsauce")</f>
        <v>Kylling i cremet tomatsauce</v>
      </c>
      <c r="G1050" s="186" t="str">
        <f>IFERROR(__xludf.DUMMYFUNCTION("""COMPUTED_VALUE"""),"FE0024E")</f>
        <v>FE0024E</v>
      </c>
      <c r="H1050" s="186">
        <f>IFERROR(__xludf.DUMMYFUNCTION("""COMPUTED_VALUE"""),565150.0)</f>
        <v>565150</v>
      </c>
      <c r="I1050" s="186" t="str">
        <f>IFERROR(__xludf.DUMMYFUNCTION("""COMPUTED_VALUE"""),"HF RW Kipfilet in tom-roomsaus")</f>
        <v>HF RW Kipfilet in tom-roomsaus</v>
      </c>
      <c r="J1050" s="189">
        <f>IFERROR(__xludf.DUMMYFUNCTION("""COMPUTED_VALUE"""),0.0)</f>
        <v>0</v>
      </c>
      <c r="K1050" s="189">
        <f>IFERROR(__xludf.DUMMYFUNCTION("""COMPUTED_VALUE"""),0.0)</f>
        <v>0</v>
      </c>
      <c r="L1050" s="189">
        <f>IFERROR(__xludf.DUMMYFUNCTION("""COMPUTED_VALUE"""),1171.0)</f>
        <v>1171</v>
      </c>
      <c r="M1050" s="189">
        <f>IFERROR(__xludf.DUMMYFUNCTION("""COMPUTED_VALUE"""),1500.0)</f>
        <v>1500</v>
      </c>
      <c r="N1050" s="186"/>
      <c r="O1050" s="186"/>
      <c r="P1050" s="186"/>
      <c r="Q1050" s="186"/>
      <c r="R1050" s="186"/>
      <c r="S1050" s="186"/>
    </row>
    <row r="1051">
      <c r="A1051" s="186" t="str">
        <f>IFERROR(__xludf.DUMMYFUNCTION("""COMPUTED_VALUE"""),"NORDICS")</f>
        <v>NORDICS</v>
      </c>
      <c r="B1051" s="186" t="str">
        <f>IFERROR(__xludf.DUMMYFUNCTION("""COMPUTED_VALUE"""),"W20")</f>
        <v>W20</v>
      </c>
      <c r="C1051" s="186">
        <f>IFERROR(__xludf.DUMMYFUNCTION("""COMPUTED_VALUE"""),609.0)</f>
        <v>609</v>
      </c>
      <c r="D1051" s="186" t="str">
        <f>IFERROR(__xludf.DUMMYFUNCTION("""COMPUTED_VALUE"""),"CON-00-147817-2")</f>
        <v>CON-00-147817-2</v>
      </c>
      <c r="E1051" s="186" t="str">
        <f>IFERROR(__xludf.DUMMYFUNCTION("""COMPUTED_VALUE"""),"Ratatouille of zucchini and pepper")</f>
        <v>Ratatouille of zucchini and pepper</v>
      </c>
      <c r="F1051" s="186" t="str">
        <f>IFERROR(__xludf.DUMMYFUNCTION("""COMPUTED_VALUE"""),"Squash- og peberfrugtsratatouille")</f>
        <v>Squash- og peberfrugtsratatouille</v>
      </c>
      <c r="G1051" s="186" t="str">
        <f>IFERROR(__xludf.DUMMYFUNCTION("""COMPUTED_VALUE"""),"FE0090C")</f>
        <v>FE0090C</v>
      </c>
      <c r="H1051" s="186">
        <f>IFERROR(__xludf.DUMMYFUNCTION("""COMPUTED_VALUE"""),565141.0)</f>
        <v>565141</v>
      </c>
      <c r="I1051" s="186"/>
      <c r="J1051" s="189">
        <f>IFERROR(__xludf.DUMMYFUNCTION("""COMPUTED_VALUE"""),246.0)</f>
        <v>246</v>
      </c>
      <c r="K1051" s="189">
        <f>IFERROR(__xludf.DUMMYFUNCTION("""COMPUTED_VALUE"""),241.0)</f>
        <v>241</v>
      </c>
      <c r="L1051" s="189">
        <f>IFERROR(__xludf.DUMMYFUNCTION("""COMPUTED_VALUE"""),213.0)</f>
        <v>213</v>
      </c>
      <c r="M1051" s="189">
        <f>IFERROR(__xludf.DUMMYFUNCTION("""COMPUTED_VALUE"""),155.0)</f>
        <v>155</v>
      </c>
      <c r="N1051" s="186"/>
      <c r="O1051" s="186"/>
      <c r="P1051" s="186"/>
      <c r="Q1051" s="186"/>
      <c r="R1051" s="186"/>
      <c r="S1051" s="186"/>
    </row>
    <row r="1052">
      <c r="A1052" s="186" t="str">
        <f>IFERROR(__xludf.DUMMYFUNCTION("""COMPUTED_VALUE"""),"NORDICS")</f>
        <v>NORDICS</v>
      </c>
      <c r="B1052" s="186" t="str">
        <f>IFERROR(__xludf.DUMMYFUNCTION("""COMPUTED_VALUE"""),"W20")</f>
        <v>W20</v>
      </c>
      <c r="C1052" s="186">
        <f>IFERROR(__xludf.DUMMYFUNCTION("""COMPUTED_VALUE"""),610.0)</f>
        <v>610</v>
      </c>
      <c r="D1052" s="186" t="str">
        <f>IFERROR(__xludf.DUMMYFUNCTION("""COMPUTED_VALUE"""),"CON-00-147818-2")</f>
        <v>CON-00-147818-2</v>
      </c>
      <c r="E1052" s="186" t="str">
        <f>IFERROR(__xludf.DUMMYFUNCTION("""COMPUTED_VALUE"""),"Mexican style corn cake")</f>
        <v>Mexican style corn cake</v>
      </c>
      <c r="F1052" s="186" t="str">
        <f>IFERROR(__xludf.DUMMYFUNCTION("""COMPUTED_VALUE"""),"Mexicansk-inspireret majskage")</f>
        <v>Mexicansk-inspireret majskage</v>
      </c>
      <c r="G1052" s="186" t="str">
        <f>IFERROR(__xludf.DUMMYFUNCTION("""COMPUTED_VALUE"""),"FE0121D")</f>
        <v>FE0121D</v>
      </c>
      <c r="H1052" s="186">
        <f>IFERROR(__xludf.DUMMYFUNCTION("""COMPUTED_VALUE"""),565299.0)</f>
        <v>565299</v>
      </c>
      <c r="I1052" s="186" t="str">
        <f>IFERROR(__xludf.DUMMYFUNCTION("""COMPUTED_VALUE"""),"HF RW Mexcaanse stijl maiscake")</f>
        <v>HF RW Mexcaanse stijl maiscake</v>
      </c>
      <c r="J1052" s="189">
        <f>IFERROR(__xludf.DUMMYFUNCTION("""COMPUTED_VALUE"""),269.0)</f>
        <v>269</v>
      </c>
      <c r="K1052" s="189">
        <f>IFERROR(__xludf.DUMMYFUNCTION("""COMPUTED_VALUE"""),265.0)</f>
        <v>265</v>
      </c>
      <c r="L1052" s="189">
        <f>IFERROR(__xludf.DUMMYFUNCTION("""COMPUTED_VALUE"""),277.0)</f>
        <v>277</v>
      </c>
      <c r="M1052" s="189">
        <f>IFERROR(__xludf.DUMMYFUNCTION("""COMPUTED_VALUE"""),233.0)</f>
        <v>233</v>
      </c>
      <c r="N1052" s="186"/>
      <c r="O1052" s="186"/>
      <c r="P1052" s="186"/>
      <c r="Q1052" s="186"/>
      <c r="R1052" s="186"/>
      <c r="S1052" s="186"/>
    </row>
    <row r="1053">
      <c r="A1053" s="186" t="str">
        <f>IFERROR(__xludf.DUMMYFUNCTION("""COMPUTED_VALUE"""),"NORDICS")</f>
        <v>NORDICS</v>
      </c>
      <c r="B1053" s="186" t="str">
        <f>IFERROR(__xludf.DUMMYFUNCTION("""COMPUTED_VALUE"""),"W20")</f>
        <v>W20</v>
      </c>
      <c r="C1053" s="186">
        <f>IFERROR(__xludf.DUMMYFUNCTION("""COMPUTED_VALUE"""),611.0)</f>
        <v>611</v>
      </c>
      <c r="D1053" s="186" t="str">
        <f>IFERROR(__xludf.DUMMYFUNCTION("""COMPUTED_VALUE"""),"CON-00-147870-2")</f>
        <v>CON-00-147870-2</v>
      </c>
      <c r="E1053" s="186" t="str">
        <f>IFERROR(__xludf.DUMMYFUNCTION("""COMPUTED_VALUE"""),"Pork tenderloin in sundried tomato sauce")</f>
        <v>Pork tenderloin in sundried tomato sauce</v>
      </c>
      <c r="F1053" s="186" t="str">
        <f>IFERROR(__xludf.DUMMYFUNCTION("""COMPUTED_VALUE"""),"Svinemørbrad i soltørret tomatsauce")</f>
        <v>Svinemørbrad i soltørret tomatsauce</v>
      </c>
      <c r="G1053" s="186" t="str">
        <f>IFERROR(__xludf.DUMMYFUNCTION("""COMPUTED_VALUE"""),"FE4006A")</f>
        <v>FE4006A</v>
      </c>
      <c r="H1053" s="186">
        <f>IFERROR(__xludf.DUMMYFUNCTION("""COMPUTED_VALUE"""),565063.0)</f>
        <v>565063</v>
      </c>
      <c r="I1053" s="186" t="str">
        <f>IFERROR(__xludf.DUMMYFUNCTION("""COMPUTED_VALUE"""),"HF Varkenshaas met tomatensaus 384g")</f>
        <v>HF Varkenshaas met tomatensaus 384g</v>
      </c>
      <c r="J1053" s="189">
        <f>IFERROR(__xludf.DUMMYFUNCTION("""COMPUTED_VALUE"""),0.0)</f>
        <v>0</v>
      </c>
      <c r="K1053" s="189">
        <f>IFERROR(__xludf.DUMMYFUNCTION("""COMPUTED_VALUE"""),0.0)</f>
        <v>0</v>
      </c>
      <c r="L1053" s="189">
        <f>IFERROR(__xludf.DUMMYFUNCTION("""COMPUTED_VALUE"""),428.0)</f>
        <v>428</v>
      </c>
      <c r="M1053" s="189">
        <f>IFERROR(__xludf.DUMMYFUNCTION("""COMPUTED_VALUE"""),305.0)</f>
        <v>305</v>
      </c>
      <c r="N1053" s="186"/>
      <c r="O1053" s="186"/>
      <c r="P1053" s="186"/>
      <c r="Q1053" s="186"/>
      <c r="R1053" s="186"/>
      <c r="S1053" s="186"/>
    </row>
    <row r="1054">
      <c r="A1054" s="186" t="str">
        <f>IFERROR(__xludf.DUMMYFUNCTION("""COMPUTED_VALUE"""),"NORDICS")</f>
        <v>NORDICS</v>
      </c>
      <c r="B1054" s="186" t="str">
        <f>IFERROR(__xludf.DUMMYFUNCTION("""COMPUTED_VALUE"""),"W20")</f>
        <v>W20</v>
      </c>
      <c r="C1054" s="186">
        <f>IFERROR(__xludf.DUMMYFUNCTION("""COMPUTED_VALUE"""),612.0)</f>
        <v>612</v>
      </c>
      <c r="D1054" s="186" t="str">
        <f>IFERROR(__xludf.DUMMYFUNCTION("""COMPUTED_VALUE"""),"CON-00-147833-2")</f>
        <v>CON-00-147833-2</v>
      </c>
      <c r="E1054" s="186" t="str">
        <f>IFERROR(__xludf.DUMMYFUNCTION("""COMPUTED_VALUE"""),"Spicy citrus salmon")</f>
        <v>Spicy citrus salmon</v>
      </c>
      <c r="F1054" s="186" t="str">
        <f>IFERROR(__xludf.DUMMYFUNCTION("""COMPUTED_VALUE"""),"Krydret citruslaks ")</f>
        <v>Krydret citruslaks </v>
      </c>
      <c r="G1054" s="186" t="str">
        <f>IFERROR(__xludf.DUMMYFUNCTION("""COMPUTED_VALUE"""),"FE0281E")</f>
        <v>FE0281E</v>
      </c>
      <c r="H1054" s="186">
        <f>IFERROR(__xludf.DUMMYFUNCTION("""COMPUTED_VALUE"""),565087.0)</f>
        <v>565087</v>
      </c>
      <c r="I1054" s="186"/>
      <c r="J1054" s="189">
        <f>IFERROR(__xludf.DUMMYFUNCTION("""COMPUTED_VALUE"""),0.0)</f>
        <v>0</v>
      </c>
      <c r="K1054" s="189">
        <f>IFERROR(__xludf.DUMMYFUNCTION("""COMPUTED_VALUE"""),0.0)</f>
        <v>0</v>
      </c>
      <c r="L1054" s="189">
        <f>IFERROR(__xludf.DUMMYFUNCTION("""COMPUTED_VALUE"""),0.0)</f>
        <v>0</v>
      </c>
      <c r="M1054" s="189">
        <f>IFERROR(__xludf.DUMMYFUNCTION("""COMPUTED_VALUE"""),0.0)</f>
        <v>0</v>
      </c>
      <c r="N1054" s="186"/>
      <c r="O1054" s="186"/>
      <c r="P1054" s="186"/>
      <c r="Q1054" s="186"/>
      <c r="R1054" s="186"/>
      <c r="S1054" s="186"/>
    </row>
    <row r="1055">
      <c r="A1055" s="186" t="str">
        <f>IFERROR(__xludf.DUMMYFUNCTION("""COMPUTED_VALUE"""),"NORDICS")</f>
        <v>NORDICS</v>
      </c>
      <c r="B1055" s="186" t="str">
        <f>IFERROR(__xludf.DUMMYFUNCTION("""COMPUTED_VALUE"""),"W20")</f>
        <v>W20</v>
      </c>
      <c r="C1055" s="186">
        <f>IFERROR(__xludf.DUMMYFUNCTION("""COMPUTED_VALUE"""),613.0)</f>
        <v>613</v>
      </c>
      <c r="D1055" s="186" t="str">
        <f>IFERROR(__xludf.DUMMYFUNCTION("""COMPUTED_VALUE"""),"CON-00-150964-2")</f>
        <v>CON-00-150964-2</v>
      </c>
      <c r="E1055" s="186" t="str">
        <f>IFERROR(__xludf.DUMMYFUNCTION("""COMPUTED_VALUE"""),"Bulgogi Pulled Beef Bowl")</f>
        <v>Bulgogi Pulled Beef Bowl</v>
      </c>
      <c r="F1055" s="186" t="str">
        <f>IFERROR(__xludf.DUMMYFUNCTION("""COMPUTED_VALUE"""),"Bulgogi-bowl med pulled beef")</f>
        <v>Bulgogi-bowl med pulled beef</v>
      </c>
      <c r="G1055" s="186" t="str">
        <f>IFERROR(__xludf.DUMMYFUNCTION("""COMPUTED_VALUE"""),"FE1404B")</f>
        <v>FE1404B</v>
      </c>
      <c r="H1055" s="186">
        <f>IFERROR(__xludf.DUMMYFUNCTION("""COMPUTED_VALUE"""),565190.0)</f>
        <v>565190</v>
      </c>
      <c r="I1055" s="186" t="str">
        <f>IFERROR(__xludf.DUMMYFUNCTION("""COMPUTED_VALUE"""),"HF Bulgogi pulled beef")</f>
        <v>HF Bulgogi pulled beef</v>
      </c>
      <c r="J1055" s="189">
        <f>IFERROR(__xludf.DUMMYFUNCTION("""COMPUTED_VALUE"""),0.0)</f>
        <v>0</v>
      </c>
      <c r="K1055" s="189">
        <f>IFERROR(__xludf.DUMMYFUNCTION("""COMPUTED_VALUE"""),0.0)</f>
        <v>0</v>
      </c>
      <c r="L1055" s="189">
        <f>IFERROR(__xludf.DUMMYFUNCTION("""COMPUTED_VALUE"""),1913.0)</f>
        <v>1913</v>
      </c>
      <c r="M1055" s="189">
        <f>IFERROR(__xludf.DUMMYFUNCTION("""COMPUTED_VALUE"""),592.0)</f>
        <v>592</v>
      </c>
      <c r="N1055" s="186"/>
      <c r="O1055" s="186"/>
      <c r="P1055" s="186"/>
      <c r="Q1055" s="186"/>
      <c r="R1055" s="186"/>
      <c r="S1055" s="186"/>
    </row>
    <row r="1056">
      <c r="A1056" s="186" t="str">
        <f>IFERROR(__xludf.DUMMYFUNCTION("""COMPUTED_VALUE"""),"NORDICS")</f>
        <v>NORDICS</v>
      </c>
      <c r="B1056" s="186" t="str">
        <f>IFERROR(__xludf.DUMMYFUNCTION("""COMPUTED_VALUE"""),"W20")</f>
        <v>W20</v>
      </c>
      <c r="C1056" s="186">
        <f>IFERROR(__xludf.DUMMYFUNCTION("""COMPUTED_VALUE"""),614.0)</f>
        <v>614</v>
      </c>
      <c r="D1056" s="186"/>
      <c r="E1056" s="186"/>
      <c r="F1056" s="186"/>
      <c r="G1056" s="186" t="str">
        <f>IFERROR(__xludf.DUMMYFUNCTION("""COMPUTED_VALUE"""),"FV0333A")</f>
        <v>FV0333A</v>
      </c>
      <c r="H1056" s="186"/>
      <c r="I1056" s="186"/>
      <c r="J1056" s="189">
        <f>IFERROR(__xludf.DUMMYFUNCTION("""COMPUTED_VALUE"""),0.0)</f>
        <v>0</v>
      </c>
      <c r="K1056" s="189">
        <f>IFERROR(__xludf.DUMMYFUNCTION("""COMPUTED_VALUE"""),0.0)</f>
        <v>0</v>
      </c>
      <c r="L1056" s="189">
        <f>IFERROR(__xludf.DUMMYFUNCTION("""COMPUTED_VALUE"""),0.0)</f>
        <v>0</v>
      </c>
      <c r="M1056" s="189">
        <f>IFERROR(__xludf.DUMMYFUNCTION("""COMPUTED_VALUE"""),0.0)</f>
        <v>0</v>
      </c>
      <c r="N1056" s="186"/>
      <c r="O1056" s="186"/>
      <c r="P1056" s="186"/>
      <c r="Q1056" s="186"/>
      <c r="R1056" s="186"/>
      <c r="S1056" s="186"/>
    </row>
    <row r="1057">
      <c r="A1057" s="186" t="str">
        <f>IFERROR(__xludf.DUMMYFUNCTION("""COMPUTED_VALUE"""),"NORDICS")</f>
        <v>NORDICS</v>
      </c>
      <c r="B1057" s="186" t="str">
        <f>IFERROR(__xludf.DUMMYFUNCTION("""COMPUTED_VALUE"""),"W20")</f>
        <v>W20</v>
      </c>
      <c r="C1057" s="186">
        <f>IFERROR(__xludf.DUMMYFUNCTION("""COMPUTED_VALUE"""),615.0)</f>
        <v>615</v>
      </c>
      <c r="D1057" s="186"/>
      <c r="E1057" s="186"/>
      <c r="F1057" s="186"/>
      <c r="G1057" s="186" t="str">
        <f>IFERROR(__xludf.DUMMYFUNCTION("""COMPUTED_VALUE"""),"FV0846A")</f>
        <v>FV0846A</v>
      </c>
      <c r="H1057" s="186"/>
      <c r="I1057" s="186"/>
      <c r="J1057" s="189">
        <f>IFERROR(__xludf.DUMMYFUNCTION("""COMPUTED_VALUE"""),759.0)</f>
        <v>759</v>
      </c>
      <c r="K1057" s="189">
        <f>IFERROR(__xludf.DUMMYFUNCTION("""COMPUTED_VALUE"""),744.0)</f>
        <v>744</v>
      </c>
      <c r="L1057" s="189">
        <f>IFERROR(__xludf.DUMMYFUNCTION("""COMPUTED_VALUE"""),0.0)</f>
        <v>0</v>
      </c>
      <c r="M1057" s="189">
        <f>IFERROR(__xludf.DUMMYFUNCTION("""COMPUTED_VALUE"""),0.0)</f>
        <v>0</v>
      </c>
      <c r="N1057" s="186"/>
      <c r="O1057" s="186"/>
      <c r="P1057" s="186"/>
      <c r="Q1057" s="186"/>
      <c r="R1057" s="186"/>
      <c r="S1057" s="186"/>
    </row>
    <row r="1058">
      <c r="A1058" s="186" t="str">
        <f>IFERROR(__xludf.DUMMYFUNCTION("""COMPUTED_VALUE"""),"NORDICS")</f>
        <v>NORDICS</v>
      </c>
      <c r="B1058" s="186" t="str">
        <f>IFERROR(__xludf.DUMMYFUNCTION("""COMPUTED_VALUE"""),"W20")</f>
        <v>W20</v>
      </c>
      <c r="C1058" s="186">
        <f>IFERROR(__xludf.DUMMYFUNCTION("""COMPUTED_VALUE"""),616.0)</f>
        <v>616</v>
      </c>
      <c r="D1058" s="186" t="str">
        <f>IFERROR(__xludf.DUMMYFUNCTION("""COMPUTED_VALUE"""),"CON-00-147836-2")</f>
        <v>CON-00-147836-2</v>
      </c>
      <c r="E1058" s="186" t="str">
        <f>IFERROR(__xludf.DUMMYFUNCTION("""COMPUTED_VALUE"""),"Pulled chicken with cheddar and bacon")</f>
        <v>Pulled chicken with cheddar and bacon</v>
      </c>
      <c r="F1058" s="186" t="str">
        <f>IFERROR(__xludf.DUMMYFUNCTION("""COMPUTED_VALUE"""),"Pulled chicken med cheddar og bacon")</f>
        <v>Pulled chicken med cheddar og bacon</v>
      </c>
      <c r="G1058" s="186"/>
      <c r="H1058" s="186">
        <f>IFERROR(__xludf.DUMMYFUNCTION("""COMPUTED_VALUE"""),565151.0)</f>
        <v>565151</v>
      </c>
      <c r="I1058" s="186" t="str">
        <f>IFERROR(__xludf.DUMMYFUNCTION("""COMPUTED_VALUE"""),"HF RW Pulled chicken ched/baco")</f>
        <v>HF RW Pulled chicken ched/baco</v>
      </c>
      <c r="J1058" s="189">
        <f>IFERROR(__xludf.DUMMYFUNCTION("""COMPUTED_VALUE"""),544.0)</f>
        <v>544</v>
      </c>
      <c r="K1058" s="189">
        <f>IFERROR(__xludf.DUMMYFUNCTION("""COMPUTED_VALUE"""),534.0)</f>
        <v>534</v>
      </c>
      <c r="L1058" s="189">
        <f>IFERROR(__xludf.DUMMYFUNCTION("""COMPUTED_VALUE"""),489.0)</f>
        <v>489</v>
      </c>
      <c r="M1058" s="189">
        <f>IFERROR(__xludf.DUMMYFUNCTION("""COMPUTED_VALUE"""),771.0)</f>
        <v>771</v>
      </c>
      <c r="N1058" s="186"/>
      <c r="O1058" s="186"/>
      <c r="P1058" s="186"/>
      <c r="Q1058" s="186"/>
      <c r="R1058" s="186"/>
      <c r="S1058" s="186"/>
    </row>
    <row r="1059">
      <c r="A1059" s="186" t="str">
        <f>IFERROR(__xludf.DUMMYFUNCTION("""COMPUTED_VALUE"""),"NORDICS")</f>
        <v>NORDICS</v>
      </c>
      <c r="B1059" s="186" t="str">
        <f>IFERROR(__xludf.DUMMYFUNCTION("""COMPUTED_VALUE"""),"W20")</f>
        <v>W20</v>
      </c>
      <c r="C1059" s="186">
        <f>IFERROR(__xludf.DUMMYFUNCTION("""COMPUTED_VALUE"""),617.0)</f>
        <v>617</v>
      </c>
      <c r="D1059" s="186" t="str">
        <f>IFERROR(__xludf.DUMMYFUNCTION("""COMPUTED_VALUE"""),"CON-00-147907-2")</f>
        <v>CON-00-147907-2</v>
      </c>
      <c r="E1059" s="186" t="str">
        <f>IFERROR(__xludf.DUMMYFUNCTION("""COMPUTED_VALUE"""),"Artichoke &amp; Spinach Pork tenderloin")</f>
        <v>Artichoke &amp; Spinach Pork tenderloin</v>
      </c>
      <c r="F1059" s="186" t="str">
        <f>IFERROR(__xludf.DUMMYFUNCTION("""COMPUTED_VALUE"""),"Svinemørbrad med artiskok og spinat ")</f>
        <v>Svinemørbrad med artiskok og spinat </v>
      </c>
      <c r="G1059" s="186" t="str">
        <f>IFERROR(__xludf.DUMMYFUNCTION("""COMPUTED_VALUE"""),"FE4060A")</f>
        <v>FE4060A</v>
      </c>
      <c r="H1059" s="186">
        <f>IFERROR(__xludf.DUMMYFUNCTION("""COMPUTED_VALUE"""),565134.0)</f>
        <v>565134</v>
      </c>
      <c r="I1059" s="186"/>
      <c r="J1059" s="189">
        <f>IFERROR(__xludf.DUMMYFUNCTION("""COMPUTED_VALUE"""),952.0)</f>
        <v>952</v>
      </c>
      <c r="K1059" s="189">
        <f>IFERROR(__xludf.DUMMYFUNCTION("""COMPUTED_VALUE"""),932.0)</f>
        <v>932</v>
      </c>
      <c r="L1059" s="189">
        <f>IFERROR(__xludf.DUMMYFUNCTION("""COMPUTED_VALUE"""),1005.0)</f>
        <v>1005</v>
      </c>
      <c r="M1059" s="189">
        <f>IFERROR(__xludf.DUMMYFUNCTION("""COMPUTED_VALUE"""),1107.0)</f>
        <v>1107</v>
      </c>
      <c r="N1059" s="186"/>
      <c r="O1059" s="186"/>
      <c r="P1059" s="186"/>
      <c r="Q1059" s="186"/>
      <c r="R1059" s="186"/>
      <c r="S1059" s="186"/>
    </row>
    <row r="1060">
      <c r="A1060" s="186" t="str">
        <f>IFERROR(__xludf.DUMMYFUNCTION("""COMPUTED_VALUE"""),"NORDICS")</f>
        <v>NORDICS</v>
      </c>
      <c r="B1060" s="186" t="str">
        <f>IFERROR(__xludf.DUMMYFUNCTION("""COMPUTED_VALUE"""),"W20")</f>
        <v>W20</v>
      </c>
      <c r="C1060" s="186">
        <f>IFERROR(__xludf.DUMMYFUNCTION("""COMPUTED_VALUE"""),618.0)</f>
        <v>618</v>
      </c>
      <c r="D1060" s="186" t="str">
        <f>IFERROR(__xludf.DUMMYFUNCTION("""COMPUTED_VALUE"""),"CON-00-147895-2")</f>
        <v>CON-00-147895-2</v>
      </c>
      <c r="E1060" s="186" t="str">
        <f>IFERROR(__xludf.DUMMYFUNCTION("""COMPUTED_VALUE"""),"Pork tenderloin and Mediterranean mash")</f>
        <v>Pork tenderloin and Mediterranean mash</v>
      </c>
      <c r="F1060" s="186" t="str">
        <f>IFERROR(__xludf.DUMMYFUNCTION("""COMPUTED_VALUE"""),"Svinemørbrad og middelhavsinspireret kartoffelmos ")</f>
        <v>Svinemørbrad og middelhavsinspireret kartoffelmos </v>
      </c>
      <c r="G1060" s="186" t="str">
        <f>IFERROR(__xludf.DUMMYFUNCTION("""COMPUTED_VALUE"""),"FE4042A")</f>
        <v>FE4042A</v>
      </c>
      <c r="H1060" s="186">
        <f>IFERROR(__xludf.DUMMYFUNCTION("""COMPUTED_VALUE"""),565109.0)</f>
        <v>565109</v>
      </c>
      <c r="I1060" s="186"/>
      <c r="J1060" s="189">
        <f>IFERROR(__xludf.DUMMYFUNCTION("""COMPUTED_VALUE"""),618.0)</f>
        <v>618</v>
      </c>
      <c r="K1060" s="189">
        <f>IFERROR(__xludf.DUMMYFUNCTION("""COMPUTED_VALUE"""),606.0)</f>
        <v>606</v>
      </c>
      <c r="L1060" s="189">
        <f>IFERROR(__xludf.DUMMYFUNCTION("""COMPUTED_VALUE"""),647.0)</f>
        <v>647</v>
      </c>
      <c r="M1060" s="189">
        <f>IFERROR(__xludf.DUMMYFUNCTION("""COMPUTED_VALUE"""),632.0)</f>
        <v>632</v>
      </c>
      <c r="N1060" s="186"/>
      <c r="O1060" s="186"/>
      <c r="P1060" s="186"/>
      <c r="Q1060" s="186"/>
      <c r="R1060" s="186"/>
      <c r="S1060" s="186"/>
    </row>
    <row r="1061">
      <c r="A1061" s="186" t="str">
        <f>IFERROR(__xludf.DUMMYFUNCTION("""COMPUTED_VALUE"""),"NORDICS")</f>
        <v>NORDICS</v>
      </c>
      <c r="B1061" s="186" t="str">
        <f>IFERROR(__xludf.DUMMYFUNCTION("""COMPUTED_VALUE"""),"W20")</f>
        <v>W20</v>
      </c>
      <c r="C1061" s="186">
        <f>IFERROR(__xludf.DUMMYFUNCTION("""COMPUTED_VALUE"""),619.0)</f>
        <v>619</v>
      </c>
      <c r="D1061" s="186"/>
      <c r="E1061" s="186" t="str">
        <f>IFERROR(__xludf.DUMMYFUNCTION("""COMPUTED_VALUE"""),"Beef Shepherd's Pie")</f>
        <v>Beef Shepherd's Pie</v>
      </c>
      <c r="F1061" s="186" t="str">
        <f>IFERROR(__xludf.DUMMYFUNCTION("""COMPUTED_VALUE"""),"Shepherd's Pie med oksekød ")</f>
        <v>Shepherd's Pie med oksekød </v>
      </c>
      <c r="G1061" s="186" t="str">
        <f>IFERROR(__xludf.DUMMYFUNCTION("""COMPUTED_VALUE"""),"FE0160C")</f>
        <v>FE0160C</v>
      </c>
      <c r="H1061" s="186">
        <f>IFERROR(__xludf.DUMMYFUNCTION("""COMPUTED_VALUE"""),565153.0)</f>
        <v>565153</v>
      </c>
      <c r="I1061" s="186" t="str">
        <f>IFERROR(__xludf.DUMMYFUNCTION("""COMPUTED_VALUE"""),"HF Beef Shephards Pie")</f>
        <v>HF Beef Shephards Pie</v>
      </c>
      <c r="J1061" s="189">
        <f>IFERROR(__xludf.DUMMYFUNCTION("""COMPUTED_VALUE"""),1137.0)</f>
        <v>1137</v>
      </c>
      <c r="K1061" s="189">
        <f>IFERROR(__xludf.DUMMYFUNCTION("""COMPUTED_VALUE"""),1310.0)</f>
        <v>1310</v>
      </c>
      <c r="L1061" s="189">
        <f>IFERROR(__xludf.DUMMYFUNCTION("""COMPUTED_VALUE"""),1289.0)</f>
        <v>1289</v>
      </c>
      <c r="M1061" s="189">
        <f>IFERROR(__xludf.DUMMYFUNCTION("""COMPUTED_VALUE"""),865.0)</f>
        <v>865</v>
      </c>
      <c r="N1061" s="186"/>
      <c r="O1061" s="186"/>
      <c r="P1061" s="186"/>
      <c r="Q1061" s="186"/>
      <c r="R1061" s="186"/>
      <c r="S1061" s="186"/>
    </row>
    <row r="1062">
      <c r="A1062" s="186" t="str">
        <f>IFERROR(__xludf.DUMMYFUNCTION("""COMPUTED_VALUE"""),"NORDICS")</f>
        <v>NORDICS</v>
      </c>
      <c r="B1062" s="186" t="str">
        <f>IFERROR(__xludf.DUMMYFUNCTION("""COMPUTED_VALUE"""),"W20")</f>
        <v>W20</v>
      </c>
      <c r="C1062" s="186">
        <f>IFERROR(__xludf.DUMMYFUNCTION("""COMPUTED_VALUE"""),620.0)</f>
        <v>620</v>
      </c>
      <c r="D1062" s="186"/>
      <c r="E1062" s="186" t="str">
        <f>IFERROR(__xludf.DUMMYFUNCTION("""COMPUTED_VALUE"""),"Pulled Beef &amp; Mushroom Cream Pasta")</f>
        <v>Pulled Beef &amp; Mushroom Cream Pasta</v>
      </c>
      <c r="F1062" s="186" t="str">
        <f>IFERROR(__xludf.DUMMYFUNCTION("""COMPUTED_VALUE"""),"Pulled beef med cremet svampepasta")</f>
        <v>Pulled beef med cremet svampepasta</v>
      </c>
      <c r="G1062" s="186" t="str">
        <f>IFERROR(__xludf.DUMMYFUNCTION("""COMPUTED_VALUE"""),"FE4079A")</f>
        <v>FE4079A</v>
      </c>
      <c r="H1062" s="186">
        <f>IFERROR(__xludf.DUMMYFUNCTION("""COMPUTED_VALUE"""),565254.0)</f>
        <v>565254</v>
      </c>
      <c r="I1062" s="186" t="str">
        <f>IFERROR(__xludf.DUMMYFUNCTION("""COMPUTED_VALUE"""),"HF Pulled beef mushroom pasta")</f>
        <v>HF Pulled beef mushroom pasta</v>
      </c>
      <c r="J1062" s="189">
        <f>IFERROR(__xludf.DUMMYFUNCTION("""COMPUTED_VALUE"""),531.0)</f>
        <v>531</v>
      </c>
      <c r="K1062" s="189">
        <f>IFERROR(__xludf.DUMMYFUNCTION("""COMPUTED_VALUE"""),611.0)</f>
        <v>611</v>
      </c>
      <c r="L1062" s="189">
        <f>IFERROR(__xludf.DUMMYFUNCTION("""COMPUTED_VALUE"""),602.0)</f>
        <v>602</v>
      </c>
      <c r="M1062" s="189">
        <f>IFERROR(__xludf.DUMMYFUNCTION("""COMPUTED_VALUE"""),1634.0)</f>
        <v>1634</v>
      </c>
      <c r="N1062" s="186"/>
      <c r="O1062" s="186"/>
      <c r="P1062" s="186"/>
      <c r="Q1062" s="186"/>
      <c r="R1062" s="186"/>
      <c r="S1062" s="186"/>
    </row>
    <row r="1063">
      <c r="A1063" s="186" t="str">
        <f>IFERROR(__xludf.DUMMYFUNCTION("""COMPUTED_VALUE"""),"NORDICS")</f>
        <v>NORDICS</v>
      </c>
      <c r="B1063" s="186" t="str">
        <f>IFERROR(__xludf.DUMMYFUNCTION("""COMPUTED_VALUE"""),"W20")</f>
        <v>W20</v>
      </c>
      <c r="C1063" s="186">
        <f>IFERROR(__xludf.DUMMYFUNCTION("""COMPUTED_VALUE"""),621.0)</f>
        <v>621</v>
      </c>
      <c r="D1063" s="186"/>
      <c r="E1063" s="186" t="str">
        <f>IFERROR(__xludf.DUMMYFUNCTION("""COMPUTED_VALUE"""),"Apricot Smothered Pork Tenderloin")</f>
        <v>Apricot Smothered Pork Tenderloin</v>
      </c>
      <c r="F1063" s="186" t="str">
        <f>IFERROR(__xludf.DUMMYFUNCTION("""COMPUTED_VALUE"""),"Svinefilet i abrikossauce")</f>
        <v>Svinefilet i abrikossauce</v>
      </c>
      <c r="G1063" s="186" t="str">
        <f>IFERROR(__xludf.DUMMYFUNCTION("""COMPUTED_VALUE"""),"FE0962B")</f>
        <v>FE0962B</v>
      </c>
      <c r="H1063" s="186">
        <f>IFERROR(__xludf.DUMMYFUNCTION("""COMPUTED_VALUE"""),565220.0)</f>
        <v>565220</v>
      </c>
      <c r="I1063" s="186" t="str">
        <f>IFERROR(__xludf.DUMMYFUNCTION("""COMPUTED_VALUE"""),"HF Varkenshaas abrikozensaus")</f>
        <v>HF Varkenshaas abrikozensaus</v>
      </c>
      <c r="J1063" s="189">
        <f>IFERROR(__xludf.DUMMYFUNCTION("""COMPUTED_VALUE"""),717.0)</f>
        <v>717</v>
      </c>
      <c r="K1063" s="189">
        <f>IFERROR(__xludf.DUMMYFUNCTION("""COMPUTED_VALUE"""),826.0)</f>
        <v>826</v>
      </c>
      <c r="L1063" s="189">
        <f>IFERROR(__xludf.DUMMYFUNCTION("""COMPUTED_VALUE"""),813.0)</f>
        <v>813</v>
      </c>
      <c r="M1063" s="189">
        <f>IFERROR(__xludf.DUMMYFUNCTION("""COMPUTED_VALUE"""),343.0)</f>
        <v>343</v>
      </c>
      <c r="N1063" s="186"/>
      <c r="O1063" s="186"/>
      <c r="P1063" s="186"/>
      <c r="Q1063" s="186"/>
      <c r="R1063" s="186"/>
      <c r="S1063" s="186"/>
    </row>
    <row r="1064">
      <c r="A1064" s="186" t="str">
        <f>IFERROR(__xludf.DUMMYFUNCTION("""COMPUTED_VALUE"""),"NORDICS")</f>
        <v>NORDICS</v>
      </c>
      <c r="B1064" s="186" t="str">
        <f>IFERROR(__xludf.DUMMYFUNCTION("""COMPUTED_VALUE"""),"W20")</f>
        <v>W20</v>
      </c>
      <c r="C1064" s="186">
        <f>IFERROR(__xludf.DUMMYFUNCTION("""COMPUTED_VALUE"""),706.0)</f>
        <v>706</v>
      </c>
      <c r="D1064" s="186" t="str">
        <f>IFERROR(__xludf.DUMMYFUNCTION("""COMPUTED_VALUE"""),"PTN-00-148223-2")</f>
        <v>PTN-00-148223-2</v>
      </c>
      <c r="E1064" s="186" t="str">
        <f>IFERROR(__xludf.DUMMYFUNCTION("""COMPUTED_VALUE"""),"Garlic Herb Grilled Chicken")</f>
        <v>Garlic Herb Grilled Chicken</v>
      </c>
      <c r="F1064" s="186" t="str">
        <f>IFERROR(__xludf.DUMMYFUNCTION("""COMPUTED_VALUE"""),"Grillet kylling med hvidlød og urter")</f>
        <v>Grillet kylling med hvidlød og urter</v>
      </c>
      <c r="G1064" s="186" t="str">
        <f>IFERROR(__xludf.DUMMYFUNCTION("""COMPUTED_VALUE"""),"FEA006A")</f>
        <v>FEA006A</v>
      </c>
      <c r="H1064" s="186">
        <f>IFERROR(__xludf.DUMMYFUNCTION("""COMPUTED_VALUE"""),565119.0)</f>
        <v>565119</v>
      </c>
      <c r="I1064" s="186"/>
      <c r="J1064" s="189">
        <f>IFERROR(__xludf.DUMMYFUNCTION("""COMPUTED_VALUE"""),36.0)</f>
        <v>36</v>
      </c>
      <c r="K1064" s="189">
        <f>IFERROR(__xludf.DUMMYFUNCTION("""COMPUTED_VALUE"""),36.0)</f>
        <v>36</v>
      </c>
      <c r="L1064" s="189">
        <f>IFERROR(__xludf.DUMMYFUNCTION("""COMPUTED_VALUE"""),36.0)</f>
        <v>36</v>
      </c>
      <c r="M1064" s="189">
        <f>IFERROR(__xludf.DUMMYFUNCTION("""COMPUTED_VALUE"""),36.0)</f>
        <v>36</v>
      </c>
      <c r="N1064" s="186"/>
      <c r="O1064" s="186"/>
      <c r="P1064" s="186"/>
      <c r="Q1064" s="186"/>
      <c r="R1064" s="186"/>
      <c r="S1064" s="186"/>
    </row>
    <row r="1065">
      <c r="A1065" s="186" t="str">
        <f>IFERROR(__xludf.DUMMYFUNCTION("""COMPUTED_VALUE"""),"NORDICS")</f>
        <v>NORDICS</v>
      </c>
      <c r="B1065" s="186" t="str">
        <f>IFERROR(__xludf.DUMMYFUNCTION("""COMPUTED_VALUE"""),"W20")</f>
        <v>W20</v>
      </c>
      <c r="C1065" s="186"/>
      <c r="D1065" s="186"/>
      <c r="E1065" s="186"/>
      <c r="F1065" s="186"/>
      <c r="G1065" s="186"/>
      <c r="H1065" s="186"/>
      <c r="I1065" s="186"/>
      <c r="J1065" s="189">
        <f>IFERROR(__xludf.DUMMYFUNCTION("""COMPUTED_VALUE"""),15998.0)</f>
        <v>15998</v>
      </c>
      <c r="K1065" s="189">
        <f>IFERROR(__xludf.DUMMYFUNCTION("""COMPUTED_VALUE"""),18418.0)</f>
        <v>18418</v>
      </c>
      <c r="L1065" s="189">
        <f>IFERROR(__xludf.DUMMYFUNCTION("""COMPUTED_VALUE"""),20964.0)</f>
        <v>20964</v>
      </c>
      <c r="M1065" s="189">
        <f>IFERROR(__xludf.DUMMYFUNCTION("""COMPUTED_VALUE"""),19917.0)</f>
        <v>19917</v>
      </c>
      <c r="N1065" s="189">
        <f>IFERROR(__xludf.DUMMYFUNCTION("""COMPUTED_VALUE"""),0.0)</f>
        <v>0</v>
      </c>
      <c r="O1065" s="189">
        <f>IFERROR(__xludf.DUMMYFUNCTION("""COMPUTED_VALUE"""),0.0)</f>
        <v>0</v>
      </c>
      <c r="P1065" s="189">
        <f>IFERROR(__xludf.DUMMYFUNCTION("""COMPUTED_VALUE"""),0.0)</f>
        <v>0</v>
      </c>
      <c r="Q1065" s="189">
        <f>IFERROR(__xludf.DUMMYFUNCTION("""COMPUTED_VALUE"""),0.0)</f>
        <v>0</v>
      </c>
      <c r="R1065" s="189">
        <f>IFERROR(__xludf.DUMMYFUNCTION("""COMPUTED_VALUE"""),0.0)</f>
        <v>0</v>
      </c>
      <c r="S1065" s="189">
        <f>IFERROR(__xludf.DUMMYFUNCTION("""COMPUTED_VALUE"""),0.0)</f>
        <v>0</v>
      </c>
    </row>
    <row r="1066">
      <c r="A1066" s="186" t="str">
        <f>IFERROR(__xludf.DUMMYFUNCTION("""COMPUTED_VALUE"""),"DE")</f>
        <v>DE</v>
      </c>
      <c r="B1066" s="186" t="str">
        <f>IFERROR(__xludf.DUMMYFUNCTION("""COMPUTED_VALUE"""),"W20")</f>
        <v>W20</v>
      </c>
      <c r="C1066" s="186">
        <f>IFERROR(__xludf.DUMMYFUNCTION("""COMPUTED_VALUE"""),301.0)</f>
        <v>301</v>
      </c>
      <c r="D1066" s="186" t="str">
        <f>IFERROR(__xludf.DUMMYFUNCTION("""COMPUTED_VALUE"""),"CON-00-136620-3")</f>
        <v>CON-00-136620-3</v>
      </c>
      <c r="E1066" s="186" t="str">
        <f>IFERROR(__xludf.DUMMYFUNCTION("""COMPUTED_VALUE"""),"Chicken à la Florentine")</f>
        <v>Chicken à la Florentine</v>
      </c>
      <c r="F1066" s="186" t="str">
        <f>IFERROR(__xludf.DUMMYFUNCTION("""COMPUTED_VALUE"""),"Hähnchen à la Florentine")</f>
        <v>Hähnchen à la Florentine</v>
      </c>
      <c r="G1066" s="186" t="str">
        <f>IFERROR(__xludf.DUMMYFUNCTION("""COMPUTED_VALUE"""),"FE0224D")</f>
        <v>FE0224D</v>
      </c>
      <c r="H1066" s="186">
        <f>IFERROR(__xludf.DUMMYFUNCTION("""COMPUTED_VALUE"""),565047.0)</f>
        <v>565047</v>
      </c>
      <c r="I1066" s="186" t="str">
        <f>IFERROR(__xludf.DUMMYFUNCTION("""COMPUTED_VALUE"""),"HF Kip á la Florentine")</f>
        <v>HF Kip á la Florentine</v>
      </c>
      <c r="J1066" s="189">
        <f>IFERROR(__xludf.DUMMYFUNCTION("""COMPUTED_VALUE"""),2593.0)</f>
        <v>2593</v>
      </c>
      <c r="K1066" s="189">
        <f>IFERROR(__xludf.DUMMYFUNCTION("""COMPUTED_VALUE"""),2490.0)</f>
        <v>2490</v>
      </c>
      <c r="L1066" s="189">
        <f>IFERROR(__xludf.DUMMYFUNCTION("""COMPUTED_VALUE"""),2532.0)</f>
        <v>2532</v>
      </c>
      <c r="M1066" s="189">
        <f>IFERROR(__xludf.DUMMYFUNCTION("""COMPUTED_VALUE"""),2332.0)</f>
        <v>2332</v>
      </c>
      <c r="N1066" s="186"/>
      <c r="O1066" s="186"/>
      <c r="P1066" s="186"/>
      <c r="Q1066" s="186"/>
      <c r="R1066" s="186"/>
      <c r="S1066" s="186"/>
    </row>
    <row r="1067">
      <c r="A1067" s="186" t="str">
        <f>IFERROR(__xludf.DUMMYFUNCTION("""COMPUTED_VALUE"""),"DE")</f>
        <v>DE</v>
      </c>
      <c r="B1067" s="186" t="str">
        <f>IFERROR(__xludf.DUMMYFUNCTION("""COMPUTED_VALUE"""),"W20")</f>
        <v>W20</v>
      </c>
      <c r="C1067" s="186">
        <f>IFERROR(__xludf.DUMMYFUNCTION("""COMPUTED_VALUE"""),302.0)</f>
        <v>302</v>
      </c>
      <c r="D1067" s="186" t="str">
        <f>IFERROR(__xludf.DUMMYFUNCTION("""COMPUTED_VALUE"""),"CON-00-136674-3")</f>
        <v>CON-00-136674-3</v>
      </c>
      <c r="E1067" s="186" t="str">
        <f>IFERROR(__xludf.DUMMYFUNCTION("""COMPUTED_VALUE"""),"Grilled chicken and ratatouille")</f>
        <v>Grilled chicken and ratatouille</v>
      </c>
      <c r="F1067" s="186" t="str">
        <f>IFERROR(__xludf.DUMMYFUNCTION("""COMPUTED_VALUE"""),"Grillhähnchen und Ratatouille")</f>
        <v>Grillhähnchen und Ratatouille</v>
      </c>
      <c r="G1067" s="186" t="str">
        <f>IFERROR(__xludf.DUMMYFUNCTION("""COMPUTED_VALUE"""),"FE4015A")</f>
        <v>FE4015A</v>
      </c>
      <c r="H1067" s="186">
        <f>IFERROR(__xludf.DUMMYFUNCTION("""COMPUTED_VALUE"""),565072.0)</f>
        <v>565072</v>
      </c>
      <c r="I1067" s="186" t="str">
        <f>IFERROR(__xludf.DUMMYFUNCTION("""COMPUTED_VALUE"""),"HF Gegrilde kipfilet en ratatouille 429g")</f>
        <v>HF Gegrilde kipfilet en ratatouille 429g</v>
      </c>
      <c r="J1067" s="189">
        <f>IFERROR(__xludf.DUMMYFUNCTION("""COMPUTED_VALUE"""),0.0)</f>
        <v>0</v>
      </c>
      <c r="K1067" s="189">
        <f>IFERROR(__xludf.DUMMYFUNCTION("""COMPUTED_VALUE"""),1519.0)</f>
        <v>1519</v>
      </c>
      <c r="L1067" s="189">
        <f>IFERROR(__xludf.DUMMYFUNCTION("""COMPUTED_VALUE"""),1478.0)</f>
        <v>1478</v>
      </c>
      <c r="M1067" s="189">
        <f>IFERROR(__xludf.DUMMYFUNCTION("""COMPUTED_VALUE"""),1477.0)</f>
        <v>1477</v>
      </c>
      <c r="N1067" s="186"/>
      <c r="O1067" s="186"/>
      <c r="P1067" s="186"/>
      <c r="Q1067" s="186"/>
      <c r="R1067" s="186"/>
      <c r="S1067" s="186"/>
    </row>
    <row r="1068">
      <c r="A1068" s="186" t="str">
        <f>IFERROR(__xludf.DUMMYFUNCTION("""COMPUTED_VALUE"""),"DE")</f>
        <v>DE</v>
      </c>
      <c r="B1068" s="186" t="str">
        <f>IFERROR(__xludf.DUMMYFUNCTION("""COMPUTED_VALUE"""),"W20")</f>
        <v>W20</v>
      </c>
      <c r="C1068" s="186">
        <f>IFERROR(__xludf.DUMMYFUNCTION("""COMPUTED_VALUE"""),303.0)</f>
        <v>303</v>
      </c>
      <c r="D1068" s="186" t="str">
        <f>IFERROR(__xludf.DUMMYFUNCTION("""COMPUTED_VALUE"""),"CON-00-136694-3")</f>
        <v>CON-00-136694-3</v>
      </c>
      <c r="E1068" s="186" t="str">
        <f>IFERROR(__xludf.DUMMYFUNCTION("""COMPUTED_VALUE"""),"Spicy ground beef with jalapenos")</f>
        <v>Spicy ground beef with jalapenos</v>
      </c>
      <c r="F1068" s="186" t="str">
        <f>IFERROR(__xludf.DUMMYFUNCTION("""COMPUTED_VALUE"""),"Pikantes Hackfleisch mit Jalapeño")</f>
        <v>Pikantes Hackfleisch mit Jalapeño</v>
      </c>
      <c r="G1068" s="186" t="str">
        <f>IFERROR(__xludf.DUMMYFUNCTION("""COMPUTED_VALUE"""),"FE0746B")</f>
        <v>FE0746B</v>
      </c>
      <c r="H1068" s="186">
        <f>IFERROR(__xludf.DUMMYFUNCTION("""COMPUTED_VALUE"""),565311.0)</f>
        <v>565311</v>
      </c>
      <c r="I1068" s="186" t="str">
        <f>IFERROR(__xludf.DUMMYFUNCTION("""COMPUTED_VALUE"""),"HF RW Pittige gehakt jalapeño")</f>
        <v>HF RW Pittige gehakt jalapeño</v>
      </c>
      <c r="J1068" s="189">
        <f>IFERROR(__xludf.DUMMYFUNCTION("""COMPUTED_VALUE"""),1567.0)</f>
        <v>1567</v>
      </c>
      <c r="K1068" s="189">
        <f>IFERROR(__xludf.DUMMYFUNCTION("""COMPUTED_VALUE"""),1506.0)</f>
        <v>1506</v>
      </c>
      <c r="L1068" s="189">
        <f>IFERROR(__xludf.DUMMYFUNCTION("""COMPUTED_VALUE"""),1509.0)</f>
        <v>1509</v>
      </c>
      <c r="M1068" s="189">
        <f>IFERROR(__xludf.DUMMYFUNCTION("""COMPUTED_VALUE"""),1337.0)</f>
        <v>1337</v>
      </c>
      <c r="N1068" s="186"/>
      <c r="O1068" s="186"/>
      <c r="P1068" s="186"/>
      <c r="Q1068" s="186"/>
      <c r="R1068" s="186"/>
      <c r="S1068" s="186"/>
    </row>
    <row r="1069">
      <c r="A1069" s="186" t="str">
        <f>IFERROR(__xludf.DUMMYFUNCTION("""COMPUTED_VALUE"""),"DE")</f>
        <v>DE</v>
      </c>
      <c r="B1069" s="186" t="str">
        <f>IFERROR(__xludf.DUMMYFUNCTION("""COMPUTED_VALUE"""),"W20")</f>
        <v>W20</v>
      </c>
      <c r="C1069" s="186">
        <f>IFERROR(__xludf.DUMMYFUNCTION("""COMPUTED_VALUE"""),304.0)</f>
        <v>304</v>
      </c>
      <c r="D1069" s="186" t="str">
        <f>IFERROR(__xludf.DUMMYFUNCTION("""COMPUTED_VALUE"""),"CON-00-151097-2")</f>
        <v>CON-00-151097-2</v>
      </c>
      <c r="E1069" s="186" t="str">
        <f>IFERROR(__xludf.DUMMYFUNCTION("""COMPUTED_VALUE"""),"Roasted Salmon &amp; Dill Yogurt")</f>
        <v>Roasted Salmon &amp; Dill Yogurt</v>
      </c>
      <c r="F1069" s="186" t="str">
        <f>IFERROR(__xludf.DUMMYFUNCTION("""COMPUTED_VALUE"""),"Ofengerösteter Lachs &amp; Dill-Joghurt")</f>
        <v>Ofengerösteter Lachs &amp; Dill-Joghurt</v>
      </c>
      <c r="G1069" s="186" t="str">
        <f>IFERROR(__xludf.DUMMYFUNCTION("""COMPUTED_VALUE"""),"FE1145B")</f>
        <v>FE1145B</v>
      </c>
      <c r="H1069" s="186">
        <f>IFERROR(__xludf.DUMMYFUNCTION("""COMPUTED_VALUE"""),565206.0)</f>
        <v>565206</v>
      </c>
      <c r="I1069" s="186" t="str">
        <f>IFERROR(__xludf.DUMMYFUNCTION("""COMPUTED_VALUE"""),"HF Zalm citroen dille yoghurt")</f>
        <v>HF Zalm citroen dille yoghurt</v>
      </c>
      <c r="J1069" s="189">
        <f>IFERROR(__xludf.DUMMYFUNCTION("""COMPUTED_VALUE"""),2170.0)</f>
        <v>2170</v>
      </c>
      <c r="K1069" s="189">
        <f>IFERROR(__xludf.DUMMYFUNCTION("""COMPUTED_VALUE"""),2086.0)</f>
        <v>2086</v>
      </c>
      <c r="L1069" s="189">
        <f>IFERROR(__xludf.DUMMYFUNCTION("""COMPUTED_VALUE"""),2075.0)</f>
        <v>2075</v>
      </c>
      <c r="M1069" s="189">
        <f>IFERROR(__xludf.DUMMYFUNCTION("""COMPUTED_VALUE"""),2116.0)</f>
        <v>2116</v>
      </c>
      <c r="N1069" s="186"/>
      <c r="O1069" s="186"/>
      <c r="P1069" s="186"/>
      <c r="Q1069" s="186"/>
      <c r="R1069" s="186"/>
      <c r="S1069" s="186"/>
    </row>
    <row r="1070">
      <c r="A1070" s="186" t="str">
        <f>IFERROR(__xludf.DUMMYFUNCTION("""COMPUTED_VALUE"""),"DE")</f>
        <v>DE</v>
      </c>
      <c r="B1070" s="186" t="str">
        <f>IFERROR(__xludf.DUMMYFUNCTION("""COMPUTED_VALUE"""),"W20")</f>
        <v>W20</v>
      </c>
      <c r="C1070" s="186">
        <f>IFERROR(__xludf.DUMMYFUNCTION("""COMPUTED_VALUE"""),305.0)</f>
        <v>305</v>
      </c>
      <c r="D1070" s="186" t="str">
        <f>IFERROR(__xludf.DUMMYFUNCTION("""COMPUTED_VALUE"""),"CON-00-152205-2")</f>
        <v>CON-00-152205-2</v>
      </c>
      <c r="E1070" s="186" t="str">
        <f>IFERROR(__xludf.DUMMYFUNCTION("""COMPUTED_VALUE"""),"Green Chile Chicken &amp; Salsa Quinoa")</f>
        <v>Green Chile Chicken &amp; Salsa Quinoa</v>
      </c>
      <c r="F1070" s="186" t="str">
        <f>IFERROR(__xludf.DUMMYFUNCTION("""COMPUTED_VALUE"""),"Grünes Chili-Hähnchen mit Quinoa-Salsa")</f>
        <v>Grünes Chili-Hähnchen mit Quinoa-Salsa</v>
      </c>
      <c r="G1070" s="186" t="str">
        <f>IFERROR(__xludf.DUMMYFUNCTION("""COMPUTED_VALUE"""),"FE1636A")</f>
        <v>FE1636A</v>
      </c>
      <c r="H1070" s="186">
        <f>IFERROR(__xludf.DUMMYFUNCTION("""COMPUTED_VALUE"""),565209.0)</f>
        <v>565209</v>
      </c>
      <c r="I1070" s="186" t="str">
        <f>IFERROR(__xludf.DUMMYFUNCTION("""COMPUTED_VALUE"""),"HF Quinoa witte bonen salsa")</f>
        <v>HF Quinoa witte bonen salsa</v>
      </c>
      <c r="J1070" s="189">
        <f>IFERROR(__xludf.DUMMYFUNCTION("""COMPUTED_VALUE"""),1419.0)</f>
        <v>1419</v>
      </c>
      <c r="K1070" s="189">
        <f>IFERROR(__xludf.DUMMYFUNCTION("""COMPUTED_VALUE"""),1366.0)</f>
        <v>1366</v>
      </c>
      <c r="L1070" s="189">
        <f>IFERROR(__xludf.DUMMYFUNCTION("""COMPUTED_VALUE"""),1379.0)</f>
        <v>1379</v>
      </c>
      <c r="M1070" s="189">
        <f>IFERROR(__xludf.DUMMYFUNCTION("""COMPUTED_VALUE"""),1450.0)</f>
        <v>1450</v>
      </c>
      <c r="N1070" s="186"/>
      <c r="O1070" s="186"/>
      <c r="P1070" s="186"/>
      <c r="Q1070" s="186"/>
      <c r="R1070" s="186"/>
      <c r="S1070" s="186"/>
    </row>
    <row r="1071">
      <c r="A1071" s="186" t="str">
        <f>IFERROR(__xludf.DUMMYFUNCTION("""COMPUTED_VALUE"""),"DE")</f>
        <v>DE</v>
      </c>
      <c r="B1071" s="186" t="str">
        <f>IFERROR(__xludf.DUMMYFUNCTION("""COMPUTED_VALUE"""),"W20")</f>
        <v>W20</v>
      </c>
      <c r="C1071" s="186">
        <f>IFERROR(__xludf.DUMMYFUNCTION("""COMPUTED_VALUE"""),306.0)</f>
        <v>306</v>
      </c>
      <c r="D1071" s="186" t="str">
        <f>IFERROR(__xludf.DUMMYFUNCTION("""COMPUTED_VALUE"""),"CON-00-136630-3")</f>
        <v>CON-00-136630-3</v>
      </c>
      <c r="E1071" s="186" t="str">
        <f>IFERROR(__xludf.DUMMYFUNCTION("""COMPUTED_VALUE"""),"Salmon with pesto")</f>
        <v>Salmon with pesto</v>
      </c>
      <c r="F1071" s="186" t="str">
        <f>IFERROR(__xludf.DUMMYFUNCTION("""COMPUTED_VALUE"""),"Lachs mit Pesto")</f>
        <v>Lachs mit Pesto</v>
      </c>
      <c r="G1071" s="186" t="str">
        <f>IFERROR(__xludf.DUMMYFUNCTION("""COMPUTED_VALUE"""),"FE0035F")</f>
        <v>FE0035F</v>
      </c>
      <c r="H1071" s="186">
        <f>IFERROR(__xludf.DUMMYFUNCTION("""COMPUTED_VALUE"""),565022.0)</f>
        <v>565022</v>
      </c>
      <c r="I1071" s="186" t="str">
        <f>IFERROR(__xludf.DUMMYFUNCTION("""COMPUTED_VALUE"""),"HF Zalm met pesto")</f>
        <v>HF Zalm met pesto</v>
      </c>
      <c r="J1071" s="189">
        <f>IFERROR(__xludf.DUMMYFUNCTION("""COMPUTED_VALUE"""),0.0)</f>
        <v>0</v>
      </c>
      <c r="K1071" s="189">
        <f>IFERROR(__xludf.DUMMYFUNCTION("""COMPUTED_VALUE"""),0.0)</f>
        <v>0</v>
      </c>
      <c r="L1071" s="189">
        <f>IFERROR(__xludf.DUMMYFUNCTION("""COMPUTED_VALUE"""),0.0)</f>
        <v>0</v>
      </c>
      <c r="M1071" s="189">
        <f>IFERROR(__xludf.DUMMYFUNCTION("""COMPUTED_VALUE"""),0.0)</f>
        <v>0</v>
      </c>
      <c r="N1071" s="186"/>
      <c r="O1071" s="186"/>
      <c r="P1071" s="186"/>
      <c r="Q1071" s="186"/>
      <c r="R1071" s="186"/>
      <c r="S1071" s="186"/>
    </row>
    <row r="1072">
      <c r="A1072" s="186" t="str">
        <f>IFERROR(__xludf.DUMMYFUNCTION("""COMPUTED_VALUE"""),"DE")</f>
        <v>DE</v>
      </c>
      <c r="B1072" s="186" t="str">
        <f>IFERROR(__xludf.DUMMYFUNCTION("""COMPUTED_VALUE"""),"W20")</f>
        <v>W20</v>
      </c>
      <c r="C1072" s="186">
        <f>IFERROR(__xludf.DUMMYFUNCTION("""COMPUTED_VALUE"""),307.0)</f>
        <v>307</v>
      </c>
      <c r="D1072" s="186" t="str">
        <f>IFERROR(__xludf.DUMMYFUNCTION("""COMPUTED_VALUE"""),"CON-00-136623-3")</f>
        <v>CON-00-136623-3</v>
      </c>
      <c r="E1072" s="186" t="str">
        <f>IFERROR(__xludf.DUMMYFUNCTION("""COMPUTED_VALUE"""),"Indian style butter chicken")</f>
        <v>Indian style butter chicken</v>
      </c>
      <c r="F1072" s="186" t="str">
        <f>IFERROR(__xludf.DUMMYFUNCTION("""COMPUTED_VALUE"""),"Indisches Butterhuhn")</f>
        <v>Indisches Butterhuhn</v>
      </c>
      <c r="G1072" s="186" t="str">
        <f>IFERROR(__xludf.DUMMYFUNCTION("""COMPUTED_VALUE"""),"FE0472B")</f>
        <v>FE0472B</v>
      </c>
      <c r="H1072" s="186">
        <f>IFERROR(__xludf.DUMMYFUNCTION("""COMPUTED_VALUE"""),565145.0)</f>
        <v>565145</v>
      </c>
      <c r="I1072" s="186" t="str">
        <f>IFERROR(__xludf.DUMMYFUNCTION("""COMPUTED_VALUE"""),"HF RW Butter Chicken")</f>
        <v>HF RW Butter Chicken</v>
      </c>
      <c r="J1072" s="189">
        <f>IFERROR(__xludf.DUMMYFUNCTION("""COMPUTED_VALUE"""),0.0)</f>
        <v>0</v>
      </c>
      <c r="K1072" s="189">
        <f>IFERROR(__xludf.DUMMYFUNCTION("""COMPUTED_VALUE"""),0.0)</f>
        <v>0</v>
      </c>
      <c r="L1072" s="189">
        <f>IFERROR(__xludf.DUMMYFUNCTION("""COMPUTED_VALUE"""),0.0)</f>
        <v>0</v>
      </c>
      <c r="M1072" s="189">
        <f>IFERROR(__xludf.DUMMYFUNCTION("""COMPUTED_VALUE"""),0.0)</f>
        <v>0</v>
      </c>
      <c r="N1072" s="186"/>
      <c r="O1072" s="186"/>
      <c r="P1072" s="186"/>
      <c r="Q1072" s="186"/>
      <c r="R1072" s="186"/>
      <c r="S1072" s="186"/>
    </row>
    <row r="1073">
      <c r="A1073" s="186" t="str">
        <f>IFERROR(__xludf.DUMMYFUNCTION("""COMPUTED_VALUE"""),"DE")</f>
        <v>DE</v>
      </c>
      <c r="B1073" s="186" t="str">
        <f>IFERROR(__xludf.DUMMYFUNCTION("""COMPUTED_VALUE"""),"W20")</f>
        <v>W20</v>
      </c>
      <c r="C1073" s="186">
        <f>IFERROR(__xludf.DUMMYFUNCTION("""COMPUTED_VALUE"""),308.0)</f>
        <v>308</v>
      </c>
      <c r="D1073" s="186" t="str">
        <f>IFERROR(__xludf.DUMMYFUNCTION("""COMPUTED_VALUE"""),"CON-00-136673-3")</f>
        <v>CON-00-136673-3</v>
      </c>
      <c r="E1073" s="186" t="str">
        <f>IFERROR(__xludf.DUMMYFUNCTION("""COMPUTED_VALUE"""),"Chicken in tomato cream sauce")</f>
        <v>Chicken in tomato cream sauce</v>
      </c>
      <c r="F1073" s="186" t="str">
        <f>IFERROR(__xludf.DUMMYFUNCTION("""COMPUTED_VALUE"""),"Hähnchen in Tomatencreme")</f>
        <v>Hähnchen in Tomatencreme</v>
      </c>
      <c r="G1073" s="186" t="str">
        <f>IFERROR(__xludf.DUMMYFUNCTION("""COMPUTED_VALUE"""),"FE0024E")</f>
        <v>FE0024E</v>
      </c>
      <c r="H1073" s="186">
        <f>IFERROR(__xludf.DUMMYFUNCTION("""COMPUTED_VALUE"""),565150.0)</f>
        <v>565150</v>
      </c>
      <c r="I1073" s="186" t="str">
        <f>IFERROR(__xludf.DUMMYFUNCTION("""COMPUTED_VALUE"""),"HF RW Kipfilet in tom-roomsaus")</f>
        <v>HF RW Kipfilet in tom-roomsaus</v>
      </c>
      <c r="J1073" s="189">
        <f>IFERROR(__xludf.DUMMYFUNCTION("""COMPUTED_VALUE"""),0.0)</f>
        <v>0</v>
      </c>
      <c r="K1073" s="189">
        <f>IFERROR(__xludf.DUMMYFUNCTION("""COMPUTED_VALUE"""),0.0)</f>
        <v>0</v>
      </c>
      <c r="L1073" s="189">
        <f>IFERROR(__xludf.DUMMYFUNCTION("""COMPUTED_VALUE"""),1088.0)</f>
        <v>1088</v>
      </c>
      <c r="M1073" s="189">
        <f>IFERROR(__xludf.DUMMYFUNCTION("""COMPUTED_VALUE"""),1331.0)</f>
        <v>1331</v>
      </c>
      <c r="N1073" s="186"/>
      <c r="O1073" s="186"/>
      <c r="P1073" s="186"/>
      <c r="Q1073" s="186"/>
      <c r="R1073" s="186"/>
      <c r="S1073" s="186"/>
    </row>
    <row r="1074">
      <c r="A1074" s="186" t="str">
        <f>IFERROR(__xludf.DUMMYFUNCTION("""COMPUTED_VALUE"""),"DE")</f>
        <v>DE</v>
      </c>
      <c r="B1074" s="186" t="str">
        <f>IFERROR(__xludf.DUMMYFUNCTION("""COMPUTED_VALUE"""),"W20")</f>
        <v>W20</v>
      </c>
      <c r="C1074" s="186">
        <f>IFERROR(__xludf.DUMMYFUNCTION("""COMPUTED_VALUE"""),309.0)</f>
        <v>309</v>
      </c>
      <c r="D1074" s="186" t="str">
        <f>IFERROR(__xludf.DUMMYFUNCTION("""COMPUTED_VALUE"""),"CON-00-136634-3")</f>
        <v>CON-00-136634-3</v>
      </c>
      <c r="E1074" s="186" t="str">
        <f>IFERROR(__xludf.DUMMYFUNCTION("""COMPUTED_VALUE"""),"Ratatouille of zucchini and pepper")</f>
        <v>Ratatouille of zucchini and pepper</v>
      </c>
      <c r="F1074" s="186" t="str">
        <f>IFERROR(__xludf.DUMMYFUNCTION("""COMPUTED_VALUE"""),"Zucchini-Paprika-Ratatouille")</f>
        <v>Zucchini-Paprika-Ratatouille</v>
      </c>
      <c r="G1074" s="186" t="str">
        <f>IFERROR(__xludf.DUMMYFUNCTION("""COMPUTED_VALUE"""),"FE0090C")</f>
        <v>FE0090C</v>
      </c>
      <c r="H1074" s="186">
        <f>IFERROR(__xludf.DUMMYFUNCTION("""COMPUTED_VALUE"""),565141.0)</f>
        <v>565141</v>
      </c>
      <c r="I1074" s="186"/>
      <c r="J1074" s="189">
        <f>IFERROR(__xludf.DUMMYFUNCTION("""COMPUTED_VALUE"""),283.0)</f>
        <v>283</v>
      </c>
      <c r="K1074" s="189">
        <f>IFERROR(__xludf.DUMMYFUNCTION("""COMPUTED_VALUE"""),272.0)</f>
        <v>272</v>
      </c>
      <c r="L1074" s="189">
        <f>IFERROR(__xludf.DUMMYFUNCTION("""COMPUTED_VALUE"""),235.0)</f>
        <v>235</v>
      </c>
      <c r="M1074" s="189">
        <f>IFERROR(__xludf.DUMMYFUNCTION("""COMPUTED_VALUE"""),190.0)</f>
        <v>190</v>
      </c>
      <c r="N1074" s="186"/>
      <c r="O1074" s="186"/>
      <c r="P1074" s="186"/>
      <c r="Q1074" s="186"/>
      <c r="R1074" s="186"/>
      <c r="S1074" s="186"/>
    </row>
    <row r="1075">
      <c r="A1075" s="186" t="str">
        <f>IFERROR(__xludf.DUMMYFUNCTION("""COMPUTED_VALUE"""),"DE")</f>
        <v>DE</v>
      </c>
      <c r="B1075" s="186" t="str">
        <f>IFERROR(__xludf.DUMMYFUNCTION("""COMPUTED_VALUE"""),"W20")</f>
        <v>W20</v>
      </c>
      <c r="C1075" s="186">
        <f>IFERROR(__xludf.DUMMYFUNCTION("""COMPUTED_VALUE"""),310.0)</f>
        <v>310</v>
      </c>
      <c r="D1075" s="186" t="str">
        <f>IFERROR(__xludf.DUMMYFUNCTION("""COMPUTED_VALUE"""),"CON-00-136641-3")</f>
        <v>CON-00-136641-3</v>
      </c>
      <c r="E1075" s="186" t="str">
        <f>IFERROR(__xludf.DUMMYFUNCTION("""COMPUTED_VALUE"""),"Mexican style corn cake")</f>
        <v>Mexican style corn cake</v>
      </c>
      <c r="F1075" s="186" t="str">
        <f>IFERROR(__xludf.DUMMYFUNCTION("""COMPUTED_VALUE"""),"Mexikanischer Maiskuchen")</f>
        <v>Mexikanischer Maiskuchen</v>
      </c>
      <c r="G1075" s="186" t="str">
        <f>IFERROR(__xludf.DUMMYFUNCTION("""COMPUTED_VALUE"""),"FE0121D")</f>
        <v>FE0121D</v>
      </c>
      <c r="H1075" s="186">
        <f>IFERROR(__xludf.DUMMYFUNCTION("""COMPUTED_VALUE"""),565299.0)</f>
        <v>565299</v>
      </c>
      <c r="I1075" s="186" t="str">
        <f>IFERROR(__xludf.DUMMYFUNCTION("""COMPUTED_VALUE"""),"HF RW Mexcaanse stijl maiscake")</f>
        <v>HF RW Mexcaanse stijl maiscake</v>
      </c>
      <c r="J1075" s="189">
        <f>IFERROR(__xludf.DUMMYFUNCTION("""COMPUTED_VALUE"""),303.0)</f>
        <v>303</v>
      </c>
      <c r="K1075" s="189">
        <f>IFERROR(__xludf.DUMMYFUNCTION("""COMPUTED_VALUE"""),292.0)</f>
        <v>292</v>
      </c>
      <c r="L1075" s="189">
        <f>IFERROR(__xludf.DUMMYFUNCTION("""COMPUTED_VALUE"""),279.0)</f>
        <v>279</v>
      </c>
      <c r="M1075" s="189">
        <f>IFERROR(__xludf.DUMMYFUNCTION("""COMPUTED_VALUE"""),197.0)</f>
        <v>197</v>
      </c>
      <c r="N1075" s="186"/>
      <c r="O1075" s="186"/>
      <c r="P1075" s="186"/>
      <c r="Q1075" s="186"/>
      <c r="R1075" s="186"/>
      <c r="S1075" s="186"/>
    </row>
    <row r="1076">
      <c r="A1076" s="186" t="str">
        <f>IFERROR(__xludf.DUMMYFUNCTION("""COMPUTED_VALUE"""),"DE")</f>
        <v>DE</v>
      </c>
      <c r="B1076" s="186" t="str">
        <f>IFERROR(__xludf.DUMMYFUNCTION("""COMPUTED_VALUE"""),"W20")</f>
        <v>W20</v>
      </c>
      <c r="C1076" s="186">
        <f>IFERROR(__xludf.DUMMYFUNCTION("""COMPUTED_VALUE"""),311.0)</f>
        <v>311</v>
      </c>
      <c r="D1076" s="186" t="str">
        <f>IFERROR(__xludf.DUMMYFUNCTION("""COMPUTED_VALUE"""),"CON-00-136664-3")</f>
        <v>CON-00-136664-3</v>
      </c>
      <c r="E1076" s="186" t="str">
        <f>IFERROR(__xludf.DUMMYFUNCTION("""COMPUTED_VALUE"""),"Pork tenderloin in sundried tomato sauce")</f>
        <v>Pork tenderloin in sundried tomato sauce</v>
      </c>
      <c r="F1076" s="186" t="str">
        <f>IFERROR(__xludf.DUMMYFUNCTION("""COMPUTED_VALUE"""),"Schweinefilet in Sonnentomaten-Sauce")</f>
        <v>Schweinefilet in Sonnentomaten-Sauce</v>
      </c>
      <c r="G1076" s="186" t="str">
        <f>IFERROR(__xludf.DUMMYFUNCTION("""COMPUTED_VALUE"""),"FE4006A")</f>
        <v>FE4006A</v>
      </c>
      <c r="H1076" s="186">
        <f>IFERROR(__xludf.DUMMYFUNCTION("""COMPUTED_VALUE"""),565063.0)</f>
        <v>565063</v>
      </c>
      <c r="I1076" s="186" t="str">
        <f>IFERROR(__xludf.DUMMYFUNCTION("""COMPUTED_VALUE"""),"HF Varkenshaas met tomatensaus 384g")</f>
        <v>HF Varkenshaas met tomatensaus 384g</v>
      </c>
      <c r="J1076" s="189">
        <f>IFERROR(__xludf.DUMMYFUNCTION("""COMPUTED_VALUE"""),0.0)</f>
        <v>0</v>
      </c>
      <c r="K1076" s="189">
        <f>IFERROR(__xludf.DUMMYFUNCTION("""COMPUTED_VALUE"""),0.0)</f>
        <v>0</v>
      </c>
      <c r="L1076" s="189">
        <f>IFERROR(__xludf.DUMMYFUNCTION("""COMPUTED_VALUE"""),338.0)</f>
        <v>338</v>
      </c>
      <c r="M1076" s="189">
        <f>IFERROR(__xludf.DUMMYFUNCTION("""COMPUTED_VALUE"""),255.0)</f>
        <v>255</v>
      </c>
      <c r="N1076" s="186"/>
      <c r="O1076" s="186"/>
      <c r="P1076" s="186"/>
      <c r="Q1076" s="186"/>
      <c r="R1076" s="186"/>
      <c r="S1076" s="186"/>
    </row>
    <row r="1077">
      <c r="A1077" s="186" t="str">
        <f>IFERROR(__xludf.DUMMYFUNCTION("""COMPUTED_VALUE"""),"DE")</f>
        <v>DE</v>
      </c>
      <c r="B1077" s="186" t="str">
        <f>IFERROR(__xludf.DUMMYFUNCTION("""COMPUTED_VALUE"""),"W20")</f>
        <v>W20</v>
      </c>
      <c r="C1077" s="186">
        <f>IFERROR(__xludf.DUMMYFUNCTION("""COMPUTED_VALUE"""),312.0)</f>
        <v>312</v>
      </c>
      <c r="D1077" s="186" t="str">
        <f>IFERROR(__xludf.DUMMYFUNCTION("""COMPUTED_VALUE"""),"CON-00-136683-3")</f>
        <v>CON-00-136683-3</v>
      </c>
      <c r="E1077" s="186" t="str">
        <f>IFERROR(__xludf.DUMMYFUNCTION("""COMPUTED_VALUE"""),"Spicy citrus salmon")</f>
        <v>Spicy citrus salmon</v>
      </c>
      <c r="F1077" s="186" t="str">
        <f>IFERROR(__xludf.DUMMYFUNCTION("""COMPUTED_VALUE"""),"Würziger Zitronenlachs")</f>
        <v>Würziger Zitronenlachs</v>
      </c>
      <c r="G1077" s="186" t="str">
        <f>IFERROR(__xludf.DUMMYFUNCTION("""COMPUTED_VALUE"""),"FE0281E")</f>
        <v>FE0281E</v>
      </c>
      <c r="H1077" s="186">
        <f>IFERROR(__xludf.DUMMYFUNCTION("""COMPUTED_VALUE"""),565087.0)</f>
        <v>565087</v>
      </c>
      <c r="I1077" s="186"/>
      <c r="J1077" s="189">
        <f>IFERROR(__xludf.DUMMYFUNCTION("""COMPUTED_VALUE"""),0.0)</f>
        <v>0</v>
      </c>
      <c r="K1077" s="189">
        <f>IFERROR(__xludf.DUMMYFUNCTION("""COMPUTED_VALUE"""),0.0)</f>
        <v>0</v>
      </c>
      <c r="L1077" s="189">
        <f>IFERROR(__xludf.DUMMYFUNCTION("""COMPUTED_VALUE"""),0.0)</f>
        <v>0</v>
      </c>
      <c r="M1077" s="189">
        <f>IFERROR(__xludf.DUMMYFUNCTION("""COMPUTED_VALUE"""),0.0)</f>
        <v>0</v>
      </c>
      <c r="N1077" s="186"/>
      <c r="O1077" s="186"/>
      <c r="P1077" s="186"/>
      <c r="Q1077" s="186"/>
      <c r="R1077" s="186"/>
      <c r="S1077" s="186"/>
    </row>
    <row r="1078">
      <c r="A1078" s="186" t="str">
        <f>IFERROR(__xludf.DUMMYFUNCTION("""COMPUTED_VALUE"""),"DE")</f>
        <v>DE</v>
      </c>
      <c r="B1078" s="186" t="str">
        <f>IFERROR(__xludf.DUMMYFUNCTION("""COMPUTED_VALUE"""),"W20")</f>
        <v>W20</v>
      </c>
      <c r="C1078" s="186">
        <f>IFERROR(__xludf.DUMMYFUNCTION("""COMPUTED_VALUE"""),313.0)</f>
        <v>313</v>
      </c>
      <c r="D1078" s="186" t="str">
        <f>IFERROR(__xludf.DUMMYFUNCTION("""COMPUTED_VALUE"""),"CON-00-150963-2")</f>
        <v>CON-00-150963-2</v>
      </c>
      <c r="E1078" s="186" t="str">
        <f>IFERROR(__xludf.DUMMYFUNCTION("""COMPUTED_VALUE"""),"Bulgogi Pulled Beef Bowl")</f>
        <v>Bulgogi Pulled Beef Bowl</v>
      </c>
      <c r="F1078" s="186" t="str">
        <f>IFERROR(__xludf.DUMMYFUNCTION("""COMPUTED_VALUE"""),"Bulgogi Bowl mit Pulled Beef")</f>
        <v>Bulgogi Bowl mit Pulled Beef</v>
      </c>
      <c r="G1078" s="186" t="str">
        <f>IFERROR(__xludf.DUMMYFUNCTION("""COMPUTED_VALUE"""),"FE1404B")</f>
        <v>FE1404B</v>
      </c>
      <c r="H1078" s="186">
        <f>IFERROR(__xludf.DUMMYFUNCTION("""COMPUTED_VALUE"""),565190.0)</f>
        <v>565190</v>
      </c>
      <c r="I1078" s="186" t="str">
        <f>IFERROR(__xludf.DUMMYFUNCTION("""COMPUTED_VALUE"""),"HF Bulgogi pulled beef")</f>
        <v>HF Bulgogi pulled beef</v>
      </c>
      <c r="J1078" s="189">
        <f>IFERROR(__xludf.DUMMYFUNCTION("""COMPUTED_VALUE"""),0.0)</f>
        <v>0</v>
      </c>
      <c r="K1078" s="189">
        <f>IFERROR(__xludf.DUMMYFUNCTION("""COMPUTED_VALUE"""),0.0)</f>
        <v>0</v>
      </c>
      <c r="L1078" s="189">
        <f>IFERROR(__xludf.DUMMYFUNCTION("""COMPUTED_VALUE"""),1451.0)</f>
        <v>1451</v>
      </c>
      <c r="M1078" s="189">
        <f>IFERROR(__xludf.DUMMYFUNCTION("""COMPUTED_VALUE"""),568.0)</f>
        <v>568</v>
      </c>
      <c r="N1078" s="186"/>
      <c r="O1078" s="186"/>
      <c r="P1078" s="186"/>
      <c r="Q1078" s="186"/>
      <c r="R1078" s="186"/>
      <c r="S1078" s="186"/>
    </row>
    <row r="1079">
      <c r="A1079" s="186" t="str">
        <f>IFERROR(__xludf.DUMMYFUNCTION("""COMPUTED_VALUE"""),"DE")</f>
        <v>DE</v>
      </c>
      <c r="B1079" s="186" t="str">
        <f>IFERROR(__xludf.DUMMYFUNCTION("""COMPUTED_VALUE"""),"W20")</f>
        <v>W20</v>
      </c>
      <c r="C1079" s="186">
        <f>IFERROR(__xludf.DUMMYFUNCTION("""COMPUTED_VALUE"""),314.0)</f>
        <v>314</v>
      </c>
      <c r="D1079" s="186"/>
      <c r="E1079" s="186"/>
      <c r="F1079" s="186"/>
      <c r="G1079" s="186" t="str">
        <f>IFERROR(__xludf.DUMMYFUNCTION("""COMPUTED_VALUE"""),"FV0333A")</f>
        <v>FV0333A</v>
      </c>
      <c r="H1079" s="186"/>
      <c r="I1079" s="186"/>
      <c r="J1079" s="189">
        <f>IFERROR(__xludf.DUMMYFUNCTION("""COMPUTED_VALUE"""),0.0)</f>
        <v>0</v>
      </c>
      <c r="K1079" s="189">
        <f>IFERROR(__xludf.DUMMYFUNCTION("""COMPUTED_VALUE"""),0.0)</f>
        <v>0</v>
      </c>
      <c r="L1079" s="189">
        <f>IFERROR(__xludf.DUMMYFUNCTION("""COMPUTED_VALUE"""),0.0)</f>
        <v>0</v>
      </c>
      <c r="M1079" s="189">
        <f>IFERROR(__xludf.DUMMYFUNCTION("""COMPUTED_VALUE"""),0.0)</f>
        <v>0</v>
      </c>
      <c r="N1079" s="186"/>
      <c r="O1079" s="186"/>
      <c r="P1079" s="186"/>
      <c r="Q1079" s="186"/>
      <c r="R1079" s="186"/>
      <c r="S1079" s="186"/>
    </row>
    <row r="1080">
      <c r="A1080" s="186" t="str">
        <f>IFERROR(__xludf.DUMMYFUNCTION("""COMPUTED_VALUE"""),"DE")</f>
        <v>DE</v>
      </c>
      <c r="B1080" s="186" t="str">
        <f>IFERROR(__xludf.DUMMYFUNCTION("""COMPUTED_VALUE"""),"W20")</f>
        <v>W20</v>
      </c>
      <c r="C1080" s="186">
        <f>IFERROR(__xludf.DUMMYFUNCTION("""COMPUTED_VALUE"""),315.0)</f>
        <v>315</v>
      </c>
      <c r="D1080" s="186"/>
      <c r="E1080" s="186"/>
      <c r="F1080" s="186"/>
      <c r="G1080" s="186" t="str">
        <f>IFERROR(__xludf.DUMMYFUNCTION("""COMPUTED_VALUE"""),"FV0846A")</f>
        <v>FV0846A</v>
      </c>
      <c r="H1080" s="186"/>
      <c r="I1080" s="186"/>
      <c r="J1080" s="189">
        <f>IFERROR(__xludf.DUMMYFUNCTION("""COMPUTED_VALUE"""),792.0)</f>
        <v>792</v>
      </c>
      <c r="K1080" s="189">
        <f>IFERROR(__xludf.DUMMYFUNCTION("""COMPUTED_VALUE"""),760.0)</f>
        <v>760</v>
      </c>
      <c r="L1080" s="189">
        <f>IFERROR(__xludf.DUMMYFUNCTION("""COMPUTED_VALUE"""),0.0)</f>
        <v>0</v>
      </c>
      <c r="M1080" s="189">
        <f>IFERROR(__xludf.DUMMYFUNCTION("""COMPUTED_VALUE"""),0.0)</f>
        <v>0</v>
      </c>
      <c r="N1080" s="186"/>
      <c r="O1080" s="186"/>
      <c r="P1080" s="186"/>
      <c r="Q1080" s="186"/>
      <c r="R1080" s="186"/>
      <c r="S1080" s="186"/>
    </row>
    <row r="1081">
      <c r="A1081" s="186" t="str">
        <f>IFERROR(__xludf.DUMMYFUNCTION("""COMPUTED_VALUE"""),"DE")</f>
        <v>DE</v>
      </c>
      <c r="B1081" s="186" t="str">
        <f>IFERROR(__xludf.DUMMYFUNCTION("""COMPUTED_VALUE"""),"W20")</f>
        <v>W20</v>
      </c>
      <c r="C1081" s="186">
        <f>IFERROR(__xludf.DUMMYFUNCTION("""COMPUTED_VALUE"""),316.0)</f>
        <v>316</v>
      </c>
      <c r="D1081" s="186" t="str">
        <f>IFERROR(__xludf.DUMMYFUNCTION("""COMPUTED_VALUE"""),"CON-00-136648-3")</f>
        <v>CON-00-136648-3</v>
      </c>
      <c r="E1081" s="186" t="str">
        <f>IFERROR(__xludf.DUMMYFUNCTION("""COMPUTED_VALUE"""),"Pulled chicken with cheddar and bacon")</f>
        <v>Pulled chicken with cheddar and bacon</v>
      </c>
      <c r="F1081" s="186" t="str">
        <f>IFERROR(__xludf.DUMMYFUNCTION("""COMPUTED_VALUE"""),"Pulled Chicken mit Cheddar und Speck")</f>
        <v>Pulled Chicken mit Cheddar und Speck</v>
      </c>
      <c r="G1081" s="186"/>
      <c r="H1081" s="186">
        <f>IFERROR(__xludf.DUMMYFUNCTION("""COMPUTED_VALUE"""),565151.0)</f>
        <v>565151</v>
      </c>
      <c r="I1081" s="186" t="str">
        <f>IFERROR(__xludf.DUMMYFUNCTION("""COMPUTED_VALUE"""),"HF RW Pulled chicken ched/baco")</f>
        <v>HF RW Pulled chicken ched/baco</v>
      </c>
      <c r="J1081" s="189">
        <f>IFERROR(__xludf.DUMMYFUNCTION("""COMPUTED_VALUE"""),510.0)</f>
        <v>510</v>
      </c>
      <c r="K1081" s="189">
        <f>IFERROR(__xludf.DUMMYFUNCTION("""COMPUTED_VALUE"""),489.0)</f>
        <v>489</v>
      </c>
      <c r="L1081" s="189">
        <f>IFERROR(__xludf.DUMMYFUNCTION("""COMPUTED_VALUE"""),487.0)</f>
        <v>487</v>
      </c>
      <c r="M1081" s="189">
        <f>IFERROR(__xludf.DUMMYFUNCTION("""COMPUTED_VALUE"""),775.0)</f>
        <v>775</v>
      </c>
      <c r="N1081" s="186"/>
      <c r="O1081" s="186"/>
      <c r="P1081" s="186"/>
      <c r="Q1081" s="186"/>
      <c r="R1081" s="186"/>
      <c r="S1081" s="186"/>
    </row>
    <row r="1082">
      <c r="A1082" s="186" t="str">
        <f>IFERROR(__xludf.DUMMYFUNCTION("""COMPUTED_VALUE"""),"DE")</f>
        <v>DE</v>
      </c>
      <c r="B1082" s="186" t="str">
        <f>IFERROR(__xludf.DUMMYFUNCTION("""COMPUTED_VALUE"""),"W20")</f>
        <v>W20</v>
      </c>
      <c r="C1082" s="186">
        <f>IFERROR(__xludf.DUMMYFUNCTION("""COMPUTED_VALUE"""),317.0)</f>
        <v>317</v>
      </c>
      <c r="D1082" s="186" t="str">
        <f>IFERROR(__xludf.DUMMYFUNCTION("""COMPUTED_VALUE"""),"CON-00-139494-2")</f>
        <v>CON-00-139494-2</v>
      </c>
      <c r="E1082" s="186" t="str">
        <f>IFERROR(__xludf.DUMMYFUNCTION("""COMPUTED_VALUE"""),"Artichoke &amp; Spinach Pork tenderloin")</f>
        <v>Artichoke &amp; Spinach Pork tenderloin</v>
      </c>
      <c r="F1082" s="186" t="str">
        <f>IFERROR(__xludf.DUMMYFUNCTION("""COMPUTED_VALUE"""),"Schweinefilet mit Artischocken und Spinat")</f>
        <v>Schweinefilet mit Artischocken und Spinat</v>
      </c>
      <c r="G1082" s="186" t="str">
        <f>IFERROR(__xludf.DUMMYFUNCTION("""COMPUTED_VALUE"""),"FE4060A")</f>
        <v>FE4060A</v>
      </c>
      <c r="H1082" s="186">
        <f>IFERROR(__xludf.DUMMYFUNCTION("""COMPUTED_VALUE"""),565134.0)</f>
        <v>565134</v>
      </c>
      <c r="I1082" s="186"/>
      <c r="J1082" s="189">
        <f>IFERROR(__xludf.DUMMYFUNCTION("""COMPUTED_VALUE"""),842.0)</f>
        <v>842</v>
      </c>
      <c r="K1082" s="189">
        <f>IFERROR(__xludf.DUMMYFUNCTION("""COMPUTED_VALUE"""),815.0)</f>
        <v>815</v>
      </c>
      <c r="L1082" s="189">
        <f>IFERROR(__xludf.DUMMYFUNCTION("""COMPUTED_VALUE"""),852.0)</f>
        <v>852</v>
      </c>
      <c r="M1082" s="189">
        <f>IFERROR(__xludf.DUMMYFUNCTION("""COMPUTED_VALUE"""),914.0)</f>
        <v>914</v>
      </c>
      <c r="N1082" s="186"/>
      <c r="O1082" s="186"/>
      <c r="P1082" s="186"/>
      <c r="Q1082" s="186"/>
      <c r="R1082" s="186"/>
      <c r="S1082" s="186"/>
    </row>
    <row r="1083">
      <c r="A1083" s="186" t="str">
        <f>IFERROR(__xludf.DUMMYFUNCTION("""COMPUTED_VALUE"""),"DE")</f>
        <v>DE</v>
      </c>
      <c r="B1083" s="186" t="str">
        <f>IFERROR(__xludf.DUMMYFUNCTION("""COMPUTED_VALUE"""),"W20")</f>
        <v>W20</v>
      </c>
      <c r="C1083" s="186">
        <f>IFERROR(__xludf.DUMMYFUNCTION("""COMPUTED_VALUE"""),318.0)</f>
        <v>318</v>
      </c>
      <c r="D1083" s="186" t="str">
        <f>IFERROR(__xludf.DUMMYFUNCTION("""COMPUTED_VALUE"""),"CON-00-136717-3")</f>
        <v>CON-00-136717-3</v>
      </c>
      <c r="E1083" s="186" t="str">
        <f>IFERROR(__xludf.DUMMYFUNCTION("""COMPUTED_VALUE"""),"Pork tenderloin and Mediterranean mash")</f>
        <v>Pork tenderloin and Mediterranean mash</v>
      </c>
      <c r="F1083" s="186" t="str">
        <f>IFERROR(__xludf.DUMMYFUNCTION("""COMPUTED_VALUE"""),"Schweinefilet auf mediterranem Püree")</f>
        <v>Schweinefilet auf mediterranem Püree</v>
      </c>
      <c r="G1083" s="186" t="str">
        <f>IFERROR(__xludf.DUMMYFUNCTION("""COMPUTED_VALUE"""),"FE4042A")</f>
        <v>FE4042A</v>
      </c>
      <c r="H1083" s="186">
        <f>IFERROR(__xludf.DUMMYFUNCTION("""COMPUTED_VALUE"""),565109.0)</f>
        <v>565109</v>
      </c>
      <c r="I1083" s="186"/>
      <c r="J1083" s="189">
        <f>IFERROR(__xludf.DUMMYFUNCTION("""COMPUTED_VALUE"""),411.0)</f>
        <v>411</v>
      </c>
      <c r="K1083" s="189">
        <f>IFERROR(__xludf.DUMMYFUNCTION("""COMPUTED_VALUE"""),400.0)</f>
        <v>400</v>
      </c>
      <c r="L1083" s="189">
        <f>IFERROR(__xludf.DUMMYFUNCTION("""COMPUTED_VALUE"""),429.0)</f>
        <v>429</v>
      </c>
      <c r="M1083" s="189">
        <f>IFERROR(__xludf.DUMMYFUNCTION("""COMPUTED_VALUE"""),498.0)</f>
        <v>498</v>
      </c>
      <c r="N1083" s="186"/>
      <c r="O1083" s="186"/>
      <c r="P1083" s="186"/>
      <c r="Q1083" s="186"/>
      <c r="R1083" s="186"/>
      <c r="S1083" s="186"/>
    </row>
    <row r="1084">
      <c r="A1084" s="186" t="str">
        <f>IFERROR(__xludf.DUMMYFUNCTION("""COMPUTED_VALUE"""),"DE")</f>
        <v>DE</v>
      </c>
      <c r="B1084" s="186" t="str">
        <f>IFERROR(__xludf.DUMMYFUNCTION("""COMPUTED_VALUE"""),"W20")</f>
        <v>W20</v>
      </c>
      <c r="C1084" s="186">
        <f>IFERROR(__xludf.DUMMYFUNCTION("""COMPUTED_VALUE"""),319.0)</f>
        <v>319</v>
      </c>
      <c r="D1084" s="186"/>
      <c r="E1084" s="186" t="str">
        <f>IFERROR(__xludf.DUMMYFUNCTION("""COMPUTED_VALUE"""),"Beef Shepherd's Pie")</f>
        <v>Beef Shepherd's Pie</v>
      </c>
      <c r="F1084" s="186" t="str">
        <f>IFERROR(__xludf.DUMMYFUNCTION("""COMPUTED_VALUE"""),"Shepherd’s Pie mit Rindfleisch")</f>
        <v>Shepherd’s Pie mit Rindfleisch</v>
      </c>
      <c r="G1084" s="186" t="str">
        <f>IFERROR(__xludf.DUMMYFUNCTION("""COMPUTED_VALUE"""),"FE0160C")</f>
        <v>FE0160C</v>
      </c>
      <c r="H1084" s="186">
        <f>IFERROR(__xludf.DUMMYFUNCTION("""COMPUTED_VALUE"""),565153.0)</f>
        <v>565153</v>
      </c>
      <c r="I1084" s="186" t="str">
        <f>IFERROR(__xludf.DUMMYFUNCTION("""COMPUTED_VALUE"""),"HF Beef Shephards Pie")</f>
        <v>HF Beef Shephards Pie</v>
      </c>
      <c r="J1084" s="189">
        <f>IFERROR(__xludf.DUMMYFUNCTION("""COMPUTED_VALUE"""),954.0)</f>
        <v>954</v>
      </c>
      <c r="K1084" s="189">
        <f>IFERROR(__xludf.DUMMYFUNCTION("""COMPUTED_VALUE"""),1045.0)</f>
        <v>1045</v>
      </c>
      <c r="L1084" s="189">
        <f>IFERROR(__xludf.DUMMYFUNCTION("""COMPUTED_VALUE"""),1040.0)</f>
        <v>1040</v>
      </c>
      <c r="M1084" s="189">
        <f>IFERROR(__xludf.DUMMYFUNCTION("""COMPUTED_VALUE"""),575.0)</f>
        <v>575</v>
      </c>
      <c r="N1084" s="186"/>
      <c r="O1084" s="186"/>
      <c r="P1084" s="186"/>
      <c r="Q1084" s="186"/>
      <c r="R1084" s="186"/>
      <c r="S1084" s="186"/>
    </row>
    <row r="1085">
      <c r="A1085" s="186" t="str">
        <f>IFERROR(__xludf.DUMMYFUNCTION("""COMPUTED_VALUE"""),"DE")</f>
        <v>DE</v>
      </c>
      <c r="B1085" s="186" t="str">
        <f>IFERROR(__xludf.DUMMYFUNCTION("""COMPUTED_VALUE"""),"W20")</f>
        <v>W20</v>
      </c>
      <c r="C1085" s="186">
        <f>IFERROR(__xludf.DUMMYFUNCTION("""COMPUTED_VALUE"""),320.0)</f>
        <v>320</v>
      </c>
      <c r="D1085" s="186"/>
      <c r="E1085" s="186" t="str">
        <f>IFERROR(__xludf.DUMMYFUNCTION("""COMPUTED_VALUE"""),"Pulled Beef &amp; Mushroom Cream Pasta")</f>
        <v>Pulled Beef &amp; Mushroom Cream Pasta</v>
      </c>
      <c r="F1085" s="186" t="str">
        <f>IFERROR(__xludf.DUMMYFUNCTION("""COMPUTED_VALUE"""),"Pulled Beef mit Pilzrahm-Pasta")</f>
        <v>Pulled Beef mit Pilzrahm-Pasta</v>
      </c>
      <c r="G1085" s="186" t="str">
        <f>IFERROR(__xludf.DUMMYFUNCTION("""COMPUTED_VALUE"""),"FE4079A")</f>
        <v>FE4079A</v>
      </c>
      <c r="H1085" s="186">
        <f>IFERROR(__xludf.DUMMYFUNCTION("""COMPUTED_VALUE"""),565254.0)</f>
        <v>565254</v>
      </c>
      <c r="I1085" s="186" t="str">
        <f>IFERROR(__xludf.DUMMYFUNCTION("""COMPUTED_VALUE"""),"HF Pulled beef mushroom pasta")</f>
        <v>HF Pulled beef mushroom pasta</v>
      </c>
      <c r="J1085" s="189">
        <f>IFERROR(__xludf.DUMMYFUNCTION("""COMPUTED_VALUE"""),448.0)</f>
        <v>448</v>
      </c>
      <c r="K1085" s="189">
        <f>IFERROR(__xludf.DUMMYFUNCTION("""COMPUTED_VALUE"""),490.0)</f>
        <v>490</v>
      </c>
      <c r="L1085" s="189">
        <f>IFERROR(__xludf.DUMMYFUNCTION("""COMPUTED_VALUE"""),488.0)</f>
        <v>488</v>
      </c>
      <c r="M1085" s="189">
        <f>IFERROR(__xludf.DUMMYFUNCTION("""COMPUTED_VALUE"""),1473.0)</f>
        <v>1473</v>
      </c>
      <c r="N1085" s="186"/>
      <c r="O1085" s="186"/>
      <c r="P1085" s="186"/>
      <c r="Q1085" s="186"/>
      <c r="R1085" s="186"/>
      <c r="S1085" s="186"/>
    </row>
    <row r="1086">
      <c r="A1086" s="186" t="str">
        <f>IFERROR(__xludf.DUMMYFUNCTION("""COMPUTED_VALUE"""),"DE")</f>
        <v>DE</v>
      </c>
      <c r="B1086" s="186" t="str">
        <f>IFERROR(__xludf.DUMMYFUNCTION("""COMPUTED_VALUE"""),"W20")</f>
        <v>W20</v>
      </c>
      <c r="C1086" s="186">
        <f>IFERROR(__xludf.DUMMYFUNCTION("""COMPUTED_VALUE"""),321.0)</f>
        <v>321</v>
      </c>
      <c r="D1086" s="186"/>
      <c r="E1086" s="186" t="str">
        <f>IFERROR(__xludf.DUMMYFUNCTION("""COMPUTED_VALUE"""),"Apricot Smothered Pork Tenderloin")</f>
        <v>Apricot Smothered Pork Tenderloin</v>
      </c>
      <c r="F1086" s="186" t="str">
        <f>IFERROR(__xludf.DUMMYFUNCTION("""COMPUTED_VALUE"""),"Schweinefilet mit Aprikosenglasur")</f>
        <v>Schweinefilet mit Aprikosenglasur</v>
      </c>
      <c r="G1086" s="186" t="str">
        <f>IFERROR(__xludf.DUMMYFUNCTION("""COMPUTED_VALUE"""),"FE0962B")</f>
        <v>FE0962B</v>
      </c>
      <c r="H1086" s="186">
        <f>IFERROR(__xludf.DUMMYFUNCTION("""COMPUTED_VALUE"""),565220.0)</f>
        <v>565220</v>
      </c>
      <c r="I1086" s="186" t="str">
        <f>IFERROR(__xludf.DUMMYFUNCTION("""COMPUTED_VALUE"""),"HF Varkenshaas abrikozensaus")</f>
        <v>HF Varkenshaas abrikozensaus</v>
      </c>
      <c r="J1086" s="189">
        <f>IFERROR(__xludf.DUMMYFUNCTION("""COMPUTED_VALUE"""),604.0)</f>
        <v>604</v>
      </c>
      <c r="K1086" s="189">
        <f>IFERROR(__xludf.DUMMYFUNCTION("""COMPUTED_VALUE"""),660.0)</f>
        <v>660</v>
      </c>
      <c r="L1086" s="189">
        <f>IFERROR(__xludf.DUMMYFUNCTION("""COMPUTED_VALUE"""),658.0)</f>
        <v>658</v>
      </c>
      <c r="M1086" s="189">
        <f>IFERROR(__xludf.DUMMYFUNCTION("""COMPUTED_VALUE"""),331.0)</f>
        <v>331</v>
      </c>
      <c r="N1086" s="186"/>
      <c r="O1086" s="186"/>
      <c r="P1086" s="186"/>
      <c r="Q1086" s="186"/>
      <c r="R1086" s="186"/>
      <c r="S1086" s="186"/>
    </row>
    <row r="1087">
      <c r="A1087" s="186" t="str">
        <f>IFERROR(__xludf.DUMMYFUNCTION("""COMPUTED_VALUE"""),"DE")</f>
        <v>DE</v>
      </c>
      <c r="B1087" s="186" t="str">
        <f>IFERROR(__xludf.DUMMYFUNCTION("""COMPUTED_VALUE"""),"W20")</f>
        <v>W20</v>
      </c>
      <c r="C1087" s="186">
        <f>IFERROR(__xludf.DUMMYFUNCTION("""COMPUTED_VALUE"""),206.0)</f>
        <v>206</v>
      </c>
      <c r="D1087" s="186" t="str">
        <f>IFERROR(__xludf.DUMMYFUNCTION("""COMPUTED_VALUE"""),"PTN-00-136930-3")</f>
        <v>PTN-00-136930-3</v>
      </c>
      <c r="E1087" s="186" t="str">
        <f>IFERROR(__xludf.DUMMYFUNCTION("""COMPUTED_VALUE"""),"Garlic Herb Grilled Chicken")</f>
        <v>Garlic Herb Grilled Chicken</v>
      </c>
      <c r="F1087" s="186" t="str">
        <f>IFERROR(__xludf.DUMMYFUNCTION("""COMPUTED_VALUE"""),"Gegrilltes Hähnchen mit Knoblauch-Kräutern")</f>
        <v>Gegrilltes Hähnchen mit Knoblauch-Kräutern</v>
      </c>
      <c r="G1087" s="186" t="str">
        <f>IFERROR(__xludf.DUMMYFUNCTION("""COMPUTED_VALUE"""),"FEA006A")</f>
        <v>FEA006A</v>
      </c>
      <c r="H1087" s="186">
        <f>IFERROR(__xludf.DUMMYFUNCTION("""COMPUTED_VALUE"""),565119.0)</f>
        <v>565119</v>
      </c>
      <c r="I1087" s="186"/>
      <c r="J1087" s="189">
        <f>IFERROR(__xludf.DUMMYFUNCTION("""COMPUTED_VALUE"""),67.0)</f>
        <v>67</v>
      </c>
      <c r="K1087" s="189">
        <f>IFERROR(__xludf.DUMMYFUNCTION("""COMPUTED_VALUE"""),67.0)</f>
        <v>67</v>
      </c>
      <c r="L1087" s="189">
        <f>IFERROR(__xludf.DUMMYFUNCTION("""COMPUTED_VALUE"""),67.0)</f>
        <v>67</v>
      </c>
      <c r="M1087" s="189">
        <f>IFERROR(__xludf.DUMMYFUNCTION("""COMPUTED_VALUE"""),67.0)</f>
        <v>67</v>
      </c>
      <c r="N1087" s="186"/>
      <c r="O1087" s="186"/>
      <c r="P1087" s="186"/>
      <c r="Q1087" s="186"/>
      <c r="R1087" s="186"/>
      <c r="S1087" s="186"/>
    </row>
    <row r="1088">
      <c r="A1088" s="186" t="str">
        <f>IFERROR(__xludf.DUMMYFUNCTION("""COMPUTED_VALUE"""),"DE")</f>
        <v>DE</v>
      </c>
      <c r="B1088" s="186" t="str">
        <f>IFERROR(__xludf.DUMMYFUNCTION("""COMPUTED_VALUE"""),"W20")</f>
        <v>W20</v>
      </c>
      <c r="C1088" s="186"/>
      <c r="D1088" s="186"/>
      <c r="E1088" s="186"/>
      <c r="F1088" s="186"/>
      <c r="G1088" s="186"/>
      <c r="H1088" s="186"/>
      <c r="I1088" s="186"/>
      <c r="J1088" s="189">
        <f>IFERROR(__xludf.DUMMYFUNCTION("""COMPUTED_VALUE"""),12963.0)</f>
        <v>12963</v>
      </c>
      <c r="K1088" s="189">
        <f>IFERROR(__xludf.DUMMYFUNCTION("""COMPUTED_VALUE"""),14257.0)</f>
        <v>14257</v>
      </c>
      <c r="L1088" s="189">
        <f>IFERROR(__xludf.DUMMYFUNCTION("""COMPUTED_VALUE"""),16385.0)</f>
        <v>16385</v>
      </c>
      <c r="M1088" s="189">
        <f>IFERROR(__xludf.DUMMYFUNCTION("""COMPUTED_VALUE"""),15886.0)</f>
        <v>15886</v>
      </c>
      <c r="N1088" s="189">
        <f>IFERROR(__xludf.DUMMYFUNCTION("""COMPUTED_VALUE"""),0.0)</f>
        <v>0</v>
      </c>
      <c r="O1088" s="189">
        <f>IFERROR(__xludf.DUMMYFUNCTION("""COMPUTED_VALUE"""),0.0)</f>
        <v>0</v>
      </c>
      <c r="P1088" s="189">
        <f>IFERROR(__xludf.DUMMYFUNCTION("""COMPUTED_VALUE"""),0.0)</f>
        <v>0</v>
      </c>
      <c r="Q1088" s="189">
        <f>IFERROR(__xludf.DUMMYFUNCTION("""COMPUTED_VALUE"""),0.0)</f>
        <v>0</v>
      </c>
      <c r="R1088" s="189">
        <f>IFERROR(__xludf.DUMMYFUNCTION("""COMPUTED_VALUE"""),0.0)</f>
        <v>0</v>
      </c>
      <c r="S1088" s="189">
        <f>IFERROR(__xludf.DUMMYFUNCTION("""COMPUTED_VALUE"""),0.0)</f>
        <v>0</v>
      </c>
    </row>
    <row r="1089">
      <c r="A1089" s="186" t="str">
        <f>IFERROR(__xludf.DUMMYFUNCTION("""COMPUTED_VALUE"""),"NORDICS")</f>
        <v>NORDICS</v>
      </c>
      <c r="B1089" s="186" t="str">
        <f>IFERROR(__xludf.DUMMYFUNCTION("""COMPUTED_VALUE"""),"W21")</f>
        <v>W21</v>
      </c>
      <c r="C1089" s="186">
        <f>IFERROR(__xludf.DUMMYFUNCTION("""COMPUTED_VALUE"""),601.0)</f>
        <v>601</v>
      </c>
      <c r="D1089" s="186" t="str">
        <f>IFERROR(__xludf.DUMMYFUNCTION("""COMPUTED_VALUE"""),"CON-00-147877-2")</f>
        <v>CON-00-147877-2</v>
      </c>
      <c r="E1089" s="186" t="str">
        <f>IFERROR(__xludf.DUMMYFUNCTION("""COMPUTED_VALUE"""),"Creamy basil risotto with chicken")</f>
        <v>Creamy basil risotto with chicken</v>
      </c>
      <c r="F1089" s="186" t="str">
        <f>IFERROR(__xludf.DUMMYFUNCTION("""COMPUTED_VALUE"""),"Cremet basilikumrisotto med kylling")</f>
        <v>Cremet basilikumrisotto med kylling</v>
      </c>
      <c r="G1089" s="186" t="str">
        <f>IFERROR(__xludf.DUMMYFUNCTION("""COMPUTED_VALUE"""),"FE4014C")</f>
        <v>FE4014C</v>
      </c>
      <c r="H1089" s="186">
        <f>IFERROR(__xludf.DUMMYFUNCTION("""COMPUTED_VALUE"""),565303.0)</f>
        <v>565303</v>
      </c>
      <c r="I1089" s="186" t="str">
        <f>IFERROR(__xludf.DUMMYFUNCTION("""COMPUTED_VALUE"""),"HF RW Kip romige basil risotto")</f>
        <v>HF RW Kip romige basil risotto</v>
      </c>
      <c r="J1089" s="189">
        <f>IFERROR(__xludf.DUMMYFUNCTION("""COMPUTED_VALUE"""),3469.0)</f>
        <v>3469</v>
      </c>
      <c r="K1089" s="189">
        <f>IFERROR(__xludf.DUMMYFUNCTION("""COMPUTED_VALUE"""),3250.0)</f>
        <v>3250</v>
      </c>
      <c r="L1089" s="189">
        <f>IFERROR(__xludf.DUMMYFUNCTION("""COMPUTED_VALUE"""),3161.0)</f>
        <v>3161</v>
      </c>
      <c r="M1089" s="186"/>
      <c r="N1089" s="186"/>
      <c r="O1089" s="186"/>
      <c r="P1089" s="186"/>
      <c r="Q1089" s="186"/>
      <c r="R1089" s="186"/>
      <c r="S1089" s="186"/>
    </row>
    <row r="1090">
      <c r="A1090" s="186" t="str">
        <f>IFERROR(__xludf.DUMMYFUNCTION("""COMPUTED_VALUE"""),"NORDICS")</f>
        <v>NORDICS</v>
      </c>
      <c r="B1090" s="186" t="str">
        <f>IFERROR(__xludf.DUMMYFUNCTION("""COMPUTED_VALUE"""),"W21")</f>
        <v>W21</v>
      </c>
      <c r="C1090" s="186">
        <f>IFERROR(__xludf.DUMMYFUNCTION("""COMPUTED_VALUE"""),602.0)</f>
        <v>602</v>
      </c>
      <c r="D1090" s="186"/>
      <c r="E1090" s="186"/>
      <c r="F1090" s="186"/>
      <c r="G1090" s="186" t="str">
        <f>IFERROR(__xludf.DUMMYFUNCTION("""COMPUTED_VALUE"""),"FV0426A")</f>
        <v>FV0426A</v>
      </c>
      <c r="H1090" s="186"/>
      <c r="I1090" s="186"/>
      <c r="J1090" s="189">
        <f>IFERROR(__xludf.DUMMYFUNCTION("""COMPUTED_VALUE"""),0.0)</f>
        <v>0</v>
      </c>
      <c r="K1090" s="189">
        <f>IFERROR(__xludf.DUMMYFUNCTION("""COMPUTED_VALUE"""),0.0)</f>
        <v>0</v>
      </c>
      <c r="L1090" s="189">
        <f>IFERROR(__xludf.DUMMYFUNCTION("""COMPUTED_VALUE"""),0.0)</f>
        <v>0</v>
      </c>
      <c r="M1090" s="186"/>
      <c r="N1090" s="186"/>
      <c r="O1090" s="186"/>
      <c r="P1090" s="186"/>
      <c r="Q1090" s="186"/>
      <c r="R1090" s="186"/>
      <c r="S1090" s="186"/>
    </row>
    <row r="1091">
      <c r="A1091" s="186" t="str">
        <f>IFERROR(__xludf.DUMMYFUNCTION("""COMPUTED_VALUE"""),"NORDICS")</f>
        <v>NORDICS</v>
      </c>
      <c r="B1091" s="186" t="str">
        <f>IFERROR(__xludf.DUMMYFUNCTION("""COMPUTED_VALUE"""),"W21")</f>
        <v>W21</v>
      </c>
      <c r="C1091" s="186">
        <f>IFERROR(__xludf.DUMMYFUNCTION("""COMPUTED_VALUE"""),603.0)</f>
        <v>603</v>
      </c>
      <c r="D1091" s="186" t="str">
        <f>IFERROR(__xludf.DUMMYFUNCTION("""COMPUTED_VALUE"""),"CON-00-147860-2")</f>
        <v>CON-00-147860-2</v>
      </c>
      <c r="E1091" s="186" t="str">
        <f>IFERROR(__xludf.DUMMYFUNCTION("""COMPUTED_VALUE"""),"Courgette-spaghetti bolognese")</f>
        <v>Courgette-spaghetti bolognese</v>
      </c>
      <c r="F1091" s="186" t="str">
        <f>IFERROR(__xludf.DUMMYFUNCTION("""COMPUTED_VALUE"""),"Zucchini-spaghetti bolognese")</f>
        <v>Zucchini-spaghetti bolognese</v>
      </c>
      <c r="G1091" s="186" t="str">
        <f>IFERROR(__xludf.DUMMYFUNCTION("""COMPUTED_VALUE"""),"FE0849B")</f>
        <v>FE0849B</v>
      </c>
      <c r="H1091" s="186">
        <f>IFERROR(__xludf.DUMMYFUNCTION("""COMPUTED_VALUE"""),565260.0)</f>
        <v>565260</v>
      </c>
      <c r="I1091" s="186" t="str">
        <f>IFERROR(__xludf.DUMMYFUNCTION("""COMPUTED_VALUE"""),"HF RW Courgette-spagh bolognes")</f>
        <v>HF RW Courgette-spagh bolognes</v>
      </c>
      <c r="J1091" s="189">
        <f>IFERROR(__xludf.DUMMYFUNCTION("""COMPUTED_VALUE"""),1969.0)</f>
        <v>1969</v>
      </c>
      <c r="K1091" s="189">
        <f>IFERROR(__xludf.DUMMYFUNCTION("""COMPUTED_VALUE"""),1843.0)</f>
        <v>1843</v>
      </c>
      <c r="L1091" s="189">
        <f>IFERROR(__xludf.DUMMYFUNCTION("""COMPUTED_VALUE"""),1787.0)</f>
        <v>1787</v>
      </c>
      <c r="M1091" s="186"/>
      <c r="N1091" s="186"/>
      <c r="O1091" s="186"/>
      <c r="P1091" s="186"/>
      <c r="Q1091" s="186"/>
      <c r="R1091" s="186"/>
      <c r="S1091" s="186"/>
    </row>
    <row r="1092">
      <c r="A1092" s="186" t="str">
        <f>IFERROR(__xludf.DUMMYFUNCTION("""COMPUTED_VALUE"""),"NORDICS")</f>
        <v>NORDICS</v>
      </c>
      <c r="B1092" s="186" t="str">
        <f>IFERROR(__xludf.DUMMYFUNCTION("""COMPUTED_VALUE"""),"W21")</f>
        <v>W21</v>
      </c>
      <c r="C1092" s="186">
        <f>IFERROR(__xludf.DUMMYFUNCTION("""COMPUTED_VALUE"""),604.0)</f>
        <v>604</v>
      </c>
      <c r="D1092" s="186" t="str">
        <f>IFERROR(__xludf.DUMMYFUNCTION("""COMPUTED_VALUE"""),"CON-00-150389-2")</f>
        <v>CON-00-150389-2</v>
      </c>
      <c r="E1092" s="186" t="str">
        <f>IFERROR(__xludf.DUMMYFUNCTION("""COMPUTED_VALUE"""),"Parmesan &amp; Garlic Cream Pulled Beef")</f>
        <v>Parmesan &amp; Garlic Cream Pulled Beef</v>
      </c>
      <c r="F1092" s="186" t="str">
        <f>IFERROR(__xludf.DUMMYFUNCTION("""COMPUTED_VALUE"""),"Pulled beef med cremet parmesan og hvidløg")</f>
        <v>Pulled beef med cremet parmesan og hvidløg</v>
      </c>
      <c r="G1092" s="186" t="str">
        <f>IFERROR(__xludf.DUMMYFUNCTION("""COMPUTED_VALUE"""),"FE1346B")</f>
        <v>FE1346B</v>
      </c>
      <c r="H1092" s="186">
        <f>IFERROR(__xludf.DUMMYFUNCTION("""COMPUTED_VALUE"""),565184.0)</f>
        <v>565184</v>
      </c>
      <c r="I1092" s="186" t="str">
        <f>IFERROR(__xludf.DUMMYFUNCTION("""COMPUTED_VALUE"""),"HF Pulled beef &amp; knoflook room")</f>
        <v>HF Pulled beef &amp; knoflook room</v>
      </c>
      <c r="J1092" s="189">
        <f>IFERROR(__xludf.DUMMYFUNCTION("""COMPUTED_VALUE"""),0.0)</f>
        <v>0</v>
      </c>
      <c r="K1092" s="189">
        <f>IFERROR(__xludf.DUMMYFUNCTION("""COMPUTED_VALUE"""),2688.0)</f>
        <v>2688</v>
      </c>
      <c r="L1092" s="189">
        <f>IFERROR(__xludf.DUMMYFUNCTION("""COMPUTED_VALUE"""),2959.0)</f>
        <v>2959</v>
      </c>
      <c r="M1092" s="186"/>
      <c r="N1092" s="186"/>
      <c r="O1092" s="186"/>
      <c r="P1092" s="186"/>
      <c r="Q1092" s="186"/>
      <c r="R1092" s="186"/>
      <c r="S1092" s="186"/>
    </row>
    <row r="1093">
      <c r="A1093" s="186" t="str">
        <f>IFERROR(__xludf.DUMMYFUNCTION("""COMPUTED_VALUE"""),"NORDICS")</f>
        <v>NORDICS</v>
      </c>
      <c r="B1093" s="186" t="str">
        <f>IFERROR(__xludf.DUMMYFUNCTION("""COMPUTED_VALUE"""),"W21")</f>
        <v>W21</v>
      </c>
      <c r="C1093" s="186">
        <f>IFERROR(__xludf.DUMMYFUNCTION("""COMPUTED_VALUE"""),605.0)</f>
        <v>605</v>
      </c>
      <c r="D1093" s="186" t="str">
        <f>IFERROR(__xludf.DUMMYFUNCTION("""COMPUTED_VALUE"""),"CON-00-149481-2")</f>
        <v>CON-00-149481-2</v>
      </c>
      <c r="E1093" s="186" t="str">
        <f>IFERROR(__xludf.DUMMYFUNCTION("""COMPUTED_VALUE"""),"Sour Cream &amp; Chive Chicken")</f>
        <v>Sour Cream &amp; Chive Chicken</v>
      </c>
      <c r="F1093" s="186" t="str">
        <f>IFERROR(__xludf.DUMMYFUNCTION("""COMPUTED_VALUE"""),"Kylling med syrnet fløde og purløg")</f>
        <v>Kylling med syrnet fløde og purløg</v>
      </c>
      <c r="G1093" s="186" t="str">
        <f>IFERROR(__xludf.DUMMYFUNCTION("""COMPUTED_VALUE"""),"FE0322O")</f>
        <v>FE0322O</v>
      </c>
      <c r="H1093" s="186">
        <f>IFERROR(__xludf.DUMMYFUNCTION("""COMPUTED_VALUE"""),565163.0)</f>
        <v>565163</v>
      </c>
      <c r="I1093" s="186" t="str">
        <f>IFERROR(__xludf.DUMMYFUNCTION("""COMPUTED_VALUE"""),"HF Kip bieslook aardappel pure")</f>
        <v>HF Kip bieslook aardappel pure</v>
      </c>
      <c r="J1093" s="189">
        <f>IFERROR(__xludf.DUMMYFUNCTION("""COMPUTED_VALUE"""),0.0)</f>
        <v>0</v>
      </c>
      <c r="K1093" s="189">
        <f>IFERROR(__xludf.DUMMYFUNCTION("""COMPUTED_VALUE"""),0.0)</f>
        <v>0</v>
      </c>
      <c r="L1093" s="189">
        <f>IFERROR(__xludf.DUMMYFUNCTION("""COMPUTED_VALUE"""),0.0)</f>
        <v>0</v>
      </c>
      <c r="M1093" s="186"/>
      <c r="N1093" s="186"/>
      <c r="O1093" s="186"/>
      <c r="P1093" s="186"/>
      <c r="Q1093" s="186"/>
      <c r="R1093" s="186"/>
      <c r="S1093" s="186"/>
    </row>
    <row r="1094">
      <c r="A1094" s="186" t="str">
        <f>IFERROR(__xludf.DUMMYFUNCTION("""COMPUTED_VALUE"""),"NORDICS")</f>
        <v>NORDICS</v>
      </c>
      <c r="B1094" s="186" t="str">
        <f>IFERROR(__xludf.DUMMYFUNCTION("""COMPUTED_VALUE"""),"W21")</f>
        <v>W21</v>
      </c>
      <c r="C1094" s="186">
        <f>IFERROR(__xludf.DUMMYFUNCTION("""COMPUTED_VALUE"""),606.0)</f>
        <v>606</v>
      </c>
      <c r="D1094" s="186" t="str">
        <f>IFERROR(__xludf.DUMMYFUNCTION("""COMPUTED_VALUE"""),"CON-00-147893-2")</f>
        <v>CON-00-147893-2</v>
      </c>
      <c r="E1094" s="186" t="str">
        <f>IFERROR(__xludf.DUMMYFUNCTION("""COMPUTED_VALUE"""),"Salmon in creamy gochugaru sauce")</f>
        <v>Salmon in creamy gochugaru sauce</v>
      </c>
      <c r="F1094" s="186" t="str">
        <f>IFERROR(__xludf.DUMMYFUNCTION("""COMPUTED_VALUE"""),"Laks i cremet gochugaru sauce")</f>
        <v>Laks i cremet gochugaru sauce</v>
      </c>
      <c r="G1094" s="186" t="str">
        <f>IFERROR(__xludf.DUMMYFUNCTION("""COMPUTED_VALUE"""),"FE4039C")</f>
        <v>FE4039C</v>
      </c>
      <c r="H1094" s="186">
        <f>IFERROR(__xludf.DUMMYFUNCTION("""COMPUTED_VALUE"""),565102.0)</f>
        <v>565102</v>
      </c>
      <c r="I1094" s="186" t="str">
        <f>IFERROR(__xludf.DUMMYFUNCTION("""COMPUTED_VALUE"""),"HF Zalm romige gochugaru sa")</f>
        <v>HF Zalm romige gochugaru sa</v>
      </c>
      <c r="J1094" s="189">
        <f>IFERROR(__xludf.DUMMYFUNCTION("""COMPUTED_VALUE"""),0.0)</f>
        <v>0</v>
      </c>
      <c r="K1094" s="189">
        <f>IFERROR(__xludf.DUMMYFUNCTION("""COMPUTED_VALUE"""),0.0)</f>
        <v>0</v>
      </c>
      <c r="L1094" s="189">
        <f>IFERROR(__xludf.DUMMYFUNCTION("""COMPUTED_VALUE"""),0.0)</f>
        <v>0</v>
      </c>
      <c r="M1094" s="186"/>
      <c r="N1094" s="186"/>
      <c r="O1094" s="186"/>
      <c r="P1094" s="186"/>
      <c r="Q1094" s="186"/>
      <c r="R1094" s="186"/>
      <c r="S1094" s="186"/>
    </row>
    <row r="1095">
      <c r="A1095" s="186" t="str">
        <f>IFERROR(__xludf.DUMMYFUNCTION("""COMPUTED_VALUE"""),"NORDICS")</f>
        <v>NORDICS</v>
      </c>
      <c r="B1095" s="186" t="str">
        <f>IFERROR(__xludf.DUMMYFUNCTION("""COMPUTED_VALUE"""),"W21")</f>
        <v>W21</v>
      </c>
      <c r="C1095" s="186">
        <f>IFERROR(__xludf.DUMMYFUNCTION("""COMPUTED_VALUE"""),607.0)</f>
        <v>607</v>
      </c>
      <c r="D1095" s="186" t="str">
        <f>IFERROR(__xludf.DUMMYFUNCTION("""COMPUTED_VALUE"""),"CON-00-150821-2")</f>
        <v>CON-00-150821-2</v>
      </c>
      <c r="E1095" s="186" t="str">
        <f>IFERROR(__xludf.DUMMYFUNCTION("""COMPUTED_VALUE"""),"Loaded Bacon Shredded Chicken")</f>
        <v>Loaded Bacon Shredded Chicken</v>
      </c>
      <c r="F1095" s="186" t="str">
        <f>IFERROR(__xludf.DUMMYFUNCTION("""COMPUTED_VALUE"""),"Pulled chicken med bacon")</f>
        <v>Pulled chicken med bacon</v>
      </c>
      <c r="G1095" s="186" t="str">
        <f>IFERROR(__xludf.DUMMYFUNCTION("""COMPUTED_VALUE"""),"FE0794D")</f>
        <v>FE0794D</v>
      </c>
      <c r="H1095" s="186">
        <f>IFERROR(__xludf.DUMMYFUNCTION("""COMPUTED_VALUE"""),565156.0)</f>
        <v>565156</v>
      </c>
      <c r="I1095" s="186" t="str">
        <f>IFERROR(__xludf.DUMMYFUNCTION("""COMPUTED_VALUE"""),"HF Loaded Bacon Chicken")</f>
        <v>HF Loaded Bacon Chicken</v>
      </c>
      <c r="J1095" s="189">
        <f>IFERROR(__xludf.DUMMYFUNCTION("""COMPUTED_VALUE"""),0.0)</f>
        <v>0</v>
      </c>
      <c r="K1095" s="189">
        <f>IFERROR(__xludf.DUMMYFUNCTION("""COMPUTED_VALUE"""),1435.0)</f>
        <v>1435</v>
      </c>
      <c r="L1095" s="189">
        <f>IFERROR(__xludf.DUMMYFUNCTION("""COMPUTED_VALUE"""),1514.0)</f>
        <v>1514</v>
      </c>
      <c r="M1095" s="186"/>
      <c r="N1095" s="186"/>
      <c r="O1095" s="186"/>
      <c r="P1095" s="186"/>
      <c r="Q1095" s="186"/>
      <c r="R1095" s="186"/>
      <c r="S1095" s="186"/>
    </row>
    <row r="1096">
      <c r="A1096" s="186" t="str">
        <f>IFERROR(__xludf.DUMMYFUNCTION("""COMPUTED_VALUE"""),"NORDICS")</f>
        <v>NORDICS</v>
      </c>
      <c r="B1096" s="186" t="str">
        <f>IFERROR(__xludf.DUMMYFUNCTION("""COMPUTED_VALUE"""),"W21")</f>
        <v>W21</v>
      </c>
      <c r="C1096" s="186">
        <f>IFERROR(__xludf.DUMMYFUNCTION("""COMPUTED_VALUE"""),608.0)</f>
        <v>608</v>
      </c>
      <c r="D1096" s="186" t="str">
        <f>IFERROR(__xludf.DUMMYFUNCTION("""COMPUTED_VALUE"""),"CON-00-147826-2")</f>
        <v>CON-00-147826-2</v>
      </c>
      <c r="E1096" s="186" t="str">
        <f>IFERROR(__xludf.DUMMYFUNCTION("""COMPUTED_VALUE"""),"Spicy chicken with jalapeño, lime and cheddar")</f>
        <v>Spicy chicken with jalapeño, lime and cheddar</v>
      </c>
      <c r="F1096" s="186" t="str">
        <f>IFERROR(__xludf.DUMMYFUNCTION("""COMPUTED_VALUE"""),"Spicy kylling med jalapeño, lime og cheddar")</f>
        <v>Spicy kylling med jalapeño, lime og cheddar</v>
      </c>
      <c r="G1096" s="186" t="str">
        <f>IFERROR(__xludf.DUMMYFUNCTION("""COMPUTED_VALUE"""),"FE0198E")</f>
        <v>FE0198E</v>
      </c>
      <c r="H1096" s="186">
        <f>IFERROR(__xludf.DUMMYFUNCTION("""COMPUTED_VALUE"""),565307.0)</f>
        <v>565307</v>
      </c>
      <c r="I1096" s="186" t="str">
        <f>IFERROR(__xludf.DUMMYFUNCTION("""COMPUTED_VALUE"""),"HF RW Pittige kip jalapeño")</f>
        <v>HF RW Pittige kip jalapeño</v>
      </c>
      <c r="J1096" s="189">
        <f>IFERROR(__xludf.DUMMYFUNCTION("""COMPUTED_VALUE"""),1105.0)</f>
        <v>1105</v>
      </c>
      <c r="K1096" s="189">
        <f>IFERROR(__xludf.DUMMYFUNCTION("""COMPUTED_VALUE"""),1116.0)</f>
        <v>1116</v>
      </c>
      <c r="L1096" s="189">
        <f>IFERROR(__xludf.DUMMYFUNCTION("""COMPUTED_VALUE"""),1199.0)</f>
        <v>1199</v>
      </c>
      <c r="M1096" s="186"/>
      <c r="N1096" s="186"/>
      <c r="O1096" s="186"/>
      <c r="P1096" s="186"/>
      <c r="Q1096" s="186"/>
      <c r="R1096" s="186"/>
      <c r="S1096" s="186"/>
    </row>
    <row r="1097">
      <c r="A1097" s="186" t="str">
        <f>IFERROR(__xludf.DUMMYFUNCTION("""COMPUTED_VALUE"""),"NORDICS")</f>
        <v>NORDICS</v>
      </c>
      <c r="B1097" s="186" t="str">
        <f>IFERROR(__xludf.DUMMYFUNCTION("""COMPUTED_VALUE"""),"W21")</f>
        <v>W21</v>
      </c>
      <c r="C1097" s="186">
        <f>IFERROR(__xludf.DUMMYFUNCTION("""COMPUTED_VALUE"""),609.0)</f>
        <v>609</v>
      </c>
      <c r="D1097" s="186"/>
      <c r="E1097" s="186"/>
      <c r="F1097" s="186"/>
      <c r="G1097" s="186" t="str">
        <f>IFERROR(__xludf.DUMMYFUNCTION("""COMPUTED_VALUE"""),"FV0090A")</f>
        <v>FV0090A</v>
      </c>
      <c r="H1097" s="186"/>
      <c r="I1097" s="186"/>
      <c r="J1097" s="189">
        <f>IFERROR(__xludf.DUMMYFUNCTION("""COMPUTED_VALUE"""),0.0)</f>
        <v>0</v>
      </c>
      <c r="K1097" s="189">
        <f>IFERROR(__xludf.DUMMYFUNCTION("""COMPUTED_VALUE"""),0.0)</f>
        <v>0</v>
      </c>
      <c r="L1097" s="189">
        <f>IFERROR(__xludf.DUMMYFUNCTION("""COMPUTED_VALUE"""),0.0)</f>
        <v>0</v>
      </c>
      <c r="M1097" s="186"/>
      <c r="N1097" s="186"/>
      <c r="O1097" s="186"/>
      <c r="P1097" s="186"/>
      <c r="Q1097" s="186"/>
      <c r="R1097" s="186"/>
      <c r="S1097" s="186"/>
    </row>
    <row r="1098">
      <c r="A1098" s="186" t="str">
        <f>IFERROR(__xludf.DUMMYFUNCTION("""COMPUTED_VALUE"""),"NORDICS")</f>
        <v>NORDICS</v>
      </c>
      <c r="B1098" s="186" t="str">
        <f>IFERROR(__xludf.DUMMYFUNCTION("""COMPUTED_VALUE"""),"W21")</f>
        <v>W21</v>
      </c>
      <c r="C1098" s="186">
        <f>IFERROR(__xludf.DUMMYFUNCTION("""COMPUTED_VALUE"""),610.0)</f>
        <v>610</v>
      </c>
      <c r="D1098" s="186" t="str">
        <f>IFERROR(__xludf.DUMMYFUNCTION("""COMPUTED_VALUE"""),"CON-00-147816-2")</f>
        <v>CON-00-147816-2</v>
      </c>
      <c r="E1098" s="186" t="str">
        <f>IFERROR(__xludf.DUMMYFUNCTION("""COMPUTED_VALUE"""),"Creamy tomato risotto")</f>
        <v>Creamy tomato risotto</v>
      </c>
      <c r="F1098" s="186" t="str">
        <f>IFERROR(__xludf.DUMMYFUNCTION("""COMPUTED_VALUE"""),"Cremet tomatrisotto")</f>
        <v>Cremet tomatrisotto</v>
      </c>
      <c r="G1098" s="186" t="str">
        <f>IFERROR(__xludf.DUMMYFUNCTION("""COMPUTED_VALUE"""),"FE0031C")</f>
        <v>FE0031C</v>
      </c>
      <c r="H1098" s="186">
        <f>IFERROR(__xludf.DUMMYFUNCTION("""COMPUTED_VALUE"""),565244.0)</f>
        <v>565244</v>
      </c>
      <c r="I1098" s="186" t="str">
        <f>IFERROR(__xludf.DUMMYFUNCTION("""COMPUTED_VALUE"""),"IO HF Romige tomatenrisotto V2")</f>
        <v>IO HF Romige tomatenrisotto V2</v>
      </c>
      <c r="J1098" s="189">
        <f>IFERROR(__xludf.DUMMYFUNCTION("""COMPUTED_VALUE"""),264.0)</f>
        <v>264</v>
      </c>
      <c r="K1098" s="189">
        <f>IFERROR(__xludf.DUMMYFUNCTION("""COMPUTED_VALUE"""),264.0)</f>
        <v>264</v>
      </c>
      <c r="L1098" s="189">
        <f>IFERROR(__xludf.DUMMYFUNCTION("""COMPUTED_VALUE"""),299.0)</f>
        <v>299</v>
      </c>
      <c r="M1098" s="186"/>
      <c r="N1098" s="186"/>
      <c r="O1098" s="186"/>
      <c r="P1098" s="186"/>
      <c r="Q1098" s="186"/>
      <c r="R1098" s="186"/>
      <c r="S1098" s="186"/>
    </row>
    <row r="1099">
      <c r="A1099" s="186" t="str">
        <f>IFERROR(__xludf.DUMMYFUNCTION("""COMPUTED_VALUE"""),"NORDICS")</f>
        <v>NORDICS</v>
      </c>
      <c r="B1099" s="186" t="str">
        <f>IFERROR(__xludf.DUMMYFUNCTION("""COMPUTED_VALUE"""),"W21")</f>
        <v>W21</v>
      </c>
      <c r="C1099" s="186">
        <f>IFERROR(__xludf.DUMMYFUNCTION("""COMPUTED_VALUE"""),611.0)</f>
        <v>611</v>
      </c>
      <c r="D1099" s="186" t="str">
        <f>IFERROR(__xludf.DUMMYFUNCTION("""COMPUTED_VALUE"""),"CON-00-147864-2")</f>
        <v>CON-00-147864-2</v>
      </c>
      <c r="E1099" s="186" t="str">
        <f>IFERROR(__xludf.DUMMYFUNCTION("""COMPUTED_VALUE"""),"Pork tenderloin in spicy ancho chili sauce")</f>
        <v>Pork tenderloin in spicy ancho chili sauce</v>
      </c>
      <c r="F1099" s="186" t="str">
        <f>IFERROR(__xludf.DUMMYFUNCTION("""COMPUTED_VALUE"""),"Svinemørbrad i ancho- og chilisauce")</f>
        <v>Svinemørbrad i ancho- og chilisauce</v>
      </c>
      <c r="G1099" s="186" t="str">
        <f>IFERROR(__xludf.DUMMYFUNCTION("""COMPUTED_VALUE"""),"FE1072B")</f>
        <v>FE1072B</v>
      </c>
      <c r="H1099" s="186">
        <f>IFERROR(__xludf.DUMMYFUNCTION("""COMPUTED_VALUE"""),565095.0)</f>
        <v>565095</v>
      </c>
      <c r="I1099" s="186" t="str">
        <f>IFERROR(__xludf.DUMMYFUNCTION("""COMPUTED_VALUE"""),"HF V.haas pittige ancho chili")</f>
        <v>HF V.haas pittige ancho chili</v>
      </c>
      <c r="J1099" s="189">
        <f>IFERROR(__xludf.DUMMYFUNCTION("""COMPUTED_VALUE"""),439.0)</f>
        <v>439</v>
      </c>
      <c r="K1099" s="189">
        <f>IFERROR(__xludf.DUMMYFUNCTION("""COMPUTED_VALUE"""),407.0)</f>
        <v>407</v>
      </c>
      <c r="L1099" s="189">
        <f>IFERROR(__xludf.DUMMYFUNCTION("""COMPUTED_VALUE"""),418.0)</f>
        <v>418</v>
      </c>
      <c r="M1099" s="186"/>
      <c r="N1099" s="186"/>
      <c r="O1099" s="186"/>
      <c r="P1099" s="186"/>
      <c r="Q1099" s="186"/>
      <c r="R1099" s="186"/>
      <c r="S1099" s="186"/>
    </row>
    <row r="1100">
      <c r="A1100" s="186" t="str">
        <f>IFERROR(__xludf.DUMMYFUNCTION("""COMPUTED_VALUE"""),"NORDICS")</f>
        <v>NORDICS</v>
      </c>
      <c r="B1100" s="186" t="str">
        <f>IFERROR(__xludf.DUMMYFUNCTION("""COMPUTED_VALUE"""),"W21")</f>
        <v>W21</v>
      </c>
      <c r="C1100" s="186">
        <f>IFERROR(__xludf.DUMMYFUNCTION("""COMPUTED_VALUE"""),612.0)</f>
        <v>612</v>
      </c>
      <c r="D1100" s="186" t="str">
        <f>IFERROR(__xludf.DUMMYFUNCTION("""COMPUTED_VALUE"""),"CON-00-155004-2")</f>
        <v>CON-00-155004-2</v>
      </c>
      <c r="E1100" s="186" t="str">
        <f>IFERROR(__xludf.DUMMYFUNCTION("""COMPUTED_VALUE"""),"Tzatziki Salmon &amp; Lemon Rice")</f>
        <v>Tzatziki Salmon &amp; Lemon Rice</v>
      </c>
      <c r="F1100" s="186" t="str">
        <f>IFERROR(__xludf.DUMMYFUNCTION("""COMPUTED_VALUE"""),"Laks med tzatziki og citronris")</f>
        <v>Laks med tzatziki og citronris</v>
      </c>
      <c r="G1100" s="186" t="str">
        <f>IFERROR(__xludf.DUMMYFUNCTION("""COMPUTED_VALUE"""),"FE1439A")</f>
        <v>FE1439A</v>
      </c>
      <c r="H1100" s="186">
        <f>IFERROR(__xludf.DUMMYFUNCTION("""COMPUTED_VALUE"""),565236.0)</f>
        <v>565236</v>
      </c>
      <c r="I1100" s="186" t="str">
        <f>IFERROR(__xludf.DUMMYFUNCTION("""COMPUTED_VALUE"""),"HF Zalm met citroen rijst")</f>
        <v>HF Zalm met citroen rijst</v>
      </c>
      <c r="J1100" s="189">
        <f>IFERROR(__xludf.DUMMYFUNCTION("""COMPUTED_VALUE"""),0.0)</f>
        <v>0</v>
      </c>
      <c r="K1100" s="189">
        <f>IFERROR(__xludf.DUMMYFUNCTION("""COMPUTED_VALUE"""),0.0)</f>
        <v>0</v>
      </c>
      <c r="L1100" s="189">
        <f>IFERROR(__xludf.DUMMYFUNCTION("""COMPUTED_VALUE"""),0.0)</f>
        <v>0</v>
      </c>
      <c r="M1100" s="186"/>
      <c r="N1100" s="186"/>
      <c r="O1100" s="186"/>
      <c r="P1100" s="186"/>
      <c r="Q1100" s="186"/>
      <c r="R1100" s="186"/>
      <c r="S1100" s="186"/>
    </row>
    <row r="1101">
      <c r="A1101" s="186" t="str">
        <f>IFERROR(__xludf.DUMMYFUNCTION("""COMPUTED_VALUE"""),"NORDICS")</f>
        <v>NORDICS</v>
      </c>
      <c r="B1101" s="186" t="str">
        <f>IFERROR(__xludf.DUMMYFUNCTION("""COMPUTED_VALUE"""),"W21")</f>
        <v>W21</v>
      </c>
      <c r="C1101" s="186">
        <f>IFERROR(__xludf.DUMMYFUNCTION("""COMPUTED_VALUE"""),613.0)</f>
        <v>613</v>
      </c>
      <c r="D1101" s="186" t="str">
        <f>IFERROR(__xludf.DUMMYFUNCTION("""COMPUTED_VALUE"""),"CON-00-147836-2")</f>
        <v>CON-00-147836-2</v>
      </c>
      <c r="E1101" s="186" t="str">
        <f>IFERROR(__xludf.DUMMYFUNCTION("""COMPUTED_VALUE"""),"Pulled chicken with cheddar and bacon")</f>
        <v>Pulled chicken with cheddar and bacon</v>
      </c>
      <c r="F1101" s="186" t="str">
        <f>IFERROR(__xludf.DUMMYFUNCTION("""COMPUTED_VALUE"""),"Pulled chicken med cheddar og bacon")</f>
        <v>Pulled chicken med cheddar og bacon</v>
      </c>
      <c r="G1101" s="186" t="str">
        <f>IFERROR(__xludf.DUMMYFUNCTION("""COMPUTED_VALUE"""),"FE0401F")</f>
        <v>FE0401F</v>
      </c>
      <c r="H1101" s="186">
        <f>IFERROR(__xludf.DUMMYFUNCTION("""COMPUTED_VALUE"""),565151.0)</f>
        <v>565151</v>
      </c>
      <c r="I1101" s="186" t="str">
        <f>IFERROR(__xludf.DUMMYFUNCTION("""COMPUTED_VALUE"""),"HF RW Pulled chicken ched/baco")</f>
        <v>HF RW Pulled chicken ched/baco</v>
      </c>
      <c r="J1101" s="189">
        <f>IFERROR(__xludf.DUMMYFUNCTION("""COMPUTED_VALUE"""),0.0)</f>
        <v>0</v>
      </c>
      <c r="K1101" s="189">
        <f>IFERROR(__xludf.DUMMYFUNCTION("""COMPUTED_VALUE"""),1815.0)</f>
        <v>1815</v>
      </c>
      <c r="L1101" s="189">
        <f>IFERROR(__xludf.DUMMYFUNCTION("""COMPUTED_VALUE"""),1157.0)</f>
        <v>1157</v>
      </c>
      <c r="M1101" s="186"/>
      <c r="N1101" s="186"/>
      <c r="O1101" s="186"/>
      <c r="P1101" s="186"/>
      <c r="Q1101" s="186"/>
      <c r="R1101" s="186"/>
      <c r="S1101" s="186"/>
    </row>
    <row r="1102">
      <c r="A1102" s="186" t="str">
        <f>IFERROR(__xludf.DUMMYFUNCTION("""COMPUTED_VALUE"""),"NORDICS")</f>
        <v>NORDICS</v>
      </c>
      <c r="B1102" s="186" t="str">
        <f>IFERROR(__xludf.DUMMYFUNCTION("""COMPUTED_VALUE"""),"W21")</f>
        <v>W21</v>
      </c>
      <c r="C1102" s="186">
        <f>IFERROR(__xludf.DUMMYFUNCTION("""COMPUTED_VALUE"""),614.0)</f>
        <v>614</v>
      </c>
      <c r="D1102" s="186" t="str">
        <f>IFERROR(__xludf.DUMMYFUNCTION("""COMPUTED_VALUE"""),"CON-00-168316-2")</f>
        <v>CON-00-168316-2</v>
      </c>
      <c r="E1102" s="186" t="str">
        <f>IFERROR(__xludf.DUMMYFUNCTION("""COMPUTED_VALUE"""),"Tangy Miso Chicken Bowl")</f>
        <v>Tangy Miso Chicken Bowl</v>
      </c>
      <c r="F1102" s="186" t="str">
        <f>IFERROR(__xludf.DUMMYFUNCTION("""COMPUTED_VALUE"""),"Miso-kyllingebowl")</f>
        <v>Miso-kyllingebowl</v>
      </c>
      <c r="G1102" s="186" t="str">
        <f>IFERROR(__xludf.DUMMYFUNCTION("""COMPUTED_VALUE"""),"FE1790A")</f>
        <v>FE1790A</v>
      </c>
      <c r="H1102" s="186">
        <f>IFERROR(__xludf.DUMMYFUNCTION("""COMPUTED_VALUE"""),565267.0)</f>
        <v>565267</v>
      </c>
      <c r="I1102" s="186" t="str">
        <f>IFERROR(__xludf.DUMMYFUNCTION("""COMPUTED_VALUE"""),"HF Tangy chicken miso bowl")</f>
        <v>HF Tangy chicken miso bowl</v>
      </c>
      <c r="J1102" s="189">
        <f>IFERROR(__xludf.DUMMYFUNCTION("""COMPUTED_VALUE"""),630.0)</f>
        <v>630</v>
      </c>
      <c r="K1102" s="189">
        <f>IFERROR(__xludf.DUMMYFUNCTION("""COMPUTED_VALUE"""),632.0)</f>
        <v>632</v>
      </c>
      <c r="L1102" s="189">
        <f>IFERROR(__xludf.DUMMYFUNCTION("""COMPUTED_VALUE"""),666.0)</f>
        <v>666</v>
      </c>
      <c r="M1102" s="186"/>
      <c r="N1102" s="186"/>
      <c r="O1102" s="186"/>
      <c r="P1102" s="186"/>
      <c r="Q1102" s="186"/>
      <c r="R1102" s="186"/>
      <c r="S1102" s="186"/>
    </row>
    <row r="1103">
      <c r="A1103" s="186" t="str">
        <f>IFERROR(__xludf.DUMMYFUNCTION("""COMPUTED_VALUE"""),"NORDICS")</f>
        <v>NORDICS</v>
      </c>
      <c r="B1103" s="186" t="str">
        <f>IFERROR(__xludf.DUMMYFUNCTION("""COMPUTED_VALUE"""),"W21")</f>
        <v>W21</v>
      </c>
      <c r="C1103" s="186">
        <f>IFERROR(__xludf.DUMMYFUNCTION("""COMPUTED_VALUE"""),615.0)</f>
        <v>615</v>
      </c>
      <c r="D1103" s="186"/>
      <c r="E1103" s="186"/>
      <c r="F1103" s="186"/>
      <c r="G1103" s="186" t="str">
        <f>IFERROR(__xludf.DUMMYFUNCTION("""COMPUTED_VALUE"""),"FV0601A")</f>
        <v>FV0601A</v>
      </c>
      <c r="H1103" s="186"/>
      <c r="I1103" s="186"/>
      <c r="J1103" s="189">
        <f>IFERROR(__xludf.DUMMYFUNCTION("""COMPUTED_VALUE"""),0.0)</f>
        <v>0</v>
      </c>
      <c r="K1103" s="189">
        <f>IFERROR(__xludf.DUMMYFUNCTION("""COMPUTED_VALUE"""),0.0)</f>
        <v>0</v>
      </c>
      <c r="L1103" s="189">
        <f>IFERROR(__xludf.DUMMYFUNCTION("""COMPUTED_VALUE"""),0.0)</f>
        <v>0</v>
      </c>
      <c r="M1103" s="186"/>
      <c r="N1103" s="186"/>
      <c r="O1103" s="186"/>
      <c r="P1103" s="186"/>
      <c r="Q1103" s="186"/>
      <c r="R1103" s="186"/>
      <c r="S1103" s="186"/>
    </row>
    <row r="1104">
      <c r="A1104" s="186" t="str">
        <f>IFERROR(__xludf.DUMMYFUNCTION("""COMPUTED_VALUE"""),"NORDICS")</f>
        <v>NORDICS</v>
      </c>
      <c r="B1104" s="186" t="str">
        <f>IFERROR(__xludf.DUMMYFUNCTION("""COMPUTED_VALUE"""),"W21")</f>
        <v>W21</v>
      </c>
      <c r="C1104" s="186">
        <f>IFERROR(__xludf.DUMMYFUNCTION("""COMPUTED_VALUE"""),616.0)</f>
        <v>616</v>
      </c>
      <c r="D1104" s="186" t="str">
        <f>IFERROR(__xludf.DUMMYFUNCTION("""COMPUTED_VALUE"""),"CON-00-168315-2")</f>
        <v>CON-00-168315-2</v>
      </c>
      <c r="E1104" s="186" t="str">
        <f>IFERROR(__xludf.DUMMYFUNCTION("""COMPUTED_VALUE"""),"Grilled Pork Tenderloin &amp; Butternut Mash")</f>
        <v>Grilled Pork Tenderloin &amp; Butternut Mash</v>
      </c>
      <c r="F1104" s="186" t="str">
        <f>IFERROR(__xludf.DUMMYFUNCTION("""COMPUTED_VALUE"""),"Grillet svinemørbrad med butternutmos")</f>
        <v>Grillet svinemørbrad med butternutmos</v>
      </c>
      <c r="G1104" s="186"/>
      <c r="H1104" s="186">
        <f>IFERROR(__xludf.DUMMYFUNCTION("""COMPUTED_VALUE"""),565285.0)</f>
        <v>565285</v>
      </c>
      <c r="I1104" s="186" t="str">
        <f>IFERROR(__xludf.DUMMYFUNCTION("""COMPUTED_VALUE"""),"HF Varkenshaas pompoen puree")</f>
        <v>HF Varkenshaas pompoen puree</v>
      </c>
      <c r="J1104" s="189">
        <f>IFERROR(__xludf.DUMMYFUNCTION("""COMPUTED_VALUE"""),534.0)</f>
        <v>534</v>
      </c>
      <c r="K1104" s="189">
        <f>IFERROR(__xludf.DUMMYFUNCTION("""COMPUTED_VALUE"""),465.0)</f>
        <v>465</v>
      </c>
      <c r="L1104" s="189">
        <f>IFERROR(__xludf.DUMMYFUNCTION("""COMPUTED_VALUE"""),486.0)</f>
        <v>486</v>
      </c>
      <c r="M1104" s="186"/>
      <c r="N1104" s="186"/>
      <c r="O1104" s="186"/>
      <c r="P1104" s="186"/>
      <c r="Q1104" s="186"/>
      <c r="R1104" s="186"/>
      <c r="S1104" s="186"/>
    </row>
    <row r="1105">
      <c r="A1105" s="186" t="str">
        <f>IFERROR(__xludf.DUMMYFUNCTION("""COMPUTED_VALUE"""),"NORDICS")</f>
        <v>NORDICS</v>
      </c>
      <c r="B1105" s="186" t="str">
        <f>IFERROR(__xludf.DUMMYFUNCTION("""COMPUTED_VALUE"""),"W21")</f>
        <v>W21</v>
      </c>
      <c r="C1105" s="186">
        <f>IFERROR(__xludf.DUMMYFUNCTION("""COMPUTED_VALUE"""),617.0)</f>
        <v>617</v>
      </c>
      <c r="D1105" s="186" t="str">
        <f>IFERROR(__xludf.DUMMYFUNCTION("""COMPUTED_VALUE"""),"CON-00-147824-2")</f>
        <v>CON-00-147824-2</v>
      </c>
      <c r="E1105" s="186" t="str">
        <f>IFERROR(__xludf.DUMMYFUNCTION("""COMPUTED_VALUE"""),"Pork tenderloin in creamy garlic-mustard sauce")</f>
        <v>Pork tenderloin in creamy garlic-mustard sauce</v>
      </c>
      <c r="F1105" s="186" t="str">
        <f>IFERROR(__xludf.DUMMYFUNCTION("""COMPUTED_VALUE"""),"Svinemørbrad i cremet hvidløgs- og sennepssauce")</f>
        <v>Svinemørbrad i cremet hvidløgs- og sennepssauce</v>
      </c>
      <c r="G1105" s="186" t="str">
        <f>IFERROR(__xludf.DUMMYFUNCTION("""COMPUTED_VALUE"""),"FE0169I")</f>
        <v>FE0169I</v>
      </c>
      <c r="H1105" s="186">
        <f>IFERROR(__xludf.DUMMYFUNCTION("""COMPUTED_VALUE"""),565143.0)</f>
        <v>565143</v>
      </c>
      <c r="I1105" s="186" t="str">
        <f>IFERROR(__xludf.DUMMYFUNCTION("""COMPUTED_VALUE"""),"HF RW V.haas met mosterd saus")</f>
        <v>HF RW V.haas met mosterd saus</v>
      </c>
      <c r="J1105" s="189">
        <f>IFERROR(__xludf.DUMMYFUNCTION("""COMPUTED_VALUE"""),932.0)</f>
        <v>932</v>
      </c>
      <c r="K1105" s="189">
        <f>IFERROR(__xludf.DUMMYFUNCTION("""COMPUTED_VALUE"""),954.0)</f>
        <v>954</v>
      </c>
      <c r="L1105" s="189">
        <f>IFERROR(__xludf.DUMMYFUNCTION("""COMPUTED_VALUE"""),1253.0)</f>
        <v>1253</v>
      </c>
      <c r="M1105" s="186"/>
      <c r="N1105" s="186"/>
      <c r="O1105" s="186"/>
      <c r="P1105" s="186"/>
      <c r="Q1105" s="186"/>
      <c r="R1105" s="186"/>
      <c r="S1105" s="186"/>
    </row>
    <row r="1106">
      <c r="A1106" s="186" t="str">
        <f>IFERROR(__xludf.DUMMYFUNCTION("""COMPUTED_VALUE"""),"NORDICS")</f>
        <v>NORDICS</v>
      </c>
      <c r="B1106" s="186" t="str">
        <f>IFERROR(__xludf.DUMMYFUNCTION("""COMPUTED_VALUE"""),"W21")</f>
        <v>W21</v>
      </c>
      <c r="C1106" s="186">
        <f>IFERROR(__xludf.DUMMYFUNCTION("""COMPUTED_VALUE"""),618.0)</f>
        <v>618</v>
      </c>
      <c r="D1106" s="186" t="str">
        <f>IFERROR(__xludf.DUMMYFUNCTION("""COMPUTED_VALUE"""),"CON-00-147861-2")</f>
        <v>CON-00-147861-2</v>
      </c>
      <c r="E1106" s="186" t="str">
        <f>IFERROR(__xludf.DUMMYFUNCTION("""COMPUTED_VALUE"""),"Pork tenderloin with apple-mustard sauce")</f>
        <v>Pork tenderloin with apple-mustard sauce</v>
      </c>
      <c r="F1106" s="186" t="str">
        <f>IFERROR(__xludf.DUMMYFUNCTION("""COMPUTED_VALUE"""),"Svinemørbrad med æble-sennepssauce ")</f>
        <v>Svinemørbrad med æble-sennepssauce </v>
      </c>
      <c r="G1106" s="186" t="str">
        <f>IFERROR(__xludf.DUMMYFUNCTION("""COMPUTED_VALUE"""),"FE0890C")</f>
        <v>FE0890C</v>
      </c>
      <c r="H1106" s="186">
        <f>IFERROR(__xludf.DUMMYFUNCTION("""COMPUTED_VALUE"""),565304.0)</f>
        <v>565304</v>
      </c>
      <c r="I1106" s="186" t="str">
        <f>IFERROR(__xludf.DUMMYFUNCTION("""COMPUTED_VALUE"""),"HF RW Varkenshaas appel moster")</f>
        <v>HF RW Varkenshaas appel moster</v>
      </c>
      <c r="J1106" s="189">
        <f>IFERROR(__xludf.DUMMYFUNCTION("""COMPUTED_VALUE"""),603.0)</f>
        <v>603</v>
      </c>
      <c r="K1106" s="189">
        <f>IFERROR(__xludf.DUMMYFUNCTION("""COMPUTED_VALUE"""),616.0)</f>
        <v>616</v>
      </c>
      <c r="L1106" s="189">
        <f>IFERROR(__xludf.DUMMYFUNCTION("""COMPUTED_VALUE"""),694.0)</f>
        <v>694</v>
      </c>
      <c r="M1106" s="186"/>
      <c r="N1106" s="186"/>
      <c r="O1106" s="186"/>
      <c r="P1106" s="186"/>
      <c r="Q1106" s="186"/>
      <c r="R1106" s="186"/>
      <c r="S1106" s="186"/>
    </row>
    <row r="1107">
      <c r="A1107" s="186" t="str">
        <f>IFERROR(__xludf.DUMMYFUNCTION("""COMPUTED_VALUE"""),"NORDICS")</f>
        <v>NORDICS</v>
      </c>
      <c r="B1107" s="186" t="str">
        <f>IFERROR(__xludf.DUMMYFUNCTION("""COMPUTED_VALUE"""),"W21")</f>
        <v>W21</v>
      </c>
      <c r="C1107" s="186">
        <f>IFERROR(__xludf.DUMMYFUNCTION("""COMPUTED_VALUE"""),619.0)</f>
        <v>619</v>
      </c>
      <c r="D1107" s="186"/>
      <c r="E1107" s="186"/>
      <c r="F1107" s="186"/>
      <c r="G1107" s="186" t="str">
        <f>IFERROR(__xludf.DUMMYFUNCTION("""COMPUTED_VALUE"""),"FV1646A")</f>
        <v>FV1646A</v>
      </c>
      <c r="H1107" s="186"/>
      <c r="I1107" s="186"/>
      <c r="J1107" s="189">
        <f>IFERROR(__xludf.DUMMYFUNCTION("""COMPUTED_VALUE"""),0.0)</f>
        <v>0</v>
      </c>
      <c r="K1107" s="189">
        <f>IFERROR(__xludf.DUMMYFUNCTION("""COMPUTED_VALUE"""),0.0)</f>
        <v>0</v>
      </c>
      <c r="L1107" s="189">
        <f>IFERROR(__xludf.DUMMYFUNCTION("""COMPUTED_VALUE"""),0.0)</f>
        <v>0</v>
      </c>
      <c r="M1107" s="186"/>
      <c r="N1107" s="186"/>
      <c r="O1107" s="186"/>
      <c r="P1107" s="186"/>
      <c r="Q1107" s="186"/>
      <c r="R1107" s="186"/>
      <c r="S1107" s="186"/>
    </row>
    <row r="1108">
      <c r="A1108" s="186" t="str">
        <f>IFERROR(__xludf.DUMMYFUNCTION("""COMPUTED_VALUE"""),"NORDICS")</f>
        <v>NORDICS</v>
      </c>
      <c r="B1108" s="186" t="str">
        <f>IFERROR(__xludf.DUMMYFUNCTION("""COMPUTED_VALUE"""),"W21")</f>
        <v>W21</v>
      </c>
      <c r="C1108" s="186">
        <f>IFERROR(__xludf.DUMMYFUNCTION("""COMPUTED_VALUE"""),620.0)</f>
        <v>620</v>
      </c>
      <c r="D1108" s="186"/>
      <c r="E1108" s="186"/>
      <c r="F1108" s="186"/>
      <c r="G1108" s="186" t="str">
        <f>IFERROR(__xludf.DUMMYFUNCTION("""COMPUTED_VALUE"""),"FV0232A")</f>
        <v>FV0232A</v>
      </c>
      <c r="H1108" s="186"/>
      <c r="I1108" s="186"/>
      <c r="J1108" s="189">
        <f>IFERROR(__xludf.DUMMYFUNCTION("""COMPUTED_VALUE"""),0.0)</f>
        <v>0</v>
      </c>
      <c r="K1108" s="189">
        <f>IFERROR(__xludf.DUMMYFUNCTION("""COMPUTED_VALUE"""),0.0)</f>
        <v>0</v>
      </c>
      <c r="L1108" s="189">
        <f>IFERROR(__xludf.DUMMYFUNCTION("""COMPUTED_VALUE"""),0.0)</f>
        <v>0</v>
      </c>
      <c r="M1108" s="186"/>
      <c r="N1108" s="186"/>
      <c r="O1108" s="186"/>
      <c r="P1108" s="186"/>
      <c r="Q1108" s="186"/>
      <c r="R1108" s="186"/>
      <c r="S1108" s="186"/>
    </row>
    <row r="1109">
      <c r="A1109" s="186" t="str">
        <f>IFERROR(__xludf.DUMMYFUNCTION("""COMPUTED_VALUE"""),"NORDICS")</f>
        <v>NORDICS</v>
      </c>
      <c r="B1109" s="186" t="str">
        <f>IFERROR(__xludf.DUMMYFUNCTION("""COMPUTED_VALUE"""),"W21")</f>
        <v>W21</v>
      </c>
      <c r="C1109" s="186">
        <f>IFERROR(__xludf.DUMMYFUNCTION("""COMPUTED_VALUE"""),621.0)</f>
        <v>621</v>
      </c>
      <c r="D1109" s="186"/>
      <c r="E1109" s="186" t="str">
        <f>IFERROR(__xludf.DUMMYFUNCTION("""COMPUTED_VALUE"""),"Pulled Jerk Chicken &amp; Rice")</f>
        <v>Pulled Jerk Chicken &amp; Rice</v>
      </c>
      <c r="F1109" s="186" t="str">
        <f>IFERROR(__xludf.DUMMYFUNCTION("""COMPUTED_VALUE"""),"Pulled jerk chicken med ris")</f>
        <v>Pulled jerk chicken med ris</v>
      </c>
      <c r="G1109" s="186" t="str">
        <f>IFERROR(__xludf.DUMMYFUNCTION("""COMPUTED_VALUE"""),"FE4071A")</f>
        <v>FE4071A</v>
      </c>
      <c r="H1109" s="186">
        <f>IFERROR(__xludf.DUMMYFUNCTION("""COMPUTED_VALUE"""),565219.0)</f>
        <v>565219</v>
      </c>
      <c r="I1109" s="186" t="str">
        <f>IFERROR(__xludf.DUMMYFUNCTION("""COMPUTED_VALUE"""),"HF Jerk chicken en rijst")</f>
        <v>HF Jerk chicken en rijst</v>
      </c>
      <c r="J1109" s="189">
        <f>IFERROR(__xludf.DUMMYFUNCTION("""COMPUTED_VALUE"""),831.0)</f>
        <v>831</v>
      </c>
      <c r="K1109" s="189">
        <f>IFERROR(__xludf.DUMMYFUNCTION("""COMPUTED_VALUE"""),774.0)</f>
        <v>774</v>
      </c>
      <c r="L1109" s="189">
        <f>IFERROR(__xludf.DUMMYFUNCTION("""COMPUTED_VALUE"""),807.0)</f>
        <v>807</v>
      </c>
      <c r="M1109" s="186"/>
      <c r="N1109" s="186"/>
      <c r="O1109" s="186"/>
      <c r="P1109" s="186"/>
      <c r="Q1109" s="186"/>
      <c r="R1109" s="186"/>
      <c r="S1109" s="186"/>
    </row>
    <row r="1110">
      <c r="A1110" s="186" t="str">
        <f>IFERROR(__xludf.DUMMYFUNCTION("""COMPUTED_VALUE"""),"NORDICS")</f>
        <v>NORDICS</v>
      </c>
      <c r="B1110" s="186" t="str">
        <f>IFERROR(__xludf.DUMMYFUNCTION("""COMPUTED_VALUE"""),"W21")</f>
        <v>W21</v>
      </c>
      <c r="C1110" s="186">
        <f>IFERROR(__xludf.DUMMYFUNCTION("""COMPUTED_VALUE"""),706.0)</f>
        <v>706</v>
      </c>
      <c r="D1110" s="186" t="str">
        <f>IFERROR(__xludf.DUMMYFUNCTION("""COMPUTED_VALUE"""),"PTN-00-148223-2")</f>
        <v>PTN-00-148223-2</v>
      </c>
      <c r="E1110" s="186" t="str">
        <f>IFERROR(__xludf.DUMMYFUNCTION("""COMPUTED_VALUE"""),"Garlic Herb Grilled Chicken")</f>
        <v>Garlic Herb Grilled Chicken</v>
      </c>
      <c r="F1110" s="186" t="str">
        <f>IFERROR(__xludf.DUMMYFUNCTION("""COMPUTED_VALUE"""),"Grillet kylling med hvidlød og urter")</f>
        <v>Grillet kylling med hvidlød og urter</v>
      </c>
      <c r="G1110" s="186" t="str">
        <f>IFERROR(__xludf.DUMMYFUNCTION("""COMPUTED_VALUE"""),"FEA006A")</f>
        <v>FEA006A</v>
      </c>
      <c r="H1110" s="186">
        <f>IFERROR(__xludf.DUMMYFUNCTION("""COMPUTED_VALUE"""),565119.0)</f>
        <v>565119</v>
      </c>
      <c r="I1110" s="186"/>
      <c r="J1110" s="189">
        <f>IFERROR(__xludf.DUMMYFUNCTION("""COMPUTED_VALUE"""),56.0)</f>
        <v>56</v>
      </c>
      <c r="K1110" s="189">
        <f>IFERROR(__xludf.DUMMYFUNCTION("""COMPUTED_VALUE"""),56.0)</f>
        <v>56</v>
      </c>
      <c r="L1110" s="189">
        <f>IFERROR(__xludf.DUMMYFUNCTION("""COMPUTED_VALUE"""),36.0)</f>
        <v>36</v>
      </c>
      <c r="M1110" s="186"/>
      <c r="N1110" s="186"/>
      <c r="O1110" s="186"/>
      <c r="P1110" s="186"/>
      <c r="Q1110" s="186"/>
      <c r="R1110" s="186"/>
      <c r="S1110" s="186"/>
    </row>
    <row r="1111">
      <c r="A1111" s="186" t="str">
        <f>IFERROR(__xludf.DUMMYFUNCTION("""COMPUTED_VALUE"""),"NORDICS")</f>
        <v>NORDICS</v>
      </c>
      <c r="B1111" s="186" t="str">
        <f>IFERROR(__xludf.DUMMYFUNCTION("""COMPUTED_VALUE"""),"W21")</f>
        <v>W21</v>
      </c>
      <c r="C1111" s="186"/>
      <c r="D1111" s="186"/>
      <c r="E1111" s="186"/>
      <c r="F1111" s="186"/>
      <c r="G1111" s="186"/>
      <c r="H1111" s="186"/>
      <c r="I1111" s="186"/>
      <c r="J1111" s="189">
        <f>IFERROR(__xludf.DUMMYFUNCTION("""COMPUTED_VALUE"""),10832.0)</f>
        <v>10832</v>
      </c>
      <c r="K1111" s="189">
        <f>IFERROR(__xludf.DUMMYFUNCTION("""COMPUTED_VALUE"""),16315.0)</f>
        <v>16315</v>
      </c>
      <c r="L1111" s="189">
        <f>IFERROR(__xludf.DUMMYFUNCTION("""COMPUTED_VALUE"""),16436.0)</f>
        <v>16436</v>
      </c>
      <c r="M1111" s="189">
        <f>IFERROR(__xludf.DUMMYFUNCTION("""COMPUTED_VALUE"""),0.0)</f>
        <v>0</v>
      </c>
      <c r="N1111" s="189">
        <f>IFERROR(__xludf.DUMMYFUNCTION("""COMPUTED_VALUE"""),0.0)</f>
        <v>0</v>
      </c>
      <c r="O1111" s="189">
        <f>IFERROR(__xludf.DUMMYFUNCTION("""COMPUTED_VALUE"""),0.0)</f>
        <v>0</v>
      </c>
      <c r="P1111" s="189">
        <f>IFERROR(__xludf.DUMMYFUNCTION("""COMPUTED_VALUE"""),0.0)</f>
        <v>0</v>
      </c>
      <c r="Q1111" s="189">
        <f>IFERROR(__xludf.DUMMYFUNCTION("""COMPUTED_VALUE"""),0.0)</f>
        <v>0</v>
      </c>
      <c r="R1111" s="189">
        <f>IFERROR(__xludf.DUMMYFUNCTION("""COMPUTED_VALUE"""),0.0)</f>
        <v>0</v>
      </c>
      <c r="S1111" s="189">
        <f>IFERROR(__xludf.DUMMYFUNCTION("""COMPUTED_VALUE"""),0.0)</f>
        <v>0</v>
      </c>
    </row>
    <row r="1112">
      <c r="A1112" s="186" t="str">
        <f>IFERROR(__xludf.DUMMYFUNCTION("""COMPUTED_VALUE"""),"DE")</f>
        <v>DE</v>
      </c>
      <c r="B1112" s="186" t="str">
        <f>IFERROR(__xludf.DUMMYFUNCTION("""COMPUTED_VALUE"""),"W21")</f>
        <v>W21</v>
      </c>
      <c r="C1112" s="186">
        <f>IFERROR(__xludf.DUMMYFUNCTION("""COMPUTED_VALUE"""),301.0)</f>
        <v>301</v>
      </c>
      <c r="D1112" s="186" t="str">
        <f>IFERROR(__xludf.DUMMYFUNCTION("""COMPUTED_VALUE"""),"CON-00-136675-3")</f>
        <v>CON-00-136675-3</v>
      </c>
      <c r="E1112" s="186" t="str">
        <f>IFERROR(__xludf.DUMMYFUNCTION("""COMPUTED_VALUE"""),"Creamy basil risotto with chicken")</f>
        <v>Creamy basil risotto with chicken</v>
      </c>
      <c r="F1112" s="186" t="str">
        <f>IFERROR(__xludf.DUMMYFUNCTION("""COMPUTED_VALUE"""),"Cremiges Basilikum-Risotto mit Hähnchen")</f>
        <v>Cremiges Basilikum-Risotto mit Hähnchen</v>
      </c>
      <c r="G1112" s="186" t="str">
        <f>IFERROR(__xludf.DUMMYFUNCTION("""COMPUTED_VALUE"""),"FE4014C")</f>
        <v>FE4014C</v>
      </c>
      <c r="H1112" s="186">
        <f>IFERROR(__xludf.DUMMYFUNCTION("""COMPUTED_VALUE"""),565303.0)</f>
        <v>565303</v>
      </c>
      <c r="I1112" s="186" t="str">
        <f>IFERROR(__xludf.DUMMYFUNCTION("""COMPUTED_VALUE"""),"HF RW Kip romige basil risotto")</f>
        <v>HF RW Kip romige basil risotto</v>
      </c>
      <c r="J1112" s="189">
        <f>IFERROR(__xludf.DUMMYFUNCTION("""COMPUTED_VALUE"""),2579.0)</f>
        <v>2579</v>
      </c>
      <c r="K1112" s="189">
        <f>IFERROR(__xludf.DUMMYFUNCTION("""COMPUTED_VALUE"""),2483.0)</f>
        <v>2483</v>
      </c>
      <c r="L1112" s="189">
        <f>IFERROR(__xludf.DUMMYFUNCTION("""COMPUTED_VALUE"""),2475.0)</f>
        <v>2475</v>
      </c>
      <c r="M1112" s="186"/>
      <c r="N1112" s="186"/>
      <c r="O1112" s="186"/>
      <c r="P1112" s="186"/>
      <c r="Q1112" s="186"/>
      <c r="R1112" s="186"/>
      <c r="S1112" s="186"/>
    </row>
    <row r="1113">
      <c r="A1113" s="186" t="str">
        <f>IFERROR(__xludf.DUMMYFUNCTION("""COMPUTED_VALUE"""),"DE")</f>
        <v>DE</v>
      </c>
      <c r="B1113" s="186" t="str">
        <f>IFERROR(__xludf.DUMMYFUNCTION("""COMPUTED_VALUE"""),"W21")</f>
        <v>W21</v>
      </c>
      <c r="C1113" s="186">
        <f>IFERROR(__xludf.DUMMYFUNCTION("""COMPUTED_VALUE"""),302.0)</f>
        <v>302</v>
      </c>
      <c r="D1113" s="186"/>
      <c r="E1113" s="186"/>
      <c r="F1113" s="186"/>
      <c r="G1113" s="186" t="str">
        <f>IFERROR(__xludf.DUMMYFUNCTION("""COMPUTED_VALUE"""),"FV0426A")</f>
        <v>FV0426A</v>
      </c>
      <c r="H1113" s="186"/>
      <c r="I1113" s="186"/>
      <c r="J1113" s="189">
        <f>IFERROR(__xludf.DUMMYFUNCTION("""COMPUTED_VALUE"""),0.0)</f>
        <v>0</v>
      </c>
      <c r="K1113" s="189">
        <f>IFERROR(__xludf.DUMMYFUNCTION("""COMPUTED_VALUE"""),0.0)</f>
        <v>0</v>
      </c>
      <c r="L1113" s="189">
        <f>IFERROR(__xludf.DUMMYFUNCTION("""COMPUTED_VALUE"""),0.0)</f>
        <v>0</v>
      </c>
      <c r="M1113" s="186"/>
      <c r="N1113" s="186"/>
      <c r="O1113" s="186"/>
      <c r="P1113" s="186"/>
      <c r="Q1113" s="186"/>
      <c r="R1113" s="186"/>
      <c r="S1113" s="186"/>
    </row>
    <row r="1114">
      <c r="A1114" s="186" t="str">
        <f>IFERROR(__xludf.DUMMYFUNCTION("""COMPUTED_VALUE"""),"DE")</f>
        <v>DE</v>
      </c>
      <c r="B1114" s="186" t="str">
        <f>IFERROR(__xludf.DUMMYFUNCTION("""COMPUTED_VALUE"""),"W21")</f>
        <v>W21</v>
      </c>
      <c r="C1114" s="186">
        <f>IFERROR(__xludf.DUMMYFUNCTION("""COMPUTED_VALUE"""),303.0)</f>
        <v>303</v>
      </c>
      <c r="D1114" s="186" t="str">
        <f>IFERROR(__xludf.DUMMYFUNCTION("""COMPUTED_VALUE"""),"CON-00-136657-3")</f>
        <v>CON-00-136657-3</v>
      </c>
      <c r="E1114" s="186" t="str">
        <f>IFERROR(__xludf.DUMMYFUNCTION("""COMPUTED_VALUE"""),"Courgette-spaghetti bolognese")</f>
        <v>Courgette-spaghetti bolognese</v>
      </c>
      <c r="F1114" s="186" t="str">
        <f>IFERROR(__xludf.DUMMYFUNCTION("""COMPUTED_VALUE"""),"Zucchini-Spaghetti Bolognese")</f>
        <v>Zucchini-Spaghetti Bolognese</v>
      </c>
      <c r="G1114" s="186" t="str">
        <f>IFERROR(__xludf.DUMMYFUNCTION("""COMPUTED_VALUE"""),"FE0849B")</f>
        <v>FE0849B</v>
      </c>
      <c r="H1114" s="186">
        <f>IFERROR(__xludf.DUMMYFUNCTION("""COMPUTED_VALUE"""),565260.0)</f>
        <v>565260</v>
      </c>
      <c r="I1114" s="186" t="str">
        <f>IFERROR(__xludf.DUMMYFUNCTION("""COMPUTED_VALUE"""),"HF RW Courgette-spagh bolognes")</f>
        <v>HF RW Courgette-spagh bolognes</v>
      </c>
      <c r="J1114" s="189">
        <f>IFERROR(__xludf.DUMMYFUNCTION("""COMPUTED_VALUE"""),1556.0)</f>
        <v>1556</v>
      </c>
      <c r="K1114" s="189">
        <f>IFERROR(__xludf.DUMMYFUNCTION("""COMPUTED_VALUE"""),1480.0)</f>
        <v>1480</v>
      </c>
      <c r="L1114" s="189">
        <f>IFERROR(__xludf.DUMMYFUNCTION("""COMPUTED_VALUE"""),1447.0)</f>
        <v>1447</v>
      </c>
      <c r="M1114" s="186"/>
      <c r="N1114" s="186"/>
      <c r="O1114" s="186"/>
      <c r="P1114" s="186"/>
      <c r="Q1114" s="186"/>
      <c r="R1114" s="186"/>
      <c r="S1114" s="186"/>
    </row>
    <row r="1115">
      <c r="A1115" s="186" t="str">
        <f>IFERROR(__xludf.DUMMYFUNCTION("""COMPUTED_VALUE"""),"DE")</f>
        <v>DE</v>
      </c>
      <c r="B1115" s="186" t="str">
        <f>IFERROR(__xludf.DUMMYFUNCTION("""COMPUTED_VALUE"""),"W21")</f>
        <v>W21</v>
      </c>
      <c r="C1115" s="186">
        <f>IFERROR(__xludf.DUMMYFUNCTION("""COMPUTED_VALUE"""),304.0)</f>
        <v>304</v>
      </c>
      <c r="D1115" s="186" t="str">
        <f>IFERROR(__xludf.DUMMYFUNCTION("""COMPUTED_VALUE"""),"CON-00-150388-2")</f>
        <v>CON-00-150388-2</v>
      </c>
      <c r="E1115" s="186" t="str">
        <f>IFERROR(__xludf.DUMMYFUNCTION("""COMPUTED_VALUE"""),"Parmesan &amp; Garlic Cream Pulled Beef")</f>
        <v>Parmesan &amp; Garlic Cream Pulled Beef</v>
      </c>
      <c r="F1115" s="186" t="str">
        <f>IFERROR(__xludf.DUMMYFUNCTION("""COMPUTED_VALUE"""),"Pulled Beef in Parmesan-Knoblauch-Creme")</f>
        <v>Pulled Beef in Parmesan-Knoblauch-Creme</v>
      </c>
      <c r="G1115" s="186" t="str">
        <f>IFERROR(__xludf.DUMMYFUNCTION("""COMPUTED_VALUE"""),"FE1346B")</f>
        <v>FE1346B</v>
      </c>
      <c r="H1115" s="186">
        <f>IFERROR(__xludf.DUMMYFUNCTION("""COMPUTED_VALUE"""),565184.0)</f>
        <v>565184</v>
      </c>
      <c r="I1115" s="186" t="str">
        <f>IFERROR(__xludf.DUMMYFUNCTION("""COMPUTED_VALUE"""),"HF Pulled beef &amp; knoflook room")</f>
        <v>HF Pulled beef &amp; knoflook room</v>
      </c>
      <c r="J1115" s="189">
        <f>IFERROR(__xludf.DUMMYFUNCTION("""COMPUTED_VALUE"""),0.0)</f>
        <v>0</v>
      </c>
      <c r="K1115" s="189">
        <f>IFERROR(__xludf.DUMMYFUNCTION("""COMPUTED_VALUE"""),2032.0)</f>
        <v>2032</v>
      </c>
      <c r="L1115" s="189">
        <f>IFERROR(__xludf.DUMMYFUNCTION("""COMPUTED_VALUE"""),2231.0)</f>
        <v>2231</v>
      </c>
      <c r="M1115" s="186"/>
      <c r="N1115" s="186"/>
      <c r="O1115" s="186"/>
      <c r="P1115" s="186"/>
      <c r="Q1115" s="186"/>
      <c r="R1115" s="186"/>
      <c r="S1115" s="186"/>
    </row>
    <row r="1116">
      <c r="A1116" s="186" t="str">
        <f>IFERROR(__xludf.DUMMYFUNCTION("""COMPUTED_VALUE"""),"DE")</f>
        <v>DE</v>
      </c>
      <c r="B1116" s="186" t="str">
        <f>IFERROR(__xludf.DUMMYFUNCTION("""COMPUTED_VALUE"""),"W21")</f>
        <v>W21</v>
      </c>
      <c r="C1116" s="186">
        <f>IFERROR(__xludf.DUMMYFUNCTION("""COMPUTED_VALUE"""),305.0)</f>
        <v>305</v>
      </c>
      <c r="D1116" s="186" t="str">
        <f>IFERROR(__xludf.DUMMYFUNCTION("""COMPUTED_VALUE"""),"CON-00-149480-2")</f>
        <v>CON-00-149480-2</v>
      </c>
      <c r="E1116" s="186" t="str">
        <f>IFERROR(__xludf.DUMMYFUNCTION("""COMPUTED_VALUE"""),"Sour Cream &amp; Chive Chicken")</f>
        <v>Sour Cream &amp; Chive Chicken</v>
      </c>
      <c r="F1116" s="186" t="str">
        <f>IFERROR(__xludf.DUMMYFUNCTION("""COMPUTED_VALUE"""),"Hähnchen mit Sauerrahm und Schnittlauch")</f>
        <v>Hähnchen mit Sauerrahm und Schnittlauch</v>
      </c>
      <c r="G1116" s="186" t="str">
        <f>IFERROR(__xludf.DUMMYFUNCTION("""COMPUTED_VALUE"""),"FE0322O")</f>
        <v>FE0322O</v>
      </c>
      <c r="H1116" s="186">
        <f>IFERROR(__xludf.DUMMYFUNCTION("""COMPUTED_VALUE"""),565163.0)</f>
        <v>565163</v>
      </c>
      <c r="I1116" s="186" t="str">
        <f>IFERROR(__xludf.DUMMYFUNCTION("""COMPUTED_VALUE"""),"HF Kip bieslook aardappel pure")</f>
        <v>HF Kip bieslook aardappel pure</v>
      </c>
      <c r="J1116" s="189">
        <f>IFERROR(__xludf.DUMMYFUNCTION("""COMPUTED_VALUE"""),0.0)</f>
        <v>0</v>
      </c>
      <c r="K1116" s="189">
        <f>IFERROR(__xludf.DUMMYFUNCTION("""COMPUTED_VALUE"""),0.0)</f>
        <v>0</v>
      </c>
      <c r="L1116" s="189">
        <f>IFERROR(__xludf.DUMMYFUNCTION("""COMPUTED_VALUE"""),0.0)</f>
        <v>0</v>
      </c>
      <c r="M1116" s="186"/>
      <c r="N1116" s="186"/>
      <c r="O1116" s="186"/>
      <c r="P1116" s="186"/>
      <c r="Q1116" s="186"/>
      <c r="R1116" s="186"/>
      <c r="S1116" s="186"/>
    </row>
    <row r="1117">
      <c r="A1117" s="186" t="str">
        <f>IFERROR(__xludf.DUMMYFUNCTION("""COMPUTED_VALUE"""),"DE")</f>
        <v>DE</v>
      </c>
      <c r="B1117" s="186" t="str">
        <f>IFERROR(__xludf.DUMMYFUNCTION("""COMPUTED_VALUE"""),"W21")</f>
        <v>W21</v>
      </c>
      <c r="C1117" s="186">
        <f>IFERROR(__xludf.DUMMYFUNCTION("""COMPUTED_VALUE"""),306.0)</f>
        <v>306</v>
      </c>
      <c r="D1117" s="186" t="str">
        <f>IFERROR(__xludf.DUMMYFUNCTION("""COMPUTED_VALUE"""),"CON-00-137744-2")</f>
        <v>CON-00-137744-2</v>
      </c>
      <c r="E1117" s="186" t="str">
        <f>IFERROR(__xludf.DUMMYFUNCTION("""COMPUTED_VALUE"""),"Salmon in creamy gochugaru sauce")</f>
        <v>Salmon in creamy gochugaru sauce</v>
      </c>
      <c r="F1117" s="186" t="str">
        <f>IFERROR(__xludf.DUMMYFUNCTION("""COMPUTED_VALUE"""),"Lachs in cremiger Gochugaru-Sauce")</f>
        <v>Lachs in cremiger Gochugaru-Sauce</v>
      </c>
      <c r="G1117" s="186" t="str">
        <f>IFERROR(__xludf.DUMMYFUNCTION("""COMPUTED_VALUE"""),"FE4039C")</f>
        <v>FE4039C</v>
      </c>
      <c r="H1117" s="186">
        <f>IFERROR(__xludf.DUMMYFUNCTION("""COMPUTED_VALUE"""),565102.0)</f>
        <v>565102</v>
      </c>
      <c r="I1117" s="186" t="str">
        <f>IFERROR(__xludf.DUMMYFUNCTION("""COMPUTED_VALUE"""),"HF Zalm romige gochugaru sa")</f>
        <v>HF Zalm romige gochugaru sa</v>
      </c>
      <c r="J1117" s="189">
        <f>IFERROR(__xludf.DUMMYFUNCTION("""COMPUTED_VALUE"""),0.0)</f>
        <v>0</v>
      </c>
      <c r="K1117" s="189">
        <f>IFERROR(__xludf.DUMMYFUNCTION("""COMPUTED_VALUE"""),0.0)</f>
        <v>0</v>
      </c>
      <c r="L1117" s="189">
        <f>IFERROR(__xludf.DUMMYFUNCTION("""COMPUTED_VALUE"""),0.0)</f>
        <v>0</v>
      </c>
      <c r="M1117" s="186"/>
      <c r="N1117" s="186"/>
      <c r="O1117" s="186"/>
      <c r="P1117" s="186"/>
      <c r="Q1117" s="186"/>
      <c r="R1117" s="186"/>
      <c r="S1117" s="186"/>
    </row>
    <row r="1118">
      <c r="A1118" s="186" t="str">
        <f>IFERROR(__xludf.DUMMYFUNCTION("""COMPUTED_VALUE"""),"DE")</f>
        <v>DE</v>
      </c>
      <c r="B1118" s="186" t="str">
        <f>IFERROR(__xludf.DUMMYFUNCTION("""COMPUTED_VALUE"""),"W21")</f>
        <v>W21</v>
      </c>
      <c r="C1118" s="186">
        <f>IFERROR(__xludf.DUMMYFUNCTION("""COMPUTED_VALUE"""),307.0)</f>
        <v>307</v>
      </c>
      <c r="D1118" s="186" t="str">
        <f>IFERROR(__xludf.DUMMYFUNCTION("""COMPUTED_VALUE"""),"CON-00-147983-2")</f>
        <v>CON-00-147983-2</v>
      </c>
      <c r="E1118" s="186" t="str">
        <f>IFERROR(__xludf.DUMMYFUNCTION("""COMPUTED_VALUE"""),"Loaded Bacon Shredded Chicken")</f>
        <v>Loaded Bacon Shredded Chicken</v>
      </c>
      <c r="F1118" s="186" t="str">
        <f>IFERROR(__xludf.DUMMYFUNCTION("""COMPUTED_VALUE"""),"Pulled Chicken mit Bacon")</f>
        <v>Pulled Chicken mit Bacon</v>
      </c>
      <c r="G1118" s="186" t="str">
        <f>IFERROR(__xludf.DUMMYFUNCTION("""COMPUTED_VALUE"""),"FE0794D")</f>
        <v>FE0794D</v>
      </c>
      <c r="H1118" s="186">
        <f>IFERROR(__xludf.DUMMYFUNCTION("""COMPUTED_VALUE"""),565156.0)</f>
        <v>565156</v>
      </c>
      <c r="I1118" s="186" t="str">
        <f>IFERROR(__xludf.DUMMYFUNCTION("""COMPUTED_VALUE"""),"HF Loaded Bacon Chicken")</f>
        <v>HF Loaded Bacon Chicken</v>
      </c>
      <c r="J1118" s="189">
        <f>IFERROR(__xludf.DUMMYFUNCTION("""COMPUTED_VALUE"""),0.0)</f>
        <v>0</v>
      </c>
      <c r="K1118" s="189">
        <f>IFERROR(__xludf.DUMMYFUNCTION("""COMPUTED_VALUE"""),1266.0)</f>
        <v>1266</v>
      </c>
      <c r="L1118" s="189">
        <f>IFERROR(__xludf.DUMMYFUNCTION("""COMPUTED_VALUE"""),1436.0)</f>
        <v>1436</v>
      </c>
      <c r="M1118" s="186"/>
      <c r="N1118" s="186"/>
      <c r="O1118" s="186"/>
      <c r="P1118" s="186"/>
      <c r="Q1118" s="186"/>
      <c r="R1118" s="186"/>
      <c r="S1118" s="186"/>
    </row>
    <row r="1119">
      <c r="A1119" s="186" t="str">
        <f>IFERROR(__xludf.DUMMYFUNCTION("""COMPUTED_VALUE"""),"DE")</f>
        <v>DE</v>
      </c>
      <c r="B1119" s="186" t="str">
        <f>IFERROR(__xludf.DUMMYFUNCTION("""COMPUTED_VALUE"""),"W21")</f>
        <v>W21</v>
      </c>
      <c r="C1119" s="186">
        <f>IFERROR(__xludf.DUMMYFUNCTION("""COMPUTED_VALUE"""),308.0)</f>
        <v>308</v>
      </c>
      <c r="D1119" s="186" t="str">
        <f>IFERROR(__xludf.DUMMYFUNCTION("""COMPUTED_VALUE"""),"CON-00-136638-3")</f>
        <v>CON-00-136638-3</v>
      </c>
      <c r="E1119" s="186" t="str">
        <f>IFERROR(__xludf.DUMMYFUNCTION("""COMPUTED_VALUE"""),"Spicy chicken with jalapeño, lime and cheddar")</f>
        <v>Spicy chicken with jalapeño, lime and cheddar</v>
      </c>
      <c r="F1119" s="186" t="str">
        <f>IFERROR(__xludf.DUMMYFUNCTION("""COMPUTED_VALUE"""),"Pikantes Hähnchen mit Jalapeño, Limette und Cheddar")</f>
        <v>Pikantes Hähnchen mit Jalapeño, Limette und Cheddar</v>
      </c>
      <c r="G1119" s="186" t="str">
        <f>IFERROR(__xludf.DUMMYFUNCTION("""COMPUTED_VALUE"""),"FE0198E")</f>
        <v>FE0198E</v>
      </c>
      <c r="H1119" s="186">
        <f>IFERROR(__xludf.DUMMYFUNCTION("""COMPUTED_VALUE"""),565307.0)</f>
        <v>565307</v>
      </c>
      <c r="I1119" s="186" t="str">
        <f>IFERROR(__xludf.DUMMYFUNCTION("""COMPUTED_VALUE"""),"HF RW Pittige kip jalapeño")</f>
        <v>HF RW Pittige kip jalapeño</v>
      </c>
      <c r="J1119" s="189">
        <f>IFERROR(__xludf.DUMMYFUNCTION("""COMPUTED_VALUE"""),1033.0)</f>
        <v>1033</v>
      </c>
      <c r="K1119" s="189">
        <f>IFERROR(__xludf.DUMMYFUNCTION("""COMPUTED_VALUE"""),1065.0)</f>
        <v>1065</v>
      </c>
      <c r="L1119" s="189">
        <f>IFERROR(__xludf.DUMMYFUNCTION("""COMPUTED_VALUE"""),1171.0)</f>
        <v>1171</v>
      </c>
      <c r="M1119" s="186"/>
      <c r="N1119" s="186"/>
      <c r="O1119" s="186"/>
      <c r="P1119" s="186"/>
      <c r="Q1119" s="186"/>
      <c r="R1119" s="186"/>
      <c r="S1119" s="186"/>
    </row>
    <row r="1120">
      <c r="A1120" s="186" t="str">
        <f>IFERROR(__xludf.DUMMYFUNCTION("""COMPUTED_VALUE"""),"DE")</f>
        <v>DE</v>
      </c>
      <c r="B1120" s="186" t="str">
        <f>IFERROR(__xludf.DUMMYFUNCTION("""COMPUTED_VALUE"""),"W21")</f>
        <v>W21</v>
      </c>
      <c r="C1120" s="186">
        <f>IFERROR(__xludf.DUMMYFUNCTION("""COMPUTED_VALUE"""),309.0)</f>
        <v>309</v>
      </c>
      <c r="D1120" s="186"/>
      <c r="E1120" s="186"/>
      <c r="F1120" s="186"/>
      <c r="G1120" s="186" t="str">
        <f>IFERROR(__xludf.DUMMYFUNCTION("""COMPUTED_VALUE"""),"FV0090A")</f>
        <v>FV0090A</v>
      </c>
      <c r="H1120" s="186"/>
      <c r="I1120" s="186"/>
      <c r="J1120" s="189">
        <f>IFERROR(__xludf.DUMMYFUNCTION("""COMPUTED_VALUE"""),0.0)</f>
        <v>0</v>
      </c>
      <c r="K1120" s="189">
        <f>IFERROR(__xludf.DUMMYFUNCTION("""COMPUTED_VALUE"""),0.0)</f>
        <v>0</v>
      </c>
      <c r="L1120" s="189">
        <f>IFERROR(__xludf.DUMMYFUNCTION("""COMPUTED_VALUE"""),0.0)</f>
        <v>0</v>
      </c>
      <c r="M1120" s="186"/>
      <c r="N1120" s="186"/>
      <c r="O1120" s="186"/>
      <c r="P1120" s="186"/>
      <c r="Q1120" s="186"/>
      <c r="R1120" s="186"/>
      <c r="S1120" s="186"/>
    </row>
    <row r="1121">
      <c r="A1121" s="186" t="str">
        <f>IFERROR(__xludf.DUMMYFUNCTION("""COMPUTED_VALUE"""),"DE")</f>
        <v>DE</v>
      </c>
      <c r="B1121" s="186" t="str">
        <f>IFERROR(__xludf.DUMMYFUNCTION("""COMPUTED_VALUE"""),"W21")</f>
        <v>W21</v>
      </c>
      <c r="C1121" s="186">
        <f>IFERROR(__xludf.DUMMYFUNCTION("""COMPUTED_VALUE"""),310.0)</f>
        <v>310</v>
      </c>
      <c r="D1121" s="186" t="str">
        <f>IFERROR(__xludf.DUMMYFUNCTION("""COMPUTED_VALUE"""),"CON-00-136629-3")</f>
        <v>CON-00-136629-3</v>
      </c>
      <c r="E1121" s="186" t="str">
        <f>IFERROR(__xludf.DUMMYFUNCTION("""COMPUTED_VALUE"""),"Creamy tomato risotto")</f>
        <v>Creamy tomato risotto</v>
      </c>
      <c r="F1121" s="186" t="str">
        <f>IFERROR(__xludf.DUMMYFUNCTION("""COMPUTED_VALUE"""),"Cremiges Tomaten-Risotto")</f>
        <v>Cremiges Tomaten-Risotto</v>
      </c>
      <c r="G1121" s="186" t="str">
        <f>IFERROR(__xludf.DUMMYFUNCTION("""COMPUTED_VALUE"""),"FE0031C")</f>
        <v>FE0031C</v>
      </c>
      <c r="H1121" s="186">
        <f>IFERROR(__xludf.DUMMYFUNCTION("""COMPUTED_VALUE"""),565244.0)</f>
        <v>565244</v>
      </c>
      <c r="I1121" s="186" t="str">
        <f>IFERROR(__xludf.DUMMYFUNCTION("""COMPUTED_VALUE"""),"IO HF Romige tomatenrisotto V2")</f>
        <v>IO HF Romige tomatenrisotto V2</v>
      </c>
      <c r="J1121" s="189">
        <f>IFERROR(__xludf.DUMMYFUNCTION("""COMPUTED_VALUE"""),301.0)</f>
        <v>301</v>
      </c>
      <c r="K1121" s="189">
        <f>IFERROR(__xludf.DUMMYFUNCTION("""COMPUTED_VALUE"""),272.0)</f>
        <v>272</v>
      </c>
      <c r="L1121" s="189">
        <f>IFERROR(__xludf.DUMMYFUNCTION("""COMPUTED_VALUE"""),310.0)</f>
        <v>310</v>
      </c>
      <c r="M1121" s="186"/>
      <c r="N1121" s="186"/>
      <c r="O1121" s="186"/>
      <c r="P1121" s="186"/>
      <c r="Q1121" s="186"/>
      <c r="R1121" s="186"/>
      <c r="S1121" s="186"/>
    </row>
    <row r="1122">
      <c r="A1122" s="186" t="str">
        <f>IFERROR(__xludf.DUMMYFUNCTION("""COMPUTED_VALUE"""),"DE")</f>
        <v>DE</v>
      </c>
      <c r="B1122" s="186" t="str">
        <f>IFERROR(__xludf.DUMMYFUNCTION("""COMPUTED_VALUE"""),"W21")</f>
        <v>W21</v>
      </c>
      <c r="C1122" s="186">
        <f>IFERROR(__xludf.DUMMYFUNCTION("""COMPUTED_VALUE"""),311.0)</f>
        <v>311</v>
      </c>
      <c r="D1122" s="186" t="str">
        <f>IFERROR(__xludf.DUMMYFUNCTION("""COMPUTED_VALUE"""),"CON-00-136696-3")</f>
        <v>CON-00-136696-3</v>
      </c>
      <c r="E1122" s="186" t="str">
        <f>IFERROR(__xludf.DUMMYFUNCTION("""COMPUTED_VALUE"""),"Pork tenderloin in spicy ancho chili sauce")</f>
        <v>Pork tenderloin in spicy ancho chili sauce</v>
      </c>
      <c r="F1122" s="186" t="str">
        <f>IFERROR(__xludf.DUMMYFUNCTION("""COMPUTED_VALUE"""),"Schweinefilet in würziger Ancho-Chili-Sauce")</f>
        <v>Schweinefilet in würziger Ancho-Chili-Sauce</v>
      </c>
      <c r="G1122" s="186" t="str">
        <f>IFERROR(__xludf.DUMMYFUNCTION("""COMPUTED_VALUE"""),"FE1072B")</f>
        <v>FE1072B</v>
      </c>
      <c r="H1122" s="186">
        <f>IFERROR(__xludf.DUMMYFUNCTION("""COMPUTED_VALUE"""),565095.0)</f>
        <v>565095</v>
      </c>
      <c r="I1122" s="186" t="str">
        <f>IFERROR(__xludf.DUMMYFUNCTION("""COMPUTED_VALUE"""),"HF V.haas pittige ancho chili")</f>
        <v>HF V.haas pittige ancho chili</v>
      </c>
      <c r="J1122" s="189">
        <f>IFERROR(__xludf.DUMMYFUNCTION("""COMPUTED_VALUE"""),325.0)</f>
        <v>325</v>
      </c>
      <c r="K1122" s="189">
        <f>IFERROR(__xludf.DUMMYFUNCTION("""COMPUTED_VALUE"""),330.0)</f>
        <v>330</v>
      </c>
      <c r="L1122" s="189">
        <f>IFERROR(__xludf.DUMMYFUNCTION("""COMPUTED_VALUE"""),358.0)</f>
        <v>358</v>
      </c>
      <c r="M1122" s="186"/>
      <c r="N1122" s="186"/>
      <c r="O1122" s="186"/>
      <c r="P1122" s="186"/>
      <c r="Q1122" s="186"/>
      <c r="R1122" s="186"/>
      <c r="S1122" s="186"/>
    </row>
    <row r="1123">
      <c r="A1123" s="186" t="str">
        <f>IFERROR(__xludf.DUMMYFUNCTION("""COMPUTED_VALUE"""),"DE")</f>
        <v>DE</v>
      </c>
      <c r="B1123" s="186" t="str">
        <f>IFERROR(__xludf.DUMMYFUNCTION("""COMPUTED_VALUE"""),"W21")</f>
        <v>W21</v>
      </c>
      <c r="C1123" s="186">
        <f>IFERROR(__xludf.DUMMYFUNCTION("""COMPUTED_VALUE"""),312.0)</f>
        <v>312</v>
      </c>
      <c r="D1123" s="186" t="str">
        <f>IFERROR(__xludf.DUMMYFUNCTION("""COMPUTED_VALUE"""),"CON-00-154552-2")</f>
        <v>CON-00-154552-2</v>
      </c>
      <c r="E1123" s="186" t="str">
        <f>IFERROR(__xludf.DUMMYFUNCTION("""COMPUTED_VALUE"""),"Tzatziki Salmon &amp; Lemon Rice")</f>
        <v>Tzatziki Salmon &amp; Lemon Rice</v>
      </c>
      <c r="F1123" s="186" t="str">
        <f>IFERROR(__xludf.DUMMYFUNCTION("""COMPUTED_VALUE"""),"Tzatziki-Lachs &amp; Zitronenreis")</f>
        <v>Tzatziki-Lachs &amp; Zitronenreis</v>
      </c>
      <c r="G1123" s="186" t="str">
        <f>IFERROR(__xludf.DUMMYFUNCTION("""COMPUTED_VALUE"""),"FE1439A")</f>
        <v>FE1439A</v>
      </c>
      <c r="H1123" s="186">
        <f>IFERROR(__xludf.DUMMYFUNCTION("""COMPUTED_VALUE"""),565236.0)</f>
        <v>565236</v>
      </c>
      <c r="I1123" s="186" t="str">
        <f>IFERROR(__xludf.DUMMYFUNCTION("""COMPUTED_VALUE"""),"HF Zalm met citroen rijst")</f>
        <v>HF Zalm met citroen rijst</v>
      </c>
      <c r="J1123" s="189">
        <f>IFERROR(__xludf.DUMMYFUNCTION("""COMPUTED_VALUE"""),0.0)</f>
        <v>0</v>
      </c>
      <c r="K1123" s="189">
        <f>IFERROR(__xludf.DUMMYFUNCTION("""COMPUTED_VALUE"""),0.0)</f>
        <v>0</v>
      </c>
      <c r="L1123" s="189">
        <f>IFERROR(__xludf.DUMMYFUNCTION("""COMPUTED_VALUE"""),0.0)</f>
        <v>0</v>
      </c>
      <c r="M1123" s="186"/>
      <c r="N1123" s="186"/>
      <c r="O1123" s="186"/>
      <c r="P1123" s="186"/>
      <c r="Q1123" s="186"/>
      <c r="R1123" s="186"/>
      <c r="S1123" s="186"/>
    </row>
    <row r="1124">
      <c r="A1124" s="186" t="str">
        <f>IFERROR(__xludf.DUMMYFUNCTION("""COMPUTED_VALUE"""),"DE")</f>
        <v>DE</v>
      </c>
      <c r="B1124" s="186" t="str">
        <f>IFERROR(__xludf.DUMMYFUNCTION("""COMPUTED_VALUE"""),"W21")</f>
        <v>W21</v>
      </c>
      <c r="C1124" s="186">
        <f>IFERROR(__xludf.DUMMYFUNCTION("""COMPUTED_VALUE"""),313.0)</f>
        <v>313</v>
      </c>
      <c r="D1124" s="186" t="str">
        <f>IFERROR(__xludf.DUMMYFUNCTION("""COMPUTED_VALUE"""),"CON-00-136648-3")</f>
        <v>CON-00-136648-3</v>
      </c>
      <c r="E1124" s="186" t="str">
        <f>IFERROR(__xludf.DUMMYFUNCTION("""COMPUTED_VALUE"""),"Pulled chicken with cheddar and bacon")</f>
        <v>Pulled chicken with cheddar and bacon</v>
      </c>
      <c r="F1124" s="186" t="str">
        <f>IFERROR(__xludf.DUMMYFUNCTION("""COMPUTED_VALUE"""),"Pulled Chicken mit Cheddar und Speck")</f>
        <v>Pulled Chicken mit Cheddar und Speck</v>
      </c>
      <c r="G1124" s="186" t="str">
        <f>IFERROR(__xludf.DUMMYFUNCTION("""COMPUTED_VALUE"""),"FE0401F")</f>
        <v>FE0401F</v>
      </c>
      <c r="H1124" s="186">
        <f>IFERROR(__xludf.DUMMYFUNCTION("""COMPUTED_VALUE"""),565151.0)</f>
        <v>565151</v>
      </c>
      <c r="I1124" s="186" t="str">
        <f>IFERROR(__xludf.DUMMYFUNCTION("""COMPUTED_VALUE"""),"HF RW Pulled chicken ched/baco")</f>
        <v>HF RW Pulled chicken ched/baco</v>
      </c>
      <c r="J1124" s="189">
        <f>IFERROR(__xludf.DUMMYFUNCTION("""COMPUTED_VALUE"""),0.0)</f>
        <v>0</v>
      </c>
      <c r="K1124" s="189">
        <f>IFERROR(__xludf.DUMMYFUNCTION("""COMPUTED_VALUE"""),1420.0)</f>
        <v>1420</v>
      </c>
      <c r="L1124" s="189">
        <f>IFERROR(__xludf.DUMMYFUNCTION("""COMPUTED_VALUE"""),975.0)</f>
        <v>975</v>
      </c>
      <c r="M1124" s="186"/>
      <c r="N1124" s="186"/>
      <c r="O1124" s="186"/>
      <c r="P1124" s="186"/>
      <c r="Q1124" s="186"/>
      <c r="R1124" s="186"/>
      <c r="S1124" s="186"/>
    </row>
    <row r="1125">
      <c r="A1125" s="186" t="str">
        <f>IFERROR(__xludf.DUMMYFUNCTION("""COMPUTED_VALUE"""),"DE")</f>
        <v>DE</v>
      </c>
      <c r="B1125" s="186" t="str">
        <f>IFERROR(__xludf.DUMMYFUNCTION("""COMPUTED_VALUE"""),"W21")</f>
        <v>W21</v>
      </c>
      <c r="C1125" s="186">
        <f>IFERROR(__xludf.DUMMYFUNCTION("""COMPUTED_VALUE"""),314.0)</f>
        <v>314</v>
      </c>
      <c r="D1125" s="186" t="str">
        <f>IFERROR(__xludf.DUMMYFUNCTION("""COMPUTED_VALUE"""),"CON-00-168317-2")</f>
        <v>CON-00-168317-2</v>
      </c>
      <c r="E1125" s="186" t="str">
        <f>IFERROR(__xludf.DUMMYFUNCTION("""COMPUTED_VALUE"""),"Tangy Miso Chicken Bowl")</f>
        <v>Tangy Miso Chicken Bowl</v>
      </c>
      <c r="F1125" s="186" t="str">
        <f>IFERROR(__xludf.DUMMYFUNCTION("""COMPUTED_VALUE"""),"Würzige Miso-Hähnchen-Bowl")</f>
        <v>Würzige Miso-Hähnchen-Bowl</v>
      </c>
      <c r="G1125" s="186" t="str">
        <f>IFERROR(__xludf.DUMMYFUNCTION("""COMPUTED_VALUE"""),"FE1790A")</f>
        <v>FE1790A</v>
      </c>
      <c r="H1125" s="186">
        <f>IFERROR(__xludf.DUMMYFUNCTION("""COMPUTED_VALUE"""),565267.0)</f>
        <v>565267</v>
      </c>
      <c r="I1125" s="186" t="str">
        <f>IFERROR(__xludf.DUMMYFUNCTION("""COMPUTED_VALUE"""),"HF Tangy chicken miso bowl")</f>
        <v>HF Tangy chicken miso bowl</v>
      </c>
      <c r="J1125" s="189">
        <f>IFERROR(__xludf.DUMMYFUNCTION("""COMPUTED_VALUE"""),709.0)</f>
        <v>709</v>
      </c>
      <c r="K1125" s="189">
        <f>IFERROR(__xludf.DUMMYFUNCTION("""COMPUTED_VALUE"""),660.0)</f>
        <v>660</v>
      </c>
      <c r="L1125" s="189">
        <f>IFERROR(__xludf.DUMMYFUNCTION("""COMPUTED_VALUE"""),668.0)</f>
        <v>668</v>
      </c>
      <c r="M1125" s="186"/>
      <c r="N1125" s="186"/>
      <c r="O1125" s="186"/>
      <c r="P1125" s="186"/>
      <c r="Q1125" s="186"/>
      <c r="R1125" s="186"/>
      <c r="S1125" s="186"/>
    </row>
    <row r="1126">
      <c r="A1126" s="186" t="str">
        <f>IFERROR(__xludf.DUMMYFUNCTION("""COMPUTED_VALUE"""),"DE")</f>
        <v>DE</v>
      </c>
      <c r="B1126" s="186" t="str">
        <f>IFERROR(__xludf.DUMMYFUNCTION("""COMPUTED_VALUE"""),"W21")</f>
        <v>W21</v>
      </c>
      <c r="C1126" s="186">
        <f>IFERROR(__xludf.DUMMYFUNCTION("""COMPUTED_VALUE"""),315.0)</f>
        <v>315</v>
      </c>
      <c r="D1126" s="186"/>
      <c r="E1126" s="186"/>
      <c r="F1126" s="186"/>
      <c r="G1126" s="186" t="str">
        <f>IFERROR(__xludf.DUMMYFUNCTION("""COMPUTED_VALUE"""),"FV0601A")</f>
        <v>FV0601A</v>
      </c>
      <c r="H1126" s="186"/>
      <c r="I1126" s="186"/>
      <c r="J1126" s="189">
        <f>IFERROR(__xludf.DUMMYFUNCTION("""COMPUTED_VALUE"""),0.0)</f>
        <v>0</v>
      </c>
      <c r="K1126" s="189">
        <f>IFERROR(__xludf.DUMMYFUNCTION("""COMPUTED_VALUE"""),0.0)</f>
        <v>0</v>
      </c>
      <c r="L1126" s="189">
        <f>IFERROR(__xludf.DUMMYFUNCTION("""COMPUTED_VALUE"""),0.0)</f>
        <v>0</v>
      </c>
      <c r="M1126" s="186"/>
      <c r="N1126" s="186"/>
      <c r="O1126" s="186"/>
      <c r="P1126" s="186"/>
      <c r="Q1126" s="186"/>
      <c r="R1126" s="186"/>
      <c r="S1126" s="186"/>
    </row>
    <row r="1127">
      <c r="A1127" s="186" t="str">
        <f>IFERROR(__xludf.DUMMYFUNCTION("""COMPUTED_VALUE"""),"DE")</f>
        <v>DE</v>
      </c>
      <c r="B1127" s="186" t="str">
        <f>IFERROR(__xludf.DUMMYFUNCTION("""COMPUTED_VALUE"""),"W21")</f>
        <v>W21</v>
      </c>
      <c r="C1127" s="186">
        <f>IFERROR(__xludf.DUMMYFUNCTION("""COMPUTED_VALUE"""),316.0)</f>
        <v>316</v>
      </c>
      <c r="D1127" s="186" t="str">
        <f>IFERROR(__xludf.DUMMYFUNCTION("""COMPUTED_VALUE"""),"CON-00-168314-2")</f>
        <v>CON-00-168314-2</v>
      </c>
      <c r="E1127" s="186" t="str">
        <f>IFERROR(__xludf.DUMMYFUNCTION("""COMPUTED_VALUE"""),"Grilled Pork Tenderloin &amp; Butternut Mash")</f>
        <v>Grilled Pork Tenderloin &amp; Butternut Mash</v>
      </c>
      <c r="F1127" s="186" t="str">
        <f>IFERROR(__xludf.DUMMYFUNCTION("""COMPUTED_VALUE"""),"Gegrilltes Schweinefilet mit Butternusskürbispüree")</f>
        <v>Gegrilltes Schweinefilet mit Butternusskürbispüree</v>
      </c>
      <c r="G1127" s="186"/>
      <c r="H1127" s="186">
        <f>IFERROR(__xludf.DUMMYFUNCTION("""COMPUTED_VALUE"""),565285.0)</f>
        <v>565285</v>
      </c>
      <c r="I1127" s="186" t="str">
        <f>IFERROR(__xludf.DUMMYFUNCTION("""COMPUTED_VALUE"""),"HF Varkenshaas pompoen puree")</f>
        <v>HF Varkenshaas pompoen puree</v>
      </c>
      <c r="J1127" s="189">
        <f>IFERROR(__xludf.DUMMYFUNCTION("""COMPUTED_VALUE"""),505.0)</f>
        <v>505</v>
      </c>
      <c r="K1127" s="189">
        <f>IFERROR(__xludf.DUMMYFUNCTION("""COMPUTED_VALUE"""),477.0)</f>
        <v>477</v>
      </c>
      <c r="L1127" s="189">
        <f>IFERROR(__xludf.DUMMYFUNCTION("""COMPUTED_VALUE"""),497.0)</f>
        <v>497</v>
      </c>
      <c r="M1127" s="186"/>
      <c r="N1127" s="186"/>
      <c r="O1127" s="186"/>
      <c r="P1127" s="186"/>
      <c r="Q1127" s="186"/>
      <c r="R1127" s="186"/>
      <c r="S1127" s="186"/>
    </row>
    <row r="1128">
      <c r="A1128" s="186" t="str">
        <f>IFERROR(__xludf.DUMMYFUNCTION("""COMPUTED_VALUE"""),"DE")</f>
        <v>DE</v>
      </c>
      <c r="B1128" s="186" t="str">
        <f>IFERROR(__xludf.DUMMYFUNCTION("""COMPUTED_VALUE"""),"W21")</f>
        <v>W21</v>
      </c>
      <c r="C1128" s="186">
        <f>IFERROR(__xludf.DUMMYFUNCTION("""COMPUTED_VALUE"""),317.0)</f>
        <v>317</v>
      </c>
      <c r="D1128" s="186" t="str">
        <f>IFERROR(__xludf.DUMMYFUNCTION("""COMPUTED_VALUE"""),"CON-00-136637-3")</f>
        <v>CON-00-136637-3</v>
      </c>
      <c r="E1128" s="186" t="str">
        <f>IFERROR(__xludf.DUMMYFUNCTION("""COMPUTED_VALUE"""),"Pork tenderloin in creamy garlic-mustard sauce")</f>
        <v>Pork tenderloin in creamy garlic-mustard sauce</v>
      </c>
      <c r="F1128" s="186" t="str">
        <f>IFERROR(__xludf.DUMMYFUNCTION("""COMPUTED_VALUE"""),"Schweinefilet in cremiger Knoblauch-Senf-Sauce")</f>
        <v>Schweinefilet in cremiger Knoblauch-Senf-Sauce</v>
      </c>
      <c r="G1128" s="186" t="str">
        <f>IFERROR(__xludf.DUMMYFUNCTION("""COMPUTED_VALUE"""),"FE0169I")</f>
        <v>FE0169I</v>
      </c>
      <c r="H1128" s="186">
        <f>IFERROR(__xludf.DUMMYFUNCTION("""COMPUTED_VALUE"""),565143.0)</f>
        <v>565143</v>
      </c>
      <c r="I1128" s="186" t="str">
        <f>IFERROR(__xludf.DUMMYFUNCTION("""COMPUTED_VALUE"""),"HF RW V.haas met mosterd saus")</f>
        <v>HF RW V.haas met mosterd saus</v>
      </c>
      <c r="J1128" s="189">
        <f>IFERROR(__xludf.DUMMYFUNCTION("""COMPUTED_VALUE"""),841.0)</f>
        <v>841</v>
      </c>
      <c r="K1128" s="189">
        <f>IFERROR(__xludf.DUMMYFUNCTION("""COMPUTED_VALUE"""),836.0)</f>
        <v>836</v>
      </c>
      <c r="L1128" s="189">
        <f>IFERROR(__xludf.DUMMYFUNCTION("""COMPUTED_VALUE"""),989.0)</f>
        <v>989</v>
      </c>
      <c r="M1128" s="186"/>
      <c r="N1128" s="186"/>
      <c r="O1128" s="186"/>
      <c r="P1128" s="186"/>
      <c r="Q1128" s="186"/>
      <c r="R1128" s="186"/>
      <c r="S1128" s="186"/>
    </row>
    <row r="1129">
      <c r="A1129" s="186" t="str">
        <f>IFERROR(__xludf.DUMMYFUNCTION("""COMPUTED_VALUE"""),"DE")</f>
        <v>DE</v>
      </c>
      <c r="B1129" s="186" t="str">
        <f>IFERROR(__xludf.DUMMYFUNCTION("""COMPUTED_VALUE"""),"W21")</f>
        <v>W21</v>
      </c>
      <c r="C1129" s="186">
        <f>IFERROR(__xludf.DUMMYFUNCTION("""COMPUTED_VALUE"""),318.0)</f>
        <v>318</v>
      </c>
      <c r="D1129" s="186" t="str">
        <f>IFERROR(__xludf.DUMMYFUNCTION("""COMPUTED_VALUE"""),"CON-00-136726-3")</f>
        <v>CON-00-136726-3</v>
      </c>
      <c r="E1129" s="186" t="str">
        <f>IFERROR(__xludf.DUMMYFUNCTION("""COMPUTED_VALUE"""),"Pork tenderloin with apple-mustard sauce")</f>
        <v>Pork tenderloin with apple-mustard sauce</v>
      </c>
      <c r="F1129" s="186" t="str">
        <f>IFERROR(__xludf.DUMMYFUNCTION("""COMPUTED_VALUE"""),"Schweinefilet mit Apfel-Senf-Soße")</f>
        <v>Schweinefilet mit Apfel-Senf-Soße</v>
      </c>
      <c r="G1129" s="186" t="str">
        <f>IFERROR(__xludf.DUMMYFUNCTION("""COMPUTED_VALUE"""),"FE0890C")</f>
        <v>FE0890C</v>
      </c>
      <c r="H1129" s="186">
        <f>IFERROR(__xludf.DUMMYFUNCTION("""COMPUTED_VALUE"""),565304.0)</f>
        <v>565304</v>
      </c>
      <c r="I1129" s="186" t="str">
        <f>IFERROR(__xludf.DUMMYFUNCTION("""COMPUTED_VALUE"""),"HF RW Varkenshaas appel moster")</f>
        <v>HF RW Varkenshaas appel moster</v>
      </c>
      <c r="J1129" s="189">
        <f>IFERROR(__xludf.DUMMYFUNCTION("""COMPUTED_VALUE"""),412.0)</f>
        <v>412</v>
      </c>
      <c r="K1129" s="189">
        <f>IFERROR(__xludf.DUMMYFUNCTION("""COMPUTED_VALUE"""),421.0)</f>
        <v>421</v>
      </c>
      <c r="L1129" s="189">
        <f>IFERROR(__xludf.DUMMYFUNCTION("""COMPUTED_VALUE"""),460.0)</f>
        <v>460</v>
      </c>
      <c r="M1129" s="186"/>
      <c r="N1129" s="186"/>
      <c r="O1129" s="186"/>
      <c r="P1129" s="186"/>
      <c r="Q1129" s="186"/>
      <c r="R1129" s="186"/>
      <c r="S1129" s="186"/>
    </row>
    <row r="1130">
      <c r="A1130" s="186" t="str">
        <f>IFERROR(__xludf.DUMMYFUNCTION("""COMPUTED_VALUE"""),"DE")</f>
        <v>DE</v>
      </c>
      <c r="B1130" s="186" t="str">
        <f>IFERROR(__xludf.DUMMYFUNCTION("""COMPUTED_VALUE"""),"W21")</f>
        <v>W21</v>
      </c>
      <c r="C1130" s="186">
        <f>IFERROR(__xludf.DUMMYFUNCTION("""COMPUTED_VALUE"""),319.0)</f>
        <v>319</v>
      </c>
      <c r="D1130" s="186"/>
      <c r="E1130" s="186"/>
      <c r="F1130" s="186"/>
      <c r="G1130" s="186" t="str">
        <f>IFERROR(__xludf.DUMMYFUNCTION("""COMPUTED_VALUE"""),"FV1646A")</f>
        <v>FV1646A</v>
      </c>
      <c r="H1130" s="186"/>
      <c r="I1130" s="186"/>
      <c r="J1130" s="189">
        <f>IFERROR(__xludf.DUMMYFUNCTION("""COMPUTED_VALUE"""),0.0)</f>
        <v>0</v>
      </c>
      <c r="K1130" s="189">
        <f>IFERROR(__xludf.DUMMYFUNCTION("""COMPUTED_VALUE"""),0.0)</f>
        <v>0</v>
      </c>
      <c r="L1130" s="189">
        <f>IFERROR(__xludf.DUMMYFUNCTION("""COMPUTED_VALUE"""),0.0)</f>
        <v>0</v>
      </c>
      <c r="M1130" s="186"/>
      <c r="N1130" s="186"/>
      <c r="O1130" s="186"/>
      <c r="P1130" s="186"/>
      <c r="Q1130" s="186"/>
      <c r="R1130" s="186"/>
      <c r="S1130" s="186"/>
    </row>
    <row r="1131">
      <c r="A1131" s="186" t="str">
        <f>IFERROR(__xludf.DUMMYFUNCTION("""COMPUTED_VALUE"""),"DE")</f>
        <v>DE</v>
      </c>
      <c r="B1131" s="186" t="str">
        <f>IFERROR(__xludf.DUMMYFUNCTION("""COMPUTED_VALUE"""),"W21")</f>
        <v>W21</v>
      </c>
      <c r="C1131" s="186">
        <f>IFERROR(__xludf.DUMMYFUNCTION("""COMPUTED_VALUE"""),320.0)</f>
        <v>320</v>
      </c>
      <c r="D1131" s="186"/>
      <c r="E1131" s="186"/>
      <c r="F1131" s="186"/>
      <c r="G1131" s="186" t="str">
        <f>IFERROR(__xludf.DUMMYFUNCTION("""COMPUTED_VALUE"""),"FV0232A")</f>
        <v>FV0232A</v>
      </c>
      <c r="H1131" s="186"/>
      <c r="I1131" s="186"/>
      <c r="J1131" s="189">
        <f>IFERROR(__xludf.DUMMYFUNCTION("""COMPUTED_VALUE"""),0.0)</f>
        <v>0</v>
      </c>
      <c r="K1131" s="189">
        <f>IFERROR(__xludf.DUMMYFUNCTION("""COMPUTED_VALUE"""),0.0)</f>
        <v>0</v>
      </c>
      <c r="L1131" s="189">
        <f>IFERROR(__xludf.DUMMYFUNCTION("""COMPUTED_VALUE"""),0.0)</f>
        <v>0</v>
      </c>
      <c r="M1131" s="186"/>
      <c r="N1131" s="186"/>
      <c r="O1131" s="186"/>
      <c r="P1131" s="186"/>
      <c r="Q1131" s="186"/>
      <c r="R1131" s="186"/>
      <c r="S1131" s="186"/>
    </row>
    <row r="1132">
      <c r="A1132" s="186" t="str">
        <f>IFERROR(__xludf.DUMMYFUNCTION("""COMPUTED_VALUE"""),"DE")</f>
        <v>DE</v>
      </c>
      <c r="B1132" s="186" t="str">
        <f>IFERROR(__xludf.DUMMYFUNCTION("""COMPUTED_VALUE"""),"W21")</f>
        <v>W21</v>
      </c>
      <c r="C1132" s="186">
        <f>IFERROR(__xludf.DUMMYFUNCTION("""COMPUTED_VALUE"""),321.0)</f>
        <v>321</v>
      </c>
      <c r="D1132" s="186"/>
      <c r="E1132" s="186" t="str">
        <f>IFERROR(__xludf.DUMMYFUNCTION("""COMPUTED_VALUE"""),"Pulled Jerk Chicken &amp; Rice")</f>
        <v>Pulled Jerk Chicken &amp; Rice</v>
      </c>
      <c r="F1132" s="186" t="str">
        <f>IFERROR(__xludf.DUMMYFUNCTION("""COMPUTED_VALUE"""),"Pulled Jerk Chicken mit Reis")</f>
        <v>Pulled Jerk Chicken mit Reis</v>
      </c>
      <c r="G1132" s="186" t="str">
        <f>IFERROR(__xludf.DUMMYFUNCTION("""COMPUTED_VALUE"""),"FE4071A")</f>
        <v>FE4071A</v>
      </c>
      <c r="H1132" s="186">
        <f>IFERROR(__xludf.DUMMYFUNCTION("""COMPUTED_VALUE"""),565219.0)</f>
        <v>565219</v>
      </c>
      <c r="I1132" s="186" t="str">
        <f>IFERROR(__xludf.DUMMYFUNCTION("""COMPUTED_VALUE"""),"HF Jerk chicken en rijst")</f>
        <v>HF Jerk chicken en rijst</v>
      </c>
      <c r="J1132" s="189">
        <f>IFERROR(__xludf.DUMMYFUNCTION("""COMPUTED_VALUE"""),683.0)</f>
        <v>683</v>
      </c>
      <c r="K1132" s="189">
        <f>IFERROR(__xludf.DUMMYFUNCTION("""COMPUTED_VALUE"""),644.0)</f>
        <v>644</v>
      </c>
      <c r="L1132" s="189">
        <f>IFERROR(__xludf.DUMMYFUNCTION("""COMPUTED_VALUE"""),691.0)</f>
        <v>691</v>
      </c>
      <c r="M1132" s="186"/>
      <c r="N1132" s="186"/>
      <c r="O1132" s="186"/>
      <c r="P1132" s="186"/>
      <c r="Q1132" s="186"/>
      <c r="R1132" s="186"/>
      <c r="S1132" s="186"/>
    </row>
    <row r="1133">
      <c r="A1133" s="186" t="str">
        <f>IFERROR(__xludf.DUMMYFUNCTION("""COMPUTED_VALUE"""),"DE")</f>
        <v>DE</v>
      </c>
      <c r="B1133" s="186" t="str">
        <f>IFERROR(__xludf.DUMMYFUNCTION("""COMPUTED_VALUE"""),"W21")</f>
        <v>W21</v>
      </c>
      <c r="C1133" s="186">
        <f>IFERROR(__xludf.DUMMYFUNCTION("""COMPUTED_VALUE"""),206.0)</f>
        <v>206</v>
      </c>
      <c r="D1133" s="186" t="str">
        <f>IFERROR(__xludf.DUMMYFUNCTION("""COMPUTED_VALUE"""),"PTN-00-136930-3")</f>
        <v>PTN-00-136930-3</v>
      </c>
      <c r="E1133" s="186" t="str">
        <f>IFERROR(__xludf.DUMMYFUNCTION("""COMPUTED_VALUE"""),"Garlic Herb Grilled Chicken")</f>
        <v>Garlic Herb Grilled Chicken</v>
      </c>
      <c r="F1133" s="186" t="str">
        <f>IFERROR(__xludf.DUMMYFUNCTION("""COMPUTED_VALUE"""),"Gegrilltes Hähnchen mit Knoblauch-Kräutern")</f>
        <v>Gegrilltes Hähnchen mit Knoblauch-Kräutern</v>
      </c>
      <c r="G1133" s="186" t="str">
        <f>IFERROR(__xludf.DUMMYFUNCTION("""COMPUTED_VALUE"""),"FEA006A")</f>
        <v>FEA006A</v>
      </c>
      <c r="H1133" s="186">
        <f>IFERROR(__xludf.DUMMYFUNCTION("""COMPUTED_VALUE"""),565119.0)</f>
        <v>565119</v>
      </c>
      <c r="I1133" s="186"/>
      <c r="J1133" s="189">
        <f>IFERROR(__xludf.DUMMYFUNCTION("""COMPUTED_VALUE"""),87.0)</f>
        <v>87</v>
      </c>
      <c r="K1133" s="189">
        <f>IFERROR(__xludf.DUMMYFUNCTION("""COMPUTED_VALUE"""),87.0)</f>
        <v>87</v>
      </c>
      <c r="L1133" s="189">
        <f>IFERROR(__xludf.DUMMYFUNCTION("""COMPUTED_VALUE"""),67.0)</f>
        <v>67</v>
      </c>
      <c r="M1133" s="186"/>
      <c r="N1133" s="186"/>
      <c r="O1133" s="186"/>
      <c r="P1133" s="186"/>
      <c r="Q1133" s="186"/>
      <c r="R1133" s="186"/>
      <c r="S1133" s="186"/>
    </row>
    <row r="1134">
      <c r="A1134" s="186" t="str">
        <f>IFERROR(__xludf.DUMMYFUNCTION("""COMPUTED_VALUE"""),"DE")</f>
        <v>DE</v>
      </c>
      <c r="B1134" s="186" t="str">
        <f>IFERROR(__xludf.DUMMYFUNCTION("""COMPUTED_VALUE"""),"W21")</f>
        <v>W21</v>
      </c>
      <c r="C1134" s="186"/>
      <c r="D1134" s="186"/>
      <c r="E1134" s="186"/>
      <c r="F1134" s="186"/>
      <c r="G1134" s="186"/>
      <c r="H1134" s="186"/>
      <c r="I1134" s="186"/>
      <c r="J1134" s="189">
        <f>IFERROR(__xludf.DUMMYFUNCTION("""COMPUTED_VALUE"""),9031.0)</f>
        <v>9031</v>
      </c>
      <c r="K1134" s="189">
        <f>IFERROR(__xludf.DUMMYFUNCTION("""COMPUTED_VALUE"""),13473.0)</f>
        <v>13473</v>
      </c>
      <c r="L1134" s="189">
        <f>IFERROR(__xludf.DUMMYFUNCTION("""COMPUTED_VALUE"""),13775.0)</f>
        <v>13775</v>
      </c>
      <c r="M1134" s="189">
        <f>IFERROR(__xludf.DUMMYFUNCTION("""COMPUTED_VALUE"""),0.0)</f>
        <v>0</v>
      </c>
      <c r="N1134" s="189">
        <f>IFERROR(__xludf.DUMMYFUNCTION("""COMPUTED_VALUE"""),0.0)</f>
        <v>0</v>
      </c>
      <c r="O1134" s="189">
        <f>IFERROR(__xludf.DUMMYFUNCTION("""COMPUTED_VALUE"""),0.0)</f>
        <v>0</v>
      </c>
      <c r="P1134" s="189">
        <f>IFERROR(__xludf.DUMMYFUNCTION("""COMPUTED_VALUE"""),0.0)</f>
        <v>0</v>
      </c>
      <c r="Q1134" s="189">
        <f>IFERROR(__xludf.DUMMYFUNCTION("""COMPUTED_VALUE"""),0.0)</f>
        <v>0</v>
      </c>
      <c r="R1134" s="189">
        <f>IFERROR(__xludf.DUMMYFUNCTION("""COMPUTED_VALUE"""),0.0)</f>
        <v>0</v>
      </c>
      <c r="S1134" s="189">
        <f>IFERROR(__xludf.DUMMYFUNCTION("""COMPUTED_VALUE"""),0.0)</f>
        <v>0</v>
      </c>
    </row>
    <row r="1135">
      <c r="A1135" s="186" t="str">
        <f>IFERROR(__xludf.DUMMYFUNCTION("""COMPUTED_VALUE"""),"NORDICS")</f>
        <v>NORDICS</v>
      </c>
      <c r="B1135" s="186" t="str">
        <f>IFERROR(__xludf.DUMMYFUNCTION("""COMPUTED_VALUE"""),"W22")</f>
        <v>W22</v>
      </c>
      <c r="C1135" s="186">
        <f>IFERROR(__xludf.DUMMYFUNCTION("""COMPUTED_VALUE"""),601.0)</f>
        <v>601</v>
      </c>
      <c r="D1135" s="186" t="str">
        <f>IFERROR(__xludf.DUMMYFUNCTION("""COMPUTED_VALUE"""),"CON-00-147877-2")</f>
        <v>CON-00-147877-2</v>
      </c>
      <c r="E1135" s="186" t="str">
        <f>IFERROR(__xludf.DUMMYFUNCTION("""COMPUTED_VALUE"""),"Creamy basil risotto with chicken")</f>
        <v>Creamy basil risotto with chicken</v>
      </c>
      <c r="F1135" s="186" t="str">
        <f>IFERROR(__xludf.DUMMYFUNCTION("""COMPUTED_VALUE"""),"Cremet basilikumrisotto med kylling")</f>
        <v>Cremet basilikumrisotto med kylling</v>
      </c>
      <c r="G1135" s="186" t="str">
        <f>IFERROR(__xludf.DUMMYFUNCTION("""COMPUTED_VALUE"""),"FE4014C")</f>
        <v>FE4014C</v>
      </c>
      <c r="H1135" s="186">
        <f>IFERROR(__xludf.DUMMYFUNCTION("""COMPUTED_VALUE"""),565303.0)</f>
        <v>565303</v>
      </c>
      <c r="I1135" s="186" t="str">
        <f>IFERROR(__xludf.DUMMYFUNCTION("""COMPUTED_VALUE"""),"HF RW Kip romige basil risotto")</f>
        <v>HF RW Kip romige basil risotto</v>
      </c>
      <c r="J1135" s="189">
        <f>IFERROR(__xludf.DUMMYFUNCTION("""COMPUTED_VALUE"""),3619.0)</f>
        <v>3619</v>
      </c>
      <c r="K1135" s="189">
        <f>IFERROR(__xludf.DUMMYFUNCTION("""COMPUTED_VALUE"""),3165.0)</f>
        <v>3165</v>
      </c>
      <c r="L1135" s="186"/>
      <c r="M1135" s="186"/>
      <c r="N1135" s="186"/>
      <c r="O1135" s="186"/>
      <c r="P1135" s="186"/>
      <c r="Q1135" s="186"/>
      <c r="R1135" s="186"/>
      <c r="S1135" s="186"/>
    </row>
    <row r="1136">
      <c r="A1136" s="186" t="str">
        <f>IFERROR(__xludf.DUMMYFUNCTION("""COMPUTED_VALUE"""),"NORDICS")</f>
        <v>NORDICS</v>
      </c>
      <c r="B1136" s="186" t="str">
        <f>IFERROR(__xludf.DUMMYFUNCTION("""COMPUTED_VALUE"""),"W22")</f>
        <v>W22</v>
      </c>
      <c r="C1136" s="186">
        <f>IFERROR(__xludf.DUMMYFUNCTION("""COMPUTED_VALUE"""),602.0)</f>
        <v>602</v>
      </c>
      <c r="D1136" s="186" t="str">
        <f>IFERROR(__xludf.DUMMYFUNCTION("""COMPUTED_VALUE"""),"CON-00-147827-2")</f>
        <v>CON-00-147827-2</v>
      </c>
      <c r="E1136" s="186" t="str">
        <f>IFERROR(__xludf.DUMMYFUNCTION("""COMPUTED_VALUE"""),"Chicken à la Florentine")</f>
        <v>Chicken à la Florentine</v>
      </c>
      <c r="F1136" s="186" t="str">
        <f>IFERROR(__xludf.DUMMYFUNCTION("""COMPUTED_VALUE"""),"Kylling à la Florentine")</f>
        <v>Kylling à la Florentine</v>
      </c>
      <c r="G1136" s="186" t="str">
        <f>IFERROR(__xludf.DUMMYFUNCTION("""COMPUTED_VALUE"""),"FE0224D")</f>
        <v>FE0224D</v>
      </c>
      <c r="H1136" s="186">
        <f>IFERROR(__xludf.DUMMYFUNCTION("""COMPUTED_VALUE"""),565047.0)</f>
        <v>565047</v>
      </c>
      <c r="I1136" s="186" t="str">
        <f>IFERROR(__xludf.DUMMYFUNCTION("""COMPUTED_VALUE"""),"HF Kip á la Florentine")</f>
        <v>HF Kip á la Florentine</v>
      </c>
      <c r="J1136" s="189">
        <f>IFERROR(__xludf.DUMMYFUNCTION("""COMPUTED_VALUE"""),2355.0)</f>
        <v>2355</v>
      </c>
      <c r="K1136" s="189">
        <f>IFERROR(__xludf.DUMMYFUNCTION("""COMPUTED_VALUE"""),2198.0)</f>
        <v>2198</v>
      </c>
      <c r="L1136" s="186"/>
      <c r="M1136" s="186"/>
      <c r="N1136" s="186"/>
      <c r="O1136" s="186"/>
      <c r="P1136" s="186"/>
      <c r="Q1136" s="186"/>
      <c r="R1136" s="186"/>
      <c r="S1136" s="186"/>
    </row>
    <row r="1137">
      <c r="A1137" s="186" t="str">
        <f>IFERROR(__xludf.DUMMYFUNCTION("""COMPUTED_VALUE"""),"NORDICS")</f>
        <v>NORDICS</v>
      </c>
      <c r="B1137" s="186" t="str">
        <f>IFERROR(__xludf.DUMMYFUNCTION("""COMPUTED_VALUE"""),"W22")</f>
        <v>W22</v>
      </c>
      <c r="C1137" s="186">
        <f>IFERROR(__xludf.DUMMYFUNCTION("""COMPUTED_VALUE"""),603.0)</f>
        <v>603</v>
      </c>
      <c r="D1137" s="186"/>
      <c r="E1137" s="186"/>
      <c r="F1137" s="186"/>
      <c r="G1137" s="186" t="str">
        <f>IFERROR(__xludf.DUMMYFUNCTION("""COMPUTED_VALUE"""),"FV0713A")</f>
        <v>FV0713A</v>
      </c>
      <c r="H1137" s="186"/>
      <c r="I1137" s="186"/>
      <c r="J1137" s="189">
        <f>IFERROR(__xludf.DUMMYFUNCTION("""COMPUTED_VALUE"""),0.0)</f>
        <v>0</v>
      </c>
      <c r="K1137" s="189">
        <f>IFERROR(__xludf.DUMMYFUNCTION("""COMPUTED_VALUE"""),0.0)</f>
        <v>0</v>
      </c>
      <c r="L1137" s="186"/>
      <c r="M1137" s="186"/>
      <c r="N1137" s="186"/>
      <c r="O1137" s="186"/>
      <c r="P1137" s="186"/>
      <c r="Q1137" s="186"/>
      <c r="R1137" s="186"/>
      <c r="S1137" s="186"/>
    </row>
    <row r="1138">
      <c r="A1138" s="186" t="str">
        <f>IFERROR(__xludf.DUMMYFUNCTION("""COMPUTED_VALUE"""),"NORDICS")</f>
        <v>NORDICS</v>
      </c>
      <c r="B1138" s="186" t="str">
        <f>IFERROR(__xludf.DUMMYFUNCTION("""COMPUTED_VALUE"""),"W22")</f>
        <v>W22</v>
      </c>
      <c r="C1138" s="186">
        <f>IFERROR(__xludf.DUMMYFUNCTION("""COMPUTED_VALUE"""),604.0)</f>
        <v>604</v>
      </c>
      <c r="D1138" s="186" t="str">
        <f>IFERROR(__xludf.DUMMYFUNCTION("""COMPUTED_VALUE"""),"CON-00-147833-2")</f>
        <v>CON-00-147833-2</v>
      </c>
      <c r="E1138" s="186" t="str">
        <f>IFERROR(__xludf.DUMMYFUNCTION("""COMPUTED_VALUE"""),"Spicy citrus salmon")</f>
        <v>Spicy citrus salmon</v>
      </c>
      <c r="F1138" s="186" t="str">
        <f>IFERROR(__xludf.DUMMYFUNCTION("""COMPUTED_VALUE"""),"Krydret citruslaks ")</f>
        <v>Krydret citruslaks </v>
      </c>
      <c r="G1138" s="186" t="str">
        <f>IFERROR(__xludf.DUMMYFUNCTION("""COMPUTED_VALUE"""),"FE0281E")</f>
        <v>FE0281E</v>
      </c>
      <c r="H1138" s="186">
        <f>IFERROR(__xludf.DUMMYFUNCTION("""COMPUTED_VALUE"""),565087.0)</f>
        <v>565087</v>
      </c>
      <c r="I1138" s="186"/>
      <c r="J1138" s="189">
        <f>IFERROR(__xludf.DUMMYFUNCTION("""COMPUTED_VALUE"""),0.0)</f>
        <v>0</v>
      </c>
      <c r="K1138" s="189">
        <f>IFERROR(__xludf.DUMMYFUNCTION("""COMPUTED_VALUE"""),0.0)</f>
        <v>0</v>
      </c>
      <c r="L1138" s="186"/>
      <c r="M1138" s="186"/>
      <c r="N1138" s="186"/>
      <c r="O1138" s="186"/>
      <c r="P1138" s="186"/>
      <c r="Q1138" s="186"/>
      <c r="R1138" s="186"/>
      <c r="S1138" s="186"/>
    </row>
    <row r="1139">
      <c r="A1139" s="186" t="str">
        <f>IFERROR(__xludf.DUMMYFUNCTION("""COMPUTED_VALUE"""),"NORDICS")</f>
        <v>NORDICS</v>
      </c>
      <c r="B1139" s="186" t="str">
        <f>IFERROR(__xludf.DUMMYFUNCTION("""COMPUTED_VALUE"""),"W22")</f>
        <v>W22</v>
      </c>
      <c r="C1139" s="186">
        <f>IFERROR(__xludf.DUMMYFUNCTION("""COMPUTED_VALUE"""),605.0)</f>
        <v>605</v>
      </c>
      <c r="D1139" s="186" t="str">
        <f>IFERROR(__xludf.DUMMYFUNCTION("""COMPUTED_VALUE"""),"CON-00-152208-2")</f>
        <v>CON-00-152208-2</v>
      </c>
      <c r="E1139" s="186" t="str">
        <f>IFERROR(__xludf.DUMMYFUNCTION("""COMPUTED_VALUE"""),"Green Chile Chicken &amp; Salsa Quinoa")</f>
        <v>Green Chile Chicken &amp; Salsa Quinoa</v>
      </c>
      <c r="F1139" s="186" t="str">
        <f>IFERROR(__xludf.DUMMYFUNCTION("""COMPUTED_VALUE"""),"Chilensk inspireret kylling med salsa-quinoa")</f>
        <v>Chilensk inspireret kylling med salsa-quinoa</v>
      </c>
      <c r="G1139" s="186" t="str">
        <f>IFERROR(__xludf.DUMMYFUNCTION("""COMPUTED_VALUE"""),"FE1636A")</f>
        <v>FE1636A</v>
      </c>
      <c r="H1139" s="186">
        <f>IFERROR(__xludf.DUMMYFUNCTION("""COMPUTED_VALUE"""),565209.0)</f>
        <v>565209</v>
      </c>
      <c r="I1139" s="186" t="str">
        <f>IFERROR(__xludf.DUMMYFUNCTION("""COMPUTED_VALUE"""),"HF Quinoa witte bonen salsa")</f>
        <v>HF Quinoa witte bonen salsa</v>
      </c>
      <c r="J1139" s="189">
        <f>IFERROR(__xludf.DUMMYFUNCTION("""COMPUTED_VALUE"""),1765.0)</f>
        <v>1765</v>
      </c>
      <c r="K1139" s="189">
        <f>IFERROR(__xludf.DUMMYFUNCTION("""COMPUTED_VALUE"""),1722.0)</f>
        <v>1722</v>
      </c>
      <c r="L1139" s="186"/>
      <c r="M1139" s="186"/>
      <c r="N1139" s="186"/>
      <c r="O1139" s="186"/>
      <c r="P1139" s="186"/>
      <c r="Q1139" s="186"/>
      <c r="R1139" s="186"/>
      <c r="S1139" s="186"/>
    </row>
    <row r="1140">
      <c r="A1140" s="186" t="str">
        <f>IFERROR(__xludf.DUMMYFUNCTION("""COMPUTED_VALUE"""),"NORDICS")</f>
        <v>NORDICS</v>
      </c>
      <c r="B1140" s="186" t="str">
        <f>IFERROR(__xludf.DUMMYFUNCTION("""COMPUTED_VALUE"""),"W22")</f>
        <v>W22</v>
      </c>
      <c r="C1140" s="186">
        <f>IFERROR(__xludf.DUMMYFUNCTION("""COMPUTED_VALUE"""),606.0)</f>
        <v>606</v>
      </c>
      <c r="D1140" s="186" t="str">
        <f>IFERROR(__xludf.DUMMYFUNCTION("""COMPUTED_VALUE"""),"CON-00-152023-2")</f>
        <v>CON-00-152023-2</v>
      </c>
      <c r="E1140" s="186" t="str">
        <f>IFERROR(__xludf.DUMMYFUNCTION("""COMPUTED_VALUE"""),"Salmon Piccata")</f>
        <v>Salmon Piccata</v>
      </c>
      <c r="F1140" s="186" t="str">
        <f>IFERROR(__xludf.DUMMYFUNCTION("""COMPUTED_VALUE"""),"Laks Piccata ")</f>
        <v>Laks Piccata </v>
      </c>
      <c r="G1140" s="186" t="str">
        <f>IFERROR(__xludf.DUMMYFUNCTION("""COMPUTED_VALUE"""),"FE0972B")</f>
        <v>FE0972B</v>
      </c>
      <c r="H1140" s="186">
        <f>IFERROR(__xludf.DUMMYFUNCTION("""COMPUTED_VALUE"""),565189.0)</f>
        <v>565189</v>
      </c>
      <c r="I1140" s="186" t="str">
        <f>IFERROR(__xludf.DUMMYFUNCTION("""COMPUTED_VALUE"""),"HF Zalm met piccata saus")</f>
        <v>HF Zalm met piccata saus</v>
      </c>
      <c r="J1140" s="189">
        <f>IFERROR(__xludf.DUMMYFUNCTION("""COMPUTED_VALUE"""),0.0)</f>
        <v>0</v>
      </c>
      <c r="K1140" s="189">
        <f>IFERROR(__xludf.DUMMYFUNCTION("""COMPUTED_VALUE"""),0.0)</f>
        <v>0</v>
      </c>
      <c r="L1140" s="186"/>
      <c r="M1140" s="186"/>
      <c r="N1140" s="186"/>
      <c r="O1140" s="186"/>
      <c r="P1140" s="186"/>
      <c r="Q1140" s="186"/>
      <c r="R1140" s="186"/>
      <c r="S1140" s="186"/>
    </row>
    <row r="1141">
      <c r="A1141" s="186" t="str">
        <f>IFERROR(__xludf.DUMMYFUNCTION("""COMPUTED_VALUE"""),"NORDICS")</f>
        <v>NORDICS</v>
      </c>
      <c r="B1141" s="186" t="str">
        <f>IFERROR(__xludf.DUMMYFUNCTION("""COMPUTED_VALUE"""),"W22")</f>
        <v>W22</v>
      </c>
      <c r="C1141" s="186">
        <f>IFERROR(__xludf.DUMMYFUNCTION("""COMPUTED_VALUE"""),607.0)</f>
        <v>607</v>
      </c>
      <c r="D1141" s="186" t="str">
        <f>IFERROR(__xludf.DUMMYFUNCTION("""COMPUTED_VALUE"""),"CON-00-150821-2")</f>
        <v>CON-00-150821-2</v>
      </c>
      <c r="E1141" s="186" t="str">
        <f>IFERROR(__xludf.DUMMYFUNCTION("""COMPUTED_VALUE"""),"Loaded Bacon Shredded Chicken")</f>
        <v>Loaded Bacon Shredded Chicken</v>
      </c>
      <c r="F1141" s="186" t="str">
        <f>IFERROR(__xludf.DUMMYFUNCTION("""COMPUTED_VALUE"""),"Pulled chicken med bacon")</f>
        <v>Pulled chicken med bacon</v>
      </c>
      <c r="G1141" s="186" t="str">
        <f>IFERROR(__xludf.DUMMYFUNCTION("""COMPUTED_VALUE"""),"FE0794D")</f>
        <v>FE0794D</v>
      </c>
      <c r="H1141" s="186">
        <f>IFERROR(__xludf.DUMMYFUNCTION("""COMPUTED_VALUE"""),565156.0)</f>
        <v>565156</v>
      </c>
      <c r="I1141" s="186" t="str">
        <f>IFERROR(__xludf.DUMMYFUNCTION("""COMPUTED_VALUE"""),"HF Loaded Bacon Chicken")</f>
        <v>HF Loaded Bacon Chicken</v>
      </c>
      <c r="J1141" s="189">
        <f>IFERROR(__xludf.DUMMYFUNCTION("""COMPUTED_VALUE"""),0.0)</f>
        <v>0</v>
      </c>
      <c r="K1141" s="189">
        <f>IFERROR(__xludf.DUMMYFUNCTION("""COMPUTED_VALUE"""),0.0)</f>
        <v>0</v>
      </c>
      <c r="L1141" s="186"/>
      <c r="M1141" s="186"/>
      <c r="N1141" s="186"/>
      <c r="O1141" s="186"/>
      <c r="P1141" s="186"/>
      <c r="Q1141" s="186"/>
      <c r="R1141" s="186"/>
      <c r="S1141" s="186"/>
    </row>
    <row r="1142">
      <c r="A1142" s="186" t="str">
        <f>IFERROR(__xludf.DUMMYFUNCTION("""COMPUTED_VALUE"""),"NORDICS")</f>
        <v>NORDICS</v>
      </c>
      <c r="B1142" s="186" t="str">
        <f>IFERROR(__xludf.DUMMYFUNCTION("""COMPUTED_VALUE"""),"W22")</f>
        <v>W22</v>
      </c>
      <c r="C1142" s="186">
        <f>IFERROR(__xludf.DUMMYFUNCTION("""COMPUTED_VALUE"""),608.0)</f>
        <v>608</v>
      </c>
      <c r="D1142" s="186" t="str">
        <f>IFERROR(__xludf.DUMMYFUNCTION("""COMPUTED_VALUE"""),"CON-00-147825-2")</f>
        <v>CON-00-147825-2</v>
      </c>
      <c r="E1142" s="186" t="str">
        <f>IFERROR(__xludf.DUMMYFUNCTION("""COMPUTED_VALUE"""),"Chicken in creamy spinach")</f>
        <v>Chicken in creamy spinach</v>
      </c>
      <c r="F1142" s="186" t="str">
        <f>IFERROR(__xludf.DUMMYFUNCTION("""COMPUTED_VALUE"""),"Kylling i cremet spinat")</f>
        <v>Kylling i cremet spinat</v>
      </c>
      <c r="G1142" s="186" t="str">
        <f>IFERROR(__xludf.DUMMYFUNCTION("""COMPUTED_VALUE"""),"FE0207I")</f>
        <v>FE0207I</v>
      </c>
      <c r="H1142" s="186">
        <f>IFERROR(__xludf.DUMMYFUNCTION("""COMPUTED_VALUE"""),565148.0)</f>
        <v>565148</v>
      </c>
      <c r="I1142" s="186" t="str">
        <f>IFERROR(__xludf.DUMMYFUNCTION("""COMPUTED_VALUE"""),"HF RW Kipfilet in rom spinazie")</f>
        <v>HF RW Kipfilet in rom spinazie</v>
      </c>
      <c r="J1142" s="189">
        <f>IFERROR(__xludf.DUMMYFUNCTION("""COMPUTED_VALUE"""),1240.0)</f>
        <v>1240</v>
      </c>
      <c r="K1142" s="189">
        <f>IFERROR(__xludf.DUMMYFUNCTION("""COMPUTED_VALUE"""),1194.0)</f>
        <v>1194</v>
      </c>
      <c r="L1142" s="186"/>
      <c r="M1142" s="186"/>
      <c r="N1142" s="186"/>
      <c r="O1142" s="186"/>
      <c r="P1142" s="186"/>
      <c r="Q1142" s="186"/>
      <c r="R1142" s="186"/>
      <c r="S1142" s="186"/>
    </row>
    <row r="1143">
      <c r="A1143" s="186" t="str">
        <f>IFERROR(__xludf.DUMMYFUNCTION("""COMPUTED_VALUE"""),"NORDICS")</f>
        <v>NORDICS</v>
      </c>
      <c r="B1143" s="186" t="str">
        <f>IFERROR(__xludf.DUMMYFUNCTION("""COMPUTED_VALUE"""),"W22")</f>
        <v>W22</v>
      </c>
      <c r="C1143" s="186">
        <f>IFERROR(__xludf.DUMMYFUNCTION("""COMPUTED_VALUE"""),609.0)</f>
        <v>609</v>
      </c>
      <c r="D1143" s="186"/>
      <c r="E1143" s="186"/>
      <c r="F1143" s="186"/>
      <c r="G1143" s="186" t="str">
        <f>IFERROR(__xludf.DUMMYFUNCTION("""COMPUTED_VALUE"""),"FV0121A")</f>
        <v>FV0121A</v>
      </c>
      <c r="H1143" s="186"/>
      <c r="I1143" s="186"/>
      <c r="J1143" s="189">
        <f>IFERROR(__xludf.DUMMYFUNCTION("""COMPUTED_VALUE"""),0.0)</f>
        <v>0</v>
      </c>
      <c r="K1143" s="189">
        <f>IFERROR(__xludf.DUMMYFUNCTION("""COMPUTED_VALUE"""),0.0)</f>
        <v>0</v>
      </c>
      <c r="L1143" s="186"/>
      <c r="M1143" s="186"/>
      <c r="N1143" s="186"/>
      <c r="O1143" s="186"/>
      <c r="P1143" s="186"/>
      <c r="Q1143" s="186"/>
      <c r="R1143" s="186"/>
      <c r="S1143" s="186"/>
    </row>
    <row r="1144">
      <c r="A1144" s="186" t="str">
        <f>IFERROR(__xludf.DUMMYFUNCTION("""COMPUTED_VALUE"""),"NORDICS")</f>
        <v>NORDICS</v>
      </c>
      <c r="B1144" s="186" t="str">
        <f>IFERROR(__xludf.DUMMYFUNCTION("""COMPUTED_VALUE"""),"W22")</f>
        <v>W22</v>
      </c>
      <c r="C1144" s="186">
        <f>IFERROR(__xludf.DUMMYFUNCTION("""COMPUTED_VALUE"""),610.0)</f>
        <v>610</v>
      </c>
      <c r="D1144" s="186"/>
      <c r="E1144" s="186"/>
      <c r="F1144" s="186"/>
      <c r="G1144" s="186" t="str">
        <f>IFERROR(__xludf.DUMMYFUNCTION("""COMPUTED_VALUE"""),"FV0131A")</f>
        <v>FV0131A</v>
      </c>
      <c r="H1144" s="186"/>
      <c r="I1144" s="186"/>
      <c r="J1144" s="189">
        <f>IFERROR(__xludf.DUMMYFUNCTION("""COMPUTED_VALUE"""),0.0)</f>
        <v>0</v>
      </c>
      <c r="K1144" s="189">
        <f>IFERROR(__xludf.DUMMYFUNCTION("""COMPUTED_VALUE"""),0.0)</f>
        <v>0</v>
      </c>
      <c r="L1144" s="186"/>
      <c r="M1144" s="186"/>
      <c r="N1144" s="186"/>
      <c r="O1144" s="186"/>
      <c r="P1144" s="186"/>
      <c r="Q1144" s="186"/>
      <c r="R1144" s="186"/>
      <c r="S1144" s="186"/>
    </row>
    <row r="1145">
      <c r="A1145" s="186" t="str">
        <f>IFERROR(__xludf.DUMMYFUNCTION("""COMPUTED_VALUE"""),"NORDICS")</f>
        <v>NORDICS</v>
      </c>
      <c r="B1145" s="186" t="str">
        <f>IFERROR(__xludf.DUMMYFUNCTION("""COMPUTED_VALUE"""),"W22")</f>
        <v>W22</v>
      </c>
      <c r="C1145" s="186">
        <f>IFERROR(__xludf.DUMMYFUNCTION("""COMPUTED_VALUE"""),611.0)</f>
        <v>611</v>
      </c>
      <c r="D1145" s="186" t="str">
        <f>IFERROR(__xludf.DUMMYFUNCTION("""COMPUTED_VALUE"""),"CON-00-147870-2")</f>
        <v>CON-00-147870-2</v>
      </c>
      <c r="E1145" s="186" t="str">
        <f>IFERROR(__xludf.DUMMYFUNCTION("""COMPUTED_VALUE"""),"Pork tenderloin in sundried tomato sauce")</f>
        <v>Pork tenderloin in sundried tomato sauce</v>
      </c>
      <c r="F1145" s="186" t="str">
        <f>IFERROR(__xludf.DUMMYFUNCTION("""COMPUTED_VALUE"""),"Svinemørbrad i soltørret tomatsauce")</f>
        <v>Svinemørbrad i soltørret tomatsauce</v>
      </c>
      <c r="G1145" s="186" t="str">
        <f>IFERROR(__xludf.DUMMYFUNCTION("""COMPUTED_VALUE"""),"FE4006A")</f>
        <v>FE4006A</v>
      </c>
      <c r="H1145" s="186">
        <f>IFERROR(__xludf.DUMMYFUNCTION("""COMPUTED_VALUE"""),565063.0)</f>
        <v>565063</v>
      </c>
      <c r="I1145" s="186" t="str">
        <f>IFERROR(__xludf.DUMMYFUNCTION("""COMPUTED_VALUE"""),"HF Varkenshaas met tomatensaus 384g")</f>
        <v>HF Varkenshaas met tomatensaus 384g</v>
      </c>
      <c r="J1145" s="189">
        <f>IFERROR(__xludf.DUMMYFUNCTION("""COMPUTED_VALUE"""),449.0)</f>
        <v>449</v>
      </c>
      <c r="K1145" s="189">
        <f>IFERROR(__xludf.DUMMYFUNCTION("""COMPUTED_VALUE"""),418.0)</f>
        <v>418</v>
      </c>
      <c r="L1145" s="186"/>
      <c r="M1145" s="186"/>
      <c r="N1145" s="186"/>
      <c r="O1145" s="186"/>
      <c r="P1145" s="186"/>
      <c r="Q1145" s="186"/>
      <c r="R1145" s="186"/>
      <c r="S1145" s="186"/>
    </row>
    <row r="1146">
      <c r="A1146" s="186" t="str">
        <f>IFERROR(__xludf.DUMMYFUNCTION("""COMPUTED_VALUE"""),"NORDICS")</f>
        <v>NORDICS</v>
      </c>
      <c r="B1146" s="186" t="str">
        <f>IFERROR(__xludf.DUMMYFUNCTION("""COMPUTED_VALUE"""),"W22")</f>
        <v>W22</v>
      </c>
      <c r="C1146" s="186">
        <f>IFERROR(__xludf.DUMMYFUNCTION("""COMPUTED_VALUE"""),612.0)</f>
        <v>612</v>
      </c>
      <c r="D1146" s="186"/>
      <c r="E1146" s="186"/>
      <c r="F1146" s="186"/>
      <c r="G1146" s="186" t="str">
        <f>IFERROR(__xludf.DUMMYFUNCTION("""COMPUTED_VALUE"""),"FV4009A")</f>
        <v>FV4009A</v>
      </c>
      <c r="H1146" s="186"/>
      <c r="I1146" s="186"/>
      <c r="J1146" s="189">
        <f>IFERROR(__xludf.DUMMYFUNCTION("""COMPUTED_VALUE"""),0.0)</f>
        <v>0</v>
      </c>
      <c r="K1146" s="189">
        <f>IFERROR(__xludf.DUMMYFUNCTION("""COMPUTED_VALUE"""),0.0)</f>
        <v>0</v>
      </c>
      <c r="L1146" s="186"/>
      <c r="M1146" s="186"/>
      <c r="N1146" s="186"/>
      <c r="O1146" s="186"/>
      <c r="P1146" s="186"/>
      <c r="Q1146" s="186"/>
      <c r="R1146" s="186"/>
      <c r="S1146" s="186"/>
    </row>
    <row r="1147">
      <c r="A1147" s="186" t="str">
        <f>IFERROR(__xludf.DUMMYFUNCTION("""COMPUTED_VALUE"""),"NORDICS")</f>
        <v>NORDICS</v>
      </c>
      <c r="B1147" s="186" t="str">
        <f>IFERROR(__xludf.DUMMYFUNCTION("""COMPUTED_VALUE"""),"W22")</f>
        <v>W22</v>
      </c>
      <c r="C1147" s="186">
        <f>IFERROR(__xludf.DUMMYFUNCTION("""COMPUTED_VALUE"""),613.0)</f>
        <v>613</v>
      </c>
      <c r="D1147" s="186" t="str">
        <f>IFERROR(__xludf.DUMMYFUNCTION("""COMPUTED_VALUE"""),"CON-00-147901-2")</f>
        <v>CON-00-147901-2</v>
      </c>
      <c r="E1147" s="186" t="str">
        <f>IFERROR(__xludf.DUMMYFUNCTION("""COMPUTED_VALUE"""),"Red chile pulled pork")</f>
        <v>Red chile pulled pork</v>
      </c>
      <c r="F1147" s="186" t="str">
        <f>IFERROR(__xludf.DUMMYFUNCTION("""COMPUTED_VALUE"""),"Chilikryddet pulled pork")</f>
        <v>Chilikryddet pulled pork</v>
      </c>
      <c r="G1147" s="186" t="str">
        <f>IFERROR(__xludf.DUMMYFUNCTION("""COMPUTED_VALUE"""),"FE4049B")</f>
        <v>FE4049B</v>
      </c>
      <c r="H1147" s="186">
        <f>IFERROR(__xludf.DUMMYFUNCTION("""COMPUTED_VALUE"""),565130.0)</f>
        <v>565130</v>
      </c>
      <c r="I1147" s="186" t="str">
        <f>IFERROR(__xludf.DUMMYFUNCTION("""COMPUTED_VALUE"""),"HF Rode Chili &amp; Pulled Pork")</f>
        <v>HF Rode Chili &amp; Pulled Pork</v>
      </c>
      <c r="J1147" s="189">
        <f>IFERROR(__xludf.DUMMYFUNCTION("""COMPUTED_VALUE"""),2018.0)</f>
        <v>2018</v>
      </c>
      <c r="K1147" s="189">
        <f>IFERROR(__xludf.DUMMYFUNCTION("""COMPUTED_VALUE"""),1159.0)</f>
        <v>1159</v>
      </c>
      <c r="L1147" s="186"/>
      <c r="M1147" s="186"/>
      <c r="N1147" s="186"/>
      <c r="O1147" s="186"/>
      <c r="P1147" s="186"/>
      <c r="Q1147" s="186"/>
      <c r="R1147" s="186"/>
      <c r="S1147" s="186"/>
    </row>
    <row r="1148">
      <c r="A1148" s="186" t="str">
        <f>IFERROR(__xludf.DUMMYFUNCTION("""COMPUTED_VALUE"""),"NORDICS")</f>
        <v>NORDICS</v>
      </c>
      <c r="B1148" s="186" t="str">
        <f>IFERROR(__xludf.DUMMYFUNCTION("""COMPUTED_VALUE"""),"W22")</f>
        <v>W22</v>
      </c>
      <c r="C1148" s="186">
        <f>IFERROR(__xludf.DUMMYFUNCTION("""COMPUTED_VALUE"""),614.0)</f>
        <v>614</v>
      </c>
      <c r="D1148" s="186" t="str">
        <f>IFERROR(__xludf.DUMMYFUNCTION("""COMPUTED_VALUE"""),"CON-00-152034-2")</f>
        <v>CON-00-152034-2</v>
      </c>
      <c r="E1148" s="186" t="str">
        <f>IFERROR(__xludf.DUMMYFUNCTION("""COMPUTED_VALUE"""),"Moroccan-style chicken thighs &amp; tomato sauce")</f>
        <v>Moroccan-style chicken thighs &amp; tomato sauce</v>
      </c>
      <c r="F1148" s="186" t="str">
        <f>IFERROR(__xludf.DUMMYFUNCTION("""COMPUTED_VALUE"""),"Marokkansk-inspirerede kyllingelår med tomatsauce")</f>
        <v>Marokkansk-inspirerede kyllingelår med tomatsauce</v>
      </c>
      <c r="G1148" s="186" t="str">
        <f>IFERROR(__xludf.DUMMYFUNCTION("""COMPUTED_VALUE"""),"FE1068B")</f>
        <v>FE1068B</v>
      </c>
      <c r="H1148" s="186">
        <f>IFERROR(__xludf.DUMMYFUNCTION("""COMPUTED_VALUE"""),565192.0)</f>
        <v>565192</v>
      </c>
      <c r="I1148" s="186" t="str">
        <f>IFERROR(__xludf.DUMMYFUNCTION("""COMPUTED_VALUE"""),"HF Marokk stijl kippendij toma")</f>
        <v>HF Marokk stijl kippendij toma</v>
      </c>
      <c r="J1148" s="189">
        <f>IFERROR(__xludf.DUMMYFUNCTION("""COMPUTED_VALUE"""),0.0)</f>
        <v>0</v>
      </c>
      <c r="K1148" s="189">
        <f>IFERROR(__xludf.DUMMYFUNCTION("""COMPUTED_VALUE"""),0.0)</f>
        <v>0</v>
      </c>
      <c r="L1148" s="186"/>
      <c r="M1148" s="186"/>
      <c r="N1148" s="186"/>
      <c r="O1148" s="186"/>
      <c r="P1148" s="186"/>
      <c r="Q1148" s="186"/>
      <c r="R1148" s="186"/>
      <c r="S1148" s="186"/>
    </row>
    <row r="1149">
      <c r="A1149" s="186" t="str">
        <f>IFERROR(__xludf.DUMMYFUNCTION("""COMPUTED_VALUE"""),"NORDICS")</f>
        <v>NORDICS</v>
      </c>
      <c r="B1149" s="186" t="str">
        <f>IFERROR(__xludf.DUMMYFUNCTION("""COMPUTED_VALUE"""),"W22")</f>
        <v>W22</v>
      </c>
      <c r="C1149" s="186">
        <f>IFERROR(__xludf.DUMMYFUNCTION("""COMPUTED_VALUE"""),615.0)</f>
        <v>615</v>
      </c>
      <c r="D1149" s="186"/>
      <c r="E1149" s="186"/>
      <c r="F1149" s="186"/>
      <c r="G1149" s="186" t="str">
        <f>IFERROR(__xludf.DUMMYFUNCTION("""COMPUTED_VALUE"""),"FV0345A")</f>
        <v>FV0345A</v>
      </c>
      <c r="H1149" s="186"/>
      <c r="I1149" s="186"/>
      <c r="J1149" s="189">
        <f>IFERROR(__xludf.DUMMYFUNCTION("""COMPUTED_VALUE"""),0.0)</f>
        <v>0</v>
      </c>
      <c r="K1149" s="189">
        <f>IFERROR(__xludf.DUMMYFUNCTION("""COMPUTED_VALUE"""),0.0)</f>
        <v>0</v>
      </c>
      <c r="L1149" s="186"/>
      <c r="M1149" s="186"/>
      <c r="N1149" s="186"/>
      <c r="O1149" s="186"/>
      <c r="P1149" s="186"/>
      <c r="Q1149" s="186"/>
      <c r="R1149" s="186"/>
      <c r="S1149" s="186"/>
    </row>
    <row r="1150">
      <c r="A1150" s="186" t="str">
        <f>IFERROR(__xludf.DUMMYFUNCTION("""COMPUTED_VALUE"""),"NORDICS")</f>
        <v>NORDICS</v>
      </c>
      <c r="B1150" s="186" t="str">
        <f>IFERROR(__xludf.DUMMYFUNCTION("""COMPUTED_VALUE"""),"W22")</f>
        <v>W22</v>
      </c>
      <c r="C1150" s="186">
        <f>IFERROR(__xludf.DUMMYFUNCTION("""COMPUTED_VALUE"""),616.0)</f>
        <v>616</v>
      </c>
      <c r="D1150" s="186" t="str">
        <f>IFERROR(__xludf.DUMMYFUNCTION("""COMPUTED_VALUE"""),"CON-00-156138-2")</f>
        <v>CON-00-156138-2</v>
      </c>
      <c r="E1150" s="186" t="str">
        <f>IFERROR(__xludf.DUMMYFUNCTION("""COMPUTED_VALUE"""),"Pulled Beef &amp; Mushroom Cream Pasta")</f>
        <v>Pulled Beef &amp; Mushroom Cream Pasta</v>
      </c>
      <c r="F1150" s="186" t="str">
        <f>IFERROR(__xludf.DUMMYFUNCTION("""COMPUTED_VALUE"""),"Pulled beef med cremet svampepasta")</f>
        <v>Pulled beef med cremet svampepasta</v>
      </c>
      <c r="G1150" s="186"/>
      <c r="H1150" s="186">
        <f>IFERROR(__xludf.DUMMYFUNCTION("""COMPUTED_VALUE"""),565254.0)</f>
        <v>565254</v>
      </c>
      <c r="I1150" s="186" t="str">
        <f>IFERROR(__xludf.DUMMYFUNCTION("""COMPUTED_VALUE"""),"HF Pulled beef mushroom pasta")</f>
        <v>HF Pulled beef mushroom pasta</v>
      </c>
      <c r="J1150" s="189">
        <f>IFERROR(__xludf.DUMMYFUNCTION("""COMPUTED_VALUE"""),517.0)</f>
        <v>517</v>
      </c>
      <c r="K1150" s="189">
        <f>IFERROR(__xludf.DUMMYFUNCTION("""COMPUTED_VALUE"""),485.0)</f>
        <v>485</v>
      </c>
      <c r="L1150" s="186"/>
      <c r="M1150" s="186"/>
      <c r="N1150" s="186"/>
      <c r="O1150" s="186"/>
      <c r="P1150" s="186"/>
      <c r="Q1150" s="186"/>
      <c r="R1150" s="186"/>
      <c r="S1150" s="186"/>
    </row>
    <row r="1151">
      <c r="A1151" s="186" t="str">
        <f>IFERROR(__xludf.DUMMYFUNCTION("""COMPUTED_VALUE"""),"NORDICS")</f>
        <v>NORDICS</v>
      </c>
      <c r="B1151" s="186" t="str">
        <f>IFERROR(__xludf.DUMMYFUNCTION("""COMPUTED_VALUE"""),"W22")</f>
        <v>W22</v>
      </c>
      <c r="C1151" s="186">
        <f>IFERROR(__xludf.DUMMYFUNCTION("""COMPUTED_VALUE"""),617.0)</f>
        <v>617</v>
      </c>
      <c r="D1151" s="186" t="str">
        <f>IFERROR(__xludf.DUMMYFUNCTION("""COMPUTED_VALUE"""),"CON-00-147844-2")</f>
        <v>CON-00-147844-2</v>
      </c>
      <c r="E1151" s="186" t="str">
        <f>IFERROR(__xludf.DUMMYFUNCTION("""COMPUTED_VALUE"""),"Indian style butter chicken")</f>
        <v>Indian style butter chicken</v>
      </c>
      <c r="F1151" s="186" t="str">
        <f>IFERROR(__xludf.DUMMYFUNCTION("""COMPUTED_VALUE"""),"Indisk-inspireret butter chicken")</f>
        <v>Indisk-inspireret butter chicken</v>
      </c>
      <c r="G1151" s="186" t="str">
        <f>IFERROR(__xludf.DUMMYFUNCTION("""COMPUTED_VALUE"""),"FE0472B")</f>
        <v>FE0472B</v>
      </c>
      <c r="H1151" s="186">
        <f>IFERROR(__xludf.DUMMYFUNCTION("""COMPUTED_VALUE"""),565145.0)</f>
        <v>565145</v>
      </c>
      <c r="I1151" s="186" t="str">
        <f>IFERROR(__xludf.DUMMYFUNCTION("""COMPUTED_VALUE"""),"HF RW Butter Chicken")</f>
        <v>HF RW Butter Chicken</v>
      </c>
      <c r="J1151" s="189">
        <f>IFERROR(__xludf.DUMMYFUNCTION("""COMPUTED_VALUE"""),0.0)</f>
        <v>0</v>
      </c>
      <c r="K1151" s="189">
        <f>IFERROR(__xludf.DUMMYFUNCTION("""COMPUTED_VALUE"""),0.0)</f>
        <v>0</v>
      </c>
      <c r="L1151" s="186"/>
      <c r="M1151" s="186"/>
      <c r="N1151" s="186"/>
      <c r="O1151" s="186"/>
      <c r="P1151" s="186"/>
      <c r="Q1151" s="186"/>
      <c r="R1151" s="186"/>
      <c r="S1151" s="186"/>
    </row>
    <row r="1152">
      <c r="A1152" s="186" t="str">
        <f>IFERROR(__xludf.DUMMYFUNCTION("""COMPUTED_VALUE"""),"NORDICS")</f>
        <v>NORDICS</v>
      </c>
      <c r="B1152" s="186" t="str">
        <f>IFERROR(__xludf.DUMMYFUNCTION("""COMPUTED_VALUE"""),"W22")</f>
        <v>W22</v>
      </c>
      <c r="C1152" s="186">
        <f>IFERROR(__xludf.DUMMYFUNCTION("""COMPUTED_VALUE"""),618.0)</f>
        <v>618</v>
      </c>
      <c r="D1152" s="186" t="str">
        <f>IFERROR(__xludf.DUMMYFUNCTION("""COMPUTED_VALUE"""),"CON-00-147848-2")</f>
        <v>CON-00-147848-2</v>
      </c>
      <c r="E1152" s="186" t="str">
        <f>IFERROR(__xludf.DUMMYFUNCTION("""COMPUTED_VALUE"""),"Pork tenderloin in red pepper sauce")</f>
        <v>Pork tenderloin in red pepper sauce</v>
      </c>
      <c r="F1152" s="186" t="str">
        <f>IFERROR(__xludf.DUMMYFUNCTION("""COMPUTED_VALUE"""),"Svinemørbrad i rød peberfrugtsauce")</f>
        <v>Svinemørbrad i rød peberfrugtsauce</v>
      </c>
      <c r="G1152" s="186" t="str">
        <f>IFERROR(__xludf.DUMMYFUNCTION("""COMPUTED_VALUE"""),"FE0430E")</f>
        <v>FE0430E</v>
      </c>
      <c r="H1152" s="186">
        <f>IFERROR(__xludf.DUMMYFUNCTION("""COMPUTED_VALUE"""),565140.0)</f>
        <v>565140</v>
      </c>
      <c r="I1152" s="186"/>
      <c r="J1152" s="189">
        <f>IFERROR(__xludf.DUMMYFUNCTION("""COMPUTED_VALUE"""),683.0)</f>
        <v>683</v>
      </c>
      <c r="K1152" s="189">
        <f>IFERROR(__xludf.DUMMYFUNCTION("""COMPUTED_VALUE"""),696.0)</f>
        <v>696</v>
      </c>
      <c r="L1152" s="186"/>
      <c r="M1152" s="186"/>
      <c r="N1152" s="186"/>
      <c r="O1152" s="186"/>
      <c r="P1152" s="186"/>
      <c r="Q1152" s="186"/>
      <c r="R1152" s="186"/>
      <c r="S1152" s="186"/>
    </row>
    <row r="1153">
      <c r="A1153" s="186" t="str">
        <f>IFERROR(__xludf.DUMMYFUNCTION("""COMPUTED_VALUE"""),"NORDICS")</f>
        <v>NORDICS</v>
      </c>
      <c r="B1153" s="186" t="str">
        <f>IFERROR(__xludf.DUMMYFUNCTION("""COMPUTED_VALUE"""),"W22")</f>
        <v>W22</v>
      </c>
      <c r="C1153" s="186">
        <f>IFERROR(__xludf.DUMMYFUNCTION("""COMPUTED_VALUE"""),619.0)</f>
        <v>619</v>
      </c>
      <c r="D1153" s="186"/>
      <c r="E1153" s="186"/>
      <c r="F1153" s="186"/>
      <c r="G1153" s="186" t="str">
        <f>IFERROR(__xludf.DUMMYFUNCTION("""COMPUTED_VALUE"""),"FV1646A")</f>
        <v>FV1646A</v>
      </c>
      <c r="H1153" s="186"/>
      <c r="I1153" s="186"/>
      <c r="J1153" s="189">
        <f>IFERROR(__xludf.DUMMYFUNCTION("""COMPUTED_VALUE"""),0.0)</f>
        <v>0</v>
      </c>
      <c r="K1153" s="189">
        <f>IFERROR(__xludf.DUMMYFUNCTION("""COMPUTED_VALUE"""),0.0)</f>
        <v>0</v>
      </c>
      <c r="L1153" s="186"/>
      <c r="M1153" s="186"/>
      <c r="N1153" s="186"/>
      <c r="O1153" s="186"/>
      <c r="P1153" s="186"/>
      <c r="Q1153" s="186"/>
      <c r="R1153" s="186"/>
      <c r="S1153" s="186"/>
    </row>
    <row r="1154">
      <c r="A1154" s="186" t="str">
        <f>IFERROR(__xludf.DUMMYFUNCTION("""COMPUTED_VALUE"""),"NORDICS")</f>
        <v>NORDICS</v>
      </c>
      <c r="B1154" s="186" t="str">
        <f>IFERROR(__xludf.DUMMYFUNCTION("""COMPUTED_VALUE"""),"W22")</f>
        <v>W22</v>
      </c>
      <c r="C1154" s="186">
        <f>IFERROR(__xludf.DUMMYFUNCTION("""COMPUTED_VALUE"""),620.0)</f>
        <v>620</v>
      </c>
      <c r="D1154" s="186"/>
      <c r="E1154" s="186" t="str">
        <f>IFERROR(__xludf.DUMMYFUNCTION("""COMPUTED_VALUE"""),"Herb-Grilled Chicken")</f>
        <v>Herb-Grilled Chicken</v>
      </c>
      <c r="F1154" s="186" t="str">
        <f>IFERROR(__xludf.DUMMYFUNCTION("""COMPUTED_VALUE"""),"Grillkylling med urter")</f>
        <v>Grillkylling med urter</v>
      </c>
      <c r="G1154" s="186" t="str">
        <f>IFERROR(__xludf.DUMMYFUNCTION("""COMPUTED_VALUE"""),"FE4070A")</f>
        <v>FE4070A</v>
      </c>
      <c r="H1154" s="186">
        <f>IFERROR(__xludf.DUMMYFUNCTION("""COMPUTED_VALUE"""),565242.0)</f>
        <v>565242</v>
      </c>
      <c r="I1154" s="186" t="str">
        <f>IFERROR(__xludf.DUMMYFUNCTION("""COMPUTED_VALUE"""),"HF Kip met risotto geitenkaas")</f>
        <v>HF Kip met risotto geitenkaas</v>
      </c>
      <c r="J1154" s="189">
        <f>IFERROR(__xludf.DUMMYFUNCTION("""COMPUTED_VALUE"""),635.0)</f>
        <v>635</v>
      </c>
      <c r="K1154" s="189">
        <f>IFERROR(__xludf.DUMMYFUNCTION("""COMPUTED_VALUE"""),597.0)</f>
        <v>597</v>
      </c>
      <c r="L1154" s="186"/>
      <c r="M1154" s="186"/>
      <c r="N1154" s="186"/>
      <c r="O1154" s="186"/>
      <c r="P1154" s="186"/>
      <c r="Q1154" s="186"/>
      <c r="R1154" s="186"/>
      <c r="S1154" s="186"/>
    </row>
    <row r="1155">
      <c r="A1155" s="186" t="str">
        <f>IFERROR(__xludf.DUMMYFUNCTION("""COMPUTED_VALUE"""),"NORDICS")</f>
        <v>NORDICS</v>
      </c>
      <c r="B1155" s="186" t="str">
        <f>IFERROR(__xludf.DUMMYFUNCTION("""COMPUTED_VALUE"""),"W22")</f>
        <v>W22</v>
      </c>
      <c r="C1155" s="186">
        <f>IFERROR(__xludf.DUMMYFUNCTION("""COMPUTED_VALUE"""),621.0)</f>
        <v>621</v>
      </c>
      <c r="D1155" s="186"/>
      <c r="E1155" s="186" t="str">
        <f>IFERROR(__xludf.DUMMYFUNCTION("""COMPUTED_VALUE"""),"Spicy Beef &amp; Black Bean Chili")</f>
        <v>Spicy Beef &amp; Black Bean Chili</v>
      </c>
      <c r="F1155" s="186" t="str">
        <f>IFERROR(__xludf.DUMMYFUNCTION("""COMPUTED_VALUE"""),"Chili med oksekød og sorte bønner")</f>
        <v>Chili med oksekød og sorte bønner</v>
      </c>
      <c r="G1155" s="186" t="str">
        <f>IFERROR(__xludf.DUMMYFUNCTION("""COMPUTED_VALUE"""),"FE4065A")</f>
        <v>FE4065A</v>
      </c>
      <c r="H1155" s="186">
        <f>IFERROR(__xludf.DUMMYFUNCTION("""COMPUTED_VALUE"""),565214.0)</f>
        <v>565214</v>
      </c>
      <c r="I1155" s="186" t="str">
        <f>IFERROR(__xludf.DUMMYFUNCTION("""COMPUTED_VALUE"""),"HF Pittige runder chili")</f>
        <v>HF Pittige runder chili</v>
      </c>
      <c r="J1155" s="189">
        <f>IFERROR(__xludf.DUMMYFUNCTION("""COMPUTED_VALUE"""),0.0)</f>
        <v>0</v>
      </c>
      <c r="K1155" s="189">
        <f>IFERROR(__xludf.DUMMYFUNCTION("""COMPUTED_VALUE"""),0.0)</f>
        <v>0</v>
      </c>
      <c r="L1155" s="186"/>
      <c r="M1155" s="186"/>
      <c r="N1155" s="186"/>
      <c r="O1155" s="186"/>
      <c r="P1155" s="186"/>
      <c r="Q1155" s="186"/>
      <c r="R1155" s="186"/>
      <c r="S1155" s="186"/>
    </row>
    <row r="1156">
      <c r="A1156" s="186" t="str">
        <f>IFERROR(__xludf.DUMMYFUNCTION("""COMPUTED_VALUE"""),"NORDICS")</f>
        <v>NORDICS</v>
      </c>
      <c r="B1156" s="186" t="str">
        <f>IFERROR(__xludf.DUMMYFUNCTION("""COMPUTED_VALUE"""),"W22")</f>
        <v>W22</v>
      </c>
      <c r="C1156" s="186">
        <f>IFERROR(__xludf.DUMMYFUNCTION("""COMPUTED_VALUE"""),706.0)</f>
        <v>706</v>
      </c>
      <c r="D1156" s="186" t="str">
        <f>IFERROR(__xludf.DUMMYFUNCTION("""COMPUTED_VALUE"""),"PTN-00-148223-2")</f>
        <v>PTN-00-148223-2</v>
      </c>
      <c r="E1156" s="186" t="str">
        <f>IFERROR(__xludf.DUMMYFUNCTION("""COMPUTED_VALUE"""),"Garlic Herb Grilled Chicken")</f>
        <v>Garlic Herb Grilled Chicken</v>
      </c>
      <c r="F1156" s="186" t="str">
        <f>IFERROR(__xludf.DUMMYFUNCTION("""COMPUTED_VALUE"""),"Grillet kylling med hvidlød og urter")</f>
        <v>Grillet kylling med hvidlød og urter</v>
      </c>
      <c r="G1156" s="186" t="str">
        <f>IFERROR(__xludf.DUMMYFUNCTION("""COMPUTED_VALUE"""),"FEA006A")</f>
        <v>FEA006A</v>
      </c>
      <c r="H1156" s="186">
        <f>IFERROR(__xludf.DUMMYFUNCTION("""COMPUTED_VALUE"""),565119.0)</f>
        <v>565119</v>
      </c>
      <c r="I1156" s="186"/>
      <c r="J1156" s="189">
        <f>IFERROR(__xludf.DUMMYFUNCTION("""COMPUTED_VALUE"""),56.0)</f>
        <v>56</v>
      </c>
      <c r="K1156" s="189">
        <f>IFERROR(__xludf.DUMMYFUNCTION("""COMPUTED_VALUE"""),36.0)</f>
        <v>36</v>
      </c>
      <c r="L1156" s="186"/>
      <c r="M1156" s="186"/>
      <c r="N1156" s="186"/>
      <c r="O1156" s="186"/>
      <c r="P1156" s="186"/>
      <c r="Q1156" s="186"/>
      <c r="R1156" s="186"/>
      <c r="S1156" s="186"/>
    </row>
    <row r="1157">
      <c r="A1157" s="186" t="str">
        <f>IFERROR(__xludf.DUMMYFUNCTION("""COMPUTED_VALUE"""),"NORDICS")</f>
        <v>NORDICS</v>
      </c>
      <c r="B1157" s="186" t="str">
        <f>IFERROR(__xludf.DUMMYFUNCTION("""COMPUTED_VALUE"""),"W22")</f>
        <v>W22</v>
      </c>
      <c r="C1157" s="186"/>
      <c r="D1157" s="186"/>
      <c r="E1157" s="186"/>
      <c r="F1157" s="186"/>
      <c r="G1157" s="186"/>
      <c r="H1157" s="186"/>
      <c r="I1157" s="186"/>
      <c r="J1157" s="189">
        <f>IFERROR(__xludf.DUMMYFUNCTION("""COMPUTED_VALUE"""),13337.0)</f>
        <v>13337</v>
      </c>
      <c r="K1157" s="189">
        <f>IFERROR(__xludf.DUMMYFUNCTION("""COMPUTED_VALUE"""),11670.0)</f>
        <v>11670</v>
      </c>
      <c r="L1157" s="189">
        <f>IFERROR(__xludf.DUMMYFUNCTION("""COMPUTED_VALUE"""),0.0)</f>
        <v>0</v>
      </c>
      <c r="M1157" s="189">
        <f>IFERROR(__xludf.DUMMYFUNCTION("""COMPUTED_VALUE"""),0.0)</f>
        <v>0</v>
      </c>
      <c r="N1157" s="189">
        <f>IFERROR(__xludf.DUMMYFUNCTION("""COMPUTED_VALUE"""),0.0)</f>
        <v>0</v>
      </c>
      <c r="O1157" s="189">
        <f>IFERROR(__xludf.DUMMYFUNCTION("""COMPUTED_VALUE"""),0.0)</f>
        <v>0</v>
      </c>
      <c r="P1157" s="189">
        <f>IFERROR(__xludf.DUMMYFUNCTION("""COMPUTED_VALUE"""),0.0)</f>
        <v>0</v>
      </c>
      <c r="Q1157" s="189">
        <f>IFERROR(__xludf.DUMMYFUNCTION("""COMPUTED_VALUE"""),0.0)</f>
        <v>0</v>
      </c>
      <c r="R1157" s="189">
        <f>IFERROR(__xludf.DUMMYFUNCTION("""COMPUTED_VALUE"""),0.0)</f>
        <v>0</v>
      </c>
      <c r="S1157" s="189">
        <f>IFERROR(__xludf.DUMMYFUNCTION("""COMPUTED_VALUE"""),0.0)</f>
        <v>0</v>
      </c>
    </row>
    <row r="1158">
      <c r="A1158" s="186" t="str">
        <f>IFERROR(__xludf.DUMMYFUNCTION("""COMPUTED_VALUE"""),"DE")</f>
        <v>DE</v>
      </c>
      <c r="B1158" s="186" t="str">
        <f>IFERROR(__xludf.DUMMYFUNCTION("""COMPUTED_VALUE"""),"W22")</f>
        <v>W22</v>
      </c>
      <c r="C1158" s="186">
        <f>IFERROR(__xludf.DUMMYFUNCTION("""COMPUTED_VALUE"""),301.0)</f>
        <v>301</v>
      </c>
      <c r="D1158" s="186" t="str">
        <f>IFERROR(__xludf.DUMMYFUNCTION("""COMPUTED_VALUE"""),"CON-00-136675-3")</f>
        <v>CON-00-136675-3</v>
      </c>
      <c r="E1158" s="186" t="str">
        <f>IFERROR(__xludf.DUMMYFUNCTION("""COMPUTED_VALUE"""),"Creamy basil risotto with chicken")</f>
        <v>Creamy basil risotto with chicken</v>
      </c>
      <c r="F1158" s="186" t="str">
        <f>IFERROR(__xludf.DUMMYFUNCTION("""COMPUTED_VALUE"""),"Cremiges Basilikum-Risotto mit Hähnchen")</f>
        <v>Cremiges Basilikum-Risotto mit Hähnchen</v>
      </c>
      <c r="G1158" s="186" t="str">
        <f>IFERROR(__xludf.DUMMYFUNCTION("""COMPUTED_VALUE"""),"FE4014C")</f>
        <v>FE4014C</v>
      </c>
      <c r="H1158" s="186">
        <f>IFERROR(__xludf.DUMMYFUNCTION("""COMPUTED_VALUE"""),565303.0)</f>
        <v>565303</v>
      </c>
      <c r="I1158" s="186" t="str">
        <f>IFERROR(__xludf.DUMMYFUNCTION("""COMPUTED_VALUE"""),"HF RW Kip romige basil risotto")</f>
        <v>HF RW Kip romige basil risotto</v>
      </c>
      <c r="J1158" s="189">
        <f>IFERROR(__xludf.DUMMYFUNCTION("""COMPUTED_VALUE"""),2789.0)</f>
        <v>2789</v>
      </c>
      <c r="K1158" s="189">
        <f>IFERROR(__xludf.DUMMYFUNCTION("""COMPUTED_VALUE"""),2427.0)</f>
        <v>2427</v>
      </c>
      <c r="L1158" s="186"/>
      <c r="M1158" s="186"/>
      <c r="N1158" s="186"/>
      <c r="O1158" s="186"/>
      <c r="P1158" s="186"/>
      <c r="Q1158" s="186"/>
      <c r="R1158" s="186"/>
      <c r="S1158" s="186"/>
    </row>
    <row r="1159">
      <c r="A1159" s="186" t="str">
        <f>IFERROR(__xludf.DUMMYFUNCTION("""COMPUTED_VALUE"""),"DE")</f>
        <v>DE</v>
      </c>
      <c r="B1159" s="186" t="str">
        <f>IFERROR(__xludf.DUMMYFUNCTION("""COMPUTED_VALUE"""),"W22")</f>
        <v>W22</v>
      </c>
      <c r="C1159" s="186">
        <f>IFERROR(__xludf.DUMMYFUNCTION("""COMPUTED_VALUE"""),302.0)</f>
        <v>302</v>
      </c>
      <c r="D1159" s="186" t="str">
        <f>IFERROR(__xludf.DUMMYFUNCTION("""COMPUTED_VALUE"""),"CON-00-136620-3")</f>
        <v>CON-00-136620-3</v>
      </c>
      <c r="E1159" s="186" t="str">
        <f>IFERROR(__xludf.DUMMYFUNCTION("""COMPUTED_VALUE"""),"Chicken à la Florentine")</f>
        <v>Chicken à la Florentine</v>
      </c>
      <c r="F1159" s="186" t="str">
        <f>IFERROR(__xludf.DUMMYFUNCTION("""COMPUTED_VALUE"""),"Hähnchen à la Florentine")</f>
        <v>Hähnchen à la Florentine</v>
      </c>
      <c r="G1159" s="186" t="str">
        <f>IFERROR(__xludf.DUMMYFUNCTION("""COMPUTED_VALUE"""),"FE0224D")</f>
        <v>FE0224D</v>
      </c>
      <c r="H1159" s="186">
        <f>IFERROR(__xludf.DUMMYFUNCTION("""COMPUTED_VALUE"""),565047.0)</f>
        <v>565047</v>
      </c>
      <c r="I1159" s="186" t="str">
        <f>IFERROR(__xludf.DUMMYFUNCTION("""COMPUTED_VALUE"""),"HF Kip á la Florentine")</f>
        <v>HF Kip á la Florentine</v>
      </c>
      <c r="J1159" s="189">
        <f>IFERROR(__xludf.DUMMYFUNCTION("""COMPUTED_VALUE"""),1626.0)</f>
        <v>1626</v>
      </c>
      <c r="K1159" s="189">
        <f>IFERROR(__xludf.DUMMYFUNCTION("""COMPUTED_VALUE"""),1588.0)</f>
        <v>1588</v>
      </c>
      <c r="L1159" s="186"/>
      <c r="M1159" s="186"/>
      <c r="N1159" s="186"/>
      <c r="O1159" s="186"/>
      <c r="P1159" s="186"/>
      <c r="Q1159" s="186"/>
      <c r="R1159" s="186"/>
      <c r="S1159" s="186"/>
    </row>
    <row r="1160">
      <c r="A1160" s="186" t="str">
        <f>IFERROR(__xludf.DUMMYFUNCTION("""COMPUTED_VALUE"""),"DE")</f>
        <v>DE</v>
      </c>
      <c r="B1160" s="186" t="str">
        <f>IFERROR(__xludf.DUMMYFUNCTION("""COMPUTED_VALUE"""),"W22")</f>
        <v>W22</v>
      </c>
      <c r="C1160" s="186">
        <f>IFERROR(__xludf.DUMMYFUNCTION("""COMPUTED_VALUE"""),303.0)</f>
        <v>303</v>
      </c>
      <c r="D1160" s="186"/>
      <c r="E1160" s="186"/>
      <c r="F1160" s="186"/>
      <c r="G1160" s="186" t="str">
        <f>IFERROR(__xludf.DUMMYFUNCTION("""COMPUTED_VALUE"""),"FV0713A")</f>
        <v>FV0713A</v>
      </c>
      <c r="H1160" s="186"/>
      <c r="I1160" s="186"/>
      <c r="J1160" s="189">
        <f>IFERROR(__xludf.DUMMYFUNCTION("""COMPUTED_VALUE"""),0.0)</f>
        <v>0</v>
      </c>
      <c r="K1160" s="189">
        <f>IFERROR(__xludf.DUMMYFUNCTION("""COMPUTED_VALUE"""),0.0)</f>
        <v>0</v>
      </c>
      <c r="L1160" s="186"/>
      <c r="M1160" s="186"/>
      <c r="N1160" s="186"/>
      <c r="O1160" s="186"/>
      <c r="P1160" s="186"/>
      <c r="Q1160" s="186"/>
      <c r="R1160" s="186"/>
      <c r="S1160" s="186"/>
    </row>
    <row r="1161">
      <c r="A1161" s="186" t="str">
        <f>IFERROR(__xludf.DUMMYFUNCTION("""COMPUTED_VALUE"""),"DE")</f>
        <v>DE</v>
      </c>
      <c r="B1161" s="186" t="str">
        <f>IFERROR(__xludf.DUMMYFUNCTION("""COMPUTED_VALUE"""),"W22")</f>
        <v>W22</v>
      </c>
      <c r="C1161" s="186">
        <f>IFERROR(__xludf.DUMMYFUNCTION("""COMPUTED_VALUE"""),304.0)</f>
        <v>304</v>
      </c>
      <c r="D1161" s="186" t="str">
        <f>IFERROR(__xludf.DUMMYFUNCTION("""COMPUTED_VALUE"""),"CON-00-136683-3")</f>
        <v>CON-00-136683-3</v>
      </c>
      <c r="E1161" s="186" t="str">
        <f>IFERROR(__xludf.DUMMYFUNCTION("""COMPUTED_VALUE"""),"Spicy citrus salmon")</f>
        <v>Spicy citrus salmon</v>
      </c>
      <c r="F1161" s="186" t="str">
        <f>IFERROR(__xludf.DUMMYFUNCTION("""COMPUTED_VALUE"""),"Würziger Zitronenlachs")</f>
        <v>Würziger Zitronenlachs</v>
      </c>
      <c r="G1161" s="186" t="str">
        <f>IFERROR(__xludf.DUMMYFUNCTION("""COMPUTED_VALUE"""),"FE0281E")</f>
        <v>FE0281E</v>
      </c>
      <c r="H1161" s="186">
        <f>IFERROR(__xludf.DUMMYFUNCTION("""COMPUTED_VALUE"""),565087.0)</f>
        <v>565087</v>
      </c>
      <c r="I1161" s="186"/>
      <c r="J1161" s="189">
        <f>IFERROR(__xludf.DUMMYFUNCTION("""COMPUTED_VALUE"""),0.0)</f>
        <v>0</v>
      </c>
      <c r="K1161" s="189">
        <f>IFERROR(__xludf.DUMMYFUNCTION("""COMPUTED_VALUE"""),0.0)</f>
        <v>0</v>
      </c>
      <c r="L1161" s="186"/>
      <c r="M1161" s="186"/>
      <c r="N1161" s="186"/>
      <c r="O1161" s="186"/>
      <c r="P1161" s="186"/>
      <c r="Q1161" s="186"/>
      <c r="R1161" s="186"/>
      <c r="S1161" s="186"/>
    </row>
    <row r="1162">
      <c r="A1162" s="186" t="str">
        <f>IFERROR(__xludf.DUMMYFUNCTION("""COMPUTED_VALUE"""),"DE")</f>
        <v>DE</v>
      </c>
      <c r="B1162" s="186" t="str">
        <f>IFERROR(__xludf.DUMMYFUNCTION("""COMPUTED_VALUE"""),"W22")</f>
        <v>W22</v>
      </c>
      <c r="C1162" s="186">
        <f>IFERROR(__xludf.DUMMYFUNCTION("""COMPUTED_VALUE"""),305.0)</f>
        <v>305</v>
      </c>
      <c r="D1162" s="186" t="str">
        <f>IFERROR(__xludf.DUMMYFUNCTION("""COMPUTED_VALUE"""),"CON-00-152205-2")</f>
        <v>CON-00-152205-2</v>
      </c>
      <c r="E1162" s="186" t="str">
        <f>IFERROR(__xludf.DUMMYFUNCTION("""COMPUTED_VALUE"""),"Green Chile Chicken &amp; Salsa Quinoa")</f>
        <v>Green Chile Chicken &amp; Salsa Quinoa</v>
      </c>
      <c r="F1162" s="186" t="str">
        <f>IFERROR(__xludf.DUMMYFUNCTION("""COMPUTED_VALUE"""),"Grünes Chili-Hähnchen mit Quinoa-Salsa")</f>
        <v>Grünes Chili-Hähnchen mit Quinoa-Salsa</v>
      </c>
      <c r="G1162" s="186" t="str">
        <f>IFERROR(__xludf.DUMMYFUNCTION("""COMPUTED_VALUE"""),"FE1636A")</f>
        <v>FE1636A</v>
      </c>
      <c r="H1162" s="186">
        <f>IFERROR(__xludf.DUMMYFUNCTION("""COMPUTED_VALUE"""),565209.0)</f>
        <v>565209</v>
      </c>
      <c r="I1162" s="186" t="str">
        <f>IFERROR(__xludf.DUMMYFUNCTION("""COMPUTED_VALUE"""),"HF Quinoa witte bonen salsa")</f>
        <v>HF Quinoa witte bonen salsa</v>
      </c>
      <c r="J1162" s="189">
        <f>IFERROR(__xludf.DUMMYFUNCTION("""COMPUTED_VALUE"""),1514.0)</f>
        <v>1514</v>
      </c>
      <c r="K1162" s="189">
        <f>IFERROR(__xludf.DUMMYFUNCTION("""COMPUTED_VALUE"""),1516.0)</f>
        <v>1516</v>
      </c>
      <c r="L1162" s="186"/>
      <c r="M1162" s="186"/>
      <c r="N1162" s="186"/>
      <c r="O1162" s="186"/>
      <c r="P1162" s="186"/>
      <c r="Q1162" s="186"/>
      <c r="R1162" s="186"/>
      <c r="S1162" s="186"/>
    </row>
    <row r="1163">
      <c r="A1163" s="186" t="str">
        <f>IFERROR(__xludf.DUMMYFUNCTION("""COMPUTED_VALUE"""),"DE")</f>
        <v>DE</v>
      </c>
      <c r="B1163" s="186" t="str">
        <f>IFERROR(__xludf.DUMMYFUNCTION("""COMPUTED_VALUE"""),"W22")</f>
        <v>W22</v>
      </c>
      <c r="C1163" s="186">
        <f>IFERROR(__xludf.DUMMYFUNCTION("""COMPUTED_VALUE"""),306.0)</f>
        <v>306</v>
      </c>
      <c r="D1163" s="186" t="str">
        <f>IFERROR(__xludf.DUMMYFUNCTION("""COMPUTED_VALUE"""),"CON-00-152025-2")</f>
        <v>CON-00-152025-2</v>
      </c>
      <c r="E1163" s="186" t="str">
        <f>IFERROR(__xludf.DUMMYFUNCTION("""COMPUTED_VALUE"""),"Salmon Piccata")</f>
        <v>Salmon Piccata</v>
      </c>
      <c r="F1163" s="186" t="str">
        <f>IFERROR(__xludf.DUMMYFUNCTION("""COMPUTED_VALUE"""),"Lachs Piccata")</f>
        <v>Lachs Piccata</v>
      </c>
      <c r="G1163" s="186" t="str">
        <f>IFERROR(__xludf.DUMMYFUNCTION("""COMPUTED_VALUE"""),"FE0972B")</f>
        <v>FE0972B</v>
      </c>
      <c r="H1163" s="186">
        <f>IFERROR(__xludf.DUMMYFUNCTION("""COMPUTED_VALUE"""),565189.0)</f>
        <v>565189</v>
      </c>
      <c r="I1163" s="186" t="str">
        <f>IFERROR(__xludf.DUMMYFUNCTION("""COMPUTED_VALUE"""),"HF Zalm met piccata saus")</f>
        <v>HF Zalm met piccata saus</v>
      </c>
      <c r="J1163" s="189">
        <f>IFERROR(__xludf.DUMMYFUNCTION("""COMPUTED_VALUE"""),0.0)</f>
        <v>0</v>
      </c>
      <c r="K1163" s="189">
        <f>IFERROR(__xludf.DUMMYFUNCTION("""COMPUTED_VALUE"""),0.0)</f>
        <v>0</v>
      </c>
      <c r="L1163" s="186"/>
      <c r="M1163" s="186"/>
      <c r="N1163" s="186"/>
      <c r="O1163" s="186"/>
      <c r="P1163" s="186"/>
      <c r="Q1163" s="186"/>
      <c r="R1163" s="186"/>
      <c r="S1163" s="186"/>
    </row>
    <row r="1164">
      <c r="A1164" s="186" t="str">
        <f>IFERROR(__xludf.DUMMYFUNCTION("""COMPUTED_VALUE"""),"DE")</f>
        <v>DE</v>
      </c>
      <c r="B1164" s="186" t="str">
        <f>IFERROR(__xludf.DUMMYFUNCTION("""COMPUTED_VALUE"""),"W22")</f>
        <v>W22</v>
      </c>
      <c r="C1164" s="186">
        <f>IFERROR(__xludf.DUMMYFUNCTION("""COMPUTED_VALUE"""),307.0)</f>
        <v>307</v>
      </c>
      <c r="D1164" s="186" t="str">
        <f>IFERROR(__xludf.DUMMYFUNCTION("""COMPUTED_VALUE"""),"CON-00-147983-2")</f>
        <v>CON-00-147983-2</v>
      </c>
      <c r="E1164" s="186" t="str">
        <f>IFERROR(__xludf.DUMMYFUNCTION("""COMPUTED_VALUE"""),"Loaded Bacon Shredded Chicken")</f>
        <v>Loaded Bacon Shredded Chicken</v>
      </c>
      <c r="F1164" s="186" t="str">
        <f>IFERROR(__xludf.DUMMYFUNCTION("""COMPUTED_VALUE"""),"Pulled Chicken mit Bacon")</f>
        <v>Pulled Chicken mit Bacon</v>
      </c>
      <c r="G1164" s="186" t="str">
        <f>IFERROR(__xludf.DUMMYFUNCTION("""COMPUTED_VALUE"""),"FE0794D")</f>
        <v>FE0794D</v>
      </c>
      <c r="H1164" s="186">
        <f>IFERROR(__xludf.DUMMYFUNCTION("""COMPUTED_VALUE"""),565156.0)</f>
        <v>565156</v>
      </c>
      <c r="I1164" s="186" t="str">
        <f>IFERROR(__xludf.DUMMYFUNCTION("""COMPUTED_VALUE"""),"HF Loaded Bacon Chicken")</f>
        <v>HF Loaded Bacon Chicken</v>
      </c>
      <c r="J1164" s="189">
        <f>IFERROR(__xludf.DUMMYFUNCTION("""COMPUTED_VALUE"""),0.0)</f>
        <v>0</v>
      </c>
      <c r="K1164" s="189">
        <f>IFERROR(__xludf.DUMMYFUNCTION("""COMPUTED_VALUE"""),0.0)</f>
        <v>0</v>
      </c>
      <c r="L1164" s="186"/>
      <c r="M1164" s="186"/>
      <c r="N1164" s="186"/>
      <c r="O1164" s="186"/>
      <c r="P1164" s="186"/>
      <c r="Q1164" s="186"/>
      <c r="R1164" s="186"/>
      <c r="S1164" s="186"/>
    </row>
    <row r="1165">
      <c r="A1165" s="186" t="str">
        <f>IFERROR(__xludf.DUMMYFUNCTION("""COMPUTED_VALUE"""),"DE")</f>
        <v>DE</v>
      </c>
      <c r="B1165" s="186" t="str">
        <f>IFERROR(__xludf.DUMMYFUNCTION("""COMPUTED_VALUE"""),"W22")</f>
        <v>W22</v>
      </c>
      <c r="C1165" s="186">
        <f>IFERROR(__xludf.DUMMYFUNCTION("""COMPUTED_VALUE"""),308.0)</f>
        <v>308</v>
      </c>
      <c r="D1165" s="186" t="str">
        <f>IFERROR(__xludf.DUMMYFUNCTION("""COMPUTED_VALUE"""),"CON-00-136619-3")</f>
        <v>CON-00-136619-3</v>
      </c>
      <c r="E1165" s="186" t="str">
        <f>IFERROR(__xludf.DUMMYFUNCTION("""COMPUTED_VALUE"""),"Chicken in creamy spinach")</f>
        <v>Chicken in creamy spinach</v>
      </c>
      <c r="F1165" s="186" t="str">
        <f>IFERROR(__xludf.DUMMYFUNCTION("""COMPUTED_VALUE"""),"Hähnchen in Spinat-Creme")</f>
        <v>Hähnchen in Spinat-Creme</v>
      </c>
      <c r="G1165" s="186" t="str">
        <f>IFERROR(__xludf.DUMMYFUNCTION("""COMPUTED_VALUE"""),"FE0207I")</f>
        <v>FE0207I</v>
      </c>
      <c r="H1165" s="186">
        <f>IFERROR(__xludf.DUMMYFUNCTION("""COMPUTED_VALUE"""),565148.0)</f>
        <v>565148</v>
      </c>
      <c r="I1165" s="186" t="str">
        <f>IFERROR(__xludf.DUMMYFUNCTION("""COMPUTED_VALUE"""),"HF RW Kipfilet in rom spinazie")</f>
        <v>HF RW Kipfilet in rom spinazie</v>
      </c>
      <c r="J1165" s="189">
        <f>IFERROR(__xludf.DUMMYFUNCTION("""COMPUTED_VALUE"""),1195.0)</f>
        <v>1195</v>
      </c>
      <c r="K1165" s="189">
        <f>IFERROR(__xludf.DUMMYFUNCTION("""COMPUTED_VALUE"""),1150.0)</f>
        <v>1150</v>
      </c>
      <c r="L1165" s="186"/>
      <c r="M1165" s="186"/>
      <c r="N1165" s="186"/>
      <c r="O1165" s="186"/>
      <c r="P1165" s="186"/>
      <c r="Q1165" s="186"/>
      <c r="R1165" s="186"/>
      <c r="S1165" s="186"/>
    </row>
    <row r="1166">
      <c r="A1166" s="186" t="str">
        <f>IFERROR(__xludf.DUMMYFUNCTION("""COMPUTED_VALUE"""),"DE")</f>
        <v>DE</v>
      </c>
      <c r="B1166" s="186" t="str">
        <f>IFERROR(__xludf.DUMMYFUNCTION("""COMPUTED_VALUE"""),"W22")</f>
        <v>W22</v>
      </c>
      <c r="C1166" s="186">
        <f>IFERROR(__xludf.DUMMYFUNCTION("""COMPUTED_VALUE"""),309.0)</f>
        <v>309</v>
      </c>
      <c r="D1166" s="186"/>
      <c r="E1166" s="186"/>
      <c r="F1166" s="186"/>
      <c r="G1166" s="186" t="str">
        <f>IFERROR(__xludf.DUMMYFUNCTION("""COMPUTED_VALUE"""),"FV0121A")</f>
        <v>FV0121A</v>
      </c>
      <c r="H1166" s="186"/>
      <c r="I1166" s="186"/>
      <c r="J1166" s="189">
        <f>IFERROR(__xludf.DUMMYFUNCTION("""COMPUTED_VALUE"""),0.0)</f>
        <v>0</v>
      </c>
      <c r="K1166" s="189">
        <f>IFERROR(__xludf.DUMMYFUNCTION("""COMPUTED_VALUE"""),0.0)</f>
        <v>0</v>
      </c>
      <c r="L1166" s="186"/>
      <c r="M1166" s="186"/>
      <c r="N1166" s="186"/>
      <c r="O1166" s="186"/>
      <c r="P1166" s="186"/>
      <c r="Q1166" s="186"/>
      <c r="R1166" s="186"/>
      <c r="S1166" s="186"/>
    </row>
    <row r="1167">
      <c r="A1167" s="186" t="str">
        <f>IFERROR(__xludf.DUMMYFUNCTION("""COMPUTED_VALUE"""),"DE")</f>
        <v>DE</v>
      </c>
      <c r="B1167" s="186" t="str">
        <f>IFERROR(__xludf.DUMMYFUNCTION("""COMPUTED_VALUE"""),"W22")</f>
        <v>W22</v>
      </c>
      <c r="C1167" s="186">
        <f>IFERROR(__xludf.DUMMYFUNCTION("""COMPUTED_VALUE"""),310.0)</f>
        <v>310</v>
      </c>
      <c r="D1167" s="186"/>
      <c r="E1167" s="186"/>
      <c r="F1167" s="186"/>
      <c r="G1167" s="186" t="str">
        <f>IFERROR(__xludf.DUMMYFUNCTION("""COMPUTED_VALUE"""),"FV0131A")</f>
        <v>FV0131A</v>
      </c>
      <c r="H1167" s="186"/>
      <c r="I1167" s="186"/>
      <c r="J1167" s="189">
        <f>IFERROR(__xludf.DUMMYFUNCTION("""COMPUTED_VALUE"""),0.0)</f>
        <v>0</v>
      </c>
      <c r="K1167" s="189">
        <f>IFERROR(__xludf.DUMMYFUNCTION("""COMPUTED_VALUE"""),0.0)</f>
        <v>0</v>
      </c>
      <c r="L1167" s="186"/>
      <c r="M1167" s="186"/>
      <c r="N1167" s="186"/>
      <c r="O1167" s="186"/>
      <c r="P1167" s="186"/>
      <c r="Q1167" s="186"/>
      <c r="R1167" s="186"/>
      <c r="S1167" s="186"/>
    </row>
    <row r="1168">
      <c r="A1168" s="186" t="str">
        <f>IFERROR(__xludf.DUMMYFUNCTION("""COMPUTED_VALUE"""),"DE")</f>
        <v>DE</v>
      </c>
      <c r="B1168" s="186" t="str">
        <f>IFERROR(__xludf.DUMMYFUNCTION("""COMPUTED_VALUE"""),"W22")</f>
        <v>W22</v>
      </c>
      <c r="C1168" s="186">
        <f>IFERROR(__xludf.DUMMYFUNCTION("""COMPUTED_VALUE"""),311.0)</f>
        <v>311</v>
      </c>
      <c r="D1168" s="186" t="str">
        <f>IFERROR(__xludf.DUMMYFUNCTION("""COMPUTED_VALUE"""),"CON-00-136664-3")</f>
        <v>CON-00-136664-3</v>
      </c>
      <c r="E1168" s="186" t="str">
        <f>IFERROR(__xludf.DUMMYFUNCTION("""COMPUTED_VALUE"""),"Pork tenderloin in sundried tomato sauce")</f>
        <v>Pork tenderloin in sundried tomato sauce</v>
      </c>
      <c r="F1168" s="186" t="str">
        <f>IFERROR(__xludf.DUMMYFUNCTION("""COMPUTED_VALUE"""),"Schweinefilet in Sonnentomaten-Sauce")</f>
        <v>Schweinefilet in Sonnentomaten-Sauce</v>
      </c>
      <c r="G1168" s="186" t="str">
        <f>IFERROR(__xludf.DUMMYFUNCTION("""COMPUTED_VALUE"""),"FE4006A")</f>
        <v>FE4006A</v>
      </c>
      <c r="H1168" s="186">
        <f>IFERROR(__xludf.DUMMYFUNCTION("""COMPUTED_VALUE"""),565063.0)</f>
        <v>565063</v>
      </c>
      <c r="I1168" s="186" t="str">
        <f>IFERROR(__xludf.DUMMYFUNCTION("""COMPUTED_VALUE"""),"HF Varkenshaas met tomatensaus 384g")</f>
        <v>HF Varkenshaas met tomatensaus 384g</v>
      </c>
      <c r="J1168" s="189">
        <f>IFERROR(__xludf.DUMMYFUNCTION("""COMPUTED_VALUE"""),367.0)</f>
        <v>367</v>
      </c>
      <c r="K1168" s="189">
        <f>IFERROR(__xludf.DUMMYFUNCTION("""COMPUTED_VALUE"""),354.0)</f>
        <v>354</v>
      </c>
      <c r="L1168" s="186"/>
      <c r="M1168" s="186"/>
      <c r="N1168" s="186"/>
      <c r="O1168" s="186"/>
      <c r="P1168" s="186"/>
      <c r="Q1168" s="186"/>
      <c r="R1168" s="186"/>
      <c r="S1168" s="186"/>
    </row>
    <row r="1169">
      <c r="A1169" s="186" t="str">
        <f>IFERROR(__xludf.DUMMYFUNCTION("""COMPUTED_VALUE"""),"DE")</f>
        <v>DE</v>
      </c>
      <c r="B1169" s="186" t="str">
        <f>IFERROR(__xludf.DUMMYFUNCTION("""COMPUTED_VALUE"""),"W22")</f>
        <v>W22</v>
      </c>
      <c r="C1169" s="186">
        <f>IFERROR(__xludf.DUMMYFUNCTION("""COMPUTED_VALUE"""),312.0)</f>
        <v>312</v>
      </c>
      <c r="D1169" s="186"/>
      <c r="E1169" s="186"/>
      <c r="F1169" s="186"/>
      <c r="G1169" s="186" t="str">
        <f>IFERROR(__xludf.DUMMYFUNCTION("""COMPUTED_VALUE"""),"FV4009A")</f>
        <v>FV4009A</v>
      </c>
      <c r="H1169" s="186"/>
      <c r="I1169" s="186"/>
      <c r="J1169" s="189">
        <f>IFERROR(__xludf.DUMMYFUNCTION("""COMPUTED_VALUE"""),0.0)</f>
        <v>0</v>
      </c>
      <c r="K1169" s="189">
        <f>IFERROR(__xludf.DUMMYFUNCTION("""COMPUTED_VALUE"""),0.0)</f>
        <v>0</v>
      </c>
      <c r="L1169" s="186"/>
      <c r="M1169" s="186"/>
      <c r="N1169" s="186"/>
      <c r="O1169" s="186"/>
      <c r="P1169" s="186"/>
      <c r="Q1169" s="186"/>
      <c r="R1169" s="186"/>
      <c r="S1169" s="186"/>
    </row>
    <row r="1170">
      <c r="A1170" s="186" t="str">
        <f>IFERROR(__xludf.DUMMYFUNCTION("""COMPUTED_VALUE"""),"DE")</f>
        <v>DE</v>
      </c>
      <c r="B1170" s="186" t="str">
        <f>IFERROR(__xludf.DUMMYFUNCTION("""COMPUTED_VALUE"""),"W22")</f>
        <v>W22</v>
      </c>
      <c r="C1170" s="186">
        <f>IFERROR(__xludf.DUMMYFUNCTION("""COMPUTED_VALUE"""),313.0)</f>
        <v>313</v>
      </c>
      <c r="D1170" s="186" t="str">
        <f>IFERROR(__xludf.DUMMYFUNCTION("""COMPUTED_VALUE"""),"CON-00-138152-2")</f>
        <v>CON-00-138152-2</v>
      </c>
      <c r="E1170" s="186" t="str">
        <f>IFERROR(__xludf.DUMMYFUNCTION("""COMPUTED_VALUE"""),"Red chile pulled pork")</f>
        <v>Red chile pulled pork</v>
      </c>
      <c r="F1170" s="186" t="str">
        <f>IFERROR(__xludf.DUMMYFUNCTION("""COMPUTED_VALUE"""),"Pulled Pork mit roter Chilisauce")</f>
        <v>Pulled Pork mit roter Chilisauce</v>
      </c>
      <c r="G1170" s="186" t="str">
        <f>IFERROR(__xludf.DUMMYFUNCTION("""COMPUTED_VALUE"""),"FE4049B")</f>
        <v>FE4049B</v>
      </c>
      <c r="H1170" s="186">
        <f>IFERROR(__xludf.DUMMYFUNCTION("""COMPUTED_VALUE"""),565130.0)</f>
        <v>565130</v>
      </c>
      <c r="I1170" s="186" t="str">
        <f>IFERROR(__xludf.DUMMYFUNCTION("""COMPUTED_VALUE"""),"HF Rode Chili &amp; Pulled Pork")</f>
        <v>HF Rode Chili &amp; Pulled Pork</v>
      </c>
      <c r="J1170" s="189">
        <f>IFERROR(__xludf.DUMMYFUNCTION("""COMPUTED_VALUE"""),1596.0)</f>
        <v>1596</v>
      </c>
      <c r="K1170" s="189">
        <f>IFERROR(__xludf.DUMMYFUNCTION("""COMPUTED_VALUE"""),966.0)</f>
        <v>966</v>
      </c>
      <c r="L1170" s="186"/>
      <c r="M1170" s="186"/>
      <c r="N1170" s="186"/>
      <c r="O1170" s="186"/>
      <c r="P1170" s="186"/>
      <c r="Q1170" s="186"/>
      <c r="R1170" s="186"/>
      <c r="S1170" s="186"/>
    </row>
    <row r="1171">
      <c r="A1171" s="186" t="str">
        <f>IFERROR(__xludf.DUMMYFUNCTION("""COMPUTED_VALUE"""),"DE")</f>
        <v>DE</v>
      </c>
      <c r="B1171" s="186" t="str">
        <f>IFERROR(__xludf.DUMMYFUNCTION("""COMPUTED_VALUE"""),"W22")</f>
        <v>W22</v>
      </c>
      <c r="C1171" s="186">
        <f>IFERROR(__xludf.DUMMYFUNCTION("""COMPUTED_VALUE"""),314.0)</f>
        <v>314</v>
      </c>
      <c r="D1171" s="186" t="str">
        <f>IFERROR(__xludf.DUMMYFUNCTION("""COMPUTED_VALUE"""),"CON-00-152033-2")</f>
        <v>CON-00-152033-2</v>
      </c>
      <c r="E1171" s="186" t="str">
        <f>IFERROR(__xludf.DUMMYFUNCTION("""COMPUTED_VALUE"""),"Moroccan-style chicken thighs &amp; tomato sauce")</f>
        <v>Moroccan-style chicken thighs &amp; tomato sauce</v>
      </c>
      <c r="F1171" s="186" t="str">
        <f>IFERROR(__xludf.DUMMYFUNCTION("""COMPUTED_VALUE"""),"Hähnchen nach marokkanischer Art mit Tomatensauce")</f>
        <v>Hähnchen nach marokkanischer Art mit Tomatensauce</v>
      </c>
      <c r="G1171" s="186" t="str">
        <f>IFERROR(__xludf.DUMMYFUNCTION("""COMPUTED_VALUE"""),"FE1068B")</f>
        <v>FE1068B</v>
      </c>
      <c r="H1171" s="186">
        <f>IFERROR(__xludf.DUMMYFUNCTION("""COMPUTED_VALUE"""),565192.0)</f>
        <v>565192</v>
      </c>
      <c r="I1171" s="186" t="str">
        <f>IFERROR(__xludf.DUMMYFUNCTION("""COMPUTED_VALUE"""),"HF Marokk stijl kippendij toma")</f>
        <v>HF Marokk stijl kippendij toma</v>
      </c>
      <c r="J1171" s="189">
        <f>IFERROR(__xludf.DUMMYFUNCTION("""COMPUTED_VALUE"""),0.0)</f>
        <v>0</v>
      </c>
      <c r="K1171" s="189">
        <f>IFERROR(__xludf.DUMMYFUNCTION("""COMPUTED_VALUE"""),0.0)</f>
        <v>0</v>
      </c>
      <c r="L1171" s="186"/>
      <c r="M1171" s="186"/>
      <c r="N1171" s="186"/>
      <c r="O1171" s="186"/>
      <c r="P1171" s="186"/>
      <c r="Q1171" s="186"/>
      <c r="R1171" s="186"/>
      <c r="S1171" s="186"/>
    </row>
    <row r="1172">
      <c r="A1172" s="186" t="str">
        <f>IFERROR(__xludf.DUMMYFUNCTION("""COMPUTED_VALUE"""),"DE")</f>
        <v>DE</v>
      </c>
      <c r="B1172" s="186" t="str">
        <f>IFERROR(__xludf.DUMMYFUNCTION("""COMPUTED_VALUE"""),"W22")</f>
        <v>W22</v>
      </c>
      <c r="C1172" s="186">
        <f>IFERROR(__xludf.DUMMYFUNCTION("""COMPUTED_VALUE"""),315.0)</f>
        <v>315</v>
      </c>
      <c r="D1172" s="186"/>
      <c r="E1172" s="186"/>
      <c r="F1172" s="186"/>
      <c r="G1172" s="186" t="str">
        <f>IFERROR(__xludf.DUMMYFUNCTION("""COMPUTED_VALUE"""),"FV0345A")</f>
        <v>FV0345A</v>
      </c>
      <c r="H1172" s="186"/>
      <c r="I1172" s="186"/>
      <c r="J1172" s="189">
        <f>IFERROR(__xludf.DUMMYFUNCTION("""COMPUTED_VALUE"""),0.0)</f>
        <v>0</v>
      </c>
      <c r="K1172" s="189">
        <f>IFERROR(__xludf.DUMMYFUNCTION("""COMPUTED_VALUE"""),0.0)</f>
        <v>0</v>
      </c>
      <c r="L1172" s="186"/>
      <c r="M1172" s="186"/>
      <c r="N1172" s="186"/>
      <c r="O1172" s="186"/>
      <c r="P1172" s="186"/>
      <c r="Q1172" s="186"/>
      <c r="R1172" s="186"/>
      <c r="S1172" s="186"/>
    </row>
    <row r="1173">
      <c r="A1173" s="186" t="str">
        <f>IFERROR(__xludf.DUMMYFUNCTION("""COMPUTED_VALUE"""),"DE")</f>
        <v>DE</v>
      </c>
      <c r="B1173" s="186" t="str">
        <f>IFERROR(__xludf.DUMMYFUNCTION("""COMPUTED_VALUE"""),"W22")</f>
        <v>W22</v>
      </c>
      <c r="C1173" s="186">
        <f>IFERROR(__xludf.DUMMYFUNCTION("""COMPUTED_VALUE"""),316.0)</f>
        <v>316</v>
      </c>
      <c r="D1173" s="186" t="str">
        <f>IFERROR(__xludf.DUMMYFUNCTION("""COMPUTED_VALUE"""),"CON-00-154548-2")</f>
        <v>CON-00-154548-2</v>
      </c>
      <c r="E1173" s="186" t="str">
        <f>IFERROR(__xludf.DUMMYFUNCTION("""COMPUTED_VALUE"""),"Pulled Beef &amp; Mushroom Cream Pasta")</f>
        <v>Pulled Beef &amp; Mushroom Cream Pasta</v>
      </c>
      <c r="F1173" s="186" t="str">
        <f>IFERROR(__xludf.DUMMYFUNCTION("""COMPUTED_VALUE"""),"Pulled Beef mit Pilzrahm-Pasta")</f>
        <v>Pulled Beef mit Pilzrahm-Pasta</v>
      </c>
      <c r="G1173" s="186"/>
      <c r="H1173" s="186">
        <f>IFERROR(__xludf.DUMMYFUNCTION("""COMPUTED_VALUE"""),565254.0)</f>
        <v>565254</v>
      </c>
      <c r="I1173" s="186" t="str">
        <f>IFERROR(__xludf.DUMMYFUNCTION("""COMPUTED_VALUE"""),"HF Pulled beef mushroom pasta")</f>
        <v>HF Pulled beef mushroom pasta</v>
      </c>
      <c r="J1173" s="189">
        <f>IFERROR(__xludf.DUMMYFUNCTION("""COMPUTED_VALUE"""),534.0)</f>
        <v>534</v>
      </c>
      <c r="K1173" s="189">
        <f>IFERROR(__xludf.DUMMYFUNCTION("""COMPUTED_VALUE"""),492.0)</f>
        <v>492</v>
      </c>
      <c r="L1173" s="186"/>
      <c r="M1173" s="186"/>
      <c r="N1173" s="186"/>
      <c r="O1173" s="186"/>
      <c r="P1173" s="186"/>
      <c r="Q1173" s="186"/>
      <c r="R1173" s="186"/>
      <c r="S1173" s="186"/>
    </row>
    <row r="1174">
      <c r="A1174" s="186" t="str">
        <f>IFERROR(__xludf.DUMMYFUNCTION("""COMPUTED_VALUE"""),"DE")</f>
        <v>DE</v>
      </c>
      <c r="B1174" s="186" t="str">
        <f>IFERROR(__xludf.DUMMYFUNCTION("""COMPUTED_VALUE"""),"W22")</f>
        <v>W22</v>
      </c>
      <c r="C1174" s="186">
        <f>IFERROR(__xludf.DUMMYFUNCTION("""COMPUTED_VALUE"""),317.0)</f>
        <v>317</v>
      </c>
      <c r="D1174" s="186" t="str">
        <f>IFERROR(__xludf.DUMMYFUNCTION("""COMPUTED_VALUE"""),"CON-00-136623-3")</f>
        <v>CON-00-136623-3</v>
      </c>
      <c r="E1174" s="186" t="str">
        <f>IFERROR(__xludf.DUMMYFUNCTION("""COMPUTED_VALUE"""),"Indian style butter chicken")</f>
        <v>Indian style butter chicken</v>
      </c>
      <c r="F1174" s="186" t="str">
        <f>IFERROR(__xludf.DUMMYFUNCTION("""COMPUTED_VALUE"""),"Indisches Butterhuhn")</f>
        <v>Indisches Butterhuhn</v>
      </c>
      <c r="G1174" s="186" t="str">
        <f>IFERROR(__xludf.DUMMYFUNCTION("""COMPUTED_VALUE"""),"FE0472B")</f>
        <v>FE0472B</v>
      </c>
      <c r="H1174" s="186">
        <f>IFERROR(__xludf.DUMMYFUNCTION("""COMPUTED_VALUE"""),565145.0)</f>
        <v>565145</v>
      </c>
      <c r="I1174" s="186" t="str">
        <f>IFERROR(__xludf.DUMMYFUNCTION("""COMPUTED_VALUE"""),"HF RW Butter Chicken")</f>
        <v>HF RW Butter Chicken</v>
      </c>
      <c r="J1174" s="189">
        <f>IFERROR(__xludf.DUMMYFUNCTION("""COMPUTED_VALUE"""),0.0)</f>
        <v>0</v>
      </c>
      <c r="K1174" s="189">
        <f>IFERROR(__xludf.DUMMYFUNCTION("""COMPUTED_VALUE"""),0.0)</f>
        <v>0</v>
      </c>
      <c r="L1174" s="186"/>
      <c r="M1174" s="186"/>
      <c r="N1174" s="186"/>
      <c r="O1174" s="186"/>
      <c r="P1174" s="186"/>
      <c r="Q1174" s="186"/>
      <c r="R1174" s="186"/>
      <c r="S1174" s="186"/>
    </row>
    <row r="1175">
      <c r="A1175" s="186" t="str">
        <f>IFERROR(__xludf.DUMMYFUNCTION("""COMPUTED_VALUE"""),"DE")</f>
        <v>DE</v>
      </c>
      <c r="B1175" s="186" t="str">
        <f>IFERROR(__xludf.DUMMYFUNCTION("""COMPUTED_VALUE"""),"W22")</f>
        <v>W22</v>
      </c>
      <c r="C1175" s="186">
        <f>IFERROR(__xludf.DUMMYFUNCTION("""COMPUTED_VALUE"""),318.0)</f>
        <v>318</v>
      </c>
      <c r="D1175" s="186" t="str">
        <f>IFERROR(__xludf.DUMMYFUNCTION("""COMPUTED_VALUE"""),"CON-00-136639-3")</f>
        <v>CON-00-136639-3</v>
      </c>
      <c r="E1175" s="186" t="str">
        <f>IFERROR(__xludf.DUMMYFUNCTION("""COMPUTED_VALUE"""),"Pork tenderloin in red pepper sauce")</f>
        <v>Pork tenderloin in red pepper sauce</v>
      </c>
      <c r="F1175" s="186" t="str">
        <f>IFERROR(__xludf.DUMMYFUNCTION("""COMPUTED_VALUE"""),"Schweinefilet in Paprikasauce")</f>
        <v>Schweinefilet in Paprikasauce</v>
      </c>
      <c r="G1175" s="186" t="str">
        <f>IFERROR(__xludf.DUMMYFUNCTION("""COMPUTED_VALUE"""),"FE0430E")</f>
        <v>FE0430E</v>
      </c>
      <c r="H1175" s="186">
        <f>IFERROR(__xludf.DUMMYFUNCTION("""COMPUTED_VALUE"""),565140.0)</f>
        <v>565140</v>
      </c>
      <c r="I1175" s="186"/>
      <c r="J1175" s="189">
        <f>IFERROR(__xludf.DUMMYFUNCTION("""COMPUTED_VALUE"""),471.0)</f>
        <v>471</v>
      </c>
      <c r="K1175" s="189">
        <f>IFERROR(__xludf.DUMMYFUNCTION("""COMPUTED_VALUE"""),454.0)</f>
        <v>454</v>
      </c>
      <c r="L1175" s="186"/>
      <c r="M1175" s="186"/>
      <c r="N1175" s="186"/>
      <c r="O1175" s="186"/>
      <c r="P1175" s="186"/>
      <c r="Q1175" s="186"/>
      <c r="R1175" s="186"/>
      <c r="S1175" s="186"/>
    </row>
    <row r="1176">
      <c r="A1176" s="186" t="str">
        <f>IFERROR(__xludf.DUMMYFUNCTION("""COMPUTED_VALUE"""),"DE")</f>
        <v>DE</v>
      </c>
      <c r="B1176" s="186" t="str">
        <f>IFERROR(__xludf.DUMMYFUNCTION("""COMPUTED_VALUE"""),"W22")</f>
        <v>W22</v>
      </c>
      <c r="C1176" s="186">
        <f>IFERROR(__xludf.DUMMYFUNCTION("""COMPUTED_VALUE"""),319.0)</f>
        <v>319</v>
      </c>
      <c r="D1176" s="186"/>
      <c r="E1176" s="186"/>
      <c r="F1176" s="186"/>
      <c r="G1176" s="186" t="str">
        <f>IFERROR(__xludf.DUMMYFUNCTION("""COMPUTED_VALUE"""),"FV1646A")</f>
        <v>FV1646A</v>
      </c>
      <c r="H1176" s="186"/>
      <c r="I1176" s="186"/>
      <c r="J1176" s="189">
        <f>IFERROR(__xludf.DUMMYFUNCTION("""COMPUTED_VALUE"""),0.0)</f>
        <v>0</v>
      </c>
      <c r="K1176" s="189">
        <f>IFERROR(__xludf.DUMMYFUNCTION("""COMPUTED_VALUE"""),0.0)</f>
        <v>0</v>
      </c>
      <c r="L1176" s="186"/>
      <c r="M1176" s="186"/>
      <c r="N1176" s="186"/>
      <c r="O1176" s="186"/>
      <c r="P1176" s="186"/>
      <c r="Q1176" s="186"/>
      <c r="R1176" s="186"/>
      <c r="S1176" s="186"/>
    </row>
    <row r="1177">
      <c r="A1177" s="186" t="str">
        <f>IFERROR(__xludf.DUMMYFUNCTION("""COMPUTED_VALUE"""),"DE")</f>
        <v>DE</v>
      </c>
      <c r="B1177" s="186" t="str">
        <f>IFERROR(__xludf.DUMMYFUNCTION("""COMPUTED_VALUE"""),"W22")</f>
        <v>W22</v>
      </c>
      <c r="C1177" s="186">
        <f>IFERROR(__xludf.DUMMYFUNCTION("""COMPUTED_VALUE"""),320.0)</f>
        <v>320</v>
      </c>
      <c r="D1177" s="186"/>
      <c r="E1177" s="186" t="str">
        <f>IFERROR(__xludf.DUMMYFUNCTION("""COMPUTED_VALUE"""),"Herb-Grilled Chicken")</f>
        <v>Herb-Grilled Chicken</v>
      </c>
      <c r="F1177" s="186" t="str">
        <f>IFERROR(__xludf.DUMMYFUNCTION("""COMPUTED_VALUE"""),"Gegrilltes Hähnchen mit Kräutern")</f>
        <v>Gegrilltes Hähnchen mit Kräutern</v>
      </c>
      <c r="G1177" s="186" t="str">
        <f>IFERROR(__xludf.DUMMYFUNCTION("""COMPUTED_VALUE"""),"FE4070A")</f>
        <v>FE4070A</v>
      </c>
      <c r="H1177" s="186">
        <f>IFERROR(__xludf.DUMMYFUNCTION("""COMPUTED_VALUE"""),565242.0)</f>
        <v>565242</v>
      </c>
      <c r="I1177" s="186" t="str">
        <f>IFERROR(__xludf.DUMMYFUNCTION("""COMPUTED_VALUE"""),"HF Kip met risotto geitenkaas")</f>
        <v>HF Kip met risotto geitenkaas</v>
      </c>
      <c r="J1177" s="189">
        <f>IFERROR(__xludf.DUMMYFUNCTION("""COMPUTED_VALUE"""),535.0)</f>
        <v>535</v>
      </c>
      <c r="K1177" s="189">
        <f>IFERROR(__xludf.DUMMYFUNCTION("""COMPUTED_VALUE"""),504.0)</f>
        <v>504</v>
      </c>
      <c r="L1177" s="186"/>
      <c r="M1177" s="186"/>
      <c r="N1177" s="186"/>
      <c r="O1177" s="186"/>
      <c r="P1177" s="186"/>
      <c r="Q1177" s="186"/>
      <c r="R1177" s="186"/>
      <c r="S1177" s="186"/>
    </row>
    <row r="1178">
      <c r="A1178" s="186" t="str">
        <f>IFERROR(__xludf.DUMMYFUNCTION("""COMPUTED_VALUE"""),"DE")</f>
        <v>DE</v>
      </c>
      <c r="B1178" s="186" t="str">
        <f>IFERROR(__xludf.DUMMYFUNCTION("""COMPUTED_VALUE"""),"W22")</f>
        <v>W22</v>
      </c>
      <c r="C1178" s="186">
        <f>IFERROR(__xludf.DUMMYFUNCTION("""COMPUTED_VALUE"""),321.0)</f>
        <v>321</v>
      </c>
      <c r="D1178" s="186"/>
      <c r="E1178" s="186" t="str">
        <f>IFERROR(__xludf.DUMMYFUNCTION("""COMPUTED_VALUE"""),"Spicy Beef &amp; Black Bean Chili")</f>
        <v>Spicy Beef &amp; Black Bean Chili</v>
      </c>
      <c r="F1178" s="186" t="str">
        <f>IFERROR(__xludf.DUMMYFUNCTION("""COMPUTED_VALUE"""),"Würziges Rindfleisch-Bohnen-Chili")</f>
        <v>Würziges Rindfleisch-Bohnen-Chili</v>
      </c>
      <c r="G1178" s="186" t="str">
        <f>IFERROR(__xludf.DUMMYFUNCTION("""COMPUTED_VALUE"""),"FE4065A")</f>
        <v>FE4065A</v>
      </c>
      <c r="H1178" s="186">
        <f>IFERROR(__xludf.DUMMYFUNCTION("""COMPUTED_VALUE"""),565214.0)</f>
        <v>565214</v>
      </c>
      <c r="I1178" s="186" t="str">
        <f>IFERROR(__xludf.DUMMYFUNCTION("""COMPUTED_VALUE"""),"HF Pittige runder chili")</f>
        <v>HF Pittige runder chili</v>
      </c>
      <c r="J1178" s="189">
        <f>IFERROR(__xludf.DUMMYFUNCTION("""COMPUTED_VALUE"""),0.0)</f>
        <v>0</v>
      </c>
      <c r="K1178" s="189">
        <f>IFERROR(__xludf.DUMMYFUNCTION("""COMPUTED_VALUE"""),0.0)</f>
        <v>0</v>
      </c>
      <c r="L1178" s="186"/>
      <c r="M1178" s="186"/>
      <c r="N1178" s="186"/>
      <c r="O1178" s="186"/>
      <c r="P1178" s="186"/>
      <c r="Q1178" s="186"/>
      <c r="R1178" s="186"/>
      <c r="S1178" s="186"/>
    </row>
    <row r="1179">
      <c r="A1179" s="186" t="str">
        <f>IFERROR(__xludf.DUMMYFUNCTION("""COMPUTED_VALUE"""),"DE")</f>
        <v>DE</v>
      </c>
      <c r="B1179" s="186" t="str">
        <f>IFERROR(__xludf.DUMMYFUNCTION("""COMPUTED_VALUE"""),"W22")</f>
        <v>W22</v>
      </c>
      <c r="C1179" s="186">
        <f>IFERROR(__xludf.DUMMYFUNCTION("""COMPUTED_VALUE"""),206.0)</f>
        <v>206</v>
      </c>
      <c r="D1179" s="186" t="str">
        <f>IFERROR(__xludf.DUMMYFUNCTION("""COMPUTED_VALUE"""),"PTN-00-136930-3")</f>
        <v>PTN-00-136930-3</v>
      </c>
      <c r="E1179" s="186" t="str">
        <f>IFERROR(__xludf.DUMMYFUNCTION("""COMPUTED_VALUE"""),"Garlic Herb Grilled Chicken")</f>
        <v>Garlic Herb Grilled Chicken</v>
      </c>
      <c r="F1179" s="186" t="str">
        <f>IFERROR(__xludf.DUMMYFUNCTION("""COMPUTED_VALUE"""),"Gegrilltes Hähnchen mit Knoblauch-Kräutern")</f>
        <v>Gegrilltes Hähnchen mit Knoblauch-Kräutern</v>
      </c>
      <c r="G1179" s="186" t="str">
        <f>IFERROR(__xludf.DUMMYFUNCTION("""COMPUTED_VALUE"""),"FEA006A")</f>
        <v>FEA006A</v>
      </c>
      <c r="H1179" s="186">
        <f>IFERROR(__xludf.DUMMYFUNCTION("""COMPUTED_VALUE"""),565119.0)</f>
        <v>565119</v>
      </c>
      <c r="I1179" s="186"/>
      <c r="J1179" s="189">
        <f>IFERROR(__xludf.DUMMYFUNCTION("""COMPUTED_VALUE"""),87.0)</f>
        <v>87</v>
      </c>
      <c r="K1179" s="189">
        <f>IFERROR(__xludf.DUMMYFUNCTION("""COMPUTED_VALUE"""),67.0)</f>
        <v>67</v>
      </c>
      <c r="L1179" s="186"/>
      <c r="M1179" s="186"/>
      <c r="N1179" s="186"/>
      <c r="O1179" s="186"/>
      <c r="P1179" s="186"/>
      <c r="Q1179" s="186"/>
      <c r="R1179" s="186"/>
      <c r="S1179" s="186"/>
    </row>
    <row r="1180">
      <c r="A1180" s="186" t="str">
        <f>IFERROR(__xludf.DUMMYFUNCTION("""COMPUTED_VALUE"""),"DE")</f>
        <v>DE</v>
      </c>
      <c r="B1180" s="186" t="str">
        <f>IFERROR(__xludf.DUMMYFUNCTION("""COMPUTED_VALUE"""),"W22")</f>
        <v>W22</v>
      </c>
      <c r="C1180" s="186"/>
      <c r="D1180" s="186"/>
      <c r="E1180" s="186"/>
      <c r="F1180" s="186"/>
      <c r="G1180" s="186"/>
      <c r="H1180" s="186"/>
      <c r="I1180" s="186"/>
      <c r="J1180" s="189">
        <f>IFERROR(__xludf.DUMMYFUNCTION("""COMPUTED_VALUE"""),10714.0)</f>
        <v>10714</v>
      </c>
      <c r="K1180" s="189">
        <f>IFERROR(__xludf.DUMMYFUNCTION("""COMPUTED_VALUE"""),9518.0)</f>
        <v>9518</v>
      </c>
      <c r="L1180" s="189">
        <f>IFERROR(__xludf.DUMMYFUNCTION("""COMPUTED_VALUE"""),0.0)</f>
        <v>0</v>
      </c>
      <c r="M1180" s="189">
        <f>IFERROR(__xludf.DUMMYFUNCTION("""COMPUTED_VALUE"""),0.0)</f>
        <v>0</v>
      </c>
      <c r="N1180" s="189">
        <f>IFERROR(__xludf.DUMMYFUNCTION("""COMPUTED_VALUE"""),0.0)</f>
        <v>0</v>
      </c>
      <c r="O1180" s="189">
        <f>IFERROR(__xludf.DUMMYFUNCTION("""COMPUTED_VALUE"""),0.0)</f>
        <v>0</v>
      </c>
      <c r="P1180" s="189">
        <f>IFERROR(__xludf.DUMMYFUNCTION("""COMPUTED_VALUE"""),0.0)</f>
        <v>0</v>
      </c>
      <c r="Q1180" s="189">
        <f>IFERROR(__xludf.DUMMYFUNCTION("""COMPUTED_VALUE"""),0.0)</f>
        <v>0</v>
      </c>
      <c r="R1180" s="189">
        <f>IFERROR(__xludf.DUMMYFUNCTION("""COMPUTED_VALUE"""),0.0)</f>
        <v>0</v>
      </c>
      <c r="S1180" s="189">
        <f>IFERROR(__xludf.DUMMYFUNCTION("""COMPUTED_VALUE"""),0.0)</f>
        <v>0</v>
      </c>
    </row>
    <row r="1181">
      <c r="A1181" s="186" t="str">
        <f>IFERROR(__xludf.DUMMYFUNCTION("""COMPUTED_VALUE"""),"NORDICS")</f>
        <v>NORDICS</v>
      </c>
      <c r="B1181" s="186" t="str">
        <f>IFERROR(__xludf.DUMMYFUNCTION("""COMPUTED_VALUE"""),"W23")</f>
        <v>W23</v>
      </c>
      <c r="C1181" s="186">
        <f>IFERROR(__xludf.DUMMYFUNCTION("""COMPUTED_VALUE"""),601.0)</f>
        <v>601</v>
      </c>
      <c r="D1181" s="186" t="str">
        <f>IFERROR(__xludf.DUMMYFUNCTION("""COMPUTED_VALUE"""),"CON-00-147878-2")</f>
        <v>CON-00-147878-2</v>
      </c>
      <c r="E1181" s="186" t="str">
        <f>IFERROR(__xludf.DUMMYFUNCTION("""COMPUTED_VALUE"""),"Grilled chicken and ratatouille")</f>
        <v>Grilled chicken and ratatouille</v>
      </c>
      <c r="F1181" s="186" t="str">
        <f>IFERROR(__xludf.DUMMYFUNCTION("""COMPUTED_VALUE"""),"Grillet kylling med ratatouille")</f>
        <v>Grillet kylling med ratatouille</v>
      </c>
      <c r="G1181" s="186" t="str">
        <f>IFERROR(__xludf.DUMMYFUNCTION("""COMPUTED_VALUE"""),"FE4015B")</f>
        <v>FE4015B</v>
      </c>
      <c r="H1181" s="186">
        <f>IFERROR(__xludf.DUMMYFUNCTION("""COMPUTED_VALUE"""),565072.0)</f>
        <v>565072</v>
      </c>
      <c r="I1181" s="186" t="str">
        <f>IFERROR(__xludf.DUMMYFUNCTION("""COMPUTED_VALUE"""),"HF Kipfilet met Ratatouille")</f>
        <v>HF Kipfilet met Ratatouille</v>
      </c>
      <c r="J1181" s="189">
        <f>IFERROR(__xludf.DUMMYFUNCTION("""COMPUTED_VALUE"""),3214.0)</f>
        <v>3214</v>
      </c>
      <c r="K1181" s="186"/>
      <c r="L1181" s="186"/>
      <c r="M1181" s="186"/>
      <c r="N1181" s="186"/>
      <c r="O1181" s="186"/>
      <c r="P1181" s="186"/>
      <c r="Q1181" s="186"/>
      <c r="R1181" s="186"/>
      <c r="S1181" s="186"/>
    </row>
    <row r="1182">
      <c r="A1182" s="186" t="str">
        <f>IFERROR(__xludf.DUMMYFUNCTION("""COMPUTED_VALUE"""),"NORDICS")</f>
        <v>NORDICS</v>
      </c>
      <c r="B1182" s="186" t="str">
        <f>IFERROR(__xludf.DUMMYFUNCTION("""COMPUTED_VALUE"""),"W23")</f>
        <v>W23</v>
      </c>
      <c r="C1182" s="186">
        <f>IFERROR(__xludf.DUMMYFUNCTION("""COMPUTED_VALUE"""),602.0)</f>
        <v>602</v>
      </c>
      <c r="D1182" s="186"/>
      <c r="E1182" s="186"/>
      <c r="F1182" s="186"/>
      <c r="G1182" s="186" t="str">
        <f>IFERROR(__xludf.DUMMYFUNCTION("""COMPUTED_VALUE"""),"FV0322A")</f>
        <v>FV0322A</v>
      </c>
      <c r="H1182" s="186"/>
      <c r="I1182" s="186"/>
      <c r="J1182" s="189">
        <f>IFERROR(__xludf.DUMMYFUNCTION("""COMPUTED_VALUE"""),0.0)</f>
        <v>0</v>
      </c>
      <c r="K1182" s="186"/>
      <c r="L1182" s="186"/>
      <c r="M1182" s="186"/>
      <c r="N1182" s="186"/>
      <c r="O1182" s="186"/>
      <c r="P1182" s="186"/>
      <c r="Q1182" s="186"/>
      <c r="R1182" s="186"/>
      <c r="S1182" s="186"/>
    </row>
    <row r="1183">
      <c r="A1183" s="186" t="str">
        <f>IFERROR(__xludf.DUMMYFUNCTION("""COMPUTED_VALUE"""),"NORDICS")</f>
        <v>NORDICS</v>
      </c>
      <c r="B1183" s="186" t="str">
        <f>IFERROR(__xludf.DUMMYFUNCTION("""COMPUTED_VALUE"""),"W23")</f>
        <v>W23</v>
      </c>
      <c r="C1183" s="186">
        <f>IFERROR(__xludf.DUMMYFUNCTION("""COMPUTED_VALUE"""),603.0)</f>
        <v>603</v>
      </c>
      <c r="D1183" s="186"/>
      <c r="E1183" s="186"/>
      <c r="F1183" s="186"/>
      <c r="G1183" s="186" t="str">
        <f>IFERROR(__xludf.DUMMYFUNCTION("""COMPUTED_VALUE"""),"FV4063A")</f>
        <v>FV4063A</v>
      </c>
      <c r="H1183" s="186"/>
      <c r="I1183" s="186"/>
      <c r="J1183" s="189">
        <f>IFERROR(__xludf.DUMMYFUNCTION("""COMPUTED_VALUE"""),0.0)</f>
        <v>0</v>
      </c>
      <c r="K1183" s="186"/>
      <c r="L1183" s="186"/>
      <c r="M1183" s="186"/>
      <c r="N1183" s="186"/>
      <c r="O1183" s="186"/>
      <c r="P1183" s="186"/>
      <c r="Q1183" s="186"/>
      <c r="R1183" s="186"/>
      <c r="S1183" s="186"/>
    </row>
    <row r="1184">
      <c r="A1184" s="186" t="str">
        <f>IFERROR(__xludf.DUMMYFUNCTION("""COMPUTED_VALUE"""),"NORDICS")</f>
        <v>NORDICS</v>
      </c>
      <c r="B1184" s="186" t="str">
        <f>IFERROR(__xludf.DUMMYFUNCTION("""COMPUTED_VALUE"""),"W23")</f>
        <v>W23</v>
      </c>
      <c r="C1184" s="186">
        <f>IFERROR(__xludf.DUMMYFUNCTION("""COMPUTED_VALUE"""),604.0)</f>
        <v>604</v>
      </c>
      <c r="D1184" s="186"/>
      <c r="E1184" s="186"/>
      <c r="F1184" s="186"/>
      <c r="G1184" s="186" t="str">
        <f>IFERROR(__xludf.DUMMYFUNCTION("""COMPUTED_VALUE"""),"FV1320A")</f>
        <v>FV1320A</v>
      </c>
      <c r="H1184" s="186"/>
      <c r="I1184" s="186"/>
      <c r="J1184" s="189">
        <f>IFERROR(__xludf.DUMMYFUNCTION("""COMPUTED_VALUE"""),0.0)</f>
        <v>0</v>
      </c>
      <c r="K1184" s="186"/>
      <c r="L1184" s="186"/>
      <c r="M1184" s="186"/>
      <c r="N1184" s="186"/>
      <c r="O1184" s="186"/>
      <c r="P1184" s="186"/>
      <c r="Q1184" s="186"/>
      <c r="R1184" s="186"/>
      <c r="S1184" s="186"/>
    </row>
    <row r="1185">
      <c r="A1185" s="186" t="str">
        <f>IFERROR(__xludf.DUMMYFUNCTION("""COMPUTED_VALUE"""),"NORDICS")</f>
        <v>NORDICS</v>
      </c>
      <c r="B1185" s="186" t="str">
        <f>IFERROR(__xludf.DUMMYFUNCTION("""COMPUTED_VALUE"""),"W23")</f>
        <v>W23</v>
      </c>
      <c r="C1185" s="186">
        <f>IFERROR(__xludf.DUMMYFUNCTION("""COMPUTED_VALUE"""),605.0)</f>
        <v>605</v>
      </c>
      <c r="D1185" s="186" t="str">
        <f>IFERROR(__xludf.DUMMYFUNCTION("""COMPUTED_VALUE"""),"CON-00-150749-2")</f>
        <v>CON-00-150749-2</v>
      </c>
      <c r="E1185" s="186" t="str">
        <f>IFERROR(__xludf.DUMMYFUNCTION("""COMPUTED_VALUE"""),"West African Style Chicken Peanut Curry")</f>
        <v>West African Style Chicken Peanut Curry</v>
      </c>
      <c r="F1185" s="186" t="str">
        <f>IFERROR(__xludf.DUMMYFUNCTION("""COMPUTED_VALUE"""),"Vestfrikansk-inspireret peanut-kyllingecurry")</f>
        <v>Vestfrikansk-inspireret peanut-kyllingecurry</v>
      </c>
      <c r="G1185" s="186" t="str">
        <f>IFERROR(__xludf.DUMMYFUNCTION("""COMPUTED_VALUE"""),"FE1451A")</f>
        <v>FE1451A</v>
      </c>
      <c r="H1185" s="186">
        <f>IFERROR(__xludf.DUMMYFUNCTION("""COMPUTED_VALUE"""),565178.0)</f>
        <v>565178</v>
      </c>
      <c r="I1185" s="186" t="str">
        <f>IFERROR(__xludf.DUMMYFUNCTION("""COMPUTED_VALUE"""),"HF Kruidige pinda curry")</f>
        <v>HF Kruidige pinda curry</v>
      </c>
      <c r="J1185" s="189">
        <f>IFERROR(__xludf.DUMMYFUNCTION("""COMPUTED_VALUE"""),1750.0)</f>
        <v>1750</v>
      </c>
      <c r="K1185" s="186"/>
      <c r="L1185" s="186"/>
      <c r="M1185" s="186"/>
      <c r="N1185" s="186"/>
      <c r="O1185" s="186"/>
      <c r="P1185" s="186"/>
      <c r="Q1185" s="186"/>
      <c r="R1185" s="186"/>
      <c r="S1185" s="186"/>
    </row>
    <row r="1186">
      <c r="A1186" s="186" t="str">
        <f>IFERROR(__xludf.DUMMYFUNCTION("""COMPUTED_VALUE"""),"NORDICS")</f>
        <v>NORDICS</v>
      </c>
      <c r="B1186" s="186" t="str">
        <f>IFERROR(__xludf.DUMMYFUNCTION("""COMPUTED_VALUE"""),"W23")</f>
        <v>W23</v>
      </c>
      <c r="C1186" s="186">
        <f>IFERROR(__xludf.DUMMYFUNCTION("""COMPUTED_VALUE"""),606.0)</f>
        <v>606</v>
      </c>
      <c r="D1186" s="186"/>
      <c r="E1186" s="186"/>
      <c r="F1186" s="186"/>
      <c r="G1186" s="186" t="str">
        <f>IFERROR(__xludf.DUMMYFUNCTION("""COMPUTED_VALUE"""),"FV0035A")</f>
        <v>FV0035A</v>
      </c>
      <c r="H1186" s="186"/>
      <c r="I1186" s="186"/>
      <c r="J1186" s="189">
        <f>IFERROR(__xludf.DUMMYFUNCTION("""COMPUTED_VALUE"""),0.0)</f>
        <v>0</v>
      </c>
      <c r="K1186" s="186"/>
      <c r="L1186" s="186"/>
      <c r="M1186" s="186"/>
      <c r="N1186" s="186"/>
      <c r="O1186" s="186"/>
      <c r="P1186" s="186"/>
      <c r="Q1186" s="186"/>
      <c r="R1186" s="186"/>
      <c r="S1186" s="186"/>
    </row>
    <row r="1187">
      <c r="A1187" s="186" t="str">
        <f>IFERROR(__xludf.DUMMYFUNCTION("""COMPUTED_VALUE"""),"NORDICS")</f>
        <v>NORDICS</v>
      </c>
      <c r="B1187" s="186" t="str">
        <f>IFERROR(__xludf.DUMMYFUNCTION("""COMPUTED_VALUE"""),"W23")</f>
        <v>W23</v>
      </c>
      <c r="C1187" s="186">
        <f>IFERROR(__xludf.DUMMYFUNCTION("""COMPUTED_VALUE"""),607.0)</f>
        <v>607</v>
      </c>
      <c r="D1187" s="186"/>
      <c r="E1187" s="186"/>
      <c r="F1187" s="186"/>
      <c r="G1187" s="186" t="str">
        <f>IFERROR(__xludf.DUMMYFUNCTION("""COMPUTED_VALUE"""),"FV0401A")</f>
        <v>FV0401A</v>
      </c>
      <c r="H1187" s="186"/>
      <c r="I1187" s="186"/>
      <c r="J1187" s="189">
        <f>IFERROR(__xludf.DUMMYFUNCTION("""COMPUTED_VALUE"""),0.0)</f>
        <v>0</v>
      </c>
      <c r="K1187" s="186"/>
      <c r="L1187" s="186"/>
      <c r="M1187" s="186"/>
      <c r="N1187" s="186"/>
      <c r="O1187" s="186"/>
      <c r="P1187" s="186"/>
      <c r="Q1187" s="186"/>
      <c r="R1187" s="186"/>
      <c r="S1187" s="186"/>
    </row>
    <row r="1188">
      <c r="A1188" s="186" t="str">
        <f>IFERROR(__xludf.DUMMYFUNCTION("""COMPUTED_VALUE"""),"NORDICS")</f>
        <v>NORDICS</v>
      </c>
      <c r="B1188" s="186" t="str">
        <f>IFERROR(__xludf.DUMMYFUNCTION("""COMPUTED_VALUE"""),"W23")</f>
        <v>W23</v>
      </c>
      <c r="C1188" s="186">
        <f>IFERROR(__xludf.DUMMYFUNCTION("""COMPUTED_VALUE"""),608.0)</f>
        <v>608</v>
      </c>
      <c r="D1188" s="186" t="str">
        <f>IFERROR(__xludf.DUMMYFUNCTION("""COMPUTED_VALUE"""),"CON-00-147812-2")</f>
        <v>CON-00-147812-2</v>
      </c>
      <c r="E1188" s="186" t="str">
        <f>IFERROR(__xludf.DUMMYFUNCTION("""COMPUTED_VALUE"""),"Chicken in tomato cream sauce")</f>
        <v>Chicken in tomato cream sauce</v>
      </c>
      <c r="F1188" s="186" t="str">
        <f>IFERROR(__xludf.DUMMYFUNCTION("""COMPUTED_VALUE"""),"Kylling i cremet tomatsauce")</f>
        <v>Kylling i cremet tomatsauce</v>
      </c>
      <c r="G1188" s="186" t="str">
        <f>IFERROR(__xludf.DUMMYFUNCTION("""COMPUTED_VALUE"""),"FE0024E")</f>
        <v>FE0024E</v>
      </c>
      <c r="H1188" s="186">
        <f>IFERROR(__xludf.DUMMYFUNCTION("""COMPUTED_VALUE"""),565150.0)</f>
        <v>565150</v>
      </c>
      <c r="I1188" s="186" t="str">
        <f>IFERROR(__xludf.DUMMYFUNCTION("""COMPUTED_VALUE"""),"HF RW Kipfilet in tom-roomsaus")</f>
        <v>HF RW Kipfilet in tom-roomsaus</v>
      </c>
      <c r="J1188" s="189">
        <f>IFERROR(__xludf.DUMMYFUNCTION("""COMPUTED_VALUE"""),1218.0)</f>
        <v>1218</v>
      </c>
      <c r="K1188" s="186"/>
      <c r="L1188" s="186"/>
      <c r="M1188" s="186"/>
      <c r="N1188" s="186"/>
      <c r="O1188" s="186"/>
      <c r="P1188" s="186"/>
      <c r="Q1188" s="186"/>
      <c r="R1188" s="186"/>
      <c r="S1188" s="186"/>
    </row>
    <row r="1189">
      <c r="A1189" s="186" t="str">
        <f>IFERROR(__xludf.DUMMYFUNCTION("""COMPUTED_VALUE"""),"NORDICS")</f>
        <v>NORDICS</v>
      </c>
      <c r="B1189" s="186" t="str">
        <f>IFERROR(__xludf.DUMMYFUNCTION("""COMPUTED_VALUE"""),"W23")</f>
        <v>W23</v>
      </c>
      <c r="C1189" s="186">
        <f>IFERROR(__xludf.DUMMYFUNCTION("""COMPUTED_VALUE"""),609.0)</f>
        <v>609</v>
      </c>
      <c r="D1189" s="186"/>
      <c r="E1189" s="186"/>
      <c r="F1189" s="186"/>
      <c r="G1189" s="186" t="str">
        <f>IFERROR(__xludf.DUMMYFUNCTION("""COMPUTED_VALUE"""),"FV0778A")</f>
        <v>FV0778A</v>
      </c>
      <c r="H1189" s="186"/>
      <c r="I1189" s="186"/>
      <c r="J1189" s="189">
        <f>IFERROR(__xludf.DUMMYFUNCTION("""COMPUTED_VALUE"""),0.0)</f>
        <v>0</v>
      </c>
      <c r="K1189" s="186"/>
      <c r="L1189" s="186"/>
      <c r="M1189" s="186"/>
      <c r="N1189" s="186"/>
      <c r="O1189" s="186"/>
      <c r="P1189" s="186"/>
      <c r="Q1189" s="186"/>
      <c r="R1189" s="186"/>
      <c r="S1189" s="186"/>
    </row>
    <row r="1190">
      <c r="A1190" s="186" t="str">
        <f>IFERROR(__xludf.DUMMYFUNCTION("""COMPUTED_VALUE"""),"NORDICS")</f>
        <v>NORDICS</v>
      </c>
      <c r="B1190" s="186" t="str">
        <f>IFERROR(__xludf.DUMMYFUNCTION("""COMPUTED_VALUE"""),"W23")</f>
        <v>W23</v>
      </c>
      <c r="C1190" s="186">
        <f>IFERROR(__xludf.DUMMYFUNCTION("""COMPUTED_VALUE"""),610.0)</f>
        <v>610</v>
      </c>
      <c r="D1190" s="186"/>
      <c r="E1190" s="186"/>
      <c r="F1190" s="186"/>
      <c r="G1190" s="186" t="str">
        <f>IFERROR(__xludf.DUMMYFUNCTION("""COMPUTED_VALUE"""),"FV0131A")</f>
        <v>FV0131A</v>
      </c>
      <c r="H1190" s="186"/>
      <c r="I1190" s="186"/>
      <c r="J1190" s="189">
        <f>IFERROR(__xludf.DUMMYFUNCTION("""COMPUTED_VALUE"""),0.0)</f>
        <v>0</v>
      </c>
      <c r="K1190" s="186"/>
      <c r="L1190" s="186"/>
      <c r="M1190" s="186"/>
      <c r="N1190" s="186"/>
      <c r="O1190" s="186"/>
      <c r="P1190" s="186"/>
      <c r="Q1190" s="186"/>
      <c r="R1190" s="186"/>
      <c r="S1190" s="186"/>
    </row>
    <row r="1191">
      <c r="A1191" s="186" t="str">
        <f>IFERROR(__xludf.DUMMYFUNCTION("""COMPUTED_VALUE"""),"NORDICS")</f>
        <v>NORDICS</v>
      </c>
      <c r="B1191" s="186" t="str">
        <f>IFERROR(__xludf.DUMMYFUNCTION("""COMPUTED_VALUE"""),"W23")</f>
        <v>W23</v>
      </c>
      <c r="C1191" s="186">
        <f>IFERROR(__xludf.DUMMYFUNCTION("""COMPUTED_VALUE"""),611.0)</f>
        <v>611</v>
      </c>
      <c r="D1191" s="186" t="str">
        <f>IFERROR(__xludf.DUMMYFUNCTION("""COMPUTED_VALUE"""),"CON-00-147824-2")</f>
        <v>CON-00-147824-2</v>
      </c>
      <c r="E1191" s="186" t="str">
        <f>IFERROR(__xludf.DUMMYFUNCTION("""COMPUTED_VALUE"""),"Pork tenderloin in creamy garlic-mustard sauce")</f>
        <v>Pork tenderloin in creamy garlic-mustard sauce</v>
      </c>
      <c r="F1191" s="186" t="str">
        <f>IFERROR(__xludf.DUMMYFUNCTION("""COMPUTED_VALUE"""),"Svinemørbrad i cremet hvidløg-sennepssauce")</f>
        <v>Svinemørbrad i cremet hvidløg-sennepssauce</v>
      </c>
      <c r="G1191" s="186" t="str">
        <f>IFERROR(__xludf.DUMMYFUNCTION("""COMPUTED_VALUE"""),"FE0169H")</f>
        <v>FE0169H</v>
      </c>
      <c r="H1191" s="186">
        <f>IFERROR(__xludf.DUMMYFUNCTION("""COMPUTED_VALUE"""),565143.0)</f>
        <v>565143</v>
      </c>
      <c r="I1191" s="186" t="str">
        <f>IFERROR(__xludf.DUMMYFUNCTION("""COMPUTED_VALUE"""),"Varkenshaas in romige knoflook-mosterdsaus")</f>
        <v>Varkenshaas in romige knoflook-mosterdsaus</v>
      </c>
      <c r="J1191" s="189">
        <f>IFERROR(__xludf.DUMMYFUNCTION("""COMPUTED_VALUE"""),423.0)</f>
        <v>423</v>
      </c>
      <c r="K1191" s="186"/>
      <c r="L1191" s="186"/>
      <c r="M1191" s="186"/>
      <c r="N1191" s="186"/>
      <c r="O1191" s="186"/>
      <c r="P1191" s="186"/>
      <c r="Q1191" s="186"/>
      <c r="R1191" s="186"/>
      <c r="S1191" s="186"/>
    </row>
    <row r="1192">
      <c r="A1192" s="186" t="str">
        <f>IFERROR(__xludf.DUMMYFUNCTION("""COMPUTED_VALUE"""),"NORDICS")</f>
        <v>NORDICS</v>
      </c>
      <c r="B1192" s="186" t="str">
        <f>IFERROR(__xludf.DUMMYFUNCTION("""COMPUTED_VALUE"""),"W23")</f>
        <v>W23</v>
      </c>
      <c r="C1192" s="186">
        <f>IFERROR(__xludf.DUMMYFUNCTION("""COMPUTED_VALUE"""),612.0)</f>
        <v>612</v>
      </c>
      <c r="D1192" s="186" t="str">
        <f>IFERROR(__xludf.DUMMYFUNCTION("""COMPUTED_VALUE"""),"CON-00-151098-2")</f>
        <v>CON-00-151098-2</v>
      </c>
      <c r="E1192" s="186" t="str">
        <f>IFERROR(__xludf.DUMMYFUNCTION("""COMPUTED_VALUE"""),"Roasted Salmon &amp; Dill Yogurt")</f>
        <v>Roasted Salmon &amp; Dill Yogurt</v>
      </c>
      <c r="F1192" s="186" t="str">
        <f>IFERROR(__xludf.DUMMYFUNCTION("""COMPUTED_VALUE"""),"Ovnbagt laks med dild-yoghurtsauce")</f>
        <v>Ovnbagt laks med dild-yoghurtsauce</v>
      </c>
      <c r="G1192" s="186" t="str">
        <f>IFERROR(__xludf.DUMMYFUNCTION("""COMPUTED_VALUE"""),"FE1145B")</f>
        <v>FE1145B</v>
      </c>
      <c r="H1192" s="186">
        <f>IFERROR(__xludf.DUMMYFUNCTION("""COMPUTED_VALUE"""),565206.0)</f>
        <v>565206</v>
      </c>
      <c r="I1192" s="186" t="str">
        <f>IFERROR(__xludf.DUMMYFUNCTION("""COMPUTED_VALUE"""),"HF Zalm citroen dille yoghurt")</f>
        <v>HF Zalm citroen dille yoghurt</v>
      </c>
      <c r="J1192" s="189">
        <f>IFERROR(__xludf.DUMMYFUNCTION("""COMPUTED_VALUE"""),1735.0)</f>
        <v>1735</v>
      </c>
      <c r="K1192" s="186"/>
      <c r="L1192" s="186"/>
      <c r="M1192" s="186"/>
      <c r="N1192" s="186"/>
      <c r="O1192" s="186"/>
      <c r="P1192" s="186"/>
      <c r="Q1192" s="186"/>
      <c r="R1192" s="186"/>
      <c r="S1192" s="186"/>
    </row>
    <row r="1193">
      <c r="A1193" s="186" t="str">
        <f>IFERROR(__xludf.DUMMYFUNCTION("""COMPUTED_VALUE"""),"NORDICS")</f>
        <v>NORDICS</v>
      </c>
      <c r="B1193" s="186" t="str">
        <f>IFERROR(__xludf.DUMMYFUNCTION("""COMPUTED_VALUE"""),"W23")</f>
        <v>W23</v>
      </c>
      <c r="C1193" s="186">
        <f>IFERROR(__xludf.DUMMYFUNCTION("""COMPUTED_VALUE"""),613.0)</f>
        <v>613</v>
      </c>
      <c r="D1193" s="186"/>
      <c r="E1193" s="186"/>
      <c r="F1193" s="186"/>
      <c r="G1193" s="186"/>
      <c r="H1193" s="186"/>
      <c r="I1193" s="186"/>
      <c r="J1193" s="189">
        <f>IFERROR(__xludf.DUMMYFUNCTION("""COMPUTED_VALUE"""),0.0)</f>
        <v>0</v>
      </c>
      <c r="K1193" s="186"/>
      <c r="L1193" s="186"/>
      <c r="M1193" s="186"/>
      <c r="N1193" s="186"/>
      <c r="O1193" s="186"/>
      <c r="P1193" s="186"/>
      <c r="Q1193" s="186"/>
      <c r="R1193" s="186"/>
      <c r="S1193" s="186"/>
    </row>
    <row r="1194">
      <c r="A1194" s="186" t="str">
        <f>IFERROR(__xludf.DUMMYFUNCTION("""COMPUTED_VALUE"""),"NORDICS")</f>
        <v>NORDICS</v>
      </c>
      <c r="B1194" s="186" t="str">
        <f>IFERROR(__xludf.DUMMYFUNCTION("""COMPUTED_VALUE"""),"W23")</f>
        <v>W23</v>
      </c>
      <c r="C1194" s="186">
        <f>IFERROR(__xludf.DUMMYFUNCTION("""COMPUTED_VALUE"""),614.0)</f>
        <v>614</v>
      </c>
      <c r="D1194" s="186" t="str">
        <f>IFERROR(__xludf.DUMMYFUNCTION("""COMPUTED_VALUE"""),"CON-00-152034-2")</f>
        <v>CON-00-152034-2</v>
      </c>
      <c r="E1194" s="186" t="str">
        <f>IFERROR(__xludf.DUMMYFUNCTION("""COMPUTED_VALUE"""),"Moroccan-style chicken thighs &amp; tomato sauce")</f>
        <v>Moroccan-style chicken thighs &amp; tomato sauce</v>
      </c>
      <c r="F1194" s="186" t="str">
        <f>IFERROR(__xludf.DUMMYFUNCTION("""COMPUTED_VALUE"""),"Marokkansk-inspirerede kyllingeoverlår i tomatsauce")</f>
        <v>Marokkansk-inspirerede kyllingeoverlår i tomatsauce</v>
      </c>
      <c r="G1194" s="186" t="str">
        <f>IFERROR(__xludf.DUMMYFUNCTION("""COMPUTED_VALUE"""),"FE1068A")</f>
        <v>FE1068A</v>
      </c>
      <c r="H1194" s="186">
        <f>IFERROR(__xludf.DUMMYFUNCTION("""COMPUTED_VALUE"""),565192.0)</f>
        <v>565192</v>
      </c>
      <c r="I1194" s="186" t="str">
        <f>IFERROR(__xludf.DUMMYFUNCTION("""COMPUTED_VALUE"""),"HF Kip met kruidige aardappels")</f>
        <v>HF Kip met kruidige aardappels</v>
      </c>
      <c r="J1194" s="189">
        <f>IFERROR(__xludf.DUMMYFUNCTION("""COMPUTED_VALUE"""),675.0)</f>
        <v>675</v>
      </c>
      <c r="K1194" s="186"/>
      <c r="L1194" s="186"/>
      <c r="M1194" s="186"/>
      <c r="N1194" s="186"/>
      <c r="O1194" s="186"/>
      <c r="P1194" s="186"/>
      <c r="Q1194" s="186"/>
      <c r="R1194" s="186"/>
      <c r="S1194" s="186"/>
    </row>
    <row r="1195">
      <c r="A1195" s="186" t="str">
        <f>IFERROR(__xludf.DUMMYFUNCTION("""COMPUTED_VALUE"""),"NORDICS")</f>
        <v>NORDICS</v>
      </c>
      <c r="B1195" s="186" t="str">
        <f>IFERROR(__xludf.DUMMYFUNCTION("""COMPUTED_VALUE"""),"W23")</f>
        <v>W23</v>
      </c>
      <c r="C1195" s="186">
        <f>IFERROR(__xludf.DUMMYFUNCTION("""COMPUTED_VALUE"""),615.0)</f>
        <v>615</v>
      </c>
      <c r="D1195" s="186"/>
      <c r="E1195" s="186"/>
      <c r="F1195" s="186"/>
      <c r="G1195" s="186" t="str">
        <f>IFERROR(__xludf.DUMMYFUNCTION("""COMPUTED_VALUE"""),"FV0846A")</f>
        <v>FV0846A</v>
      </c>
      <c r="H1195" s="186"/>
      <c r="I1195" s="186"/>
      <c r="J1195" s="189">
        <f>IFERROR(__xludf.DUMMYFUNCTION("""COMPUTED_VALUE"""),0.0)</f>
        <v>0</v>
      </c>
      <c r="K1195" s="186"/>
      <c r="L1195" s="186"/>
      <c r="M1195" s="186"/>
      <c r="N1195" s="186"/>
      <c r="O1195" s="186"/>
      <c r="P1195" s="186"/>
      <c r="Q1195" s="186"/>
      <c r="R1195" s="186"/>
      <c r="S1195" s="186"/>
    </row>
    <row r="1196">
      <c r="A1196" s="186" t="str">
        <f>IFERROR(__xludf.DUMMYFUNCTION("""COMPUTED_VALUE"""),"NORDICS")</f>
        <v>NORDICS</v>
      </c>
      <c r="B1196" s="186" t="str">
        <f>IFERROR(__xludf.DUMMYFUNCTION("""COMPUTED_VALUE"""),"W23")</f>
        <v>W23</v>
      </c>
      <c r="C1196" s="186">
        <f>IFERROR(__xludf.DUMMYFUNCTION("""COMPUTED_VALUE"""),616.0)</f>
        <v>616</v>
      </c>
      <c r="D1196" s="186" t="str">
        <f>IFERROR(__xludf.DUMMYFUNCTION("""COMPUTED_VALUE"""),"CON-00-150964-2")</f>
        <v>CON-00-150964-2</v>
      </c>
      <c r="E1196" s="186" t="str">
        <f>IFERROR(__xludf.DUMMYFUNCTION("""COMPUTED_VALUE"""),"Bulgogi Pulled Beef Bowl")</f>
        <v>Bulgogi Pulled Beef Bowl</v>
      </c>
      <c r="F1196" s="186" t="str">
        <f>IFERROR(__xludf.DUMMYFUNCTION("""COMPUTED_VALUE"""),"Bulgogi-bowl med pulled beef")</f>
        <v>Bulgogi-bowl med pulled beef</v>
      </c>
      <c r="G1196" s="186"/>
      <c r="H1196" s="186">
        <f>IFERROR(__xludf.DUMMYFUNCTION("""COMPUTED_VALUE"""),565190.0)</f>
        <v>565190</v>
      </c>
      <c r="I1196" s="186" t="str">
        <f>IFERROR(__xludf.DUMMYFUNCTION("""COMPUTED_VALUE"""),"HF Bulgogi pulled beef")</f>
        <v>HF Bulgogi pulled beef</v>
      </c>
      <c r="J1196" s="189">
        <f>IFERROR(__xludf.DUMMYFUNCTION("""COMPUTED_VALUE"""),491.0)</f>
        <v>491</v>
      </c>
      <c r="K1196" s="186"/>
      <c r="L1196" s="186"/>
      <c r="M1196" s="186"/>
      <c r="N1196" s="186"/>
      <c r="O1196" s="186"/>
      <c r="P1196" s="186"/>
      <c r="Q1196" s="186"/>
      <c r="R1196" s="186"/>
      <c r="S1196" s="186"/>
    </row>
    <row r="1197">
      <c r="A1197" s="186" t="str">
        <f>IFERROR(__xludf.DUMMYFUNCTION("""COMPUTED_VALUE"""),"NORDICS")</f>
        <v>NORDICS</v>
      </c>
      <c r="B1197" s="186" t="str">
        <f>IFERROR(__xludf.DUMMYFUNCTION("""COMPUTED_VALUE"""),"W23")</f>
        <v>W23</v>
      </c>
      <c r="C1197" s="186">
        <f>IFERROR(__xludf.DUMMYFUNCTION("""COMPUTED_VALUE"""),617.0)</f>
        <v>617</v>
      </c>
      <c r="D1197" s="186"/>
      <c r="E1197" s="186"/>
      <c r="F1197" s="186"/>
      <c r="G1197" s="186" t="str">
        <f>IFERROR(__xludf.DUMMYFUNCTION("""COMPUTED_VALUE"""),"FV4053A")</f>
        <v>FV4053A</v>
      </c>
      <c r="H1197" s="186"/>
      <c r="I1197" s="186"/>
      <c r="J1197" s="189">
        <f>IFERROR(__xludf.DUMMYFUNCTION("""COMPUTED_VALUE"""),0.0)</f>
        <v>0</v>
      </c>
      <c r="K1197" s="186"/>
      <c r="L1197" s="186"/>
      <c r="M1197" s="186"/>
      <c r="N1197" s="186"/>
      <c r="O1197" s="186"/>
      <c r="P1197" s="186"/>
      <c r="Q1197" s="186"/>
      <c r="R1197" s="186"/>
      <c r="S1197" s="186"/>
    </row>
    <row r="1198">
      <c r="A1198" s="186" t="str">
        <f>IFERROR(__xludf.DUMMYFUNCTION("""COMPUTED_VALUE"""),"NORDICS")</f>
        <v>NORDICS</v>
      </c>
      <c r="B1198" s="186" t="str">
        <f>IFERROR(__xludf.DUMMYFUNCTION("""COMPUTED_VALUE"""),"W23")</f>
        <v>W23</v>
      </c>
      <c r="C1198" s="186">
        <f>IFERROR(__xludf.DUMMYFUNCTION("""COMPUTED_VALUE"""),618.0)</f>
        <v>618</v>
      </c>
      <c r="D1198" s="186"/>
      <c r="E1198" s="186"/>
      <c r="F1198" s="186"/>
      <c r="G1198" s="186" t="str">
        <f>IFERROR(__xludf.DUMMYFUNCTION("""COMPUTED_VALUE"""),"FV4042A")</f>
        <v>FV4042A</v>
      </c>
      <c r="H1198" s="186"/>
      <c r="I1198" s="186"/>
      <c r="J1198" s="189">
        <f>IFERROR(__xludf.DUMMYFUNCTION("""COMPUTED_VALUE"""),0.0)</f>
        <v>0</v>
      </c>
      <c r="K1198" s="186"/>
      <c r="L1198" s="186"/>
      <c r="M1198" s="186"/>
      <c r="N1198" s="186"/>
      <c r="O1198" s="186"/>
      <c r="P1198" s="186"/>
      <c r="Q1198" s="186"/>
      <c r="R1198" s="186"/>
      <c r="S1198" s="186"/>
    </row>
    <row r="1199">
      <c r="A1199" s="186" t="str">
        <f>IFERROR(__xludf.DUMMYFUNCTION("""COMPUTED_VALUE"""),"NORDICS")</f>
        <v>NORDICS</v>
      </c>
      <c r="B1199" s="186" t="str">
        <f>IFERROR(__xludf.DUMMYFUNCTION("""COMPUTED_VALUE"""),"W23")</f>
        <v>W23</v>
      </c>
      <c r="C1199" s="186">
        <f>IFERROR(__xludf.DUMMYFUNCTION("""COMPUTED_VALUE"""),619.0)</f>
        <v>619</v>
      </c>
      <c r="D1199" s="186"/>
      <c r="E1199" s="186"/>
      <c r="F1199" s="186"/>
      <c r="G1199" s="186" t="str">
        <f>IFERROR(__xludf.DUMMYFUNCTION("""COMPUTED_VALUE"""),"FV1646A")</f>
        <v>FV1646A</v>
      </c>
      <c r="H1199" s="186"/>
      <c r="I1199" s="186"/>
      <c r="J1199" s="189">
        <f>IFERROR(__xludf.DUMMYFUNCTION("""COMPUTED_VALUE"""),0.0)</f>
        <v>0</v>
      </c>
      <c r="K1199" s="186"/>
      <c r="L1199" s="186"/>
      <c r="M1199" s="186"/>
      <c r="N1199" s="186"/>
      <c r="O1199" s="186"/>
      <c r="P1199" s="186"/>
      <c r="Q1199" s="186"/>
      <c r="R1199" s="186"/>
      <c r="S1199" s="186"/>
    </row>
    <row r="1200">
      <c r="A1200" s="186" t="str">
        <f>IFERROR(__xludf.DUMMYFUNCTION("""COMPUTED_VALUE"""),"NORDICS")</f>
        <v>NORDICS</v>
      </c>
      <c r="B1200" s="186" t="str">
        <f>IFERROR(__xludf.DUMMYFUNCTION("""COMPUTED_VALUE"""),"W23")</f>
        <v>W23</v>
      </c>
      <c r="C1200" s="186">
        <f>IFERROR(__xludf.DUMMYFUNCTION("""COMPUTED_VALUE"""),620.0)</f>
        <v>620</v>
      </c>
      <c r="D1200" s="186"/>
      <c r="E1200" s="186" t="str">
        <f>IFERROR(__xludf.DUMMYFUNCTION("""COMPUTED_VALUE"""),"Chermoula Chicken &amp; Lentils")</f>
        <v>Chermoula Chicken &amp; Lentils</v>
      </c>
      <c r="F1200" s="186" t="str">
        <f>IFERROR(__xludf.DUMMYFUNCTION("""COMPUTED_VALUE"""),"Kylling i chermoula-sauce med linser ")</f>
        <v>Kylling i chermoula-sauce med linser </v>
      </c>
      <c r="G1200" s="186" t="str">
        <f>IFERROR(__xludf.DUMMYFUNCTION("""COMPUTED_VALUE"""),"FE1698A")</f>
        <v>FE1698A</v>
      </c>
      <c r="H1200" s="186">
        <f>IFERROR(__xludf.DUMMYFUNCTION("""COMPUTED_VALUE"""),565213.0)</f>
        <v>565213</v>
      </c>
      <c r="I1200" s="186" t="str">
        <f>IFERROR(__xludf.DUMMYFUNCTION("""COMPUTED_VALUE"""),"HF Kip chermoula en linzen")</f>
        <v>HF Kip chermoula en linzen</v>
      </c>
      <c r="J1200" s="189">
        <f>IFERROR(__xludf.DUMMYFUNCTION("""COMPUTED_VALUE"""),606.0)</f>
        <v>606</v>
      </c>
      <c r="K1200" s="186"/>
      <c r="L1200" s="186"/>
      <c r="M1200" s="186"/>
      <c r="N1200" s="186"/>
      <c r="O1200" s="186"/>
      <c r="P1200" s="186"/>
      <c r="Q1200" s="186"/>
      <c r="R1200" s="186"/>
      <c r="S1200" s="186"/>
    </row>
    <row r="1201">
      <c r="A1201" s="186" t="str">
        <f>IFERROR(__xludf.DUMMYFUNCTION("""COMPUTED_VALUE"""),"NORDICS")</f>
        <v>NORDICS</v>
      </c>
      <c r="B1201" s="186" t="str">
        <f>IFERROR(__xludf.DUMMYFUNCTION("""COMPUTED_VALUE"""),"W23")</f>
        <v>W23</v>
      </c>
      <c r="C1201" s="186">
        <f>IFERROR(__xludf.DUMMYFUNCTION("""COMPUTED_VALUE"""),621.0)</f>
        <v>621</v>
      </c>
      <c r="D1201" s="186"/>
      <c r="E1201" s="186"/>
      <c r="F1201" s="186"/>
      <c r="G1201" s="186" t="str">
        <f>IFERROR(__xludf.DUMMYFUNCTION("""COMPUTED_VALUE"""),"FV0601A")</f>
        <v>FV0601A</v>
      </c>
      <c r="H1201" s="186"/>
      <c r="I1201" s="186"/>
      <c r="J1201" s="189">
        <f>IFERROR(__xludf.DUMMYFUNCTION("""COMPUTED_VALUE"""),0.0)</f>
        <v>0</v>
      </c>
      <c r="K1201" s="186"/>
      <c r="L1201" s="186"/>
      <c r="M1201" s="186"/>
      <c r="N1201" s="186"/>
      <c r="O1201" s="186"/>
      <c r="P1201" s="186"/>
      <c r="Q1201" s="186"/>
      <c r="R1201" s="186"/>
      <c r="S1201" s="186"/>
    </row>
    <row r="1202">
      <c r="A1202" s="186" t="str">
        <f>IFERROR(__xludf.DUMMYFUNCTION("""COMPUTED_VALUE"""),"NORDICS")</f>
        <v>NORDICS</v>
      </c>
      <c r="B1202" s="186" t="str">
        <f>IFERROR(__xludf.DUMMYFUNCTION("""COMPUTED_VALUE"""),"W23")</f>
        <v>W23</v>
      </c>
      <c r="C1202" s="186">
        <f>IFERROR(__xludf.DUMMYFUNCTION("""COMPUTED_VALUE"""),706.0)</f>
        <v>706</v>
      </c>
      <c r="D1202" s="186" t="str">
        <f>IFERROR(__xludf.DUMMYFUNCTION("""COMPUTED_VALUE"""),"PTN-00-148223-2")</f>
        <v>PTN-00-148223-2</v>
      </c>
      <c r="E1202" s="186" t="str">
        <f>IFERROR(__xludf.DUMMYFUNCTION("""COMPUTED_VALUE"""),"Garlic Herb Grilled Chicken")</f>
        <v>Garlic Herb Grilled Chicken</v>
      </c>
      <c r="F1202" s="186" t="str">
        <f>IFERROR(__xludf.DUMMYFUNCTION("""COMPUTED_VALUE"""),"Grillet kylling med hvidlød og urter")</f>
        <v>Grillet kylling med hvidlød og urter</v>
      </c>
      <c r="G1202" s="186" t="str">
        <f>IFERROR(__xludf.DUMMYFUNCTION("""COMPUTED_VALUE"""),"FEA006A")</f>
        <v>FEA006A</v>
      </c>
      <c r="H1202" s="186">
        <f>IFERROR(__xludf.DUMMYFUNCTION("""COMPUTED_VALUE"""),565119.0)</f>
        <v>565119</v>
      </c>
      <c r="I1202" s="186"/>
      <c r="J1202" s="189">
        <f>IFERROR(__xludf.DUMMYFUNCTION("""COMPUTED_VALUE"""),36.0)</f>
        <v>36</v>
      </c>
      <c r="K1202" s="186"/>
      <c r="L1202" s="186"/>
      <c r="M1202" s="186"/>
      <c r="N1202" s="186"/>
      <c r="O1202" s="186"/>
      <c r="P1202" s="186"/>
      <c r="Q1202" s="186"/>
      <c r="R1202" s="186"/>
      <c r="S1202" s="186"/>
    </row>
    <row r="1203">
      <c r="A1203" s="186" t="str">
        <f>IFERROR(__xludf.DUMMYFUNCTION("""COMPUTED_VALUE"""),"NORDICS")</f>
        <v>NORDICS</v>
      </c>
      <c r="B1203" s="186" t="str">
        <f>IFERROR(__xludf.DUMMYFUNCTION("""COMPUTED_VALUE"""),"W23")</f>
        <v>W23</v>
      </c>
      <c r="C1203" s="186"/>
      <c r="D1203" s="186"/>
      <c r="E1203" s="186"/>
      <c r="F1203" s="186"/>
      <c r="G1203" s="186"/>
      <c r="H1203" s="186"/>
      <c r="I1203" s="186"/>
      <c r="J1203" s="189">
        <f>IFERROR(__xludf.DUMMYFUNCTION("""COMPUTED_VALUE"""),10148.0)</f>
        <v>10148</v>
      </c>
      <c r="K1203" s="189">
        <f>IFERROR(__xludf.DUMMYFUNCTION("""COMPUTED_VALUE"""),0.0)</f>
        <v>0</v>
      </c>
      <c r="L1203" s="189">
        <f>IFERROR(__xludf.DUMMYFUNCTION("""COMPUTED_VALUE"""),0.0)</f>
        <v>0</v>
      </c>
      <c r="M1203" s="189">
        <f>IFERROR(__xludf.DUMMYFUNCTION("""COMPUTED_VALUE"""),0.0)</f>
        <v>0</v>
      </c>
      <c r="N1203" s="189">
        <f>IFERROR(__xludf.DUMMYFUNCTION("""COMPUTED_VALUE"""),0.0)</f>
        <v>0</v>
      </c>
      <c r="O1203" s="189">
        <f>IFERROR(__xludf.DUMMYFUNCTION("""COMPUTED_VALUE"""),0.0)</f>
        <v>0</v>
      </c>
      <c r="P1203" s="189">
        <f>IFERROR(__xludf.DUMMYFUNCTION("""COMPUTED_VALUE"""),0.0)</f>
        <v>0</v>
      </c>
      <c r="Q1203" s="189">
        <f>IFERROR(__xludf.DUMMYFUNCTION("""COMPUTED_VALUE"""),0.0)</f>
        <v>0</v>
      </c>
      <c r="R1203" s="189">
        <f>IFERROR(__xludf.DUMMYFUNCTION("""COMPUTED_VALUE"""),0.0)</f>
        <v>0</v>
      </c>
      <c r="S1203" s="189">
        <f>IFERROR(__xludf.DUMMYFUNCTION("""COMPUTED_VALUE"""),0.0)</f>
        <v>0</v>
      </c>
    </row>
    <row r="1204">
      <c r="A1204" s="186" t="str">
        <f>IFERROR(__xludf.DUMMYFUNCTION("""COMPUTED_VALUE"""),"DE")</f>
        <v>DE</v>
      </c>
      <c r="B1204" s="186" t="str">
        <f>IFERROR(__xludf.DUMMYFUNCTION("""COMPUTED_VALUE"""),"W23")</f>
        <v>W23</v>
      </c>
      <c r="C1204" s="186">
        <f>IFERROR(__xludf.DUMMYFUNCTION("""COMPUTED_VALUE"""),301.0)</f>
        <v>301</v>
      </c>
      <c r="D1204" s="186" t="str">
        <f>IFERROR(__xludf.DUMMYFUNCTION("""COMPUTED_VALUE"""),"CON-00-136674-3")</f>
        <v>CON-00-136674-3</v>
      </c>
      <c r="E1204" s="186" t="str">
        <f>IFERROR(__xludf.DUMMYFUNCTION("""COMPUTED_VALUE"""),"Grilled chicken and ratatouille")</f>
        <v>Grilled chicken and ratatouille</v>
      </c>
      <c r="F1204" s="186" t="str">
        <f>IFERROR(__xludf.DUMMYFUNCTION("""COMPUTED_VALUE"""),"Gegrilltes Hähnchen mit Ratatouille")</f>
        <v>Gegrilltes Hähnchen mit Ratatouille</v>
      </c>
      <c r="G1204" s="186" t="str">
        <f>IFERROR(__xludf.DUMMYFUNCTION("""COMPUTED_VALUE"""),"FE4015B")</f>
        <v>FE4015B</v>
      </c>
      <c r="H1204" s="186">
        <f>IFERROR(__xludf.DUMMYFUNCTION("""COMPUTED_VALUE"""),565072.0)</f>
        <v>565072</v>
      </c>
      <c r="I1204" s="186" t="str">
        <f>IFERROR(__xludf.DUMMYFUNCTION("""COMPUTED_VALUE"""),"HF Kipfilet met Ratatouille")</f>
        <v>HF Kipfilet met Ratatouille</v>
      </c>
      <c r="J1204" s="189">
        <f>IFERROR(__xludf.DUMMYFUNCTION("""COMPUTED_VALUE"""),2422.0)</f>
        <v>2422</v>
      </c>
      <c r="K1204" s="186"/>
      <c r="L1204" s="186"/>
      <c r="M1204" s="186"/>
      <c r="N1204" s="186"/>
      <c r="O1204" s="186"/>
      <c r="P1204" s="186"/>
      <c r="Q1204" s="186"/>
      <c r="R1204" s="186"/>
      <c r="S1204" s="186"/>
    </row>
    <row r="1205">
      <c r="A1205" s="186" t="str">
        <f>IFERROR(__xludf.DUMMYFUNCTION("""COMPUTED_VALUE"""),"DE")</f>
        <v>DE</v>
      </c>
      <c r="B1205" s="186" t="str">
        <f>IFERROR(__xludf.DUMMYFUNCTION("""COMPUTED_VALUE"""),"W23")</f>
        <v>W23</v>
      </c>
      <c r="C1205" s="186">
        <f>IFERROR(__xludf.DUMMYFUNCTION("""COMPUTED_VALUE"""),302.0)</f>
        <v>302</v>
      </c>
      <c r="D1205" s="186"/>
      <c r="E1205" s="186"/>
      <c r="F1205" s="186"/>
      <c r="G1205" s="186" t="str">
        <f>IFERROR(__xludf.DUMMYFUNCTION("""COMPUTED_VALUE"""),"FV0322A")</f>
        <v>FV0322A</v>
      </c>
      <c r="H1205" s="186"/>
      <c r="I1205" s="186"/>
      <c r="J1205" s="189">
        <f>IFERROR(__xludf.DUMMYFUNCTION("""COMPUTED_VALUE"""),0.0)</f>
        <v>0</v>
      </c>
      <c r="K1205" s="186"/>
      <c r="L1205" s="186"/>
      <c r="M1205" s="186"/>
      <c r="N1205" s="186"/>
      <c r="O1205" s="186"/>
      <c r="P1205" s="186"/>
      <c r="Q1205" s="186"/>
      <c r="R1205" s="186"/>
      <c r="S1205" s="186"/>
    </row>
    <row r="1206">
      <c r="A1206" s="186" t="str">
        <f>IFERROR(__xludf.DUMMYFUNCTION("""COMPUTED_VALUE"""),"DE")</f>
        <v>DE</v>
      </c>
      <c r="B1206" s="186" t="str">
        <f>IFERROR(__xludf.DUMMYFUNCTION("""COMPUTED_VALUE"""),"W23")</f>
        <v>W23</v>
      </c>
      <c r="C1206" s="186">
        <f>IFERROR(__xludf.DUMMYFUNCTION("""COMPUTED_VALUE"""),303.0)</f>
        <v>303</v>
      </c>
      <c r="D1206" s="186"/>
      <c r="E1206" s="186"/>
      <c r="F1206" s="186"/>
      <c r="G1206" s="186" t="str">
        <f>IFERROR(__xludf.DUMMYFUNCTION("""COMPUTED_VALUE"""),"FV4063A")</f>
        <v>FV4063A</v>
      </c>
      <c r="H1206" s="186"/>
      <c r="I1206" s="186"/>
      <c r="J1206" s="189">
        <f>IFERROR(__xludf.DUMMYFUNCTION("""COMPUTED_VALUE"""),0.0)</f>
        <v>0</v>
      </c>
      <c r="K1206" s="186"/>
      <c r="L1206" s="186"/>
      <c r="M1206" s="186"/>
      <c r="N1206" s="186"/>
      <c r="O1206" s="186"/>
      <c r="P1206" s="186"/>
      <c r="Q1206" s="186"/>
      <c r="R1206" s="186"/>
      <c r="S1206" s="186"/>
    </row>
    <row r="1207">
      <c r="A1207" s="186" t="str">
        <f>IFERROR(__xludf.DUMMYFUNCTION("""COMPUTED_VALUE"""),"DE")</f>
        <v>DE</v>
      </c>
      <c r="B1207" s="186" t="str">
        <f>IFERROR(__xludf.DUMMYFUNCTION("""COMPUTED_VALUE"""),"W23")</f>
        <v>W23</v>
      </c>
      <c r="C1207" s="186">
        <f>IFERROR(__xludf.DUMMYFUNCTION("""COMPUTED_VALUE"""),304.0)</f>
        <v>304</v>
      </c>
      <c r="D1207" s="186"/>
      <c r="E1207" s="186"/>
      <c r="F1207" s="186"/>
      <c r="G1207" s="186" t="str">
        <f>IFERROR(__xludf.DUMMYFUNCTION("""COMPUTED_VALUE"""),"FV1320A")</f>
        <v>FV1320A</v>
      </c>
      <c r="H1207" s="186"/>
      <c r="I1207" s="186"/>
      <c r="J1207" s="189">
        <f>IFERROR(__xludf.DUMMYFUNCTION("""COMPUTED_VALUE"""),0.0)</f>
        <v>0</v>
      </c>
      <c r="K1207" s="186"/>
      <c r="L1207" s="186"/>
      <c r="M1207" s="186"/>
      <c r="N1207" s="186"/>
      <c r="O1207" s="186"/>
      <c r="P1207" s="186"/>
      <c r="Q1207" s="186"/>
      <c r="R1207" s="186"/>
      <c r="S1207" s="186"/>
    </row>
    <row r="1208">
      <c r="A1208" s="186" t="str">
        <f>IFERROR(__xludf.DUMMYFUNCTION("""COMPUTED_VALUE"""),"DE")</f>
        <v>DE</v>
      </c>
      <c r="B1208" s="186" t="str">
        <f>IFERROR(__xludf.DUMMYFUNCTION("""COMPUTED_VALUE"""),"W23")</f>
        <v>W23</v>
      </c>
      <c r="C1208" s="186">
        <f>IFERROR(__xludf.DUMMYFUNCTION("""COMPUTED_VALUE"""),305.0)</f>
        <v>305</v>
      </c>
      <c r="D1208" s="186" t="str">
        <f>IFERROR(__xludf.DUMMYFUNCTION("""COMPUTED_VALUE"""),"CON-00-150748-2")</f>
        <v>CON-00-150748-2</v>
      </c>
      <c r="E1208" s="186" t="str">
        <f>IFERROR(__xludf.DUMMYFUNCTION("""COMPUTED_VALUE"""),"West African Style Chicken Peanut Curry")</f>
        <v>West African Style Chicken Peanut Curry</v>
      </c>
      <c r="F1208" s="186" t="str">
        <f>IFERROR(__xludf.DUMMYFUNCTION("""COMPUTED_VALUE"""),"Westafrikanisches Hähnchen-Erdnuss-Curry")</f>
        <v>Westafrikanisches Hähnchen-Erdnuss-Curry</v>
      </c>
      <c r="G1208" s="186" t="str">
        <f>IFERROR(__xludf.DUMMYFUNCTION("""COMPUTED_VALUE"""),"FE1451A")</f>
        <v>FE1451A</v>
      </c>
      <c r="H1208" s="186">
        <f>IFERROR(__xludf.DUMMYFUNCTION("""COMPUTED_VALUE"""),565178.0)</f>
        <v>565178</v>
      </c>
      <c r="I1208" s="186" t="str">
        <f>IFERROR(__xludf.DUMMYFUNCTION("""COMPUTED_VALUE"""),"HF Kruidige pinda curry")</f>
        <v>HF Kruidige pinda curry</v>
      </c>
      <c r="J1208" s="189">
        <f>IFERROR(__xludf.DUMMYFUNCTION("""COMPUTED_VALUE"""),1513.0)</f>
        <v>1513</v>
      </c>
      <c r="K1208" s="186"/>
      <c r="L1208" s="186"/>
      <c r="M1208" s="186"/>
      <c r="N1208" s="186"/>
      <c r="O1208" s="186"/>
      <c r="P1208" s="186"/>
      <c r="Q1208" s="186"/>
      <c r="R1208" s="186"/>
      <c r="S1208" s="186"/>
    </row>
    <row r="1209">
      <c r="A1209" s="186" t="str">
        <f>IFERROR(__xludf.DUMMYFUNCTION("""COMPUTED_VALUE"""),"DE")</f>
        <v>DE</v>
      </c>
      <c r="B1209" s="186" t="str">
        <f>IFERROR(__xludf.DUMMYFUNCTION("""COMPUTED_VALUE"""),"W23")</f>
        <v>W23</v>
      </c>
      <c r="C1209" s="186">
        <f>IFERROR(__xludf.DUMMYFUNCTION("""COMPUTED_VALUE"""),306.0)</f>
        <v>306</v>
      </c>
      <c r="D1209" s="186"/>
      <c r="E1209" s="186"/>
      <c r="F1209" s="186"/>
      <c r="G1209" s="186" t="str">
        <f>IFERROR(__xludf.DUMMYFUNCTION("""COMPUTED_VALUE"""),"FV0035A")</f>
        <v>FV0035A</v>
      </c>
      <c r="H1209" s="186"/>
      <c r="I1209" s="186"/>
      <c r="J1209" s="189">
        <f>IFERROR(__xludf.DUMMYFUNCTION("""COMPUTED_VALUE"""),0.0)</f>
        <v>0</v>
      </c>
      <c r="K1209" s="186"/>
      <c r="L1209" s="186"/>
      <c r="M1209" s="186"/>
      <c r="N1209" s="186"/>
      <c r="O1209" s="186"/>
      <c r="P1209" s="186"/>
      <c r="Q1209" s="186"/>
      <c r="R1209" s="186"/>
      <c r="S1209" s="186"/>
    </row>
    <row r="1210">
      <c r="A1210" s="186" t="str">
        <f>IFERROR(__xludf.DUMMYFUNCTION("""COMPUTED_VALUE"""),"DE")</f>
        <v>DE</v>
      </c>
      <c r="B1210" s="186" t="str">
        <f>IFERROR(__xludf.DUMMYFUNCTION("""COMPUTED_VALUE"""),"W23")</f>
        <v>W23</v>
      </c>
      <c r="C1210" s="186">
        <f>IFERROR(__xludf.DUMMYFUNCTION("""COMPUTED_VALUE"""),307.0)</f>
        <v>307</v>
      </c>
      <c r="D1210" s="186"/>
      <c r="E1210" s="186"/>
      <c r="F1210" s="186"/>
      <c r="G1210" s="186" t="str">
        <f>IFERROR(__xludf.DUMMYFUNCTION("""COMPUTED_VALUE"""),"FV0401A")</f>
        <v>FV0401A</v>
      </c>
      <c r="H1210" s="186"/>
      <c r="I1210" s="186"/>
      <c r="J1210" s="189">
        <f>IFERROR(__xludf.DUMMYFUNCTION("""COMPUTED_VALUE"""),0.0)</f>
        <v>0</v>
      </c>
      <c r="K1210" s="186"/>
      <c r="L1210" s="186"/>
      <c r="M1210" s="186"/>
      <c r="N1210" s="186"/>
      <c r="O1210" s="186"/>
      <c r="P1210" s="186"/>
      <c r="Q1210" s="186"/>
      <c r="R1210" s="186"/>
      <c r="S1210" s="186"/>
    </row>
    <row r="1211">
      <c r="A1211" s="186" t="str">
        <f>IFERROR(__xludf.DUMMYFUNCTION("""COMPUTED_VALUE"""),"DE")</f>
        <v>DE</v>
      </c>
      <c r="B1211" s="186" t="str">
        <f>IFERROR(__xludf.DUMMYFUNCTION("""COMPUTED_VALUE"""),"W23")</f>
        <v>W23</v>
      </c>
      <c r="C1211" s="186">
        <f>IFERROR(__xludf.DUMMYFUNCTION("""COMPUTED_VALUE"""),308.0)</f>
        <v>308</v>
      </c>
      <c r="D1211" s="186" t="str">
        <f>IFERROR(__xludf.DUMMYFUNCTION("""COMPUTED_VALUE"""),"CON-00-136673-3")</f>
        <v>CON-00-136673-3</v>
      </c>
      <c r="E1211" s="186" t="str">
        <f>IFERROR(__xludf.DUMMYFUNCTION("""COMPUTED_VALUE"""),"Chicken in tomato cream sauce")</f>
        <v>Chicken in tomato cream sauce</v>
      </c>
      <c r="F1211" s="186" t="str">
        <f>IFERROR(__xludf.DUMMYFUNCTION("""COMPUTED_VALUE"""),"Hähnchen in Tomatencreme")</f>
        <v>Hähnchen in Tomatencreme</v>
      </c>
      <c r="G1211" s="186" t="str">
        <f>IFERROR(__xludf.DUMMYFUNCTION("""COMPUTED_VALUE"""),"FE0024E")</f>
        <v>FE0024E</v>
      </c>
      <c r="H1211" s="186">
        <f>IFERROR(__xludf.DUMMYFUNCTION("""COMPUTED_VALUE"""),565150.0)</f>
        <v>565150</v>
      </c>
      <c r="I1211" s="186" t="str">
        <f>IFERROR(__xludf.DUMMYFUNCTION("""COMPUTED_VALUE"""),"HF RW Kipfilet in tom-roomsaus")</f>
        <v>HF RW Kipfilet in tom-roomsaus</v>
      </c>
      <c r="J1211" s="189">
        <f>IFERROR(__xludf.DUMMYFUNCTION("""COMPUTED_VALUE"""),1146.0)</f>
        <v>1146</v>
      </c>
      <c r="K1211" s="186"/>
      <c r="L1211" s="186"/>
      <c r="M1211" s="186"/>
      <c r="N1211" s="186"/>
      <c r="O1211" s="186"/>
      <c r="P1211" s="186"/>
      <c r="Q1211" s="186"/>
      <c r="R1211" s="186"/>
      <c r="S1211" s="186"/>
    </row>
    <row r="1212">
      <c r="A1212" s="186" t="str">
        <f>IFERROR(__xludf.DUMMYFUNCTION("""COMPUTED_VALUE"""),"DE")</f>
        <v>DE</v>
      </c>
      <c r="B1212" s="186" t="str">
        <f>IFERROR(__xludf.DUMMYFUNCTION("""COMPUTED_VALUE"""),"W23")</f>
        <v>W23</v>
      </c>
      <c r="C1212" s="186">
        <f>IFERROR(__xludf.DUMMYFUNCTION("""COMPUTED_VALUE"""),309.0)</f>
        <v>309</v>
      </c>
      <c r="D1212" s="186"/>
      <c r="E1212" s="186"/>
      <c r="F1212" s="186"/>
      <c r="G1212" s="186" t="str">
        <f>IFERROR(__xludf.DUMMYFUNCTION("""COMPUTED_VALUE"""),"FV0778A")</f>
        <v>FV0778A</v>
      </c>
      <c r="H1212" s="186"/>
      <c r="I1212" s="186"/>
      <c r="J1212" s="189">
        <f>IFERROR(__xludf.DUMMYFUNCTION("""COMPUTED_VALUE"""),0.0)</f>
        <v>0</v>
      </c>
      <c r="K1212" s="186"/>
      <c r="L1212" s="186"/>
      <c r="M1212" s="186"/>
      <c r="N1212" s="186"/>
      <c r="O1212" s="186"/>
      <c r="P1212" s="186"/>
      <c r="Q1212" s="186"/>
      <c r="R1212" s="186"/>
      <c r="S1212" s="186"/>
    </row>
    <row r="1213">
      <c r="A1213" s="186" t="str">
        <f>IFERROR(__xludf.DUMMYFUNCTION("""COMPUTED_VALUE"""),"DE")</f>
        <v>DE</v>
      </c>
      <c r="B1213" s="186" t="str">
        <f>IFERROR(__xludf.DUMMYFUNCTION("""COMPUTED_VALUE"""),"W23")</f>
        <v>W23</v>
      </c>
      <c r="C1213" s="186">
        <f>IFERROR(__xludf.DUMMYFUNCTION("""COMPUTED_VALUE"""),310.0)</f>
        <v>310</v>
      </c>
      <c r="D1213" s="186"/>
      <c r="E1213" s="186"/>
      <c r="F1213" s="186"/>
      <c r="G1213" s="186" t="str">
        <f>IFERROR(__xludf.DUMMYFUNCTION("""COMPUTED_VALUE"""),"FV0131A")</f>
        <v>FV0131A</v>
      </c>
      <c r="H1213" s="186"/>
      <c r="I1213" s="186"/>
      <c r="J1213" s="189">
        <f>IFERROR(__xludf.DUMMYFUNCTION("""COMPUTED_VALUE"""),0.0)</f>
        <v>0</v>
      </c>
      <c r="K1213" s="186"/>
      <c r="L1213" s="186"/>
      <c r="M1213" s="186"/>
      <c r="N1213" s="186"/>
      <c r="O1213" s="186"/>
      <c r="P1213" s="186"/>
      <c r="Q1213" s="186"/>
      <c r="R1213" s="186"/>
      <c r="S1213" s="186"/>
    </row>
    <row r="1214">
      <c r="A1214" s="186" t="str">
        <f>IFERROR(__xludf.DUMMYFUNCTION("""COMPUTED_VALUE"""),"DE")</f>
        <v>DE</v>
      </c>
      <c r="B1214" s="186" t="str">
        <f>IFERROR(__xludf.DUMMYFUNCTION("""COMPUTED_VALUE"""),"W23")</f>
        <v>W23</v>
      </c>
      <c r="C1214" s="186">
        <f>IFERROR(__xludf.DUMMYFUNCTION("""COMPUTED_VALUE"""),311.0)</f>
        <v>311</v>
      </c>
      <c r="D1214" s="186" t="str">
        <f>IFERROR(__xludf.DUMMYFUNCTION("""COMPUTED_VALUE"""),"CON-00-136637-3")</f>
        <v>CON-00-136637-3</v>
      </c>
      <c r="E1214" s="186" t="str">
        <f>IFERROR(__xludf.DUMMYFUNCTION("""COMPUTED_VALUE"""),"Pork tenderloin in creamy garlic-mustard sauce")</f>
        <v>Pork tenderloin in creamy garlic-mustard sauce</v>
      </c>
      <c r="F1214" s="186" t="str">
        <f>IFERROR(__xludf.DUMMYFUNCTION("""COMPUTED_VALUE"""),"Schweinefilet in cremiger Knoblauch-Senf-Sauce")</f>
        <v>Schweinefilet in cremiger Knoblauch-Senf-Sauce</v>
      </c>
      <c r="G1214" s="186" t="str">
        <f>IFERROR(__xludf.DUMMYFUNCTION("""COMPUTED_VALUE"""),"FE0169H")</f>
        <v>FE0169H</v>
      </c>
      <c r="H1214" s="186">
        <f>IFERROR(__xludf.DUMMYFUNCTION("""COMPUTED_VALUE"""),565143.0)</f>
        <v>565143</v>
      </c>
      <c r="I1214" s="186" t="str">
        <f>IFERROR(__xludf.DUMMYFUNCTION("""COMPUTED_VALUE"""),"Varkenshaas in romige knoflook-mosterdsaus")</f>
        <v>Varkenshaas in romige knoflook-mosterdsaus</v>
      </c>
      <c r="J1214" s="189">
        <f>IFERROR(__xludf.DUMMYFUNCTION("""COMPUTED_VALUE"""),352.0)</f>
        <v>352</v>
      </c>
      <c r="K1214" s="186"/>
      <c r="L1214" s="186"/>
      <c r="M1214" s="186"/>
      <c r="N1214" s="186"/>
      <c r="O1214" s="186"/>
      <c r="P1214" s="186"/>
      <c r="Q1214" s="186"/>
      <c r="R1214" s="186"/>
      <c r="S1214" s="186"/>
    </row>
    <row r="1215">
      <c r="A1215" s="186" t="str">
        <f>IFERROR(__xludf.DUMMYFUNCTION("""COMPUTED_VALUE"""),"DE")</f>
        <v>DE</v>
      </c>
      <c r="B1215" s="186" t="str">
        <f>IFERROR(__xludf.DUMMYFUNCTION("""COMPUTED_VALUE"""),"W23")</f>
        <v>W23</v>
      </c>
      <c r="C1215" s="186">
        <f>IFERROR(__xludf.DUMMYFUNCTION("""COMPUTED_VALUE"""),312.0)</f>
        <v>312</v>
      </c>
      <c r="D1215" s="186" t="str">
        <f>IFERROR(__xludf.DUMMYFUNCTION("""COMPUTED_VALUE"""),"CON-00-151097-2")</f>
        <v>CON-00-151097-2</v>
      </c>
      <c r="E1215" s="186" t="str">
        <f>IFERROR(__xludf.DUMMYFUNCTION("""COMPUTED_VALUE"""),"Roasted Salmon &amp; Dill Yogurt")</f>
        <v>Roasted Salmon &amp; Dill Yogurt</v>
      </c>
      <c r="F1215" s="186" t="str">
        <f>IFERROR(__xludf.DUMMYFUNCTION("""COMPUTED_VALUE"""),"Ofengerösteter Lachs &amp; Dill-Joghurt")</f>
        <v>Ofengerösteter Lachs &amp; Dill-Joghurt</v>
      </c>
      <c r="G1215" s="186" t="str">
        <f>IFERROR(__xludf.DUMMYFUNCTION("""COMPUTED_VALUE"""),"FE1145B")</f>
        <v>FE1145B</v>
      </c>
      <c r="H1215" s="186">
        <f>IFERROR(__xludf.DUMMYFUNCTION("""COMPUTED_VALUE"""),565206.0)</f>
        <v>565206</v>
      </c>
      <c r="I1215" s="186" t="str">
        <f>IFERROR(__xludf.DUMMYFUNCTION("""COMPUTED_VALUE"""),"HF Zalm citroen dille yoghurt")</f>
        <v>HF Zalm citroen dille yoghurt</v>
      </c>
      <c r="J1215" s="189">
        <f>IFERROR(__xludf.DUMMYFUNCTION("""COMPUTED_VALUE"""),1562.0)</f>
        <v>1562</v>
      </c>
      <c r="K1215" s="186"/>
      <c r="L1215" s="186"/>
      <c r="M1215" s="186"/>
      <c r="N1215" s="186"/>
      <c r="O1215" s="186"/>
      <c r="P1215" s="186"/>
      <c r="Q1215" s="186"/>
      <c r="R1215" s="186"/>
      <c r="S1215" s="186"/>
    </row>
    <row r="1216">
      <c r="A1216" s="186" t="str">
        <f>IFERROR(__xludf.DUMMYFUNCTION("""COMPUTED_VALUE"""),"DE")</f>
        <v>DE</v>
      </c>
      <c r="B1216" s="186" t="str">
        <f>IFERROR(__xludf.DUMMYFUNCTION("""COMPUTED_VALUE"""),"W23")</f>
        <v>W23</v>
      </c>
      <c r="C1216" s="186">
        <f>IFERROR(__xludf.DUMMYFUNCTION("""COMPUTED_VALUE"""),313.0)</f>
        <v>313</v>
      </c>
      <c r="D1216" s="186"/>
      <c r="E1216" s="186"/>
      <c r="F1216" s="186"/>
      <c r="G1216" s="186"/>
      <c r="H1216" s="186"/>
      <c r="I1216" s="186"/>
      <c r="J1216" s="189">
        <f>IFERROR(__xludf.DUMMYFUNCTION("""COMPUTED_VALUE"""),0.0)</f>
        <v>0</v>
      </c>
      <c r="K1216" s="186"/>
      <c r="L1216" s="186"/>
      <c r="M1216" s="186"/>
      <c r="N1216" s="186"/>
      <c r="O1216" s="186"/>
      <c r="P1216" s="186"/>
      <c r="Q1216" s="186"/>
      <c r="R1216" s="186"/>
      <c r="S1216" s="186"/>
    </row>
    <row r="1217">
      <c r="A1217" s="186" t="str">
        <f>IFERROR(__xludf.DUMMYFUNCTION("""COMPUTED_VALUE"""),"DE")</f>
        <v>DE</v>
      </c>
      <c r="B1217" s="186" t="str">
        <f>IFERROR(__xludf.DUMMYFUNCTION("""COMPUTED_VALUE"""),"W23")</f>
        <v>W23</v>
      </c>
      <c r="C1217" s="186">
        <f>IFERROR(__xludf.DUMMYFUNCTION("""COMPUTED_VALUE"""),314.0)</f>
        <v>314</v>
      </c>
      <c r="D1217" s="186" t="str">
        <f>IFERROR(__xludf.DUMMYFUNCTION("""COMPUTED_VALUE"""),"CON-00-152033-2")</f>
        <v>CON-00-152033-2</v>
      </c>
      <c r="E1217" s="186" t="str">
        <f>IFERROR(__xludf.DUMMYFUNCTION("""COMPUTED_VALUE"""),"Moroccan-style chicken thighs &amp; tomato sauce")</f>
        <v>Moroccan-style chicken thighs &amp; tomato sauce</v>
      </c>
      <c r="F1217" s="186" t="str">
        <f>IFERROR(__xludf.DUMMYFUNCTION("""COMPUTED_VALUE"""),"Marokkanisches Hähnchen in Tomatensauce")</f>
        <v>Marokkanisches Hähnchen in Tomatensauce</v>
      </c>
      <c r="G1217" s="186" t="str">
        <f>IFERROR(__xludf.DUMMYFUNCTION("""COMPUTED_VALUE"""),"FE1068A")</f>
        <v>FE1068A</v>
      </c>
      <c r="H1217" s="186">
        <f>IFERROR(__xludf.DUMMYFUNCTION("""COMPUTED_VALUE"""),565192.0)</f>
        <v>565192</v>
      </c>
      <c r="I1217" s="186" t="str">
        <f>IFERROR(__xludf.DUMMYFUNCTION("""COMPUTED_VALUE"""),"HF Kip met kruidige aardappels")</f>
        <v>HF Kip met kruidige aardappels</v>
      </c>
      <c r="J1217" s="189">
        <f>IFERROR(__xludf.DUMMYFUNCTION("""COMPUTED_VALUE"""),769.0)</f>
        <v>769</v>
      </c>
      <c r="K1217" s="186"/>
      <c r="L1217" s="186"/>
      <c r="M1217" s="186"/>
      <c r="N1217" s="186"/>
      <c r="O1217" s="186"/>
      <c r="P1217" s="186"/>
      <c r="Q1217" s="186"/>
      <c r="R1217" s="186"/>
      <c r="S1217" s="186"/>
    </row>
    <row r="1218">
      <c r="A1218" s="186" t="str">
        <f>IFERROR(__xludf.DUMMYFUNCTION("""COMPUTED_VALUE"""),"DE")</f>
        <v>DE</v>
      </c>
      <c r="B1218" s="186" t="str">
        <f>IFERROR(__xludf.DUMMYFUNCTION("""COMPUTED_VALUE"""),"W23")</f>
        <v>W23</v>
      </c>
      <c r="C1218" s="186">
        <f>IFERROR(__xludf.DUMMYFUNCTION("""COMPUTED_VALUE"""),315.0)</f>
        <v>315</v>
      </c>
      <c r="D1218" s="186"/>
      <c r="E1218" s="186"/>
      <c r="F1218" s="186"/>
      <c r="G1218" s="186" t="str">
        <f>IFERROR(__xludf.DUMMYFUNCTION("""COMPUTED_VALUE"""),"FV0846A")</f>
        <v>FV0846A</v>
      </c>
      <c r="H1218" s="186"/>
      <c r="I1218" s="186"/>
      <c r="J1218" s="189">
        <f>IFERROR(__xludf.DUMMYFUNCTION("""COMPUTED_VALUE"""),0.0)</f>
        <v>0</v>
      </c>
      <c r="K1218" s="186"/>
      <c r="L1218" s="186"/>
      <c r="M1218" s="186"/>
      <c r="N1218" s="186"/>
      <c r="O1218" s="186"/>
      <c r="P1218" s="186"/>
      <c r="Q1218" s="186"/>
      <c r="R1218" s="186"/>
      <c r="S1218" s="186"/>
    </row>
    <row r="1219">
      <c r="A1219" s="186" t="str">
        <f>IFERROR(__xludf.DUMMYFUNCTION("""COMPUTED_VALUE"""),"DE")</f>
        <v>DE</v>
      </c>
      <c r="B1219" s="186" t="str">
        <f>IFERROR(__xludf.DUMMYFUNCTION("""COMPUTED_VALUE"""),"W23")</f>
        <v>W23</v>
      </c>
      <c r="C1219" s="186">
        <f>IFERROR(__xludf.DUMMYFUNCTION("""COMPUTED_VALUE"""),316.0)</f>
        <v>316</v>
      </c>
      <c r="D1219" s="186" t="str">
        <f>IFERROR(__xludf.DUMMYFUNCTION("""COMPUTED_VALUE"""),"CON-00-150963-2")</f>
        <v>CON-00-150963-2</v>
      </c>
      <c r="E1219" s="186" t="str">
        <f>IFERROR(__xludf.DUMMYFUNCTION("""COMPUTED_VALUE"""),"Bulgogi Pulled Beef Bowl")</f>
        <v>Bulgogi Pulled Beef Bowl</v>
      </c>
      <c r="F1219" s="186" t="str">
        <f>IFERROR(__xludf.DUMMYFUNCTION("""COMPUTED_VALUE"""),"Bulgogi Bowl mit Pulled Beef")</f>
        <v>Bulgogi Bowl mit Pulled Beef</v>
      </c>
      <c r="G1219" s="186"/>
      <c r="H1219" s="186">
        <f>IFERROR(__xludf.DUMMYFUNCTION("""COMPUTED_VALUE"""),565190.0)</f>
        <v>565190</v>
      </c>
      <c r="I1219" s="186" t="str">
        <f>IFERROR(__xludf.DUMMYFUNCTION("""COMPUTED_VALUE"""),"HF Bulgogi pulled beef")</f>
        <v>HF Bulgogi pulled beef</v>
      </c>
      <c r="J1219" s="189">
        <f>IFERROR(__xludf.DUMMYFUNCTION("""COMPUTED_VALUE"""),488.0)</f>
        <v>488</v>
      </c>
      <c r="K1219" s="186"/>
      <c r="L1219" s="186"/>
      <c r="M1219" s="186"/>
      <c r="N1219" s="186"/>
      <c r="O1219" s="186"/>
      <c r="P1219" s="186"/>
      <c r="Q1219" s="186"/>
      <c r="R1219" s="186"/>
      <c r="S1219" s="186"/>
    </row>
    <row r="1220">
      <c r="A1220" s="186" t="str">
        <f>IFERROR(__xludf.DUMMYFUNCTION("""COMPUTED_VALUE"""),"DE")</f>
        <v>DE</v>
      </c>
      <c r="B1220" s="186" t="str">
        <f>IFERROR(__xludf.DUMMYFUNCTION("""COMPUTED_VALUE"""),"W23")</f>
        <v>W23</v>
      </c>
      <c r="C1220" s="186">
        <f>IFERROR(__xludf.DUMMYFUNCTION("""COMPUTED_VALUE"""),317.0)</f>
        <v>317</v>
      </c>
      <c r="D1220" s="186"/>
      <c r="E1220" s="186"/>
      <c r="F1220" s="186"/>
      <c r="G1220" s="186" t="str">
        <f>IFERROR(__xludf.DUMMYFUNCTION("""COMPUTED_VALUE"""),"FV4053A")</f>
        <v>FV4053A</v>
      </c>
      <c r="H1220" s="186"/>
      <c r="I1220" s="186"/>
      <c r="J1220" s="189">
        <f>IFERROR(__xludf.DUMMYFUNCTION("""COMPUTED_VALUE"""),0.0)</f>
        <v>0</v>
      </c>
      <c r="K1220" s="186"/>
      <c r="L1220" s="186"/>
      <c r="M1220" s="186"/>
      <c r="N1220" s="186"/>
      <c r="O1220" s="186"/>
      <c r="P1220" s="186"/>
      <c r="Q1220" s="186"/>
      <c r="R1220" s="186"/>
      <c r="S1220" s="186"/>
    </row>
    <row r="1221">
      <c r="A1221" s="186" t="str">
        <f>IFERROR(__xludf.DUMMYFUNCTION("""COMPUTED_VALUE"""),"DE")</f>
        <v>DE</v>
      </c>
      <c r="B1221" s="186" t="str">
        <f>IFERROR(__xludf.DUMMYFUNCTION("""COMPUTED_VALUE"""),"W23")</f>
        <v>W23</v>
      </c>
      <c r="C1221" s="186">
        <f>IFERROR(__xludf.DUMMYFUNCTION("""COMPUTED_VALUE"""),318.0)</f>
        <v>318</v>
      </c>
      <c r="D1221" s="186"/>
      <c r="E1221" s="186"/>
      <c r="F1221" s="186"/>
      <c r="G1221" s="186" t="str">
        <f>IFERROR(__xludf.DUMMYFUNCTION("""COMPUTED_VALUE"""),"FV4042A")</f>
        <v>FV4042A</v>
      </c>
      <c r="H1221" s="186"/>
      <c r="I1221" s="186"/>
      <c r="J1221" s="189">
        <f>IFERROR(__xludf.DUMMYFUNCTION("""COMPUTED_VALUE"""),0.0)</f>
        <v>0</v>
      </c>
      <c r="K1221" s="186"/>
      <c r="L1221" s="186"/>
      <c r="M1221" s="186"/>
      <c r="N1221" s="186"/>
      <c r="O1221" s="186"/>
      <c r="P1221" s="186"/>
      <c r="Q1221" s="186"/>
      <c r="R1221" s="186"/>
      <c r="S1221" s="186"/>
    </row>
    <row r="1222">
      <c r="A1222" s="186" t="str">
        <f>IFERROR(__xludf.DUMMYFUNCTION("""COMPUTED_VALUE"""),"DE")</f>
        <v>DE</v>
      </c>
      <c r="B1222" s="186" t="str">
        <f>IFERROR(__xludf.DUMMYFUNCTION("""COMPUTED_VALUE"""),"W23")</f>
        <v>W23</v>
      </c>
      <c r="C1222" s="186">
        <f>IFERROR(__xludf.DUMMYFUNCTION("""COMPUTED_VALUE"""),319.0)</f>
        <v>319</v>
      </c>
      <c r="D1222" s="186"/>
      <c r="E1222" s="186"/>
      <c r="F1222" s="186"/>
      <c r="G1222" s="186" t="str">
        <f>IFERROR(__xludf.DUMMYFUNCTION("""COMPUTED_VALUE"""),"FV1646A")</f>
        <v>FV1646A</v>
      </c>
      <c r="H1222" s="186"/>
      <c r="I1222" s="186"/>
      <c r="J1222" s="189">
        <f>IFERROR(__xludf.DUMMYFUNCTION("""COMPUTED_VALUE"""),0.0)</f>
        <v>0</v>
      </c>
      <c r="K1222" s="186"/>
      <c r="L1222" s="186"/>
      <c r="M1222" s="186"/>
      <c r="N1222" s="186"/>
      <c r="O1222" s="186"/>
      <c r="P1222" s="186"/>
      <c r="Q1222" s="186"/>
      <c r="R1222" s="186"/>
      <c r="S1222" s="186"/>
    </row>
    <row r="1223">
      <c r="A1223" s="186" t="str">
        <f>IFERROR(__xludf.DUMMYFUNCTION("""COMPUTED_VALUE"""),"DE")</f>
        <v>DE</v>
      </c>
      <c r="B1223" s="186" t="str">
        <f>IFERROR(__xludf.DUMMYFUNCTION("""COMPUTED_VALUE"""),"W23")</f>
        <v>W23</v>
      </c>
      <c r="C1223" s="186">
        <f>IFERROR(__xludf.DUMMYFUNCTION("""COMPUTED_VALUE"""),320.0)</f>
        <v>320</v>
      </c>
      <c r="D1223" s="186"/>
      <c r="E1223" s="186" t="str">
        <f>IFERROR(__xludf.DUMMYFUNCTION("""COMPUTED_VALUE"""),"Chermoula Chicken &amp; Lentils")</f>
        <v>Chermoula Chicken &amp; Lentils</v>
      </c>
      <c r="F1223" s="186" t="str">
        <f>IFERROR(__xludf.DUMMYFUNCTION("""COMPUTED_VALUE"""),"Chermoula-Hähnchen mit Linsen")</f>
        <v>Chermoula-Hähnchen mit Linsen</v>
      </c>
      <c r="G1223" s="186" t="str">
        <f>IFERROR(__xludf.DUMMYFUNCTION("""COMPUTED_VALUE"""),"FE1698A")</f>
        <v>FE1698A</v>
      </c>
      <c r="H1223" s="186">
        <f>IFERROR(__xludf.DUMMYFUNCTION("""COMPUTED_VALUE"""),565213.0)</f>
        <v>565213</v>
      </c>
      <c r="I1223" s="186" t="str">
        <f>IFERROR(__xludf.DUMMYFUNCTION("""COMPUTED_VALUE"""),"HF Kip chermoula en linzen")</f>
        <v>HF Kip chermoula en linzen</v>
      </c>
      <c r="J1223" s="189">
        <f>IFERROR(__xludf.DUMMYFUNCTION("""COMPUTED_VALUE"""),502.0)</f>
        <v>502</v>
      </c>
      <c r="K1223" s="186"/>
      <c r="L1223" s="186"/>
      <c r="M1223" s="186"/>
      <c r="N1223" s="186"/>
      <c r="O1223" s="186"/>
      <c r="P1223" s="186"/>
      <c r="Q1223" s="186"/>
      <c r="R1223" s="186"/>
      <c r="S1223" s="186"/>
    </row>
    <row r="1224">
      <c r="A1224" s="186" t="str">
        <f>IFERROR(__xludf.DUMMYFUNCTION("""COMPUTED_VALUE"""),"DE")</f>
        <v>DE</v>
      </c>
      <c r="B1224" s="186" t="str">
        <f>IFERROR(__xludf.DUMMYFUNCTION("""COMPUTED_VALUE"""),"W23")</f>
        <v>W23</v>
      </c>
      <c r="C1224" s="186">
        <f>IFERROR(__xludf.DUMMYFUNCTION("""COMPUTED_VALUE"""),321.0)</f>
        <v>321</v>
      </c>
      <c r="D1224" s="186"/>
      <c r="E1224" s="186"/>
      <c r="F1224" s="186"/>
      <c r="G1224" s="186" t="str">
        <f>IFERROR(__xludf.DUMMYFUNCTION("""COMPUTED_VALUE"""),"FV0601A")</f>
        <v>FV0601A</v>
      </c>
      <c r="H1224" s="186"/>
      <c r="I1224" s="186"/>
      <c r="J1224" s="189">
        <f>IFERROR(__xludf.DUMMYFUNCTION("""COMPUTED_VALUE"""),0.0)</f>
        <v>0</v>
      </c>
      <c r="K1224" s="186"/>
      <c r="L1224" s="186"/>
      <c r="M1224" s="186"/>
      <c r="N1224" s="186"/>
      <c r="O1224" s="186"/>
      <c r="P1224" s="186"/>
      <c r="Q1224" s="186"/>
      <c r="R1224" s="186"/>
      <c r="S1224" s="186"/>
    </row>
    <row r="1225">
      <c r="A1225" s="186" t="str">
        <f>IFERROR(__xludf.DUMMYFUNCTION("""COMPUTED_VALUE"""),"DE")</f>
        <v>DE</v>
      </c>
      <c r="B1225" s="186" t="str">
        <f>IFERROR(__xludf.DUMMYFUNCTION("""COMPUTED_VALUE"""),"W23")</f>
        <v>W23</v>
      </c>
      <c r="C1225" s="186">
        <f>IFERROR(__xludf.DUMMYFUNCTION("""COMPUTED_VALUE"""),206.0)</f>
        <v>206</v>
      </c>
      <c r="D1225" s="186" t="str">
        <f>IFERROR(__xludf.DUMMYFUNCTION("""COMPUTED_VALUE"""),"PTN-00-136930-3")</f>
        <v>PTN-00-136930-3</v>
      </c>
      <c r="E1225" s="186" t="str">
        <f>IFERROR(__xludf.DUMMYFUNCTION("""COMPUTED_VALUE"""),"Garlic Herb Grilled Chicken")</f>
        <v>Garlic Herb Grilled Chicken</v>
      </c>
      <c r="F1225" s="186" t="str">
        <f>IFERROR(__xludf.DUMMYFUNCTION("""COMPUTED_VALUE"""),"Gegrilltes Hähnchen mit Knoblauch-Kräutern")</f>
        <v>Gegrilltes Hähnchen mit Knoblauch-Kräutern</v>
      </c>
      <c r="G1225" s="186" t="str">
        <f>IFERROR(__xludf.DUMMYFUNCTION("""COMPUTED_VALUE"""),"FEA006A")</f>
        <v>FEA006A</v>
      </c>
      <c r="H1225" s="186">
        <f>IFERROR(__xludf.DUMMYFUNCTION("""COMPUTED_VALUE"""),565119.0)</f>
        <v>565119</v>
      </c>
      <c r="I1225" s="186"/>
      <c r="J1225" s="189">
        <f>IFERROR(__xludf.DUMMYFUNCTION("""COMPUTED_VALUE"""),67.0)</f>
        <v>67</v>
      </c>
      <c r="K1225" s="186"/>
      <c r="L1225" s="186"/>
      <c r="M1225" s="186"/>
      <c r="N1225" s="186"/>
      <c r="O1225" s="186"/>
      <c r="P1225" s="186"/>
      <c r="Q1225" s="186"/>
      <c r="R1225" s="186"/>
      <c r="S1225" s="186"/>
    </row>
    <row r="1226">
      <c r="A1226" s="186" t="str">
        <f>IFERROR(__xludf.DUMMYFUNCTION("""COMPUTED_VALUE"""),"DE")</f>
        <v>DE</v>
      </c>
      <c r="B1226" s="186" t="str">
        <f>IFERROR(__xludf.DUMMYFUNCTION("""COMPUTED_VALUE"""),"W23")</f>
        <v>W23</v>
      </c>
      <c r="C1226" s="186"/>
      <c r="D1226" s="186"/>
      <c r="E1226" s="186"/>
      <c r="F1226" s="186"/>
      <c r="G1226" s="186"/>
      <c r="H1226" s="186"/>
      <c r="I1226" s="186"/>
      <c r="J1226" s="189">
        <f>IFERROR(__xludf.DUMMYFUNCTION("""COMPUTED_VALUE"""),8821.0)</f>
        <v>8821</v>
      </c>
      <c r="K1226" s="189">
        <f>IFERROR(__xludf.DUMMYFUNCTION("""COMPUTED_VALUE"""),0.0)</f>
        <v>0</v>
      </c>
      <c r="L1226" s="189">
        <f>IFERROR(__xludf.DUMMYFUNCTION("""COMPUTED_VALUE"""),0.0)</f>
        <v>0</v>
      </c>
      <c r="M1226" s="189">
        <f>IFERROR(__xludf.DUMMYFUNCTION("""COMPUTED_VALUE"""),0.0)</f>
        <v>0</v>
      </c>
      <c r="N1226" s="189">
        <f>IFERROR(__xludf.DUMMYFUNCTION("""COMPUTED_VALUE"""),0.0)</f>
        <v>0</v>
      </c>
      <c r="O1226" s="189">
        <f>IFERROR(__xludf.DUMMYFUNCTION("""COMPUTED_VALUE"""),0.0)</f>
        <v>0</v>
      </c>
      <c r="P1226" s="189">
        <f>IFERROR(__xludf.DUMMYFUNCTION("""COMPUTED_VALUE"""),0.0)</f>
        <v>0</v>
      </c>
      <c r="Q1226" s="189">
        <f>IFERROR(__xludf.DUMMYFUNCTION("""COMPUTED_VALUE"""),0.0)</f>
        <v>0</v>
      </c>
      <c r="R1226" s="189">
        <f>IFERROR(__xludf.DUMMYFUNCTION("""COMPUTED_VALUE"""),0.0)</f>
        <v>0</v>
      </c>
      <c r="S1226" s="189">
        <f>IFERROR(__xludf.DUMMYFUNCTION("""COMPUTED_VALUE"""),0.0)</f>
        <v>0</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workbookViewId="0"/>
  </sheetViews>
  <sheetFormatPr customHeight="1" defaultColWidth="12.63" defaultRowHeight="15.75"/>
  <cols>
    <col customWidth="1" min="1" max="1" width="47.63"/>
    <col customWidth="1" min="2" max="2" width="49.38"/>
    <col customWidth="1" min="3" max="3" width="16.13"/>
  </cols>
  <sheetData>
    <row r="1">
      <c r="A1" s="39" t="s">
        <v>21</v>
      </c>
      <c r="B1" s="39" t="s">
        <v>22</v>
      </c>
      <c r="C1" s="39" t="s">
        <v>23</v>
      </c>
      <c r="D1" s="39" t="s">
        <v>24</v>
      </c>
      <c r="E1" s="39" t="s">
        <v>25</v>
      </c>
      <c r="F1" s="39" t="s">
        <v>26</v>
      </c>
      <c r="G1" s="39" t="s">
        <v>27</v>
      </c>
      <c r="H1" s="372" t="s">
        <v>28</v>
      </c>
    </row>
    <row r="2">
      <c r="A2" s="39" t="s">
        <v>178</v>
      </c>
      <c r="B2" s="39" t="s">
        <v>178</v>
      </c>
      <c r="C2" s="39" t="s">
        <v>178</v>
      </c>
      <c r="D2" s="39" t="s">
        <v>96</v>
      </c>
      <c r="E2" s="39" t="s">
        <v>179</v>
      </c>
      <c r="F2" s="263">
        <v>1.0</v>
      </c>
      <c r="G2" s="39" t="s">
        <v>236</v>
      </c>
      <c r="H2" s="39" t="s">
        <v>262</v>
      </c>
    </row>
    <row r="3">
      <c r="A3" s="39" t="s">
        <v>176</v>
      </c>
      <c r="B3" s="39" t="s">
        <v>176</v>
      </c>
      <c r="C3" s="39" t="s">
        <v>176</v>
      </c>
      <c r="D3" s="39" t="s">
        <v>96</v>
      </c>
      <c r="E3" s="39" t="s">
        <v>177</v>
      </c>
      <c r="F3" s="263">
        <v>1.0</v>
      </c>
      <c r="G3" s="39" t="s">
        <v>236</v>
      </c>
      <c r="H3" s="39" t="s">
        <v>262</v>
      </c>
    </row>
    <row r="4">
      <c r="A4" s="39" t="s">
        <v>174</v>
      </c>
      <c r="B4" s="39" t="s">
        <v>174</v>
      </c>
      <c r="C4" s="39" t="s">
        <v>174</v>
      </c>
      <c r="D4" s="39" t="s">
        <v>96</v>
      </c>
      <c r="E4" s="39" t="s">
        <v>175</v>
      </c>
      <c r="F4" s="263">
        <v>1.0</v>
      </c>
      <c r="G4" s="39" t="s">
        <v>236</v>
      </c>
      <c r="H4" s="39" t="s">
        <v>262</v>
      </c>
    </row>
    <row r="5">
      <c r="A5" s="39" t="s">
        <v>184</v>
      </c>
      <c r="B5" s="39" t="s">
        <v>184</v>
      </c>
      <c r="C5" s="39" t="s">
        <v>184</v>
      </c>
      <c r="D5" s="39" t="s">
        <v>96</v>
      </c>
      <c r="E5" s="39" t="s">
        <v>185</v>
      </c>
      <c r="F5" s="263">
        <v>1.0</v>
      </c>
      <c r="G5" s="39" t="s">
        <v>236</v>
      </c>
      <c r="H5" s="39" t="s">
        <v>262</v>
      </c>
    </row>
    <row r="6">
      <c r="A6" s="39" t="s">
        <v>186</v>
      </c>
      <c r="B6" s="39" t="s">
        <v>186</v>
      </c>
      <c r="C6" s="39" t="s">
        <v>186</v>
      </c>
      <c r="D6" s="39" t="s">
        <v>96</v>
      </c>
      <c r="E6" s="39" t="s">
        <v>187</v>
      </c>
      <c r="F6" s="263">
        <v>1.0</v>
      </c>
      <c r="G6" s="39" t="s">
        <v>236</v>
      </c>
      <c r="H6" s="39" t="s">
        <v>262</v>
      </c>
    </row>
    <row r="7">
      <c r="A7" s="39" t="s">
        <v>180</v>
      </c>
      <c r="B7" s="39" t="s">
        <v>180</v>
      </c>
      <c r="C7" s="39" t="s">
        <v>180</v>
      </c>
      <c r="D7" s="39" t="s">
        <v>96</v>
      </c>
      <c r="E7" s="39" t="s">
        <v>181</v>
      </c>
      <c r="F7" s="263">
        <v>1.0</v>
      </c>
      <c r="G7" s="39" t="s">
        <v>236</v>
      </c>
      <c r="H7" s="39" t="s">
        <v>262</v>
      </c>
    </row>
    <row r="8">
      <c r="A8" s="39" t="s">
        <v>182</v>
      </c>
      <c r="B8" s="39" t="s">
        <v>182</v>
      </c>
      <c r="C8" s="39" t="s">
        <v>182</v>
      </c>
      <c r="D8" s="39" t="s">
        <v>96</v>
      </c>
      <c r="E8" s="39" t="s">
        <v>183</v>
      </c>
      <c r="F8" s="263">
        <v>1.0</v>
      </c>
      <c r="G8" s="39" t="s">
        <v>236</v>
      </c>
      <c r="H8" s="39" t="s">
        <v>262</v>
      </c>
    </row>
    <row r="9">
      <c r="A9" s="39" t="s">
        <v>188</v>
      </c>
      <c r="B9" s="39" t="s">
        <v>188</v>
      </c>
      <c r="C9" s="39" t="s">
        <v>188</v>
      </c>
      <c r="D9" s="39" t="s">
        <v>96</v>
      </c>
      <c r="E9" s="39" t="s">
        <v>189</v>
      </c>
      <c r="F9" s="263">
        <v>1.0</v>
      </c>
      <c r="G9" s="39" t="s">
        <v>236</v>
      </c>
      <c r="H9" s="39" t="s">
        <v>262</v>
      </c>
    </row>
    <row r="10">
      <c r="A10" s="39" t="s">
        <v>190</v>
      </c>
      <c r="B10" s="39" t="s">
        <v>190</v>
      </c>
      <c r="C10" s="39" t="s">
        <v>190</v>
      </c>
      <c r="D10" s="39" t="s">
        <v>96</v>
      </c>
      <c r="E10" s="39" t="s">
        <v>191</v>
      </c>
      <c r="F10" s="263">
        <v>1.0</v>
      </c>
      <c r="G10" s="39" t="s">
        <v>236</v>
      </c>
      <c r="H10" s="39" t="s">
        <v>262</v>
      </c>
    </row>
    <row r="11">
      <c r="A11" s="39" t="s">
        <v>263</v>
      </c>
      <c r="B11" s="39" t="s">
        <v>192</v>
      </c>
      <c r="C11" s="39" t="s">
        <v>264</v>
      </c>
      <c r="D11" s="39" t="s">
        <v>96</v>
      </c>
      <c r="E11" s="39" t="s">
        <v>193</v>
      </c>
      <c r="F11" s="263">
        <v>1.0</v>
      </c>
      <c r="G11" s="39" t="s">
        <v>236</v>
      </c>
      <c r="H11" s="39" t="s">
        <v>265</v>
      </c>
    </row>
    <row r="12">
      <c r="A12" s="39" t="s">
        <v>266</v>
      </c>
      <c r="B12" s="39" t="s">
        <v>194</v>
      </c>
      <c r="C12" s="39" t="s">
        <v>264</v>
      </c>
      <c r="D12" s="39" t="s">
        <v>96</v>
      </c>
      <c r="E12" s="39" t="s">
        <v>195</v>
      </c>
      <c r="F12" s="263">
        <v>1.0</v>
      </c>
      <c r="G12" s="39" t="s">
        <v>236</v>
      </c>
      <c r="H12" s="39" t="s">
        <v>265</v>
      </c>
    </row>
    <row r="13">
      <c r="A13" s="39" t="s">
        <v>267</v>
      </c>
      <c r="B13" s="39" t="s">
        <v>196</v>
      </c>
      <c r="C13" s="39" t="s">
        <v>264</v>
      </c>
      <c r="D13" s="39" t="s">
        <v>96</v>
      </c>
      <c r="E13" s="39" t="s">
        <v>197</v>
      </c>
      <c r="F13" s="263">
        <v>1.0</v>
      </c>
      <c r="G13" s="39" t="s">
        <v>236</v>
      </c>
      <c r="H13" s="39" t="s">
        <v>265</v>
      </c>
    </row>
    <row r="14">
      <c r="A14" s="39" t="s">
        <v>268</v>
      </c>
      <c r="B14" s="39" t="s">
        <v>198</v>
      </c>
      <c r="C14" s="39" t="s">
        <v>264</v>
      </c>
      <c r="D14" s="39" t="s">
        <v>96</v>
      </c>
      <c r="E14" s="39" t="s">
        <v>199</v>
      </c>
      <c r="F14" s="263">
        <v>1.0</v>
      </c>
      <c r="G14" s="39" t="s">
        <v>236</v>
      </c>
      <c r="H14" s="39" t="s">
        <v>265</v>
      </c>
    </row>
    <row r="15">
      <c r="A15" s="39" t="s">
        <v>269</v>
      </c>
      <c r="B15" s="39" t="s">
        <v>200</v>
      </c>
      <c r="C15" s="39" t="s">
        <v>264</v>
      </c>
      <c r="D15" s="39" t="s">
        <v>96</v>
      </c>
      <c r="E15" s="39" t="s">
        <v>201</v>
      </c>
      <c r="F15" s="263">
        <v>1.0</v>
      </c>
      <c r="G15" s="39" t="s">
        <v>236</v>
      </c>
      <c r="H15" s="39" t="s">
        <v>265</v>
      </c>
    </row>
    <row r="16">
      <c r="A16" s="39" t="s">
        <v>270</v>
      </c>
      <c r="B16" s="39" t="s">
        <v>202</v>
      </c>
      <c r="C16" s="39" t="s">
        <v>264</v>
      </c>
      <c r="D16" s="39" t="s">
        <v>96</v>
      </c>
      <c r="E16" s="39" t="s">
        <v>203</v>
      </c>
      <c r="F16" s="263">
        <v>1.0</v>
      </c>
      <c r="G16" s="39" t="s">
        <v>236</v>
      </c>
      <c r="H16" s="39" t="s">
        <v>265</v>
      </c>
    </row>
    <row r="17">
      <c r="A17" s="39" t="s">
        <v>271</v>
      </c>
      <c r="B17" s="39" t="s">
        <v>204</v>
      </c>
      <c r="C17" s="39" t="s">
        <v>264</v>
      </c>
      <c r="D17" s="39" t="s">
        <v>96</v>
      </c>
      <c r="E17" s="39" t="s">
        <v>20</v>
      </c>
      <c r="F17" s="263">
        <v>1.0</v>
      </c>
      <c r="G17" s="39" t="s">
        <v>236</v>
      </c>
      <c r="H17" s="39" t="s">
        <v>265</v>
      </c>
    </row>
    <row r="18">
      <c r="A18" s="39" t="s">
        <v>272</v>
      </c>
      <c r="B18" s="39" t="s">
        <v>205</v>
      </c>
      <c r="C18" s="39" t="s">
        <v>264</v>
      </c>
      <c r="D18" s="39" t="s">
        <v>96</v>
      </c>
      <c r="E18" s="39" t="s">
        <v>206</v>
      </c>
      <c r="F18" s="263">
        <v>1.0</v>
      </c>
      <c r="G18" s="39" t="s">
        <v>236</v>
      </c>
      <c r="H18" s="39" t="s">
        <v>265</v>
      </c>
    </row>
    <row r="19">
      <c r="A19" s="39" t="s">
        <v>273</v>
      </c>
      <c r="B19" s="39" t="s">
        <v>207</v>
      </c>
      <c r="C19" s="39" t="s">
        <v>264</v>
      </c>
      <c r="D19" s="39" t="s">
        <v>96</v>
      </c>
      <c r="E19" s="39" t="s">
        <v>208</v>
      </c>
      <c r="F19" s="263">
        <v>1.0</v>
      </c>
      <c r="G19" s="39" t="s">
        <v>236</v>
      </c>
      <c r="H19" s="39" t="s">
        <v>265</v>
      </c>
    </row>
    <row r="20">
      <c r="A20" s="39" t="s">
        <v>274</v>
      </c>
      <c r="B20" s="39" t="s">
        <v>11</v>
      </c>
      <c r="C20" s="39" t="s">
        <v>275</v>
      </c>
      <c r="D20" s="39" t="s">
        <v>96</v>
      </c>
      <c r="E20" s="39" t="s">
        <v>129</v>
      </c>
      <c r="F20" s="263">
        <v>1.0</v>
      </c>
      <c r="G20" s="39" t="s">
        <v>236</v>
      </c>
      <c r="H20" s="39" t="s">
        <v>265</v>
      </c>
    </row>
    <row r="21">
      <c r="A21" s="39" t="s">
        <v>276</v>
      </c>
      <c r="B21" s="39" t="s">
        <v>11</v>
      </c>
      <c r="C21" s="39" t="s">
        <v>275</v>
      </c>
      <c r="D21" s="39" t="s">
        <v>96</v>
      </c>
      <c r="E21" s="39" t="s">
        <v>129</v>
      </c>
      <c r="F21" s="263">
        <v>1.0</v>
      </c>
      <c r="G21" s="39" t="s">
        <v>236</v>
      </c>
      <c r="H21" s="39" t="s">
        <v>265</v>
      </c>
    </row>
    <row r="22">
      <c r="A22" s="39" t="s">
        <v>277</v>
      </c>
      <c r="B22" s="39" t="s">
        <v>11</v>
      </c>
      <c r="C22" s="39" t="s">
        <v>275</v>
      </c>
      <c r="D22" s="39" t="s">
        <v>96</v>
      </c>
      <c r="E22" s="39" t="s">
        <v>129</v>
      </c>
      <c r="F22" s="263">
        <v>2.0</v>
      </c>
      <c r="G22" s="39" t="s">
        <v>236</v>
      </c>
      <c r="H22" s="39" t="s">
        <v>265</v>
      </c>
    </row>
    <row r="23">
      <c r="A23" s="39" t="s">
        <v>274</v>
      </c>
      <c r="B23" s="39" t="s">
        <v>16</v>
      </c>
      <c r="C23" s="39" t="s">
        <v>275</v>
      </c>
      <c r="D23" s="39" t="s">
        <v>96</v>
      </c>
      <c r="E23" s="39" t="s">
        <v>17</v>
      </c>
      <c r="F23" s="263">
        <v>0.0</v>
      </c>
      <c r="G23" s="39" t="s">
        <v>236</v>
      </c>
      <c r="H23" s="39" t="s">
        <v>265</v>
      </c>
    </row>
    <row r="24">
      <c r="A24" s="39" t="s">
        <v>276</v>
      </c>
      <c r="B24" s="39" t="s">
        <v>16</v>
      </c>
      <c r="C24" s="39" t="s">
        <v>275</v>
      </c>
      <c r="D24" s="39" t="s">
        <v>96</v>
      </c>
      <c r="E24" s="39" t="s">
        <v>17</v>
      </c>
      <c r="F24" s="263">
        <v>1.0</v>
      </c>
      <c r="G24" s="39" t="s">
        <v>236</v>
      </c>
      <c r="H24" s="39" t="s">
        <v>265</v>
      </c>
    </row>
    <row r="25">
      <c r="A25" s="39" t="s">
        <v>277</v>
      </c>
      <c r="B25" s="39" t="s">
        <v>16</v>
      </c>
      <c r="C25" s="39" t="s">
        <v>275</v>
      </c>
      <c r="D25" s="39" t="s">
        <v>96</v>
      </c>
      <c r="E25" s="39" t="s">
        <v>17</v>
      </c>
      <c r="F25" s="263">
        <v>0.0</v>
      </c>
      <c r="G25" s="39" t="s">
        <v>236</v>
      </c>
      <c r="H25" s="39" t="s">
        <v>265</v>
      </c>
    </row>
    <row r="26">
      <c r="A26" s="39" t="s">
        <v>274</v>
      </c>
      <c r="B26" s="39" t="s">
        <v>19</v>
      </c>
      <c r="C26" s="39" t="s">
        <v>275</v>
      </c>
      <c r="D26" s="39" t="s">
        <v>96</v>
      </c>
      <c r="E26" s="39" t="s">
        <v>145</v>
      </c>
      <c r="F26" s="263">
        <v>1.0</v>
      </c>
      <c r="G26" s="39" t="s">
        <v>236</v>
      </c>
      <c r="H26" s="39" t="s">
        <v>265</v>
      </c>
    </row>
    <row r="27">
      <c r="A27" s="39" t="s">
        <v>276</v>
      </c>
      <c r="B27" s="39" t="s">
        <v>19</v>
      </c>
      <c r="C27" s="39" t="s">
        <v>275</v>
      </c>
      <c r="D27" s="39" t="s">
        <v>96</v>
      </c>
      <c r="E27" s="39" t="s">
        <v>145</v>
      </c>
      <c r="F27" s="263">
        <v>1.0</v>
      </c>
      <c r="G27" s="39" t="s">
        <v>236</v>
      </c>
      <c r="H27" s="39" t="s">
        <v>265</v>
      </c>
    </row>
    <row r="28">
      <c r="A28" s="39" t="s">
        <v>277</v>
      </c>
      <c r="B28" s="39" t="s">
        <v>19</v>
      </c>
      <c r="C28" s="39" t="s">
        <v>275</v>
      </c>
      <c r="D28" s="39" t="s">
        <v>96</v>
      </c>
      <c r="E28" s="39" t="s">
        <v>145</v>
      </c>
      <c r="F28" s="263">
        <v>2.0</v>
      </c>
      <c r="G28" s="39" t="s">
        <v>236</v>
      </c>
      <c r="H28" s="39" t="s">
        <v>265</v>
      </c>
    </row>
    <row r="29">
      <c r="A29" s="39" t="s">
        <v>278</v>
      </c>
      <c r="B29" s="39" t="s">
        <v>209</v>
      </c>
      <c r="C29" s="39" t="s">
        <v>279</v>
      </c>
      <c r="D29" s="39" t="s">
        <v>96</v>
      </c>
      <c r="E29" s="39" t="s">
        <v>166</v>
      </c>
      <c r="F29" s="263">
        <v>1.0</v>
      </c>
      <c r="G29" s="39" t="s">
        <v>236</v>
      </c>
      <c r="H29" s="39" t="s">
        <v>265</v>
      </c>
    </row>
    <row r="30">
      <c r="A30" s="39" t="s">
        <v>281</v>
      </c>
      <c r="B30" s="39" t="s">
        <v>211</v>
      </c>
      <c r="C30" s="39" t="s">
        <v>282</v>
      </c>
      <c r="D30" s="39" t="s">
        <v>96</v>
      </c>
      <c r="E30" s="39" t="s">
        <v>212</v>
      </c>
      <c r="F30" s="263">
        <v>1.0</v>
      </c>
      <c r="G30" s="39" t="s">
        <v>236</v>
      </c>
      <c r="H30" s="39" t="s">
        <v>265</v>
      </c>
    </row>
    <row r="31">
      <c r="A31" s="39" t="s">
        <v>283</v>
      </c>
      <c r="B31" s="39" t="s">
        <v>213</v>
      </c>
      <c r="C31" s="39" t="s">
        <v>284</v>
      </c>
      <c r="D31" s="39" t="s">
        <v>96</v>
      </c>
      <c r="E31" s="39" t="s">
        <v>214</v>
      </c>
      <c r="F31" s="263">
        <v>1.0</v>
      </c>
      <c r="G31" s="39" t="s">
        <v>236</v>
      </c>
      <c r="H31" s="39" t="s">
        <v>265</v>
      </c>
    </row>
    <row r="32">
      <c r="A32" s="39" t="s">
        <v>472</v>
      </c>
      <c r="B32" s="39" t="s">
        <v>218</v>
      </c>
      <c r="C32" s="39" t="s">
        <v>533</v>
      </c>
      <c r="D32" s="39" t="s">
        <v>96</v>
      </c>
      <c r="E32" s="39" t="s">
        <v>414</v>
      </c>
      <c r="F32" s="263">
        <v>1.0</v>
      </c>
      <c r="G32" s="39" t="s">
        <v>236</v>
      </c>
      <c r="H32" s="39" t="s">
        <v>265</v>
      </c>
    </row>
    <row r="33">
      <c r="A33" s="39" t="s">
        <v>474</v>
      </c>
      <c r="B33" s="39" t="s">
        <v>219</v>
      </c>
      <c r="C33" s="39" t="s">
        <v>534</v>
      </c>
      <c r="D33" s="39" t="s">
        <v>96</v>
      </c>
      <c r="E33" s="39" t="s">
        <v>438</v>
      </c>
      <c r="F33" s="263">
        <v>1.0</v>
      </c>
      <c r="G33" s="39" t="s">
        <v>236</v>
      </c>
      <c r="H33" s="39" t="s">
        <v>265</v>
      </c>
    </row>
    <row r="34">
      <c r="A34" s="39" t="s">
        <v>477</v>
      </c>
      <c r="B34" s="39" t="s">
        <v>220</v>
      </c>
      <c r="C34" s="39" t="s">
        <v>502</v>
      </c>
      <c r="D34" s="39" t="s">
        <v>96</v>
      </c>
      <c r="E34" s="39" t="s">
        <v>406</v>
      </c>
      <c r="F34" s="263">
        <v>1.0</v>
      </c>
      <c r="G34" s="39" t="s">
        <v>236</v>
      </c>
      <c r="H34" s="39" t="s">
        <v>265</v>
      </c>
    </row>
    <row r="35">
      <c r="A35" s="39" t="s">
        <v>480</v>
      </c>
      <c r="B35" s="39" t="s">
        <v>221</v>
      </c>
      <c r="C35" s="39" t="s">
        <v>59</v>
      </c>
      <c r="D35" s="39" t="s">
        <v>96</v>
      </c>
      <c r="E35" s="39" t="s">
        <v>375</v>
      </c>
      <c r="F35" s="263">
        <v>1.0</v>
      </c>
      <c r="G35" s="39" t="s">
        <v>236</v>
      </c>
      <c r="H35" s="39" t="s">
        <v>265</v>
      </c>
    </row>
    <row r="36">
      <c r="A36" s="39" t="s">
        <v>483</v>
      </c>
      <c r="B36" s="39" t="s">
        <v>222</v>
      </c>
      <c r="C36" s="39" t="s">
        <v>535</v>
      </c>
      <c r="D36" s="39" t="s">
        <v>96</v>
      </c>
      <c r="E36" s="39" t="s">
        <v>421</v>
      </c>
      <c r="F36" s="263">
        <v>1.0</v>
      </c>
      <c r="G36" s="39" t="s">
        <v>236</v>
      </c>
      <c r="H36" s="39" t="s">
        <v>265</v>
      </c>
    </row>
    <row r="37">
      <c r="A37" s="39" t="s">
        <v>486</v>
      </c>
      <c r="B37" s="39" t="s">
        <v>223</v>
      </c>
      <c r="C37" s="39" t="s">
        <v>536</v>
      </c>
      <c r="D37" s="39" t="s">
        <v>96</v>
      </c>
      <c r="E37" s="39" t="s">
        <v>413</v>
      </c>
      <c r="F37" s="263">
        <v>1.0</v>
      </c>
      <c r="G37" s="39" t="s">
        <v>236</v>
      </c>
      <c r="H37" s="39" t="s">
        <v>265</v>
      </c>
    </row>
    <row r="38">
      <c r="A38" s="39" t="s">
        <v>489</v>
      </c>
      <c r="B38" s="39" t="s">
        <v>224</v>
      </c>
      <c r="C38" s="39" t="s">
        <v>537</v>
      </c>
      <c r="D38" s="39" t="s">
        <v>96</v>
      </c>
      <c r="E38" s="39" t="s">
        <v>409</v>
      </c>
      <c r="F38" s="263">
        <v>1.0</v>
      </c>
      <c r="G38" s="39" t="s">
        <v>236</v>
      </c>
      <c r="H38" s="39" t="s">
        <v>265</v>
      </c>
    </row>
    <row r="39">
      <c r="A39" s="39" t="s">
        <v>491</v>
      </c>
      <c r="B39" s="39" t="s">
        <v>225</v>
      </c>
      <c r="C39" s="39" t="s">
        <v>47</v>
      </c>
      <c r="D39" s="39" t="s">
        <v>96</v>
      </c>
      <c r="E39" s="39" t="s">
        <v>384</v>
      </c>
      <c r="F39" s="263">
        <v>1.0</v>
      </c>
      <c r="G39" s="39" t="s">
        <v>236</v>
      </c>
      <c r="H39" s="39" t="s">
        <v>265</v>
      </c>
    </row>
    <row r="40">
      <c r="A40" s="39" t="s">
        <v>494</v>
      </c>
      <c r="B40" s="39" t="s">
        <v>226</v>
      </c>
      <c r="C40" s="39" t="s">
        <v>496</v>
      </c>
      <c r="D40" s="39" t="s">
        <v>96</v>
      </c>
      <c r="E40" s="39" t="s">
        <v>79</v>
      </c>
      <c r="F40" s="263">
        <v>1.0</v>
      </c>
      <c r="G40" s="39" t="s">
        <v>236</v>
      </c>
      <c r="H40" s="39" t="s">
        <v>265</v>
      </c>
    </row>
    <row r="41">
      <c r="A41" s="39" t="s">
        <v>497</v>
      </c>
      <c r="B41" s="39" t="s">
        <v>227</v>
      </c>
      <c r="C41" s="39" t="s">
        <v>53</v>
      </c>
      <c r="D41" s="39" t="s">
        <v>96</v>
      </c>
      <c r="E41" s="39" t="s">
        <v>318</v>
      </c>
      <c r="F41" s="263">
        <v>1.0</v>
      </c>
      <c r="G41" s="39" t="s">
        <v>236</v>
      </c>
      <c r="H41" s="39" t="s">
        <v>265</v>
      </c>
    </row>
    <row r="42">
      <c r="A42" s="39" t="s">
        <v>500</v>
      </c>
      <c r="B42" s="39" t="s">
        <v>228</v>
      </c>
      <c r="C42" s="39" t="s">
        <v>518</v>
      </c>
      <c r="D42" s="39" t="s">
        <v>96</v>
      </c>
      <c r="E42" s="39" t="s">
        <v>420</v>
      </c>
      <c r="F42" s="263">
        <v>1.0</v>
      </c>
      <c r="G42" s="39" t="s">
        <v>236</v>
      </c>
      <c r="H42" s="39" t="s">
        <v>265</v>
      </c>
    </row>
    <row r="43">
      <c r="A43" s="39" t="s">
        <v>503</v>
      </c>
      <c r="B43" s="39" t="s">
        <v>229</v>
      </c>
      <c r="C43" s="39" t="s">
        <v>538</v>
      </c>
      <c r="D43" s="39" t="s">
        <v>96</v>
      </c>
      <c r="E43" s="39" t="s">
        <v>432</v>
      </c>
      <c r="F43" s="263">
        <v>1.0</v>
      </c>
      <c r="G43" s="39" t="s">
        <v>236</v>
      </c>
      <c r="H43" s="39" t="s">
        <v>265</v>
      </c>
    </row>
    <row r="44">
      <c r="A44" s="39" t="s">
        <v>505</v>
      </c>
      <c r="B44" s="39" t="s">
        <v>230</v>
      </c>
      <c r="C44" s="39" t="s">
        <v>539</v>
      </c>
      <c r="D44" s="39" t="s">
        <v>96</v>
      </c>
      <c r="E44" s="39" t="s">
        <v>78</v>
      </c>
      <c r="F44" s="263">
        <v>1.0</v>
      </c>
      <c r="G44" s="39" t="s">
        <v>236</v>
      </c>
      <c r="H44" s="39" t="s">
        <v>265</v>
      </c>
    </row>
    <row r="45">
      <c r="A45" s="39" t="s">
        <v>508</v>
      </c>
      <c r="B45" s="39" t="s">
        <v>231</v>
      </c>
      <c r="C45" s="39" t="s">
        <v>540</v>
      </c>
      <c r="D45" s="39" t="s">
        <v>96</v>
      </c>
      <c r="E45" s="39" t="s">
        <v>404</v>
      </c>
      <c r="F45" s="263">
        <v>1.0</v>
      </c>
      <c r="G45" s="39" t="s">
        <v>236</v>
      </c>
      <c r="H45" s="39" t="s">
        <v>265</v>
      </c>
    </row>
    <row r="46">
      <c r="A46" s="39" t="s">
        <v>510</v>
      </c>
      <c r="B46" s="39" t="s">
        <v>232</v>
      </c>
      <c r="C46" s="39" t="s">
        <v>541</v>
      </c>
      <c r="D46" s="39" t="s">
        <v>96</v>
      </c>
      <c r="E46" s="39" t="s">
        <v>381</v>
      </c>
      <c r="F46" s="263">
        <v>1.0</v>
      </c>
      <c r="G46" s="39" t="s">
        <v>236</v>
      </c>
      <c r="H46" s="39" t="s">
        <v>265</v>
      </c>
    </row>
    <row r="47">
      <c r="A47" s="39" t="s">
        <v>513</v>
      </c>
      <c r="B47" s="39" t="s">
        <v>233</v>
      </c>
      <c r="C47" s="39" t="s">
        <v>542</v>
      </c>
      <c r="D47" s="39" t="s">
        <v>96</v>
      </c>
      <c r="E47" s="39" t="s">
        <v>436</v>
      </c>
      <c r="F47" s="263">
        <v>1.0</v>
      </c>
      <c r="G47" s="39" t="s">
        <v>236</v>
      </c>
      <c r="H47" s="39" t="s">
        <v>265</v>
      </c>
    </row>
    <row r="48">
      <c r="A48" s="39" t="s">
        <v>516</v>
      </c>
      <c r="B48" s="39" t="s">
        <v>234</v>
      </c>
      <c r="C48" s="39" t="s">
        <v>543</v>
      </c>
      <c r="D48" s="39" t="s">
        <v>96</v>
      </c>
      <c r="E48" s="39" t="s">
        <v>378</v>
      </c>
      <c r="F48" s="263">
        <v>1.0</v>
      </c>
      <c r="G48" s="39" t="s">
        <v>236</v>
      </c>
      <c r="H48" s="39" t="s">
        <v>265</v>
      </c>
    </row>
    <row r="49">
      <c r="A49" s="39" t="s">
        <v>519</v>
      </c>
      <c r="B49" s="39" t="s">
        <v>235</v>
      </c>
      <c r="C49" s="39" t="s">
        <v>544</v>
      </c>
      <c r="D49" s="39" t="s">
        <v>96</v>
      </c>
      <c r="E49" s="39" t="s">
        <v>376</v>
      </c>
      <c r="F49" s="263">
        <v>1.0</v>
      </c>
      <c r="G49" s="39" t="s">
        <v>236</v>
      </c>
      <c r="H49" s="39" t="s">
        <v>265</v>
      </c>
    </row>
    <row r="50">
      <c r="A50" s="39" t="s">
        <v>545</v>
      </c>
      <c r="B50" s="39" t="s">
        <v>301</v>
      </c>
      <c r="C50" s="39" t="s">
        <v>74</v>
      </c>
      <c r="D50" s="39" t="s">
        <v>96</v>
      </c>
      <c r="E50" s="39" t="s">
        <v>171</v>
      </c>
      <c r="F50" s="263">
        <v>1.0</v>
      </c>
      <c r="G50" s="39" t="s">
        <v>236</v>
      </c>
      <c r="H50" s="39" t="s">
        <v>265</v>
      </c>
    </row>
    <row r="51">
      <c r="A51" s="39" t="s">
        <v>546</v>
      </c>
      <c r="B51" s="39" t="s">
        <v>237</v>
      </c>
      <c r="C51" s="39" t="s">
        <v>151</v>
      </c>
      <c r="D51" s="39" t="s">
        <v>96</v>
      </c>
      <c r="E51" s="39" t="s">
        <v>149</v>
      </c>
      <c r="F51" s="263">
        <v>1.0</v>
      </c>
      <c r="G51" s="39" t="s">
        <v>236</v>
      </c>
      <c r="H51" s="39" t="s">
        <v>265</v>
      </c>
    </row>
    <row r="52">
      <c r="A52" s="39" t="s">
        <v>547</v>
      </c>
      <c r="B52" s="39" t="s">
        <v>238</v>
      </c>
      <c r="C52" s="39" t="s">
        <v>154</v>
      </c>
      <c r="D52" s="39" t="s">
        <v>96</v>
      </c>
      <c r="E52" s="39" t="s">
        <v>150</v>
      </c>
      <c r="F52" s="263">
        <v>1.0</v>
      </c>
      <c r="G52" s="39" t="s">
        <v>236</v>
      </c>
      <c r="H52" s="39" t="s">
        <v>265</v>
      </c>
    </row>
    <row r="53">
      <c r="A53" s="39" t="s">
        <v>548</v>
      </c>
      <c r="B53" s="39" t="s">
        <v>239</v>
      </c>
      <c r="C53" s="39" t="s">
        <v>156</v>
      </c>
      <c r="D53" s="39" t="s">
        <v>96</v>
      </c>
      <c r="E53" s="39" t="s">
        <v>153</v>
      </c>
      <c r="F53" s="263">
        <v>1.0</v>
      </c>
      <c r="G53" s="39" t="s">
        <v>236</v>
      </c>
      <c r="H53" s="39" t="s">
        <v>265</v>
      </c>
    </row>
    <row r="54">
      <c r="A54" s="39" t="s">
        <v>215</v>
      </c>
      <c r="B54" s="39" t="s">
        <v>215</v>
      </c>
      <c r="C54" s="39" t="s">
        <v>215</v>
      </c>
      <c r="D54" s="39" t="s">
        <v>99</v>
      </c>
      <c r="E54" s="39" t="s">
        <v>179</v>
      </c>
      <c r="F54" s="263">
        <v>1.0</v>
      </c>
      <c r="G54" s="39" t="s">
        <v>236</v>
      </c>
      <c r="H54" s="39" t="s">
        <v>262</v>
      </c>
    </row>
    <row r="55">
      <c r="A55" s="39" t="s">
        <v>159</v>
      </c>
      <c r="B55" s="39" t="s">
        <v>159</v>
      </c>
      <c r="C55" s="39" t="s">
        <v>159</v>
      </c>
      <c r="D55" s="39" t="s">
        <v>99</v>
      </c>
      <c r="E55" s="39" t="s">
        <v>216</v>
      </c>
      <c r="F55" s="263">
        <v>1.0</v>
      </c>
      <c r="G55" s="39" t="s">
        <v>236</v>
      </c>
      <c r="H55" s="39" t="s">
        <v>262</v>
      </c>
    </row>
    <row r="56">
      <c r="A56" s="39" t="s">
        <v>162</v>
      </c>
      <c r="B56" s="39" t="s">
        <v>162</v>
      </c>
      <c r="C56" s="39" t="s">
        <v>162</v>
      </c>
      <c r="D56" s="39" t="s">
        <v>99</v>
      </c>
      <c r="E56" s="39" t="s">
        <v>177</v>
      </c>
      <c r="F56" s="263">
        <v>1.0</v>
      </c>
      <c r="G56" s="39" t="s">
        <v>236</v>
      </c>
      <c r="H56" s="39" t="s">
        <v>262</v>
      </c>
    </row>
    <row r="57">
      <c r="A57" s="39" t="s">
        <v>164</v>
      </c>
      <c r="B57" s="39" t="s">
        <v>164</v>
      </c>
      <c r="C57" s="39" t="s">
        <v>164</v>
      </c>
      <c r="D57" s="39" t="s">
        <v>99</v>
      </c>
      <c r="E57" s="39" t="s">
        <v>175</v>
      </c>
      <c r="F57" s="263">
        <v>1.0</v>
      </c>
      <c r="G57" s="39" t="s">
        <v>236</v>
      </c>
      <c r="H57" s="39" t="s">
        <v>262</v>
      </c>
    </row>
    <row r="58">
      <c r="A58" s="39" t="s">
        <v>263</v>
      </c>
      <c r="B58" s="39" t="s">
        <v>192</v>
      </c>
      <c r="C58" s="39" t="s">
        <v>264</v>
      </c>
      <c r="D58" s="39" t="s">
        <v>99</v>
      </c>
      <c r="E58" s="39" t="s">
        <v>203</v>
      </c>
      <c r="F58" s="263">
        <v>1.0</v>
      </c>
      <c r="G58" s="39" t="s">
        <v>236</v>
      </c>
      <c r="H58" s="39" t="s">
        <v>265</v>
      </c>
    </row>
    <row r="59">
      <c r="A59" s="39" t="s">
        <v>266</v>
      </c>
      <c r="B59" s="39" t="s">
        <v>217</v>
      </c>
      <c r="C59" s="39" t="s">
        <v>264</v>
      </c>
      <c r="D59" s="39" t="s">
        <v>99</v>
      </c>
      <c r="E59" s="39" t="s">
        <v>214</v>
      </c>
      <c r="F59" s="263">
        <v>1.0</v>
      </c>
      <c r="G59" s="39" t="s">
        <v>236</v>
      </c>
      <c r="H59" s="39" t="s">
        <v>265</v>
      </c>
    </row>
    <row r="60">
      <c r="A60" s="39" t="s">
        <v>285</v>
      </c>
      <c r="B60" s="39" t="s">
        <v>11</v>
      </c>
      <c r="C60" s="39" t="s">
        <v>275</v>
      </c>
      <c r="D60" s="39" t="s">
        <v>99</v>
      </c>
      <c r="E60" s="39" t="s">
        <v>20</v>
      </c>
      <c r="F60" s="263">
        <v>2.0</v>
      </c>
      <c r="G60" s="39" t="s">
        <v>236</v>
      </c>
      <c r="H60" s="39" t="s">
        <v>265</v>
      </c>
    </row>
    <row r="61">
      <c r="A61" s="39" t="s">
        <v>286</v>
      </c>
      <c r="B61" s="39" t="s">
        <v>11</v>
      </c>
      <c r="C61" s="39" t="s">
        <v>275</v>
      </c>
      <c r="D61" s="39" t="s">
        <v>99</v>
      </c>
      <c r="E61" s="39" t="s">
        <v>20</v>
      </c>
      <c r="F61" s="263">
        <v>4.0</v>
      </c>
      <c r="G61" s="39" t="s">
        <v>236</v>
      </c>
      <c r="H61" s="39" t="s">
        <v>265</v>
      </c>
    </row>
    <row r="62">
      <c r="A62" s="39" t="s">
        <v>549</v>
      </c>
      <c r="B62" s="39" t="s">
        <v>240</v>
      </c>
      <c r="C62" s="39" t="s">
        <v>550</v>
      </c>
      <c r="D62" s="39" t="s">
        <v>99</v>
      </c>
      <c r="E62" s="39" t="s">
        <v>387</v>
      </c>
      <c r="F62" s="263">
        <v>1.0</v>
      </c>
      <c r="G62" s="39" t="s">
        <v>236</v>
      </c>
      <c r="H62" s="39" t="s">
        <v>265</v>
      </c>
    </row>
    <row r="63">
      <c r="A63" s="39" t="s">
        <v>551</v>
      </c>
      <c r="B63" s="39" t="s">
        <v>241</v>
      </c>
      <c r="C63" s="39" t="s">
        <v>552</v>
      </c>
      <c r="D63" s="39" t="s">
        <v>99</v>
      </c>
      <c r="E63" s="39" t="s">
        <v>432</v>
      </c>
      <c r="F63" s="263">
        <v>1.0</v>
      </c>
      <c r="G63" s="39" t="s">
        <v>236</v>
      </c>
      <c r="H63" s="39" t="s">
        <v>265</v>
      </c>
    </row>
    <row r="64">
      <c r="A64" s="39" t="s">
        <v>553</v>
      </c>
      <c r="B64" s="39" t="s">
        <v>242</v>
      </c>
      <c r="C64" s="39" t="s">
        <v>554</v>
      </c>
      <c r="D64" s="39" t="s">
        <v>99</v>
      </c>
      <c r="E64" s="39" t="s">
        <v>361</v>
      </c>
      <c r="F64" s="263">
        <v>1.0</v>
      </c>
      <c r="G64" s="39" t="s">
        <v>236</v>
      </c>
      <c r="H64" s="39" t="s">
        <v>265</v>
      </c>
    </row>
    <row r="65">
      <c r="A65" s="39" t="s">
        <v>555</v>
      </c>
      <c r="B65" s="39" t="s">
        <v>243</v>
      </c>
      <c r="C65" s="39" t="s">
        <v>556</v>
      </c>
      <c r="D65" s="39" t="s">
        <v>99</v>
      </c>
      <c r="E65" s="39" t="s">
        <v>357</v>
      </c>
      <c r="F65" s="263">
        <v>1.0</v>
      </c>
      <c r="G65" s="39" t="s">
        <v>236</v>
      </c>
      <c r="H65" s="39" t="s">
        <v>265</v>
      </c>
    </row>
    <row r="66">
      <c r="A66" s="39" t="s">
        <v>557</v>
      </c>
      <c r="B66" s="39" t="s">
        <v>244</v>
      </c>
      <c r="C66" s="39" t="s">
        <v>558</v>
      </c>
      <c r="D66" s="39" t="s">
        <v>99</v>
      </c>
      <c r="E66" s="39" t="s">
        <v>345</v>
      </c>
      <c r="F66" s="263">
        <v>1.0</v>
      </c>
      <c r="G66" s="39" t="s">
        <v>236</v>
      </c>
      <c r="H66" s="39" t="s">
        <v>265</v>
      </c>
    </row>
    <row r="67">
      <c r="A67" s="39" t="s">
        <v>559</v>
      </c>
      <c r="B67" s="39" t="s">
        <v>245</v>
      </c>
      <c r="C67" s="39" t="s">
        <v>560</v>
      </c>
      <c r="D67" s="39" t="s">
        <v>99</v>
      </c>
      <c r="E67" s="39" t="s">
        <v>145</v>
      </c>
      <c r="F67" s="263">
        <v>1.0</v>
      </c>
      <c r="G67" s="39" t="s">
        <v>236</v>
      </c>
      <c r="H67" s="39" t="s">
        <v>265</v>
      </c>
    </row>
    <row r="68">
      <c r="A68" s="39" t="s">
        <v>561</v>
      </c>
      <c r="B68" s="39" t="s">
        <v>246</v>
      </c>
      <c r="C68" s="39" t="s">
        <v>562</v>
      </c>
      <c r="D68" s="39" t="s">
        <v>99</v>
      </c>
      <c r="E68" s="39" t="s">
        <v>360</v>
      </c>
      <c r="F68" s="263">
        <v>1.0</v>
      </c>
      <c r="G68" s="39" t="s">
        <v>236</v>
      </c>
      <c r="H68" s="39" t="s">
        <v>265</v>
      </c>
    </row>
    <row r="69">
      <c r="A69" s="39" t="s">
        <v>563</v>
      </c>
      <c r="B69" s="39" t="s">
        <v>247</v>
      </c>
      <c r="C69" s="39" t="s">
        <v>564</v>
      </c>
      <c r="D69" s="39" t="s">
        <v>99</v>
      </c>
      <c r="E69" s="39" t="s">
        <v>420</v>
      </c>
      <c r="F69" s="263">
        <v>1.0</v>
      </c>
      <c r="G69" s="39" t="s">
        <v>236</v>
      </c>
      <c r="H69" s="39" t="s">
        <v>265</v>
      </c>
    </row>
    <row r="70">
      <c r="A70" s="39" t="s">
        <v>565</v>
      </c>
      <c r="B70" s="39" t="s">
        <v>248</v>
      </c>
      <c r="C70" s="39" t="s">
        <v>566</v>
      </c>
      <c r="D70" s="39" t="s">
        <v>99</v>
      </c>
      <c r="E70" s="39" t="s">
        <v>318</v>
      </c>
      <c r="F70" s="263">
        <v>1.0</v>
      </c>
      <c r="G70" s="39" t="s">
        <v>236</v>
      </c>
      <c r="H70" s="39" t="s">
        <v>265</v>
      </c>
    </row>
    <row r="71">
      <c r="A71" s="39" t="s">
        <v>567</v>
      </c>
      <c r="B71" s="39" t="s">
        <v>249</v>
      </c>
      <c r="C71" s="39" t="s">
        <v>568</v>
      </c>
      <c r="D71" s="39" t="s">
        <v>99</v>
      </c>
      <c r="E71" s="39" t="s">
        <v>150</v>
      </c>
      <c r="F71" s="263">
        <v>1.0</v>
      </c>
      <c r="G71" s="39" t="s">
        <v>236</v>
      </c>
      <c r="H71" s="39" t="s">
        <v>265</v>
      </c>
    </row>
    <row r="72">
      <c r="A72" s="39" t="s">
        <v>569</v>
      </c>
      <c r="B72" s="39" t="s">
        <v>250</v>
      </c>
      <c r="C72" s="39" t="s">
        <v>570</v>
      </c>
      <c r="D72" s="39" t="s">
        <v>99</v>
      </c>
      <c r="E72" s="39" t="s">
        <v>78</v>
      </c>
      <c r="F72" s="263">
        <v>1.0</v>
      </c>
      <c r="G72" s="39" t="s">
        <v>236</v>
      </c>
      <c r="H72" s="39" t="s">
        <v>265</v>
      </c>
    </row>
    <row r="73">
      <c r="A73" s="39" t="s">
        <v>571</v>
      </c>
      <c r="B73" s="39" t="s">
        <v>251</v>
      </c>
      <c r="C73" s="39" t="s">
        <v>572</v>
      </c>
      <c r="D73" s="39" t="s">
        <v>99</v>
      </c>
      <c r="E73" s="39" t="s">
        <v>406</v>
      </c>
      <c r="F73" s="263">
        <v>1.0</v>
      </c>
      <c r="G73" s="39" t="s">
        <v>236</v>
      </c>
      <c r="H73" s="39" t="s">
        <v>265</v>
      </c>
    </row>
    <row r="74">
      <c r="A74" s="39" t="s">
        <v>573</v>
      </c>
      <c r="B74" s="39" t="s">
        <v>252</v>
      </c>
      <c r="C74" s="39" t="s">
        <v>574</v>
      </c>
      <c r="D74" s="39" t="s">
        <v>99</v>
      </c>
      <c r="E74" s="39" t="s">
        <v>149</v>
      </c>
      <c r="F74" s="263">
        <v>1.0</v>
      </c>
      <c r="G74" s="39" t="s">
        <v>236</v>
      </c>
      <c r="H74" s="39" t="s">
        <v>265</v>
      </c>
    </row>
    <row r="75">
      <c r="A75" s="39" t="s">
        <v>575</v>
      </c>
      <c r="B75" s="39" t="s">
        <v>253</v>
      </c>
      <c r="C75" s="39" t="s">
        <v>576</v>
      </c>
      <c r="D75" s="39" t="s">
        <v>99</v>
      </c>
      <c r="E75" s="39" t="s">
        <v>358</v>
      </c>
      <c r="F75" s="263">
        <v>1.0</v>
      </c>
      <c r="G75" s="39" t="s">
        <v>236</v>
      </c>
      <c r="H75" s="39" t="s">
        <v>265</v>
      </c>
    </row>
    <row r="76">
      <c r="A76" s="39" t="s">
        <v>577</v>
      </c>
      <c r="B76" s="39" t="s">
        <v>254</v>
      </c>
      <c r="C76" s="39" t="s">
        <v>578</v>
      </c>
      <c r="D76" s="39" t="s">
        <v>99</v>
      </c>
      <c r="E76" s="39" t="s">
        <v>348</v>
      </c>
      <c r="F76" s="263">
        <v>1.0</v>
      </c>
      <c r="G76" s="39" t="s">
        <v>236</v>
      </c>
      <c r="H76" s="39" t="s">
        <v>265</v>
      </c>
    </row>
    <row r="77">
      <c r="A77" s="39" t="s">
        <v>579</v>
      </c>
      <c r="B77" s="39" t="s">
        <v>255</v>
      </c>
      <c r="C77" s="39" t="s">
        <v>580</v>
      </c>
      <c r="D77" s="39" t="s">
        <v>99</v>
      </c>
      <c r="E77" s="39" t="s">
        <v>342</v>
      </c>
      <c r="F77" s="263">
        <v>1.0</v>
      </c>
      <c r="G77" s="39" t="s">
        <v>236</v>
      </c>
      <c r="H77" s="39" t="s">
        <v>265</v>
      </c>
    </row>
    <row r="78">
      <c r="A78" s="39" t="s">
        <v>581</v>
      </c>
      <c r="B78" s="39" t="s">
        <v>256</v>
      </c>
      <c r="C78" s="39" t="s">
        <v>582</v>
      </c>
      <c r="D78" s="39" t="s">
        <v>99</v>
      </c>
      <c r="E78" s="39" t="s">
        <v>421</v>
      </c>
      <c r="F78" s="263">
        <v>1.0</v>
      </c>
      <c r="G78" s="39" t="s">
        <v>236</v>
      </c>
      <c r="H78" s="39" t="s">
        <v>265</v>
      </c>
    </row>
    <row r="79">
      <c r="A79" s="39" t="s">
        <v>583</v>
      </c>
      <c r="B79" s="39" t="s">
        <v>257</v>
      </c>
      <c r="C79" s="39" t="s">
        <v>584</v>
      </c>
      <c r="D79" s="39" t="s">
        <v>99</v>
      </c>
      <c r="E79" s="39" t="s">
        <v>364</v>
      </c>
      <c r="F79" s="263">
        <v>1.0</v>
      </c>
      <c r="G79" s="39" t="s">
        <v>236</v>
      </c>
      <c r="H79" s="39" t="s">
        <v>265</v>
      </c>
    </row>
    <row r="80">
      <c r="A80" s="39" t="s">
        <v>585</v>
      </c>
      <c r="B80" s="39" t="s">
        <v>258</v>
      </c>
      <c r="C80" s="39" t="s">
        <v>236</v>
      </c>
      <c r="D80" s="39" t="s">
        <v>99</v>
      </c>
      <c r="E80" s="39" t="s">
        <v>389</v>
      </c>
      <c r="F80" s="263">
        <v>1.0</v>
      </c>
      <c r="G80" s="39" t="s">
        <v>236</v>
      </c>
      <c r="H80" s="39" t="s">
        <v>265</v>
      </c>
    </row>
    <row r="81">
      <c r="A81" s="39" t="s">
        <v>586</v>
      </c>
      <c r="B81" s="39" t="s">
        <v>259</v>
      </c>
      <c r="C81" s="39" t="s">
        <v>236</v>
      </c>
      <c r="D81" s="39" t="s">
        <v>99</v>
      </c>
      <c r="E81" s="39" t="s">
        <v>347</v>
      </c>
      <c r="F81" s="263">
        <v>1.0</v>
      </c>
      <c r="G81" s="39" t="s">
        <v>236</v>
      </c>
      <c r="H81" s="39" t="s">
        <v>265</v>
      </c>
    </row>
    <row r="82">
      <c r="A82" s="39" t="s">
        <v>587</v>
      </c>
      <c r="B82" s="39" t="s">
        <v>588</v>
      </c>
      <c r="C82" s="39" t="s">
        <v>589</v>
      </c>
      <c r="D82" s="39" t="s">
        <v>99</v>
      </c>
      <c r="E82" s="39" t="s">
        <v>404</v>
      </c>
      <c r="F82" s="263">
        <v>1.0</v>
      </c>
      <c r="G82" s="39" t="s">
        <v>236</v>
      </c>
      <c r="H82" s="39" t="s">
        <v>265</v>
      </c>
    </row>
    <row r="83">
      <c r="A83" s="39" t="s">
        <v>590</v>
      </c>
      <c r="B83" s="39" t="s">
        <v>169</v>
      </c>
      <c r="C83" s="39" t="s">
        <v>151</v>
      </c>
      <c r="D83" s="39" t="s">
        <v>99</v>
      </c>
      <c r="E83" s="39" t="s">
        <v>153</v>
      </c>
      <c r="F83" s="263">
        <v>1.0</v>
      </c>
      <c r="G83" s="39" t="s">
        <v>236</v>
      </c>
      <c r="H83" s="39" t="s">
        <v>265</v>
      </c>
    </row>
    <row r="84">
      <c r="A84" s="39" t="s">
        <v>591</v>
      </c>
      <c r="B84" s="39" t="s">
        <v>170</v>
      </c>
      <c r="C84" s="39" t="s">
        <v>154</v>
      </c>
      <c r="D84" s="39" t="s">
        <v>99</v>
      </c>
      <c r="E84" s="39" t="s">
        <v>171</v>
      </c>
      <c r="F84" s="263">
        <v>1.0</v>
      </c>
      <c r="G84" s="39" t="s">
        <v>236</v>
      </c>
      <c r="H84" s="39" t="s">
        <v>265</v>
      </c>
    </row>
    <row r="85">
      <c r="A85" s="39" t="s">
        <v>592</v>
      </c>
      <c r="B85" s="39" t="s">
        <v>172</v>
      </c>
      <c r="C85" s="39" t="s">
        <v>156</v>
      </c>
      <c r="D85" s="39" t="s">
        <v>99</v>
      </c>
      <c r="E85" s="39" t="s">
        <v>77</v>
      </c>
      <c r="F85" s="263">
        <v>1.0</v>
      </c>
      <c r="G85" s="39" t="s">
        <v>236</v>
      </c>
      <c r="H85" s="39" t="s">
        <v>265</v>
      </c>
    </row>
    <row r="86">
      <c r="A86" s="39"/>
      <c r="B86" s="39"/>
      <c r="C86" s="39"/>
      <c r="D86" s="39"/>
      <c r="E86" s="39"/>
      <c r="F86" s="263"/>
      <c r="G86" s="39"/>
      <c r="H86" s="39"/>
    </row>
    <row r="87">
      <c r="A87" s="39"/>
      <c r="B87" s="39"/>
      <c r="C87" s="39"/>
      <c r="D87" s="39"/>
      <c r="E87" s="39"/>
      <c r="F87" s="263"/>
      <c r="G87" s="39"/>
      <c r="H87" s="39"/>
    </row>
    <row r="88">
      <c r="A88" s="39"/>
      <c r="B88" s="39"/>
      <c r="C88" s="39"/>
      <c r="D88" s="39"/>
      <c r="E88" s="39"/>
      <c r="F88" s="263"/>
      <c r="G88" s="39"/>
      <c r="H88" s="39"/>
    </row>
    <row r="89">
      <c r="A89" s="39"/>
      <c r="B89" s="39"/>
      <c r="C89" s="39"/>
      <c r="D89" s="39"/>
      <c r="E89" s="39"/>
      <c r="F89" s="263"/>
      <c r="G89" s="39"/>
      <c r="H89" s="39"/>
    </row>
    <row r="90">
      <c r="A90" s="39"/>
      <c r="B90" s="39"/>
      <c r="C90" s="39"/>
      <c r="D90" s="39"/>
      <c r="E90" s="39"/>
      <c r="F90" s="263"/>
      <c r="G90" s="39"/>
      <c r="H90" s="39"/>
    </row>
    <row r="91">
      <c r="A91" s="39"/>
      <c r="B91" s="39"/>
      <c r="C91" s="39"/>
      <c r="D91" s="39"/>
      <c r="E91" s="39"/>
      <c r="F91" s="263"/>
      <c r="G91" s="39"/>
      <c r="H91" s="39"/>
    </row>
    <row r="92">
      <c r="A92" s="39"/>
      <c r="B92" s="39"/>
      <c r="C92" s="39"/>
      <c r="D92" s="39"/>
      <c r="E92" s="39"/>
      <c r="F92" s="263"/>
      <c r="G92" s="39"/>
      <c r="H92" s="39"/>
    </row>
    <row r="93">
      <c r="A93" s="39"/>
      <c r="B93" s="39"/>
      <c r="C93" s="39"/>
      <c r="D93" s="39"/>
      <c r="E93" s="39"/>
      <c r="F93" s="263"/>
      <c r="G93" s="39"/>
      <c r="H93" s="39"/>
    </row>
    <row r="94">
      <c r="A94" s="39"/>
      <c r="B94" s="39"/>
      <c r="C94" s="39"/>
      <c r="D94" s="39"/>
      <c r="E94" s="39"/>
      <c r="F94" s="263"/>
      <c r="G94" s="39"/>
      <c r="H94" s="39"/>
    </row>
    <row r="95">
      <c r="A95" s="39"/>
      <c r="B95" s="39"/>
      <c r="C95" s="39"/>
      <c r="D95" s="39"/>
      <c r="E95" s="39"/>
      <c r="F95" s="263"/>
      <c r="G95" s="39"/>
      <c r="H95" s="39"/>
    </row>
    <row r="96">
      <c r="A96" s="39"/>
      <c r="B96" s="39"/>
      <c r="C96" s="39"/>
      <c r="D96" s="39"/>
      <c r="E96" s="39"/>
      <c r="F96" s="263"/>
      <c r="G96" s="39"/>
      <c r="H96" s="39"/>
    </row>
    <row r="97">
      <c r="A97" s="39"/>
      <c r="B97" s="39"/>
      <c r="C97" s="39"/>
      <c r="D97" s="39"/>
      <c r="E97" s="39"/>
      <c r="F97" s="263"/>
      <c r="G97" s="39"/>
      <c r="H97" s="39"/>
    </row>
    <row r="98">
      <c r="A98" s="39"/>
      <c r="B98" s="39"/>
      <c r="C98" s="39"/>
      <c r="D98" s="39"/>
      <c r="E98" s="39"/>
      <c r="F98" s="263"/>
      <c r="G98" s="39"/>
      <c r="H98" s="39"/>
    </row>
    <row r="99">
      <c r="A99" s="39"/>
      <c r="B99" s="39"/>
      <c r="C99" s="39"/>
      <c r="D99" s="39"/>
      <c r="E99" s="39"/>
      <c r="F99" s="263"/>
      <c r="G99" s="39"/>
      <c r="H99" s="39"/>
    </row>
    <row r="100">
      <c r="A100" s="39"/>
      <c r="B100" s="39"/>
      <c r="C100" s="39"/>
      <c r="D100" s="39"/>
      <c r="E100" s="39"/>
      <c r="F100" s="263"/>
      <c r="G100" s="39"/>
      <c r="H100" s="39"/>
    </row>
    <row r="101">
      <c r="A101" s="39"/>
      <c r="B101" s="39"/>
      <c r="C101" s="39"/>
      <c r="D101" s="39"/>
      <c r="E101" s="39"/>
      <c r="F101" s="263"/>
      <c r="G101" s="39"/>
      <c r="H101" s="39"/>
    </row>
    <row r="102">
      <c r="A102" s="39"/>
      <c r="B102" s="39"/>
      <c r="C102" s="39"/>
      <c r="D102" s="39"/>
      <c r="E102" s="39"/>
      <c r="F102" s="263"/>
      <c r="G102" s="39"/>
      <c r="H102" s="39"/>
    </row>
    <row r="103">
      <c r="A103" s="39"/>
      <c r="B103" s="39"/>
      <c r="C103" s="39"/>
      <c r="D103" s="39"/>
      <c r="E103" s="39"/>
      <c r="F103" s="263"/>
      <c r="G103" s="39"/>
      <c r="H103" s="39"/>
    </row>
    <row r="104">
      <c r="A104" s="39"/>
      <c r="B104" s="39"/>
      <c r="C104" s="39"/>
      <c r="D104" s="39"/>
      <c r="E104" s="39"/>
      <c r="F104" s="263"/>
      <c r="G104" s="39"/>
      <c r="H104" s="39"/>
    </row>
    <row r="105">
      <c r="A105" s="39"/>
      <c r="B105" s="39"/>
      <c r="C105" s="39"/>
      <c r="D105" s="39"/>
      <c r="E105" s="39"/>
      <c r="F105" s="263"/>
      <c r="G105" s="39"/>
      <c r="H105" s="39"/>
    </row>
    <row r="106">
      <c r="A106" s="39"/>
      <c r="B106" s="39"/>
      <c r="C106" s="39"/>
      <c r="D106" s="39"/>
      <c r="E106" s="39"/>
      <c r="F106" s="263"/>
      <c r="G106" s="39"/>
      <c r="H106" s="39"/>
    </row>
    <row r="107">
      <c r="A107" s="39"/>
      <c r="B107" s="39"/>
      <c r="C107" s="39"/>
      <c r="D107" s="39"/>
      <c r="E107" s="39"/>
      <c r="F107" s="263"/>
      <c r="G107" s="39"/>
      <c r="H107" s="39"/>
    </row>
    <row r="108">
      <c r="A108" s="39"/>
      <c r="B108" s="39"/>
      <c r="C108" s="39"/>
      <c r="D108" s="39"/>
      <c r="E108" s="39"/>
      <c r="F108" s="263"/>
      <c r="G108" s="39"/>
      <c r="H108" s="39"/>
    </row>
    <row r="109">
      <c r="A109" s="39"/>
      <c r="B109" s="39"/>
      <c r="C109" s="39"/>
      <c r="D109" s="39"/>
      <c r="E109" s="39"/>
      <c r="F109" s="263"/>
      <c r="G109" s="39"/>
      <c r="H109" s="39"/>
    </row>
    <row r="110">
      <c r="A110" s="39"/>
      <c r="B110" s="39"/>
      <c r="C110" s="39"/>
      <c r="D110" s="39"/>
      <c r="E110" s="39"/>
      <c r="F110" s="263"/>
      <c r="G110" s="39"/>
      <c r="H110" s="39"/>
    </row>
    <row r="111">
      <c r="A111" s="39"/>
      <c r="B111" s="39"/>
      <c r="C111" s="39"/>
      <c r="D111" s="39"/>
      <c r="E111" s="39"/>
      <c r="F111" s="263"/>
      <c r="G111" s="39"/>
      <c r="H111" s="39"/>
    </row>
    <row r="112">
      <c r="A112" s="39"/>
      <c r="B112" s="39"/>
      <c r="C112" s="39"/>
      <c r="D112" s="39"/>
      <c r="E112" s="39"/>
      <c r="F112" s="263"/>
      <c r="G112" s="39"/>
      <c r="H112" s="39"/>
    </row>
    <row r="113">
      <c r="A113" s="39"/>
      <c r="B113" s="39"/>
      <c r="C113" s="39"/>
      <c r="D113" s="39"/>
      <c r="E113" s="39"/>
      <c r="F113" s="263"/>
      <c r="G113" s="39"/>
      <c r="H113" s="39"/>
    </row>
    <row r="114">
      <c r="A114" s="39"/>
      <c r="B114" s="39"/>
      <c r="C114" s="39"/>
      <c r="D114" s="39"/>
      <c r="E114" s="39"/>
      <c r="F114" s="263"/>
      <c r="G114" s="39"/>
      <c r="H114" s="39"/>
    </row>
    <row r="115">
      <c r="A115" s="39"/>
      <c r="B115" s="39"/>
      <c r="C115" s="39"/>
      <c r="D115" s="39"/>
      <c r="E115" s="39"/>
      <c r="F115" s="263"/>
      <c r="G115" s="39"/>
      <c r="H115" s="39"/>
    </row>
    <row r="116">
      <c r="A116" s="39"/>
      <c r="B116" s="39"/>
      <c r="C116" s="39"/>
      <c r="D116" s="39"/>
      <c r="E116" s="39"/>
      <c r="F116" s="263"/>
      <c r="G116" s="39"/>
      <c r="H116" s="39"/>
    </row>
    <row r="117">
      <c r="A117" s="39"/>
      <c r="B117" s="39"/>
      <c r="C117" s="39"/>
      <c r="D117" s="39"/>
      <c r="E117" s="39"/>
      <c r="F117" s="263"/>
      <c r="G117" s="39"/>
      <c r="H117" s="39"/>
    </row>
    <row r="118">
      <c r="A118" s="39"/>
      <c r="B118" s="39"/>
      <c r="C118" s="39"/>
      <c r="D118" s="39"/>
      <c r="E118" s="39"/>
      <c r="F118" s="263"/>
      <c r="G118" s="39"/>
      <c r="H118" s="39"/>
    </row>
    <row r="119">
      <c r="A119" s="39"/>
      <c r="B119" s="39"/>
      <c r="C119" s="39"/>
      <c r="D119" s="39"/>
      <c r="E119" s="39"/>
      <c r="F119" s="263"/>
      <c r="G119" s="39"/>
      <c r="H119" s="39"/>
    </row>
    <row r="120">
      <c r="A120" s="39"/>
      <c r="B120" s="39"/>
      <c r="C120" s="39"/>
      <c r="D120" s="39"/>
      <c r="E120" s="39"/>
      <c r="F120" s="263"/>
      <c r="G120" s="39"/>
      <c r="H120" s="39"/>
    </row>
    <row r="121">
      <c r="A121" s="39"/>
      <c r="B121" s="39"/>
      <c r="C121" s="39"/>
      <c r="D121" s="39"/>
      <c r="E121" s="39"/>
      <c r="F121" s="263"/>
      <c r="G121" s="39"/>
      <c r="H121" s="39"/>
    </row>
    <row r="122">
      <c r="A122" s="39"/>
      <c r="B122" s="39"/>
      <c r="C122" s="39"/>
      <c r="D122" s="39"/>
      <c r="E122" s="39"/>
      <c r="F122" s="263"/>
      <c r="G122" s="39"/>
      <c r="H122" s="39"/>
    </row>
    <row r="123">
      <c r="A123" s="39"/>
      <c r="B123" s="39"/>
      <c r="C123" s="39"/>
      <c r="D123" s="39"/>
      <c r="E123" s="39"/>
      <c r="F123" s="263"/>
      <c r="G123" s="39"/>
      <c r="H123" s="39"/>
    </row>
    <row r="124">
      <c r="A124" s="39"/>
      <c r="B124" s="39"/>
      <c r="C124" s="39"/>
      <c r="D124" s="39"/>
      <c r="E124" s="39"/>
      <c r="F124" s="263"/>
      <c r="G124" s="39"/>
      <c r="H124" s="39"/>
    </row>
    <row r="125">
      <c r="A125" s="39"/>
      <c r="B125" s="39"/>
      <c r="C125" s="39"/>
      <c r="D125" s="39"/>
      <c r="E125" s="39"/>
      <c r="F125" s="263"/>
      <c r="G125" s="39"/>
      <c r="H125" s="39"/>
    </row>
    <row r="126">
      <c r="A126" s="39"/>
      <c r="B126" s="39"/>
      <c r="C126" s="39"/>
      <c r="D126" s="39"/>
      <c r="E126" s="39"/>
      <c r="F126" s="263"/>
      <c r="G126" s="39"/>
      <c r="H126" s="39"/>
    </row>
    <row r="127">
      <c r="A127" s="39"/>
      <c r="B127" s="39"/>
      <c r="C127" s="39"/>
      <c r="D127" s="39"/>
      <c r="E127" s="39"/>
      <c r="F127" s="263"/>
      <c r="G127" s="39"/>
      <c r="H127" s="39"/>
    </row>
    <row r="128">
      <c r="A128" s="39"/>
      <c r="B128" s="39"/>
      <c r="C128" s="39"/>
      <c r="D128" s="39"/>
      <c r="E128" s="39"/>
      <c r="F128" s="263"/>
      <c r="G128" s="39"/>
      <c r="H128" s="39"/>
    </row>
    <row r="129">
      <c r="A129" s="39"/>
      <c r="B129" s="39"/>
      <c r="C129" s="39"/>
      <c r="D129" s="39"/>
      <c r="E129" s="39"/>
      <c r="F129" s="263"/>
      <c r="G129" s="39"/>
      <c r="H129" s="39"/>
    </row>
    <row r="130">
      <c r="A130" s="39"/>
      <c r="B130" s="39"/>
      <c r="C130" s="39"/>
      <c r="D130" s="39"/>
      <c r="E130" s="39"/>
      <c r="F130" s="263"/>
      <c r="G130" s="39"/>
      <c r="H130" s="39"/>
    </row>
    <row r="131">
      <c r="A131" s="39"/>
      <c r="B131" s="39"/>
      <c r="C131" s="39"/>
      <c r="D131" s="39"/>
      <c r="E131" s="39"/>
      <c r="F131" s="263"/>
      <c r="G131" s="39"/>
      <c r="H131" s="39"/>
    </row>
    <row r="132">
      <c r="A132" s="39"/>
      <c r="B132" s="39"/>
      <c r="C132" s="39"/>
      <c r="D132" s="39"/>
      <c r="E132" s="39"/>
      <c r="F132" s="263"/>
      <c r="G132" s="39"/>
      <c r="H132" s="39"/>
    </row>
    <row r="133">
      <c r="A133" s="39"/>
      <c r="B133" s="39"/>
      <c r="C133" s="39"/>
      <c r="D133" s="39"/>
      <c r="E133" s="39"/>
      <c r="F133" s="263"/>
      <c r="G133" s="39"/>
      <c r="H133" s="39"/>
    </row>
    <row r="134">
      <c r="A134" s="39"/>
      <c r="B134" s="39"/>
      <c r="C134" s="39"/>
      <c r="D134" s="39"/>
      <c r="E134" s="39"/>
      <c r="F134" s="263"/>
      <c r="G134" s="39"/>
      <c r="H134" s="39"/>
    </row>
    <row r="135">
      <c r="A135" s="39"/>
      <c r="B135" s="39"/>
      <c r="C135" s="39"/>
      <c r="D135" s="39"/>
      <c r="E135" s="39"/>
      <c r="F135" s="263"/>
      <c r="G135" s="39"/>
      <c r="H135" s="39"/>
    </row>
    <row r="136">
      <c r="A136" s="39"/>
      <c r="B136" s="39"/>
      <c r="C136" s="39"/>
      <c r="D136" s="39"/>
      <c r="E136" s="39"/>
      <c r="F136" s="263"/>
      <c r="G136" s="39"/>
      <c r="H136" s="39"/>
    </row>
    <row r="137">
      <c r="A137" s="39"/>
      <c r="B137" s="39"/>
      <c r="C137" s="39"/>
      <c r="D137" s="39"/>
      <c r="E137" s="39"/>
      <c r="F137" s="263"/>
      <c r="G137" s="39"/>
      <c r="H137" s="39"/>
    </row>
    <row r="138">
      <c r="A138" s="39"/>
      <c r="B138" s="39"/>
      <c r="C138" s="39"/>
      <c r="D138" s="39"/>
      <c r="E138" s="39"/>
      <c r="F138" s="263"/>
      <c r="G138" s="39"/>
      <c r="H138" s="39"/>
    </row>
    <row r="139">
      <c r="A139" s="39"/>
      <c r="B139" s="39"/>
      <c r="C139" s="39"/>
      <c r="D139" s="39"/>
      <c r="E139" s="39"/>
      <c r="F139" s="263"/>
      <c r="G139" s="39"/>
      <c r="H139" s="39"/>
    </row>
    <row r="140">
      <c r="A140" s="39"/>
      <c r="B140" s="39"/>
      <c r="C140" s="39"/>
      <c r="D140" s="39"/>
      <c r="E140" s="39"/>
      <c r="F140" s="263"/>
      <c r="G140" s="39"/>
      <c r="H140" s="39"/>
    </row>
    <row r="141">
      <c r="A141" s="39"/>
      <c r="B141" s="39"/>
      <c r="C141" s="39"/>
      <c r="D141" s="39"/>
      <c r="E141" s="39"/>
      <c r="F141" s="263"/>
      <c r="G141" s="39"/>
      <c r="H141" s="39"/>
    </row>
    <row r="142">
      <c r="A142" s="39"/>
      <c r="B142" s="39"/>
      <c r="C142" s="39"/>
      <c r="D142" s="39"/>
      <c r="E142" s="39"/>
      <c r="F142" s="263"/>
      <c r="G142" s="39"/>
      <c r="H142" s="39"/>
    </row>
    <row r="143">
      <c r="A143" s="39"/>
      <c r="B143" s="39"/>
      <c r="C143" s="39"/>
      <c r="D143" s="39"/>
      <c r="E143" s="39"/>
      <c r="F143" s="263"/>
      <c r="G143" s="39"/>
      <c r="H143" s="39"/>
    </row>
    <row r="144">
      <c r="A144" s="39"/>
      <c r="B144" s="39"/>
      <c r="C144" s="39"/>
      <c r="D144" s="39"/>
      <c r="E144" s="39"/>
      <c r="F144" s="263"/>
      <c r="G144" s="39"/>
      <c r="H144" s="39"/>
    </row>
    <row r="145">
      <c r="A145" s="39"/>
      <c r="B145" s="39"/>
      <c r="C145" s="39"/>
      <c r="D145" s="39"/>
      <c r="E145" s="39"/>
      <c r="F145" s="263"/>
      <c r="G145" s="39"/>
      <c r="H145" s="39"/>
    </row>
    <row r="146">
      <c r="A146" s="39"/>
      <c r="B146" s="39"/>
      <c r="C146" s="39"/>
      <c r="D146" s="39"/>
      <c r="E146" s="39"/>
      <c r="F146" s="263"/>
      <c r="G146" s="39"/>
      <c r="H146" s="39"/>
    </row>
    <row r="147">
      <c r="A147" s="39"/>
      <c r="B147" s="39"/>
      <c r="C147" s="39"/>
      <c r="D147" s="39"/>
      <c r="E147" s="39"/>
      <c r="F147" s="263"/>
      <c r="G147" s="39"/>
      <c r="H147" s="39"/>
    </row>
    <row r="148">
      <c r="A148" s="39"/>
      <c r="B148" s="39"/>
      <c r="C148" s="39"/>
      <c r="D148" s="39"/>
      <c r="E148" s="39"/>
      <c r="F148" s="263"/>
      <c r="G148" s="39"/>
      <c r="H148" s="39"/>
    </row>
    <row r="149">
      <c r="A149" s="39"/>
      <c r="B149" s="39"/>
      <c r="C149" s="39"/>
      <c r="D149" s="39"/>
      <c r="E149" s="39"/>
      <c r="F149" s="263"/>
      <c r="G149" s="39"/>
      <c r="H149" s="39"/>
    </row>
    <row r="150">
      <c r="A150" s="39"/>
      <c r="B150" s="39"/>
      <c r="C150" s="39"/>
      <c r="D150" s="39"/>
      <c r="E150" s="39"/>
      <c r="F150" s="263"/>
      <c r="G150" s="39"/>
      <c r="H150" s="39"/>
    </row>
    <row r="151">
      <c r="A151" s="39"/>
      <c r="B151" s="39"/>
      <c r="C151" s="39"/>
      <c r="D151" s="39"/>
      <c r="E151" s="39"/>
      <c r="F151" s="263"/>
      <c r="G151" s="39"/>
      <c r="H151" s="39"/>
    </row>
    <row r="152">
      <c r="A152" s="39"/>
      <c r="B152" s="39"/>
      <c r="C152" s="39"/>
      <c r="D152" s="39"/>
      <c r="E152" s="39"/>
      <c r="F152" s="263"/>
      <c r="G152" s="39"/>
      <c r="H152" s="39"/>
    </row>
    <row r="153">
      <c r="A153" s="39"/>
      <c r="B153" s="39"/>
      <c r="C153" s="39"/>
      <c r="D153" s="39"/>
      <c r="E153" s="39"/>
      <c r="F153" s="263"/>
      <c r="G153" s="39"/>
      <c r="H153" s="39"/>
    </row>
    <row r="154">
      <c r="A154" s="39"/>
      <c r="B154" s="39"/>
      <c r="C154" s="39"/>
      <c r="D154" s="39"/>
      <c r="E154" s="39"/>
      <c r="F154" s="263"/>
      <c r="G154" s="39"/>
      <c r="H154" s="39"/>
    </row>
    <row r="155">
      <c r="A155" s="39"/>
      <c r="B155" s="39"/>
      <c r="C155" s="39"/>
      <c r="D155" s="39"/>
      <c r="E155" s="39"/>
      <c r="F155" s="263"/>
      <c r="G155" s="39"/>
      <c r="H155" s="39"/>
    </row>
    <row r="156">
      <c r="A156" s="39"/>
      <c r="B156" s="39"/>
      <c r="C156" s="39"/>
      <c r="D156" s="39"/>
      <c r="E156" s="39"/>
      <c r="F156" s="263"/>
      <c r="G156" s="39"/>
      <c r="H156" s="39"/>
    </row>
    <row r="157">
      <c r="A157" s="39"/>
      <c r="B157" s="39"/>
      <c r="C157" s="39"/>
      <c r="D157" s="39"/>
      <c r="E157" s="39"/>
      <c r="F157" s="263"/>
      <c r="G157" s="39"/>
      <c r="H157" s="39"/>
    </row>
    <row r="158">
      <c r="A158" s="39"/>
      <c r="B158" s="39"/>
      <c r="C158" s="39"/>
      <c r="D158" s="39"/>
      <c r="E158" s="39"/>
      <c r="F158" s="263"/>
      <c r="G158" s="39"/>
      <c r="H158" s="39"/>
    </row>
    <row r="159">
      <c r="A159" s="39"/>
      <c r="B159" s="39"/>
      <c r="C159" s="39"/>
      <c r="D159" s="39"/>
      <c r="E159" s="39"/>
      <c r="F159" s="263"/>
      <c r="G159" s="39"/>
      <c r="H159" s="39"/>
    </row>
    <row r="160">
      <c r="A160" s="39"/>
      <c r="B160" s="39"/>
      <c r="C160" s="39"/>
      <c r="D160" s="39"/>
      <c r="E160" s="39"/>
      <c r="F160" s="263"/>
      <c r="G160" s="39"/>
      <c r="H160" s="39"/>
    </row>
    <row r="161">
      <c r="A161" s="39"/>
      <c r="B161" s="39"/>
      <c r="C161" s="39"/>
      <c r="D161" s="39"/>
      <c r="E161" s="39"/>
      <c r="F161" s="263"/>
      <c r="G161" s="39"/>
      <c r="H161" s="39"/>
    </row>
    <row r="162">
      <c r="A162" s="39"/>
      <c r="B162" s="39"/>
      <c r="C162" s="39"/>
      <c r="D162" s="39"/>
      <c r="E162" s="39"/>
      <c r="F162" s="263"/>
      <c r="G162" s="39"/>
      <c r="H162" s="39"/>
    </row>
    <row r="163">
      <c r="A163" s="39"/>
      <c r="B163" s="39"/>
      <c r="C163" s="39"/>
      <c r="D163" s="39"/>
      <c r="E163" s="39"/>
      <c r="F163" s="263"/>
      <c r="G163" s="39"/>
      <c r="H163" s="39"/>
    </row>
    <row r="164">
      <c r="A164" s="39"/>
      <c r="B164" s="39"/>
      <c r="C164" s="39"/>
      <c r="D164" s="39"/>
      <c r="E164" s="39"/>
      <c r="F164" s="263"/>
      <c r="G164" s="39"/>
      <c r="H164" s="39"/>
    </row>
    <row r="165">
      <c r="A165" s="39"/>
      <c r="B165" s="39"/>
      <c r="C165" s="39"/>
      <c r="D165" s="39"/>
      <c r="E165" s="39"/>
      <c r="F165" s="263"/>
      <c r="G165" s="39"/>
      <c r="H165" s="39"/>
    </row>
    <row r="166">
      <c r="A166" s="39"/>
      <c r="B166" s="39"/>
      <c r="C166" s="39"/>
      <c r="D166" s="39"/>
      <c r="E166" s="39"/>
      <c r="F166" s="263"/>
      <c r="G166" s="39"/>
      <c r="H166" s="39"/>
    </row>
    <row r="167">
      <c r="A167" s="39"/>
      <c r="B167" s="39"/>
      <c r="C167" s="39"/>
      <c r="D167" s="39"/>
      <c r="E167" s="39"/>
      <c r="F167" s="263"/>
      <c r="G167" s="39"/>
      <c r="H167" s="39"/>
    </row>
    <row r="168">
      <c r="A168" s="39"/>
      <c r="B168" s="39"/>
      <c r="C168" s="39"/>
      <c r="D168" s="39"/>
      <c r="E168" s="39"/>
      <c r="F168" s="263"/>
      <c r="G168" s="39"/>
      <c r="H168" s="39"/>
    </row>
    <row r="169">
      <c r="A169" s="39"/>
      <c r="B169" s="39"/>
      <c r="C169" s="39"/>
      <c r="D169" s="39"/>
      <c r="E169" s="39"/>
      <c r="F169" s="263"/>
      <c r="G169" s="39"/>
      <c r="H169" s="39"/>
    </row>
    <row r="170">
      <c r="A170" s="39"/>
      <c r="B170" s="39"/>
      <c r="C170" s="39"/>
      <c r="D170" s="39"/>
      <c r="E170" s="39"/>
      <c r="F170" s="263"/>
      <c r="G170" s="39"/>
      <c r="H170" s="39"/>
    </row>
    <row r="171">
      <c r="A171" s="39"/>
      <c r="B171" s="39"/>
      <c r="C171" s="39"/>
      <c r="D171" s="39"/>
      <c r="E171" s="39"/>
      <c r="F171" s="263"/>
      <c r="G171" s="39"/>
      <c r="H171" s="39"/>
    </row>
    <row r="172">
      <c r="A172" s="39"/>
      <c r="B172" s="39"/>
      <c r="C172" s="39"/>
      <c r="D172" s="39"/>
      <c r="E172" s="39"/>
      <c r="F172" s="263"/>
      <c r="G172" s="39"/>
      <c r="H172" s="39"/>
    </row>
    <row r="173">
      <c r="A173" s="39"/>
      <c r="B173" s="39"/>
      <c r="C173" s="39"/>
      <c r="D173" s="39"/>
      <c r="E173" s="39"/>
      <c r="F173" s="263"/>
      <c r="G173" s="39"/>
      <c r="H173" s="39"/>
    </row>
    <row r="174">
      <c r="A174" s="39"/>
      <c r="B174" s="39"/>
      <c r="C174" s="39"/>
      <c r="D174" s="39"/>
      <c r="E174" s="39"/>
      <c r="F174" s="263"/>
      <c r="G174" s="39"/>
      <c r="H174" s="39"/>
    </row>
    <row r="175">
      <c r="A175" s="39"/>
      <c r="B175" s="39"/>
      <c r="C175" s="39"/>
      <c r="D175" s="39"/>
      <c r="E175" s="39"/>
      <c r="F175" s="263"/>
      <c r="G175" s="39"/>
      <c r="H175" s="39"/>
    </row>
    <row r="176">
      <c r="A176" s="39"/>
      <c r="B176" s="39"/>
      <c r="C176" s="39"/>
      <c r="D176" s="39"/>
      <c r="E176" s="39"/>
      <c r="F176" s="263"/>
      <c r="G176" s="39"/>
      <c r="H176" s="39"/>
    </row>
    <row r="177">
      <c r="A177" s="39"/>
      <c r="B177" s="39"/>
      <c r="C177" s="39"/>
      <c r="D177" s="39"/>
      <c r="E177" s="39"/>
      <c r="F177" s="263"/>
      <c r="G177" s="39"/>
      <c r="H177" s="39"/>
    </row>
    <row r="178">
      <c r="A178" s="39"/>
      <c r="B178" s="39"/>
      <c r="C178" s="39"/>
      <c r="D178" s="39"/>
      <c r="E178" s="39"/>
      <c r="F178" s="263"/>
      <c r="G178" s="39"/>
      <c r="H178" s="39"/>
    </row>
    <row r="179">
      <c r="A179" s="39"/>
      <c r="B179" s="39"/>
      <c r="C179" s="39"/>
      <c r="D179" s="39"/>
      <c r="E179" s="39"/>
      <c r="F179" s="263"/>
      <c r="G179" s="39"/>
      <c r="H179" s="39"/>
    </row>
    <row r="180">
      <c r="A180" s="39"/>
      <c r="B180" s="39"/>
      <c r="C180" s="39"/>
      <c r="D180" s="39"/>
      <c r="E180" s="39"/>
      <c r="F180" s="263"/>
      <c r="G180" s="39"/>
      <c r="H180" s="39"/>
    </row>
    <row r="181">
      <c r="A181" s="39"/>
      <c r="B181" s="39"/>
      <c r="C181" s="39"/>
      <c r="D181" s="39"/>
      <c r="E181" s="39"/>
      <c r="F181" s="263"/>
      <c r="G181" s="39"/>
      <c r="H181" s="39"/>
    </row>
    <row r="182">
      <c r="A182" s="39"/>
      <c r="B182" s="39"/>
      <c r="C182" s="39"/>
      <c r="D182" s="39"/>
      <c r="E182" s="39"/>
      <c r="F182" s="263"/>
      <c r="G182" s="39"/>
      <c r="H182" s="39"/>
    </row>
    <row r="183">
      <c r="A183" s="39"/>
      <c r="B183" s="39"/>
      <c r="C183" s="39"/>
      <c r="D183" s="39"/>
      <c r="E183" s="39"/>
      <c r="F183" s="263"/>
      <c r="G183" s="39"/>
      <c r="H183" s="39"/>
    </row>
    <row r="184">
      <c r="A184" s="39"/>
      <c r="B184" s="39"/>
      <c r="C184" s="39"/>
      <c r="D184" s="39"/>
      <c r="E184" s="39"/>
      <c r="F184" s="263"/>
      <c r="G184" s="39"/>
      <c r="H184" s="39"/>
    </row>
    <row r="185">
      <c r="A185" s="39"/>
      <c r="B185" s="39"/>
      <c r="C185" s="39"/>
      <c r="D185" s="39"/>
      <c r="E185" s="39"/>
      <c r="F185" s="263"/>
      <c r="G185" s="39"/>
      <c r="H185" s="39"/>
    </row>
    <row r="186">
      <c r="A186" s="39"/>
      <c r="B186" s="39"/>
      <c r="C186" s="39"/>
      <c r="D186" s="39"/>
      <c r="E186" s="39"/>
      <c r="F186" s="263"/>
      <c r="G186" s="39"/>
      <c r="H186" s="39"/>
    </row>
    <row r="187">
      <c r="A187" s="39"/>
      <c r="B187" s="39"/>
      <c r="C187" s="39"/>
      <c r="D187" s="39"/>
      <c r="E187" s="39"/>
      <c r="F187" s="263"/>
      <c r="G187" s="39"/>
      <c r="H187" s="39"/>
    </row>
    <row r="188">
      <c r="A188" s="39"/>
      <c r="B188" s="39"/>
      <c r="C188" s="39"/>
      <c r="D188" s="39"/>
      <c r="E188" s="39"/>
      <c r="F188" s="263"/>
      <c r="G188" s="39"/>
      <c r="H188" s="39"/>
    </row>
    <row r="189">
      <c r="A189" s="39"/>
      <c r="B189" s="39"/>
      <c r="C189" s="39"/>
      <c r="D189" s="39"/>
      <c r="E189" s="39"/>
      <c r="F189" s="263"/>
      <c r="G189" s="39"/>
      <c r="H189" s="39"/>
    </row>
    <row r="190">
      <c r="A190" s="39"/>
      <c r="B190" s="39"/>
      <c r="C190" s="39"/>
      <c r="D190" s="39"/>
      <c r="E190" s="39"/>
      <c r="F190" s="263"/>
      <c r="G190" s="39"/>
      <c r="H190" s="39"/>
    </row>
    <row r="191">
      <c r="A191" s="39"/>
      <c r="B191" s="39"/>
      <c r="C191" s="39"/>
      <c r="D191" s="39"/>
      <c r="E191" s="39"/>
      <c r="F191" s="263"/>
      <c r="G191" s="39"/>
      <c r="H191" s="39"/>
    </row>
    <row r="192">
      <c r="A192" s="39"/>
      <c r="B192" s="39"/>
      <c r="C192" s="39"/>
      <c r="D192" s="39"/>
      <c r="E192" s="39"/>
      <c r="F192" s="263"/>
      <c r="G192" s="39"/>
      <c r="H192" s="39"/>
    </row>
    <row r="193">
      <c r="A193" s="39"/>
      <c r="B193" s="39"/>
      <c r="C193" s="39"/>
      <c r="D193" s="39"/>
      <c r="E193" s="39"/>
      <c r="F193" s="263"/>
      <c r="G193" s="39"/>
      <c r="H193" s="39"/>
    </row>
    <row r="194">
      <c r="A194" s="39"/>
      <c r="B194" s="39"/>
      <c r="C194" s="39"/>
      <c r="D194" s="39"/>
      <c r="E194" s="39"/>
      <c r="F194" s="263"/>
      <c r="G194" s="39"/>
      <c r="H194" s="39"/>
    </row>
    <row r="195">
      <c r="A195" s="39"/>
      <c r="B195" s="39"/>
      <c r="C195" s="39"/>
      <c r="D195" s="39"/>
      <c r="E195" s="39"/>
      <c r="F195" s="263"/>
      <c r="G195" s="39"/>
      <c r="H195" s="39"/>
    </row>
    <row r="196">
      <c r="A196" s="39"/>
      <c r="B196" s="39"/>
      <c r="C196" s="39"/>
      <c r="D196" s="39"/>
      <c r="E196" s="39"/>
      <c r="F196" s="263"/>
      <c r="G196" s="39"/>
      <c r="H196" s="39"/>
    </row>
    <row r="197">
      <c r="A197" s="39"/>
      <c r="B197" s="39"/>
      <c r="C197" s="39"/>
      <c r="D197" s="39"/>
      <c r="E197" s="39"/>
      <c r="F197" s="263"/>
      <c r="G197" s="39"/>
      <c r="H197" s="39"/>
    </row>
    <row r="198">
      <c r="A198" s="39"/>
      <c r="B198" s="39"/>
      <c r="C198" s="39"/>
      <c r="D198" s="39"/>
      <c r="E198" s="39"/>
      <c r="F198" s="263"/>
      <c r="G198" s="39"/>
      <c r="H198" s="39"/>
    </row>
    <row r="199">
      <c r="A199" s="39"/>
      <c r="B199" s="39"/>
      <c r="C199" s="39"/>
      <c r="D199" s="39"/>
      <c r="E199" s="39"/>
      <c r="F199" s="263"/>
      <c r="G199" s="39"/>
      <c r="H199" s="39"/>
    </row>
    <row r="200">
      <c r="A200" s="39"/>
      <c r="B200" s="39"/>
      <c r="C200" s="39"/>
      <c r="D200" s="39"/>
      <c r="E200" s="39"/>
      <c r="F200" s="263"/>
      <c r="G200" s="39"/>
      <c r="H200" s="39"/>
    </row>
    <row r="201">
      <c r="A201" s="39"/>
      <c r="B201" s="39"/>
      <c r="C201" s="39"/>
      <c r="D201" s="39"/>
      <c r="E201" s="39"/>
      <c r="F201" s="263"/>
      <c r="G201" s="39"/>
      <c r="H201" s="39"/>
    </row>
    <row r="202">
      <c r="A202" s="39"/>
      <c r="B202" s="39"/>
      <c r="C202" s="39"/>
      <c r="D202" s="39"/>
      <c r="E202" s="39"/>
      <c r="F202" s="263"/>
      <c r="G202" s="39"/>
      <c r="H202" s="39"/>
    </row>
    <row r="203">
      <c r="A203" s="39"/>
      <c r="B203" s="39"/>
      <c r="C203" s="39"/>
      <c r="D203" s="39"/>
      <c r="E203" s="39"/>
      <c r="F203" s="263"/>
      <c r="G203" s="39"/>
      <c r="H203" s="39"/>
    </row>
    <row r="204">
      <c r="A204" s="39"/>
      <c r="B204" s="39"/>
      <c r="C204" s="39"/>
      <c r="D204" s="39"/>
      <c r="E204" s="39"/>
      <c r="F204" s="263"/>
      <c r="G204" s="39"/>
      <c r="H204" s="39"/>
    </row>
    <row r="205">
      <c r="A205" s="39"/>
      <c r="B205" s="39"/>
      <c r="C205" s="39"/>
      <c r="D205" s="39"/>
      <c r="E205" s="39"/>
      <c r="F205" s="263"/>
      <c r="G205" s="39"/>
      <c r="H205" s="39"/>
    </row>
    <row r="206">
      <c r="A206" s="39"/>
      <c r="B206" s="39"/>
      <c r="C206" s="39"/>
      <c r="D206" s="39"/>
      <c r="E206" s="39"/>
      <c r="F206" s="263"/>
      <c r="G206" s="39"/>
      <c r="H206" s="39"/>
    </row>
    <row r="207">
      <c r="A207" s="39"/>
      <c r="B207" s="39"/>
      <c r="C207" s="39"/>
      <c r="D207" s="39"/>
      <c r="E207" s="39"/>
      <c r="F207" s="263"/>
      <c r="G207" s="39"/>
      <c r="H207" s="39"/>
    </row>
    <row r="208">
      <c r="A208" s="39"/>
      <c r="B208" s="39"/>
      <c r="C208" s="39"/>
      <c r="D208" s="39"/>
      <c r="E208" s="39"/>
      <c r="F208" s="263"/>
      <c r="G208" s="39"/>
      <c r="H208" s="39"/>
    </row>
    <row r="209">
      <c r="A209" s="39"/>
      <c r="B209" s="39"/>
      <c r="C209" s="39"/>
      <c r="D209" s="39"/>
      <c r="E209" s="39"/>
      <c r="F209" s="263"/>
      <c r="G209" s="39"/>
      <c r="H209" s="39"/>
    </row>
    <row r="210">
      <c r="A210" s="39"/>
      <c r="B210" s="39"/>
      <c r="C210" s="39"/>
      <c r="D210" s="39"/>
      <c r="E210" s="39"/>
      <c r="F210" s="263"/>
      <c r="G210" s="39"/>
      <c r="H210" s="39"/>
    </row>
    <row r="211">
      <c r="A211" s="39"/>
      <c r="B211" s="39"/>
      <c r="C211" s="39"/>
      <c r="D211" s="39"/>
      <c r="E211" s="39"/>
      <c r="F211" s="263"/>
      <c r="G211" s="39"/>
      <c r="H211" s="39"/>
    </row>
    <row r="212">
      <c r="A212" s="39"/>
      <c r="B212" s="39"/>
      <c r="C212" s="39"/>
      <c r="D212" s="39"/>
      <c r="E212" s="39"/>
      <c r="F212" s="263"/>
      <c r="G212" s="39"/>
      <c r="H212" s="39"/>
    </row>
    <row r="213">
      <c r="A213" s="39"/>
      <c r="B213" s="39"/>
      <c r="C213" s="39"/>
      <c r="D213" s="39"/>
      <c r="E213" s="39"/>
      <c r="F213" s="263"/>
      <c r="G213" s="39"/>
      <c r="H213" s="39"/>
    </row>
    <row r="214">
      <c r="A214" s="39"/>
      <c r="B214" s="39"/>
      <c r="C214" s="39"/>
      <c r="D214" s="39"/>
      <c r="E214" s="39"/>
      <c r="F214" s="263"/>
      <c r="G214" s="39"/>
      <c r="H214" s="39"/>
    </row>
    <row r="215">
      <c r="A215" s="39"/>
      <c r="B215" s="39"/>
      <c r="C215" s="39"/>
      <c r="D215" s="39"/>
      <c r="E215" s="39"/>
      <c r="F215" s="263"/>
      <c r="G215" s="39"/>
      <c r="H215" s="39"/>
    </row>
    <row r="216">
      <c r="A216" s="39"/>
      <c r="B216" s="39"/>
      <c r="C216" s="39"/>
      <c r="D216" s="39"/>
      <c r="E216" s="39"/>
      <c r="F216" s="263"/>
      <c r="G216" s="39"/>
      <c r="H216" s="39"/>
    </row>
    <row r="217">
      <c r="A217" s="39"/>
      <c r="B217" s="39"/>
      <c r="C217" s="39"/>
      <c r="D217" s="39"/>
      <c r="E217" s="39"/>
      <c r="F217" s="263"/>
      <c r="G217" s="39"/>
      <c r="H217" s="39"/>
    </row>
    <row r="218">
      <c r="A218" s="39"/>
      <c r="B218" s="39"/>
      <c r="C218" s="39"/>
      <c r="D218" s="39"/>
      <c r="E218" s="39"/>
      <c r="F218" s="263"/>
      <c r="G218" s="39"/>
      <c r="H218" s="39"/>
    </row>
    <row r="219">
      <c r="A219" s="39"/>
      <c r="B219" s="39"/>
      <c r="C219" s="39"/>
      <c r="D219" s="39"/>
      <c r="E219" s="39"/>
      <c r="F219" s="263"/>
      <c r="G219" s="39"/>
      <c r="H219" s="39"/>
    </row>
    <row r="220">
      <c r="A220" s="39"/>
      <c r="B220" s="39"/>
      <c r="C220" s="39"/>
      <c r="D220" s="39"/>
      <c r="E220" s="39"/>
      <c r="F220" s="263"/>
      <c r="G220" s="39"/>
      <c r="H220" s="39"/>
    </row>
    <row r="221">
      <c r="A221" s="39"/>
      <c r="B221" s="39"/>
      <c r="C221" s="39"/>
      <c r="D221" s="39"/>
      <c r="E221" s="39"/>
      <c r="F221" s="263"/>
      <c r="G221" s="39"/>
      <c r="H221" s="39"/>
    </row>
    <row r="222">
      <c r="A222" s="39"/>
      <c r="B222" s="39"/>
      <c r="C222" s="39"/>
      <c r="D222" s="39"/>
      <c r="E222" s="39"/>
      <c r="F222" s="263"/>
      <c r="G222" s="39"/>
      <c r="H222" s="39"/>
    </row>
    <row r="223">
      <c r="A223" s="39"/>
      <c r="B223" s="39"/>
      <c r="C223" s="39"/>
      <c r="D223" s="39"/>
      <c r="E223" s="39"/>
      <c r="F223" s="263"/>
      <c r="G223" s="39"/>
      <c r="H223" s="39"/>
    </row>
    <row r="224">
      <c r="A224" s="39"/>
      <c r="B224" s="39"/>
      <c r="C224" s="39"/>
      <c r="D224" s="39"/>
      <c r="E224" s="39"/>
      <c r="F224" s="263"/>
      <c r="G224" s="39"/>
      <c r="H224" s="39"/>
    </row>
    <row r="225">
      <c r="A225" s="39"/>
      <c r="B225" s="39"/>
      <c r="C225" s="39"/>
      <c r="D225" s="39"/>
      <c r="E225" s="39"/>
      <c r="F225" s="263"/>
      <c r="G225" s="39"/>
      <c r="H225" s="39"/>
    </row>
    <row r="226">
      <c r="A226" s="39"/>
      <c r="B226" s="39"/>
      <c r="C226" s="39"/>
      <c r="D226" s="39"/>
      <c r="E226" s="39"/>
      <c r="F226" s="263"/>
      <c r="G226" s="39"/>
      <c r="H226" s="39"/>
    </row>
    <row r="227">
      <c r="A227" s="39"/>
      <c r="B227" s="39"/>
      <c r="C227" s="39"/>
      <c r="D227" s="39"/>
      <c r="E227" s="39"/>
      <c r="F227" s="263"/>
      <c r="G227" s="39"/>
      <c r="H227" s="39"/>
    </row>
    <row r="228">
      <c r="A228" s="39"/>
      <c r="B228" s="39"/>
      <c r="C228" s="39"/>
      <c r="D228" s="39"/>
      <c r="E228" s="39"/>
      <c r="F228" s="263"/>
      <c r="G228" s="39"/>
      <c r="H228" s="39"/>
    </row>
    <row r="229">
      <c r="A229" s="39"/>
      <c r="B229" s="39"/>
      <c r="C229" s="39"/>
      <c r="D229" s="39"/>
      <c r="E229" s="39"/>
      <c r="F229" s="263"/>
      <c r="G229" s="39"/>
      <c r="H229" s="39"/>
    </row>
    <row r="230">
      <c r="A230" s="39"/>
      <c r="B230" s="39"/>
      <c r="C230" s="39"/>
      <c r="D230" s="39"/>
      <c r="E230" s="39"/>
      <c r="F230" s="263"/>
      <c r="G230" s="39"/>
      <c r="H230" s="39"/>
    </row>
    <row r="231">
      <c r="A231" s="39"/>
      <c r="B231" s="39"/>
      <c r="C231" s="39"/>
      <c r="D231" s="39"/>
      <c r="E231" s="39"/>
      <c r="F231" s="263"/>
      <c r="G231" s="39"/>
      <c r="H231" s="39"/>
    </row>
    <row r="232">
      <c r="A232" s="39"/>
      <c r="B232" s="39"/>
      <c r="C232" s="39"/>
      <c r="D232" s="39"/>
      <c r="E232" s="39"/>
      <c r="F232" s="263"/>
      <c r="G232" s="39"/>
      <c r="H232" s="39"/>
    </row>
    <row r="233">
      <c r="A233" s="39"/>
      <c r="B233" s="39"/>
      <c r="C233" s="39"/>
      <c r="D233" s="39"/>
      <c r="E233" s="39"/>
      <c r="F233" s="263"/>
      <c r="G233" s="39"/>
      <c r="H233" s="39"/>
    </row>
    <row r="234">
      <c r="A234" s="39"/>
      <c r="B234" s="39"/>
      <c r="C234" s="39"/>
      <c r="D234" s="39"/>
      <c r="E234" s="39"/>
      <c r="F234" s="263"/>
      <c r="G234" s="39"/>
      <c r="H234" s="39"/>
    </row>
    <row r="235">
      <c r="A235" s="39"/>
      <c r="B235" s="39"/>
      <c r="C235" s="39"/>
      <c r="D235" s="39"/>
      <c r="E235" s="39"/>
      <c r="F235" s="263"/>
      <c r="G235" s="39"/>
      <c r="H235" s="39"/>
    </row>
    <row r="236">
      <c r="A236" s="39"/>
      <c r="B236" s="39"/>
      <c r="C236" s="39"/>
      <c r="D236" s="39"/>
      <c r="E236" s="39"/>
      <c r="F236" s="263"/>
      <c r="G236" s="39"/>
      <c r="H236" s="39"/>
    </row>
    <row r="237">
      <c r="A237" s="39"/>
      <c r="B237" s="39"/>
      <c r="C237" s="39"/>
      <c r="D237" s="39"/>
      <c r="E237" s="39"/>
      <c r="F237" s="263"/>
      <c r="G237" s="39"/>
      <c r="H237" s="39"/>
    </row>
    <row r="238">
      <c r="A238" s="39"/>
      <c r="B238" s="39"/>
      <c r="C238" s="39"/>
      <c r="D238" s="39"/>
      <c r="E238" s="39"/>
      <c r="F238" s="263"/>
      <c r="G238" s="39"/>
      <c r="H238" s="39"/>
    </row>
    <row r="239">
      <c r="A239" s="39"/>
      <c r="B239" s="39"/>
      <c r="C239" s="39"/>
      <c r="D239" s="39"/>
      <c r="E239" s="39"/>
      <c r="F239" s="263"/>
      <c r="G239" s="39"/>
      <c r="H239" s="39"/>
    </row>
    <row r="240">
      <c r="A240" s="39"/>
      <c r="B240" s="39"/>
      <c r="C240" s="39"/>
      <c r="D240" s="39"/>
      <c r="E240" s="39"/>
      <c r="F240" s="263"/>
      <c r="G240" s="39"/>
      <c r="H240" s="39"/>
    </row>
    <row r="241">
      <c r="A241" s="39"/>
      <c r="B241" s="39"/>
      <c r="C241" s="39"/>
      <c r="D241" s="39"/>
      <c r="E241" s="39"/>
      <c r="F241" s="263"/>
      <c r="G241" s="39"/>
      <c r="H241" s="39"/>
    </row>
    <row r="242">
      <c r="A242" s="39"/>
      <c r="B242" s="39"/>
      <c r="C242" s="39"/>
      <c r="D242" s="39"/>
      <c r="E242" s="39"/>
      <c r="F242" s="263"/>
      <c r="G242" s="39"/>
      <c r="H242" s="39"/>
    </row>
    <row r="243">
      <c r="A243" s="39"/>
      <c r="B243" s="39"/>
      <c r="C243" s="39"/>
      <c r="D243" s="39"/>
      <c r="E243" s="39"/>
      <c r="F243" s="263"/>
      <c r="G243" s="39"/>
      <c r="H243" s="39"/>
    </row>
    <row r="244">
      <c r="A244" s="39"/>
      <c r="B244" s="39"/>
      <c r="C244" s="39"/>
      <c r="D244" s="39"/>
      <c r="E244" s="39"/>
      <c r="F244" s="263"/>
      <c r="G244" s="39"/>
      <c r="H244" s="39"/>
    </row>
    <row r="245">
      <c r="A245" s="39"/>
      <c r="B245" s="39"/>
      <c r="C245" s="39"/>
      <c r="D245" s="39"/>
      <c r="E245" s="39"/>
      <c r="F245" s="263"/>
      <c r="G245" s="39"/>
      <c r="H245" s="39"/>
    </row>
    <row r="246">
      <c r="A246" s="39"/>
      <c r="B246" s="39"/>
      <c r="C246" s="39"/>
      <c r="D246" s="39"/>
      <c r="E246" s="39"/>
      <c r="F246" s="263"/>
      <c r="G246" s="39"/>
      <c r="H246" s="39"/>
    </row>
    <row r="247">
      <c r="A247" s="39"/>
      <c r="B247" s="39"/>
      <c r="C247" s="39"/>
      <c r="D247" s="39"/>
      <c r="E247" s="39"/>
      <c r="F247" s="263"/>
      <c r="G247" s="39"/>
      <c r="H247" s="39"/>
    </row>
    <row r="248">
      <c r="A248" s="39"/>
      <c r="B248" s="39"/>
      <c r="C248" s="39"/>
      <c r="D248" s="39"/>
      <c r="E248" s="39"/>
      <c r="F248" s="263"/>
      <c r="G248" s="39"/>
      <c r="H248" s="39"/>
    </row>
    <row r="249">
      <c r="A249" s="39"/>
      <c r="B249" s="39"/>
      <c r="C249" s="39"/>
      <c r="D249" s="39"/>
      <c r="E249" s="39"/>
      <c r="F249" s="263"/>
      <c r="G249" s="39"/>
      <c r="H249" s="39"/>
    </row>
    <row r="250">
      <c r="A250" s="39"/>
      <c r="B250" s="39"/>
      <c r="C250" s="39"/>
      <c r="D250" s="39"/>
      <c r="E250" s="39"/>
      <c r="F250" s="263"/>
      <c r="G250" s="39"/>
      <c r="H250" s="39"/>
    </row>
    <row r="251">
      <c r="A251" s="39"/>
      <c r="B251" s="39"/>
      <c r="C251" s="39"/>
      <c r="D251" s="39"/>
      <c r="E251" s="39"/>
      <c r="F251" s="263"/>
      <c r="G251" s="39"/>
      <c r="H251" s="39"/>
    </row>
    <row r="252">
      <c r="A252" s="39"/>
      <c r="B252" s="39"/>
      <c r="C252" s="39"/>
      <c r="D252" s="39"/>
      <c r="E252" s="39"/>
      <c r="F252" s="263"/>
      <c r="G252" s="39"/>
      <c r="H252" s="39"/>
    </row>
    <row r="253">
      <c r="A253" s="39"/>
      <c r="B253" s="39"/>
      <c r="C253" s="39"/>
      <c r="D253" s="39"/>
      <c r="E253" s="39"/>
      <c r="F253" s="263"/>
      <c r="G253" s="39"/>
      <c r="H253" s="39"/>
    </row>
    <row r="254">
      <c r="A254" s="39"/>
      <c r="B254" s="39"/>
      <c r="C254" s="39"/>
      <c r="D254" s="39"/>
      <c r="E254" s="39"/>
      <c r="F254" s="263"/>
      <c r="G254" s="39"/>
      <c r="H254" s="39"/>
    </row>
    <row r="255">
      <c r="A255" s="39"/>
      <c r="B255" s="39"/>
      <c r="C255" s="39"/>
      <c r="D255" s="39"/>
      <c r="E255" s="39"/>
      <c r="F255" s="263"/>
      <c r="G255" s="39"/>
      <c r="H255" s="39"/>
    </row>
    <row r="256">
      <c r="A256" s="39"/>
      <c r="B256" s="39"/>
      <c r="C256" s="39"/>
      <c r="D256" s="39"/>
      <c r="E256" s="39"/>
      <c r="F256" s="263"/>
      <c r="G256" s="39"/>
      <c r="H256" s="39"/>
    </row>
    <row r="257">
      <c r="A257" s="39"/>
      <c r="B257" s="39"/>
      <c r="C257" s="39"/>
      <c r="D257" s="39"/>
      <c r="E257" s="39"/>
      <c r="F257" s="263"/>
      <c r="G257" s="39"/>
      <c r="H257" s="39"/>
    </row>
    <row r="258">
      <c r="A258" s="39"/>
      <c r="B258" s="39"/>
      <c r="C258" s="39"/>
      <c r="D258" s="39"/>
      <c r="E258" s="39"/>
      <c r="F258" s="263"/>
      <c r="G258" s="39"/>
      <c r="H258" s="39"/>
    </row>
    <row r="259">
      <c r="A259" s="39"/>
      <c r="B259" s="39"/>
      <c r="C259" s="39"/>
      <c r="D259" s="39"/>
      <c r="E259" s="39"/>
      <c r="F259" s="263"/>
      <c r="G259" s="39"/>
      <c r="H259" s="39"/>
    </row>
    <row r="260">
      <c r="A260" s="39"/>
      <c r="B260" s="39"/>
      <c r="C260" s="39"/>
      <c r="D260" s="39"/>
      <c r="E260" s="39"/>
      <c r="F260" s="263"/>
      <c r="G260" s="39"/>
      <c r="H260" s="39"/>
    </row>
    <row r="261">
      <c r="A261" s="39"/>
      <c r="B261" s="39"/>
      <c r="C261" s="39"/>
      <c r="D261" s="39"/>
      <c r="E261" s="39"/>
      <c r="F261" s="263"/>
      <c r="G261" s="39"/>
      <c r="H261" s="39"/>
    </row>
    <row r="262">
      <c r="A262" s="39"/>
      <c r="B262" s="39"/>
      <c r="C262" s="39"/>
      <c r="D262" s="39"/>
      <c r="E262" s="39"/>
      <c r="F262" s="263"/>
      <c r="G262" s="39"/>
      <c r="H262" s="39"/>
    </row>
    <row r="263">
      <c r="A263" s="39"/>
      <c r="B263" s="39"/>
      <c r="C263" s="39"/>
      <c r="D263" s="39"/>
      <c r="E263" s="39"/>
      <c r="F263" s="263"/>
      <c r="G263" s="39"/>
      <c r="H263" s="39"/>
    </row>
    <row r="264">
      <c r="A264" s="39"/>
      <c r="B264" s="39"/>
      <c r="C264" s="39"/>
      <c r="D264" s="39"/>
      <c r="E264" s="39"/>
      <c r="F264" s="263"/>
      <c r="G264" s="39"/>
      <c r="H264" s="39"/>
    </row>
    <row r="265">
      <c r="A265" s="39"/>
      <c r="B265" s="39"/>
      <c r="C265" s="39"/>
      <c r="D265" s="39"/>
      <c r="E265" s="39"/>
      <c r="F265" s="263"/>
      <c r="G265" s="39"/>
      <c r="H265" s="39"/>
    </row>
    <row r="266">
      <c r="A266" s="39"/>
      <c r="B266" s="39"/>
      <c r="C266" s="39"/>
      <c r="D266" s="39"/>
      <c r="E266" s="39"/>
      <c r="F266" s="263"/>
      <c r="G266" s="39"/>
      <c r="H266" s="39"/>
    </row>
    <row r="267">
      <c r="A267" s="39"/>
      <c r="B267" s="39"/>
      <c r="C267" s="39"/>
      <c r="D267" s="39"/>
      <c r="E267" s="39"/>
      <c r="F267" s="263"/>
      <c r="G267" s="39"/>
      <c r="H267" s="39"/>
    </row>
    <row r="268">
      <c r="A268" s="39"/>
      <c r="B268" s="39"/>
      <c r="C268" s="39"/>
      <c r="D268" s="39"/>
      <c r="E268" s="39"/>
      <c r="F268" s="263"/>
      <c r="G268" s="39"/>
      <c r="H268" s="39"/>
    </row>
    <row r="269">
      <c r="A269" s="39"/>
      <c r="B269" s="39"/>
      <c r="C269" s="39"/>
      <c r="D269" s="39"/>
      <c r="E269" s="39"/>
      <c r="F269" s="263"/>
      <c r="G269" s="39"/>
      <c r="H269" s="39"/>
    </row>
    <row r="270">
      <c r="A270" s="39"/>
      <c r="B270" s="39"/>
      <c r="C270" s="39"/>
      <c r="D270" s="39"/>
      <c r="E270" s="39"/>
      <c r="F270" s="263"/>
      <c r="G270" s="39"/>
      <c r="H270" s="39"/>
    </row>
    <row r="271">
      <c r="A271" s="39"/>
      <c r="B271" s="39"/>
      <c r="C271" s="39"/>
      <c r="D271" s="39"/>
      <c r="E271" s="39"/>
      <c r="F271" s="263"/>
      <c r="G271" s="39"/>
      <c r="H271" s="39"/>
    </row>
    <row r="272">
      <c r="A272" s="39"/>
      <c r="B272" s="39"/>
      <c r="C272" s="39"/>
      <c r="D272" s="39"/>
      <c r="E272" s="39"/>
      <c r="F272" s="263"/>
      <c r="G272" s="39"/>
      <c r="H272" s="39"/>
    </row>
    <row r="273">
      <c r="A273" s="39"/>
      <c r="B273" s="39"/>
      <c r="C273" s="39"/>
      <c r="D273" s="39"/>
      <c r="E273" s="39"/>
      <c r="F273" s="263"/>
      <c r="G273" s="39"/>
      <c r="H273" s="39"/>
    </row>
    <row r="274">
      <c r="A274" s="39"/>
      <c r="B274" s="39"/>
      <c r="C274" s="39"/>
      <c r="D274" s="39"/>
      <c r="E274" s="39"/>
      <c r="F274" s="263"/>
      <c r="G274" s="39"/>
      <c r="H274" s="39"/>
    </row>
    <row r="275">
      <c r="A275" s="39"/>
      <c r="B275" s="39"/>
      <c r="C275" s="39"/>
      <c r="D275" s="39"/>
      <c r="E275" s="39"/>
      <c r="F275" s="263"/>
      <c r="G275" s="39"/>
      <c r="H275" s="39"/>
    </row>
    <row r="276">
      <c r="A276" s="39"/>
      <c r="B276" s="39"/>
      <c r="C276" s="39"/>
      <c r="D276" s="39"/>
      <c r="E276" s="39"/>
      <c r="F276" s="263"/>
      <c r="G276" s="39"/>
      <c r="H276" s="39"/>
    </row>
    <row r="277">
      <c r="A277" s="39"/>
      <c r="B277" s="39"/>
      <c r="C277" s="39"/>
      <c r="D277" s="39"/>
      <c r="E277" s="39"/>
      <c r="F277" s="263"/>
      <c r="G277" s="39"/>
      <c r="H277" s="39"/>
    </row>
    <row r="278">
      <c r="A278" s="39"/>
      <c r="B278" s="39"/>
      <c r="C278" s="39"/>
      <c r="D278" s="39"/>
      <c r="E278" s="39"/>
      <c r="F278" s="263"/>
      <c r="G278" s="39"/>
      <c r="H278" s="39"/>
    </row>
    <row r="279">
      <c r="A279" s="39"/>
      <c r="B279" s="39"/>
      <c r="C279" s="39"/>
      <c r="D279" s="39"/>
      <c r="E279" s="39"/>
      <c r="F279" s="263"/>
      <c r="G279" s="39"/>
      <c r="H279" s="39"/>
    </row>
    <row r="280">
      <c r="A280" s="39"/>
      <c r="B280" s="39"/>
      <c r="C280" s="39"/>
      <c r="D280" s="39"/>
      <c r="E280" s="39"/>
      <c r="F280" s="263"/>
      <c r="G280" s="39"/>
      <c r="H280" s="39"/>
    </row>
    <row r="281">
      <c r="A281" s="39"/>
      <c r="B281" s="39"/>
      <c r="C281" s="39"/>
      <c r="D281" s="39"/>
      <c r="E281" s="39"/>
      <c r="F281" s="263"/>
      <c r="G281" s="39"/>
      <c r="H281" s="39"/>
    </row>
    <row r="282">
      <c r="A282" s="39"/>
      <c r="B282" s="39"/>
      <c r="C282" s="39"/>
      <c r="D282" s="39"/>
      <c r="E282" s="39"/>
      <c r="F282" s="263"/>
      <c r="G282" s="39"/>
      <c r="H282" s="39"/>
    </row>
    <row r="283">
      <c r="A283" s="39"/>
      <c r="B283" s="39"/>
      <c r="C283" s="39"/>
      <c r="D283" s="39"/>
      <c r="E283" s="39"/>
      <c r="F283" s="263"/>
      <c r="G283" s="39"/>
      <c r="H283" s="39"/>
    </row>
    <row r="284">
      <c r="A284" s="39"/>
      <c r="B284" s="39"/>
      <c r="C284" s="39"/>
      <c r="D284" s="39"/>
      <c r="E284" s="39"/>
      <c r="F284" s="263"/>
      <c r="G284" s="39"/>
      <c r="H284" s="39"/>
    </row>
    <row r="285">
      <c r="A285" s="39"/>
      <c r="B285" s="39"/>
      <c r="C285" s="39"/>
      <c r="D285" s="39"/>
      <c r="E285" s="39"/>
      <c r="F285" s="263"/>
      <c r="G285" s="39"/>
      <c r="H285" s="39"/>
    </row>
    <row r="286">
      <c r="A286" s="39"/>
      <c r="B286" s="39"/>
      <c r="C286" s="39"/>
      <c r="D286" s="39"/>
      <c r="E286" s="39"/>
      <c r="F286" s="263"/>
      <c r="G286" s="39"/>
      <c r="H286" s="39"/>
    </row>
    <row r="287">
      <c r="A287" s="39"/>
      <c r="B287" s="39"/>
      <c r="C287" s="39"/>
      <c r="D287" s="39"/>
      <c r="E287" s="39"/>
      <c r="F287" s="263"/>
      <c r="G287" s="39"/>
      <c r="H287" s="39"/>
    </row>
    <row r="288">
      <c r="A288" s="39"/>
      <c r="B288" s="39"/>
      <c r="C288" s="39"/>
      <c r="D288" s="39"/>
      <c r="E288" s="39"/>
      <c r="F288" s="263"/>
      <c r="G288" s="39"/>
      <c r="H288" s="39"/>
    </row>
    <row r="289">
      <c r="A289" s="39"/>
      <c r="B289" s="39"/>
      <c r="C289" s="39"/>
      <c r="D289" s="39"/>
      <c r="E289" s="39"/>
      <c r="F289" s="263"/>
      <c r="G289" s="39"/>
      <c r="H289" s="39"/>
    </row>
    <row r="290">
      <c r="A290" s="39"/>
      <c r="B290" s="39"/>
      <c r="C290" s="39"/>
      <c r="D290" s="39"/>
      <c r="E290" s="39"/>
      <c r="F290" s="263"/>
      <c r="G290" s="39"/>
      <c r="H290" s="39"/>
    </row>
    <row r="291">
      <c r="A291" s="39"/>
      <c r="B291" s="39"/>
      <c r="C291" s="39"/>
      <c r="D291" s="39"/>
      <c r="E291" s="39"/>
      <c r="F291" s="263"/>
      <c r="G291" s="39"/>
      <c r="H291" s="39"/>
    </row>
    <row r="292">
      <c r="A292" s="39"/>
      <c r="B292" s="39"/>
      <c r="C292" s="39"/>
      <c r="D292" s="39"/>
      <c r="E292" s="39"/>
      <c r="F292" s="263"/>
      <c r="G292" s="39"/>
      <c r="H292" s="39"/>
    </row>
    <row r="293">
      <c r="A293" s="39"/>
      <c r="B293" s="39"/>
      <c r="C293" s="39"/>
      <c r="D293" s="39"/>
      <c r="E293" s="39"/>
      <c r="F293" s="263"/>
      <c r="G293" s="39"/>
      <c r="H293" s="39"/>
    </row>
    <row r="294">
      <c r="A294" s="39"/>
      <c r="B294" s="39"/>
      <c r="C294" s="39"/>
      <c r="D294" s="39"/>
      <c r="E294" s="39"/>
      <c r="F294" s="263"/>
      <c r="G294" s="39"/>
      <c r="H294" s="39"/>
    </row>
    <row r="295">
      <c r="A295" s="39"/>
      <c r="B295" s="39"/>
      <c r="C295" s="39"/>
      <c r="D295" s="39"/>
      <c r="E295" s="39"/>
      <c r="F295" s="263"/>
      <c r="G295" s="39"/>
      <c r="H295" s="39"/>
    </row>
    <row r="296">
      <c r="A296" s="39"/>
      <c r="B296" s="39"/>
      <c r="C296" s="39"/>
      <c r="D296" s="39"/>
      <c r="E296" s="39"/>
      <c r="F296" s="263"/>
      <c r="G296" s="39"/>
      <c r="H296" s="39"/>
    </row>
    <row r="297">
      <c r="A297" s="39"/>
      <c r="B297" s="39"/>
      <c r="C297" s="39"/>
      <c r="D297" s="39"/>
      <c r="E297" s="39"/>
      <c r="F297" s="263"/>
      <c r="G297" s="39"/>
      <c r="H297" s="39"/>
    </row>
    <row r="298">
      <c r="A298" s="39"/>
      <c r="B298" s="39"/>
      <c r="C298" s="39"/>
      <c r="D298" s="39"/>
      <c r="E298" s="39"/>
      <c r="F298" s="263"/>
      <c r="G298" s="39"/>
      <c r="H298" s="39"/>
    </row>
    <row r="299">
      <c r="A299" s="39"/>
      <c r="B299" s="39"/>
      <c r="C299" s="39"/>
      <c r="D299" s="39"/>
      <c r="E299" s="39"/>
      <c r="F299" s="263"/>
      <c r="G299" s="39"/>
      <c r="H299" s="39"/>
    </row>
    <row r="300">
      <c r="A300" s="39"/>
      <c r="B300" s="39"/>
      <c r="C300" s="39"/>
      <c r="D300" s="39"/>
      <c r="E300" s="39"/>
      <c r="F300" s="263"/>
      <c r="G300" s="39"/>
      <c r="H300" s="39"/>
    </row>
    <row r="301">
      <c r="A301" s="39"/>
      <c r="B301" s="39"/>
      <c r="C301" s="39"/>
      <c r="D301" s="39"/>
      <c r="E301" s="39"/>
      <c r="F301" s="263"/>
      <c r="G301" s="39"/>
      <c r="H301" s="39"/>
    </row>
    <row r="302">
      <c r="A302" s="39"/>
      <c r="B302" s="39"/>
      <c r="C302" s="39"/>
      <c r="D302" s="39"/>
      <c r="E302" s="39"/>
      <c r="F302" s="263"/>
      <c r="G302" s="39"/>
      <c r="H302" s="39"/>
    </row>
    <row r="303">
      <c r="A303" s="39"/>
      <c r="B303" s="39"/>
      <c r="C303" s="39"/>
      <c r="D303" s="39"/>
      <c r="E303" s="39"/>
      <c r="F303" s="263"/>
      <c r="G303" s="39"/>
      <c r="H303" s="39"/>
    </row>
    <row r="304">
      <c r="A304" s="39"/>
      <c r="B304" s="39"/>
      <c r="C304" s="39"/>
      <c r="D304" s="39"/>
      <c r="E304" s="39"/>
      <c r="F304" s="263"/>
      <c r="G304" s="39"/>
      <c r="H304" s="39"/>
    </row>
    <row r="305">
      <c r="A305" s="39"/>
      <c r="B305" s="39"/>
      <c r="C305" s="39"/>
      <c r="D305" s="39"/>
      <c r="E305" s="39"/>
      <c r="F305" s="263"/>
      <c r="G305" s="39"/>
      <c r="H305" s="39"/>
    </row>
    <row r="306">
      <c r="A306" s="39"/>
      <c r="B306" s="39"/>
      <c r="C306" s="39"/>
      <c r="D306" s="39"/>
      <c r="E306" s="39"/>
      <c r="F306" s="263"/>
      <c r="G306" s="39"/>
      <c r="H306" s="39"/>
    </row>
    <row r="307">
      <c r="A307" s="39"/>
      <c r="B307" s="39"/>
      <c r="C307" s="39"/>
      <c r="D307" s="39"/>
      <c r="E307" s="39"/>
      <c r="F307" s="263"/>
      <c r="G307" s="39"/>
      <c r="H307" s="39"/>
    </row>
    <row r="308">
      <c r="A308" s="39"/>
      <c r="B308" s="39"/>
      <c r="C308" s="39"/>
      <c r="D308" s="39"/>
      <c r="E308" s="39"/>
      <c r="F308" s="263"/>
      <c r="G308" s="39"/>
      <c r="H308" s="39"/>
    </row>
    <row r="309">
      <c r="A309" s="39"/>
      <c r="B309" s="39"/>
      <c r="C309" s="39"/>
      <c r="D309" s="39"/>
      <c r="E309" s="39"/>
      <c r="F309" s="263"/>
      <c r="G309" s="39"/>
      <c r="H309" s="39"/>
    </row>
    <row r="310">
      <c r="A310" s="39"/>
      <c r="B310" s="39"/>
      <c r="C310" s="39"/>
      <c r="D310" s="39"/>
      <c r="E310" s="39"/>
      <c r="F310" s="263"/>
      <c r="G310" s="39"/>
      <c r="H310" s="39"/>
    </row>
    <row r="311">
      <c r="A311" s="39"/>
      <c r="B311" s="39"/>
      <c r="C311" s="39"/>
      <c r="D311" s="39"/>
      <c r="E311" s="39"/>
      <c r="F311" s="263"/>
      <c r="G311" s="39"/>
      <c r="H311" s="39"/>
    </row>
    <row r="312">
      <c r="A312" s="39"/>
      <c r="B312" s="39"/>
      <c r="C312" s="39"/>
      <c r="D312" s="39"/>
      <c r="E312" s="39"/>
      <c r="F312" s="263"/>
      <c r="G312" s="39"/>
      <c r="H312" s="39"/>
    </row>
    <row r="313">
      <c r="A313" s="39"/>
      <c r="B313" s="39"/>
      <c r="C313" s="39"/>
      <c r="D313" s="39"/>
      <c r="E313" s="39"/>
      <c r="F313" s="263"/>
      <c r="G313" s="39"/>
      <c r="H313" s="39"/>
    </row>
    <row r="314">
      <c r="A314" s="39"/>
      <c r="B314" s="39"/>
      <c r="C314" s="39"/>
      <c r="D314" s="39"/>
      <c r="E314" s="39"/>
      <c r="F314" s="263"/>
      <c r="G314" s="39"/>
      <c r="H314" s="39"/>
    </row>
    <row r="315">
      <c r="A315" s="39"/>
      <c r="B315" s="39"/>
      <c r="C315" s="39"/>
      <c r="D315" s="39"/>
      <c r="E315" s="39"/>
      <c r="F315" s="263"/>
      <c r="G315" s="39"/>
      <c r="H315" s="39"/>
    </row>
    <row r="316">
      <c r="A316" s="39"/>
      <c r="B316" s="39"/>
      <c r="C316" s="39"/>
      <c r="D316" s="39"/>
      <c r="E316" s="39"/>
      <c r="F316" s="263"/>
      <c r="G316" s="39"/>
      <c r="H316" s="39"/>
    </row>
    <row r="317">
      <c r="A317" s="39"/>
      <c r="B317" s="39"/>
      <c r="C317" s="39"/>
      <c r="D317" s="39"/>
      <c r="E317" s="39"/>
      <c r="F317" s="263"/>
      <c r="G317" s="39"/>
      <c r="H317" s="39"/>
    </row>
    <row r="318">
      <c r="A318" s="39"/>
      <c r="B318" s="39"/>
      <c r="C318" s="39"/>
      <c r="D318" s="39"/>
      <c r="E318" s="39"/>
      <c r="F318" s="263"/>
      <c r="G318" s="39"/>
      <c r="H318" s="39"/>
    </row>
    <row r="319">
      <c r="A319" s="39"/>
      <c r="B319" s="39"/>
      <c r="C319" s="39"/>
      <c r="D319" s="39"/>
      <c r="E319" s="39"/>
      <c r="F319" s="263"/>
      <c r="G319" s="39"/>
      <c r="H319" s="39"/>
    </row>
    <row r="320">
      <c r="A320" s="39"/>
      <c r="B320" s="39"/>
      <c r="C320" s="39"/>
      <c r="D320" s="39"/>
      <c r="E320" s="39"/>
      <c r="F320" s="263"/>
      <c r="G320" s="39"/>
      <c r="H320" s="39"/>
    </row>
    <row r="321">
      <c r="A321" s="39"/>
      <c r="B321" s="39"/>
      <c r="C321" s="39"/>
      <c r="D321" s="39"/>
      <c r="E321" s="39"/>
      <c r="F321" s="263"/>
      <c r="G321" s="39"/>
      <c r="H321" s="39"/>
    </row>
    <row r="322">
      <c r="A322" s="39"/>
      <c r="B322" s="39"/>
      <c r="C322" s="39"/>
      <c r="D322" s="39"/>
      <c r="E322" s="39"/>
      <c r="F322" s="263"/>
      <c r="G322" s="39"/>
      <c r="H322" s="39"/>
    </row>
    <row r="323">
      <c r="A323" s="39"/>
      <c r="B323" s="39"/>
      <c r="C323" s="39"/>
      <c r="D323" s="39"/>
      <c r="E323" s="39"/>
      <c r="F323" s="263"/>
      <c r="G323" s="39"/>
      <c r="H323" s="39"/>
    </row>
    <row r="324">
      <c r="A324" s="39"/>
      <c r="B324" s="39"/>
      <c r="C324" s="39"/>
      <c r="D324" s="39"/>
      <c r="E324" s="39"/>
      <c r="F324" s="263"/>
      <c r="G324" s="39"/>
      <c r="H324" s="39"/>
    </row>
    <row r="325">
      <c r="A325" s="39"/>
      <c r="B325" s="39"/>
      <c r="C325" s="39"/>
      <c r="D325" s="39"/>
      <c r="E325" s="39"/>
      <c r="F325" s="263"/>
      <c r="G325" s="39"/>
      <c r="H325" s="39"/>
    </row>
    <row r="326">
      <c r="A326" s="39"/>
      <c r="B326" s="39"/>
      <c r="C326" s="39"/>
      <c r="D326" s="39"/>
      <c r="E326" s="39"/>
      <c r="F326" s="263"/>
      <c r="G326" s="39"/>
      <c r="H326" s="39"/>
    </row>
    <row r="327">
      <c r="A327" s="39"/>
      <c r="B327" s="39"/>
      <c r="C327" s="39"/>
      <c r="D327" s="39"/>
      <c r="E327" s="39"/>
      <c r="F327" s="263"/>
      <c r="G327" s="39"/>
      <c r="H327" s="39"/>
    </row>
    <row r="328">
      <c r="A328" s="39"/>
      <c r="B328" s="39"/>
      <c r="C328" s="39"/>
      <c r="D328" s="39"/>
      <c r="E328" s="39"/>
      <c r="F328" s="263"/>
      <c r="G328" s="39"/>
      <c r="H328" s="39"/>
    </row>
    <row r="329">
      <c r="A329" s="39"/>
      <c r="B329" s="39"/>
      <c r="C329" s="39"/>
      <c r="D329" s="39"/>
      <c r="E329" s="39"/>
      <c r="F329" s="263"/>
      <c r="G329" s="39"/>
      <c r="H329" s="39"/>
    </row>
    <row r="330">
      <c r="A330" s="39"/>
      <c r="B330" s="39"/>
      <c r="C330" s="39"/>
      <c r="D330" s="39"/>
      <c r="E330" s="39"/>
      <c r="F330" s="263"/>
      <c r="G330" s="39"/>
      <c r="H330" s="39"/>
    </row>
    <row r="331">
      <c r="A331" s="39"/>
      <c r="B331" s="39"/>
      <c r="C331" s="39"/>
      <c r="D331" s="39"/>
      <c r="E331" s="39"/>
      <c r="F331" s="263"/>
      <c r="G331" s="39"/>
      <c r="H331" s="39"/>
    </row>
    <row r="332">
      <c r="A332" s="39"/>
      <c r="B332" s="39"/>
      <c r="C332" s="39"/>
      <c r="D332" s="39"/>
      <c r="E332" s="39"/>
      <c r="F332" s="263"/>
      <c r="G332" s="39"/>
      <c r="H332" s="39"/>
    </row>
    <row r="333">
      <c r="A333" s="39"/>
      <c r="B333" s="39"/>
      <c r="C333" s="39"/>
      <c r="D333" s="39"/>
      <c r="E333" s="39"/>
      <c r="F333" s="263"/>
      <c r="G333" s="39"/>
      <c r="H333" s="39"/>
    </row>
    <row r="334">
      <c r="A334" s="39"/>
      <c r="B334" s="39"/>
      <c r="C334" s="39"/>
      <c r="D334" s="39"/>
      <c r="E334" s="39"/>
      <c r="F334" s="263"/>
      <c r="G334" s="39"/>
      <c r="H334" s="39"/>
    </row>
    <row r="335">
      <c r="A335" s="39"/>
      <c r="B335" s="39"/>
      <c r="C335" s="39"/>
      <c r="D335" s="39"/>
      <c r="E335" s="39"/>
      <c r="F335" s="263"/>
      <c r="G335" s="39"/>
      <c r="H335" s="39"/>
    </row>
    <row r="336">
      <c r="A336" s="39"/>
      <c r="B336" s="39"/>
      <c r="C336" s="39"/>
      <c r="D336" s="39"/>
      <c r="E336" s="39"/>
      <c r="F336" s="263"/>
      <c r="G336" s="39"/>
      <c r="H336" s="39"/>
    </row>
    <row r="337">
      <c r="A337" s="39"/>
      <c r="B337" s="39"/>
      <c r="C337" s="39"/>
      <c r="D337" s="39"/>
      <c r="E337" s="39"/>
      <c r="F337" s="263"/>
      <c r="G337" s="39"/>
      <c r="H337" s="39"/>
    </row>
    <row r="338">
      <c r="A338" s="39"/>
      <c r="B338" s="39"/>
      <c r="C338" s="39"/>
      <c r="D338" s="39"/>
      <c r="E338" s="39"/>
      <c r="F338" s="263"/>
      <c r="G338" s="39"/>
      <c r="H338" s="39"/>
    </row>
    <row r="339">
      <c r="A339" s="39"/>
      <c r="B339" s="39"/>
      <c r="C339" s="39"/>
      <c r="D339" s="39"/>
      <c r="E339" s="39"/>
      <c r="F339" s="263"/>
      <c r="G339" s="39"/>
      <c r="H339" s="39"/>
    </row>
    <row r="340">
      <c r="A340" s="39"/>
      <c r="B340" s="39"/>
      <c r="C340" s="39"/>
      <c r="D340" s="39"/>
      <c r="E340" s="39"/>
      <c r="F340" s="263"/>
      <c r="G340" s="39"/>
      <c r="H340" s="39"/>
    </row>
    <row r="341">
      <c r="A341" s="39"/>
      <c r="B341" s="39"/>
      <c r="C341" s="39"/>
      <c r="D341" s="39"/>
      <c r="E341" s="39"/>
      <c r="F341" s="263"/>
      <c r="G341" s="39"/>
      <c r="H341" s="39"/>
    </row>
    <row r="342">
      <c r="A342" s="39"/>
      <c r="B342" s="39"/>
      <c r="C342" s="39"/>
      <c r="D342" s="39"/>
      <c r="E342" s="39"/>
      <c r="F342" s="263"/>
      <c r="G342" s="39"/>
      <c r="H342" s="39"/>
    </row>
    <row r="343">
      <c r="A343" s="39"/>
      <c r="B343" s="39"/>
      <c r="C343" s="39"/>
      <c r="D343" s="39"/>
      <c r="E343" s="39"/>
      <c r="F343" s="263"/>
      <c r="G343" s="39"/>
      <c r="H343" s="39"/>
    </row>
    <row r="344">
      <c r="A344" s="39"/>
      <c r="B344" s="39"/>
      <c r="C344" s="39"/>
      <c r="D344" s="39"/>
      <c r="E344" s="39"/>
      <c r="F344" s="263"/>
      <c r="G344" s="39"/>
      <c r="H344" s="39"/>
    </row>
    <row r="345">
      <c r="A345" s="39"/>
      <c r="B345" s="39"/>
      <c r="C345" s="39"/>
      <c r="D345" s="39"/>
      <c r="E345" s="39"/>
      <c r="F345" s="263"/>
      <c r="G345" s="39"/>
      <c r="H345" s="39"/>
    </row>
    <row r="346">
      <c r="A346" s="39"/>
      <c r="B346" s="39"/>
      <c r="C346" s="39"/>
      <c r="D346" s="39"/>
      <c r="E346" s="39"/>
      <c r="F346" s="263"/>
      <c r="G346" s="39"/>
      <c r="H346" s="39"/>
    </row>
    <row r="347">
      <c r="A347" s="39"/>
      <c r="B347" s="39"/>
      <c r="C347" s="39"/>
      <c r="D347" s="39"/>
      <c r="E347" s="39"/>
      <c r="F347" s="263"/>
      <c r="G347" s="39"/>
      <c r="H347" s="39"/>
    </row>
    <row r="348">
      <c r="A348" s="39"/>
      <c r="B348" s="39"/>
      <c r="C348" s="39"/>
      <c r="D348" s="39"/>
      <c r="E348" s="39"/>
      <c r="F348" s="263"/>
      <c r="G348" s="39"/>
      <c r="H348" s="39"/>
    </row>
    <row r="349">
      <c r="A349" s="39"/>
      <c r="B349" s="39"/>
      <c r="C349" s="39"/>
      <c r="D349" s="39"/>
      <c r="E349" s="39"/>
      <c r="F349" s="263"/>
      <c r="G349" s="39"/>
      <c r="H349" s="39"/>
    </row>
    <row r="350">
      <c r="A350" s="39"/>
      <c r="B350" s="39"/>
      <c r="C350" s="39"/>
      <c r="D350" s="39"/>
      <c r="E350" s="39"/>
      <c r="F350" s="263"/>
      <c r="G350" s="39"/>
      <c r="H350" s="39"/>
    </row>
    <row r="351">
      <c r="A351" s="39"/>
      <c r="B351" s="39"/>
      <c r="C351" s="39"/>
      <c r="D351" s="39"/>
      <c r="E351" s="39"/>
      <c r="F351" s="263"/>
      <c r="G351" s="39"/>
      <c r="H351" s="39"/>
    </row>
    <row r="352">
      <c r="A352" s="39"/>
      <c r="B352" s="39"/>
      <c r="C352" s="39"/>
      <c r="D352" s="39"/>
      <c r="E352" s="39"/>
      <c r="F352" s="263"/>
      <c r="G352" s="39"/>
      <c r="H352" s="39"/>
    </row>
    <row r="353">
      <c r="A353" s="39"/>
      <c r="B353" s="39"/>
      <c r="C353" s="39"/>
      <c r="D353" s="39"/>
      <c r="E353" s="39"/>
      <c r="F353" s="263"/>
      <c r="G353" s="39"/>
      <c r="H353" s="39"/>
    </row>
    <row r="354">
      <c r="A354" s="39"/>
      <c r="B354" s="39"/>
      <c r="C354" s="39"/>
      <c r="D354" s="39"/>
      <c r="E354" s="39"/>
      <c r="F354" s="263"/>
      <c r="G354" s="39"/>
      <c r="H354" s="39"/>
    </row>
    <row r="355">
      <c r="A355" s="39"/>
      <c r="B355" s="39"/>
      <c r="C355" s="39"/>
      <c r="D355" s="39"/>
      <c r="E355" s="39"/>
      <c r="F355" s="263"/>
      <c r="G355" s="39"/>
      <c r="H355" s="39"/>
    </row>
    <row r="356">
      <c r="A356" s="39"/>
      <c r="B356" s="39"/>
      <c r="C356" s="39"/>
      <c r="D356" s="39"/>
      <c r="E356" s="39"/>
      <c r="F356" s="263"/>
      <c r="G356" s="39"/>
      <c r="H356" s="39"/>
    </row>
    <row r="357">
      <c r="A357" s="39"/>
      <c r="B357" s="39"/>
      <c r="C357" s="39"/>
      <c r="D357" s="39"/>
      <c r="E357" s="39"/>
      <c r="F357" s="263"/>
      <c r="G357" s="39"/>
      <c r="H357" s="39"/>
    </row>
    <row r="358">
      <c r="A358" s="39"/>
      <c r="B358" s="39"/>
      <c r="C358" s="39"/>
      <c r="D358" s="39"/>
      <c r="E358" s="39"/>
      <c r="F358" s="263"/>
      <c r="G358" s="39"/>
      <c r="H358" s="39"/>
    </row>
    <row r="359">
      <c r="A359" s="39"/>
      <c r="B359" s="39"/>
      <c r="C359" s="39"/>
      <c r="D359" s="39"/>
      <c r="E359" s="39"/>
      <c r="F359" s="263"/>
      <c r="G359" s="39"/>
      <c r="H359" s="39"/>
    </row>
    <row r="360">
      <c r="A360" s="39"/>
      <c r="B360" s="39"/>
      <c r="C360" s="39"/>
      <c r="D360" s="39"/>
      <c r="E360" s="39"/>
      <c r="F360" s="263"/>
      <c r="G360" s="39"/>
      <c r="H360" s="39"/>
    </row>
    <row r="361">
      <c r="A361" s="39"/>
      <c r="B361" s="39"/>
      <c r="C361" s="39"/>
      <c r="D361" s="39"/>
      <c r="E361" s="39"/>
      <c r="F361" s="263"/>
      <c r="G361" s="39"/>
      <c r="H361" s="39"/>
    </row>
    <row r="362">
      <c r="A362" s="39"/>
      <c r="B362" s="39"/>
      <c r="C362" s="39"/>
      <c r="D362" s="39"/>
      <c r="E362" s="39"/>
      <c r="F362" s="263"/>
      <c r="G362" s="39"/>
      <c r="H362" s="39"/>
    </row>
    <row r="363">
      <c r="A363" s="39"/>
      <c r="B363" s="39"/>
      <c r="C363" s="39"/>
      <c r="D363" s="39"/>
      <c r="E363" s="39"/>
      <c r="F363" s="263"/>
      <c r="G363" s="39"/>
      <c r="H363" s="39"/>
    </row>
    <row r="364">
      <c r="A364" s="39"/>
      <c r="B364" s="39"/>
      <c r="C364" s="39"/>
      <c r="D364" s="39"/>
      <c r="E364" s="39"/>
      <c r="F364" s="263"/>
      <c r="G364" s="39"/>
      <c r="H364" s="39"/>
    </row>
    <row r="365">
      <c r="A365" s="39"/>
      <c r="B365" s="39"/>
      <c r="C365" s="39"/>
      <c r="D365" s="39"/>
      <c r="E365" s="39"/>
      <c r="F365" s="263"/>
      <c r="G365" s="39"/>
      <c r="H365" s="39"/>
    </row>
    <row r="366">
      <c r="A366" s="39"/>
      <c r="B366" s="39"/>
      <c r="C366" s="39"/>
      <c r="D366" s="39"/>
      <c r="E366" s="39"/>
      <c r="F366" s="263"/>
      <c r="G366" s="39"/>
      <c r="H366" s="39"/>
    </row>
    <row r="367">
      <c r="A367" s="39"/>
      <c r="B367" s="39"/>
      <c r="C367" s="39"/>
      <c r="D367" s="39"/>
      <c r="E367" s="39"/>
      <c r="F367" s="263"/>
      <c r="G367" s="39"/>
      <c r="H367" s="39"/>
    </row>
    <row r="368">
      <c r="A368" s="39"/>
      <c r="B368" s="39"/>
      <c r="C368" s="39"/>
      <c r="D368" s="39"/>
      <c r="E368" s="39"/>
      <c r="F368" s="263"/>
      <c r="G368" s="39"/>
      <c r="H368" s="39"/>
    </row>
    <row r="369">
      <c r="A369" s="39"/>
      <c r="B369" s="39"/>
      <c r="C369" s="39"/>
      <c r="D369" s="39"/>
      <c r="E369" s="39"/>
      <c r="F369" s="263"/>
      <c r="G369" s="39"/>
      <c r="H369" s="39"/>
    </row>
    <row r="370">
      <c r="A370" s="39"/>
      <c r="B370" s="39"/>
      <c r="C370" s="39"/>
      <c r="D370" s="39"/>
      <c r="E370" s="39"/>
      <c r="F370" s="263"/>
      <c r="G370" s="39"/>
      <c r="H370" s="39"/>
    </row>
    <row r="371">
      <c r="A371" s="39"/>
      <c r="B371" s="39"/>
      <c r="C371" s="39"/>
      <c r="D371" s="39"/>
      <c r="E371" s="39"/>
      <c r="F371" s="263"/>
      <c r="G371" s="39"/>
      <c r="H371" s="39"/>
    </row>
    <row r="372">
      <c r="A372" s="39"/>
      <c r="B372" s="39"/>
      <c r="C372" s="39"/>
      <c r="D372" s="39"/>
      <c r="E372" s="39"/>
      <c r="F372" s="263"/>
      <c r="G372" s="39"/>
      <c r="H372" s="39"/>
    </row>
    <row r="373">
      <c r="A373" s="39"/>
      <c r="B373" s="39"/>
      <c r="C373" s="39"/>
      <c r="D373" s="39"/>
      <c r="E373" s="39"/>
      <c r="F373" s="263"/>
      <c r="G373" s="39"/>
      <c r="H373" s="39"/>
    </row>
    <row r="374">
      <c r="A374" s="39"/>
      <c r="B374" s="39"/>
      <c r="C374" s="39"/>
      <c r="D374" s="39"/>
      <c r="E374" s="39"/>
      <c r="F374" s="263"/>
      <c r="G374" s="39"/>
      <c r="H374" s="39"/>
    </row>
    <row r="375">
      <c r="A375" s="39"/>
      <c r="B375" s="39"/>
      <c r="C375" s="39"/>
      <c r="D375" s="39"/>
      <c r="E375" s="39"/>
      <c r="F375" s="263"/>
      <c r="G375" s="39"/>
      <c r="H375" s="39"/>
    </row>
    <row r="376">
      <c r="A376" s="39"/>
      <c r="B376" s="39"/>
      <c r="C376" s="39"/>
      <c r="D376" s="39"/>
      <c r="E376" s="39"/>
      <c r="F376" s="263"/>
      <c r="G376" s="39"/>
      <c r="H376" s="39"/>
    </row>
    <row r="377">
      <c r="A377" s="39"/>
      <c r="B377" s="39"/>
      <c r="C377" s="39"/>
      <c r="D377" s="39"/>
      <c r="E377" s="39"/>
      <c r="F377" s="263"/>
      <c r="G377" s="39"/>
      <c r="H377" s="39"/>
    </row>
    <row r="378">
      <c r="A378" s="39"/>
      <c r="B378" s="39"/>
      <c r="C378" s="39"/>
      <c r="D378" s="39"/>
      <c r="E378" s="39"/>
      <c r="F378" s="263"/>
      <c r="G378" s="39"/>
      <c r="H378" s="39"/>
    </row>
    <row r="379">
      <c r="A379" s="39"/>
      <c r="B379" s="39"/>
      <c r="C379" s="39"/>
      <c r="D379" s="39"/>
      <c r="E379" s="39"/>
      <c r="F379" s="263"/>
      <c r="G379" s="39"/>
      <c r="H379" s="39"/>
    </row>
    <row r="380">
      <c r="A380" s="39"/>
      <c r="B380" s="39"/>
      <c r="C380" s="39"/>
      <c r="D380" s="39"/>
      <c r="E380" s="39"/>
      <c r="F380" s="263"/>
      <c r="G380" s="39"/>
      <c r="H380" s="39"/>
    </row>
    <row r="381">
      <c r="A381" s="39"/>
      <c r="B381" s="39"/>
      <c r="C381" s="39"/>
      <c r="D381" s="39"/>
      <c r="E381" s="39"/>
      <c r="F381" s="263"/>
      <c r="G381" s="39"/>
      <c r="H381" s="39"/>
    </row>
    <row r="382">
      <c r="A382" s="39"/>
      <c r="B382" s="39"/>
      <c r="C382" s="39"/>
      <c r="D382" s="39"/>
      <c r="E382" s="39"/>
      <c r="F382" s="263"/>
      <c r="G382" s="39"/>
      <c r="H382" s="39"/>
    </row>
    <row r="383">
      <c r="A383" s="39"/>
      <c r="B383" s="39"/>
      <c r="C383" s="39"/>
      <c r="D383" s="39"/>
      <c r="E383" s="39"/>
      <c r="F383" s="263"/>
      <c r="G383" s="39"/>
      <c r="H383" s="39"/>
    </row>
    <row r="384">
      <c r="A384" s="39"/>
      <c r="B384" s="39"/>
      <c r="C384" s="39"/>
      <c r="D384" s="39"/>
      <c r="E384" s="39"/>
      <c r="F384" s="263"/>
      <c r="G384" s="39"/>
      <c r="H384" s="39"/>
    </row>
    <row r="385">
      <c r="A385" s="39"/>
      <c r="B385" s="39"/>
      <c r="C385" s="39"/>
      <c r="D385" s="39"/>
      <c r="E385" s="39"/>
      <c r="F385" s="263"/>
      <c r="G385" s="39"/>
      <c r="H385" s="39"/>
    </row>
    <row r="386">
      <c r="A386" s="39"/>
      <c r="B386" s="39"/>
      <c r="C386" s="39"/>
      <c r="D386" s="39"/>
      <c r="E386" s="39"/>
      <c r="F386" s="263"/>
      <c r="G386" s="39"/>
      <c r="H386" s="39"/>
    </row>
    <row r="387">
      <c r="A387" s="39"/>
      <c r="B387" s="39"/>
      <c r="C387" s="39"/>
      <c r="D387" s="39"/>
      <c r="E387" s="39"/>
      <c r="F387" s="263"/>
      <c r="G387" s="39"/>
      <c r="H387" s="39"/>
    </row>
    <row r="388">
      <c r="A388" s="39"/>
      <c r="B388" s="39"/>
      <c r="C388" s="39"/>
      <c r="D388" s="39"/>
      <c r="E388" s="39"/>
      <c r="F388" s="263"/>
      <c r="G388" s="39"/>
      <c r="H388" s="39"/>
    </row>
    <row r="389">
      <c r="A389" s="39"/>
      <c r="B389" s="39"/>
      <c r="C389" s="39"/>
      <c r="D389" s="39"/>
      <c r="E389" s="39"/>
      <c r="F389" s="263"/>
      <c r="G389" s="39"/>
      <c r="H389" s="39"/>
    </row>
    <row r="390">
      <c r="A390" s="39"/>
      <c r="B390" s="39"/>
      <c r="C390" s="39"/>
      <c r="D390" s="39"/>
      <c r="E390" s="39"/>
      <c r="F390" s="263"/>
      <c r="G390" s="39"/>
      <c r="H390" s="39"/>
    </row>
    <row r="391">
      <c r="A391" s="39"/>
      <c r="B391" s="39"/>
      <c r="C391" s="39"/>
      <c r="D391" s="39"/>
      <c r="E391" s="39"/>
      <c r="F391" s="263"/>
      <c r="G391" s="39"/>
      <c r="H391" s="39"/>
    </row>
    <row r="392">
      <c r="A392" s="39"/>
      <c r="B392" s="39"/>
      <c r="C392" s="39"/>
      <c r="D392" s="39"/>
      <c r="E392" s="39"/>
      <c r="F392" s="263"/>
      <c r="G392" s="39"/>
      <c r="H392" s="39"/>
    </row>
    <row r="393">
      <c r="A393" s="39"/>
      <c r="B393" s="39"/>
      <c r="C393" s="39"/>
      <c r="D393" s="39"/>
      <c r="E393" s="39"/>
      <c r="F393" s="263"/>
      <c r="G393" s="39"/>
      <c r="H393" s="39"/>
    </row>
    <row r="394">
      <c r="A394" s="39"/>
      <c r="B394" s="39"/>
      <c r="C394" s="39"/>
      <c r="D394" s="39"/>
      <c r="E394" s="39"/>
      <c r="F394" s="263"/>
      <c r="G394" s="39"/>
      <c r="H394" s="39"/>
    </row>
    <row r="395">
      <c r="A395" s="39"/>
      <c r="B395" s="39"/>
      <c r="C395" s="39"/>
      <c r="D395" s="39"/>
      <c r="E395" s="39"/>
      <c r="F395" s="263"/>
      <c r="G395" s="39"/>
      <c r="H395" s="39"/>
    </row>
    <row r="396">
      <c r="A396" s="39"/>
      <c r="B396" s="39"/>
      <c r="C396" s="39"/>
      <c r="D396" s="39"/>
      <c r="E396" s="39"/>
      <c r="F396" s="263"/>
      <c r="G396" s="39"/>
      <c r="H396" s="39"/>
    </row>
    <row r="397">
      <c r="A397" s="39"/>
      <c r="B397" s="39"/>
      <c r="C397" s="39"/>
      <c r="D397" s="39"/>
      <c r="E397" s="39"/>
      <c r="F397" s="263"/>
      <c r="G397" s="39"/>
      <c r="H397" s="39"/>
    </row>
    <row r="398">
      <c r="A398" s="39"/>
      <c r="B398" s="39"/>
      <c r="C398" s="39"/>
      <c r="D398" s="39"/>
      <c r="E398" s="39"/>
      <c r="F398" s="263"/>
      <c r="G398" s="39"/>
      <c r="H398" s="39"/>
    </row>
    <row r="399">
      <c r="A399" s="39"/>
      <c r="B399" s="39"/>
      <c r="C399" s="39"/>
      <c r="D399" s="39"/>
      <c r="E399" s="39"/>
      <c r="F399" s="263"/>
      <c r="G399" s="39"/>
      <c r="H399" s="39"/>
    </row>
    <row r="400">
      <c r="A400" s="39"/>
      <c r="B400" s="39"/>
      <c r="C400" s="39"/>
      <c r="D400" s="39"/>
      <c r="E400" s="39"/>
      <c r="F400" s="263"/>
      <c r="G400" s="39"/>
      <c r="H400" s="39"/>
    </row>
    <row r="401">
      <c r="A401" s="39"/>
      <c r="B401" s="39"/>
      <c r="C401" s="39"/>
      <c r="D401" s="39"/>
      <c r="E401" s="39"/>
      <c r="F401" s="263"/>
      <c r="G401" s="39"/>
      <c r="H401" s="39"/>
    </row>
    <row r="402">
      <c r="A402" s="39"/>
      <c r="B402" s="39"/>
      <c r="C402" s="39"/>
      <c r="D402" s="39"/>
      <c r="E402" s="39"/>
      <c r="F402" s="263"/>
      <c r="G402" s="39"/>
      <c r="H402" s="39"/>
    </row>
    <row r="403">
      <c r="A403" s="39"/>
      <c r="B403" s="39"/>
      <c r="C403" s="39"/>
      <c r="D403" s="39"/>
      <c r="E403" s="39"/>
      <c r="F403" s="263"/>
      <c r="G403" s="39"/>
      <c r="H403" s="39"/>
    </row>
    <row r="404">
      <c r="A404" s="39"/>
      <c r="B404" s="39"/>
      <c r="C404" s="39"/>
      <c r="D404" s="39"/>
      <c r="E404" s="39"/>
      <c r="F404" s="263"/>
      <c r="G404" s="39"/>
      <c r="H404" s="39"/>
    </row>
    <row r="405">
      <c r="A405" s="39"/>
      <c r="B405" s="39"/>
      <c r="C405" s="39"/>
      <c r="D405" s="39"/>
      <c r="E405" s="39"/>
      <c r="F405" s="263"/>
      <c r="G405" s="39"/>
      <c r="H405" s="39"/>
    </row>
    <row r="406">
      <c r="A406" s="39"/>
      <c r="B406" s="39"/>
      <c r="C406" s="39"/>
      <c r="D406" s="39"/>
      <c r="E406" s="39"/>
      <c r="F406" s="263"/>
      <c r="G406" s="39"/>
      <c r="H406" s="39"/>
    </row>
    <row r="407">
      <c r="A407" s="39"/>
      <c r="B407" s="39"/>
      <c r="C407" s="39"/>
      <c r="D407" s="39"/>
      <c r="E407" s="39"/>
      <c r="F407" s="263"/>
      <c r="G407" s="39"/>
      <c r="H407" s="39"/>
    </row>
    <row r="408">
      <c r="A408" s="39"/>
      <c r="B408" s="39"/>
      <c r="C408" s="39"/>
      <c r="D408" s="39"/>
      <c r="E408" s="39"/>
      <c r="F408" s="263"/>
      <c r="G408" s="39"/>
      <c r="H408" s="39"/>
    </row>
    <row r="409">
      <c r="A409" s="39"/>
      <c r="B409" s="39"/>
      <c r="C409" s="39"/>
      <c r="D409" s="39"/>
      <c r="E409" s="39"/>
      <c r="F409" s="263"/>
      <c r="G409" s="39"/>
      <c r="H409" s="39"/>
    </row>
    <row r="410">
      <c r="A410" s="39"/>
      <c r="B410" s="39"/>
      <c r="C410" s="39"/>
      <c r="D410" s="39"/>
      <c r="E410" s="39"/>
      <c r="F410" s="263"/>
      <c r="G410" s="39"/>
      <c r="H410" s="39"/>
    </row>
    <row r="411">
      <c r="A411" s="39"/>
      <c r="B411" s="39"/>
      <c r="C411" s="39"/>
      <c r="D411" s="39"/>
      <c r="E411" s="39"/>
      <c r="F411" s="263"/>
      <c r="G411" s="39"/>
      <c r="H411" s="39"/>
    </row>
    <row r="412">
      <c r="A412" s="39"/>
      <c r="B412" s="39"/>
      <c r="C412" s="39"/>
      <c r="D412" s="39"/>
      <c r="E412" s="39"/>
      <c r="F412" s="263"/>
      <c r="G412" s="39"/>
      <c r="H412" s="39"/>
    </row>
    <row r="413">
      <c r="A413" s="39"/>
      <c r="B413" s="39"/>
      <c r="C413" s="39"/>
      <c r="D413" s="39"/>
      <c r="E413" s="39"/>
      <c r="F413" s="263"/>
      <c r="G413" s="39"/>
      <c r="H413" s="39"/>
    </row>
    <row r="414">
      <c r="A414" s="39"/>
      <c r="B414" s="39"/>
      <c r="C414" s="39"/>
      <c r="D414" s="39"/>
      <c r="E414" s="39"/>
      <c r="F414" s="263"/>
      <c r="G414" s="39"/>
      <c r="H414" s="39"/>
    </row>
    <row r="415">
      <c r="A415" s="39"/>
      <c r="B415" s="39"/>
      <c r="C415" s="39"/>
      <c r="D415" s="39"/>
      <c r="E415" s="39"/>
      <c r="F415" s="263"/>
      <c r="G415" s="39"/>
      <c r="H415" s="39"/>
    </row>
    <row r="416">
      <c r="A416" s="39"/>
      <c r="B416" s="39"/>
      <c r="C416" s="39"/>
      <c r="D416" s="39"/>
      <c r="E416" s="39"/>
      <c r="F416" s="263"/>
      <c r="G416" s="39"/>
      <c r="H416" s="39"/>
    </row>
    <row r="417">
      <c r="A417" s="39"/>
      <c r="B417" s="39"/>
      <c r="C417" s="39"/>
      <c r="D417" s="39"/>
      <c r="E417" s="39"/>
      <c r="F417" s="263"/>
      <c r="G417" s="39"/>
      <c r="H417" s="39"/>
    </row>
    <row r="418">
      <c r="A418" s="39"/>
      <c r="B418" s="39"/>
      <c r="C418" s="39"/>
      <c r="D418" s="39"/>
      <c r="E418" s="39"/>
      <c r="F418" s="263"/>
      <c r="G418" s="39"/>
      <c r="H418" s="39"/>
    </row>
    <row r="419">
      <c r="A419" s="39"/>
      <c r="B419" s="39"/>
      <c r="C419" s="39"/>
      <c r="D419" s="39"/>
      <c r="E419" s="39"/>
      <c r="F419" s="263"/>
      <c r="G419" s="39"/>
      <c r="H419" s="39"/>
    </row>
    <row r="420">
      <c r="A420" s="39"/>
      <c r="B420" s="39"/>
      <c r="C420" s="39"/>
      <c r="D420" s="39"/>
      <c r="E420" s="39"/>
      <c r="F420" s="263"/>
      <c r="G420" s="39"/>
      <c r="H420" s="39"/>
    </row>
    <row r="421">
      <c r="A421" s="39"/>
      <c r="B421" s="39"/>
      <c r="C421" s="39"/>
      <c r="D421" s="39"/>
      <c r="E421" s="39"/>
      <c r="F421" s="263"/>
      <c r="G421" s="39"/>
      <c r="H421" s="39"/>
    </row>
    <row r="490">
      <c r="E490" s="39"/>
    </row>
    <row r="491">
      <c r="E491" s="39"/>
    </row>
    <row r="492">
      <c r="E492" s="39"/>
    </row>
  </sheetData>
  <autoFilter ref="$A$1:$Y$736"/>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 customWidth="1" min="18" max="18" width="15.88"/>
  </cols>
  <sheetData>
    <row r="1">
      <c r="A1" s="12" t="s">
        <v>173</v>
      </c>
      <c r="B1" s="12" t="s">
        <v>1</v>
      </c>
      <c r="C1" s="12" t="s">
        <v>261</v>
      </c>
      <c r="D1" s="12" t="s">
        <v>323</v>
      </c>
      <c r="E1" s="12" t="s">
        <v>324</v>
      </c>
      <c r="F1" s="12" t="s">
        <v>325</v>
      </c>
      <c r="G1" s="12" t="s">
        <v>326</v>
      </c>
      <c r="H1" s="12" t="s">
        <v>327</v>
      </c>
      <c r="I1" s="12" t="s">
        <v>328</v>
      </c>
      <c r="J1" s="12" t="s">
        <v>331</v>
      </c>
      <c r="K1" s="12" t="s">
        <v>2</v>
      </c>
      <c r="L1" s="12" t="s">
        <v>3</v>
      </c>
      <c r="M1" s="12" t="s">
        <v>4</v>
      </c>
      <c r="N1" s="12" t="s">
        <v>452</v>
      </c>
      <c r="O1" s="12" t="s">
        <v>593</v>
      </c>
      <c r="P1" s="12" t="s">
        <v>594</v>
      </c>
      <c r="Q1" s="12" t="s">
        <v>595</v>
      </c>
      <c r="R1" s="12" t="s">
        <v>451</v>
      </c>
      <c r="S1" s="12" t="s">
        <v>465</v>
      </c>
    </row>
    <row r="2">
      <c r="A2" s="186" t="str">
        <f>IFERROR(__xludf.DUMMYFUNCTION("FILTER(Output_HALO!A2:S1000, Output_HALO!A2:A1000=""NORDICS"")"),"NORDICS")</f>
        <v>NORDICS</v>
      </c>
      <c r="B2" s="186" t="str">
        <f>IFERROR(__xludf.DUMMYFUNCTION("""COMPUTED_VALUE"""),"L")</f>
        <v>L</v>
      </c>
      <c r="C2" s="186" t="str">
        <f>IFERROR(__xludf.DUMMYFUNCTION("""COMPUTED_VALUE"""),"ASL2")</f>
        <v>ASL2</v>
      </c>
      <c r="D2" s="186" t="str">
        <f>IFERROR(__xludf.DUMMYFUNCTION("""COMPUTED_VALUE"""),"F02")</f>
        <v>F02</v>
      </c>
      <c r="E2" s="186">
        <f>IFERROR(__xludf.DUMMYFUNCTION("""COMPUTED_VALUE"""),1.0)</f>
        <v>1</v>
      </c>
      <c r="F2" s="186" t="str">
        <f>IFERROR(__xludf.DUMMYFUNCTION("""COMPUTED_VALUE"""),"")</f>
        <v/>
      </c>
      <c r="G2" s="186">
        <f>IFERROR(__xludf.DUMMYFUNCTION("""COMPUTED_VALUE"""),1.0)</f>
        <v>1</v>
      </c>
      <c r="H2" s="186">
        <f>IFERROR(__xludf.DUMMYFUNCTION("""COMPUTED_VALUE"""),2.0)</f>
        <v>2</v>
      </c>
      <c r="I2" s="186" t="str">
        <f>IFERROR(__xludf.DUMMYFUNCTION("""COMPUTED_VALUE"""),"Packaging")</f>
        <v>Packaging</v>
      </c>
      <c r="J2" s="186">
        <f>IFERROR(__xludf.DUMMYFUNCTION("""COMPUTED_VALUE"""),-2.0)</f>
        <v>-2</v>
      </c>
      <c r="K2" s="186">
        <f>IFERROR(__xludf.DUMMYFUNCTION("""COMPUTED_VALUE"""),0.0)</f>
        <v>0</v>
      </c>
      <c r="L2" s="186">
        <f>IFERROR(__xludf.DUMMYFUNCTION("""COMPUTED_VALUE"""),0.0)</f>
        <v>0</v>
      </c>
      <c r="M2" s="186">
        <f>IFERROR(__xludf.DUMMYFUNCTION("""COMPUTED_VALUE"""),0.0)</f>
        <v>0</v>
      </c>
      <c r="N2" s="186">
        <f>IFERROR(__xludf.DUMMYFUNCTION("""COMPUTED_VALUE"""),0.0)</f>
        <v>0</v>
      </c>
      <c r="O2" s="186">
        <f>IFERROR(__xludf.DUMMYFUNCTION("""COMPUTED_VALUE"""),1.0)</f>
        <v>1</v>
      </c>
      <c r="P2" s="186">
        <f>IFERROR(__xludf.DUMMYFUNCTION("""COMPUTED_VALUE"""),0.0)</f>
        <v>0</v>
      </c>
      <c r="Q2" s="186">
        <f>IFERROR(__xludf.DUMMYFUNCTION("""COMPUTED_VALUE"""),0.0)</f>
        <v>0</v>
      </c>
      <c r="R2" s="186" t="str">
        <f>IFERROR(__xludf.DUMMYFUNCTION("""COMPUTED_VALUE"""),"")</f>
        <v/>
      </c>
      <c r="S2" s="186" t="str">
        <f>IFERROR(__xludf.DUMMYFUNCTION("""COMPUTED_VALUE"""),"2-1")</f>
        <v>2-1</v>
      </c>
    </row>
    <row r="3">
      <c r="A3" s="186" t="str">
        <f>IFERROR(__xludf.DUMMYFUNCTION("""COMPUTED_VALUE"""),"NORDICS")</f>
        <v>NORDICS</v>
      </c>
      <c r="B3" s="186" t="str">
        <f>IFERROR(__xludf.DUMMYFUNCTION("""COMPUTED_VALUE"""),"M")</f>
        <v>M</v>
      </c>
      <c r="C3" s="186" t="str">
        <f>IFERROR(__xludf.DUMMYFUNCTION("""COMPUTED_VALUE"""),"ASL2")</f>
        <v>ASL2</v>
      </c>
      <c r="D3" s="186" t="str">
        <f>IFERROR(__xludf.DUMMYFUNCTION("""COMPUTED_VALUE"""),"F03")</f>
        <v>F03</v>
      </c>
      <c r="E3" s="186">
        <f>IFERROR(__xludf.DUMMYFUNCTION("""COMPUTED_VALUE"""),1.0)</f>
        <v>1</v>
      </c>
      <c r="F3" s="186" t="str">
        <f>IFERROR(__xludf.DUMMYFUNCTION("""COMPUTED_VALUE"""),"")</f>
        <v/>
      </c>
      <c r="G3" s="186">
        <f>IFERROR(__xludf.DUMMYFUNCTION("""COMPUTED_VALUE"""),1.0)</f>
        <v>1</v>
      </c>
      <c r="H3" s="186">
        <f>IFERROR(__xludf.DUMMYFUNCTION("""COMPUTED_VALUE"""),3.0)</f>
        <v>3</v>
      </c>
      <c r="I3" s="186" t="str">
        <f>IFERROR(__xludf.DUMMYFUNCTION("""COMPUTED_VALUE"""),"Packaging")</f>
        <v>Packaging</v>
      </c>
      <c r="J3" s="186">
        <f>IFERROR(__xludf.DUMMYFUNCTION("""COMPUTED_VALUE"""),-2.0)</f>
        <v>-2</v>
      </c>
      <c r="K3" s="186">
        <f>IFERROR(__xludf.DUMMYFUNCTION("""COMPUTED_VALUE"""),0.0)</f>
        <v>0</v>
      </c>
      <c r="L3" s="186">
        <f>IFERROR(__xludf.DUMMYFUNCTION("""COMPUTED_VALUE"""),0.0)</f>
        <v>0</v>
      </c>
      <c r="M3" s="186">
        <f>IFERROR(__xludf.DUMMYFUNCTION("""COMPUTED_VALUE"""),0.0)</f>
        <v>0</v>
      </c>
      <c r="N3" s="186">
        <f>IFERROR(__xludf.DUMMYFUNCTION("""COMPUTED_VALUE"""),0.0)</f>
        <v>0</v>
      </c>
      <c r="O3" s="186">
        <f>IFERROR(__xludf.DUMMYFUNCTION("""COMPUTED_VALUE"""),1.0)</f>
        <v>1</v>
      </c>
      <c r="P3" s="186">
        <f>IFERROR(__xludf.DUMMYFUNCTION("""COMPUTED_VALUE"""),0.0)</f>
        <v>0</v>
      </c>
      <c r="Q3" s="186">
        <f>IFERROR(__xludf.DUMMYFUNCTION("""COMPUTED_VALUE"""),0.0)</f>
        <v>0</v>
      </c>
      <c r="R3" s="186" t="str">
        <f>IFERROR(__xludf.DUMMYFUNCTION("""COMPUTED_VALUE"""),"")</f>
        <v/>
      </c>
      <c r="S3" s="186" t="str">
        <f>IFERROR(__xludf.DUMMYFUNCTION("""COMPUTED_VALUE"""),"3-1")</f>
        <v>3-1</v>
      </c>
    </row>
    <row r="4">
      <c r="A4" s="186" t="str">
        <f>IFERROR(__xludf.DUMMYFUNCTION("""COMPUTED_VALUE"""),"NORDICS")</f>
        <v>NORDICS</v>
      </c>
      <c r="B4" s="186" t="str">
        <f>IFERROR(__xludf.DUMMYFUNCTION("""COMPUTED_VALUE"""),"S")</f>
        <v>S</v>
      </c>
      <c r="C4" s="186" t="str">
        <f>IFERROR(__xludf.DUMMYFUNCTION("""COMPUTED_VALUE"""),"ASL2")</f>
        <v>ASL2</v>
      </c>
      <c r="D4" s="186" t="str">
        <f>IFERROR(__xludf.DUMMYFUNCTION("""COMPUTED_VALUE"""),"F04")</f>
        <v>F04</v>
      </c>
      <c r="E4" s="186">
        <f>IFERROR(__xludf.DUMMYFUNCTION("""COMPUTED_VALUE"""),1.0)</f>
        <v>1</v>
      </c>
      <c r="F4" s="186" t="str">
        <f>IFERROR(__xludf.DUMMYFUNCTION("""COMPUTED_VALUE"""),"")</f>
        <v/>
      </c>
      <c r="G4" s="186">
        <f>IFERROR(__xludf.DUMMYFUNCTION("""COMPUTED_VALUE"""),1.0)</f>
        <v>1</v>
      </c>
      <c r="H4" s="186">
        <f>IFERROR(__xludf.DUMMYFUNCTION("""COMPUTED_VALUE"""),4.0)</f>
        <v>4</v>
      </c>
      <c r="I4" s="186" t="str">
        <f>IFERROR(__xludf.DUMMYFUNCTION("""COMPUTED_VALUE"""),"Packaging")</f>
        <v>Packaging</v>
      </c>
      <c r="J4" s="186">
        <f>IFERROR(__xludf.DUMMYFUNCTION("""COMPUTED_VALUE"""),-2.0)</f>
        <v>-2</v>
      </c>
      <c r="K4" s="186">
        <f>IFERROR(__xludf.DUMMYFUNCTION("""COMPUTED_VALUE"""),0.0)</f>
        <v>0</v>
      </c>
      <c r="L4" s="186">
        <f>IFERROR(__xludf.DUMMYFUNCTION("""COMPUTED_VALUE"""),0.0)</f>
        <v>0</v>
      </c>
      <c r="M4" s="186">
        <f>IFERROR(__xludf.DUMMYFUNCTION("""COMPUTED_VALUE"""),0.0)</f>
        <v>0</v>
      </c>
      <c r="N4" s="186">
        <f>IFERROR(__xludf.DUMMYFUNCTION("""COMPUTED_VALUE"""),0.0)</f>
        <v>0</v>
      </c>
      <c r="O4" s="186">
        <f>IFERROR(__xludf.DUMMYFUNCTION("""COMPUTED_VALUE"""),1.0)</f>
        <v>1</v>
      </c>
      <c r="P4" s="186">
        <f>IFERROR(__xludf.DUMMYFUNCTION("""COMPUTED_VALUE"""),0.0)</f>
        <v>0</v>
      </c>
      <c r="Q4" s="186">
        <f>IFERROR(__xludf.DUMMYFUNCTION("""COMPUTED_VALUE"""),0.0)</f>
        <v>0</v>
      </c>
      <c r="R4" s="186" t="str">
        <f>IFERROR(__xludf.DUMMYFUNCTION("""COMPUTED_VALUE"""),"")</f>
        <v/>
      </c>
      <c r="S4" s="186" t="str">
        <f>IFERROR(__xludf.DUMMYFUNCTION("""COMPUTED_VALUE"""),"4-1")</f>
        <v>4-1</v>
      </c>
    </row>
    <row r="5">
      <c r="A5" s="186" t="str">
        <f>IFERROR(__xludf.DUMMYFUNCTION("""COMPUTED_VALUE"""),"NORDICS")</f>
        <v>NORDICS</v>
      </c>
      <c r="B5" s="186" t="str">
        <f>IFERROR(__xludf.DUMMYFUNCTION("""COMPUTED_VALUE"""),"XS")</f>
        <v>XS</v>
      </c>
      <c r="C5" s="186" t="str">
        <f>IFERROR(__xludf.DUMMYFUNCTION("""COMPUTED_VALUE"""),"ASL2")</f>
        <v>ASL2</v>
      </c>
      <c r="D5" s="186" t="str">
        <f>IFERROR(__xludf.DUMMYFUNCTION("""COMPUTED_VALUE"""),"F05")</f>
        <v>F05</v>
      </c>
      <c r="E5" s="186">
        <f>IFERROR(__xludf.DUMMYFUNCTION("""COMPUTED_VALUE"""),1.0)</f>
        <v>1</v>
      </c>
      <c r="F5" s="186" t="str">
        <f>IFERROR(__xludf.DUMMYFUNCTION("""COMPUTED_VALUE"""),"")</f>
        <v/>
      </c>
      <c r="G5" s="186">
        <f>IFERROR(__xludf.DUMMYFUNCTION("""COMPUTED_VALUE"""),1.0)</f>
        <v>1</v>
      </c>
      <c r="H5" s="186">
        <f>IFERROR(__xludf.DUMMYFUNCTION("""COMPUTED_VALUE"""),5.0)</f>
        <v>5</v>
      </c>
      <c r="I5" s="186" t="str">
        <f>IFERROR(__xludf.DUMMYFUNCTION("""COMPUTED_VALUE"""),"Packaging")</f>
        <v>Packaging</v>
      </c>
      <c r="J5" s="186">
        <f>IFERROR(__xludf.DUMMYFUNCTION("""COMPUTED_VALUE"""),-2.0)</f>
        <v>-2</v>
      </c>
      <c r="K5" s="186">
        <f>IFERROR(__xludf.DUMMYFUNCTION("""COMPUTED_VALUE"""),0.0)</f>
        <v>0</v>
      </c>
      <c r="L5" s="186">
        <f>IFERROR(__xludf.DUMMYFUNCTION("""COMPUTED_VALUE"""),0.0)</f>
        <v>0</v>
      </c>
      <c r="M5" s="186">
        <f>IFERROR(__xludf.DUMMYFUNCTION("""COMPUTED_VALUE"""),0.0)</f>
        <v>0</v>
      </c>
      <c r="N5" s="186">
        <f>IFERROR(__xludf.DUMMYFUNCTION("""COMPUTED_VALUE"""),0.0)</f>
        <v>0</v>
      </c>
      <c r="O5" s="186">
        <f>IFERROR(__xludf.DUMMYFUNCTION("""COMPUTED_VALUE"""),1.0)</f>
        <v>1</v>
      </c>
      <c r="P5" s="186">
        <f>IFERROR(__xludf.DUMMYFUNCTION("""COMPUTED_VALUE"""),0.0)</f>
        <v>0</v>
      </c>
      <c r="Q5" s="186">
        <f>IFERROR(__xludf.DUMMYFUNCTION("""COMPUTED_VALUE"""),0.0)</f>
        <v>0</v>
      </c>
      <c r="R5" s="186" t="str">
        <f>IFERROR(__xludf.DUMMYFUNCTION("""COMPUTED_VALUE"""),"")</f>
        <v/>
      </c>
      <c r="S5" s="186" t="str">
        <f>IFERROR(__xludf.DUMMYFUNCTION("""COMPUTED_VALUE"""),"5-1")</f>
        <v>5-1</v>
      </c>
    </row>
    <row r="6">
      <c r="A6" s="186" t="str">
        <f>IFERROR(__xludf.DUMMYFUNCTION("""COMPUTED_VALUE"""),"NORDICS")</f>
        <v>NORDICS</v>
      </c>
      <c r="B6" s="186" t="str">
        <f>IFERROR(__xludf.DUMMYFUNCTION("""COMPUTED_VALUE"""),"565221 - Laksebowl med citrus-miso")</f>
        <v>565221 - Laksebowl med citrus-miso</v>
      </c>
      <c r="C6" s="186" t="str">
        <f>IFERROR(__xludf.DUMMYFUNCTION("""COMPUTED_VALUE"""),"ASL2")</f>
        <v>ASL2</v>
      </c>
      <c r="D6" s="186" t="str">
        <f>IFERROR(__xludf.DUMMYFUNCTION("""COMPUTED_VALUE"""),"F20")</f>
        <v>F20</v>
      </c>
      <c r="E6" s="186">
        <f>IFERROR(__xludf.DUMMYFUNCTION("""COMPUTED_VALUE"""),4.0)</f>
        <v>4</v>
      </c>
      <c r="F6" s="186">
        <f>IFERROR(__xludf.DUMMYFUNCTION("""COMPUTED_VALUE"""),2.0)</f>
        <v>2</v>
      </c>
      <c r="G6" s="186">
        <f>IFERROR(__xludf.DUMMYFUNCTION("""COMPUTED_VALUE"""),2.0)</f>
        <v>2</v>
      </c>
      <c r="H6" s="186">
        <f>IFERROR(__xludf.DUMMYFUNCTION("""COMPUTED_VALUE"""),12.0)</f>
        <v>12</v>
      </c>
      <c r="I6" s="186" t="str">
        <f>IFERROR(__xludf.DUMMYFUNCTION("""COMPUTED_VALUE"""),"Chilled")</f>
        <v>Chilled</v>
      </c>
      <c r="J6" s="186">
        <f>IFERROR(__xludf.DUMMYFUNCTION("""COMPUTED_VALUE"""),1.0)</f>
        <v>1</v>
      </c>
      <c r="K6" s="186">
        <f>IFERROR(__xludf.DUMMYFUNCTION("""COMPUTED_VALUE"""),625.0)</f>
        <v>625</v>
      </c>
      <c r="L6" s="186">
        <f>IFERROR(__xludf.DUMMYFUNCTION("""COMPUTED_VALUE"""),0.0)</f>
        <v>0</v>
      </c>
      <c r="M6" s="186">
        <f>IFERROR(__xludf.DUMMYFUNCTION("""COMPUTED_VALUE"""),0.0)</f>
        <v>0</v>
      </c>
      <c r="N6" s="186">
        <f>IFERROR(__xludf.DUMMYFUNCTION("""COMPUTED_VALUE"""),625.0)</f>
        <v>625</v>
      </c>
      <c r="O6" s="186">
        <f>IFERROR(__xludf.DUMMYFUNCTION("""COMPUTED_VALUE"""),1.0)</f>
        <v>1</v>
      </c>
      <c r="P6" s="186">
        <f>IFERROR(__xludf.DUMMYFUNCTION("""COMPUTED_VALUE"""),130.0)</f>
        <v>130</v>
      </c>
      <c r="Q6" s="186">
        <f>IFERROR(__xludf.DUMMYFUNCTION("""COMPUTED_VALUE"""),3769.0)</f>
        <v>3769</v>
      </c>
      <c r="R6" s="186" t="str">
        <f>IFERROR(__xludf.DUMMYFUNCTION("""COMPUTED_VALUE"""),"Laks")</f>
        <v>Laks</v>
      </c>
      <c r="S6" s="186" t="str">
        <f>IFERROR(__xludf.DUMMYFUNCTION("""COMPUTED_VALUE"""),"12-2")</f>
        <v>12-2</v>
      </c>
    </row>
    <row r="7">
      <c r="A7" s="186" t="str">
        <f>IFERROR(__xludf.DUMMYFUNCTION("""COMPUTED_VALUE"""),"NORDICS")</f>
        <v>NORDICS</v>
      </c>
      <c r="B7" s="186" t="str">
        <f>IFERROR(__xludf.DUMMYFUNCTION("""COMPUTED_VALUE"""),"565178 - Vestfrikansk-inspireret peanut-kyllingecurry")</f>
        <v>565178 - Vestfrikansk-inspireret peanut-kyllingecurry</v>
      </c>
      <c r="C7" s="186" t="str">
        <f>IFERROR(__xludf.DUMMYFUNCTION("""COMPUTED_VALUE"""),"ASL2")</f>
        <v>ASL2</v>
      </c>
      <c r="D7" s="186" t="str">
        <f>IFERROR(__xludf.DUMMYFUNCTION("""COMPUTED_VALUE"""),"F23")</f>
        <v>F23</v>
      </c>
      <c r="E7" s="186">
        <f>IFERROR(__xludf.DUMMYFUNCTION("""COMPUTED_VALUE"""),4.0)</f>
        <v>4</v>
      </c>
      <c r="F7" s="186">
        <f>IFERROR(__xludf.DUMMYFUNCTION("""COMPUTED_VALUE"""),1.0)</f>
        <v>1</v>
      </c>
      <c r="G7" s="186">
        <f>IFERROR(__xludf.DUMMYFUNCTION("""COMPUTED_VALUE"""),2.0)</f>
        <v>2</v>
      </c>
      <c r="H7" s="186">
        <f>IFERROR(__xludf.DUMMYFUNCTION("""COMPUTED_VALUE"""),13.0)</f>
        <v>13</v>
      </c>
      <c r="I7" s="186" t="str">
        <f>IFERROR(__xludf.DUMMYFUNCTION("""COMPUTED_VALUE"""),"Chilled")</f>
        <v>Chilled</v>
      </c>
      <c r="J7" s="186">
        <f>IFERROR(__xludf.DUMMYFUNCTION("""COMPUTED_VALUE"""),1.0)</f>
        <v>1</v>
      </c>
      <c r="K7" s="186">
        <f>IFERROR(__xludf.DUMMYFUNCTION("""COMPUTED_VALUE"""),2382.0)</f>
        <v>2382</v>
      </c>
      <c r="L7" s="186">
        <f>IFERROR(__xludf.DUMMYFUNCTION("""COMPUTED_VALUE"""),0.0)</f>
        <v>0</v>
      </c>
      <c r="M7" s="186">
        <f>IFERROR(__xludf.DUMMYFUNCTION("""COMPUTED_VALUE"""),0.0)</f>
        <v>0</v>
      </c>
      <c r="N7" s="186">
        <f>IFERROR(__xludf.DUMMYFUNCTION("""COMPUTED_VALUE"""),2382.0)</f>
        <v>2382</v>
      </c>
      <c r="O7" s="186">
        <f>IFERROR(__xludf.DUMMYFUNCTION("""COMPUTED_VALUE"""),1.0)</f>
        <v>1</v>
      </c>
      <c r="P7" s="186">
        <f>IFERROR(__xludf.DUMMYFUNCTION("""COMPUTED_VALUE"""),130.0)</f>
        <v>130</v>
      </c>
      <c r="Q7" s="186">
        <f>IFERROR(__xludf.DUMMYFUNCTION("""COMPUTED_VALUE"""),3769.0)</f>
        <v>3769</v>
      </c>
      <c r="R7" s="186" t="str">
        <f>IFERROR(__xludf.DUMMYFUNCTION("""COMPUTED_VALUE"""),"")</f>
        <v/>
      </c>
      <c r="S7" s="186" t="str">
        <f>IFERROR(__xludf.DUMMYFUNCTION("""COMPUTED_VALUE"""),"13-2")</f>
        <v>13-2</v>
      </c>
    </row>
    <row r="8">
      <c r="A8" s="186" t="str">
        <f>IFERROR(__xludf.DUMMYFUNCTION("""COMPUTED_VALUE"""),"NORDICS")</f>
        <v>NORDICS</v>
      </c>
      <c r="B8" s="186" t="str">
        <f>IFERROR(__xludf.DUMMYFUNCTION("""COMPUTED_VALUE"""),"621 - ")</f>
        <v>621 - </v>
      </c>
      <c r="C8" s="186" t="str">
        <f>IFERROR(__xludf.DUMMYFUNCTION("""COMPUTED_VALUE"""),"ASL2")</f>
        <v>ASL2</v>
      </c>
      <c r="D8" s="186" t="str">
        <f>IFERROR(__xludf.DUMMYFUNCTION("""COMPUTED_VALUE"""),"F25")</f>
        <v>F25</v>
      </c>
      <c r="E8" s="186">
        <f>IFERROR(__xludf.DUMMYFUNCTION("""COMPUTED_VALUE"""),4.0)</f>
        <v>4</v>
      </c>
      <c r="F8" s="186">
        <f>IFERROR(__xludf.DUMMYFUNCTION("""COMPUTED_VALUE"""),0.0)</f>
        <v>0</v>
      </c>
      <c r="G8" s="186">
        <f>IFERROR(__xludf.DUMMYFUNCTION("""COMPUTED_VALUE"""),1.0)</f>
        <v>1</v>
      </c>
      <c r="H8" s="186">
        <f>IFERROR(__xludf.DUMMYFUNCTION("""COMPUTED_VALUE"""),14.0)</f>
        <v>14</v>
      </c>
      <c r="I8" s="186" t="str">
        <f>IFERROR(__xludf.DUMMYFUNCTION("""COMPUTED_VALUE"""),"Chilled")</f>
        <v>Chilled</v>
      </c>
      <c r="J8" s="186">
        <f>IFERROR(__xludf.DUMMYFUNCTION("""COMPUTED_VALUE"""),1.0)</f>
        <v>1</v>
      </c>
      <c r="K8" s="186">
        <f>IFERROR(__xludf.DUMMYFUNCTION("""COMPUTED_VALUE"""),0.0)</f>
        <v>0</v>
      </c>
      <c r="L8" s="186">
        <f>IFERROR(__xludf.DUMMYFUNCTION("""COMPUTED_VALUE"""),0.0)</f>
        <v>0</v>
      </c>
      <c r="M8" s="186">
        <f>IFERROR(__xludf.DUMMYFUNCTION("""COMPUTED_VALUE"""),0.0)</f>
        <v>0</v>
      </c>
      <c r="N8" s="186">
        <f>IFERROR(__xludf.DUMMYFUNCTION("""COMPUTED_VALUE"""),0.0)</f>
        <v>0</v>
      </c>
      <c r="O8" s="186">
        <f>IFERROR(__xludf.DUMMYFUNCTION("""COMPUTED_VALUE"""),1.0)</f>
        <v>1</v>
      </c>
      <c r="P8" s="186">
        <f>IFERROR(__xludf.DUMMYFUNCTION("""COMPUTED_VALUE"""),130.0)</f>
        <v>130</v>
      </c>
      <c r="Q8" s="186">
        <f>IFERROR(__xludf.DUMMYFUNCTION("""COMPUTED_VALUE"""),3769.0)</f>
        <v>3769</v>
      </c>
      <c r="R8" s="186" t="str">
        <f>IFERROR(__xludf.DUMMYFUNCTION("""COMPUTED_VALUE"""),"")</f>
        <v/>
      </c>
      <c r="S8" s="186" t="str">
        <f>IFERROR(__xludf.DUMMYFUNCTION("""COMPUTED_VALUE"""),"14-1")</f>
        <v>14-1</v>
      </c>
    </row>
    <row r="9">
      <c r="A9" s="186" t="str">
        <f>IFERROR(__xludf.DUMMYFUNCTION("""COMPUTED_VALUE"""),"NORDICS")</f>
        <v>NORDICS</v>
      </c>
      <c r="B9" s="186" t="str">
        <f>IFERROR(__xludf.DUMMYFUNCTION("""COMPUTED_VALUE"""),"565091 - Krydret hakket oksekød med jalapenos")</f>
        <v>565091 - Krydret hakket oksekød med jalapenos</v>
      </c>
      <c r="C9" s="186" t="str">
        <f>IFERROR(__xludf.DUMMYFUNCTION("""COMPUTED_VALUE"""),"ASL2")</f>
        <v>ASL2</v>
      </c>
      <c r="D9" s="186" t="str">
        <f>IFERROR(__xludf.DUMMYFUNCTION("""COMPUTED_VALUE"""),"F26")</f>
        <v>F26</v>
      </c>
      <c r="E9" s="186">
        <f>IFERROR(__xludf.DUMMYFUNCTION("""COMPUTED_VALUE"""),4.0)</f>
        <v>4</v>
      </c>
      <c r="F9" s="186">
        <f>IFERROR(__xludf.DUMMYFUNCTION("""COMPUTED_VALUE"""),0.0)</f>
        <v>0</v>
      </c>
      <c r="G9" s="186">
        <f>IFERROR(__xludf.DUMMYFUNCTION("""COMPUTED_VALUE"""),2.0)</f>
        <v>2</v>
      </c>
      <c r="H9" s="186">
        <f>IFERROR(__xludf.DUMMYFUNCTION("""COMPUTED_VALUE"""),14.0)</f>
        <v>14</v>
      </c>
      <c r="I9" s="186" t="str">
        <f>IFERROR(__xludf.DUMMYFUNCTION("""COMPUTED_VALUE"""),"Chilled")</f>
        <v>Chilled</v>
      </c>
      <c r="J9" s="186">
        <f>IFERROR(__xludf.DUMMYFUNCTION("""COMPUTED_VALUE"""),1.0)</f>
        <v>1</v>
      </c>
      <c r="K9" s="186">
        <f>IFERROR(__xludf.DUMMYFUNCTION("""COMPUTED_VALUE"""),685.0)</f>
        <v>685</v>
      </c>
      <c r="L9" s="186">
        <f>IFERROR(__xludf.DUMMYFUNCTION("""COMPUTED_VALUE"""),0.0)</f>
        <v>0</v>
      </c>
      <c r="M9" s="186">
        <f>IFERROR(__xludf.DUMMYFUNCTION("""COMPUTED_VALUE"""),0.0)</f>
        <v>0</v>
      </c>
      <c r="N9" s="186">
        <f>IFERROR(__xludf.DUMMYFUNCTION("""COMPUTED_VALUE"""),685.0)</f>
        <v>685</v>
      </c>
      <c r="O9" s="186">
        <f>IFERROR(__xludf.DUMMYFUNCTION("""COMPUTED_VALUE"""),1.0)</f>
        <v>1</v>
      </c>
      <c r="P9" s="186">
        <f>IFERROR(__xludf.DUMMYFUNCTION("""COMPUTED_VALUE"""),130.0)</f>
        <v>130</v>
      </c>
      <c r="Q9" s="186">
        <f>IFERROR(__xludf.DUMMYFUNCTION("""COMPUTED_VALUE"""),3769.0)</f>
        <v>3769</v>
      </c>
      <c r="R9" s="186" t="str">
        <f>IFERROR(__xludf.DUMMYFUNCTION("""COMPUTED_VALUE"""),"")</f>
        <v/>
      </c>
      <c r="S9" s="186" t="str">
        <f>IFERROR(__xludf.DUMMYFUNCTION("""COMPUTED_VALUE"""),"14-2")</f>
        <v>14-2</v>
      </c>
    </row>
    <row r="10">
      <c r="A10" s="186" t="str">
        <f>IFERROR(__xludf.DUMMYFUNCTION("""COMPUTED_VALUE"""),"NORDICS")</f>
        <v>NORDICS</v>
      </c>
      <c r="B10" s="186" t="str">
        <f>IFERROR(__xludf.DUMMYFUNCTION("""COMPUTED_VALUE"""),"565064 - Laks i senneps-dild sauce")</f>
        <v>565064 - Laks i senneps-dild sauce</v>
      </c>
      <c r="C10" s="186" t="str">
        <f>IFERROR(__xludf.DUMMYFUNCTION("""COMPUTED_VALUE"""),"ASL2")</f>
        <v>ASL2</v>
      </c>
      <c r="D10" s="186" t="str">
        <f>IFERROR(__xludf.DUMMYFUNCTION("""COMPUTED_VALUE"""),"F37")</f>
        <v>F37</v>
      </c>
      <c r="E10" s="186">
        <f>IFERROR(__xludf.DUMMYFUNCTION("""COMPUTED_VALUE"""),6.0)</f>
        <v>6</v>
      </c>
      <c r="F10" s="186">
        <f>IFERROR(__xludf.DUMMYFUNCTION("""COMPUTED_VALUE"""),2.0)</f>
        <v>2</v>
      </c>
      <c r="G10" s="186">
        <f>IFERROR(__xludf.DUMMYFUNCTION("""COMPUTED_VALUE"""),1.0)</f>
        <v>1</v>
      </c>
      <c r="H10" s="186">
        <f>IFERROR(__xludf.DUMMYFUNCTION("""COMPUTED_VALUE"""),18.0)</f>
        <v>18</v>
      </c>
      <c r="I10" s="186" t="str">
        <f>IFERROR(__xludf.DUMMYFUNCTION("""COMPUTED_VALUE"""),"Chilled")</f>
        <v>Chilled</v>
      </c>
      <c r="J10" s="186">
        <f>IFERROR(__xludf.DUMMYFUNCTION("""COMPUTED_VALUE"""),3.0)</f>
        <v>3</v>
      </c>
      <c r="K10" s="186">
        <f>IFERROR(__xludf.DUMMYFUNCTION("""COMPUTED_VALUE"""),0.0)</f>
        <v>0</v>
      </c>
      <c r="L10" s="186">
        <f>IFERROR(__xludf.DUMMYFUNCTION("""COMPUTED_VALUE"""),0.0)</f>
        <v>0</v>
      </c>
      <c r="M10" s="186">
        <f>IFERROR(__xludf.DUMMYFUNCTION("""COMPUTED_VALUE"""),0.0)</f>
        <v>0</v>
      </c>
      <c r="N10" s="186">
        <f>IFERROR(__xludf.DUMMYFUNCTION("""COMPUTED_VALUE"""),0.0)</f>
        <v>0</v>
      </c>
      <c r="O10" s="186">
        <f>IFERROR(__xludf.DUMMYFUNCTION("""COMPUTED_VALUE"""),1.0)</f>
        <v>1</v>
      </c>
      <c r="P10" s="186">
        <f>IFERROR(__xludf.DUMMYFUNCTION("""COMPUTED_VALUE"""),130.0)</f>
        <v>130</v>
      </c>
      <c r="Q10" s="186">
        <f>IFERROR(__xludf.DUMMYFUNCTION("""COMPUTED_VALUE"""),3769.0)</f>
        <v>3769</v>
      </c>
      <c r="R10" s="186" t="str">
        <f>IFERROR(__xludf.DUMMYFUNCTION("""COMPUTED_VALUE"""),"Laks")</f>
        <v>Laks</v>
      </c>
      <c r="S10" s="186" t="str">
        <f>IFERROR(__xludf.DUMMYFUNCTION("""COMPUTED_VALUE"""),"18-1")</f>
        <v>18-1</v>
      </c>
    </row>
    <row r="11">
      <c r="A11" s="186" t="str">
        <f>IFERROR(__xludf.DUMMYFUNCTION("""COMPUTED_VALUE"""),"NORDICS")</f>
        <v>NORDICS</v>
      </c>
      <c r="B11" s="186" t="str">
        <f>IFERROR(__xludf.DUMMYFUNCTION("""COMPUTED_VALUE"""),"565211 - Grillet kylling med ingefær og hvidløg")</f>
        <v>565211 - Grillet kylling med ingefær og hvidløg</v>
      </c>
      <c r="C11" s="186" t="str">
        <f>IFERROR(__xludf.DUMMYFUNCTION("""COMPUTED_VALUE"""),"ASL2")</f>
        <v>ASL2</v>
      </c>
      <c r="D11" s="186" t="str">
        <f>IFERROR(__xludf.DUMMYFUNCTION("""COMPUTED_VALUE"""),"F38")</f>
        <v>F38</v>
      </c>
      <c r="E11" s="186">
        <f>IFERROR(__xludf.DUMMYFUNCTION("""COMPUTED_VALUE"""),6.0)</f>
        <v>6</v>
      </c>
      <c r="F11" s="186">
        <f>IFERROR(__xludf.DUMMYFUNCTION("""COMPUTED_VALUE"""),2.0)</f>
        <v>2</v>
      </c>
      <c r="G11" s="186">
        <f>IFERROR(__xludf.DUMMYFUNCTION("""COMPUTED_VALUE"""),2.0)</f>
        <v>2</v>
      </c>
      <c r="H11" s="186">
        <f>IFERROR(__xludf.DUMMYFUNCTION("""COMPUTED_VALUE"""),18.0)</f>
        <v>18</v>
      </c>
      <c r="I11" s="186" t="str">
        <f>IFERROR(__xludf.DUMMYFUNCTION("""COMPUTED_VALUE"""),"Chilled")</f>
        <v>Chilled</v>
      </c>
      <c r="J11" s="186">
        <f>IFERROR(__xludf.DUMMYFUNCTION("""COMPUTED_VALUE"""),3.0)</f>
        <v>3</v>
      </c>
      <c r="K11" s="186">
        <f>IFERROR(__xludf.DUMMYFUNCTION("""COMPUTED_VALUE"""),718.0)</f>
        <v>718</v>
      </c>
      <c r="L11" s="186">
        <f>IFERROR(__xludf.DUMMYFUNCTION("""COMPUTED_VALUE"""),0.0)</f>
        <v>0</v>
      </c>
      <c r="M11" s="186">
        <f>IFERROR(__xludf.DUMMYFUNCTION("""COMPUTED_VALUE"""),0.0)</f>
        <v>0</v>
      </c>
      <c r="N11" s="186">
        <f>IFERROR(__xludf.DUMMYFUNCTION("""COMPUTED_VALUE"""),718.0)</f>
        <v>718</v>
      </c>
      <c r="O11" s="186">
        <f>IFERROR(__xludf.DUMMYFUNCTION("""COMPUTED_VALUE"""),1.0)</f>
        <v>1</v>
      </c>
      <c r="P11" s="186">
        <f>IFERROR(__xludf.DUMMYFUNCTION("""COMPUTED_VALUE"""),130.0)</f>
        <v>130</v>
      </c>
      <c r="Q11" s="186">
        <f>IFERROR(__xludf.DUMMYFUNCTION("""COMPUTED_VALUE"""),3769.0)</f>
        <v>3769</v>
      </c>
      <c r="R11" s="186" t="str">
        <f>IFERROR(__xludf.DUMMYFUNCTION("""COMPUTED_VALUE"""),"Grillet")</f>
        <v>Grillet</v>
      </c>
      <c r="S11" s="186" t="str">
        <f>IFERROR(__xludf.DUMMYFUNCTION("""COMPUTED_VALUE"""),"18-2")</f>
        <v>18-2</v>
      </c>
    </row>
    <row r="12">
      <c r="A12" s="186" t="str">
        <f>IFERROR(__xludf.DUMMYFUNCTION("""COMPUTED_VALUE"""),"NORDICS")</f>
        <v>NORDICS</v>
      </c>
      <c r="B12" s="186" t="str">
        <f>IFERROR(__xludf.DUMMYFUNCTION("""COMPUTED_VALUE"""),"565164 - Kylling i Emmental-fondue med karamelliseret løg")</f>
        <v>565164 - Kylling i Emmental-fondue med karamelliseret løg</v>
      </c>
      <c r="C12" s="186" t="str">
        <f>IFERROR(__xludf.DUMMYFUNCTION("""COMPUTED_VALUE"""),"ASL2")</f>
        <v>ASL2</v>
      </c>
      <c r="D12" s="186" t="str">
        <f>IFERROR(__xludf.DUMMYFUNCTION("""COMPUTED_VALUE"""),"F40")</f>
        <v>F40</v>
      </c>
      <c r="E12" s="186">
        <f>IFERROR(__xludf.DUMMYFUNCTION("""COMPUTED_VALUE"""),6.0)</f>
        <v>6</v>
      </c>
      <c r="F12" s="186">
        <f>IFERROR(__xludf.DUMMYFUNCTION("""COMPUTED_VALUE"""),1.0)</f>
        <v>1</v>
      </c>
      <c r="G12" s="186">
        <f>IFERROR(__xludf.DUMMYFUNCTION("""COMPUTED_VALUE"""),1.0)</f>
        <v>1</v>
      </c>
      <c r="H12" s="186">
        <f>IFERROR(__xludf.DUMMYFUNCTION("""COMPUTED_VALUE"""),19.0)</f>
        <v>19</v>
      </c>
      <c r="I12" s="186" t="str">
        <f>IFERROR(__xludf.DUMMYFUNCTION("""COMPUTED_VALUE"""),"Chilled")</f>
        <v>Chilled</v>
      </c>
      <c r="J12" s="186">
        <f>IFERROR(__xludf.DUMMYFUNCTION("""COMPUTED_VALUE"""),3.0)</f>
        <v>3</v>
      </c>
      <c r="K12" s="186">
        <f>IFERROR(__xludf.DUMMYFUNCTION("""COMPUTED_VALUE"""),0.0)</f>
        <v>0</v>
      </c>
      <c r="L12" s="186">
        <f>IFERROR(__xludf.DUMMYFUNCTION("""COMPUTED_VALUE"""),0.0)</f>
        <v>0</v>
      </c>
      <c r="M12" s="186">
        <f>IFERROR(__xludf.DUMMYFUNCTION("""COMPUTED_VALUE"""),0.0)</f>
        <v>0</v>
      </c>
      <c r="N12" s="186">
        <f>IFERROR(__xludf.DUMMYFUNCTION("""COMPUTED_VALUE"""),0.0)</f>
        <v>0</v>
      </c>
      <c r="O12" s="186">
        <f>IFERROR(__xludf.DUMMYFUNCTION("""COMPUTED_VALUE"""),1.0)</f>
        <v>1</v>
      </c>
      <c r="P12" s="186">
        <f>IFERROR(__xludf.DUMMYFUNCTION("""COMPUTED_VALUE"""),130.0)</f>
        <v>130</v>
      </c>
      <c r="Q12" s="186">
        <f>IFERROR(__xludf.DUMMYFUNCTION("""COMPUTED_VALUE"""),3769.0)</f>
        <v>3769</v>
      </c>
      <c r="R12" s="186" t="str">
        <f>IFERROR(__xludf.DUMMYFUNCTION("""COMPUTED_VALUE"""),"")</f>
        <v/>
      </c>
      <c r="S12" s="186" t="str">
        <f>IFERROR(__xludf.DUMMYFUNCTION("""COMPUTED_VALUE"""),"19-1")</f>
        <v>19-1</v>
      </c>
    </row>
    <row r="13">
      <c r="A13" s="186" t="str">
        <f>IFERROR(__xludf.DUMMYFUNCTION("""COMPUTED_VALUE"""),"NORDICS")</f>
        <v>NORDICS</v>
      </c>
      <c r="B13" s="186" t="str">
        <f>IFERROR(__xludf.DUMMYFUNCTION("""COMPUTED_VALUE"""),"565309 - Braiseret oksekød i urtesky")</f>
        <v>565309 - Braiseret oksekød i urtesky</v>
      </c>
      <c r="C13" s="186" t="str">
        <f>IFERROR(__xludf.DUMMYFUNCTION("""COMPUTED_VALUE"""),"ASL2")</f>
        <v>ASL2</v>
      </c>
      <c r="D13" s="186" t="str">
        <f>IFERROR(__xludf.DUMMYFUNCTION("""COMPUTED_VALUE"""),"F41")</f>
        <v>F41</v>
      </c>
      <c r="E13" s="186">
        <f>IFERROR(__xludf.DUMMYFUNCTION("""COMPUTED_VALUE"""),6.0)</f>
        <v>6</v>
      </c>
      <c r="F13" s="186">
        <f>IFERROR(__xludf.DUMMYFUNCTION("""COMPUTED_VALUE"""),1.0)</f>
        <v>1</v>
      </c>
      <c r="G13" s="186">
        <f>IFERROR(__xludf.DUMMYFUNCTION("""COMPUTED_VALUE"""),2.0)</f>
        <v>2</v>
      </c>
      <c r="H13" s="186">
        <f>IFERROR(__xludf.DUMMYFUNCTION("""COMPUTED_VALUE"""),19.0)</f>
        <v>19</v>
      </c>
      <c r="I13" s="186" t="str">
        <f>IFERROR(__xludf.DUMMYFUNCTION("""COMPUTED_VALUE"""),"Chilled")</f>
        <v>Chilled</v>
      </c>
      <c r="J13" s="186">
        <f>IFERROR(__xludf.DUMMYFUNCTION("""COMPUTED_VALUE"""),3.0)</f>
        <v>3</v>
      </c>
      <c r="K13" s="186">
        <f>IFERROR(__xludf.DUMMYFUNCTION("""COMPUTED_VALUE"""),2354.0)</f>
        <v>2354</v>
      </c>
      <c r="L13" s="186">
        <f>IFERROR(__xludf.DUMMYFUNCTION("""COMPUTED_VALUE"""),0.0)</f>
        <v>0</v>
      </c>
      <c r="M13" s="186">
        <f>IFERROR(__xludf.DUMMYFUNCTION("""COMPUTED_VALUE"""),0.0)</f>
        <v>0</v>
      </c>
      <c r="N13" s="186">
        <f>IFERROR(__xludf.DUMMYFUNCTION("""COMPUTED_VALUE"""),2354.0)</f>
        <v>2354</v>
      </c>
      <c r="O13" s="186">
        <f>IFERROR(__xludf.DUMMYFUNCTION("""COMPUTED_VALUE"""),1.0)</f>
        <v>1</v>
      </c>
      <c r="P13" s="186">
        <f>IFERROR(__xludf.DUMMYFUNCTION("""COMPUTED_VALUE"""),130.0)</f>
        <v>130</v>
      </c>
      <c r="Q13" s="186">
        <f>IFERROR(__xludf.DUMMYFUNCTION("""COMPUTED_VALUE"""),3769.0)</f>
        <v>3769</v>
      </c>
      <c r="R13" s="186" t="str">
        <f>IFERROR(__xludf.DUMMYFUNCTION("""COMPUTED_VALUE"""),"")</f>
        <v/>
      </c>
      <c r="S13" s="186" t="str">
        <f>IFERROR(__xludf.DUMMYFUNCTION("""COMPUTED_VALUE"""),"19-2")</f>
        <v>19-2</v>
      </c>
    </row>
    <row r="14">
      <c r="A14" s="186" t="str">
        <f>IFERROR(__xludf.DUMMYFUNCTION("""COMPUTED_VALUE"""),"NORDICS")</f>
        <v>NORDICS</v>
      </c>
      <c r="B14" s="186" t="str">
        <f>IFERROR(__xludf.DUMMYFUNCTION("""COMPUTED_VALUE"""),"565095 - Svinemørbrad i ancho- og chilisauce")</f>
        <v>565095 - Svinemørbrad i ancho- og chilisauce</v>
      </c>
      <c r="C14" s="186" t="str">
        <f>IFERROR(__xludf.DUMMYFUNCTION("""COMPUTED_VALUE"""),"ASL2")</f>
        <v>ASL2</v>
      </c>
      <c r="D14" s="186" t="str">
        <f>IFERROR(__xludf.DUMMYFUNCTION("""COMPUTED_VALUE"""),"F44")</f>
        <v>F44</v>
      </c>
      <c r="E14" s="186">
        <f>IFERROR(__xludf.DUMMYFUNCTION("""COMPUTED_VALUE"""),6.0)</f>
        <v>6</v>
      </c>
      <c r="F14" s="186">
        <f>IFERROR(__xludf.DUMMYFUNCTION("""COMPUTED_VALUE"""),0.0)</f>
        <v>0</v>
      </c>
      <c r="G14" s="186">
        <f>IFERROR(__xludf.DUMMYFUNCTION("""COMPUTED_VALUE"""),2.0)</f>
        <v>2</v>
      </c>
      <c r="H14" s="186">
        <f>IFERROR(__xludf.DUMMYFUNCTION("""COMPUTED_VALUE"""),20.0)</f>
        <v>20</v>
      </c>
      <c r="I14" s="186" t="str">
        <f>IFERROR(__xludf.DUMMYFUNCTION("""COMPUTED_VALUE"""),"Chilled")</f>
        <v>Chilled</v>
      </c>
      <c r="J14" s="186">
        <f>IFERROR(__xludf.DUMMYFUNCTION("""COMPUTED_VALUE"""),3.0)</f>
        <v>3</v>
      </c>
      <c r="K14" s="186">
        <f>IFERROR(__xludf.DUMMYFUNCTION("""COMPUTED_VALUE"""),667.0)</f>
        <v>667</v>
      </c>
      <c r="L14" s="186">
        <f>IFERROR(__xludf.DUMMYFUNCTION("""COMPUTED_VALUE"""),0.0)</f>
        <v>0</v>
      </c>
      <c r="M14" s="186">
        <f>IFERROR(__xludf.DUMMYFUNCTION("""COMPUTED_VALUE"""),0.0)</f>
        <v>0</v>
      </c>
      <c r="N14" s="186">
        <f>IFERROR(__xludf.DUMMYFUNCTION("""COMPUTED_VALUE"""),667.0)</f>
        <v>667</v>
      </c>
      <c r="O14" s="186">
        <f>IFERROR(__xludf.DUMMYFUNCTION("""COMPUTED_VALUE"""),1.0)</f>
        <v>1</v>
      </c>
      <c r="P14" s="186">
        <f>IFERROR(__xludf.DUMMYFUNCTION("""COMPUTED_VALUE"""),130.0)</f>
        <v>130</v>
      </c>
      <c r="Q14" s="186">
        <f>IFERROR(__xludf.DUMMYFUNCTION("""COMPUTED_VALUE"""),3769.0)</f>
        <v>3769</v>
      </c>
      <c r="R14" s="186" t="str">
        <f>IFERROR(__xludf.DUMMYFUNCTION("""COMPUTED_VALUE"""),"Svinemørbrad")</f>
        <v>Svinemørbrad</v>
      </c>
      <c r="S14" s="186" t="str">
        <f>IFERROR(__xludf.DUMMYFUNCTION("""COMPUTED_VALUE"""),"20-2")</f>
        <v>20-2</v>
      </c>
    </row>
    <row r="15">
      <c r="A15" s="186" t="str">
        <f>IFERROR(__xludf.DUMMYFUNCTION("""COMPUTED_VALUE"""),"NORDICS")</f>
        <v>NORDICS</v>
      </c>
      <c r="B15" s="186" t="str">
        <f>IFERROR(__xludf.DUMMYFUNCTION("""COMPUTED_VALUE"""),"565072 - Grillet kylling med ratatouille")</f>
        <v>565072 - Grillet kylling med ratatouille</v>
      </c>
      <c r="C15" s="186" t="str">
        <f>IFERROR(__xludf.DUMMYFUNCTION("""COMPUTED_VALUE"""),"ASL2")</f>
        <v>ASL2</v>
      </c>
      <c r="D15" s="186" t="str">
        <f>IFERROR(__xludf.DUMMYFUNCTION("""COMPUTED_VALUE"""),"F68")</f>
        <v>F68</v>
      </c>
      <c r="E15" s="186">
        <f>IFERROR(__xludf.DUMMYFUNCTION("""COMPUTED_VALUE"""),9.0)</f>
        <v>9</v>
      </c>
      <c r="F15" s="186">
        <f>IFERROR(__xludf.DUMMYFUNCTION("""COMPUTED_VALUE"""),1.0)</f>
        <v>1</v>
      </c>
      <c r="G15" s="186">
        <f>IFERROR(__xludf.DUMMYFUNCTION("""COMPUTED_VALUE"""),2.0)</f>
        <v>2</v>
      </c>
      <c r="H15" s="186">
        <f>IFERROR(__xludf.DUMMYFUNCTION("""COMPUTED_VALUE"""),28.0)</f>
        <v>28</v>
      </c>
      <c r="I15" s="186" t="str">
        <f>IFERROR(__xludf.DUMMYFUNCTION("""COMPUTED_VALUE"""),"Chilled")</f>
        <v>Chilled</v>
      </c>
      <c r="J15" s="186">
        <f>IFERROR(__xludf.DUMMYFUNCTION("""COMPUTED_VALUE"""),6.0)</f>
        <v>6</v>
      </c>
      <c r="K15" s="186">
        <f>IFERROR(__xludf.DUMMYFUNCTION("""COMPUTED_VALUE"""),3769.0)</f>
        <v>3769</v>
      </c>
      <c r="L15" s="186">
        <f>IFERROR(__xludf.DUMMYFUNCTION("""COMPUTED_VALUE"""),0.0)</f>
        <v>0</v>
      </c>
      <c r="M15" s="186">
        <f>IFERROR(__xludf.DUMMYFUNCTION("""COMPUTED_VALUE"""),0.0)</f>
        <v>0</v>
      </c>
      <c r="N15" s="186">
        <f>IFERROR(__xludf.DUMMYFUNCTION("""COMPUTED_VALUE"""),3769.0)</f>
        <v>3769</v>
      </c>
      <c r="O15" s="186">
        <f>IFERROR(__xludf.DUMMYFUNCTION("""COMPUTED_VALUE"""),1.0)</f>
        <v>1</v>
      </c>
      <c r="P15" s="186">
        <f>IFERROR(__xludf.DUMMYFUNCTION("""COMPUTED_VALUE"""),130.0)</f>
        <v>130</v>
      </c>
      <c r="Q15" s="186">
        <f>IFERROR(__xludf.DUMMYFUNCTION("""COMPUTED_VALUE"""),3769.0)</f>
        <v>3769</v>
      </c>
      <c r="R15" s="186" t="str">
        <f>IFERROR(__xludf.DUMMYFUNCTION("""COMPUTED_VALUE"""),"Grillet")</f>
        <v>Grillet</v>
      </c>
      <c r="S15" s="186" t="str">
        <f>IFERROR(__xludf.DUMMYFUNCTION("""COMPUTED_VALUE"""),"28-2")</f>
        <v>28-2</v>
      </c>
    </row>
    <row r="16">
      <c r="A16" s="186" t="str">
        <f>IFERROR(__xludf.DUMMYFUNCTION("""COMPUTED_VALUE"""),"NORDICS")</f>
        <v>NORDICS</v>
      </c>
      <c r="B16" s="186" t="str">
        <f>IFERROR(__xludf.DUMMYFUNCTION("""COMPUTED_VALUE"""),"620 - ")</f>
        <v>620 - </v>
      </c>
      <c r="C16" s="186" t="str">
        <f>IFERROR(__xludf.DUMMYFUNCTION("""COMPUTED_VALUE"""),"ASL2")</f>
        <v>ASL2</v>
      </c>
      <c r="D16" s="186" t="str">
        <f>IFERROR(__xludf.DUMMYFUNCTION("""COMPUTED_VALUE"""),"F70")</f>
        <v>F70</v>
      </c>
      <c r="E16" s="186">
        <f>IFERROR(__xludf.DUMMYFUNCTION("""COMPUTED_VALUE"""),9.0)</f>
        <v>9</v>
      </c>
      <c r="F16" s="186">
        <f>IFERROR(__xludf.DUMMYFUNCTION("""COMPUTED_VALUE"""),0.0)</f>
        <v>0</v>
      </c>
      <c r="G16" s="186">
        <f>IFERROR(__xludf.DUMMYFUNCTION("""COMPUTED_VALUE"""),1.0)</f>
        <v>1</v>
      </c>
      <c r="H16" s="186">
        <f>IFERROR(__xludf.DUMMYFUNCTION("""COMPUTED_VALUE"""),29.0)</f>
        <v>29</v>
      </c>
      <c r="I16" s="186" t="str">
        <f>IFERROR(__xludf.DUMMYFUNCTION("""COMPUTED_VALUE"""),"Chilled")</f>
        <v>Chilled</v>
      </c>
      <c r="J16" s="186">
        <f>IFERROR(__xludf.DUMMYFUNCTION("""COMPUTED_VALUE"""),6.0)</f>
        <v>6</v>
      </c>
      <c r="K16" s="186">
        <f>IFERROR(__xludf.DUMMYFUNCTION("""COMPUTED_VALUE"""),0.0)</f>
        <v>0</v>
      </c>
      <c r="L16" s="186">
        <f>IFERROR(__xludf.DUMMYFUNCTION("""COMPUTED_VALUE"""),0.0)</f>
        <v>0</v>
      </c>
      <c r="M16" s="186">
        <f>IFERROR(__xludf.DUMMYFUNCTION("""COMPUTED_VALUE"""),0.0)</f>
        <v>0</v>
      </c>
      <c r="N16" s="186">
        <f>IFERROR(__xludf.DUMMYFUNCTION("""COMPUTED_VALUE"""),0.0)</f>
        <v>0</v>
      </c>
      <c r="O16" s="186">
        <f>IFERROR(__xludf.DUMMYFUNCTION("""COMPUTED_VALUE"""),1.0)</f>
        <v>1</v>
      </c>
      <c r="P16" s="186">
        <f>IFERROR(__xludf.DUMMYFUNCTION("""COMPUTED_VALUE"""),130.0)</f>
        <v>130</v>
      </c>
      <c r="Q16" s="186">
        <f>IFERROR(__xludf.DUMMYFUNCTION("""COMPUTED_VALUE"""),3769.0)</f>
        <v>3769</v>
      </c>
      <c r="R16" s="186" t="str">
        <f>IFERROR(__xludf.DUMMYFUNCTION("""COMPUTED_VALUE"""),"")</f>
        <v/>
      </c>
      <c r="S16" s="186" t="str">
        <f>IFERROR(__xludf.DUMMYFUNCTION("""COMPUTED_VALUE"""),"29-1")</f>
        <v>29-1</v>
      </c>
    </row>
    <row r="17">
      <c r="A17" s="186" t="str">
        <f>IFERROR(__xludf.DUMMYFUNCTION("""COMPUTED_VALUE"""),"NORDICS")</f>
        <v>NORDICS</v>
      </c>
      <c r="B17" s="186" t="str">
        <f>IFERROR(__xludf.DUMMYFUNCTION("""COMPUTED_VALUE"""),"706 - Grillet kylling med hvidlød og urter")</f>
        <v>706 - Grillet kylling med hvidlød og urter</v>
      </c>
      <c r="C17" s="186" t="str">
        <f>IFERROR(__xludf.DUMMYFUNCTION("""COMPUTED_VALUE"""),"ASL2")</f>
        <v>ASL2</v>
      </c>
      <c r="D17" s="186" t="str">
        <f>IFERROR(__xludf.DUMMYFUNCTION("""COMPUTED_VALUE"""),"F85")</f>
        <v>F85</v>
      </c>
      <c r="E17" s="186">
        <f>IFERROR(__xludf.DUMMYFUNCTION("""COMPUTED_VALUE"""),12.0)</f>
        <v>12</v>
      </c>
      <c r="F17" s="186" t="str">
        <f>IFERROR(__xludf.DUMMYFUNCTION("""COMPUTED_VALUE"""),"")</f>
        <v/>
      </c>
      <c r="G17" s="186">
        <f>IFERROR(__xludf.DUMMYFUNCTION("""COMPUTED_VALUE"""),1.0)</f>
        <v>1</v>
      </c>
      <c r="H17" s="186">
        <f>IFERROR(__xludf.DUMMYFUNCTION("""COMPUTED_VALUE"""),34.0)</f>
        <v>34</v>
      </c>
      <c r="I17" s="186" t="str">
        <f>IFERROR(__xludf.DUMMYFUNCTION("""COMPUTED_VALUE"""),"Chilled")</f>
        <v>Chilled</v>
      </c>
      <c r="J17" s="186">
        <f>IFERROR(__xludf.DUMMYFUNCTION("""COMPUTED_VALUE"""),9.0)</f>
        <v>9</v>
      </c>
      <c r="K17" s="186">
        <f>IFERROR(__xludf.DUMMYFUNCTION("""COMPUTED_VALUE"""),36.0)</f>
        <v>36</v>
      </c>
      <c r="L17" s="186">
        <f>IFERROR(__xludf.DUMMYFUNCTION("""COMPUTED_VALUE"""),0.0)</f>
        <v>0</v>
      </c>
      <c r="M17" s="186">
        <f>IFERROR(__xludf.DUMMYFUNCTION("""COMPUTED_VALUE"""),0.0)</f>
        <v>0</v>
      </c>
      <c r="N17" s="186">
        <f>IFERROR(__xludf.DUMMYFUNCTION("""COMPUTED_VALUE"""),36.0)</f>
        <v>36</v>
      </c>
      <c r="O17" s="186">
        <f>IFERROR(__xludf.DUMMYFUNCTION("""COMPUTED_VALUE"""),1.0)</f>
        <v>1</v>
      </c>
      <c r="P17" s="186">
        <f>IFERROR(__xludf.DUMMYFUNCTION("""COMPUTED_VALUE"""),130.0)</f>
        <v>130</v>
      </c>
      <c r="Q17" s="186">
        <f>IFERROR(__xludf.DUMMYFUNCTION("""COMPUTED_VALUE"""),3769.0)</f>
        <v>3769</v>
      </c>
      <c r="R17" s="186" t="str">
        <f>IFERROR(__xludf.DUMMYFUNCTION("""COMPUTED_VALUE"""),"")</f>
        <v/>
      </c>
      <c r="S17" s="186" t="str">
        <f>IFERROR(__xludf.DUMMYFUNCTION("""COMPUTED_VALUE"""),"34-1")</f>
        <v>34-1</v>
      </c>
    </row>
    <row r="18">
      <c r="A18" s="186" t="str">
        <f>IFERROR(__xludf.DUMMYFUNCTION("""COMPUTED_VALUE"""),"NORDICS")</f>
        <v>NORDICS</v>
      </c>
      <c r="B18" s="186" t="str">
        <f>IFERROR(__xludf.DUMMYFUNCTION("""COMPUTED_VALUE"""),"565130 - Chilikryddet pulled pork")</f>
        <v>565130 - Chilikryddet pulled pork</v>
      </c>
      <c r="C18" s="186" t="str">
        <f>IFERROR(__xludf.DUMMYFUNCTION("""COMPUTED_VALUE"""),"ASL2")</f>
        <v>ASL2</v>
      </c>
      <c r="D18" s="186" t="str">
        <f>IFERROR(__xludf.DUMMYFUNCTION("""COMPUTED_VALUE"""),"F86")</f>
        <v>F86</v>
      </c>
      <c r="E18" s="186">
        <f>IFERROR(__xludf.DUMMYFUNCTION("""COMPUTED_VALUE"""),12.0)</f>
        <v>12</v>
      </c>
      <c r="F18" s="186" t="str">
        <f>IFERROR(__xludf.DUMMYFUNCTION("""COMPUTED_VALUE"""),"")</f>
        <v/>
      </c>
      <c r="G18" s="186">
        <f>IFERROR(__xludf.DUMMYFUNCTION("""COMPUTED_VALUE"""),2.0)</f>
        <v>2</v>
      </c>
      <c r="H18" s="186">
        <f>IFERROR(__xludf.DUMMYFUNCTION("""COMPUTED_VALUE"""),34.0)</f>
        <v>34</v>
      </c>
      <c r="I18" s="186" t="str">
        <f>IFERROR(__xludf.DUMMYFUNCTION("""COMPUTED_VALUE"""),"Chilled")</f>
        <v>Chilled</v>
      </c>
      <c r="J18" s="186">
        <f>IFERROR(__xludf.DUMMYFUNCTION("""COMPUTED_VALUE"""),9.0)</f>
        <v>9</v>
      </c>
      <c r="K18" s="186">
        <f>IFERROR(__xludf.DUMMYFUNCTION("""COMPUTED_VALUE"""),1996.0)</f>
        <v>1996</v>
      </c>
      <c r="L18" s="186">
        <f>IFERROR(__xludf.DUMMYFUNCTION("""COMPUTED_VALUE"""),0.0)</f>
        <v>0</v>
      </c>
      <c r="M18" s="186">
        <f>IFERROR(__xludf.DUMMYFUNCTION("""COMPUTED_VALUE"""),0.0)</f>
        <v>0</v>
      </c>
      <c r="N18" s="186">
        <f>IFERROR(__xludf.DUMMYFUNCTION("""COMPUTED_VALUE"""),1996.0)</f>
        <v>1996</v>
      </c>
      <c r="O18" s="186">
        <f>IFERROR(__xludf.DUMMYFUNCTION("""COMPUTED_VALUE"""),1.0)</f>
        <v>1</v>
      </c>
      <c r="P18" s="186">
        <f>IFERROR(__xludf.DUMMYFUNCTION("""COMPUTED_VALUE"""),130.0)</f>
        <v>130</v>
      </c>
      <c r="Q18" s="186">
        <f>IFERROR(__xludf.DUMMYFUNCTION("""COMPUTED_VALUE"""),3769.0)</f>
        <v>3769</v>
      </c>
      <c r="R18" s="186" t="str">
        <f>IFERROR(__xludf.DUMMYFUNCTION("""COMPUTED_VALUE"""),"")</f>
        <v/>
      </c>
      <c r="S18" s="186" t="str">
        <f>IFERROR(__xludf.DUMMYFUNCTION("""COMPUTED_VALUE"""),"34-2")</f>
        <v>34-2</v>
      </c>
    </row>
    <row r="19">
      <c r="A19" s="186" t="str">
        <f>IFERROR(__xludf.DUMMYFUNCTION("""COMPUTED_VALUE"""),"NORDICS")</f>
        <v>NORDICS</v>
      </c>
      <c r="B19" s="186" t="str">
        <f>IFERROR(__xludf.DUMMYFUNCTION("""COMPUTED_VALUE"""),"565196 - Laks med aji verde")</f>
        <v>565196 - Laks med aji verde</v>
      </c>
      <c r="C19" s="186" t="str">
        <f>IFERROR(__xludf.DUMMYFUNCTION("""COMPUTED_VALUE"""),"ASL2")</f>
        <v>ASL2</v>
      </c>
      <c r="D19" s="186" t="str">
        <f>IFERROR(__xludf.DUMMYFUNCTION("""COMPUTED_VALUE"""),"F88")</f>
        <v>F88</v>
      </c>
      <c r="E19" s="186">
        <f>IFERROR(__xludf.DUMMYFUNCTION("""COMPUTED_VALUE"""),12.0)</f>
        <v>12</v>
      </c>
      <c r="F19" s="186" t="str">
        <f>IFERROR(__xludf.DUMMYFUNCTION("""COMPUTED_VALUE"""),"")</f>
        <v/>
      </c>
      <c r="G19" s="186">
        <f>IFERROR(__xludf.DUMMYFUNCTION("""COMPUTED_VALUE"""),1.0)</f>
        <v>1</v>
      </c>
      <c r="H19" s="186">
        <f>IFERROR(__xludf.DUMMYFUNCTION("""COMPUTED_VALUE"""),35.0)</f>
        <v>35</v>
      </c>
      <c r="I19" s="186" t="str">
        <f>IFERROR(__xludf.DUMMYFUNCTION("""COMPUTED_VALUE"""),"Chilled")</f>
        <v>Chilled</v>
      </c>
      <c r="J19" s="186">
        <f>IFERROR(__xludf.DUMMYFUNCTION("""COMPUTED_VALUE"""),9.0)</f>
        <v>9</v>
      </c>
      <c r="K19" s="186">
        <f>IFERROR(__xludf.DUMMYFUNCTION("""COMPUTED_VALUE"""),1383.0)</f>
        <v>1383</v>
      </c>
      <c r="L19" s="186">
        <f>IFERROR(__xludf.DUMMYFUNCTION("""COMPUTED_VALUE"""),0.0)</f>
        <v>0</v>
      </c>
      <c r="M19" s="186">
        <f>IFERROR(__xludf.DUMMYFUNCTION("""COMPUTED_VALUE"""),0.0)</f>
        <v>0</v>
      </c>
      <c r="N19" s="186">
        <f>IFERROR(__xludf.DUMMYFUNCTION("""COMPUTED_VALUE"""),1383.0)</f>
        <v>1383</v>
      </c>
      <c r="O19" s="186">
        <f>IFERROR(__xludf.DUMMYFUNCTION("""COMPUTED_VALUE"""),1.0)</f>
        <v>1</v>
      </c>
      <c r="P19" s="186">
        <f>IFERROR(__xludf.DUMMYFUNCTION("""COMPUTED_VALUE"""),130.0)</f>
        <v>130</v>
      </c>
      <c r="Q19" s="186">
        <f>IFERROR(__xludf.DUMMYFUNCTION("""COMPUTED_VALUE"""),3769.0)</f>
        <v>3769</v>
      </c>
      <c r="R19" s="186" t="str">
        <f>IFERROR(__xludf.DUMMYFUNCTION("""COMPUTED_VALUE"""),"")</f>
        <v/>
      </c>
      <c r="S19" s="186" t="str">
        <f>IFERROR(__xludf.DUMMYFUNCTION("""COMPUTED_VALUE"""),"35-1")</f>
        <v>35-1</v>
      </c>
    </row>
    <row r="20">
      <c r="A20" s="186" t="str">
        <f>IFERROR(__xludf.DUMMYFUNCTION("""COMPUTED_VALUE"""),"NORDICS")</f>
        <v>NORDICS</v>
      </c>
      <c r="B20" s="186" t="str">
        <f>IFERROR(__xludf.DUMMYFUNCTION("""COMPUTED_VALUE"""),"")</f>
        <v/>
      </c>
      <c r="C20" s="186" t="str">
        <f>IFERROR(__xludf.DUMMYFUNCTION("""COMPUTED_VALUE"""),"ASL2")</f>
        <v>ASL2</v>
      </c>
      <c r="D20" s="186" t="str">
        <f>IFERROR(__xludf.DUMMYFUNCTION("""COMPUTED_VALUE"""),"F89")</f>
        <v>F89</v>
      </c>
      <c r="E20" s="186">
        <f>IFERROR(__xludf.DUMMYFUNCTION("""COMPUTED_VALUE"""),12.0)</f>
        <v>12</v>
      </c>
      <c r="F20" s="186" t="str">
        <f>IFERROR(__xludf.DUMMYFUNCTION("""COMPUTED_VALUE"""),"")</f>
        <v/>
      </c>
      <c r="G20" s="186">
        <f>IFERROR(__xludf.DUMMYFUNCTION("""COMPUTED_VALUE"""),2.0)</f>
        <v>2</v>
      </c>
      <c r="H20" s="186">
        <f>IFERROR(__xludf.DUMMYFUNCTION("""COMPUTED_VALUE"""),35.0)</f>
        <v>35</v>
      </c>
      <c r="I20" s="186" t="str">
        <f>IFERROR(__xludf.DUMMYFUNCTION("""COMPUTED_VALUE"""),"Chilled")</f>
        <v>Chilled</v>
      </c>
      <c r="J20" s="186">
        <f>IFERROR(__xludf.DUMMYFUNCTION("""COMPUTED_VALUE"""),9.0)</f>
        <v>9</v>
      </c>
      <c r="K20" s="186">
        <f>IFERROR(__xludf.DUMMYFUNCTION("""COMPUTED_VALUE"""),0.0)</f>
        <v>0</v>
      </c>
      <c r="L20" s="186">
        <f>IFERROR(__xludf.DUMMYFUNCTION("""COMPUTED_VALUE"""),0.0)</f>
        <v>0</v>
      </c>
      <c r="M20" s="186">
        <f>IFERROR(__xludf.DUMMYFUNCTION("""COMPUTED_VALUE"""),0.0)</f>
        <v>0</v>
      </c>
      <c r="N20" s="186" t="str">
        <f>IFERROR(__xludf.DUMMYFUNCTION("""COMPUTED_VALUE"""),"")</f>
        <v/>
      </c>
      <c r="O20" s="186">
        <f>IFERROR(__xludf.DUMMYFUNCTION("""COMPUTED_VALUE"""),1.0)</f>
        <v>1</v>
      </c>
      <c r="P20" s="186">
        <f>IFERROR(__xludf.DUMMYFUNCTION("""COMPUTED_VALUE"""),130.0)</f>
        <v>130</v>
      </c>
      <c r="Q20" s="186">
        <f>IFERROR(__xludf.DUMMYFUNCTION("""COMPUTED_VALUE"""),3769.0)</f>
        <v>3769</v>
      </c>
      <c r="R20" s="186" t="str">
        <f>IFERROR(__xludf.DUMMYFUNCTION("""COMPUTED_VALUE"""),"")</f>
        <v/>
      </c>
      <c r="S20" s="186" t="str">
        <f>IFERROR(__xludf.DUMMYFUNCTION("""COMPUTED_VALUE"""),"35-2")</f>
        <v>35-2</v>
      </c>
    </row>
    <row r="21">
      <c r="A21" s="186" t="str">
        <f>IFERROR(__xludf.DUMMYFUNCTION("""COMPUTED_VALUE"""),"NORDICS")</f>
        <v>NORDICS</v>
      </c>
      <c r="B21" s="186" t="str">
        <f>IFERROR(__xludf.DUMMYFUNCTION("""COMPUTED_VALUE"""),"709 - FACTOR_ Spirulina Ginger Lime Ginger Shot")</f>
        <v>709 - FACTOR_ Spirulina Ginger Lime Ginger Shot</v>
      </c>
      <c r="C21" s="186" t="str">
        <f>IFERROR(__xludf.DUMMYFUNCTION("""COMPUTED_VALUE"""),"ASL2")</f>
        <v>ASL2</v>
      </c>
      <c r="D21" s="186" t="str">
        <f>IFERROR(__xludf.DUMMYFUNCTION("""COMPUTED_VALUE"""),"F106")</f>
        <v>F106</v>
      </c>
      <c r="E21" s="186">
        <f>IFERROR(__xludf.DUMMYFUNCTION("""COMPUTED_VALUE"""),14.0)</f>
        <v>14</v>
      </c>
      <c r="F21" s="186">
        <f>IFERROR(__xludf.DUMMYFUNCTION("""COMPUTED_VALUE"""),1.0)</f>
        <v>1</v>
      </c>
      <c r="G21" s="186">
        <f>IFERROR(__xludf.DUMMYFUNCTION("""COMPUTED_VALUE"""),2.0)</f>
        <v>2</v>
      </c>
      <c r="H21" s="186">
        <f>IFERROR(__xludf.DUMMYFUNCTION("""COMPUTED_VALUE"""),41.0)</f>
        <v>41</v>
      </c>
      <c r="I21" s="186" t="str">
        <f>IFERROR(__xludf.DUMMYFUNCTION("""COMPUTED_VALUE"""),"Chilled")</f>
        <v>Chilled</v>
      </c>
      <c r="J21" s="186">
        <f>IFERROR(__xludf.DUMMYFUNCTION("""COMPUTED_VALUE"""),11.0)</f>
        <v>11</v>
      </c>
      <c r="K21" s="186">
        <f>IFERROR(__xludf.DUMMYFUNCTION("""COMPUTED_VALUE"""),73.0)</f>
        <v>73</v>
      </c>
      <c r="L21" s="186">
        <f>IFERROR(__xludf.DUMMYFUNCTION("""COMPUTED_VALUE"""),0.0)</f>
        <v>0</v>
      </c>
      <c r="M21" s="186">
        <f>IFERROR(__xludf.DUMMYFUNCTION("""COMPUTED_VALUE"""),0.0)</f>
        <v>0</v>
      </c>
      <c r="N21" s="186">
        <f>IFERROR(__xludf.DUMMYFUNCTION("""COMPUTED_VALUE"""),73.0)</f>
        <v>73</v>
      </c>
      <c r="O21" s="186">
        <f>IFERROR(__xludf.DUMMYFUNCTION("""COMPUTED_VALUE"""),1.0)</f>
        <v>1</v>
      </c>
      <c r="P21" s="186">
        <f>IFERROR(__xludf.DUMMYFUNCTION("""COMPUTED_VALUE"""),130.0)</f>
        <v>130</v>
      </c>
      <c r="Q21" s="186">
        <f>IFERROR(__xludf.DUMMYFUNCTION("""COMPUTED_VALUE"""),3769.0)</f>
        <v>3769</v>
      </c>
      <c r="R21" s="186" t="str">
        <f>IFERROR(__xludf.DUMMYFUNCTION("""COMPUTED_VALUE"""),"")</f>
        <v/>
      </c>
      <c r="S21" s="186" t="str">
        <f>IFERROR(__xludf.DUMMYFUNCTION("""COMPUTED_VALUE"""),"41-2")</f>
        <v>41-2</v>
      </c>
    </row>
    <row r="22">
      <c r="A22" s="186" t="str">
        <f>IFERROR(__xludf.DUMMYFUNCTION("""COMPUTED_VALUE"""),"NORDICS")</f>
        <v>NORDICS</v>
      </c>
      <c r="B22" s="186" t="str">
        <f>IFERROR(__xludf.DUMMYFUNCTION("""COMPUTED_VALUE"""),"565043 - Spicy kylling med jalapeño, lime og cheddar")</f>
        <v>565043 - Spicy kylling med jalapeño, lime og cheddar</v>
      </c>
      <c r="C22" s="186" t="str">
        <f>IFERROR(__xludf.DUMMYFUNCTION("""COMPUTED_VALUE"""),"ASL2")</f>
        <v>ASL2</v>
      </c>
      <c r="D22" s="186" t="str">
        <f>IFERROR(__xludf.DUMMYFUNCTION("""COMPUTED_VALUE"""),"F107")</f>
        <v>F107</v>
      </c>
      <c r="E22" s="186">
        <f>IFERROR(__xludf.DUMMYFUNCTION("""COMPUTED_VALUE"""),14.0)</f>
        <v>14</v>
      </c>
      <c r="F22" s="186">
        <f>IFERROR(__xludf.DUMMYFUNCTION("""COMPUTED_VALUE"""),0.0)</f>
        <v>0</v>
      </c>
      <c r="G22" s="186">
        <f>IFERROR(__xludf.DUMMYFUNCTION("""COMPUTED_VALUE"""),1.0)</f>
        <v>1</v>
      </c>
      <c r="H22" s="186">
        <f>IFERROR(__xludf.DUMMYFUNCTION("""COMPUTED_VALUE"""),42.0)</f>
        <v>42</v>
      </c>
      <c r="I22" s="186" t="str">
        <f>IFERROR(__xludf.DUMMYFUNCTION("""COMPUTED_VALUE"""),"Chilled")</f>
        <v>Chilled</v>
      </c>
      <c r="J22" s="186">
        <f>IFERROR(__xludf.DUMMYFUNCTION("""COMPUTED_VALUE"""),11.0)</f>
        <v>11</v>
      </c>
      <c r="K22" s="186">
        <f>IFERROR(__xludf.DUMMYFUNCTION("""COMPUTED_VALUE"""),1291.0)</f>
        <v>1291</v>
      </c>
      <c r="L22" s="186">
        <f>IFERROR(__xludf.DUMMYFUNCTION("""COMPUTED_VALUE"""),0.0)</f>
        <v>0</v>
      </c>
      <c r="M22" s="186">
        <f>IFERROR(__xludf.DUMMYFUNCTION("""COMPUTED_VALUE"""),0.0)</f>
        <v>0</v>
      </c>
      <c r="N22" s="186">
        <f>IFERROR(__xludf.DUMMYFUNCTION("""COMPUTED_VALUE"""),1291.0)</f>
        <v>1291</v>
      </c>
      <c r="O22" s="186">
        <f>IFERROR(__xludf.DUMMYFUNCTION("""COMPUTED_VALUE"""),1.0)</f>
        <v>1</v>
      </c>
      <c r="P22" s="186">
        <f>IFERROR(__xludf.DUMMYFUNCTION("""COMPUTED_VALUE"""),130.0)</f>
        <v>130</v>
      </c>
      <c r="Q22" s="186">
        <f>IFERROR(__xludf.DUMMYFUNCTION("""COMPUTED_VALUE"""),3769.0)</f>
        <v>3769</v>
      </c>
      <c r="R22" s="186" t="str">
        <f>IFERROR(__xludf.DUMMYFUNCTION("""COMPUTED_VALUE"""),"")</f>
        <v/>
      </c>
      <c r="S22" s="186" t="str">
        <f>IFERROR(__xludf.DUMMYFUNCTION("""COMPUTED_VALUE"""),"42-1")</f>
        <v>42-1</v>
      </c>
    </row>
    <row r="23">
      <c r="A23" s="186" t="str">
        <f>IFERROR(__xludf.DUMMYFUNCTION("""COMPUTED_VALUE"""),"NORDICS")</f>
        <v>NORDICS</v>
      </c>
      <c r="B23" s="186" t="str">
        <f>IFERROR(__xludf.DUMMYFUNCTION("""COMPUTED_VALUE"""),"710 - FACTOR_ Turmeric Cayenne Pineapple Ginger Shot")</f>
        <v>710 - FACTOR_ Turmeric Cayenne Pineapple Ginger Shot</v>
      </c>
      <c r="C23" s="186" t="str">
        <f>IFERROR(__xludf.DUMMYFUNCTION("""COMPUTED_VALUE"""),"ASL2")</f>
        <v>ASL2</v>
      </c>
      <c r="D23" s="186" t="str">
        <f>IFERROR(__xludf.DUMMYFUNCTION("""COMPUTED_VALUE"""),"F108")</f>
        <v>F108</v>
      </c>
      <c r="E23" s="186">
        <f>IFERROR(__xludf.DUMMYFUNCTION("""COMPUTED_VALUE"""),14.0)</f>
        <v>14</v>
      </c>
      <c r="F23" s="186">
        <f>IFERROR(__xludf.DUMMYFUNCTION("""COMPUTED_VALUE"""),0.0)</f>
        <v>0</v>
      </c>
      <c r="G23" s="186">
        <f>IFERROR(__xludf.DUMMYFUNCTION("""COMPUTED_VALUE"""),2.0)</f>
        <v>2</v>
      </c>
      <c r="H23" s="186">
        <f>IFERROR(__xludf.DUMMYFUNCTION("""COMPUTED_VALUE"""),42.0)</f>
        <v>42</v>
      </c>
      <c r="I23" s="186" t="str">
        <f>IFERROR(__xludf.DUMMYFUNCTION("""COMPUTED_VALUE"""),"Chilled")</f>
        <v>Chilled</v>
      </c>
      <c r="J23" s="186">
        <f>IFERROR(__xludf.DUMMYFUNCTION("""COMPUTED_VALUE"""),11.0)</f>
        <v>11</v>
      </c>
      <c r="K23" s="186">
        <f>IFERROR(__xludf.DUMMYFUNCTION("""COMPUTED_VALUE"""),89.0)</f>
        <v>89</v>
      </c>
      <c r="L23" s="186">
        <f>IFERROR(__xludf.DUMMYFUNCTION("""COMPUTED_VALUE"""),0.0)</f>
        <v>0</v>
      </c>
      <c r="M23" s="186">
        <f>IFERROR(__xludf.DUMMYFUNCTION("""COMPUTED_VALUE"""),0.0)</f>
        <v>0</v>
      </c>
      <c r="N23" s="186">
        <f>IFERROR(__xludf.DUMMYFUNCTION("""COMPUTED_VALUE"""),89.0)</f>
        <v>89</v>
      </c>
      <c r="O23" s="186">
        <f>IFERROR(__xludf.DUMMYFUNCTION("""COMPUTED_VALUE"""),1.0)</f>
        <v>1</v>
      </c>
      <c r="P23" s="186">
        <f>IFERROR(__xludf.DUMMYFUNCTION("""COMPUTED_VALUE"""),130.0)</f>
        <v>130</v>
      </c>
      <c r="Q23" s="186">
        <f>IFERROR(__xludf.DUMMYFUNCTION("""COMPUTED_VALUE"""),3769.0)</f>
        <v>3769</v>
      </c>
      <c r="R23" s="186" t="str">
        <f>IFERROR(__xludf.DUMMYFUNCTION("""COMPUTED_VALUE"""),"")</f>
        <v/>
      </c>
      <c r="S23" s="186" t="str">
        <f>IFERROR(__xludf.DUMMYFUNCTION("""COMPUTED_VALUE"""),"42-2")</f>
        <v>42-2</v>
      </c>
    </row>
    <row r="24">
      <c r="A24" s="186" t="str">
        <f>IFERROR(__xludf.DUMMYFUNCTION("""COMPUTED_VALUE"""),"NORDICS")</f>
        <v>NORDICS</v>
      </c>
      <c r="B24" s="186" t="str">
        <f>IFERROR(__xludf.DUMMYFUNCTION("""COMPUTED_VALUE"""),"565252 - Pasta med oksekødsragù og soltørrede tomater")</f>
        <v>565252 - Pasta med oksekødsragù og soltørrede tomater</v>
      </c>
      <c r="C24" s="186" t="str">
        <f>IFERROR(__xludf.DUMMYFUNCTION("""COMPUTED_VALUE"""),"ASL2")</f>
        <v>ASL2</v>
      </c>
      <c r="D24" s="186" t="str">
        <f>IFERROR(__xludf.DUMMYFUNCTION("""COMPUTED_VALUE"""),"F109")</f>
        <v>F109</v>
      </c>
      <c r="E24" s="186">
        <f>IFERROR(__xludf.DUMMYFUNCTION("""COMPUTED_VALUE"""),14.0)</f>
        <v>14</v>
      </c>
      <c r="F24" s="186">
        <f>IFERROR(__xludf.DUMMYFUNCTION("""COMPUTED_VALUE"""),2.0)</f>
        <v>2</v>
      </c>
      <c r="G24" s="186">
        <f>IFERROR(__xludf.DUMMYFUNCTION("""COMPUTED_VALUE"""),1.0)</f>
        <v>1</v>
      </c>
      <c r="H24" s="186">
        <f>IFERROR(__xludf.DUMMYFUNCTION("""COMPUTED_VALUE"""),43.0)</f>
        <v>43</v>
      </c>
      <c r="I24" s="186" t="str">
        <f>IFERROR(__xludf.DUMMYFUNCTION("""COMPUTED_VALUE"""),"Chilled")</f>
        <v>Chilled</v>
      </c>
      <c r="J24" s="186">
        <f>IFERROR(__xludf.DUMMYFUNCTION("""COMPUTED_VALUE"""),11.0)</f>
        <v>11</v>
      </c>
      <c r="K24" s="186">
        <f>IFERROR(__xludf.DUMMYFUNCTION("""COMPUTED_VALUE"""),1844.0)</f>
        <v>1844</v>
      </c>
      <c r="L24" s="186">
        <f>IFERROR(__xludf.DUMMYFUNCTION("""COMPUTED_VALUE"""),0.0)</f>
        <v>0</v>
      </c>
      <c r="M24" s="186">
        <f>IFERROR(__xludf.DUMMYFUNCTION("""COMPUTED_VALUE"""),0.0)</f>
        <v>0</v>
      </c>
      <c r="N24" s="186">
        <f>IFERROR(__xludf.DUMMYFUNCTION("""COMPUTED_VALUE"""),1844.0)</f>
        <v>1844</v>
      </c>
      <c r="O24" s="186">
        <f>IFERROR(__xludf.DUMMYFUNCTION("""COMPUTED_VALUE"""),1.0)</f>
        <v>1</v>
      </c>
      <c r="P24" s="186">
        <f>IFERROR(__xludf.DUMMYFUNCTION("""COMPUTED_VALUE"""),130.0)</f>
        <v>130</v>
      </c>
      <c r="Q24" s="186">
        <f>IFERROR(__xludf.DUMMYFUNCTION("""COMPUTED_VALUE"""),3769.0)</f>
        <v>3769</v>
      </c>
      <c r="R24" s="186" t="str">
        <f>IFERROR(__xludf.DUMMYFUNCTION("""COMPUTED_VALUE"""),"")</f>
        <v/>
      </c>
      <c r="S24" s="186" t="str">
        <f>IFERROR(__xludf.DUMMYFUNCTION("""COMPUTED_VALUE"""),"43-1")</f>
        <v>43-1</v>
      </c>
    </row>
    <row r="25">
      <c r="A25" s="186" t="str">
        <f>IFERROR(__xludf.DUMMYFUNCTION("""COMPUTED_VALUE"""),"NORDICS")</f>
        <v>NORDICS</v>
      </c>
      <c r="B25" s="186" t="str">
        <f>IFERROR(__xludf.DUMMYFUNCTION("""COMPUTED_VALUE"""),"565141 - Squash- og peberfrugtsratatouille")</f>
        <v>565141 - Squash- og peberfrugtsratatouille</v>
      </c>
      <c r="C25" s="186" t="str">
        <f>IFERROR(__xludf.DUMMYFUNCTION("""COMPUTED_VALUE"""),"ASL2")</f>
        <v>ASL2</v>
      </c>
      <c r="D25" s="186" t="str">
        <f>IFERROR(__xludf.DUMMYFUNCTION("""COMPUTED_VALUE"""),"F110")</f>
        <v>F110</v>
      </c>
      <c r="E25" s="186">
        <f>IFERROR(__xludf.DUMMYFUNCTION("""COMPUTED_VALUE"""),14.0)</f>
        <v>14</v>
      </c>
      <c r="F25" s="186">
        <f>IFERROR(__xludf.DUMMYFUNCTION("""COMPUTED_VALUE"""),2.0)</f>
        <v>2</v>
      </c>
      <c r="G25" s="186">
        <f>IFERROR(__xludf.DUMMYFUNCTION("""COMPUTED_VALUE"""),2.0)</f>
        <v>2</v>
      </c>
      <c r="H25" s="186">
        <f>IFERROR(__xludf.DUMMYFUNCTION("""COMPUTED_VALUE"""),43.0)</f>
        <v>43</v>
      </c>
      <c r="I25" s="186" t="str">
        <f>IFERROR(__xludf.DUMMYFUNCTION("""COMPUTED_VALUE"""),"Chilled")</f>
        <v>Chilled</v>
      </c>
      <c r="J25" s="186">
        <f>IFERROR(__xludf.DUMMYFUNCTION("""COMPUTED_VALUE"""),11.0)</f>
        <v>11</v>
      </c>
      <c r="K25" s="186">
        <f>IFERROR(__xludf.DUMMYFUNCTION("""COMPUTED_VALUE"""),260.0)</f>
        <v>260</v>
      </c>
      <c r="L25" s="186">
        <f>IFERROR(__xludf.DUMMYFUNCTION("""COMPUTED_VALUE"""),0.0)</f>
        <v>0</v>
      </c>
      <c r="M25" s="186">
        <f>IFERROR(__xludf.DUMMYFUNCTION("""COMPUTED_VALUE"""),0.0)</f>
        <v>0</v>
      </c>
      <c r="N25" s="186">
        <f>IFERROR(__xludf.DUMMYFUNCTION("""COMPUTED_VALUE"""),260.0)</f>
        <v>260</v>
      </c>
      <c r="O25" s="186">
        <f>IFERROR(__xludf.DUMMYFUNCTION("""COMPUTED_VALUE"""),1.0)</f>
        <v>1</v>
      </c>
      <c r="P25" s="186">
        <f>IFERROR(__xludf.DUMMYFUNCTION("""COMPUTED_VALUE"""),130.0)</f>
        <v>130</v>
      </c>
      <c r="Q25" s="186">
        <f>IFERROR(__xludf.DUMMYFUNCTION("""COMPUTED_VALUE"""),3769.0)</f>
        <v>3769</v>
      </c>
      <c r="R25" s="186" t="str">
        <f>IFERROR(__xludf.DUMMYFUNCTION("""COMPUTED_VALUE"""),"")</f>
        <v/>
      </c>
      <c r="S25" s="186" t="str">
        <f>IFERROR(__xludf.DUMMYFUNCTION("""COMPUTED_VALUE"""),"43-2")</f>
        <v>43-2</v>
      </c>
    </row>
    <row r="26">
      <c r="A26" s="186" t="str">
        <f>IFERROR(__xludf.DUMMYFUNCTION("""COMPUTED_VALUE"""),"NORDICS")</f>
        <v>NORDICS</v>
      </c>
      <c r="B26" s="186" t="str">
        <f>IFERROR(__xludf.DUMMYFUNCTION("""COMPUTED_VALUE"""),"705 - FACTOR_ Ginger Lemon Apple Wellness Shot")</f>
        <v>705 - FACTOR_ Ginger Lemon Apple Wellness Shot</v>
      </c>
      <c r="C26" s="186" t="str">
        <f>IFERROR(__xludf.DUMMYFUNCTION("""COMPUTED_VALUE"""),"ASL2")</f>
        <v>ASL2</v>
      </c>
      <c r="D26" s="186" t="str">
        <f>IFERROR(__xludf.DUMMYFUNCTION("""COMPUTED_VALUE"""),"F122")</f>
        <v>F122</v>
      </c>
      <c r="E26" s="186">
        <f>IFERROR(__xludf.DUMMYFUNCTION("""COMPUTED_VALUE"""),16.0)</f>
        <v>16</v>
      </c>
      <c r="F26" s="186">
        <f>IFERROR(__xludf.DUMMYFUNCTION("""COMPUTED_VALUE"""),2.0)</f>
        <v>2</v>
      </c>
      <c r="G26" s="186">
        <f>IFERROR(__xludf.DUMMYFUNCTION("""COMPUTED_VALUE"""),2.0)</f>
        <v>2</v>
      </c>
      <c r="H26" s="186">
        <f>IFERROR(__xludf.DUMMYFUNCTION("""COMPUTED_VALUE"""),49.0)</f>
        <v>49</v>
      </c>
      <c r="I26" s="186" t="str">
        <f>IFERROR(__xludf.DUMMYFUNCTION("""COMPUTED_VALUE"""),"Chilled")</f>
        <v>Chilled</v>
      </c>
      <c r="J26" s="186">
        <f>IFERROR(__xludf.DUMMYFUNCTION("""COMPUTED_VALUE"""),13.0)</f>
        <v>13</v>
      </c>
      <c r="K26" s="186">
        <f>IFERROR(__xludf.DUMMYFUNCTION("""COMPUTED_VALUE"""),126.0)</f>
        <v>126</v>
      </c>
      <c r="L26" s="186">
        <f>IFERROR(__xludf.DUMMYFUNCTION("""COMPUTED_VALUE"""),0.0)</f>
        <v>0</v>
      </c>
      <c r="M26" s="186">
        <f>IFERROR(__xludf.DUMMYFUNCTION("""COMPUTED_VALUE"""),0.0)</f>
        <v>0</v>
      </c>
      <c r="N26" s="186">
        <f>IFERROR(__xludf.DUMMYFUNCTION("""COMPUTED_VALUE"""),126.0)</f>
        <v>126</v>
      </c>
      <c r="O26" s="186">
        <f>IFERROR(__xludf.DUMMYFUNCTION("""COMPUTED_VALUE"""),1.0)</f>
        <v>1</v>
      </c>
      <c r="P26" s="186">
        <f>IFERROR(__xludf.DUMMYFUNCTION("""COMPUTED_VALUE"""),130.0)</f>
        <v>130</v>
      </c>
      <c r="Q26" s="186">
        <f>IFERROR(__xludf.DUMMYFUNCTION("""COMPUTED_VALUE"""),3769.0)</f>
        <v>3769</v>
      </c>
      <c r="R26" s="186" t="str">
        <f>IFERROR(__xludf.DUMMYFUNCTION("""COMPUTED_VALUE"""),"")</f>
        <v/>
      </c>
      <c r="S26" s="186" t="str">
        <f>IFERROR(__xludf.DUMMYFUNCTION("""COMPUTED_VALUE"""),"49-2")</f>
        <v>49-2</v>
      </c>
    </row>
    <row r="27">
      <c r="A27" s="186" t="str">
        <f>IFERROR(__xludf.DUMMYFUNCTION("""COMPUTED_VALUE"""),"NORDICS")</f>
        <v>NORDICS</v>
      </c>
      <c r="B27" s="186" t="str">
        <f>IFERROR(__xludf.DUMMYFUNCTION("""COMPUTED_VALUE"""),"565143 - Svinemørbrad i cremet hvidløgs- og sennepssauce")</f>
        <v>565143 - Svinemørbrad i cremet hvidløgs- og sennepssauce</v>
      </c>
      <c r="C27" s="186" t="str">
        <f>IFERROR(__xludf.DUMMYFUNCTION("""COMPUTED_VALUE"""),"ASL2")</f>
        <v>ASL2</v>
      </c>
      <c r="D27" s="186" t="str">
        <f>IFERROR(__xludf.DUMMYFUNCTION("""COMPUTED_VALUE"""),"F123")</f>
        <v>F123</v>
      </c>
      <c r="E27" s="186">
        <f>IFERROR(__xludf.DUMMYFUNCTION("""COMPUTED_VALUE"""),16.0)</f>
        <v>16</v>
      </c>
      <c r="F27" s="186">
        <f>IFERROR(__xludf.DUMMYFUNCTION("""COMPUTED_VALUE"""),1.0)</f>
        <v>1</v>
      </c>
      <c r="G27" s="186">
        <f>IFERROR(__xludf.DUMMYFUNCTION("""COMPUTED_VALUE"""),1.0)</f>
        <v>1</v>
      </c>
      <c r="H27" s="186">
        <f>IFERROR(__xludf.DUMMYFUNCTION("""COMPUTED_VALUE"""),50.0)</f>
        <v>50</v>
      </c>
      <c r="I27" s="186" t="str">
        <f>IFERROR(__xludf.DUMMYFUNCTION("""COMPUTED_VALUE"""),"Chilled")</f>
        <v>Chilled</v>
      </c>
      <c r="J27" s="186">
        <f>IFERROR(__xludf.DUMMYFUNCTION("""COMPUTED_VALUE"""),13.0)</f>
        <v>13</v>
      </c>
      <c r="K27" s="186">
        <f>IFERROR(__xludf.DUMMYFUNCTION("""COMPUTED_VALUE"""),709.0)</f>
        <v>709</v>
      </c>
      <c r="L27" s="186">
        <f>IFERROR(__xludf.DUMMYFUNCTION("""COMPUTED_VALUE"""),0.0)</f>
        <v>0</v>
      </c>
      <c r="M27" s="186">
        <f>IFERROR(__xludf.DUMMYFUNCTION("""COMPUTED_VALUE"""),0.0)</f>
        <v>0</v>
      </c>
      <c r="N27" s="186">
        <f>IFERROR(__xludf.DUMMYFUNCTION("""COMPUTED_VALUE"""),709.0)</f>
        <v>709</v>
      </c>
      <c r="O27" s="186">
        <f>IFERROR(__xludf.DUMMYFUNCTION("""COMPUTED_VALUE"""),1.0)</f>
        <v>1</v>
      </c>
      <c r="P27" s="186">
        <f>IFERROR(__xludf.DUMMYFUNCTION("""COMPUTED_VALUE"""),130.0)</f>
        <v>130</v>
      </c>
      <c r="Q27" s="186">
        <f>IFERROR(__xludf.DUMMYFUNCTION("""COMPUTED_VALUE"""),3769.0)</f>
        <v>3769</v>
      </c>
      <c r="R27" s="186" t="str">
        <f>IFERROR(__xludf.DUMMYFUNCTION("""COMPUTED_VALUE"""),"Svinemørbrad")</f>
        <v>Svinemørbrad</v>
      </c>
      <c r="S27" s="186" t="str">
        <f>IFERROR(__xludf.DUMMYFUNCTION("""COMPUTED_VALUE"""),"50-1")</f>
        <v>50-1</v>
      </c>
    </row>
    <row r="28">
      <c r="A28" s="186" t="str">
        <f>IFERROR(__xludf.DUMMYFUNCTION("""COMPUTED_VALUE"""),"NORDICS")</f>
        <v>NORDICS</v>
      </c>
      <c r="B28" s="186" t="str">
        <f>IFERROR(__xludf.DUMMYFUNCTION("""COMPUTED_VALUE"""),"FA-Nordics Welcome Booklet")</f>
        <v>FA-Nordics Welcome Booklet</v>
      </c>
      <c r="C28" s="186" t="str">
        <f>IFERROR(__xludf.DUMMYFUNCTION("""COMPUTED_VALUE"""),"ASL2")</f>
        <v>ASL2</v>
      </c>
      <c r="D28" s="186" t="str">
        <f>IFERROR(__xludf.DUMMYFUNCTION("""COMPUTED_VALUE"""),"F124")</f>
        <v>F124</v>
      </c>
      <c r="E28" s="186">
        <f>IFERROR(__xludf.DUMMYFUNCTION("""COMPUTED_VALUE"""),16.0)</f>
        <v>16</v>
      </c>
      <c r="F28" s="186">
        <f>IFERROR(__xludf.DUMMYFUNCTION("""COMPUTED_VALUE"""),1.0)</f>
        <v>1</v>
      </c>
      <c r="G28" s="186">
        <f>IFERROR(__xludf.DUMMYFUNCTION("""COMPUTED_VALUE"""),2.0)</f>
        <v>2</v>
      </c>
      <c r="H28" s="186">
        <f>IFERROR(__xludf.DUMMYFUNCTION("""COMPUTED_VALUE"""),50.0)</f>
        <v>50</v>
      </c>
      <c r="I28" s="186" t="str">
        <f>IFERROR(__xludf.DUMMYFUNCTION("""COMPUTED_VALUE"""),"Chilled")</f>
        <v>Chilled</v>
      </c>
      <c r="J28" s="186">
        <f>IFERROR(__xludf.DUMMYFUNCTION("""COMPUTED_VALUE"""),13.0)</f>
        <v>13</v>
      </c>
      <c r="K28" s="186">
        <f>IFERROR(__xludf.DUMMYFUNCTION("""COMPUTED_VALUE"""),0.0)</f>
        <v>0</v>
      </c>
      <c r="L28" s="186">
        <f>IFERROR(__xludf.DUMMYFUNCTION("""COMPUTED_VALUE"""),0.0)</f>
        <v>0</v>
      </c>
      <c r="M28" s="186">
        <f>IFERROR(__xludf.DUMMYFUNCTION("""COMPUTED_VALUE"""),0.0)</f>
        <v>0</v>
      </c>
      <c r="N28" s="186">
        <f>IFERROR(__xludf.DUMMYFUNCTION("""COMPUTED_VALUE"""),0.0)</f>
        <v>0</v>
      </c>
      <c r="O28" s="186">
        <f>IFERROR(__xludf.DUMMYFUNCTION("""COMPUTED_VALUE"""),1.0)</f>
        <v>1</v>
      </c>
      <c r="P28" s="186">
        <f>IFERROR(__xludf.DUMMYFUNCTION("""COMPUTED_VALUE"""),130.0)</f>
        <v>130</v>
      </c>
      <c r="Q28" s="186">
        <f>IFERROR(__xludf.DUMMYFUNCTION("""COMPUTED_VALUE"""),3769.0)</f>
        <v>3769</v>
      </c>
      <c r="R28" s="186" t="str">
        <f>IFERROR(__xludf.DUMMYFUNCTION("""COMPUTED_VALUE"""),"")</f>
        <v/>
      </c>
      <c r="S28" s="186" t="str">
        <f>IFERROR(__xludf.DUMMYFUNCTION("""COMPUTED_VALUE"""),"50-2")</f>
        <v>50-2</v>
      </c>
    </row>
    <row r="29">
      <c r="A29" s="186" t="str">
        <f>IFERROR(__xludf.DUMMYFUNCTION("""COMPUTED_VALUE"""),"NORDICS")</f>
        <v>NORDICS</v>
      </c>
      <c r="B29" s="186" t="str">
        <f>IFERROR(__xludf.DUMMYFUNCTION("""COMPUTED_VALUE"""),"565209 - Chilensk inspireret kylling med salsa-quinoa")</f>
        <v>565209 - Chilensk inspireret kylling med salsa-quinoa</v>
      </c>
      <c r="C29" s="186" t="str">
        <f>IFERROR(__xludf.DUMMYFUNCTION("""COMPUTED_VALUE"""),"ASL2")</f>
        <v>ASL2</v>
      </c>
      <c r="D29" s="186" t="str">
        <f>IFERROR(__xludf.DUMMYFUNCTION("""COMPUTED_VALUE"""),"F125")</f>
        <v>F125</v>
      </c>
      <c r="E29" s="186">
        <f>IFERROR(__xludf.DUMMYFUNCTION("""COMPUTED_VALUE"""),16.0)</f>
        <v>16</v>
      </c>
      <c r="F29" s="186">
        <f>IFERROR(__xludf.DUMMYFUNCTION("""COMPUTED_VALUE"""),0.0)</f>
        <v>0</v>
      </c>
      <c r="G29" s="186">
        <f>IFERROR(__xludf.DUMMYFUNCTION("""COMPUTED_VALUE"""),1.0)</f>
        <v>1</v>
      </c>
      <c r="H29" s="186">
        <f>IFERROR(__xludf.DUMMYFUNCTION("""COMPUTED_VALUE"""),51.0)</f>
        <v>51</v>
      </c>
      <c r="I29" s="186" t="str">
        <f>IFERROR(__xludf.DUMMYFUNCTION("""COMPUTED_VALUE"""),"Chilled")</f>
        <v>Chilled</v>
      </c>
      <c r="J29" s="186">
        <f>IFERROR(__xludf.DUMMYFUNCTION("""COMPUTED_VALUE"""),13.0)</f>
        <v>13</v>
      </c>
      <c r="K29" s="186">
        <f>IFERROR(__xludf.DUMMYFUNCTION("""COMPUTED_VALUE"""),2570.0)</f>
        <v>2570</v>
      </c>
      <c r="L29" s="186">
        <f>IFERROR(__xludf.DUMMYFUNCTION("""COMPUTED_VALUE"""),0.0)</f>
        <v>0</v>
      </c>
      <c r="M29" s="186">
        <f>IFERROR(__xludf.DUMMYFUNCTION("""COMPUTED_VALUE"""),0.0)</f>
        <v>0</v>
      </c>
      <c r="N29" s="186">
        <f>IFERROR(__xludf.DUMMYFUNCTION("""COMPUTED_VALUE"""),2570.0)</f>
        <v>2570</v>
      </c>
      <c r="O29" s="186">
        <f>IFERROR(__xludf.DUMMYFUNCTION("""COMPUTED_VALUE"""),1.0)</f>
        <v>1</v>
      </c>
      <c r="P29" s="186">
        <f>IFERROR(__xludf.DUMMYFUNCTION("""COMPUTED_VALUE"""),130.0)</f>
        <v>130</v>
      </c>
      <c r="Q29" s="186">
        <f>IFERROR(__xludf.DUMMYFUNCTION("""COMPUTED_VALUE"""),3769.0)</f>
        <v>3769</v>
      </c>
      <c r="R29" s="186" t="str">
        <f>IFERROR(__xludf.DUMMYFUNCTION("""COMPUTED_VALUE"""),"")</f>
        <v/>
      </c>
      <c r="S29" s="186" t="str">
        <f>IFERROR(__xludf.DUMMYFUNCTION("""COMPUTED_VALUE"""),"51-1")</f>
        <v>51-1</v>
      </c>
    </row>
    <row r="30">
      <c r="A30" s="186" t="str">
        <f>IFERROR(__xludf.DUMMYFUNCTION("""COMPUTED_VALUE"""),"NORDICS")</f>
        <v>NORDICS</v>
      </c>
      <c r="B30" s="186" t="str">
        <f>IFERROR(__xludf.DUMMYFUNCTION("""COMPUTED_VALUE"""),"565244 - Cremet tomatrisotto")</f>
        <v>565244 - Cremet tomatrisotto</v>
      </c>
      <c r="C30" s="186" t="str">
        <f>IFERROR(__xludf.DUMMYFUNCTION("""COMPUTED_VALUE"""),"ASL2")</f>
        <v>ASL2</v>
      </c>
      <c r="D30" s="186" t="str">
        <f>IFERROR(__xludf.DUMMYFUNCTION("""COMPUTED_VALUE"""),"F126")</f>
        <v>F126</v>
      </c>
      <c r="E30" s="186">
        <f>IFERROR(__xludf.DUMMYFUNCTION("""COMPUTED_VALUE"""),16.0)</f>
        <v>16</v>
      </c>
      <c r="F30" s="186" t="str">
        <f>IFERROR(__xludf.DUMMYFUNCTION("""COMPUTED_VALUE"""),"")</f>
        <v/>
      </c>
      <c r="G30" s="186">
        <f>IFERROR(__xludf.DUMMYFUNCTION("""COMPUTED_VALUE"""),2.0)</f>
        <v>2</v>
      </c>
      <c r="H30" s="186">
        <f>IFERROR(__xludf.DUMMYFUNCTION("""COMPUTED_VALUE"""),51.0)</f>
        <v>51</v>
      </c>
      <c r="I30" s="186" t="str">
        <f>IFERROR(__xludf.DUMMYFUNCTION("""COMPUTED_VALUE"""),"Chilled")</f>
        <v>Chilled</v>
      </c>
      <c r="J30" s="186">
        <f>IFERROR(__xludf.DUMMYFUNCTION("""COMPUTED_VALUE"""),13.0)</f>
        <v>13</v>
      </c>
      <c r="K30" s="186">
        <f>IFERROR(__xludf.DUMMYFUNCTION("""COMPUTED_VALUE"""),310.0)</f>
        <v>310</v>
      </c>
      <c r="L30" s="186">
        <f>IFERROR(__xludf.DUMMYFUNCTION("""COMPUTED_VALUE"""),0.0)</f>
        <v>0</v>
      </c>
      <c r="M30" s="186">
        <f>IFERROR(__xludf.DUMMYFUNCTION("""COMPUTED_VALUE"""),0.0)</f>
        <v>0</v>
      </c>
      <c r="N30" s="186">
        <f>IFERROR(__xludf.DUMMYFUNCTION("""COMPUTED_VALUE"""),310.0)</f>
        <v>310</v>
      </c>
      <c r="O30" s="186">
        <f>IFERROR(__xludf.DUMMYFUNCTION("""COMPUTED_VALUE"""),1.0)</f>
        <v>1</v>
      </c>
      <c r="P30" s="186">
        <f>IFERROR(__xludf.DUMMYFUNCTION("""COMPUTED_VALUE"""),130.0)</f>
        <v>130</v>
      </c>
      <c r="Q30" s="186">
        <f>IFERROR(__xludf.DUMMYFUNCTION("""COMPUTED_VALUE"""),3769.0)</f>
        <v>3769</v>
      </c>
      <c r="R30" s="186" t="str">
        <f>IFERROR(__xludf.DUMMYFUNCTION("""COMPUTED_VALUE"""),"")</f>
        <v/>
      </c>
      <c r="S30" s="186" t="str">
        <f>IFERROR(__xludf.DUMMYFUNCTION("""COMPUTED_VALUE"""),"51-2")</f>
        <v>51-2</v>
      </c>
    </row>
    <row r="31">
      <c r="A31" s="186" t="str">
        <f>IFERROR(__xludf.DUMMYFUNCTION("""COMPUTED_VALUE"""),"NORDICS")</f>
        <v>NORDICS</v>
      </c>
      <c r="B31" s="186" t="str">
        <f>IFERROR(__xludf.DUMMYFUNCTION("""COMPUTED_VALUE"""),"565189 - Laks Piccata ")</f>
        <v>565189 - Laks Piccata </v>
      </c>
      <c r="C31" s="186" t="str">
        <f>IFERROR(__xludf.DUMMYFUNCTION("""COMPUTED_VALUE"""),"ASL2")</f>
        <v>ASL2</v>
      </c>
      <c r="D31" s="186" t="str">
        <f>IFERROR(__xludf.DUMMYFUNCTION("""COMPUTED_VALUE"""),"F127")</f>
        <v>F127</v>
      </c>
      <c r="E31" s="186">
        <f>IFERROR(__xludf.DUMMYFUNCTION("""COMPUTED_VALUE"""),16.0)</f>
        <v>16</v>
      </c>
      <c r="F31" s="186">
        <f>IFERROR(__xludf.DUMMYFUNCTION("""COMPUTED_VALUE"""),2.0)</f>
        <v>2</v>
      </c>
      <c r="G31" s="186">
        <f>IFERROR(__xludf.DUMMYFUNCTION("""COMPUTED_VALUE"""),1.0)</f>
        <v>1</v>
      </c>
      <c r="H31" s="186">
        <f>IFERROR(__xludf.DUMMYFUNCTION("""COMPUTED_VALUE"""),52.0)</f>
        <v>52</v>
      </c>
      <c r="I31" s="186" t="str">
        <f>IFERROR(__xludf.DUMMYFUNCTION("""COMPUTED_VALUE"""),"Chilled")</f>
        <v>Chilled</v>
      </c>
      <c r="J31" s="186">
        <f>IFERROR(__xludf.DUMMYFUNCTION("""COMPUTED_VALUE"""),13.0)</f>
        <v>13</v>
      </c>
      <c r="K31" s="186">
        <f>IFERROR(__xludf.DUMMYFUNCTION("""COMPUTED_VALUE"""),0.0)</f>
        <v>0</v>
      </c>
      <c r="L31" s="186">
        <f>IFERROR(__xludf.DUMMYFUNCTION("""COMPUTED_VALUE"""),0.0)</f>
        <v>0</v>
      </c>
      <c r="M31" s="186">
        <f>IFERROR(__xludf.DUMMYFUNCTION("""COMPUTED_VALUE"""),0.0)</f>
        <v>0</v>
      </c>
      <c r="N31" s="186">
        <f>IFERROR(__xludf.DUMMYFUNCTION("""COMPUTED_VALUE"""),0.0)</f>
        <v>0</v>
      </c>
      <c r="O31" s="186">
        <f>IFERROR(__xludf.DUMMYFUNCTION("""COMPUTED_VALUE"""),1.0)</f>
        <v>1</v>
      </c>
      <c r="P31" s="186">
        <f>IFERROR(__xludf.DUMMYFUNCTION("""COMPUTED_VALUE"""),130.0)</f>
        <v>130</v>
      </c>
      <c r="Q31" s="186">
        <f>IFERROR(__xludf.DUMMYFUNCTION("""COMPUTED_VALUE"""),3769.0)</f>
        <v>3769</v>
      </c>
      <c r="R31" s="186" t="str">
        <f>IFERROR(__xludf.DUMMYFUNCTION("""COMPUTED_VALUE"""),"Laks")</f>
        <v>Laks</v>
      </c>
      <c r="S31" s="186" t="str">
        <f>IFERROR(__xludf.DUMMYFUNCTION("""COMPUTED_VALUE"""),"52-1")</f>
        <v>52-1</v>
      </c>
    </row>
    <row r="32">
      <c r="A32" s="186" t="str">
        <f>IFERROR(__xludf.DUMMYFUNCTION("""COMPUTED_VALUE"""),"NORDICS")</f>
        <v>NORDICS</v>
      </c>
      <c r="B32" s="186" t="str">
        <f>IFERROR(__xludf.DUMMYFUNCTION("""COMPUTED_VALUE"""),"IcePack1")</f>
        <v>IcePack1</v>
      </c>
      <c r="C32" s="186" t="str">
        <f>IFERROR(__xludf.DUMMYFUNCTION("""COMPUTED_VALUE"""),"ASL2")</f>
        <v>ASL2</v>
      </c>
      <c r="D32" s="186" t="str">
        <f>IFERROR(__xludf.DUMMYFUNCTION("""COMPUTED_VALUE"""),"F137")</f>
        <v>F137</v>
      </c>
      <c r="E32" s="186">
        <f>IFERROR(__xludf.DUMMYFUNCTION("""COMPUTED_VALUE"""),18.0)</f>
        <v>18</v>
      </c>
      <c r="F32" s="186">
        <f>IFERROR(__xludf.DUMMYFUNCTION("""COMPUTED_VALUE"""),0.0)</f>
        <v>0</v>
      </c>
      <c r="G32" s="186">
        <f>IFERROR(__xludf.DUMMYFUNCTION("""COMPUTED_VALUE"""),1.0)</f>
        <v>1</v>
      </c>
      <c r="H32" s="186">
        <f>IFERROR(__xludf.DUMMYFUNCTION("""COMPUTED_VALUE"""),57.0)</f>
        <v>57</v>
      </c>
      <c r="I32" s="186" t="str">
        <f>IFERROR(__xludf.DUMMYFUNCTION("""COMPUTED_VALUE"""),"Chilled")</f>
        <v>Chilled</v>
      </c>
      <c r="J32" s="186">
        <f>IFERROR(__xludf.DUMMYFUNCTION("""COMPUTED_VALUE"""),15.0)</f>
        <v>15</v>
      </c>
      <c r="K32" s="186">
        <f>IFERROR(__xludf.DUMMYFUNCTION("""COMPUTED_VALUE"""),130.0)</f>
        <v>130</v>
      </c>
      <c r="L32" s="186">
        <f>IFERROR(__xludf.DUMMYFUNCTION("""COMPUTED_VALUE"""),0.0)</f>
        <v>0</v>
      </c>
      <c r="M32" s="186">
        <f>IFERROR(__xludf.DUMMYFUNCTION("""COMPUTED_VALUE"""),0.0)</f>
        <v>0</v>
      </c>
      <c r="N32" s="186">
        <f>IFERROR(__xludf.DUMMYFUNCTION("""COMPUTED_VALUE"""),130.0)</f>
        <v>130</v>
      </c>
      <c r="O32" s="186">
        <f>IFERROR(__xludf.DUMMYFUNCTION("""COMPUTED_VALUE"""),1.0)</f>
        <v>1</v>
      </c>
      <c r="P32" s="186">
        <f>IFERROR(__xludf.DUMMYFUNCTION("""COMPUTED_VALUE"""),130.0)</f>
        <v>130</v>
      </c>
      <c r="Q32" s="186">
        <f>IFERROR(__xludf.DUMMYFUNCTION("""COMPUTED_VALUE"""),3769.0)</f>
        <v>3769</v>
      </c>
      <c r="R32" s="186" t="str">
        <f>IFERROR(__xludf.DUMMYFUNCTION("""COMPUTED_VALUE"""),"")</f>
        <v/>
      </c>
      <c r="S32" s="186" t="str">
        <f>IFERROR(__xludf.DUMMYFUNCTION("""COMPUTED_VALUE"""),"57-1")</f>
        <v>57-1</v>
      </c>
    </row>
    <row r="33">
      <c r="A33" s="186" t="str">
        <f>IFERROR(__xludf.DUMMYFUNCTION("""COMPUTED_VALUE"""),"NORDICS")</f>
        <v>NORDICS</v>
      </c>
      <c r="B33" s="186" t="str">
        <f>IFERROR(__xludf.DUMMYFUNCTION("""COMPUTED_VALUE"""),"FA-DE Freebies")</f>
        <v>FA-DE Freebies</v>
      </c>
      <c r="C33" s="186" t="str">
        <f>IFERROR(__xludf.DUMMYFUNCTION("""COMPUTED_VALUE"""),"ASL2")</f>
        <v>ASL2</v>
      </c>
      <c r="D33" s="186" t="str">
        <f>IFERROR(__xludf.DUMMYFUNCTION("""COMPUTED_VALUE"""),"F138")</f>
        <v>F138</v>
      </c>
      <c r="E33" s="186">
        <f>IFERROR(__xludf.DUMMYFUNCTION("""COMPUTED_VALUE"""),18.0)</f>
        <v>18</v>
      </c>
      <c r="F33" s="186">
        <f>IFERROR(__xludf.DUMMYFUNCTION("""COMPUTED_VALUE"""),0.0)</f>
        <v>0</v>
      </c>
      <c r="G33" s="186">
        <f>IFERROR(__xludf.DUMMYFUNCTION("""COMPUTED_VALUE"""),2.0)</f>
        <v>2</v>
      </c>
      <c r="H33" s="186">
        <f>IFERROR(__xludf.DUMMYFUNCTION("""COMPUTED_VALUE"""),57.0)</f>
        <v>57</v>
      </c>
      <c r="I33" s="186" t="str">
        <f>IFERROR(__xludf.DUMMYFUNCTION("""COMPUTED_VALUE"""),"Chilled")</f>
        <v>Chilled</v>
      </c>
      <c r="J33" s="186">
        <f>IFERROR(__xludf.DUMMYFUNCTION("""COMPUTED_VALUE"""),15.0)</f>
        <v>15</v>
      </c>
      <c r="K33" s="186">
        <f>IFERROR(__xludf.DUMMYFUNCTION("""COMPUTED_VALUE"""),0.0)</f>
        <v>0</v>
      </c>
      <c r="L33" s="186">
        <f>IFERROR(__xludf.DUMMYFUNCTION("""COMPUTED_VALUE"""),0.0)</f>
        <v>0</v>
      </c>
      <c r="M33" s="186">
        <f>IFERROR(__xludf.DUMMYFUNCTION("""COMPUTED_VALUE"""),0.0)</f>
        <v>0</v>
      </c>
      <c r="N33" s="186">
        <f>IFERROR(__xludf.DUMMYFUNCTION("""COMPUTED_VALUE"""),0.0)</f>
        <v>0</v>
      </c>
      <c r="O33" s="186">
        <f>IFERROR(__xludf.DUMMYFUNCTION("""COMPUTED_VALUE"""),1.0)</f>
        <v>1</v>
      </c>
      <c r="P33" s="186">
        <f>IFERROR(__xludf.DUMMYFUNCTION("""COMPUTED_VALUE"""),130.0)</f>
        <v>130</v>
      </c>
      <c r="Q33" s="186">
        <f>IFERROR(__xludf.DUMMYFUNCTION("""COMPUTED_VALUE"""),3769.0)</f>
        <v>3769</v>
      </c>
      <c r="R33" s="186" t="str">
        <f>IFERROR(__xludf.DUMMYFUNCTION("""COMPUTED_VALUE"""),"")</f>
        <v/>
      </c>
      <c r="S33" s="186" t="str">
        <f>IFERROR(__xludf.DUMMYFUNCTION("""COMPUTED_VALUE"""),"57-2")</f>
        <v>57-2</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workbookViewId="0"/>
  </sheetViews>
  <sheetFormatPr customHeight="1" defaultColWidth="12.63" defaultRowHeight="15.75"/>
  <cols>
    <col customWidth="1" min="1" max="1" width="47.63"/>
    <col customWidth="1" min="2" max="2" width="52.0"/>
    <col customWidth="1" min="3" max="3" width="16.13"/>
  </cols>
  <sheetData>
    <row r="1">
      <c r="A1" s="39" t="s">
        <v>21</v>
      </c>
      <c r="B1" s="39" t="s">
        <v>22</v>
      </c>
      <c r="C1" s="39" t="s">
        <v>23</v>
      </c>
      <c r="D1" s="39" t="s">
        <v>24</v>
      </c>
      <c r="E1" s="39" t="s">
        <v>25</v>
      </c>
      <c r="F1" s="39" t="s">
        <v>26</v>
      </c>
      <c r="G1" s="39" t="s">
        <v>27</v>
      </c>
      <c r="H1" s="372" t="s">
        <v>28</v>
      </c>
    </row>
    <row r="2">
      <c r="A2" s="39" t="s">
        <v>178</v>
      </c>
      <c r="B2" s="39" t="s">
        <v>178</v>
      </c>
      <c r="C2" s="39" t="s">
        <v>178</v>
      </c>
      <c r="D2" s="39" t="s">
        <v>96</v>
      </c>
      <c r="E2" s="39" t="s">
        <v>179</v>
      </c>
      <c r="F2" s="263">
        <v>1.0</v>
      </c>
      <c r="G2" s="39"/>
      <c r="H2" s="39" t="s">
        <v>262</v>
      </c>
    </row>
    <row r="3">
      <c r="A3" s="39" t="s">
        <v>176</v>
      </c>
      <c r="B3" s="39" t="s">
        <v>176</v>
      </c>
      <c r="C3" s="39" t="s">
        <v>176</v>
      </c>
      <c r="D3" s="39" t="s">
        <v>96</v>
      </c>
      <c r="E3" s="39" t="s">
        <v>177</v>
      </c>
      <c r="F3" s="263">
        <v>1.0</v>
      </c>
      <c r="G3" s="39"/>
      <c r="H3" s="39" t="s">
        <v>262</v>
      </c>
    </row>
    <row r="4">
      <c r="A4" s="39" t="s">
        <v>174</v>
      </c>
      <c r="B4" s="39" t="s">
        <v>174</v>
      </c>
      <c r="C4" s="39" t="s">
        <v>174</v>
      </c>
      <c r="D4" s="39" t="s">
        <v>96</v>
      </c>
      <c r="E4" s="39" t="s">
        <v>175</v>
      </c>
      <c r="F4" s="263">
        <v>1.0</v>
      </c>
      <c r="G4" s="39"/>
      <c r="H4" s="39" t="s">
        <v>262</v>
      </c>
    </row>
    <row r="5">
      <c r="A5" s="39" t="s">
        <v>184</v>
      </c>
      <c r="B5" s="39" t="s">
        <v>184</v>
      </c>
      <c r="C5" s="39" t="s">
        <v>184</v>
      </c>
      <c r="D5" s="39" t="s">
        <v>96</v>
      </c>
      <c r="E5" s="39" t="s">
        <v>185</v>
      </c>
      <c r="F5" s="263">
        <v>1.0</v>
      </c>
      <c r="G5" s="39"/>
      <c r="H5" s="39" t="s">
        <v>262</v>
      </c>
    </row>
    <row r="6">
      <c r="A6" s="39" t="s">
        <v>186</v>
      </c>
      <c r="B6" s="39" t="s">
        <v>186</v>
      </c>
      <c r="C6" s="39" t="s">
        <v>186</v>
      </c>
      <c r="D6" s="39" t="s">
        <v>96</v>
      </c>
      <c r="E6" s="39" t="s">
        <v>187</v>
      </c>
      <c r="F6" s="263">
        <v>1.0</v>
      </c>
      <c r="G6" s="39"/>
      <c r="H6" s="39" t="s">
        <v>262</v>
      </c>
    </row>
    <row r="7">
      <c r="A7" s="39" t="s">
        <v>180</v>
      </c>
      <c r="B7" s="39" t="s">
        <v>180</v>
      </c>
      <c r="C7" s="39" t="s">
        <v>180</v>
      </c>
      <c r="D7" s="39" t="s">
        <v>96</v>
      </c>
      <c r="E7" s="39" t="s">
        <v>181</v>
      </c>
      <c r="F7" s="263">
        <v>1.0</v>
      </c>
      <c r="G7" s="39"/>
      <c r="H7" s="39" t="s">
        <v>262</v>
      </c>
    </row>
    <row r="8">
      <c r="A8" s="39" t="s">
        <v>182</v>
      </c>
      <c r="B8" s="39" t="s">
        <v>182</v>
      </c>
      <c r="C8" s="39" t="s">
        <v>182</v>
      </c>
      <c r="D8" s="39" t="s">
        <v>96</v>
      </c>
      <c r="E8" s="39" t="s">
        <v>183</v>
      </c>
      <c r="F8" s="263">
        <v>1.0</v>
      </c>
      <c r="G8" s="39"/>
      <c r="H8" s="39" t="s">
        <v>262</v>
      </c>
    </row>
    <row r="9">
      <c r="A9" s="39" t="s">
        <v>188</v>
      </c>
      <c r="B9" s="39" t="s">
        <v>188</v>
      </c>
      <c r="C9" s="39" t="s">
        <v>188</v>
      </c>
      <c r="D9" s="39" t="s">
        <v>96</v>
      </c>
      <c r="E9" s="39" t="s">
        <v>189</v>
      </c>
      <c r="F9" s="263">
        <v>1.0</v>
      </c>
      <c r="G9" s="39"/>
      <c r="H9" s="39" t="s">
        <v>262</v>
      </c>
    </row>
    <row r="10">
      <c r="A10" s="39" t="s">
        <v>190</v>
      </c>
      <c r="B10" s="39" t="s">
        <v>190</v>
      </c>
      <c r="C10" s="39" t="s">
        <v>190</v>
      </c>
      <c r="D10" s="39" t="s">
        <v>96</v>
      </c>
      <c r="E10" s="39" t="s">
        <v>191</v>
      </c>
      <c r="F10" s="263">
        <v>1.0</v>
      </c>
      <c r="G10" s="39"/>
      <c r="H10" s="39" t="s">
        <v>262</v>
      </c>
    </row>
    <row r="11">
      <c r="A11" s="39" t="s">
        <v>263</v>
      </c>
      <c r="B11" s="39" t="s">
        <v>192</v>
      </c>
      <c r="C11" s="39" t="s">
        <v>264</v>
      </c>
      <c r="D11" s="39" t="s">
        <v>96</v>
      </c>
      <c r="E11" s="39" t="s">
        <v>193</v>
      </c>
      <c r="F11" s="263">
        <v>1.0</v>
      </c>
      <c r="G11" s="39"/>
      <c r="H11" s="39" t="s">
        <v>265</v>
      </c>
    </row>
    <row r="12">
      <c r="A12" s="39" t="s">
        <v>266</v>
      </c>
      <c r="B12" s="39" t="s">
        <v>194</v>
      </c>
      <c r="C12" s="39" t="s">
        <v>264</v>
      </c>
      <c r="D12" s="39" t="s">
        <v>96</v>
      </c>
      <c r="E12" s="39" t="s">
        <v>195</v>
      </c>
      <c r="F12" s="263">
        <v>1.0</v>
      </c>
      <c r="G12" s="39"/>
      <c r="H12" s="39" t="s">
        <v>265</v>
      </c>
    </row>
    <row r="13">
      <c r="A13" s="39" t="s">
        <v>267</v>
      </c>
      <c r="B13" s="39" t="s">
        <v>196</v>
      </c>
      <c r="C13" s="39" t="s">
        <v>264</v>
      </c>
      <c r="D13" s="39" t="s">
        <v>96</v>
      </c>
      <c r="E13" s="39" t="s">
        <v>197</v>
      </c>
      <c r="F13" s="263">
        <v>1.0</v>
      </c>
      <c r="G13" s="39"/>
      <c r="H13" s="39" t="s">
        <v>265</v>
      </c>
    </row>
    <row r="14">
      <c r="A14" s="39" t="s">
        <v>268</v>
      </c>
      <c r="B14" s="39" t="s">
        <v>198</v>
      </c>
      <c r="C14" s="39" t="s">
        <v>264</v>
      </c>
      <c r="D14" s="39" t="s">
        <v>96</v>
      </c>
      <c r="E14" s="39" t="s">
        <v>199</v>
      </c>
      <c r="F14" s="263">
        <v>1.0</v>
      </c>
      <c r="G14" s="39"/>
      <c r="H14" s="39" t="s">
        <v>265</v>
      </c>
    </row>
    <row r="15">
      <c r="A15" s="39" t="s">
        <v>269</v>
      </c>
      <c r="B15" s="39" t="s">
        <v>200</v>
      </c>
      <c r="C15" s="39" t="s">
        <v>264</v>
      </c>
      <c r="D15" s="39" t="s">
        <v>96</v>
      </c>
      <c r="E15" s="39" t="s">
        <v>201</v>
      </c>
      <c r="F15" s="263">
        <v>1.0</v>
      </c>
      <c r="G15" s="39"/>
      <c r="H15" s="39" t="s">
        <v>265</v>
      </c>
    </row>
    <row r="16">
      <c r="A16" s="39" t="s">
        <v>270</v>
      </c>
      <c r="B16" s="39" t="s">
        <v>202</v>
      </c>
      <c r="C16" s="39" t="s">
        <v>264</v>
      </c>
      <c r="D16" s="39" t="s">
        <v>96</v>
      </c>
      <c r="E16" s="39" t="s">
        <v>203</v>
      </c>
      <c r="F16" s="263">
        <v>1.0</v>
      </c>
      <c r="G16" s="39"/>
      <c r="H16" s="39" t="s">
        <v>265</v>
      </c>
    </row>
    <row r="17">
      <c r="A17" s="39" t="s">
        <v>271</v>
      </c>
      <c r="B17" s="39" t="s">
        <v>204</v>
      </c>
      <c r="C17" s="39" t="s">
        <v>264</v>
      </c>
      <c r="D17" s="39" t="s">
        <v>96</v>
      </c>
      <c r="E17" s="39" t="s">
        <v>20</v>
      </c>
      <c r="F17" s="263">
        <v>1.0</v>
      </c>
      <c r="G17" s="39"/>
      <c r="H17" s="39" t="s">
        <v>265</v>
      </c>
    </row>
    <row r="18">
      <c r="A18" s="39" t="s">
        <v>272</v>
      </c>
      <c r="B18" s="39" t="s">
        <v>205</v>
      </c>
      <c r="C18" s="39" t="s">
        <v>264</v>
      </c>
      <c r="D18" s="39" t="s">
        <v>96</v>
      </c>
      <c r="E18" s="39" t="s">
        <v>206</v>
      </c>
      <c r="F18" s="263">
        <v>1.0</v>
      </c>
      <c r="G18" s="39"/>
      <c r="H18" s="39" t="s">
        <v>265</v>
      </c>
    </row>
    <row r="19">
      <c r="A19" s="39" t="s">
        <v>273</v>
      </c>
      <c r="B19" s="39" t="s">
        <v>207</v>
      </c>
      <c r="C19" s="39" t="s">
        <v>264</v>
      </c>
      <c r="D19" s="39" t="s">
        <v>96</v>
      </c>
      <c r="E19" s="39" t="s">
        <v>208</v>
      </c>
      <c r="F19" s="263">
        <v>1.0</v>
      </c>
      <c r="G19" s="39"/>
      <c r="H19" s="39" t="s">
        <v>265</v>
      </c>
    </row>
    <row r="20">
      <c r="A20" s="39" t="s">
        <v>274</v>
      </c>
      <c r="B20" s="39" t="s">
        <v>11</v>
      </c>
      <c r="C20" s="39" t="s">
        <v>275</v>
      </c>
      <c r="D20" s="39" t="s">
        <v>96</v>
      </c>
      <c r="E20" s="39" t="s">
        <v>129</v>
      </c>
      <c r="F20" s="263">
        <v>1.0</v>
      </c>
      <c r="G20" s="39"/>
      <c r="H20" s="39" t="s">
        <v>265</v>
      </c>
    </row>
    <row r="21">
      <c r="A21" s="39" t="s">
        <v>276</v>
      </c>
      <c r="B21" s="39" t="s">
        <v>11</v>
      </c>
      <c r="C21" s="39" t="s">
        <v>275</v>
      </c>
      <c r="D21" s="39" t="s">
        <v>96</v>
      </c>
      <c r="E21" s="39" t="s">
        <v>129</v>
      </c>
      <c r="F21" s="263">
        <v>1.0</v>
      </c>
      <c r="G21" s="39"/>
      <c r="H21" s="39" t="s">
        <v>265</v>
      </c>
    </row>
    <row r="22">
      <c r="A22" s="39" t="s">
        <v>277</v>
      </c>
      <c r="B22" s="39" t="s">
        <v>11</v>
      </c>
      <c r="C22" s="39" t="s">
        <v>275</v>
      </c>
      <c r="D22" s="39" t="s">
        <v>96</v>
      </c>
      <c r="E22" s="39" t="s">
        <v>129</v>
      </c>
      <c r="F22" s="263">
        <v>2.0</v>
      </c>
      <c r="G22" s="39"/>
      <c r="H22" s="39" t="s">
        <v>265</v>
      </c>
    </row>
    <row r="23">
      <c r="A23" s="39" t="s">
        <v>274</v>
      </c>
      <c r="B23" s="39" t="s">
        <v>16</v>
      </c>
      <c r="C23" s="39" t="s">
        <v>275</v>
      </c>
      <c r="D23" s="39" t="s">
        <v>96</v>
      </c>
      <c r="E23" s="39" t="s">
        <v>17</v>
      </c>
      <c r="F23" s="263">
        <v>0.0</v>
      </c>
      <c r="G23" s="39"/>
      <c r="H23" s="39" t="s">
        <v>265</v>
      </c>
    </row>
    <row r="24">
      <c r="A24" s="39" t="s">
        <v>276</v>
      </c>
      <c r="B24" s="39" t="s">
        <v>16</v>
      </c>
      <c r="C24" s="39" t="s">
        <v>275</v>
      </c>
      <c r="D24" s="39" t="s">
        <v>96</v>
      </c>
      <c r="E24" s="39" t="s">
        <v>17</v>
      </c>
      <c r="F24" s="263">
        <v>1.0</v>
      </c>
      <c r="G24" s="39"/>
      <c r="H24" s="39" t="s">
        <v>265</v>
      </c>
    </row>
    <row r="25">
      <c r="A25" s="39" t="s">
        <v>277</v>
      </c>
      <c r="B25" s="39" t="s">
        <v>16</v>
      </c>
      <c r="C25" s="39" t="s">
        <v>275</v>
      </c>
      <c r="D25" s="39" t="s">
        <v>96</v>
      </c>
      <c r="E25" s="39" t="s">
        <v>17</v>
      </c>
      <c r="F25" s="263">
        <v>0.0</v>
      </c>
      <c r="G25" s="39"/>
      <c r="H25" s="39" t="s">
        <v>265</v>
      </c>
    </row>
    <row r="26">
      <c r="A26" s="39" t="s">
        <v>274</v>
      </c>
      <c r="B26" s="39" t="s">
        <v>19</v>
      </c>
      <c r="C26" s="39" t="s">
        <v>275</v>
      </c>
      <c r="D26" s="39" t="s">
        <v>96</v>
      </c>
      <c r="E26" s="39" t="s">
        <v>145</v>
      </c>
      <c r="F26" s="263">
        <v>1.0</v>
      </c>
      <c r="G26" s="39"/>
      <c r="H26" s="39" t="s">
        <v>265</v>
      </c>
    </row>
    <row r="27">
      <c r="A27" s="39" t="s">
        <v>276</v>
      </c>
      <c r="B27" s="39" t="s">
        <v>19</v>
      </c>
      <c r="C27" s="39" t="s">
        <v>275</v>
      </c>
      <c r="D27" s="39" t="s">
        <v>96</v>
      </c>
      <c r="E27" s="39" t="s">
        <v>145</v>
      </c>
      <c r="F27" s="263">
        <v>1.0</v>
      </c>
      <c r="G27" s="39"/>
      <c r="H27" s="39" t="s">
        <v>265</v>
      </c>
    </row>
    <row r="28">
      <c r="A28" s="39" t="s">
        <v>277</v>
      </c>
      <c r="B28" s="39" t="s">
        <v>19</v>
      </c>
      <c r="C28" s="39" t="s">
        <v>275</v>
      </c>
      <c r="D28" s="39" t="s">
        <v>96</v>
      </c>
      <c r="E28" s="39" t="s">
        <v>145</v>
      </c>
      <c r="F28" s="263">
        <v>2.0</v>
      </c>
      <c r="G28" s="39"/>
      <c r="H28" s="39" t="s">
        <v>265</v>
      </c>
    </row>
    <row r="29">
      <c r="A29" s="39" t="s">
        <v>278</v>
      </c>
      <c r="B29" s="39" t="s">
        <v>209</v>
      </c>
      <c r="C29" s="39" t="s">
        <v>279</v>
      </c>
      <c r="D29" s="39" t="s">
        <v>96</v>
      </c>
      <c r="E29" s="39" t="s">
        <v>166</v>
      </c>
      <c r="F29" s="263">
        <v>1.0</v>
      </c>
      <c r="G29" s="39"/>
      <c r="H29" s="39" t="s">
        <v>265</v>
      </c>
    </row>
    <row r="30">
      <c r="A30" s="39" t="s">
        <v>281</v>
      </c>
      <c r="B30" s="39" t="s">
        <v>211</v>
      </c>
      <c r="C30" s="39" t="s">
        <v>282</v>
      </c>
      <c r="D30" s="39" t="s">
        <v>96</v>
      </c>
      <c r="E30" s="39" t="s">
        <v>212</v>
      </c>
      <c r="F30" s="263">
        <v>1.0</v>
      </c>
      <c r="G30" s="39"/>
      <c r="H30" s="39" t="s">
        <v>265</v>
      </c>
    </row>
    <row r="31">
      <c r="A31" s="39" t="s">
        <v>283</v>
      </c>
      <c r="B31" s="39" t="s">
        <v>213</v>
      </c>
      <c r="C31" s="39" t="s">
        <v>284</v>
      </c>
      <c r="D31" s="39" t="s">
        <v>96</v>
      </c>
      <c r="E31" s="39" t="s">
        <v>214</v>
      </c>
      <c r="F31" s="263">
        <v>1.0</v>
      </c>
      <c r="G31" s="39"/>
      <c r="H31" s="39" t="s">
        <v>265</v>
      </c>
    </row>
    <row r="32">
      <c r="A32" s="39" t="s">
        <v>472</v>
      </c>
      <c r="B32" s="39" t="s">
        <v>218</v>
      </c>
      <c r="C32" s="39" t="s">
        <v>533</v>
      </c>
      <c r="D32" s="39" t="s">
        <v>96</v>
      </c>
      <c r="E32" s="39" t="s">
        <v>414</v>
      </c>
      <c r="F32" s="263">
        <v>1.0</v>
      </c>
      <c r="G32" s="39"/>
      <c r="H32" s="39" t="s">
        <v>265</v>
      </c>
    </row>
    <row r="33">
      <c r="A33" s="39" t="s">
        <v>474</v>
      </c>
      <c r="B33" s="39" t="s">
        <v>219</v>
      </c>
      <c r="C33" s="39" t="s">
        <v>534</v>
      </c>
      <c r="D33" s="39" t="s">
        <v>96</v>
      </c>
      <c r="E33" s="39" t="s">
        <v>438</v>
      </c>
      <c r="F33" s="263">
        <v>1.0</v>
      </c>
      <c r="G33" s="39"/>
      <c r="H33" s="39" t="s">
        <v>265</v>
      </c>
    </row>
    <row r="34">
      <c r="A34" s="39" t="s">
        <v>477</v>
      </c>
      <c r="B34" s="39" t="s">
        <v>220</v>
      </c>
      <c r="C34" s="39" t="s">
        <v>502</v>
      </c>
      <c r="D34" s="39" t="s">
        <v>96</v>
      </c>
      <c r="E34" s="39" t="s">
        <v>406</v>
      </c>
      <c r="F34" s="263">
        <v>1.0</v>
      </c>
      <c r="G34" s="39"/>
      <c r="H34" s="39" t="s">
        <v>265</v>
      </c>
    </row>
    <row r="35">
      <c r="A35" s="39" t="s">
        <v>480</v>
      </c>
      <c r="B35" s="39" t="s">
        <v>221</v>
      </c>
      <c r="C35" s="39" t="s">
        <v>59</v>
      </c>
      <c r="D35" s="39" t="s">
        <v>96</v>
      </c>
      <c r="E35" s="39" t="s">
        <v>375</v>
      </c>
      <c r="F35" s="263">
        <v>1.0</v>
      </c>
      <c r="G35" s="39"/>
      <c r="H35" s="39" t="s">
        <v>265</v>
      </c>
    </row>
    <row r="36">
      <c r="A36" s="39" t="s">
        <v>483</v>
      </c>
      <c r="B36" s="39" t="s">
        <v>222</v>
      </c>
      <c r="C36" s="39" t="s">
        <v>535</v>
      </c>
      <c r="D36" s="39" t="s">
        <v>96</v>
      </c>
      <c r="E36" s="39" t="s">
        <v>421</v>
      </c>
      <c r="F36" s="263">
        <v>1.0</v>
      </c>
      <c r="G36" s="39"/>
      <c r="H36" s="39" t="s">
        <v>265</v>
      </c>
    </row>
    <row r="37">
      <c r="A37" s="39" t="s">
        <v>486</v>
      </c>
      <c r="B37" s="39" t="s">
        <v>223</v>
      </c>
      <c r="C37" s="39" t="s">
        <v>536</v>
      </c>
      <c r="D37" s="39" t="s">
        <v>96</v>
      </c>
      <c r="E37" s="39" t="s">
        <v>413</v>
      </c>
      <c r="F37" s="263">
        <v>1.0</v>
      </c>
      <c r="G37" s="39"/>
      <c r="H37" s="39" t="s">
        <v>265</v>
      </c>
    </row>
    <row r="38">
      <c r="A38" s="39" t="s">
        <v>489</v>
      </c>
      <c r="B38" s="39" t="s">
        <v>224</v>
      </c>
      <c r="C38" s="39" t="s">
        <v>537</v>
      </c>
      <c r="D38" s="39" t="s">
        <v>96</v>
      </c>
      <c r="E38" s="39" t="s">
        <v>409</v>
      </c>
      <c r="F38" s="263">
        <v>1.0</v>
      </c>
      <c r="G38" s="39"/>
      <c r="H38" s="39" t="s">
        <v>265</v>
      </c>
    </row>
    <row r="39">
      <c r="A39" s="39" t="s">
        <v>491</v>
      </c>
      <c r="B39" s="39" t="s">
        <v>225</v>
      </c>
      <c r="C39" s="39" t="s">
        <v>47</v>
      </c>
      <c r="D39" s="39" t="s">
        <v>96</v>
      </c>
      <c r="E39" s="39" t="s">
        <v>384</v>
      </c>
      <c r="F39" s="263">
        <v>1.0</v>
      </c>
      <c r="G39" s="39"/>
      <c r="H39" s="39" t="s">
        <v>265</v>
      </c>
    </row>
    <row r="40">
      <c r="A40" s="39" t="s">
        <v>494</v>
      </c>
      <c r="B40" s="39" t="s">
        <v>226</v>
      </c>
      <c r="C40" s="39" t="s">
        <v>496</v>
      </c>
      <c r="D40" s="39" t="s">
        <v>96</v>
      </c>
      <c r="E40" s="39" t="s">
        <v>79</v>
      </c>
      <c r="F40" s="263">
        <v>1.0</v>
      </c>
      <c r="G40" s="39"/>
      <c r="H40" s="39" t="s">
        <v>265</v>
      </c>
    </row>
    <row r="41">
      <c r="A41" s="39" t="s">
        <v>497</v>
      </c>
      <c r="B41" s="39" t="s">
        <v>227</v>
      </c>
      <c r="C41" s="39" t="s">
        <v>53</v>
      </c>
      <c r="D41" s="39" t="s">
        <v>96</v>
      </c>
      <c r="E41" s="39" t="s">
        <v>318</v>
      </c>
      <c r="F41" s="263">
        <v>1.0</v>
      </c>
      <c r="G41" s="39"/>
      <c r="H41" s="39" t="s">
        <v>265</v>
      </c>
    </row>
    <row r="42">
      <c r="A42" s="39" t="s">
        <v>500</v>
      </c>
      <c r="B42" s="39" t="s">
        <v>228</v>
      </c>
      <c r="C42" s="39" t="s">
        <v>518</v>
      </c>
      <c r="D42" s="39" t="s">
        <v>96</v>
      </c>
      <c r="E42" s="39" t="s">
        <v>420</v>
      </c>
      <c r="F42" s="263">
        <v>1.0</v>
      </c>
      <c r="G42" s="39"/>
      <c r="H42" s="39" t="s">
        <v>265</v>
      </c>
    </row>
    <row r="43">
      <c r="A43" s="39" t="s">
        <v>503</v>
      </c>
      <c r="B43" s="39" t="s">
        <v>229</v>
      </c>
      <c r="C43" s="39" t="s">
        <v>538</v>
      </c>
      <c r="D43" s="39" t="s">
        <v>96</v>
      </c>
      <c r="E43" s="39" t="s">
        <v>432</v>
      </c>
      <c r="F43" s="263">
        <v>1.0</v>
      </c>
      <c r="G43" s="39"/>
      <c r="H43" s="39" t="s">
        <v>265</v>
      </c>
    </row>
    <row r="44">
      <c r="A44" s="39" t="s">
        <v>505</v>
      </c>
      <c r="B44" s="39" t="s">
        <v>230</v>
      </c>
      <c r="C44" s="39" t="s">
        <v>539</v>
      </c>
      <c r="D44" s="39" t="s">
        <v>96</v>
      </c>
      <c r="E44" s="39" t="s">
        <v>78</v>
      </c>
      <c r="F44" s="263">
        <v>1.0</v>
      </c>
      <c r="G44" s="39"/>
      <c r="H44" s="39" t="s">
        <v>265</v>
      </c>
    </row>
    <row r="45">
      <c r="A45" s="39" t="s">
        <v>508</v>
      </c>
      <c r="B45" s="39" t="s">
        <v>231</v>
      </c>
      <c r="C45" s="39" t="s">
        <v>540</v>
      </c>
      <c r="D45" s="39" t="s">
        <v>96</v>
      </c>
      <c r="E45" s="39" t="s">
        <v>404</v>
      </c>
      <c r="F45" s="263">
        <v>1.0</v>
      </c>
      <c r="G45" s="39"/>
      <c r="H45" s="39" t="s">
        <v>265</v>
      </c>
    </row>
    <row r="46">
      <c r="A46" s="39" t="s">
        <v>510</v>
      </c>
      <c r="B46" s="39" t="s">
        <v>232</v>
      </c>
      <c r="C46" s="39" t="s">
        <v>541</v>
      </c>
      <c r="D46" s="39" t="s">
        <v>96</v>
      </c>
      <c r="E46" s="39" t="s">
        <v>381</v>
      </c>
      <c r="F46" s="263">
        <v>1.0</v>
      </c>
      <c r="G46" s="39"/>
      <c r="H46" s="39" t="s">
        <v>265</v>
      </c>
    </row>
    <row r="47">
      <c r="A47" s="39" t="s">
        <v>513</v>
      </c>
      <c r="B47" s="39" t="s">
        <v>233</v>
      </c>
      <c r="C47" s="39" t="s">
        <v>542</v>
      </c>
      <c r="D47" s="39" t="s">
        <v>96</v>
      </c>
      <c r="E47" s="39" t="s">
        <v>436</v>
      </c>
      <c r="F47" s="263">
        <v>1.0</v>
      </c>
      <c r="G47" s="39"/>
      <c r="H47" s="39" t="s">
        <v>265</v>
      </c>
    </row>
    <row r="48">
      <c r="A48" s="39" t="s">
        <v>516</v>
      </c>
      <c r="B48" s="39" t="s">
        <v>234</v>
      </c>
      <c r="C48" s="39" t="s">
        <v>543</v>
      </c>
      <c r="D48" s="39" t="s">
        <v>96</v>
      </c>
      <c r="E48" s="39" t="s">
        <v>378</v>
      </c>
      <c r="F48" s="263">
        <v>1.0</v>
      </c>
      <c r="G48" s="39"/>
      <c r="H48" s="39" t="s">
        <v>265</v>
      </c>
    </row>
    <row r="49">
      <c r="A49" s="39" t="s">
        <v>519</v>
      </c>
      <c r="B49" s="39" t="s">
        <v>235</v>
      </c>
      <c r="C49" s="39" t="s">
        <v>544</v>
      </c>
      <c r="D49" s="39" t="s">
        <v>96</v>
      </c>
      <c r="E49" s="39" t="s">
        <v>376</v>
      </c>
      <c r="F49" s="263">
        <v>1.0</v>
      </c>
      <c r="G49" s="39"/>
      <c r="H49" s="39" t="s">
        <v>265</v>
      </c>
    </row>
    <row r="50">
      <c r="A50" s="39" t="s">
        <v>545</v>
      </c>
      <c r="B50" s="39" t="s">
        <v>301</v>
      </c>
      <c r="C50" s="39" t="s">
        <v>74</v>
      </c>
      <c r="D50" s="39" t="s">
        <v>96</v>
      </c>
      <c r="E50" s="39" t="s">
        <v>171</v>
      </c>
      <c r="F50" s="263">
        <v>1.0</v>
      </c>
      <c r="G50" s="39"/>
      <c r="H50" s="39" t="s">
        <v>265</v>
      </c>
    </row>
    <row r="51">
      <c r="A51" s="39" t="s">
        <v>546</v>
      </c>
      <c r="B51" s="39" t="s">
        <v>237</v>
      </c>
      <c r="C51" s="39" t="s">
        <v>151</v>
      </c>
      <c r="D51" s="39" t="s">
        <v>96</v>
      </c>
      <c r="E51" s="39" t="s">
        <v>149</v>
      </c>
      <c r="F51" s="263">
        <v>1.0</v>
      </c>
      <c r="G51" s="39"/>
      <c r="H51" s="39" t="s">
        <v>265</v>
      </c>
    </row>
    <row r="52">
      <c r="A52" s="39" t="s">
        <v>547</v>
      </c>
      <c r="B52" s="39" t="s">
        <v>238</v>
      </c>
      <c r="C52" s="39" t="s">
        <v>154</v>
      </c>
      <c r="D52" s="39" t="s">
        <v>96</v>
      </c>
      <c r="E52" s="39" t="s">
        <v>150</v>
      </c>
      <c r="F52" s="263">
        <v>1.0</v>
      </c>
      <c r="G52" s="39"/>
      <c r="H52" s="39" t="s">
        <v>265</v>
      </c>
    </row>
    <row r="53">
      <c r="A53" s="39" t="s">
        <v>548</v>
      </c>
      <c r="B53" s="39" t="s">
        <v>239</v>
      </c>
      <c r="C53" s="39" t="s">
        <v>156</v>
      </c>
      <c r="D53" s="39" t="s">
        <v>96</v>
      </c>
      <c r="E53" s="39" t="s">
        <v>153</v>
      </c>
      <c r="F53" s="263">
        <v>1.0</v>
      </c>
      <c r="G53" s="39"/>
      <c r="H53" s="39" t="s">
        <v>265</v>
      </c>
    </row>
    <row r="54">
      <c r="A54" s="39"/>
      <c r="B54" s="39"/>
      <c r="C54" s="39"/>
      <c r="D54" s="39"/>
      <c r="E54" s="39"/>
      <c r="F54" s="263"/>
      <c r="G54" s="39"/>
      <c r="H54" s="39"/>
    </row>
    <row r="55">
      <c r="A55" s="39"/>
      <c r="B55" s="39"/>
      <c r="C55" s="39"/>
      <c r="D55" s="39"/>
      <c r="E55" s="39"/>
      <c r="F55" s="263"/>
      <c r="G55" s="39"/>
      <c r="H55" s="39"/>
    </row>
    <row r="56">
      <c r="A56" s="39"/>
      <c r="B56" s="39"/>
      <c r="C56" s="39"/>
      <c r="D56" s="39"/>
      <c r="E56" s="39"/>
      <c r="F56" s="263"/>
      <c r="G56" s="39"/>
      <c r="H56" s="39"/>
    </row>
    <row r="57">
      <c r="A57" s="39"/>
      <c r="B57" s="39"/>
      <c r="C57" s="39"/>
      <c r="D57" s="39"/>
      <c r="E57" s="39"/>
      <c r="F57" s="263"/>
      <c r="G57" s="39"/>
      <c r="H57" s="39"/>
    </row>
    <row r="58">
      <c r="A58" s="39"/>
      <c r="B58" s="39"/>
      <c r="C58" s="39"/>
      <c r="D58" s="39"/>
      <c r="E58" s="39"/>
      <c r="F58" s="263"/>
      <c r="G58" s="39"/>
      <c r="H58" s="39"/>
    </row>
    <row r="59">
      <c r="A59" s="39"/>
      <c r="B59" s="39"/>
      <c r="C59" s="39"/>
      <c r="D59" s="39"/>
      <c r="E59" s="39"/>
      <c r="F59" s="263"/>
      <c r="G59" s="39"/>
      <c r="H59" s="39"/>
    </row>
    <row r="60">
      <c r="A60" s="39"/>
      <c r="B60" s="39"/>
      <c r="C60" s="39"/>
      <c r="D60" s="39"/>
      <c r="E60" s="39"/>
      <c r="F60" s="263"/>
      <c r="G60" s="39"/>
      <c r="H60" s="39"/>
    </row>
    <row r="61">
      <c r="A61" s="39"/>
      <c r="B61" s="39"/>
      <c r="C61" s="39"/>
      <c r="D61" s="39"/>
      <c r="E61" s="39"/>
      <c r="F61" s="263"/>
      <c r="G61" s="39"/>
      <c r="H61" s="39"/>
    </row>
    <row r="62">
      <c r="A62" s="39"/>
      <c r="B62" s="39"/>
      <c r="C62" s="39"/>
      <c r="D62" s="39"/>
      <c r="E62" s="39"/>
      <c r="F62" s="263"/>
      <c r="G62" s="39"/>
      <c r="H62" s="39"/>
    </row>
    <row r="63">
      <c r="A63" s="39"/>
      <c r="B63" s="39"/>
      <c r="C63" s="39"/>
      <c r="D63" s="39"/>
      <c r="E63" s="39"/>
      <c r="F63" s="263"/>
      <c r="G63" s="39"/>
      <c r="H63" s="39"/>
    </row>
    <row r="64">
      <c r="A64" s="39"/>
      <c r="B64" s="39"/>
      <c r="C64" s="39"/>
      <c r="D64" s="39"/>
      <c r="E64" s="39"/>
      <c r="F64" s="263"/>
      <c r="G64" s="39"/>
      <c r="H64" s="39"/>
    </row>
    <row r="65">
      <c r="A65" s="39"/>
      <c r="B65" s="39"/>
      <c r="C65" s="39"/>
      <c r="D65" s="39"/>
      <c r="E65" s="39"/>
      <c r="F65" s="263"/>
      <c r="G65" s="39"/>
      <c r="H65" s="39"/>
    </row>
    <row r="66">
      <c r="A66" s="39"/>
      <c r="B66" s="39"/>
      <c r="C66" s="39"/>
      <c r="D66" s="39"/>
      <c r="E66" s="39"/>
      <c r="F66" s="263"/>
      <c r="G66" s="39"/>
      <c r="H66" s="39"/>
    </row>
    <row r="67">
      <c r="A67" s="39"/>
      <c r="B67" s="39"/>
      <c r="C67" s="39"/>
      <c r="D67" s="39"/>
      <c r="E67" s="39"/>
      <c r="F67" s="263"/>
      <c r="G67" s="39"/>
      <c r="H67" s="39"/>
    </row>
    <row r="68">
      <c r="A68" s="39"/>
      <c r="B68" s="39"/>
      <c r="C68" s="39"/>
      <c r="D68" s="39"/>
      <c r="E68" s="39"/>
      <c r="F68" s="263"/>
      <c r="G68" s="39"/>
      <c r="H68" s="39"/>
    </row>
    <row r="69">
      <c r="A69" s="39"/>
      <c r="B69" s="39"/>
      <c r="C69" s="39"/>
      <c r="D69" s="39"/>
      <c r="E69" s="39"/>
      <c r="F69" s="263"/>
      <c r="G69" s="39"/>
      <c r="H69" s="39"/>
    </row>
    <row r="70">
      <c r="A70" s="39"/>
      <c r="B70" s="39"/>
      <c r="C70" s="39"/>
      <c r="D70" s="39"/>
      <c r="E70" s="39"/>
      <c r="F70" s="263"/>
      <c r="G70" s="39"/>
      <c r="H70" s="39"/>
    </row>
    <row r="71">
      <c r="A71" s="39"/>
      <c r="B71" s="39"/>
      <c r="C71" s="39"/>
      <c r="D71" s="39"/>
      <c r="E71" s="39"/>
      <c r="F71" s="263"/>
      <c r="G71" s="39"/>
      <c r="H71" s="39"/>
    </row>
    <row r="72">
      <c r="A72" s="39"/>
      <c r="B72" s="39"/>
      <c r="C72" s="39"/>
      <c r="D72" s="39"/>
      <c r="E72" s="39"/>
      <c r="F72" s="263"/>
      <c r="G72" s="39"/>
      <c r="H72" s="39"/>
    </row>
    <row r="73">
      <c r="A73" s="39"/>
      <c r="B73" s="39"/>
      <c r="C73" s="39"/>
      <c r="D73" s="39"/>
      <c r="E73" s="39"/>
      <c r="F73" s="263"/>
      <c r="G73" s="39"/>
      <c r="H73" s="39"/>
    </row>
    <row r="74">
      <c r="A74" s="39"/>
      <c r="B74" s="39"/>
      <c r="C74" s="39"/>
      <c r="D74" s="39"/>
      <c r="E74" s="39"/>
      <c r="F74" s="263"/>
      <c r="G74" s="39"/>
      <c r="H74" s="39"/>
    </row>
    <row r="75">
      <c r="A75" s="39"/>
      <c r="B75" s="39"/>
      <c r="C75" s="39"/>
      <c r="D75" s="39"/>
      <c r="E75" s="39"/>
      <c r="F75" s="263"/>
      <c r="G75" s="39"/>
      <c r="H75" s="39"/>
    </row>
    <row r="76">
      <c r="A76" s="39"/>
      <c r="B76" s="39"/>
      <c r="C76" s="39"/>
      <c r="D76" s="39"/>
      <c r="E76" s="39"/>
      <c r="F76" s="263"/>
      <c r="G76" s="39"/>
      <c r="H76" s="39"/>
    </row>
    <row r="77">
      <c r="A77" s="39"/>
      <c r="B77" s="39"/>
      <c r="C77" s="39"/>
      <c r="D77" s="39"/>
      <c r="E77" s="39"/>
      <c r="F77" s="263"/>
      <c r="G77" s="39"/>
      <c r="H77" s="39"/>
    </row>
    <row r="78">
      <c r="A78" s="39"/>
      <c r="B78" s="39"/>
      <c r="C78" s="39"/>
      <c r="D78" s="39"/>
      <c r="E78" s="39"/>
      <c r="F78" s="263"/>
      <c r="G78" s="39"/>
      <c r="H78" s="39"/>
    </row>
    <row r="79">
      <c r="A79" s="39"/>
      <c r="B79" s="39"/>
      <c r="C79" s="39"/>
      <c r="D79" s="39"/>
      <c r="E79" s="39"/>
      <c r="F79" s="263"/>
      <c r="G79" s="39"/>
      <c r="H79" s="39"/>
    </row>
    <row r="80">
      <c r="A80" s="39"/>
      <c r="B80" s="39"/>
      <c r="C80" s="39"/>
      <c r="D80" s="39"/>
      <c r="E80" s="39"/>
      <c r="F80" s="263"/>
      <c r="G80" s="39"/>
      <c r="H80" s="39"/>
    </row>
    <row r="81">
      <c r="A81" s="39"/>
      <c r="B81" s="39"/>
      <c r="C81" s="39"/>
      <c r="D81" s="39"/>
      <c r="E81" s="39"/>
      <c r="F81" s="263"/>
      <c r="G81" s="39"/>
      <c r="H81" s="39"/>
    </row>
    <row r="82">
      <c r="A82" s="39"/>
      <c r="B82" s="39"/>
      <c r="C82" s="39"/>
      <c r="D82" s="39"/>
      <c r="E82" s="39"/>
      <c r="F82" s="263"/>
      <c r="G82" s="39"/>
      <c r="H82" s="39"/>
    </row>
    <row r="83">
      <c r="A83" s="39"/>
      <c r="B83" s="39"/>
      <c r="C83" s="39"/>
      <c r="D83" s="39"/>
      <c r="E83" s="39"/>
      <c r="F83" s="263"/>
      <c r="G83" s="39"/>
      <c r="H83" s="39"/>
    </row>
    <row r="84">
      <c r="A84" s="39"/>
      <c r="B84" s="39"/>
      <c r="C84" s="39"/>
      <c r="D84" s="39"/>
      <c r="E84" s="39"/>
      <c r="F84" s="263"/>
      <c r="G84" s="39"/>
      <c r="H84" s="39"/>
    </row>
    <row r="85">
      <c r="A85" s="39"/>
      <c r="B85" s="39"/>
      <c r="C85" s="39"/>
      <c r="D85" s="39"/>
      <c r="E85" s="39"/>
      <c r="F85" s="263"/>
      <c r="G85" s="39"/>
      <c r="H85" s="39"/>
    </row>
    <row r="86">
      <c r="A86" s="39"/>
      <c r="B86" s="39"/>
      <c r="C86" s="39"/>
      <c r="D86" s="39"/>
      <c r="E86" s="39"/>
      <c r="F86" s="263"/>
      <c r="G86" s="39"/>
      <c r="H86" s="39"/>
    </row>
    <row r="87">
      <c r="A87" s="39"/>
      <c r="B87" s="39"/>
      <c r="C87" s="39"/>
      <c r="D87" s="39"/>
      <c r="E87" s="39"/>
      <c r="F87" s="263"/>
      <c r="G87" s="39"/>
      <c r="H87" s="39"/>
    </row>
    <row r="88">
      <c r="A88" s="39"/>
      <c r="B88" s="39"/>
      <c r="C88" s="39"/>
      <c r="D88" s="39"/>
      <c r="E88" s="39"/>
      <c r="F88" s="263"/>
      <c r="G88" s="39"/>
      <c r="H88" s="39"/>
    </row>
    <row r="89">
      <c r="A89" s="39"/>
      <c r="B89" s="39"/>
      <c r="C89" s="39"/>
      <c r="D89" s="39"/>
      <c r="E89" s="39"/>
      <c r="F89" s="263"/>
      <c r="G89" s="39"/>
      <c r="H89" s="39"/>
    </row>
    <row r="90">
      <c r="A90" s="39"/>
      <c r="B90" s="39"/>
      <c r="C90" s="39"/>
      <c r="D90" s="39"/>
      <c r="E90" s="39"/>
      <c r="F90" s="263"/>
      <c r="G90" s="39"/>
      <c r="H90" s="39"/>
    </row>
    <row r="91">
      <c r="A91" s="39"/>
      <c r="B91" s="39"/>
      <c r="C91" s="39"/>
      <c r="D91" s="39"/>
      <c r="E91" s="39"/>
      <c r="F91" s="263"/>
      <c r="G91" s="39"/>
      <c r="H91" s="39"/>
    </row>
    <row r="92">
      <c r="A92" s="39"/>
      <c r="B92" s="39"/>
      <c r="C92" s="39"/>
      <c r="D92" s="39"/>
      <c r="E92" s="39"/>
      <c r="F92" s="263"/>
      <c r="G92" s="39"/>
      <c r="H92" s="39"/>
    </row>
    <row r="93">
      <c r="A93" s="39"/>
      <c r="B93" s="39"/>
      <c r="C93" s="39"/>
      <c r="D93" s="39"/>
      <c r="E93" s="39"/>
      <c r="F93" s="263"/>
      <c r="G93" s="39"/>
      <c r="H93" s="39"/>
    </row>
    <row r="94">
      <c r="A94" s="39"/>
      <c r="B94" s="39"/>
      <c r="C94" s="39"/>
      <c r="D94" s="39"/>
      <c r="E94" s="39"/>
      <c r="F94" s="263"/>
      <c r="G94" s="39"/>
      <c r="H94" s="39"/>
    </row>
    <row r="95">
      <c r="A95" s="39"/>
      <c r="B95" s="39"/>
      <c r="C95" s="39"/>
      <c r="D95" s="39"/>
      <c r="E95" s="39"/>
      <c r="F95" s="263"/>
      <c r="G95" s="39"/>
      <c r="H95" s="39"/>
    </row>
    <row r="96">
      <c r="A96" s="39"/>
      <c r="B96" s="39"/>
      <c r="C96" s="39"/>
      <c r="D96" s="39"/>
      <c r="E96" s="39"/>
      <c r="F96" s="263"/>
      <c r="G96" s="39"/>
      <c r="H96" s="39"/>
    </row>
    <row r="97">
      <c r="A97" s="39"/>
      <c r="B97" s="39"/>
      <c r="C97" s="39"/>
      <c r="D97" s="39"/>
      <c r="E97" s="39"/>
      <c r="F97" s="263"/>
      <c r="G97" s="39"/>
      <c r="H97" s="39"/>
    </row>
    <row r="98">
      <c r="A98" s="39"/>
      <c r="B98" s="39"/>
      <c r="C98" s="39"/>
      <c r="D98" s="39"/>
      <c r="E98" s="39"/>
      <c r="F98" s="263"/>
      <c r="G98" s="39"/>
      <c r="H98" s="39"/>
    </row>
    <row r="99">
      <c r="A99" s="39"/>
      <c r="B99" s="39"/>
      <c r="C99" s="39"/>
      <c r="D99" s="39"/>
      <c r="E99" s="39"/>
      <c r="F99" s="263"/>
      <c r="G99" s="39"/>
      <c r="H99" s="39"/>
    </row>
    <row r="100">
      <c r="A100" s="39"/>
      <c r="B100" s="39"/>
      <c r="C100" s="39"/>
      <c r="D100" s="39"/>
      <c r="E100" s="39"/>
      <c r="F100" s="263"/>
      <c r="G100" s="39"/>
      <c r="H100" s="39"/>
    </row>
    <row r="101">
      <c r="A101" s="39"/>
      <c r="B101" s="39"/>
      <c r="C101" s="39"/>
      <c r="D101" s="39"/>
      <c r="E101" s="39"/>
      <c r="F101" s="263"/>
      <c r="G101" s="39"/>
      <c r="H101" s="39"/>
    </row>
    <row r="102">
      <c r="A102" s="39"/>
      <c r="B102" s="39"/>
      <c r="C102" s="39"/>
      <c r="D102" s="39"/>
      <c r="E102" s="39"/>
      <c r="F102" s="263"/>
      <c r="G102" s="39"/>
      <c r="H102" s="39"/>
    </row>
    <row r="103">
      <c r="A103" s="39"/>
      <c r="B103" s="39"/>
      <c r="C103" s="39"/>
      <c r="D103" s="39"/>
      <c r="E103" s="39"/>
      <c r="F103" s="263"/>
      <c r="G103" s="39"/>
      <c r="H103" s="39"/>
    </row>
    <row r="104">
      <c r="A104" s="39"/>
      <c r="B104" s="39"/>
      <c r="C104" s="39"/>
      <c r="D104" s="39"/>
      <c r="E104" s="39"/>
      <c r="F104" s="263"/>
      <c r="G104" s="39"/>
      <c r="H104" s="39"/>
    </row>
    <row r="105">
      <c r="A105" s="39"/>
      <c r="B105" s="39"/>
      <c r="C105" s="39"/>
      <c r="D105" s="39"/>
      <c r="E105" s="39"/>
      <c r="F105" s="263"/>
      <c r="G105" s="39"/>
      <c r="H105" s="39"/>
    </row>
    <row r="106">
      <c r="A106" s="39"/>
      <c r="B106" s="39"/>
      <c r="C106" s="39"/>
      <c r="D106" s="39"/>
      <c r="E106" s="39"/>
      <c r="F106" s="263"/>
      <c r="G106" s="39"/>
      <c r="H106" s="39"/>
    </row>
    <row r="107">
      <c r="A107" s="39"/>
      <c r="B107" s="39"/>
      <c r="C107" s="39"/>
      <c r="D107" s="39"/>
      <c r="E107" s="39"/>
      <c r="F107" s="263"/>
      <c r="G107" s="39"/>
      <c r="H107" s="39"/>
    </row>
    <row r="108">
      <c r="A108" s="39"/>
      <c r="B108" s="39"/>
      <c r="C108" s="39"/>
      <c r="D108" s="39"/>
      <c r="E108" s="39"/>
      <c r="F108" s="263"/>
      <c r="G108" s="39"/>
      <c r="H108" s="39"/>
    </row>
    <row r="109">
      <c r="A109" s="39"/>
      <c r="B109" s="39"/>
      <c r="C109" s="39"/>
      <c r="D109" s="39"/>
      <c r="E109" s="39"/>
      <c r="F109" s="263"/>
      <c r="G109" s="39"/>
      <c r="H109" s="39"/>
    </row>
    <row r="110">
      <c r="A110" s="39"/>
      <c r="B110" s="39"/>
      <c r="C110" s="39"/>
      <c r="D110" s="39"/>
      <c r="E110" s="39"/>
      <c r="F110" s="263"/>
      <c r="G110" s="39"/>
      <c r="H110" s="39"/>
    </row>
    <row r="111">
      <c r="A111" s="39"/>
      <c r="B111" s="39"/>
      <c r="C111" s="39"/>
      <c r="D111" s="39"/>
      <c r="E111" s="39"/>
      <c r="F111" s="263"/>
      <c r="G111" s="39"/>
      <c r="H111" s="39"/>
    </row>
    <row r="112">
      <c r="A112" s="39"/>
      <c r="B112" s="39"/>
      <c r="C112" s="39"/>
      <c r="D112" s="39"/>
      <c r="E112" s="39"/>
      <c r="F112" s="263"/>
      <c r="G112" s="39"/>
      <c r="H112" s="39"/>
    </row>
    <row r="113">
      <c r="A113" s="39"/>
      <c r="B113" s="39"/>
      <c r="C113" s="39"/>
      <c r="D113" s="39"/>
      <c r="E113" s="39"/>
      <c r="F113" s="263"/>
      <c r="G113" s="39"/>
      <c r="H113" s="39"/>
    </row>
    <row r="114">
      <c r="A114" s="39"/>
      <c r="B114" s="39"/>
      <c r="C114" s="39"/>
      <c r="D114" s="39"/>
      <c r="E114" s="39"/>
      <c r="F114" s="263"/>
      <c r="G114" s="39"/>
      <c r="H114" s="39"/>
    </row>
    <row r="115">
      <c r="A115" s="39"/>
      <c r="B115" s="39"/>
      <c r="C115" s="39"/>
      <c r="D115" s="39"/>
      <c r="E115" s="39"/>
      <c r="F115" s="263"/>
      <c r="G115" s="39"/>
      <c r="H115" s="39"/>
    </row>
    <row r="116">
      <c r="A116" s="39"/>
      <c r="B116" s="39"/>
      <c r="C116" s="39"/>
      <c r="D116" s="39"/>
      <c r="E116" s="39"/>
      <c r="F116" s="263"/>
      <c r="G116" s="39"/>
      <c r="H116" s="39"/>
    </row>
    <row r="117">
      <c r="A117" s="39"/>
      <c r="B117" s="39"/>
      <c r="C117" s="39"/>
      <c r="D117" s="39"/>
      <c r="E117" s="39"/>
      <c r="F117" s="263"/>
      <c r="G117" s="39"/>
      <c r="H117" s="39"/>
    </row>
    <row r="118">
      <c r="A118" s="39"/>
      <c r="B118" s="39"/>
      <c r="C118" s="39"/>
      <c r="D118" s="39"/>
      <c r="E118" s="39"/>
      <c r="F118" s="263"/>
      <c r="G118" s="39"/>
      <c r="H118" s="39"/>
    </row>
    <row r="119">
      <c r="A119" s="39"/>
      <c r="B119" s="39"/>
      <c r="C119" s="39"/>
      <c r="D119" s="39"/>
      <c r="E119" s="39"/>
      <c r="F119" s="263"/>
      <c r="G119" s="39"/>
      <c r="H119" s="39"/>
    </row>
    <row r="120">
      <c r="A120" s="39"/>
      <c r="B120" s="39"/>
      <c r="C120" s="39"/>
      <c r="D120" s="39"/>
      <c r="E120" s="39"/>
      <c r="F120" s="263"/>
      <c r="G120" s="39"/>
      <c r="H120" s="39"/>
    </row>
    <row r="121">
      <c r="A121" s="39"/>
      <c r="B121" s="39"/>
      <c r="C121" s="39"/>
      <c r="D121" s="39"/>
      <c r="E121" s="39"/>
      <c r="F121" s="263"/>
      <c r="G121" s="39"/>
      <c r="H121" s="39"/>
    </row>
    <row r="122">
      <c r="A122" s="39"/>
      <c r="B122" s="39"/>
      <c r="C122" s="39"/>
      <c r="D122" s="39"/>
      <c r="E122" s="39"/>
      <c r="F122" s="263"/>
      <c r="G122" s="39"/>
      <c r="H122" s="39"/>
    </row>
    <row r="123">
      <c r="A123" s="39"/>
      <c r="B123" s="39"/>
      <c r="C123" s="39"/>
      <c r="D123" s="39"/>
      <c r="E123" s="39"/>
      <c r="F123" s="263"/>
      <c r="G123" s="39"/>
      <c r="H123" s="39"/>
    </row>
    <row r="124">
      <c r="A124" s="39"/>
      <c r="B124" s="39"/>
      <c r="C124" s="39"/>
      <c r="D124" s="39"/>
      <c r="E124" s="39"/>
      <c r="F124" s="263"/>
      <c r="G124" s="39"/>
      <c r="H124" s="39"/>
    </row>
    <row r="125">
      <c r="A125" s="39"/>
      <c r="B125" s="39"/>
      <c r="C125" s="39"/>
      <c r="D125" s="39"/>
      <c r="E125" s="39"/>
      <c r="F125" s="263"/>
      <c r="G125" s="39"/>
      <c r="H125" s="39"/>
    </row>
    <row r="126">
      <c r="A126" s="39"/>
      <c r="B126" s="39"/>
      <c r="C126" s="39"/>
      <c r="D126" s="39"/>
      <c r="E126" s="39"/>
      <c r="F126" s="263"/>
      <c r="G126" s="39"/>
      <c r="H126" s="39"/>
    </row>
    <row r="127">
      <c r="A127" s="39"/>
      <c r="B127" s="39"/>
      <c r="C127" s="39"/>
      <c r="D127" s="39"/>
      <c r="E127" s="39"/>
      <c r="F127" s="263"/>
      <c r="G127" s="39"/>
      <c r="H127" s="39"/>
    </row>
    <row r="128">
      <c r="A128" s="39"/>
      <c r="B128" s="39"/>
      <c r="C128" s="39"/>
      <c r="D128" s="39"/>
      <c r="E128" s="39"/>
      <c r="F128" s="263"/>
      <c r="G128" s="39"/>
      <c r="H128" s="39"/>
    </row>
    <row r="129">
      <c r="A129" s="39"/>
      <c r="B129" s="39"/>
      <c r="C129" s="39"/>
      <c r="D129" s="39"/>
      <c r="E129" s="39"/>
      <c r="F129" s="263"/>
      <c r="G129" s="39"/>
      <c r="H129" s="39"/>
    </row>
    <row r="130">
      <c r="A130" s="39"/>
      <c r="B130" s="39"/>
      <c r="C130" s="39"/>
      <c r="D130" s="39"/>
      <c r="E130" s="39"/>
      <c r="F130" s="263"/>
      <c r="G130" s="39"/>
      <c r="H130" s="39"/>
    </row>
    <row r="131">
      <c r="A131" s="39"/>
      <c r="B131" s="39"/>
      <c r="C131" s="39"/>
      <c r="D131" s="39"/>
      <c r="E131" s="39"/>
      <c r="F131" s="263"/>
      <c r="G131" s="39"/>
      <c r="H131" s="39"/>
    </row>
    <row r="132">
      <c r="A132" s="39"/>
      <c r="B132" s="39"/>
      <c r="C132" s="39"/>
      <c r="D132" s="39"/>
      <c r="E132" s="39"/>
      <c r="F132" s="263"/>
      <c r="G132" s="39"/>
      <c r="H132" s="39"/>
    </row>
    <row r="133">
      <c r="A133" s="39"/>
      <c r="B133" s="39"/>
      <c r="C133" s="39"/>
      <c r="D133" s="39"/>
      <c r="E133" s="39"/>
      <c r="F133" s="263"/>
      <c r="G133" s="39"/>
      <c r="H133" s="39"/>
    </row>
    <row r="134">
      <c r="A134" s="39"/>
      <c r="B134" s="39"/>
      <c r="C134" s="39"/>
      <c r="D134" s="39"/>
      <c r="E134" s="39"/>
      <c r="F134" s="263"/>
      <c r="G134" s="39"/>
      <c r="H134" s="39"/>
    </row>
    <row r="135">
      <c r="A135" s="39"/>
      <c r="B135" s="39"/>
      <c r="C135" s="39"/>
      <c r="D135" s="39"/>
      <c r="E135" s="39"/>
      <c r="F135" s="263"/>
      <c r="G135" s="39"/>
      <c r="H135" s="39"/>
    </row>
    <row r="136">
      <c r="A136" s="39"/>
      <c r="B136" s="39"/>
      <c r="C136" s="39"/>
      <c r="D136" s="39"/>
      <c r="E136" s="39"/>
      <c r="F136" s="263"/>
      <c r="G136" s="39"/>
      <c r="H136" s="39"/>
    </row>
    <row r="137">
      <c r="A137" s="39"/>
      <c r="B137" s="39"/>
      <c r="C137" s="39"/>
      <c r="D137" s="39"/>
      <c r="E137" s="39"/>
      <c r="F137" s="263"/>
      <c r="G137" s="39"/>
      <c r="H137" s="39"/>
    </row>
    <row r="138">
      <c r="A138" s="39"/>
      <c r="B138" s="39"/>
      <c r="C138" s="39"/>
      <c r="D138" s="39"/>
      <c r="E138" s="39"/>
      <c r="F138" s="263"/>
      <c r="G138" s="39"/>
      <c r="H138" s="39"/>
    </row>
    <row r="139">
      <c r="A139" s="39"/>
      <c r="B139" s="39"/>
      <c r="C139" s="39"/>
      <c r="D139" s="39"/>
      <c r="E139" s="39"/>
      <c r="F139" s="263"/>
      <c r="G139" s="39"/>
      <c r="H139" s="39"/>
    </row>
    <row r="140">
      <c r="A140" s="39"/>
      <c r="B140" s="39"/>
      <c r="C140" s="39"/>
      <c r="D140" s="39"/>
      <c r="E140" s="39"/>
      <c r="F140" s="263"/>
      <c r="G140" s="39"/>
      <c r="H140" s="39"/>
    </row>
    <row r="141">
      <c r="A141" s="39"/>
      <c r="B141" s="39"/>
      <c r="C141" s="39"/>
      <c r="D141" s="39"/>
      <c r="E141" s="39"/>
      <c r="F141" s="263"/>
      <c r="G141" s="39"/>
      <c r="H141" s="39"/>
    </row>
    <row r="142">
      <c r="A142" s="39"/>
      <c r="B142" s="39"/>
      <c r="C142" s="39"/>
      <c r="D142" s="39"/>
      <c r="E142" s="39"/>
      <c r="F142" s="263"/>
      <c r="G142" s="39"/>
      <c r="H142" s="39"/>
    </row>
    <row r="143">
      <c r="A143" s="39"/>
      <c r="B143" s="39"/>
      <c r="C143" s="39"/>
      <c r="D143" s="39"/>
      <c r="E143" s="39"/>
      <c r="F143" s="263"/>
      <c r="G143" s="39"/>
      <c r="H143" s="39"/>
    </row>
    <row r="144">
      <c r="A144" s="39"/>
      <c r="B144" s="39"/>
      <c r="C144" s="39"/>
      <c r="D144" s="39"/>
      <c r="E144" s="39"/>
      <c r="F144" s="263"/>
      <c r="G144" s="39"/>
      <c r="H144" s="39"/>
    </row>
    <row r="145">
      <c r="A145" s="39"/>
      <c r="B145" s="39"/>
      <c r="C145" s="39"/>
      <c r="D145" s="39"/>
      <c r="E145" s="39"/>
      <c r="F145" s="263"/>
      <c r="G145" s="39"/>
      <c r="H145" s="39"/>
    </row>
    <row r="146">
      <c r="A146" s="39"/>
      <c r="B146" s="39"/>
      <c r="C146" s="39"/>
      <c r="D146" s="39"/>
      <c r="E146" s="39"/>
      <c r="F146" s="263"/>
      <c r="G146" s="39"/>
      <c r="H146" s="39"/>
    </row>
    <row r="147">
      <c r="A147" s="39"/>
      <c r="B147" s="39"/>
      <c r="C147" s="39"/>
      <c r="D147" s="39"/>
      <c r="E147" s="39"/>
      <c r="F147" s="263"/>
      <c r="G147" s="39"/>
      <c r="H147" s="39"/>
    </row>
    <row r="148">
      <c r="A148" s="39"/>
      <c r="B148" s="39"/>
      <c r="C148" s="39"/>
      <c r="D148" s="39"/>
      <c r="E148" s="39"/>
      <c r="F148" s="263"/>
      <c r="G148" s="39"/>
      <c r="H148" s="39"/>
    </row>
    <row r="149">
      <c r="A149" s="39"/>
      <c r="B149" s="39"/>
      <c r="C149" s="39"/>
      <c r="D149" s="39"/>
      <c r="E149" s="39"/>
      <c r="F149" s="263"/>
      <c r="G149" s="39"/>
      <c r="H149" s="39"/>
    </row>
    <row r="150">
      <c r="A150" s="39"/>
      <c r="B150" s="39"/>
      <c r="C150" s="39"/>
      <c r="D150" s="39"/>
      <c r="E150" s="39"/>
      <c r="F150" s="263"/>
      <c r="G150" s="39"/>
      <c r="H150" s="39"/>
    </row>
    <row r="151">
      <c r="A151" s="39"/>
      <c r="B151" s="39"/>
      <c r="C151" s="39"/>
      <c r="D151" s="39"/>
      <c r="E151" s="39"/>
      <c r="F151" s="263"/>
      <c r="G151" s="39"/>
      <c r="H151" s="39"/>
    </row>
    <row r="152">
      <c r="A152" s="39"/>
      <c r="B152" s="39"/>
      <c r="C152" s="39"/>
      <c r="D152" s="39"/>
      <c r="E152" s="39"/>
      <c r="F152" s="263"/>
      <c r="G152" s="39"/>
      <c r="H152" s="39"/>
    </row>
    <row r="153">
      <c r="A153" s="39"/>
      <c r="B153" s="39"/>
      <c r="C153" s="39"/>
      <c r="D153" s="39"/>
      <c r="E153" s="39"/>
      <c r="F153" s="263"/>
      <c r="G153" s="39"/>
      <c r="H153" s="39"/>
    </row>
    <row r="154">
      <c r="A154" s="39"/>
      <c r="B154" s="39"/>
      <c r="C154" s="39"/>
      <c r="D154" s="39"/>
      <c r="E154" s="39"/>
      <c r="F154" s="263"/>
      <c r="G154" s="39"/>
      <c r="H154" s="39"/>
    </row>
    <row r="155">
      <c r="A155" s="39"/>
      <c r="B155" s="39"/>
      <c r="C155" s="39"/>
      <c r="D155" s="39"/>
      <c r="E155" s="39"/>
      <c r="F155" s="263"/>
      <c r="G155" s="39"/>
      <c r="H155" s="39"/>
    </row>
    <row r="156">
      <c r="A156" s="39"/>
      <c r="B156" s="39"/>
      <c r="C156" s="39"/>
      <c r="D156" s="39"/>
      <c r="E156" s="39"/>
      <c r="F156" s="263"/>
      <c r="G156" s="39"/>
      <c r="H156" s="39"/>
    </row>
    <row r="157">
      <c r="A157" s="39"/>
      <c r="B157" s="39"/>
      <c r="C157" s="39"/>
      <c r="D157" s="39"/>
      <c r="E157" s="39"/>
      <c r="F157" s="263"/>
      <c r="G157" s="39"/>
      <c r="H157" s="39"/>
    </row>
    <row r="158">
      <c r="A158" s="39"/>
      <c r="B158" s="39"/>
      <c r="C158" s="39"/>
      <c r="D158" s="39"/>
      <c r="E158" s="39"/>
      <c r="F158" s="263"/>
      <c r="G158" s="39"/>
      <c r="H158" s="39"/>
    </row>
    <row r="159">
      <c r="A159" s="39"/>
      <c r="B159" s="39"/>
      <c r="C159" s="39"/>
      <c r="D159" s="39"/>
      <c r="E159" s="39"/>
      <c r="F159" s="263"/>
      <c r="G159" s="39"/>
      <c r="H159" s="39"/>
    </row>
    <row r="160">
      <c r="A160" s="39"/>
      <c r="B160" s="39"/>
      <c r="C160" s="39"/>
      <c r="D160" s="39"/>
      <c r="E160" s="39"/>
      <c r="F160" s="263"/>
      <c r="G160" s="39"/>
      <c r="H160" s="39"/>
    </row>
    <row r="161">
      <c r="A161" s="39"/>
      <c r="B161" s="39"/>
      <c r="C161" s="39"/>
      <c r="D161" s="39"/>
      <c r="E161" s="39"/>
      <c r="F161" s="263"/>
      <c r="G161" s="39"/>
      <c r="H161" s="39"/>
    </row>
    <row r="162">
      <c r="A162" s="39"/>
      <c r="B162" s="39"/>
      <c r="C162" s="39"/>
      <c r="D162" s="39"/>
      <c r="E162" s="39"/>
      <c r="F162" s="263"/>
      <c r="G162" s="39"/>
      <c r="H162" s="39"/>
    </row>
    <row r="163">
      <c r="A163" s="39"/>
      <c r="B163" s="39"/>
      <c r="C163" s="39"/>
      <c r="D163" s="39"/>
      <c r="E163" s="39"/>
      <c r="F163" s="263"/>
      <c r="G163" s="39"/>
      <c r="H163" s="39"/>
    </row>
    <row r="164">
      <c r="A164" s="39"/>
      <c r="B164" s="39"/>
      <c r="C164" s="39"/>
      <c r="D164" s="39"/>
      <c r="E164" s="39"/>
      <c r="F164" s="263"/>
      <c r="G164" s="39"/>
      <c r="H164" s="39"/>
    </row>
    <row r="165">
      <c r="A165" s="39"/>
      <c r="B165" s="39"/>
      <c r="C165" s="39"/>
      <c r="D165" s="39"/>
      <c r="E165" s="39"/>
      <c r="F165" s="263"/>
      <c r="G165" s="39"/>
      <c r="H165" s="39"/>
    </row>
    <row r="166">
      <c r="A166" s="39"/>
      <c r="B166" s="39"/>
      <c r="C166" s="39"/>
      <c r="D166" s="39"/>
      <c r="E166" s="39"/>
      <c r="F166" s="263"/>
      <c r="G166" s="39"/>
      <c r="H166" s="39"/>
    </row>
    <row r="167">
      <c r="A167" s="39"/>
      <c r="B167" s="39"/>
      <c r="C167" s="39"/>
      <c r="D167" s="39"/>
      <c r="E167" s="39"/>
      <c r="F167" s="263"/>
      <c r="G167" s="39"/>
      <c r="H167" s="39"/>
    </row>
    <row r="168">
      <c r="A168" s="39"/>
      <c r="B168" s="39"/>
      <c r="C168" s="39"/>
      <c r="D168" s="39"/>
      <c r="E168" s="39"/>
      <c r="F168" s="263"/>
      <c r="G168" s="39"/>
      <c r="H168" s="39"/>
    </row>
    <row r="169">
      <c r="A169" s="39"/>
      <c r="B169" s="39"/>
      <c r="C169" s="39"/>
      <c r="D169" s="39"/>
      <c r="E169" s="39"/>
      <c r="F169" s="263"/>
      <c r="G169" s="39"/>
      <c r="H169" s="39"/>
    </row>
    <row r="170">
      <c r="A170" s="39"/>
      <c r="B170" s="39"/>
      <c r="C170" s="39"/>
      <c r="D170" s="39"/>
      <c r="E170" s="39"/>
      <c r="F170" s="263"/>
      <c r="G170" s="39"/>
      <c r="H170" s="39"/>
    </row>
    <row r="171">
      <c r="A171" s="39"/>
      <c r="B171" s="39"/>
      <c r="C171" s="39"/>
      <c r="D171" s="39"/>
      <c r="E171" s="39"/>
      <c r="F171" s="263"/>
      <c r="G171" s="39"/>
      <c r="H171" s="39"/>
    </row>
    <row r="172">
      <c r="A172" s="39"/>
      <c r="B172" s="39"/>
      <c r="C172" s="39"/>
      <c r="D172" s="39"/>
      <c r="E172" s="39"/>
      <c r="F172" s="263"/>
      <c r="G172" s="39"/>
      <c r="H172" s="39"/>
    </row>
    <row r="173">
      <c r="A173" s="39"/>
      <c r="B173" s="39"/>
      <c r="C173" s="39"/>
      <c r="D173" s="39"/>
      <c r="E173" s="39"/>
      <c r="F173" s="263"/>
      <c r="G173" s="39"/>
      <c r="H173" s="39"/>
    </row>
    <row r="174">
      <c r="A174" s="39"/>
      <c r="B174" s="39"/>
      <c r="C174" s="39"/>
      <c r="D174" s="39"/>
      <c r="E174" s="39"/>
      <c r="F174" s="263"/>
      <c r="G174" s="39"/>
      <c r="H174" s="39"/>
    </row>
    <row r="175">
      <c r="A175" s="39"/>
      <c r="B175" s="39"/>
      <c r="C175" s="39"/>
      <c r="D175" s="39"/>
      <c r="E175" s="39"/>
      <c r="F175" s="263"/>
      <c r="G175" s="39"/>
      <c r="H175" s="39"/>
    </row>
    <row r="176">
      <c r="A176" s="39"/>
      <c r="B176" s="39"/>
      <c r="C176" s="39"/>
      <c r="D176" s="39"/>
      <c r="E176" s="39"/>
      <c r="F176" s="263"/>
      <c r="G176" s="39"/>
      <c r="H176" s="39"/>
    </row>
    <row r="177">
      <c r="A177" s="39"/>
      <c r="B177" s="39"/>
      <c r="C177" s="39"/>
      <c r="D177" s="39"/>
      <c r="E177" s="39"/>
      <c r="F177" s="263"/>
      <c r="G177" s="39"/>
      <c r="H177" s="39"/>
    </row>
    <row r="178">
      <c r="A178" s="39"/>
      <c r="B178" s="39"/>
      <c r="C178" s="39"/>
      <c r="D178" s="39"/>
      <c r="E178" s="39"/>
      <c r="F178" s="263"/>
      <c r="G178" s="39"/>
      <c r="H178" s="39"/>
    </row>
    <row r="179">
      <c r="A179" s="39"/>
      <c r="B179" s="39"/>
      <c r="C179" s="39"/>
      <c r="D179" s="39"/>
      <c r="E179" s="39"/>
      <c r="F179" s="263"/>
      <c r="G179" s="39"/>
      <c r="H179" s="39"/>
    </row>
    <row r="180">
      <c r="A180" s="39"/>
      <c r="B180" s="39"/>
      <c r="C180" s="39"/>
      <c r="D180" s="39"/>
      <c r="E180" s="39"/>
      <c r="F180" s="263"/>
      <c r="G180" s="39"/>
      <c r="H180" s="39"/>
    </row>
    <row r="181">
      <c r="A181" s="39"/>
      <c r="B181" s="39"/>
      <c r="C181" s="39"/>
      <c r="D181" s="39"/>
      <c r="E181" s="39"/>
      <c r="F181" s="263"/>
      <c r="G181" s="39"/>
      <c r="H181" s="39"/>
    </row>
    <row r="182">
      <c r="A182" s="39"/>
      <c r="B182" s="39"/>
      <c r="C182" s="39"/>
      <c r="D182" s="39"/>
      <c r="E182" s="39"/>
      <c r="F182" s="263"/>
      <c r="G182" s="39"/>
      <c r="H182" s="39"/>
    </row>
    <row r="183">
      <c r="A183" s="39"/>
      <c r="B183" s="39"/>
      <c r="C183" s="39"/>
      <c r="D183" s="39"/>
      <c r="E183" s="39"/>
      <c r="F183" s="263"/>
      <c r="G183" s="39"/>
      <c r="H183" s="39"/>
    </row>
    <row r="184">
      <c r="A184" s="39"/>
      <c r="B184" s="39"/>
      <c r="C184" s="39"/>
      <c r="D184" s="39"/>
      <c r="E184" s="39"/>
      <c r="F184" s="263"/>
      <c r="G184" s="39"/>
      <c r="H184" s="39"/>
    </row>
    <row r="185">
      <c r="A185" s="39"/>
      <c r="B185" s="39"/>
      <c r="C185" s="39"/>
      <c r="D185" s="39"/>
      <c r="E185" s="39"/>
      <c r="F185" s="263"/>
      <c r="G185" s="39"/>
      <c r="H185" s="39"/>
    </row>
    <row r="186">
      <c r="A186" s="39"/>
      <c r="B186" s="39"/>
      <c r="C186" s="39"/>
      <c r="D186" s="39"/>
      <c r="E186" s="39"/>
      <c r="F186" s="263"/>
      <c r="G186" s="39"/>
      <c r="H186" s="39"/>
    </row>
    <row r="187">
      <c r="A187" s="39"/>
      <c r="B187" s="39"/>
      <c r="C187" s="39"/>
      <c r="D187" s="39"/>
      <c r="E187" s="39"/>
      <c r="F187" s="263"/>
      <c r="G187" s="39"/>
      <c r="H187" s="39"/>
    </row>
    <row r="188">
      <c r="A188" s="39"/>
      <c r="B188" s="39"/>
      <c r="C188" s="39"/>
      <c r="D188" s="39"/>
      <c r="E188" s="39"/>
      <c r="F188" s="263"/>
      <c r="G188" s="39"/>
      <c r="H188" s="39"/>
    </row>
    <row r="189">
      <c r="A189" s="39"/>
      <c r="B189" s="39"/>
      <c r="C189" s="39"/>
      <c r="D189" s="39"/>
      <c r="E189" s="39"/>
      <c r="F189" s="263"/>
      <c r="G189" s="39"/>
      <c r="H189" s="39"/>
    </row>
    <row r="190">
      <c r="A190" s="39"/>
      <c r="B190" s="39"/>
      <c r="C190" s="39"/>
      <c r="D190" s="39"/>
      <c r="E190" s="39"/>
      <c r="F190" s="263"/>
      <c r="G190" s="39"/>
      <c r="H190" s="39"/>
    </row>
    <row r="191">
      <c r="A191" s="39"/>
      <c r="B191" s="39"/>
      <c r="C191" s="39"/>
      <c r="D191" s="39"/>
      <c r="E191" s="39"/>
      <c r="F191" s="263"/>
      <c r="G191" s="39"/>
      <c r="H191" s="39"/>
    </row>
    <row r="192">
      <c r="A192" s="39"/>
      <c r="B192" s="39"/>
      <c r="C192" s="39"/>
      <c r="D192" s="39"/>
      <c r="E192" s="39"/>
      <c r="F192" s="263"/>
      <c r="G192" s="39"/>
      <c r="H192" s="39"/>
    </row>
    <row r="193">
      <c r="A193" s="39"/>
      <c r="B193" s="39"/>
      <c r="C193" s="39"/>
      <c r="D193" s="39"/>
      <c r="E193" s="39"/>
      <c r="F193" s="263"/>
      <c r="G193" s="39"/>
      <c r="H193" s="39"/>
    </row>
    <row r="194">
      <c r="A194" s="39"/>
      <c r="B194" s="39"/>
      <c r="C194" s="39"/>
      <c r="D194" s="39"/>
      <c r="E194" s="39"/>
      <c r="F194" s="263"/>
      <c r="G194" s="39"/>
      <c r="H194" s="39"/>
    </row>
    <row r="195">
      <c r="A195" s="39"/>
      <c r="B195" s="39"/>
      <c r="C195" s="39"/>
      <c r="D195" s="39"/>
      <c r="E195" s="39"/>
      <c r="F195" s="263"/>
      <c r="G195" s="39"/>
      <c r="H195" s="39"/>
    </row>
    <row r="196">
      <c r="A196" s="39"/>
      <c r="B196" s="39"/>
      <c r="C196" s="39"/>
      <c r="D196" s="39"/>
      <c r="E196" s="39"/>
      <c r="F196" s="263"/>
      <c r="G196" s="39"/>
      <c r="H196" s="39"/>
    </row>
    <row r="197">
      <c r="A197" s="39"/>
      <c r="B197" s="39"/>
      <c r="C197" s="39"/>
      <c r="D197" s="39"/>
      <c r="E197" s="39"/>
      <c r="F197" s="263"/>
      <c r="G197" s="39"/>
      <c r="H197" s="39"/>
    </row>
    <row r="198">
      <c r="A198" s="39"/>
      <c r="B198" s="39"/>
      <c r="C198" s="39"/>
      <c r="D198" s="39"/>
      <c r="E198" s="39"/>
      <c r="F198" s="263"/>
      <c r="G198" s="39"/>
      <c r="H198" s="39"/>
    </row>
    <row r="199">
      <c r="A199" s="39"/>
      <c r="B199" s="39"/>
      <c r="C199" s="39"/>
      <c r="D199" s="39"/>
      <c r="E199" s="39"/>
      <c r="F199" s="263"/>
      <c r="G199" s="39"/>
      <c r="H199" s="39"/>
    </row>
    <row r="200">
      <c r="A200" s="39"/>
      <c r="B200" s="39"/>
      <c r="C200" s="39"/>
      <c r="D200" s="39"/>
      <c r="E200" s="39"/>
      <c r="F200" s="263"/>
      <c r="G200" s="39"/>
      <c r="H200" s="39"/>
    </row>
    <row r="201">
      <c r="A201" s="39"/>
      <c r="B201" s="39"/>
      <c r="C201" s="39"/>
      <c r="D201" s="39"/>
      <c r="E201" s="39"/>
      <c r="F201" s="263"/>
      <c r="G201" s="39"/>
      <c r="H201" s="39"/>
    </row>
    <row r="202">
      <c r="A202" s="39"/>
      <c r="B202" s="39"/>
      <c r="C202" s="39"/>
      <c r="D202" s="39"/>
      <c r="E202" s="39"/>
      <c r="F202" s="263"/>
      <c r="G202" s="39"/>
      <c r="H202" s="39"/>
    </row>
    <row r="203">
      <c r="A203" s="39"/>
      <c r="B203" s="39"/>
      <c r="C203" s="39"/>
      <c r="D203" s="39"/>
      <c r="E203" s="39"/>
      <c r="F203" s="263"/>
      <c r="G203" s="39"/>
      <c r="H203" s="39"/>
    </row>
    <row r="204">
      <c r="A204" s="39"/>
      <c r="B204" s="39"/>
      <c r="C204" s="39"/>
      <c r="D204" s="39"/>
      <c r="E204" s="39"/>
      <c r="F204" s="263"/>
      <c r="G204" s="39"/>
      <c r="H204" s="39"/>
    </row>
    <row r="205">
      <c r="A205" s="39"/>
      <c r="B205" s="39"/>
      <c r="C205" s="39"/>
      <c r="D205" s="39"/>
      <c r="E205" s="39"/>
      <c r="F205" s="263"/>
      <c r="G205" s="39"/>
      <c r="H205" s="39"/>
    </row>
    <row r="206">
      <c r="A206" s="39"/>
      <c r="B206" s="39"/>
      <c r="C206" s="39"/>
      <c r="D206" s="39"/>
      <c r="E206" s="39"/>
      <c r="F206" s="263"/>
      <c r="G206" s="39"/>
      <c r="H206" s="39"/>
    </row>
    <row r="207">
      <c r="A207" s="39"/>
      <c r="B207" s="39"/>
      <c r="C207" s="39"/>
      <c r="D207" s="39"/>
      <c r="E207" s="39"/>
      <c r="F207" s="263"/>
      <c r="G207" s="39"/>
      <c r="H207" s="39"/>
    </row>
    <row r="208">
      <c r="A208" s="39"/>
      <c r="B208" s="39"/>
      <c r="C208" s="39"/>
      <c r="D208" s="39"/>
      <c r="E208" s="39"/>
      <c r="F208" s="263"/>
      <c r="G208" s="39"/>
      <c r="H208" s="39"/>
    </row>
    <row r="209">
      <c r="A209" s="39"/>
      <c r="B209" s="39"/>
      <c r="C209" s="39"/>
      <c r="D209" s="39"/>
      <c r="E209" s="39"/>
      <c r="F209" s="263"/>
      <c r="G209" s="39"/>
      <c r="H209" s="39"/>
    </row>
    <row r="210">
      <c r="A210" s="39"/>
      <c r="B210" s="39"/>
      <c r="C210" s="39"/>
      <c r="D210" s="39"/>
      <c r="E210" s="39"/>
      <c r="F210" s="263"/>
      <c r="G210" s="39"/>
      <c r="H210" s="39"/>
    </row>
    <row r="211">
      <c r="A211" s="39"/>
      <c r="B211" s="39"/>
      <c r="C211" s="39"/>
      <c r="D211" s="39"/>
      <c r="E211" s="39"/>
      <c r="F211" s="263"/>
      <c r="G211" s="39"/>
      <c r="H211" s="39"/>
    </row>
    <row r="212">
      <c r="A212" s="39"/>
      <c r="B212" s="39"/>
      <c r="C212" s="39"/>
      <c r="D212" s="39"/>
      <c r="E212" s="39"/>
      <c r="F212" s="263"/>
      <c r="G212" s="39"/>
      <c r="H212" s="39"/>
    </row>
    <row r="213">
      <c r="A213" s="39"/>
      <c r="B213" s="39"/>
      <c r="C213" s="39"/>
      <c r="D213" s="39"/>
      <c r="E213" s="39"/>
      <c r="F213" s="263"/>
      <c r="G213" s="39"/>
      <c r="H213" s="39"/>
    </row>
    <row r="214">
      <c r="A214" s="39"/>
      <c r="B214" s="39"/>
      <c r="C214" s="39"/>
      <c r="D214" s="39"/>
      <c r="E214" s="39"/>
      <c r="F214" s="263"/>
      <c r="G214" s="39"/>
      <c r="H214" s="39"/>
    </row>
    <row r="215">
      <c r="A215" s="39"/>
      <c r="B215" s="39"/>
      <c r="C215" s="39"/>
      <c r="D215" s="39"/>
      <c r="E215" s="39"/>
      <c r="F215" s="263"/>
      <c r="G215" s="39"/>
      <c r="H215" s="39"/>
    </row>
    <row r="216">
      <c r="A216" s="39"/>
      <c r="B216" s="39"/>
      <c r="C216" s="39"/>
      <c r="D216" s="39"/>
      <c r="E216" s="39"/>
      <c r="F216" s="263"/>
      <c r="G216" s="39"/>
      <c r="H216" s="39"/>
    </row>
    <row r="217">
      <c r="A217" s="39"/>
      <c r="B217" s="39"/>
      <c r="C217" s="39"/>
      <c r="D217" s="39"/>
      <c r="E217" s="39"/>
      <c r="F217" s="263"/>
      <c r="G217" s="39"/>
      <c r="H217" s="39"/>
    </row>
    <row r="218">
      <c r="A218" s="39"/>
      <c r="B218" s="39"/>
      <c r="C218" s="39"/>
      <c r="D218" s="39"/>
      <c r="E218" s="39"/>
      <c r="F218" s="263"/>
      <c r="G218" s="39"/>
      <c r="H218" s="39"/>
    </row>
    <row r="219">
      <c r="A219" s="39"/>
      <c r="B219" s="39"/>
      <c r="C219" s="39"/>
      <c r="D219" s="39"/>
      <c r="E219" s="39"/>
      <c r="F219" s="263"/>
      <c r="G219" s="39"/>
      <c r="H219" s="39"/>
    </row>
    <row r="220">
      <c r="A220" s="39"/>
      <c r="B220" s="39"/>
      <c r="C220" s="39"/>
      <c r="D220" s="39"/>
      <c r="E220" s="39"/>
      <c r="F220" s="263"/>
      <c r="G220" s="39"/>
      <c r="H220" s="39"/>
    </row>
    <row r="221">
      <c r="A221" s="39"/>
      <c r="B221" s="39"/>
      <c r="C221" s="39"/>
      <c r="D221" s="39"/>
      <c r="E221" s="39"/>
      <c r="F221" s="263"/>
      <c r="G221" s="39"/>
      <c r="H221" s="39"/>
    </row>
    <row r="222">
      <c r="A222" s="39"/>
      <c r="B222" s="39"/>
      <c r="C222" s="39"/>
      <c r="D222" s="39"/>
      <c r="E222" s="39"/>
      <c r="F222" s="263"/>
      <c r="G222" s="39"/>
      <c r="H222" s="39"/>
    </row>
    <row r="223">
      <c r="A223" s="39"/>
      <c r="B223" s="39"/>
      <c r="C223" s="39"/>
      <c r="D223" s="39"/>
      <c r="E223" s="39"/>
      <c r="F223" s="263"/>
      <c r="G223" s="39"/>
      <c r="H223" s="39"/>
    </row>
    <row r="224">
      <c r="A224" s="39"/>
      <c r="B224" s="39"/>
      <c r="C224" s="39"/>
      <c r="D224" s="39"/>
      <c r="E224" s="39"/>
      <c r="F224" s="263"/>
      <c r="G224" s="39"/>
      <c r="H224" s="39"/>
    </row>
    <row r="225">
      <c r="A225" s="39"/>
      <c r="B225" s="39"/>
      <c r="C225" s="39"/>
      <c r="D225" s="39"/>
      <c r="E225" s="39"/>
      <c r="F225" s="263"/>
      <c r="G225" s="39"/>
      <c r="H225" s="39"/>
    </row>
    <row r="226">
      <c r="A226" s="39"/>
      <c r="B226" s="39"/>
      <c r="C226" s="39"/>
      <c r="D226" s="39"/>
      <c r="E226" s="39"/>
      <c r="F226" s="263"/>
      <c r="G226" s="39"/>
      <c r="H226" s="39"/>
    </row>
    <row r="227">
      <c r="A227" s="39"/>
      <c r="B227" s="39"/>
      <c r="C227" s="39"/>
      <c r="D227" s="39"/>
      <c r="E227" s="39"/>
      <c r="F227" s="263"/>
      <c r="G227" s="39"/>
      <c r="H227" s="39"/>
    </row>
    <row r="228">
      <c r="A228" s="39"/>
      <c r="B228" s="39"/>
      <c r="C228" s="39"/>
      <c r="D228" s="39"/>
      <c r="E228" s="39"/>
      <c r="F228" s="263"/>
      <c r="G228" s="39"/>
      <c r="H228" s="39"/>
    </row>
    <row r="229">
      <c r="A229" s="39"/>
      <c r="B229" s="39"/>
      <c r="C229" s="39"/>
      <c r="D229" s="39"/>
      <c r="E229" s="39"/>
      <c r="F229" s="263"/>
      <c r="G229" s="39"/>
      <c r="H229" s="39"/>
    </row>
    <row r="230">
      <c r="A230" s="39"/>
      <c r="B230" s="39"/>
      <c r="C230" s="39"/>
      <c r="D230" s="39"/>
      <c r="E230" s="39"/>
      <c r="F230" s="263"/>
      <c r="G230" s="39"/>
      <c r="H230" s="39"/>
    </row>
    <row r="231">
      <c r="A231" s="39"/>
      <c r="B231" s="39"/>
      <c r="C231" s="39"/>
      <c r="D231" s="39"/>
      <c r="E231" s="39"/>
      <c r="F231" s="263"/>
      <c r="G231" s="39"/>
      <c r="H231" s="39"/>
    </row>
    <row r="232">
      <c r="A232" s="39"/>
      <c r="B232" s="39"/>
      <c r="C232" s="39"/>
      <c r="D232" s="39"/>
      <c r="E232" s="39"/>
      <c r="F232" s="263"/>
      <c r="G232" s="39"/>
      <c r="H232" s="39"/>
    </row>
    <row r="233">
      <c r="A233" s="39"/>
      <c r="B233" s="39"/>
      <c r="C233" s="39"/>
      <c r="D233" s="39"/>
      <c r="E233" s="39"/>
      <c r="F233" s="263"/>
      <c r="G233" s="39"/>
      <c r="H233" s="39"/>
    </row>
    <row r="234">
      <c r="A234" s="39"/>
      <c r="B234" s="39"/>
      <c r="C234" s="39"/>
      <c r="D234" s="39"/>
      <c r="E234" s="39"/>
      <c r="F234" s="263"/>
      <c r="G234" s="39"/>
      <c r="H234" s="39"/>
    </row>
    <row r="235">
      <c r="A235" s="39"/>
      <c r="B235" s="39"/>
      <c r="C235" s="39"/>
      <c r="D235" s="39"/>
      <c r="E235" s="39"/>
      <c r="F235" s="263"/>
      <c r="G235" s="39"/>
      <c r="H235" s="39"/>
    </row>
    <row r="236">
      <c r="A236" s="39"/>
      <c r="B236" s="39"/>
      <c r="C236" s="39"/>
      <c r="D236" s="39"/>
      <c r="E236" s="39"/>
      <c r="F236" s="263"/>
      <c r="G236" s="39"/>
      <c r="H236" s="39"/>
    </row>
    <row r="237">
      <c r="A237" s="39"/>
      <c r="B237" s="39"/>
      <c r="C237" s="39"/>
      <c r="D237" s="39"/>
      <c r="E237" s="39"/>
      <c r="F237" s="263"/>
      <c r="G237" s="39"/>
      <c r="H237" s="39"/>
    </row>
    <row r="238">
      <c r="A238" s="39"/>
      <c r="B238" s="39"/>
      <c r="C238" s="39"/>
      <c r="D238" s="39"/>
      <c r="E238" s="39"/>
      <c r="F238" s="263"/>
      <c r="G238" s="39"/>
      <c r="H238" s="39"/>
    </row>
    <row r="239">
      <c r="A239" s="39"/>
      <c r="B239" s="39"/>
      <c r="C239" s="39"/>
      <c r="D239" s="39"/>
      <c r="E239" s="39"/>
      <c r="F239" s="263"/>
      <c r="G239" s="39"/>
      <c r="H239" s="39"/>
    </row>
    <row r="240">
      <c r="A240" s="39"/>
      <c r="B240" s="39"/>
      <c r="C240" s="39"/>
      <c r="D240" s="39"/>
      <c r="E240" s="39"/>
      <c r="F240" s="263"/>
      <c r="G240" s="39"/>
      <c r="H240" s="39"/>
    </row>
    <row r="241">
      <c r="A241" s="39"/>
      <c r="B241" s="39"/>
      <c r="C241" s="39"/>
      <c r="D241" s="39"/>
      <c r="E241" s="39"/>
      <c r="F241" s="263"/>
      <c r="G241" s="39"/>
      <c r="H241" s="39"/>
    </row>
    <row r="242">
      <c r="A242" s="39"/>
      <c r="B242" s="39"/>
      <c r="C242" s="39"/>
      <c r="D242" s="39"/>
      <c r="E242" s="39"/>
      <c r="F242" s="263"/>
      <c r="G242" s="39"/>
      <c r="H242" s="39"/>
    </row>
    <row r="243">
      <c r="A243" s="39"/>
      <c r="B243" s="39"/>
      <c r="C243" s="39"/>
      <c r="D243" s="39"/>
      <c r="E243" s="39"/>
      <c r="F243" s="263"/>
      <c r="G243" s="39"/>
      <c r="H243" s="39"/>
    </row>
    <row r="244">
      <c r="A244" s="39"/>
      <c r="B244" s="39"/>
      <c r="C244" s="39"/>
      <c r="D244" s="39"/>
      <c r="E244" s="39"/>
      <c r="F244" s="263"/>
      <c r="G244" s="39"/>
      <c r="H244" s="39"/>
    </row>
    <row r="245">
      <c r="A245" s="39"/>
      <c r="B245" s="39"/>
      <c r="C245" s="39"/>
      <c r="D245" s="39"/>
      <c r="E245" s="39"/>
      <c r="F245" s="263"/>
      <c r="G245" s="39"/>
      <c r="H245" s="39"/>
    </row>
    <row r="246">
      <c r="A246" s="39"/>
      <c r="B246" s="39"/>
      <c r="C246" s="39"/>
      <c r="D246" s="39"/>
      <c r="E246" s="39"/>
      <c r="F246" s="263"/>
      <c r="G246" s="39"/>
      <c r="H246" s="39"/>
    </row>
    <row r="247">
      <c r="A247" s="39"/>
      <c r="B247" s="39"/>
      <c r="C247" s="39"/>
      <c r="D247" s="39"/>
      <c r="E247" s="39"/>
      <c r="F247" s="263"/>
      <c r="G247" s="39"/>
      <c r="H247" s="39"/>
    </row>
    <row r="248">
      <c r="A248" s="39"/>
      <c r="B248" s="39"/>
      <c r="C248" s="39"/>
      <c r="D248" s="39"/>
      <c r="E248" s="39"/>
      <c r="F248" s="263"/>
      <c r="G248" s="39"/>
      <c r="H248" s="39"/>
    </row>
    <row r="249">
      <c r="A249" s="39"/>
      <c r="B249" s="39"/>
      <c r="C249" s="39"/>
      <c r="D249" s="39"/>
      <c r="E249" s="39"/>
      <c r="F249" s="263"/>
      <c r="G249" s="39"/>
      <c r="H249" s="39"/>
    </row>
    <row r="250">
      <c r="A250" s="39"/>
      <c r="B250" s="39"/>
      <c r="C250" s="39"/>
      <c r="D250" s="39"/>
      <c r="E250" s="39"/>
      <c r="F250" s="263"/>
      <c r="G250" s="39"/>
      <c r="H250" s="39"/>
    </row>
    <row r="251">
      <c r="A251" s="39"/>
      <c r="B251" s="39"/>
      <c r="C251" s="39"/>
      <c r="D251" s="39"/>
      <c r="E251" s="39"/>
      <c r="F251" s="263"/>
      <c r="G251" s="39"/>
      <c r="H251" s="39"/>
    </row>
    <row r="252">
      <c r="A252" s="39"/>
      <c r="B252" s="39"/>
      <c r="C252" s="39"/>
      <c r="D252" s="39"/>
      <c r="E252" s="39"/>
      <c r="F252" s="263"/>
      <c r="G252" s="39"/>
      <c r="H252" s="39"/>
    </row>
    <row r="253">
      <c r="A253" s="39"/>
      <c r="B253" s="39"/>
      <c r="C253" s="39"/>
      <c r="D253" s="39"/>
      <c r="E253" s="39"/>
      <c r="F253" s="263"/>
      <c r="G253" s="39"/>
      <c r="H253" s="39"/>
    </row>
    <row r="254">
      <c r="A254" s="39"/>
      <c r="B254" s="39"/>
      <c r="C254" s="39"/>
      <c r="D254" s="39"/>
      <c r="E254" s="39"/>
      <c r="F254" s="263"/>
      <c r="G254" s="39"/>
      <c r="H254" s="39"/>
    </row>
    <row r="255">
      <c r="A255" s="39"/>
      <c r="B255" s="39"/>
      <c r="C255" s="39"/>
      <c r="D255" s="39"/>
      <c r="E255" s="39"/>
      <c r="F255" s="263"/>
      <c r="G255" s="39"/>
      <c r="H255" s="39"/>
    </row>
    <row r="256">
      <c r="A256" s="39"/>
      <c r="B256" s="39"/>
      <c r="C256" s="39"/>
      <c r="D256" s="39"/>
      <c r="E256" s="39"/>
      <c r="F256" s="263"/>
      <c r="G256" s="39"/>
      <c r="H256" s="39"/>
    </row>
    <row r="257">
      <c r="A257" s="39"/>
      <c r="B257" s="39"/>
      <c r="C257" s="39"/>
      <c r="D257" s="39"/>
      <c r="E257" s="39"/>
      <c r="F257" s="263"/>
      <c r="G257" s="39"/>
      <c r="H257" s="39"/>
    </row>
    <row r="258">
      <c r="A258" s="39"/>
      <c r="B258" s="39"/>
      <c r="C258" s="39"/>
      <c r="D258" s="39"/>
      <c r="E258" s="39"/>
      <c r="F258" s="263"/>
      <c r="G258" s="39"/>
      <c r="H258" s="39"/>
    </row>
    <row r="259">
      <c r="A259" s="39"/>
      <c r="B259" s="39"/>
      <c r="C259" s="39"/>
      <c r="D259" s="39"/>
      <c r="E259" s="39"/>
      <c r="F259" s="263"/>
      <c r="G259" s="39"/>
      <c r="H259" s="39"/>
    </row>
    <row r="260">
      <c r="A260" s="39"/>
      <c r="B260" s="39"/>
      <c r="C260" s="39"/>
      <c r="D260" s="39"/>
      <c r="E260" s="39"/>
      <c r="F260" s="263"/>
      <c r="G260" s="39"/>
      <c r="H260" s="39"/>
    </row>
    <row r="261">
      <c r="A261" s="39"/>
      <c r="B261" s="39"/>
      <c r="C261" s="39"/>
      <c r="D261" s="39"/>
      <c r="E261" s="39"/>
      <c r="F261" s="263"/>
      <c r="G261" s="39"/>
      <c r="H261" s="39"/>
    </row>
    <row r="262">
      <c r="A262" s="39"/>
      <c r="B262" s="39"/>
      <c r="C262" s="39"/>
      <c r="D262" s="39"/>
      <c r="E262" s="39"/>
      <c r="F262" s="263"/>
      <c r="G262" s="39"/>
      <c r="H262" s="39"/>
    </row>
    <row r="263">
      <c r="A263" s="39"/>
      <c r="B263" s="39"/>
      <c r="C263" s="39"/>
      <c r="D263" s="39"/>
      <c r="E263" s="39"/>
      <c r="F263" s="263"/>
      <c r="G263" s="39"/>
      <c r="H263" s="39"/>
    </row>
    <row r="264">
      <c r="A264" s="39"/>
      <c r="B264" s="39"/>
      <c r="C264" s="39"/>
      <c r="D264" s="39"/>
      <c r="E264" s="39"/>
      <c r="F264" s="263"/>
      <c r="G264" s="39"/>
      <c r="H264" s="39"/>
    </row>
    <row r="265">
      <c r="A265" s="39"/>
      <c r="B265" s="39"/>
      <c r="C265" s="39"/>
      <c r="D265" s="39"/>
      <c r="E265" s="39"/>
      <c r="F265" s="263"/>
      <c r="G265" s="39"/>
      <c r="H265" s="39"/>
    </row>
    <row r="266">
      <c r="A266" s="39"/>
      <c r="B266" s="39"/>
      <c r="C266" s="39"/>
      <c r="D266" s="39"/>
      <c r="E266" s="39"/>
      <c r="F266" s="263"/>
      <c r="G266" s="39"/>
      <c r="H266" s="39"/>
    </row>
    <row r="267">
      <c r="A267" s="39"/>
      <c r="B267" s="39"/>
      <c r="C267" s="39"/>
      <c r="D267" s="39"/>
      <c r="E267" s="39"/>
      <c r="F267" s="263"/>
      <c r="G267" s="39"/>
      <c r="H267" s="39"/>
    </row>
    <row r="268">
      <c r="A268" s="39"/>
      <c r="B268" s="39"/>
      <c r="C268" s="39"/>
      <c r="D268" s="39"/>
      <c r="E268" s="39"/>
      <c r="F268" s="263"/>
      <c r="G268" s="39"/>
      <c r="H268" s="39"/>
    </row>
    <row r="269">
      <c r="A269" s="39"/>
      <c r="B269" s="39"/>
      <c r="C269" s="39"/>
      <c r="D269" s="39"/>
      <c r="E269" s="39"/>
      <c r="F269" s="263"/>
      <c r="G269" s="39"/>
      <c r="H269" s="39"/>
    </row>
    <row r="270">
      <c r="A270" s="39"/>
      <c r="B270" s="39"/>
      <c r="C270" s="39"/>
      <c r="D270" s="39"/>
      <c r="E270" s="39"/>
      <c r="F270" s="263"/>
      <c r="G270" s="39"/>
      <c r="H270" s="39"/>
    </row>
    <row r="271">
      <c r="A271" s="39"/>
      <c r="B271" s="39"/>
      <c r="C271" s="39"/>
      <c r="D271" s="39"/>
      <c r="E271" s="39"/>
      <c r="F271" s="263"/>
      <c r="G271" s="39"/>
      <c r="H271" s="39"/>
    </row>
    <row r="272">
      <c r="A272" s="39"/>
      <c r="B272" s="39"/>
      <c r="C272" s="39"/>
      <c r="D272" s="39"/>
      <c r="E272" s="39"/>
      <c r="F272" s="263"/>
      <c r="G272" s="39"/>
      <c r="H272" s="39"/>
    </row>
    <row r="273">
      <c r="A273" s="39"/>
      <c r="B273" s="39"/>
      <c r="C273" s="39"/>
      <c r="D273" s="39"/>
      <c r="E273" s="39"/>
      <c r="F273" s="263"/>
      <c r="G273" s="39"/>
      <c r="H273" s="39"/>
    </row>
    <row r="274">
      <c r="A274" s="39"/>
      <c r="B274" s="39"/>
      <c r="C274" s="39"/>
      <c r="D274" s="39"/>
      <c r="E274" s="39"/>
      <c r="F274" s="263"/>
      <c r="G274" s="39"/>
      <c r="H274" s="39"/>
    </row>
    <row r="275">
      <c r="A275" s="39"/>
      <c r="B275" s="39"/>
      <c r="C275" s="39"/>
      <c r="D275" s="39"/>
      <c r="E275" s="39"/>
      <c r="F275" s="263"/>
      <c r="G275" s="39"/>
      <c r="H275" s="39"/>
    </row>
    <row r="276">
      <c r="A276" s="39"/>
      <c r="B276" s="39"/>
      <c r="C276" s="39"/>
      <c r="D276" s="39"/>
      <c r="E276" s="39"/>
      <c r="F276" s="263"/>
      <c r="G276" s="39"/>
      <c r="H276" s="39"/>
    </row>
    <row r="277">
      <c r="A277" s="39"/>
      <c r="B277" s="39"/>
      <c r="C277" s="39"/>
      <c r="D277" s="39"/>
      <c r="E277" s="39"/>
      <c r="F277" s="263"/>
      <c r="G277" s="39"/>
      <c r="H277" s="39"/>
    </row>
    <row r="278">
      <c r="A278" s="39"/>
      <c r="B278" s="39"/>
      <c r="C278" s="39"/>
      <c r="D278" s="39"/>
      <c r="E278" s="39"/>
      <c r="F278" s="263"/>
      <c r="G278" s="39"/>
      <c r="H278" s="39"/>
    </row>
    <row r="279">
      <c r="A279" s="39"/>
      <c r="B279" s="39"/>
      <c r="C279" s="39"/>
      <c r="D279" s="39"/>
      <c r="E279" s="39"/>
      <c r="F279" s="263"/>
      <c r="G279" s="39"/>
      <c r="H279" s="39"/>
    </row>
    <row r="280">
      <c r="A280" s="39"/>
      <c r="B280" s="39"/>
      <c r="C280" s="39"/>
      <c r="D280" s="39"/>
      <c r="E280" s="39"/>
      <c r="F280" s="263"/>
      <c r="G280" s="39"/>
      <c r="H280" s="39"/>
    </row>
    <row r="281">
      <c r="A281" s="39"/>
      <c r="B281" s="39"/>
      <c r="C281" s="39"/>
      <c r="D281" s="39"/>
      <c r="E281" s="39"/>
      <c r="F281" s="263"/>
      <c r="G281" s="39"/>
      <c r="H281" s="39"/>
    </row>
    <row r="282">
      <c r="A282" s="39"/>
      <c r="B282" s="39"/>
      <c r="C282" s="39"/>
      <c r="D282" s="39"/>
      <c r="E282" s="39"/>
      <c r="F282" s="263"/>
      <c r="G282" s="39"/>
      <c r="H282" s="39"/>
    </row>
    <row r="283">
      <c r="A283" s="39"/>
      <c r="B283" s="39"/>
      <c r="C283" s="39"/>
      <c r="D283" s="39"/>
      <c r="E283" s="39"/>
      <c r="F283" s="263"/>
      <c r="G283" s="39"/>
      <c r="H283" s="39"/>
    </row>
    <row r="284">
      <c r="A284" s="39"/>
      <c r="B284" s="39"/>
      <c r="C284" s="39"/>
      <c r="D284" s="39"/>
      <c r="E284" s="39"/>
      <c r="F284" s="263"/>
      <c r="G284" s="39"/>
      <c r="H284" s="39"/>
    </row>
    <row r="285">
      <c r="A285" s="39"/>
      <c r="B285" s="39"/>
      <c r="C285" s="39"/>
      <c r="D285" s="39"/>
      <c r="E285" s="39"/>
      <c r="F285" s="263"/>
      <c r="G285" s="39"/>
      <c r="H285" s="39"/>
    </row>
    <row r="286">
      <c r="A286" s="39"/>
      <c r="B286" s="39"/>
      <c r="C286" s="39"/>
      <c r="D286" s="39"/>
      <c r="E286" s="39"/>
      <c r="F286" s="263"/>
      <c r="G286" s="39"/>
      <c r="H286" s="39"/>
    </row>
    <row r="287">
      <c r="A287" s="39"/>
      <c r="B287" s="39"/>
      <c r="C287" s="39"/>
      <c r="D287" s="39"/>
      <c r="E287" s="39"/>
      <c r="F287" s="263"/>
      <c r="G287" s="39"/>
      <c r="H287" s="39"/>
    </row>
    <row r="288">
      <c r="A288" s="39"/>
      <c r="B288" s="39"/>
      <c r="C288" s="39"/>
      <c r="D288" s="39"/>
      <c r="E288" s="39"/>
      <c r="F288" s="263"/>
      <c r="G288" s="39"/>
      <c r="H288" s="39"/>
    </row>
    <row r="289">
      <c r="A289" s="39"/>
      <c r="B289" s="39"/>
      <c r="C289" s="39"/>
      <c r="D289" s="39"/>
      <c r="E289" s="39"/>
      <c r="F289" s="263"/>
      <c r="G289" s="39"/>
      <c r="H289" s="39"/>
    </row>
    <row r="290">
      <c r="A290" s="39"/>
      <c r="B290" s="39"/>
      <c r="C290" s="39"/>
      <c r="D290" s="39"/>
      <c r="E290" s="39"/>
      <c r="F290" s="263"/>
      <c r="G290" s="39"/>
      <c r="H290" s="39"/>
    </row>
    <row r="291">
      <c r="A291" s="39"/>
      <c r="B291" s="39"/>
      <c r="C291" s="39"/>
      <c r="D291" s="39"/>
      <c r="E291" s="39"/>
      <c r="F291" s="263"/>
      <c r="G291" s="39"/>
      <c r="H291" s="39"/>
    </row>
    <row r="292">
      <c r="A292" s="39"/>
      <c r="B292" s="39"/>
      <c r="C292" s="39"/>
      <c r="D292" s="39"/>
      <c r="E292" s="39"/>
      <c r="F292" s="263"/>
      <c r="G292" s="39"/>
      <c r="H292" s="39"/>
    </row>
    <row r="293">
      <c r="A293" s="39"/>
      <c r="B293" s="39"/>
      <c r="C293" s="39"/>
      <c r="D293" s="39"/>
      <c r="E293" s="39"/>
      <c r="F293" s="263"/>
      <c r="G293" s="39"/>
      <c r="H293" s="39"/>
    </row>
    <row r="294">
      <c r="A294" s="39"/>
      <c r="B294" s="39"/>
      <c r="C294" s="39"/>
      <c r="D294" s="39"/>
      <c r="E294" s="39"/>
      <c r="F294" s="263"/>
      <c r="G294" s="39"/>
      <c r="H294" s="39"/>
    </row>
    <row r="295">
      <c r="A295" s="39"/>
      <c r="B295" s="39"/>
      <c r="C295" s="39"/>
      <c r="D295" s="39"/>
      <c r="E295" s="39"/>
      <c r="F295" s="263"/>
      <c r="G295" s="39"/>
      <c r="H295" s="39"/>
    </row>
    <row r="296">
      <c r="A296" s="39"/>
      <c r="B296" s="39"/>
      <c r="C296" s="39"/>
      <c r="D296" s="39"/>
      <c r="E296" s="39"/>
      <c r="F296" s="263"/>
      <c r="G296" s="39"/>
      <c r="H296" s="39"/>
    </row>
    <row r="297">
      <c r="A297" s="39"/>
      <c r="B297" s="39"/>
      <c r="C297" s="39"/>
      <c r="D297" s="39"/>
      <c r="E297" s="39"/>
      <c r="F297" s="263"/>
      <c r="G297" s="39"/>
      <c r="H297" s="39"/>
    </row>
    <row r="298">
      <c r="A298" s="39"/>
      <c r="B298" s="39"/>
      <c r="C298" s="39"/>
      <c r="D298" s="39"/>
      <c r="E298" s="39"/>
      <c r="F298" s="263"/>
      <c r="G298" s="39"/>
      <c r="H298" s="39"/>
    </row>
    <row r="299">
      <c r="A299" s="39"/>
      <c r="B299" s="39"/>
      <c r="C299" s="39"/>
      <c r="D299" s="39"/>
      <c r="E299" s="39"/>
      <c r="F299" s="263"/>
      <c r="G299" s="39"/>
      <c r="H299" s="39"/>
    </row>
    <row r="300">
      <c r="A300" s="39"/>
      <c r="B300" s="39"/>
      <c r="C300" s="39"/>
      <c r="D300" s="39"/>
      <c r="E300" s="39"/>
      <c r="F300" s="263"/>
      <c r="G300" s="39"/>
      <c r="H300" s="39"/>
    </row>
    <row r="301">
      <c r="A301" s="39"/>
      <c r="B301" s="39"/>
      <c r="C301" s="39"/>
      <c r="D301" s="39"/>
      <c r="E301" s="39"/>
      <c r="F301" s="263"/>
      <c r="G301" s="39"/>
      <c r="H301" s="39"/>
    </row>
    <row r="302">
      <c r="A302" s="39"/>
      <c r="B302" s="39"/>
      <c r="C302" s="39"/>
      <c r="D302" s="39"/>
      <c r="E302" s="39"/>
      <c r="F302" s="263"/>
      <c r="G302" s="39"/>
      <c r="H302" s="39"/>
    </row>
    <row r="303">
      <c r="A303" s="39"/>
      <c r="B303" s="39"/>
      <c r="C303" s="39"/>
      <c r="D303" s="39"/>
      <c r="E303" s="39"/>
      <c r="F303" s="263"/>
      <c r="G303" s="39"/>
      <c r="H303" s="39"/>
    </row>
    <row r="304">
      <c r="A304" s="39"/>
      <c r="B304" s="39"/>
      <c r="C304" s="39"/>
      <c r="D304" s="39"/>
      <c r="E304" s="39"/>
      <c r="F304" s="263"/>
      <c r="G304" s="39"/>
      <c r="H304" s="39"/>
    </row>
    <row r="305">
      <c r="A305" s="39"/>
      <c r="B305" s="39"/>
      <c r="C305" s="39"/>
      <c r="D305" s="39"/>
      <c r="E305" s="39"/>
      <c r="F305" s="263"/>
      <c r="G305" s="39"/>
      <c r="H305" s="39"/>
    </row>
    <row r="306">
      <c r="A306" s="39"/>
      <c r="B306" s="39"/>
      <c r="C306" s="39"/>
      <c r="D306" s="39"/>
      <c r="E306" s="39"/>
      <c r="F306" s="263"/>
      <c r="G306" s="39"/>
      <c r="H306" s="39"/>
    </row>
    <row r="307">
      <c r="A307" s="39"/>
      <c r="B307" s="39"/>
      <c r="C307" s="39"/>
      <c r="D307" s="39"/>
      <c r="E307" s="39"/>
      <c r="F307" s="263"/>
      <c r="G307" s="39"/>
      <c r="H307" s="39"/>
    </row>
    <row r="308">
      <c r="A308" s="39"/>
      <c r="B308" s="39"/>
      <c r="C308" s="39"/>
      <c r="D308" s="39"/>
      <c r="E308" s="39"/>
      <c r="F308" s="263"/>
      <c r="G308" s="39"/>
      <c r="H308" s="39"/>
    </row>
    <row r="309">
      <c r="A309" s="39"/>
      <c r="B309" s="39"/>
      <c r="C309" s="39"/>
      <c r="D309" s="39"/>
      <c r="E309" s="39"/>
      <c r="F309" s="263"/>
      <c r="G309" s="39"/>
      <c r="H309" s="39"/>
    </row>
    <row r="310">
      <c r="A310" s="39"/>
      <c r="B310" s="39"/>
      <c r="C310" s="39"/>
      <c r="D310" s="39"/>
      <c r="E310" s="39"/>
      <c r="F310" s="263"/>
      <c r="G310" s="39"/>
      <c r="H310" s="39"/>
    </row>
    <row r="311">
      <c r="A311" s="39"/>
      <c r="B311" s="39"/>
      <c r="C311" s="39"/>
      <c r="D311" s="39"/>
      <c r="E311" s="39"/>
      <c r="F311" s="263"/>
      <c r="G311" s="39"/>
      <c r="H311" s="39"/>
    </row>
    <row r="312">
      <c r="A312" s="39"/>
      <c r="B312" s="39"/>
      <c r="C312" s="39"/>
      <c r="D312" s="39"/>
      <c r="E312" s="39"/>
      <c r="F312" s="263"/>
      <c r="G312" s="39"/>
      <c r="H312" s="39"/>
    </row>
    <row r="313">
      <c r="A313" s="39"/>
      <c r="B313" s="39"/>
      <c r="C313" s="39"/>
      <c r="D313" s="39"/>
      <c r="E313" s="39"/>
      <c r="F313" s="263"/>
      <c r="G313" s="39"/>
      <c r="H313" s="39"/>
    </row>
    <row r="314">
      <c r="A314" s="39"/>
      <c r="B314" s="39"/>
      <c r="C314" s="39"/>
      <c r="D314" s="39"/>
      <c r="E314" s="39"/>
      <c r="F314" s="263"/>
      <c r="G314" s="39"/>
      <c r="H314" s="39"/>
    </row>
    <row r="315">
      <c r="A315" s="39"/>
      <c r="B315" s="39"/>
      <c r="C315" s="39"/>
      <c r="D315" s="39"/>
      <c r="E315" s="39"/>
      <c r="F315" s="263"/>
      <c r="G315" s="39"/>
      <c r="H315" s="39"/>
    </row>
    <row r="316">
      <c r="A316" s="39"/>
      <c r="B316" s="39"/>
      <c r="C316" s="39"/>
      <c r="D316" s="39"/>
      <c r="E316" s="39"/>
      <c r="F316" s="263"/>
      <c r="G316" s="39"/>
      <c r="H316" s="39"/>
    </row>
    <row r="317">
      <c r="A317" s="39"/>
      <c r="B317" s="39"/>
      <c r="C317" s="39"/>
      <c r="D317" s="39"/>
      <c r="E317" s="39"/>
      <c r="F317" s="263"/>
      <c r="G317" s="39"/>
      <c r="H317" s="39"/>
    </row>
    <row r="318">
      <c r="A318" s="39"/>
      <c r="B318" s="39"/>
      <c r="C318" s="39"/>
      <c r="D318" s="39"/>
      <c r="E318" s="39"/>
      <c r="F318" s="263"/>
      <c r="G318" s="39"/>
      <c r="H318" s="39"/>
    </row>
    <row r="319">
      <c r="A319" s="39"/>
      <c r="B319" s="39"/>
      <c r="C319" s="39"/>
      <c r="D319" s="39"/>
      <c r="E319" s="39"/>
      <c r="F319" s="263"/>
      <c r="G319" s="39"/>
      <c r="H319" s="39"/>
    </row>
    <row r="320">
      <c r="A320" s="39"/>
      <c r="B320" s="39"/>
      <c r="C320" s="39"/>
      <c r="D320" s="39"/>
      <c r="E320" s="39"/>
      <c r="F320" s="263"/>
      <c r="G320" s="39"/>
      <c r="H320" s="39"/>
    </row>
    <row r="321">
      <c r="A321" s="39"/>
      <c r="B321" s="39"/>
      <c r="C321" s="39"/>
      <c r="D321" s="39"/>
      <c r="E321" s="39"/>
      <c r="F321" s="263"/>
      <c r="G321" s="39"/>
      <c r="H321" s="39"/>
    </row>
    <row r="322">
      <c r="A322" s="39"/>
      <c r="B322" s="39"/>
      <c r="C322" s="39"/>
      <c r="D322" s="39"/>
      <c r="E322" s="39"/>
      <c r="F322" s="263"/>
      <c r="G322" s="39"/>
      <c r="H322" s="39"/>
    </row>
    <row r="323">
      <c r="A323" s="39"/>
      <c r="B323" s="39"/>
      <c r="C323" s="39"/>
      <c r="D323" s="39"/>
      <c r="E323" s="39"/>
      <c r="F323" s="263"/>
      <c r="G323" s="39"/>
      <c r="H323" s="39"/>
    </row>
    <row r="324">
      <c r="A324" s="39"/>
      <c r="B324" s="39"/>
      <c r="C324" s="39"/>
      <c r="D324" s="39"/>
      <c r="E324" s="39"/>
      <c r="F324" s="263"/>
      <c r="G324" s="39"/>
      <c r="H324" s="39"/>
    </row>
    <row r="325">
      <c r="A325" s="39"/>
      <c r="B325" s="39"/>
      <c r="C325" s="39"/>
      <c r="D325" s="39"/>
      <c r="E325" s="39"/>
      <c r="F325" s="263"/>
      <c r="G325" s="39"/>
      <c r="H325" s="39"/>
    </row>
    <row r="326">
      <c r="A326" s="39"/>
      <c r="B326" s="39"/>
      <c r="C326" s="39"/>
      <c r="D326" s="39"/>
      <c r="E326" s="39"/>
      <c r="F326" s="263"/>
      <c r="G326" s="39"/>
      <c r="H326" s="39"/>
    </row>
    <row r="327">
      <c r="A327" s="39"/>
      <c r="B327" s="39"/>
      <c r="C327" s="39"/>
      <c r="D327" s="39"/>
      <c r="E327" s="39"/>
      <c r="F327" s="263"/>
      <c r="G327" s="39"/>
      <c r="H327" s="39"/>
    </row>
    <row r="328">
      <c r="A328" s="39"/>
      <c r="B328" s="39"/>
      <c r="C328" s="39"/>
      <c r="D328" s="39"/>
      <c r="E328" s="39"/>
      <c r="F328" s="263"/>
      <c r="G328" s="39"/>
      <c r="H328" s="39"/>
    </row>
    <row r="329">
      <c r="A329" s="39"/>
      <c r="B329" s="39"/>
      <c r="C329" s="39"/>
      <c r="D329" s="39"/>
      <c r="E329" s="39"/>
      <c r="F329" s="263"/>
      <c r="G329" s="39"/>
      <c r="H329" s="39"/>
    </row>
    <row r="330">
      <c r="A330" s="39"/>
      <c r="B330" s="39"/>
      <c r="C330" s="39"/>
      <c r="D330" s="39"/>
      <c r="E330" s="39"/>
      <c r="F330" s="263"/>
      <c r="G330" s="39"/>
      <c r="H330" s="39"/>
    </row>
    <row r="331">
      <c r="A331" s="39"/>
      <c r="B331" s="39"/>
      <c r="C331" s="39"/>
      <c r="D331" s="39"/>
      <c r="E331" s="39"/>
      <c r="F331" s="263"/>
      <c r="G331" s="39"/>
      <c r="H331" s="39"/>
    </row>
    <row r="332">
      <c r="A332" s="39"/>
      <c r="B332" s="39"/>
      <c r="C332" s="39"/>
      <c r="D332" s="39"/>
      <c r="E332" s="39"/>
      <c r="F332" s="263"/>
      <c r="G332" s="39"/>
      <c r="H332" s="39"/>
    </row>
    <row r="333">
      <c r="A333" s="39"/>
      <c r="B333" s="39"/>
      <c r="C333" s="39"/>
      <c r="D333" s="39"/>
      <c r="E333" s="39"/>
      <c r="F333" s="263"/>
      <c r="G333" s="39"/>
      <c r="H333" s="39"/>
    </row>
    <row r="334">
      <c r="A334" s="39"/>
      <c r="B334" s="39"/>
      <c r="C334" s="39"/>
      <c r="D334" s="39"/>
      <c r="E334" s="39"/>
      <c r="F334" s="263"/>
      <c r="G334" s="39"/>
      <c r="H334" s="39"/>
    </row>
    <row r="335">
      <c r="A335" s="39"/>
      <c r="B335" s="39"/>
      <c r="C335" s="39"/>
      <c r="D335" s="39"/>
      <c r="E335" s="39"/>
      <c r="F335" s="263"/>
      <c r="G335" s="39"/>
      <c r="H335" s="39"/>
    </row>
    <row r="336">
      <c r="A336" s="39"/>
      <c r="B336" s="39"/>
      <c r="C336" s="39"/>
      <c r="D336" s="39"/>
      <c r="E336" s="39"/>
      <c r="F336" s="263"/>
      <c r="G336" s="39"/>
      <c r="H336" s="39"/>
    </row>
    <row r="337">
      <c r="A337" s="39"/>
      <c r="B337" s="39"/>
      <c r="C337" s="39"/>
      <c r="D337" s="39"/>
      <c r="E337" s="39"/>
      <c r="F337" s="263"/>
      <c r="G337" s="39"/>
      <c r="H337" s="39"/>
    </row>
    <row r="338">
      <c r="A338" s="39"/>
      <c r="B338" s="39"/>
      <c r="C338" s="39"/>
      <c r="D338" s="39"/>
      <c r="E338" s="39"/>
      <c r="F338" s="263"/>
      <c r="G338" s="39"/>
      <c r="H338" s="39"/>
    </row>
    <row r="339">
      <c r="A339" s="39"/>
      <c r="B339" s="39"/>
      <c r="C339" s="39"/>
      <c r="D339" s="39"/>
      <c r="E339" s="39"/>
      <c r="F339" s="263"/>
      <c r="G339" s="39"/>
      <c r="H339" s="39"/>
    </row>
    <row r="340">
      <c r="A340" s="39"/>
      <c r="B340" s="39"/>
      <c r="C340" s="39"/>
      <c r="D340" s="39"/>
      <c r="E340" s="39"/>
      <c r="F340" s="263"/>
      <c r="G340" s="39"/>
      <c r="H340" s="39"/>
    </row>
    <row r="341">
      <c r="A341" s="39"/>
      <c r="B341" s="39"/>
      <c r="C341" s="39"/>
      <c r="D341" s="39"/>
      <c r="E341" s="39"/>
      <c r="F341" s="263"/>
      <c r="G341" s="39"/>
      <c r="H341" s="39"/>
    </row>
    <row r="342">
      <c r="A342" s="39"/>
      <c r="B342" s="39"/>
      <c r="C342" s="39"/>
      <c r="D342" s="39"/>
      <c r="E342" s="39"/>
      <c r="F342" s="263"/>
      <c r="G342" s="39"/>
      <c r="H342" s="39"/>
    </row>
    <row r="343">
      <c r="A343" s="39"/>
      <c r="B343" s="39"/>
      <c r="C343" s="39"/>
      <c r="D343" s="39"/>
      <c r="E343" s="39"/>
      <c r="F343" s="263"/>
      <c r="G343" s="39"/>
      <c r="H343" s="39"/>
    </row>
    <row r="344">
      <c r="A344" s="39"/>
      <c r="B344" s="39"/>
      <c r="C344" s="39"/>
      <c r="D344" s="39"/>
      <c r="E344" s="39"/>
      <c r="F344" s="263"/>
      <c r="G344" s="39"/>
      <c r="H344" s="39"/>
    </row>
    <row r="345">
      <c r="A345" s="39"/>
      <c r="B345" s="39"/>
      <c r="C345" s="39"/>
      <c r="D345" s="39"/>
      <c r="E345" s="39"/>
      <c r="F345" s="263"/>
      <c r="G345" s="39"/>
      <c r="H345" s="39"/>
    </row>
    <row r="346">
      <c r="A346" s="39"/>
      <c r="B346" s="39"/>
      <c r="C346" s="39"/>
      <c r="D346" s="39"/>
      <c r="E346" s="39"/>
      <c r="F346" s="263"/>
      <c r="G346" s="39"/>
      <c r="H346" s="39"/>
    </row>
    <row r="347">
      <c r="A347" s="39"/>
      <c r="B347" s="39"/>
      <c r="C347" s="39"/>
      <c r="D347" s="39"/>
      <c r="E347" s="39"/>
      <c r="F347" s="263"/>
      <c r="G347" s="39"/>
      <c r="H347" s="39"/>
    </row>
    <row r="348">
      <c r="A348" s="39"/>
      <c r="B348" s="39"/>
      <c r="C348" s="39"/>
      <c r="D348" s="39"/>
      <c r="E348" s="39"/>
      <c r="F348" s="263"/>
      <c r="G348" s="39"/>
      <c r="H348" s="39"/>
    </row>
    <row r="349">
      <c r="A349" s="39"/>
      <c r="B349" s="39"/>
      <c r="C349" s="39"/>
      <c r="D349" s="39"/>
      <c r="E349" s="39"/>
      <c r="F349" s="263"/>
      <c r="G349" s="39"/>
      <c r="H349" s="39"/>
    </row>
    <row r="350">
      <c r="A350" s="39"/>
      <c r="B350" s="39"/>
      <c r="C350" s="39"/>
      <c r="D350" s="39"/>
      <c r="E350" s="39"/>
      <c r="F350" s="263"/>
      <c r="G350" s="39"/>
      <c r="H350" s="39"/>
    </row>
    <row r="351">
      <c r="A351" s="39"/>
      <c r="B351" s="39"/>
      <c r="C351" s="39"/>
      <c r="D351" s="39"/>
      <c r="E351" s="39"/>
      <c r="F351" s="263"/>
      <c r="G351" s="39"/>
      <c r="H351" s="39"/>
    </row>
    <row r="352">
      <c r="A352" s="39"/>
      <c r="B352" s="39"/>
      <c r="C352" s="39"/>
      <c r="D352" s="39"/>
      <c r="E352" s="39"/>
      <c r="F352" s="263"/>
      <c r="G352" s="39"/>
      <c r="H352" s="39"/>
    </row>
    <row r="353">
      <c r="A353" s="39"/>
      <c r="B353" s="39"/>
      <c r="C353" s="39"/>
      <c r="D353" s="39"/>
      <c r="E353" s="39"/>
      <c r="F353" s="263"/>
      <c r="G353" s="39"/>
      <c r="H353" s="39"/>
    </row>
    <row r="354">
      <c r="A354" s="39"/>
      <c r="B354" s="39"/>
      <c r="C354" s="39"/>
      <c r="D354" s="39"/>
      <c r="E354" s="39"/>
      <c r="F354" s="263"/>
      <c r="G354" s="39"/>
      <c r="H354" s="39"/>
    </row>
    <row r="355">
      <c r="A355" s="39"/>
      <c r="B355" s="39"/>
      <c r="C355" s="39"/>
      <c r="D355" s="39"/>
      <c r="E355" s="39"/>
      <c r="F355" s="263"/>
      <c r="G355" s="39"/>
      <c r="H355" s="39"/>
    </row>
    <row r="356">
      <c r="A356" s="39"/>
      <c r="B356" s="39"/>
      <c r="C356" s="39"/>
      <c r="D356" s="39"/>
      <c r="E356" s="39"/>
      <c r="F356" s="263"/>
      <c r="G356" s="39"/>
      <c r="H356" s="39"/>
    </row>
    <row r="357">
      <c r="A357" s="39"/>
      <c r="B357" s="39"/>
      <c r="C357" s="39"/>
      <c r="D357" s="39"/>
      <c r="E357" s="39"/>
      <c r="F357" s="263"/>
      <c r="G357" s="39"/>
      <c r="H357" s="39"/>
    </row>
    <row r="358">
      <c r="A358" s="39"/>
      <c r="B358" s="39"/>
      <c r="C358" s="39"/>
      <c r="D358" s="39"/>
      <c r="E358" s="39"/>
      <c r="F358" s="263"/>
      <c r="G358" s="39"/>
      <c r="H358" s="39"/>
    </row>
    <row r="359">
      <c r="A359" s="39"/>
      <c r="B359" s="39"/>
      <c r="C359" s="39"/>
      <c r="D359" s="39"/>
      <c r="E359" s="39"/>
      <c r="F359" s="263"/>
      <c r="G359" s="39"/>
      <c r="H359" s="39"/>
    </row>
    <row r="360">
      <c r="A360" s="39"/>
      <c r="B360" s="39"/>
      <c r="C360" s="39"/>
      <c r="D360" s="39"/>
      <c r="E360" s="39"/>
      <c r="F360" s="263"/>
      <c r="G360" s="39"/>
      <c r="H360" s="39"/>
    </row>
    <row r="361">
      <c r="A361" s="39"/>
      <c r="B361" s="39"/>
      <c r="C361" s="39"/>
      <c r="D361" s="39"/>
      <c r="E361" s="39"/>
      <c r="F361" s="263"/>
      <c r="G361" s="39"/>
      <c r="H361" s="39"/>
    </row>
    <row r="362">
      <c r="A362" s="39"/>
      <c r="B362" s="39"/>
      <c r="C362" s="39"/>
      <c r="D362" s="39"/>
      <c r="E362" s="39"/>
      <c r="F362" s="263"/>
      <c r="G362" s="39"/>
      <c r="H362" s="39"/>
    </row>
    <row r="363">
      <c r="A363" s="39"/>
      <c r="B363" s="39"/>
      <c r="C363" s="39"/>
      <c r="D363" s="39"/>
      <c r="E363" s="39"/>
      <c r="F363" s="263"/>
      <c r="G363" s="39"/>
      <c r="H363" s="39"/>
    </row>
    <row r="364">
      <c r="A364" s="39"/>
      <c r="B364" s="39"/>
      <c r="C364" s="39"/>
      <c r="D364" s="39"/>
      <c r="E364" s="39"/>
      <c r="F364" s="263"/>
      <c r="G364" s="39"/>
      <c r="H364" s="39"/>
    </row>
    <row r="365">
      <c r="A365" s="39"/>
      <c r="B365" s="39"/>
      <c r="C365" s="39"/>
      <c r="D365" s="39"/>
      <c r="E365" s="39"/>
      <c r="F365" s="263"/>
      <c r="G365" s="39"/>
      <c r="H365" s="39"/>
    </row>
    <row r="366">
      <c r="A366" s="39"/>
      <c r="B366" s="39"/>
      <c r="C366" s="39"/>
      <c r="D366" s="39"/>
      <c r="E366" s="39"/>
      <c r="F366" s="263"/>
      <c r="G366" s="39"/>
      <c r="H366" s="39"/>
    </row>
    <row r="367">
      <c r="A367" s="39"/>
      <c r="B367" s="39"/>
      <c r="C367" s="39"/>
      <c r="D367" s="39"/>
      <c r="E367" s="39"/>
      <c r="F367" s="263"/>
      <c r="G367" s="39"/>
      <c r="H367" s="39"/>
    </row>
    <row r="368">
      <c r="A368" s="39"/>
      <c r="B368" s="39"/>
      <c r="C368" s="39"/>
      <c r="D368" s="39"/>
      <c r="E368" s="39"/>
      <c r="F368" s="263"/>
      <c r="G368" s="39"/>
      <c r="H368" s="39"/>
    </row>
    <row r="369">
      <c r="A369" s="39"/>
      <c r="B369" s="39"/>
      <c r="C369" s="39"/>
      <c r="D369" s="39"/>
      <c r="E369" s="39"/>
      <c r="F369" s="263"/>
      <c r="G369" s="39"/>
      <c r="H369" s="39"/>
    </row>
    <row r="370">
      <c r="A370" s="39"/>
      <c r="B370" s="39"/>
      <c r="C370" s="39"/>
      <c r="D370" s="39"/>
      <c r="E370" s="39"/>
      <c r="F370" s="263"/>
      <c r="G370" s="39"/>
      <c r="H370" s="39"/>
    </row>
    <row r="371">
      <c r="A371" s="39"/>
      <c r="B371" s="39"/>
      <c r="C371" s="39"/>
      <c r="D371" s="39"/>
      <c r="E371" s="39"/>
      <c r="F371" s="263"/>
      <c r="G371" s="39"/>
      <c r="H371" s="39"/>
    </row>
    <row r="372">
      <c r="A372" s="39"/>
      <c r="B372" s="39"/>
      <c r="C372" s="39"/>
      <c r="D372" s="39"/>
      <c r="E372" s="39"/>
      <c r="F372" s="263"/>
      <c r="G372" s="39"/>
      <c r="H372" s="39"/>
    </row>
    <row r="373">
      <c r="A373" s="39"/>
      <c r="B373" s="39"/>
      <c r="C373" s="39"/>
      <c r="D373" s="39"/>
      <c r="E373" s="39"/>
      <c r="F373" s="263"/>
      <c r="G373" s="39"/>
      <c r="H373" s="39"/>
    </row>
    <row r="374">
      <c r="A374" s="39"/>
      <c r="B374" s="39"/>
      <c r="C374" s="39"/>
      <c r="D374" s="39"/>
      <c r="E374" s="39"/>
      <c r="F374" s="263"/>
      <c r="G374" s="39"/>
      <c r="H374" s="39"/>
    </row>
    <row r="375">
      <c r="A375" s="39"/>
      <c r="B375" s="39"/>
      <c r="C375" s="39"/>
      <c r="D375" s="39"/>
      <c r="E375" s="39"/>
      <c r="F375" s="263"/>
      <c r="G375" s="39"/>
      <c r="H375" s="39"/>
    </row>
    <row r="376">
      <c r="A376" s="39"/>
      <c r="B376" s="39"/>
      <c r="C376" s="39"/>
      <c r="D376" s="39"/>
      <c r="E376" s="39"/>
      <c r="F376" s="263"/>
      <c r="G376" s="39"/>
      <c r="H376" s="39"/>
    </row>
    <row r="377">
      <c r="A377" s="39"/>
      <c r="B377" s="39"/>
      <c r="C377" s="39"/>
      <c r="D377" s="39"/>
      <c r="E377" s="39"/>
      <c r="F377" s="263"/>
      <c r="G377" s="39"/>
      <c r="H377" s="39"/>
    </row>
    <row r="378">
      <c r="A378" s="39"/>
      <c r="B378" s="39"/>
      <c r="C378" s="39"/>
      <c r="D378" s="39"/>
      <c r="E378" s="39"/>
      <c r="F378" s="263"/>
      <c r="G378" s="39"/>
      <c r="H378" s="39"/>
    </row>
    <row r="379">
      <c r="A379" s="39"/>
      <c r="B379" s="39"/>
      <c r="C379" s="39"/>
      <c r="D379" s="39"/>
      <c r="E379" s="39"/>
      <c r="F379" s="263"/>
      <c r="G379" s="39"/>
      <c r="H379" s="39"/>
    </row>
    <row r="380">
      <c r="A380" s="39"/>
      <c r="B380" s="39"/>
      <c r="C380" s="39"/>
      <c r="D380" s="39"/>
      <c r="E380" s="39"/>
      <c r="F380" s="263"/>
      <c r="G380" s="39"/>
      <c r="H380" s="39"/>
    </row>
    <row r="381">
      <c r="A381" s="39"/>
      <c r="B381" s="39"/>
      <c r="C381" s="39"/>
      <c r="D381" s="39"/>
      <c r="E381" s="39"/>
      <c r="F381" s="263"/>
      <c r="G381" s="39"/>
      <c r="H381" s="39"/>
    </row>
    <row r="382">
      <c r="A382" s="39"/>
      <c r="B382" s="39"/>
      <c r="C382" s="39"/>
      <c r="D382" s="39"/>
      <c r="E382" s="39"/>
      <c r="F382" s="263"/>
      <c r="G382" s="39"/>
      <c r="H382" s="39"/>
    </row>
    <row r="383">
      <c r="A383" s="39"/>
      <c r="B383" s="39"/>
      <c r="C383" s="39"/>
      <c r="D383" s="39"/>
      <c r="E383" s="39"/>
      <c r="F383" s="263"/>
      <c r="G383" s="39"/>
      <c r="H383" s="39"/>
    </row>
    <row r="384">
      <c r="A384" s="39"/>
      <c r="B384" s="39"/>
      <c r="C384" s="39"/>
      <c r="D384" s="39"/>
      <c r="E384" s="39"/>
      <c r="F384" s="263"/>
      <c r="G384" s="39"/>
      <c r="H384" s="39"/>
    </row>
    <row r="385">
      <c r="A385" s="39"/>
      <c r="B385" s="39"/>
      <c r="C385" s="39"/>
      <c r="D385" s="39"/>
      <c r="E385" s="39"/>
      <c r="F385" s="263"/>
      <c r="G385" s="39"/>
      <c r="H385" s="39"/>
    </row>
    <row r="386">
      <c r="A386" s="39"/>
      <c r="B386" s="39"/>
      <c r="C386" s="39"/>
      <c r="D386" s="39"/>
      <c r="E386" s="39"/>
      <c r="F386" s="263"/>
      <c r="G386" s="39"/>
      <c r="H386" s="39"/>
    </row>
    <row r="387">
      <c r="A387" s="39"/>
      <c r="B387" s="39"/>
      <c r="C387" s="39"/>
      <c r="D387" s="39"/>
      <c r="E387" s="39"/>
      <c r="F387" s="263"/>
      <c r="G387" s="39"/>
      <c r="H387" s="39"/>
    </row>
    <row r="388">
      <c r="A388" s="39"/>
      <c r="B388" s="39"/>
      <c r="C388" s="39"/>
      <c r="D388" s="39"/>
      <c r="E388" s="39"/>
      <c r="F388" s="263"/>
      <c r="G388" s="39"/>
      <c r="H388" s="39"/>
    </row>
    <row r="389">
      <c r="A389" s="39"/>
      <c r="B389" s="39"/>
      <c r="C389" s="39"/>
      <c r="D389" s="39"/>
      <c r="E389" s="39"/>
      <c r="F389" s="263"/>
      <c r="G389" s="39"/>
      <c r="H389" s="39"/>
    </row>
    <row r="390">
      <c r="A390" s="39"/>
      <c r="B390" s="39"/>
      <c r="C390" s="39"/>
      <c r="D390" s="39"/>
      <c r="E390" s="39"/>
      <c r="F390" s="263"/>
      <c r="G390" s="39"/>
      <c r="H390" s="39"/>
    </row>
    <row r="391">
      <c r="A391" s="39"/>
      <c r="B391" s="39"/>
      <c r="C391" s="39"/>
      <c r="D391" s="39"/>
      <c r="E391" s="39"/>
      <c r="F391" s="263"/>
      <c r="G391" s="39"/>
      <c r="H391" s="39"/>
    </row>
    <row r="392">
      <c r="A392" s="39"/>
      <c r="B392" s="39"/>
      <c r="C392" s="39"/>
      <c r="D392" s="39"/>
      <c r="E392" s="39"/>
      <c r="F392" s="263"/>
      <c r="G392" s="39"/>
      <c r="H392" s="39"/>
    </row>
    <row r="393">
      <c r="A393" s="39"/>
      <c r="B393" s="39"/>
      <c r="C393" s="39"/>
      <c r="D393" s="39"/>
      <c r="E393" s="39"/>
      <c r="F393" s="263"/>
      <c r="G393" s="39"/>
      <c r="H393" s="39"/>
    </row>
    <row r="394">
      <c r="A394" s="39"/>
      <c r="B394" s="39"/>
      <c r="C394" s="39"/>
      <c r="D394" s="39"/>
      <c r="E394" s="39"/>
      <c r="F394" s="263"/>
      <c r="G394" s="39"/>
      <c r="H394" s="39"/>
    </row>
    <row r="395">
      <c r="A395" s="39"/>
      <c r="B395" s="39"/>
      <c r="C395" s="39"/>
      <c r="D395" s="39"/>
      <c r="E395" s="39"/>
      <c r="F395" s="263"/>
      <c r="G395" s="39"/>
      <c r="H395" s="39"/>
    </row>
    <row r="396">
      <c r="A396" s="39"/>
      <c r="B396" s="39"/>
      <c r="C396" s="39"/>
      <c r="D396" s="39"/>
      <c r="E396" s="39"/>
      <c r="F396" s="263"/>
      <c r="G396" s="39"/>
      <c r="H396" s="39"/>
    </row>
    <row r="397">
      <c r="A397" s="39"/>
      <c r="B397" s="39"/>
      <c r="C397" s="39"/>
      <c r="D397" s="39"/>
      <c r="E397" s="39"/>
      <c r="F397" s="263"/>
      <c r="G397" s="39"/>
      <c r="H397" s="39"/>
    </row>
    <row r="398">
      <c r="A398" s="39"/>
      <c r="B398" s="39"/>
      <c r="C398" s="39"/>
      <c r="D398" s="39"/>
      <c r="E398" s="39"/>
      <c r="F398" s="263"/>
      <c r="G398" s="39"/>
      <c r="H398" s="39"/>
    </row>
    <row r="399">
      <c r="A399" s="39"/>
      <c r="B399" s="39"/>
      <c r="C399" s="39"/>
      <c r="D399" s="39"/>
      <c r="E399" s="39"/>
      <c r="F399" s="263"/>
      <c r="G399" s="39"/>
      <c r="H399" s="39"/>
    </row>
    <row r="400">
      <c r="A400" s="39"/>
      <c r="B400" s="39"/>
      <c r="C400" s="39"/>
      <c r="D400" s="39"/>
      <c r="E400" s="39"/>
      <c r="F400" s="263"/>
      <c r="G400" s="39"/>
      <c r="H400" s="39"/>
    </row>
    <row r="401">
      <c r="A401" s="39"/>
      <c r="B401" s="39"/>
      <c r="C401" s="39"/>
      <c r="D401" s="39"/>
      <c r="E401" s="39"/>
      <c r="F401" s="263"/>
      <c r="G401" s="39"/>
      <c r="H401" s="39"/>
    </row>
    <row r="402">
      <c r="A402" s="39"/>
      <c r="B402" s="39"/>
      <c r="C402" s="39"/>
      <c r="D402" s="39"/>
      <c r="E402" s="39"/>
      <c r="F402" s="263"/>
      <c r="G402" s="39"/>
      <c r="H402" s="39"/>
    </row>
    <row r="403">
      <c r="A403" s="39"/>
      <c r="B403" s="39"/>
      <c r="C403" s="39"/>
      <c r="D403" s="39"/>
      <c r="E403" s="39"/>
      <c r="F403" s="263"/>
      <c r="G403" s="39"/>
      <c r="H403" s="39"/>
    </row>
    <row r="404">
      <c r="A404" s="39"/>
      <c r="B404" s="39"/>
      <c r="C404" s="39"/>
      <c r="D404" s="39"/>
      <c r="E404" s="39"/>
      <c r="F404" s="263"/>
      <c r="G404" s="39"/>
      <c r="H404" s="39"/>
    </row>
    <row r="405">
      <c r="A405" s="39"/>
      <c r="B405" s="39"/>
      <c r="C405" s="39"/>
      <c r="D405" s="39"/>
      <c r="E405" s="39"/>
      <c r="F405" s="263"/>
      <c r="G405" s="39"/>
      <c r="H405" s="39"/>
    </row>
    <row r="406">
      <c r="A406" s="39"/>
      <c r="B406" s="39"/>
      <c r="C406" s="39"/>
      <c r="D406" s="39"/>
      <c r="E406" s="39"/>
      <c r="F406" s="263"/>
      <c r="G406" s="39"/>
      <c r="H406" s="39"/>
    </row>
    <row r="407">
      <c r="A407" s="39"/>
      <c r="B407" s="39"/>
      <c r="C407" s="39"/>
      <c r="D407" s="39"/>
      <c r="E407" s="39"/>
      <c r="F407" s="263"/>
      <c r="G407" s="39"/>
      <c r="H407" s="39"/>
    </row>
    <row r="408">
      <c r="A408" s="39"/>
      <c r="B408" s="39"/>
      <c r="C408" s="39"/>
      <c r="D408" s="39"/>
      <c r="E408" s="39"/>
      <c r="F408" s="263"/>
      <c r="G408" s="39"/>
      <c r="H408" s="39"/>
    </row>
    <row r="409">
      <c r="A409" s="39"/>
      <c r="B409" s="39"/>
      <c r="C409" s="39"/>
      <c r="D409" s="39"/>
      <c r="E409" s="39"/>
      <c r="F409" s="263"/>
      <c r="G409" s="39"/>
      <c r="H409" s="39"/>
    </row>
    <row r="410">
      <c r="A410" s="39"/>
      <c r="B410" s="39"/>
      <c r="C410" s="39"/>
      <c r="D410" s="39"/>
      <c r="E410" s="39"/>
      <c r="F410" s="263"/>
      <c r="G410" s="39"/>
      <c r="H410" s="39"/>
    </row>
    <row r="411">
      <c r="A411" s="39"/>
      <c r="B411" s="39"/>
      <c r="C411" s="39"/>
      <c r="D411" s="39"/>
      <c r="E411" s="39"/>
      <c r="F411" s="263"/>
      <c r="G411" s="39"/>
      <c r="H411" s="39"/>
    </row>
    <row r="412">
      <c r="A412" s="39"/>
      <c r="B412" s="39"/>
      <c r="C412" s="39"/>
      <c r="D412" s="39"/>
      <c r="E412" s="39"/>
      <c r="F412" s="263"/>
      <c r="G412" s="39"/>
      <c r="H412" s="39"/>
    </row>
    <row r="413">
      <c r="A413" s="39"/>
      <c r="B413" s="39"/>
      <c r="C413" s="39"/>
      <c r="D413" s="39"/>
      <c r="E413" s="39"/>
      <c r="F413" s="263"/>
      <c r="G413" s="39"/>
      <c r="H413" s="39"/>
    </row>
    <row r="414">
      <c r="A414" s="39"/>
      <c r="B414" s="39"/>
      <c r="C414" s="39"/>
      <c r="D414" s="39"/>
      <c r="E414" s="39"/>
      <c r="F414" s="263"/>
      <c r="G414" s="39"/>
      <c r="H414" s="39"/>
    </row>
    <row r="415">
      <c r="A415" s="39"/>
      <c r="B415" s="39"/>
      <c r="C415" s="39"/>
      <c r="D415" s="39"/>
      <c r="E415" s="39"/>
      <c r="F415" s="263"/>
      <c r="G415" s="39"/>
      <c r="H415" s="39"/>
    </row>
    <row r="416">
      <c r="A416" s="39"/>
      <c r="B416" s="39"/>
      <c r="C416" s="39"/>
      <c r="D416" s="39"/>
      <c r="E416" s="39"/>
      <c r="F416" s="263"/>
      <c r="G416" s="39"/>
      <c r="H416" s="39"/>
    </row>
    <row r="417">
      <c r="A417" s="39"/>
      <c r="B417" s="39"/>
      <c r="C417" s="39"/>
      <c r="D417" s="39"/>
      <c r="E417" s="39"/>
      <c r="F417" s="263"/>
      <c r="G417" s="39"/>
      <c r="H417" s="39"/>
    </row>
    <row r="418">
      <c r="A418" s="39"/>
      <c r="B418" s="39"/>
      <c r="C418" s="39"/>
      <c r="D418" s="39"/>
      <c r="E418" s="39"/>
      <c r="F418" s="263"/>
      <c r="G418" s="39"/>
      <c r="H418" s="39"/>
    </row>
    <row r="419">
      <c r="A419" s="39"/>
      <c r="B419" s="39"/>
      <c r="C419" s="39"/>
      <c r="D419" s="39"/>
      <c r="E419" s="39"/>
      <c r="F419" s="263"/>
      <c r="G419" s="39"/>
      <c r="H419" s="39"/>
    </row>
    <row r="420">
      <c r="A420" s="39"/>
      <c r="B420" s="39"/>
      <c r="C420" s="39"/>
      <c r="D420" s="39"/>
      <c r="E420" s="39"/>
      <c r="F420" s="263"/>
      <c r="G420" s="39"/>
      <c r="H420" s="39"/>
    </row>
    <row r="421">
      <c r="A421" s="39"/>
      <c r="B421" s="39"/>
      <c r="C421" s="39"/>
      <c r="D421" s="39"/>
      <c r="E421" s="39"/>
      <c r="F421" s="263"/>
      <c r="G421" s="39"/>
      <c r="H421" s="39"/>
    </row>
    <row r="490">
      <c r="E490" s="39"/>
    </row>
    <row r="491">
      <c r="E491" s="39"/>
    </row>
    <row r="492">
      <c r="E492" s="39"/>
    </row>
  </sheetData>
  <autoFilter ref="$A$1:$Y$736"/>
  <printOptions gridLines="1" horizontalCentered="1"/>
  <pageMargins bottom="0.75" footer="0.0" header="0.0" left="0.7" right="0.7" top="0.75"/>
  <pageSetup fitToHeight="0" paperSize="9" cellComments="atEnd" orientation="portrait"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workbookViewId="0"/>
  </sheetViews>
  <sheetFormatPr customHeight="1" defaultColWidth="12.63" defaultRowHeight="15.75"/>
  <cols>
    <col customWidth="1" min="1" max="1" width="47.63"/>
    <col customWidth="1" min="2" max="2" width="43.5"/>
    <col customWidth="1" min="3" max="3" width="16.13"/>
  </cols>
  <sheetData>
    <row r="1">
      <c r="A1" s="39" t="s">
        <v>21</v>
      </c>
      <c r="B1" s="39" t="s">
        <v>22</v>
      </c>
      <c r="C1" s="39" t="s">
        <v>23</v>
      </c>
      <c r="D1" s="39" t="s">
        <v>24</v>
      </c>
      <c r="E1" s="39" t="s">
        <v>25</v>
      </c>
      <c r="F1" s="39" t="s">
        <v>26</v>
      </c>
      <c r="G1" s="39" t="s">
        <v>27</v>
      </c>
      <c r="H1" s="372" t="s">
        <v>28</v>
      </c>
    </row>
    <row r="2">
      <c r="A2" s="39" t="s">
        <v>215</v>
      </c>
      <c r="B2" s="39" t="s">
        <v>215</v>
      </c>
      <c r="C2" s="39" t="s">
        <v>215</v>
      </c>
      <c r="D2" s="39" t="s">
        <v>99</v>
      </c>
      <c r="E2" s="39" t="s">
        <v>179</v>
      </c>
      <c r="F2" s="263">
        <v>1.0</v>
      </c>
      <c r="G2" s="39"/>
      <c r="H2" s="39" t="s">
        <v>262</v>
      </c>
    </row>
    <row r="3">
      <c r="A3" s="39" t="s">
        <v>159</v>
      </c>
      <c r="B3" s="39" t="s">
        <v>159</v>
      </c>
      <c r="C3" s="39" t="s">
        <v>159</v>
      </c>
      <c r="D3" s="39" t="s">
        <v>99</v>
      </c>
      <c r="E3" s="39" t="s">
        <v>216</v>
      </c>
      <c r="F3" s="263">
        <v>1.0</v>
      </c>
      <c r="G3" s="39"/>
      <c r="H3" s="39" t="s">
        <v>262</v>
      </c>
    </row>
    <row r="4">
      <c r="A4" s="39" t="s">
        <v>162</v>
      </c>
      <c r="B4" s="39" t="s">
        <v>162</v>
      </c>
      <c r="C4" s="39" t="s">
        <v>162</v>
      </c>
      <c r="D4" s="39" t="s">
        <v>99</v>
      </c>
      <c r="E4" s="39" t="s">
        <v>177</v>
      </c>
      <c r="F4" s="263">
        <v>1.0</v>
      </c>
      <c r="G4" s="39"/>
      <c r="H4" s="39" t="s">
        <v>262</v>
      </c>
    </row>
    <row r="5">
      <c r="A5" s="39" t="s">
        <v>164</v>
      </c>
      <c r="B5" s="39" t="s">
        <v>164</v>
      </c>
      <c r="C5" s="39" t="s">
        <v>164</v>
      </c>
      <c r="D5" s="39" t="s">
        <v>99</v>
      </c>
      <c r="E5" s="39" t="s">
        <v>175</v>
      </c>
      <c r="F5" s="263">
        <v>1.0</v>
      </c>
      <c r="G5" s="39"/>
      <c r="H5" s="39" t="s">
        <v>262</v>
      </c>
    </row>
    <row r="6">
      <c r="A6" s="39" t="s">
        <v>263</v>
      </c>
      <c r="B6" s="39" t="s">
        <v>192</v>
      </c>
      <c r="C6" s="39" t="s">
        <v>264</v>
      </c>
      <c r="D6" s="39" t="s">
        <v>99</v>
      </c>
      <c r="E6" s="39" t="s">
        <v>203</v>
      </c>
      <c r="F6" s="263">
        <v>1.0</v>
      </c>
      <c r="G6" s="39"/>
      <c r="H6" s="39" t="s">
        <v>265</v>
      </c>
    </row>
    <row r="7">
      <c r="A7" s="39" t="s">
        <v>266</v>
      </c>
      <c r="B7" s="39" t="s">
        <v>217</v>
      </c>
      <c r="C7" s="39" t="s">
        <v>264</v>
      </c>
      <c r="D7" s="39" t="s">
        <v>99</v>
      </c>
      <c r="E7" s="39" t="s">
        <v>214</v>
      </c>
      <c r="F7" s="263">
        <v>1.0</v>
      </c>
      <c r="G7" s="39"/>
      <c r="H7" s="39" t="s">
        <v>265</v>
      </c>
    </row>
    <row r="8">
      <c r="A8" s="39" t="s">
        <v>285</v>
      </c>
      <c r="B8" s="39" t="s">
        <v>11</v>
      </c>
      <c r="C8" s="39" t="s">
        <v>275</v>
      </c>
      <c r="D8" s="39" t="s">
        <v>99</v>
      </c>
      <c r="E8" s="39" t="s">
        <v>20</v>
      </c>
      <c r="F8" s="263">
        <v>2.0</v>
      </c>
      <c r="G8" s="39"/>
      <c r="H8" s="39" t="s">
        <v>265</v>
      </c>
    </row>
    <row r="9">
      <c r="A9" s="39" t="s">
        <v>286</v>
      </c>
      <c r="B9" s="39" t="s">
        <v>11</v>
      </c>
      <c r="C9" s="39" t="s">
        <v>275</v>
      </c>
      <c r="D9" s="39" t="s">
        <v>99</v>
      </c>
      <c r="E9" s="39" t="s">
        <v>20</v>
      </c>
      <c r="F9" s="263">
        <v>4.0</v>
      </c>
      <c r="G9" s="39"/>
      <c r="H9" s="39" t="s">
        <v>265</v>
      </c>
    </row>
    <row r="10">
      <c r="A10" s="39" t="s">
        <v>549</v>
      </c>
      <c r="B10" s="39" t="s">
        <v>240</v>
      </c>
      <c r="C10" s="39" t="s">
        <v>550</v>
      </c>
      <c r="D10" s="39" t="s">
        <v>99</v>
      </c>
      <c r="E10" s="39" t="s">
        <v>387</v>
      </c>
      <c r="F10" s="263">
        <v>1.0</v>
      </c>
      <c r="G10" s="39"/>
      <c r="H10" s="39" t="s">
        <v>265</v>
      </c>
    </row>
    <row r="11">
      <c r="A11" s="39" t="s">
        <v>551</v>
      </c>
      <c r="B11" s="39" t="s">
        <v>241</v>
      </c>
      <c r="C11" s="39" t="s">
        <v>552</v>
      </c>
      <c r="D11" s="39" t="s">
        <v>99</v>
      </c>
      <c r="E11" s="39" t="s">
        <v>432</v>
      </c>
      <c r="F11" s="263">
        <v>1.0</v>
      </c>
      <c r="G11" s="39"/>
      <c r="H11" s="39" t="s">
        <v>265</v>
      </c>
    </row>
    <row r="12">
      <c r="A12" s="39" t="s">
        <v>553</v>
      </c>
      <c r="B12" s="39" t="s">
        <v>242</v>
      </c>
      <c r="C12" s="39" t="s">
        <v>554</v>
      </c>
      <c r="D12" s="39" t="s">
        <v>99</v>
      </c>
      <c r="E12" s="39" t="s">
        <v>361</v>
      </c>
      <c r="F12" s="263">
        <v>1.0</v>
      </c>
      <c r="G12" s="39"/>
      <c r="H12" s="39" t="s">
        <v>265</v>
      </c>
    </row>
    <row r="13">
      <c r="A13" s="39" t="s">
        <v>555</v>
      </c>
      <c r="B13" s="39" t="s">
        <v>243</v>
      </c>
      <c r="C13" s="39" t="s">
        <v>556</v>
      </c>
      <c r="D13" s="39" t="s">
        <v>99</v>
      </c>
      <c r="E13" s="39" t="s">
        <v>357</v>
      </c>
      <c r="F13" s="263">
        <v>1.0</v>
      </c>
      <c r="G13" s="39"/>
      <c r="H13" s="39" t="s">
        <v>265</v>
      </c>
    </row>
    <row r="14">
      <c r="A14" s="39" t="s">
        <v>557</v>
      </c>
      <c r="B14" s="39" t="s">
        <v>244</v>
      </c>
      <c r="C14" s="39" t="s">
        <v>558</v>
      </c>
      <c r="D14" s="39" t="s">
        <v>99</v>
      </c>
      <c r="E14" s="39" t="s">
        <v>345</v>
      </c>
      <c r="F14" s="263">
        <v>1.0</v>
      </c>
      <c r="G14" s="39"/>
      <c r="H14" s="39" t="s">
        <v>265</v>
      </c>
    </row>
    <row r="15">
      <c r="A15" s="39" t="s">
        <v>559</v>
      </c>
      <c r="B15" s="39" t="s">
        <v>245</v>
      </c>
      <c r="C15" s="39" t="s">
        <v>560</v>
      </c>
      <c r="D15" s="39" t="s">
        <v>99</v>
      </c>
      <c r="E15" s="39" t="s">
        <v>145</v>
      </c>
      <c r="F15" s="263">
        <v>1.0</v>
      </c>
      <c r="G15" s="39"/>
      <c r="H15" s="39" t="s">
        <v>265</v>
      </c>
    </row>
    <row r="16">
      <c r="A16" s="39" t="s">
        <v>561</v>
      </c>
      <c r="B16" s="39" t="s">
        <v>246</v>
      </c>
      <c r="C16" s="39" t="s">
        <v>562</v>
      </c>
      <c r="D16" s="39" t="s">
        <v>99</v>
      </c>
      <c r="E16" s="39" t="s">
        <v>360</v>
      </c>
      <c r="F16" s="263">
        <v>1.0</v>
      </c>
      <c r="G16" s="39"/>
      <c r="H16" s="39" t="s">
        <v>265</v>
      </c>
    </row>
    <row r="17">
      <c r="A17" s="39" t="s">
        <v>563</v>
      </c>
      <c r="B17" s="39" t="s">
        <v>247</v>
      </c>
      <c r="C17" s="39" t="s">
        <v>564</v>
      </c>
      <c r="D17" s="39" t="s">
        <v>99</v>
      </c>
      <c r="E17" s="39" t="s">
        <v>420</v>
      </c>
      <c r="F17" s="263">
        <v>1.0</v>
      </c>
      <c r="G17" s="39"/>
      <c r="H17" s="39" t="s">
        <v>265</v>
      </c>
    </row>
    <row r="18">
      <c r="A18" s="39" t="s">
        <v>565</v>
      </c>
      <c r="B18" s="39" t="s">
        <v>248</v>
      </c>
      <c r="C18" s="39" t="s">
        <v>566</v>
      </c>
      <c r="D18" s="39" t="s">
        <v>99</v>
      </c>
      <c r="E18" s="39" t="s">
        <v>318</v>
      </c>
      <c r="F18" s="263">
        <v>1.0</v>
      </c>
      <c r="G18" s="39"/>
      <c r="H18" s="39" t="s">
        <v>265</v>
      </c>
    </row>
    <row r="19">
      <c r="A19" s="39" t="s">
        <v>567</v>
      </c>
      <c r="B19" s="39" t="s">
        <v>249</v>
      </c>
      <c r="C19" s="39" t="s">
        <v>568</v>
      </c>
      <c r="D19" s="39" t="s">
        <v>99</v>
      </c>
      <c r="E19" s="39" t="s">
        <v>150</v>
      </c>
      <c r="F19" s="263">
        <v>1.0</v>
      </c>
      <c r="G19" s="39"/>
      <c r="H19" s="39" t="s">
        <v>265</v>
      </c>
    </row>
    <row r="20">
      <c r="A20" s="39" t="s">
        <v>569</v>
      </c>
      <c r="B20" s="39" t="s">
        <v>250</v>
      </c>
      <c r="C20" s="39" t="s">
        <v>570</v>
      </c>
      <c r="D20" s="39" t="s">
        <v>99</v>
      </c>
      <c r="E20" s="39" t="s">
        <v>78</v>
      </c>
      <c r="F20" s="263">
        <v>1.0</v>
      </c>
      <c r="G20" s="39"/>
      <c r="H20" s="39" t="s">
        <v>265</v>
      </c>
    </row>
    <row r="21">
      <c r="A21" s="39" t="s">
        <v>571</v>
      </c>
      <c r="B21" s="39" t="s">
        <v>251</v>
      </c>
      <c r="C21" s="39" t="s">
        <v>572</v>
      </c>
      <c r="D21" s="39" t="s">
        <v>99</v>
      </c>
      <c r="E21" s="39" t="s">
        <v>406</v>
      </c>
      <c r="F21" s="263">
        <v>1.0</v>
      </c>
      <c r="G21" s="39"/>
      <c r="H21" s="39" t="s">
        <v>265</v>
      </c>
    </row>
    <row r="22">
      <c r="A22" s="39" t="s">
        <v>573</v>
      </c>
      <c r="B22" s="39" t="s">
        <v>252</v>
      </c>
      <c r="C22" s="39" t="s">
        <v>574</v>
      </c>
      <c r="D22" s="39" t="s">
        <v>99</v>
      </c>
      <c r="E22" s="39" t="s">
        <v>149</v>
      </c>
      <c r="F22" s="263">
        <v>1.0</v>
      </c>
      <c r="G22" s="39"/>
      <c r="H22" s="39" t="s">
        <v>265</v>
      </c>
    </row>
    <row r="23">
      <c r="A23" s="39" t="s">
        <v>575</v>
      </c>
      <c r="B23" s="39" t="s">
        <v>253</v>
      </c>
      <c r="C23" s="39" t="s">
        <v>576</v>
      </c>
      <c r="D23" s="39" t="s">
        <v>99</v>
      </c>
      <c r="E23" s="39" t="s">
        <v>358</v>
      </c>
      <c r="F23" s="263">
        <v>1.0</v>
      </c>
      <c r="G23" s="39"/>
      <c r="H23" s="39" t="s">
        <v>265</v>
      </c>
    </row>
    <row r="24">
      <c r="A24" s="39" t="s">
        <v>577</v>
      </c>
      <c r="B24" s="39" t="s">
        <v>254</v>
      </c>
      <c r="C24" s="39" t="s">
        <v>578</v>
      </c>
      <c r="D24" s="39" t="s">
        <v>99</v>
      </c>
      <c r="E24" s="39" t="s">
        <v>348</v>
      </c>
      <c r="F24" s="263">
        <v>1.0</v>
      </c>
      <c r="G24" s="39"/>
      <c r="H24" s="39" t="s">
        <v>265</v>
      </c>
    </row>
    <row r="25">
      <c r="A25" s="39" t="s">
        <v>579</v>
      </c>
      <c r="B25" s="39" t="s">
        <v>255</v>
      </c>
      <c r="C25" s="39" t="s">
        <v>580</v>
      </c>
      <c r="D25" s="39" t="s">
        <v>99</v>
      </c>
      <c r="E25" s="39" t="s">
        <v>342</v>
      </c>
      <c r="F25" s="263">
        <v>1.0</v>
      </c>
      <c r="G25" s="39"/>
      <c r="H25" s="39" t="s">
        <v>265</v>
      </c>
    </row>
    <row r="26">
      <c r="A26" s="39" t="s">
        <v>581</v>
      </c>
      <c r="B26" s="39" t="s">
        <v>256</v>
      </c>
      <c r="C26" s="39" t="s">
        <v>582</v>
      </c>
      <c r="D26" s="39" t="s">
        <v>99</v>
      </c>
      <c r="E26" s="39" t="s">
        <v>421</v>
      </c>
      <c r="F26" s="263">
        <v>1.0</v>
      </c>
      <c r="G26" s="39"/>
      <c r="H26" s="39" t="s">
        <v>265</v>
      </c>
    </row>
    <row r="27">
      <c r="A27" s="39" t="s">
        <v>583</v>
      </c>
      <c r="B27" s="39" t="s">
        <v>257</v>
      </c>
      <c r="C27" s="39" t="s">
        <v>584</v>
      </c>
      <c r="D27" s="39" t="s">
        <v>99</v>
      </c>
      <c r="E27" s="39" t="s">
        <v>364</v>
      </c>
      <c r="F27" s="263">
        <v>1.0</v>
      </c>
      <c r="G27" s="39"/>
      <c r="H27" s="39" t="s">
        <v>265</v>
      </c>
    </row>
    <row r="28">
      <c r="A28" s="39" t="s">
        <v>585</v>
      </c>
      <c r="B28" s="39" t="s">
        <v>258</v>
      </c>
      <c r="C28" s="39"/>
      <c r="D28" s="39" t="s">
        <v>99</v>
      </c>
      <c r="E28" s="39" t="s">
        <v>389</v>
      </c>
      <c r="F28" s="263">
        <v>1.0</v>
      </c>
      <c r="G28" s="39"/>
      <c r="H28" s="39" t="s">
        <v>265</v>
      </c>
    </row>
    <row r="29">
      <c r="A29" s="39" t="s">
        <v>586</v>
      </c>
      <c r="B29" s="39" t="s">
        <v>259</v>
      </c>
      <c r="C29" s="39"/>
      <c r="D29" s="39" t="s">
        <v>99</v>
      </c>
      <c r="E29" s="39" t="s">
        <v>347</v>
      </c>
      <c r="F29" s="263">
        <v>1.0</v>
      </c>
      <c r="G29" s="39"/>
      <c r="H29" s="39" t="s">
        <v>265</v>
      </c>
    </row>
    <row r="30">
      <c r="A30" s="39" t="s">
        <v>587</v>
      </c>
      <c r="B30" s="39" t="s">
        <v>588</v>
      </c>
      <c r="C30" s="39" t="s">
        <v>589</v>
      </c>
      <c r="D30" s="39" t="s">
        <v>99</v>
      </c>
      <c r="E30" s="39" t="s">
        <v>404</v>
      </c>
      <c r="F30" s="263">
        <v>1.0</v>
      </c>
      <c r="G30" s="39"/>
      <c r="H30" s="39" t="s">
        <v>265</v>
      </c>
    </row>
    <row r="31">
      <c r="A31" s="39" t="s">
        <v>590</v>
      </c>
      <c r="B31" s="39" t="s">
        <v>169</v>
      </c>
      <c r="C31" s="39" t="s">
        <v>151</v>
      </c>
      <c r="D31" s="39" t="s">
        <v>99</v>
      </c>
      <c r="E31" s="39" t="s">
        <v>153</v>
      </c>
      <c r="F31" s="263">
        <v>1.0</v>
      </c>
      <c r="G31" s="39"/>
      <c r="H31" s="39" t="s">
        <v>265</v>
      </c>
    </row>
    <row r="32">
      <c r="A32" s="39" t="s">
        <v>591</v>
      </c>
      <c r="B32" s="39" t="s">
        <v>170</v>
      </c>
      <c r="C32" s="39" t="s">
        <v>154</v>
      </c>
      <c r="D32" s="39" t="s">
        <v>99</v>
      </c>
      <c r="E32" s="39" t="s">
        <v>171</v>
      </c>
      <c r="F32" s="263">
        <v>1.0</v>
      </c>
      <c r="G32" s="39"/>
      <c r="H32" s="39" t="s">
        <v>265</v>
      </c>
    </row>
    <row r="33">
      <c r="A33" s="39" t="s">
        <v>592</v>
      </c>
      <c r="B33" s="39" t="s">
        <v>172</v>
      </c>
      <c r="C33" s="39" t="s">
        <v>156</v>
      </c>
      <c r="D33" s="39" t="s">
        <v>99</v>
      </c>
      <c r="E33" s="39" t="s">
        <v>77</v>
      </c>
      <c r="F33" s="263">
        <v>1.0</v>
      </c>
      <c r="G33" s="39"/>
      <c r="H33" s="39" t="s">
        <v>265</v>
      </c>
    </row>
    <row r="34">
      <c r="A34" s="39"/>
      <c r="B34" s="39"/>
      <c r="C34" s="39"/>
      <c r="D34" s="39"/>
      <c r="E34" s="39"/>
      <c r="F34" s="263"/>
      <c r="G34" s="39"/>
      <c r="H34" s="39"/>
    </row>
    <row r="35">
      <c r="A35" s="39"/>
      <c r="B35" s="39"/>
      <c r="C35" s="39"/>
      <c r="D35" s="39"/>
      <c r="E35" s="39"/>
      <c r="F35" s="263"/>
      <c r="G35" s="39"/>
      <c r="H35" s="39"/>
    </row>
    <row r="36">
      <c r="A36" s="39"/>
      <c r="B36" s="39"/>
      <c r="C36" s="39"/>
      <c r="D36" s="39"/>
      <c r="E36" s="39"/>
      <c r="F36" s="263"/>
      <c r="G36" s="39"/>
      <c r="H36" s="39"/>
    </row>
    <row r="37">
      <c r="A37" s="39"/>
      <c r="B37" s="39"/>
      <c r="C37" s="39"/>
      <c r="D37" s="39"/>
      <c r="E37" s="39"/>
      <c r="F37" s="263"/>
      <c r="G37" s="39"/>
      <c r="H37" s="39"/>
    </row>
    <row r="38">
      <c r="A38" s="39"/>
      <c r="B38" s="39"/>
      <c r="C38" s="39"/>
      <c r="D38" s="39"/>
      <c r="E38" s="39"/>
      <c r="F38" s="263"/>
      <c r="G38" s="39"/>
      <c r="H38" s="39"/>
    </row>
    <row r="39">
      <c r="A39" s="39"/>
      <c r="B39" s="39"/>
      <c r="C39" s="39"/>
      <c r="D39" s="39"/>
      <c r="E39" s="39"/>
      <c r="F39" s="263"/>
      <c r="G39" s="39"/>
      <c r="H39" s="39"/>
    </row>
    <row r="40">
      <c r="A40" s="39"/>
      <c r="B40" s="39"/>
      <c r="C40" s="39"/>
      <c r="D40" s="39"/>
      <c r="E40" s="39"/>
      <c r="F40" s="263"/>
      <c r="G40" s="39"/>
      <c r="H40" s="39"/>
    </row>
    <row r="41">
      <c r="A41" s="39"/>
      <c r="B41" s="39"/>
      <c r="C41" s="39"/>
      <c r="D41" s="39"/>
      <c r="E41" s="39"/>
      <c r="F41" s="263"/>
      <c r="G41" s="39"/>
      <c r="H41" s="39"/>
    </row>
    <row r="42">
      <c r="A42" s="39"/>
      <c r="B42" s="39"/>
      <c r="C42" s="39"/>
      <c r="D42" s="39"/>
      <c r="E42" s="39"/>
      <c r="F42" s="263"/>
      <c r="G42" s="39"/>
      <c r="H42" s="39"/>
    </row>
    <row r="43">
      <c r="A43" s="39"/>
      <c r="B43" s="39"/>
      <c r="C43" s="39"/>
      <c r="D43" s="39"/>
      <c r="E43" s="39"/>
      <c r="F43" s="263"/>
      <c r="G43" s="39"/>
      <c r="H43" s="39"/>
    </row>
    <row r="44">
      <c r="A44" s="39"/>
      <c r="B44" s="39"/>
      <c r="C44" s="39"/>
      <c r="D44" s="39"/>
      <c r="E44" s="39"/>
      <c r="F44" s="263"/>
      <c r="G44" s="39"/>
      <c r="H44" s="39"/>
    </row>
    <row r="45">
      <c r="A45" s="39"/>
      <c r="B45" s="39"/>
      <c r="C45" s="39"/>
      <c r="D45" s="39"/>
      <c r="E45" s="39"/>
      <c r="F45" s="263"/>
      <c r="G45" s="39"/>
      <c r="H45" s="39"/>
    </row>
    <row r="46">
      <c r="A46" s="39"/>
      <c r="B46" s="39"/>
      <c r="C46" s="39"/>
      <c r="D46" s="39"/>
      <c r="E46" s="39"/>
      <c r="F46" s="263"/>
      <c r="G46" s="39"/>
      <c r="H46" s="39"/>
    </row>
    <row r="47">
      <c r="A47" s="39"/>
      <c r="B47" s="39"/>
      <c r="C47" s="39"/>
      <c r="D47" s="39"/>
      <c r="E47" s="39"/>
      <c r="F47" s="263"/>
      <c r="G47" s="39"/>
      <c r="H47" s="39"/>
    </row>
    <row r="48">
      <c r="A48" s="39"/>
      <c r="B48" s="39"/>
      <c r="C48" s="39"/>
      <c r="D48" s="39"/>
      <c r="E48" s="39"/>
      <c r="F48" s="263"/>
      <c r="G48" s="39"/>
      <c r="H48" s="39"/>
    </row>
    <row r="49">
      <c r="A49" s="39"/>
      <c r="B49" s="39"/>
      <c r="C49" s="39"/>
      <c r="D49" s="39"/>
      <c r="E49" s="39"/>
      <c r="F49" s="263"/>
      <c r="G49" s="39"/>
      <c r="H49" s="39"/>
    </row>
    <row r="50">
      <c r="A50" s="39"/>
      <c r="B50" s="39"/>
      <c r="C50" s="39"/>
      <c r="D50" s="39"/>
      <c r="E50" s="39"/>
      <c r="F50" s="263"/>
      <c r="G50" s="39"/>
      <c r="H50" s="39"/>
    </row>
    <row r="51">
      <c r="A51" s="39"/>
      <c r="B51" s="39"/>
      <c r="C51" s="39"/>
      <c r="D51" s="39"/>
      <c r="E51" s="39"/>
      <c r="F51" s="263"/>
      <c r="G51" s="39"/>
      <c r="H51" s="39"/>
    </row>
    <row r="52">
      <c r="A52" s="39"/>
      <c r="B52" s="39"/>
      <c r="C52" s="39"/>
      <c r="D52" s="39"/>
      <c r="E52" s="39"/>
      <c r="F52" s="263"/>
      <c r="G52" s="39"/>
      <c r="H52" s="39"/>
    </row>
    <row r="53">
      <c r="A53" s="39"/>
      <c r="B53" s="39"/>
      <c r="C53" s="39"/>
      <c r="D53" s="39"/>
      <c r="E53" s="39"/>
      <c r="F53" s="263"/>
      <c r="G53" s="39"/>
      <c r="H53" s="39"/>
    </row>
    <row r="54">
      <c r="A54" s="39"/>
      <c r="B54" s="39"/>
      <c r="C54" s="39"/>
      <c r="D54" s="39"/>
      <c r="E54" s="39"/>
      <c r="F54" s="263"/>
      <c r="G54" s="39"/>
      <c r="H54" s="39"/>
    </row>
    <row r="55">
      <c r="A55" s="39"/>
      <c r="B55" s="39"/>
      <c r="C55" s="39"/>
      <c r="D55" s="39"/>
      <c r="E55" s="39"/>
      <c r="F55" s="263"/>
      <c r="G55" s="39"/>
      <c r="H55" s="39"/>
    </row>
    <row r="56">
      <c r="A56" s="39"/>
      <c r="B56" s="39"/>
      <c r="C56" s="39"/>
      <c r="D56" s="39"/>
      <c r="E56" s="39"/>
      <c r="F56" s="263"/>
      <c r="G56" s="39"/>
      <c r="H56" s="39"/>
    </row>
    <row r="57">
      <c r="A57" s="39"/>
      <c r="B57" s="39"/>
      <c r="C57" s="39"/>
      <c r="D57" s="39"/>
      <c r="E57" s="39"/>
      <c r="F57" s="263"/>
      <c r="G57" s="39"/>
      <c r="H57" s="39"/>
    </row>
    <row r="58">
      <c r="A58" s="39"/>
      <c r="B58" s="39"/>
      <c r="C58" s="39"/>
      <c r="D58" s="39"/>
      <c r="E58" s="39"/>
      <c r="F58" s="263"/>
      <c r="G58" s="39"/>
      <c r="H58" s="39"/>
    </row>
    <row r="59">
      <c r="A59" s="39"/>
      <c r="B59" s="39"/>
      <c r="C59" s="39"/>
      <c r="D59" s="39"/>
      <c r="E59" s="39"/>
      <c r="F59" s="263"/>
      <c r="G59" s="39"/>
      <c r="H59" s="39"/>
    </row>
    <row r="60">
      <c r="A60" s="39"/>
      <c r="B60" s="39"/>
      <c r="C60" s="39"/>
      <c r="D60" s="39"/>
      <c r="E60" s="39"/>
      <c r="F60" s="263"/>
      <c r="G60" s="39"/>
      <c r="H60" s="39"/>
    </row>
    <row r="61">
      <c r="A61" s="39"/>
      <c r="B61" s="39"/>
      <c r="C61" s="39"/>
      <c r="D61" s="39"/>
      <c r="E61" s="39"/>
      <c r="F61" s="263"/>
      <c r="G61" s="39"/>
      <c r="H61" s="39"/>
    </row>
    <row r="62">
      <c r="A62" s="39"/>
      <c r="B62" s="39"/>
      <c r="C62" s="39"/>
      <c r="D62" s="39"/>
      <c r="E62" s="39"/>
      <c r="F62" s="263"/>
      <c r="G62" s="39"/>
      <c r="H62" s="39"/>
    </row>
    <row r="63">
      <c r="A63" s="39"/>
      <c r="B63" s="39"/>
      <c r="C63" s="39"/>
      <c r="D63" s="39"/>
      <c r="E63" s="39"/>
      <c r="F63" s="263"/>
      <c r="G63" s="39"/>
      <c r="H63" s="39"/>
    </row>
    <row r="64">
      <c r="A64" s="39"/>
      <c r="B64" s="39"/>
      <c r="C64" s="39"/>
      <c r="D64" s="39"/>
      <c r="E64" s="39"/>
      <c r="F64" s="263"/>
      <c r="G64" s="39"/>
      <c r="H64" s="39"/>
    </row>
    <row r="65">
      <c r="A65" s="39"/>
      <c r="B65" s="39"/>
      <c r="C65" s="39"/>
      <c r="D65" s="39"/>
      <c r="E65" s="39"/>
      <c r="F65" s="263"/>
      <c r="G65" s="39"/>
      <c r="H65" s="39"/>
    </row>
    <row r="66">
      <c r="A66" s="39"/>
      <c r="B66" s="39"/>
      <c r="C66" s="39"/>
      <c r="D66" s="39"/>
      <c r="E66" s="39"/>
      <c r="F66" s="263"/>
      <c r="G66" s="39"/>
      <c r="H66" s="39"/>
    </row>
    <row r="67">
      <c r="A67" s="39"/>
      <c r="B67" s="39"/>
      <c r="C67" s="39"/>
      <c r="D67" s="39"/>
      <c r="E67" s="39"/>
      <c r="F67" s="263"/>
      <c r="G67" s="39"/>
      <c r="H67" s="39"/>
    </row>
    <row r="68">
      <c r="A68" s="39"/>
      <c r="B68" s="39"/>
      <c r="C68" s="39"/>
      <c r="D68" s="39"/>
      <c r="E68" s="39"/>
      <c r="F68" s="263"/>
      <c r="G68" s="39"/>
      <c r="H68" s="39"/>
    </row>
    <row r="69">
      <c r="A69" s="39"/>
      <c r="B69" s="39"/>
      <c r="C69" s="39"/>
      <c r="D69" s="39"/>
      <c r="E69" s="39"/>
      <c r="F69" s="263"/>
      <c r="G69" s="39"/>
      <c r="H69" s="39"/>
    </row>
    <row r="70">
      <c r="A70" s="39"/>
      <c r="B70" s="39"/>
      <c r="C70" s="39"/>
      <c r="D70" s="39"/>
      <c r="E70" s="39"/>
      <c r="F70" s="263"/>
      <c r="G70" s="39"/>
      <c r="H70" s="39"/>
    </row>
    <row r="71">
      <c r="A71" s="39"/>
      <c r="B71" s="39"/>
      <c r="C71" s="39"/>
      <c r="D71" s="39"/>
      <c r="E71" s="39"/>
      <c r="F71" s="263"/>
      <c r="G71" s="39"/>
      <c r="H71" s="39"/>
    </row>
    <row r="72">
      <c r="A72" s="39"/>
      <c r="B72" s="39"/>
      <c r="C72" s="39"/>
      <c r="D72" s="39"/>
      <c r="E72" s="39"/>
      <c r="F72" s="263"/>
      <c r="G72" s="39"/>
      <c r="H72" s="39"/>
    </row>
    <row r="73">
      <c r="A73" s="39"/>
      <c r="B73" s="39"/>
      <c r="C73" s="39"/>
      <c r="D73" s="39"/>
      <c r="E73" s="39"/>
      <c r="F73" s="263"/>
      <c r="G73" s="39"/>
      <c r="H73" s="39"/>
    </row>
    <row r="74">
      <c r="A74" s="39"/>
      <c r="B74" s="39"/>
      <c r="C74" s="39"/>
      <c r="D74" s="39"/>
      <c r="E74" s="39"/>
      <c r="F74" s="263"/>
      <c r="G74" s="39"/>
      <c r="H74" s="39"/>
    </row>
    <row r="75">
      <c r="A75" s="39"/>
      <c r="B75" s="39"/>
      <c r="C75" s="39"/>
      <c r="D75" s="39"/>
      <c r="E75" s="39"/>
      <c r="F75" s="263"/>
      <c r="G75" s="39"/>
      <c r="H75" s="39"/>
    </row>
    <row r="76">
      <c r="A76" s="39"/>
      <c r="B76" s="39"/>
      <c r="C76" s="39"/>
      <c r="D76" s="39"/>
      <c r="E76" s="39"/>
      <c r="F76" s="263"/>
      <c r="G76" s="39"/>
      <c r="H76" s="39"/>
    </row>
    <row r="77">
      <c r="A77" s="39"/>
      <c r="B77" s="39"/>
      <c r="C77" s="39"/>
      <c r="D77" s="39"/>
      <c r="E77" s="39"/>
      <c r="F77" s="263"/>
      <c r="G77" s="39"/>
      <c r="H77" s="39"/>
    </row>
    <row r="78">
      <c r="A78" s="39"/>
      <c r="B78" s="39"/>
      <c r="C78" s="39"/>
      <c r="D78" s="39"/>
      <c r="E78" s="39"/>
      <c r="F78" s="263"/>
      <c r="G78" s="39"/>
      <c r="H78" s="39"/>
    </row>
    <row r="79">
      <c r="A79" s="39"/>
      <c r="B79" s="39"/>
      <c r="C79" s="39"/>
      <c r="D79" s="39"/>
      <c r="E79" s="39"/>
      <c r="F79" s="263"/>
      <c r="G79" s="39"/>
      <c r="H79" s="39"/>
    </row>
    <row r="80">
      <c r="A80" s="39"/>
      <c r="B80" s="39"/>
      <c r="C80" s="39"/>
      <c r="D80" s="39"/>
      <c r="E80" s="39"/>
      <c r="F80" s="263"/>
      <c r="G80" s="39"/>
      <c r="H80" s="39"/>
    </row>
    <row r="81">
      <c r="A81" s="39"/>
      <c r="B81" s="39"/>
      <c r="C81" s="39"/>
      <c r="D81" s="39"/>
      <c r="E81" s="39"/>
      <c r="F81" s="263"/>
      <c r="G81" s="39"/>
      <c r="H81" s="39"/>
    </row>
    <row r="82">
      <c r="A82" s="39"/>
      <c r="B82" s="39"/>
      <c r="C82" s="39"/>
      <c r="D82" s="39"/>
      <c r="E82" s="39"/>
      <c r="F82" s="263"/>
      <c r="G82" s="39"/>
      <c r="H82" s="39"/>
    </row>
    <row r="83">
      <c r="A83" s="39"/>
      <c r="B83" s="39"/>
      <c r="C83" s="39"/>
      <c r="D83" s="39"/>
      <c r="E83" s="39"/>
      <c r="F83" s="263"/>
      <c r="G83" s="39"/>
      <c r="H83" s="39"/>
    </row>
    <row r="84">
      <c r="A84" s="39"/>
      <c r="B84" s="39"/>
      <c r="C84" s="39"/>
      <c r="D84" s="39"/>
      <c r="E84" s="39"/>
      <c r="F84" s="263"/>
      <c r="G84" s="39"/>
      <c r="H84" s="39"/>
    </row>
    <row r="85">
      <c r="A85" s="39"/>
      <c r="B85" s="39"/>
      <c r="C85" s="39"/>
      <c r="D85" s="39"/>
      <c r="E85" s="39"/>
      <c r="F85" s="263"/>
      <c r="G85" s="39"/>
      <c r="H85" s="39"/>
    </row>
    <row r="86">
      <c r="A86" s="39"/>
      <c r="B86" s="39"/>
      <c r="C86" s="39"/>
      <c r="D86" s="39"/>
      <c r="E86" s="39"/>
      <c r="F86" s="263"/>
      <c r="G86" s="39"/>
      <c r="H86" s="39"/>
    </row>
    <row r="87">
      <c r="A87" s="39"/>
      <c r="B87" s="39"/>
      <c r="C87" s="39"/>
      <c r="D87" s="39"/>
      <c r="E87" s="39"/>
      <c r="F87" s="263"/>
      <c r="G87" s="39"/>
      <c r="H87" s="39"/>
    </row>
    <row r="88">
      <c r="A88" s="39"/>
      <c r="B88" s="39"/>
      <c r="C88" s="39"/>
      <c r="D88" s="39"/>
      <c r="E88" s="39"/>
      <c r="F88" s="263"/>
      <c r="G88" s="39"/>
      <c r="H88" s="39"/>
    </row>
    <row r="89">
      <c r="A89" s="39"/>
      <c r="B89" s="39"/>
      <c r="C89" s="39"/>
      <c r="D89" s="39"/>
      <c r="E89" s="39"/>
      <c r="F89" s="263"/>
      <c r="G89" s="39"/>
      <c r="H89" s="39"/>
    </row>
    <row r="90">
      <c r="A90" s="39"/>
      <c r="B90" s="39"/>
      <c r="C90" s="39"/>
      <c r="D90" s="39"/>
      <c r="E90" s="39"/>
      <c r="F90" s="263"/>
      <c r="G90" s="39"/>
      <c r="H90" s="39"/>
    </row>
    <row r="91">
      <c r="A91" s="39"/>
      <c r="B91" s="39"/>
      <c r="C91" s="39"/>
      <c r="D91" s="39"/>
      <c r="E91" s="39"/>
      <c r="F91" s="263"/>
      <c r="G91" s="39"/>
      <c r="H91" s="39"/>
    </row>
    <row r="92">
      <c r="A92" s="39"/>
      <c r="B92" s="39"/>
      <c r="C92" s="39"/>
      <c r="D92" s="39"/>
      <c r="E92" s="39"/>
      <c r="F92" s="263"/>
      <c r="G92" s="39"/>
      <c r="H92" s="39"/>
    </row>
    <row r="93">
      <c r="A93" s="39"/>
      <c r="B93" s="39"/>
      <c r="C93" s="39"/>
      <c r="D93" s="39"/>
      <c r="E93" s="39"/>
      <c r="F93" s="263"/>
      <c r="G93" s="39"/>
      <c r="H93" s="39"/>
    </row>
    <row r="94">
      <c r="A94" s="39"/>
      <c r="B94" s="39"/>
      <c r="C94" s="39"/>
      <c r="D94" s="39"/>
      <c r="E94" s="39"/>
      <c r="F94" s="263"/>
      <c r="G94" s="39"/>
      <c r="H94" s="39"/>
    </row>
    <row r="95">
      <c r="A95" s="39"/>
      <c r="B95" s="39"/>
      <c r="C95" s="39"/>
      <c r="D95" s="39"/>
      <c r="E95" s="39"/>
      <c r="F95" s="263"/>
      <c r="G95" s="39"/>
      <c r="H95" s="39"/>
    </row>
    <row r="96">
      <c r="A96" s="39"/>
      <c r="B96" s="39"/>
      <c r="C96" s="39"/>
      <c r="D96" s="39"/>
      <c r="E96" s="39"/>
      <c r="F96" s="263"/>
      <c r="G96" s="39"/>
      <c r="H96" s="39"/>
    </row>
    <row r="97">
      <c r="A97" s="39"/>
      <c r="B97" s="39"/>
      <c r="C97" s="39"/>
      <c r="D97" s="39"/>
      <c r="E97" s="39"/>
      <c r="F97" s="263"/>
      <c r="G97" s="39"/>
      <c r="H97" s="39"/>
    </row>
    <row r="98">
      <c r="A98" s="39"/>
      <c r="B98" s="39"/>
      <c r="C98" s="39"/>
      <c r="D98" s="39"/>
      <c r="E98" s="39"/>
      <c r="F98" s="263"/>
      <c r="G98" s="39"/>
      <c r="H98" s="39"/>
    </row>
    <row r="99">
      <c r="A99" s="39"/>
      <c r="B99" s="39"/>
      <c r="C99" s="39"/>
      <c r="D99" s="39"/>
      <c r="E99" s="39"/>
      <c r="F99" s="263"/>
      <c r="G99" s="39"/>
      <c r="H99" s="39"/>
    </row>
    <row r="100">
      <c r="A100" s="39"/>
      <c r="B100" s="39"/>
      <c r="C100" s="39"/>
      <c r="D100" s="39"/>
      <c r="E100" s="39"/>
      <c r="F100" s="263"/>
      <c r="G100" s="39"/>
      <c r="H100" s="39"/>
    </row>
    <row r="101">
      <c r="A101" s="39"/>
      <c r="B101" s="39"/>
      <c r="C101" s="39"/>
      <c r="D101" s="39"/>
      <c r="E101" s="39"/>
      <c r="F101" s="263"/>
      <c r="G101" s="39"/>
      <c r="H101" s="39"/>
    </row>
    <row r="102">
      <c r="A102" s="39"/>
      <c r="B102" s="39"/>
      <c r="C102" s="39"/>
      <c r="D102" s="39"/>
      <c r="E102" s="39"/>
      <c r="F102" s="263"/>
      <c r="G102" s="39"/>
      <c r="H102" s="39"/>
    </row>
    <row r="103">
      <c r="A103" s="39"/>
      <c r="B103" s="39"/>
      <c r="C103" s="39"/>
      <c r="D103" s="39"/>
      <c r="E103" s="39"/>
      <c r="F103" s="263"/>
      <c r="G103" s="39"/>
      <c r="H103" s="39"/>
    </row>
    <row r="104">
      <c r="A104" s="39"/>
      <c r="B104" s="39"/>
      <c r="C104" s="39"/>
      <c r="D104" s="39"/>
      <c r="E104" s="39"/>
      <c r="F104" s="263"/>
      <c r="G104" s="39"/>
      <c r="H104" s="39"/>
    </row>
    <row r="105">
      <c r="A105" s="39"/>
      <c r="B105" s="39"/>
      <c r="C105" s="39"/>
      <c r="D105" s="39"/>
      <c r="E105" s="39"/>
      <c r="F105" s="263"/>
      <c r="G105" s="39"/>
      <c r="H105" s="39"/>
    </row>
    <row r="106">
      <c r="A106" s="39"/>
      <c r="B106" s="39"/>
      <c r="C106" s="39"/>
      <c r="D106" s="39"/>
      <c r="E106" s="39"/>
      <c r="F106" s="263"/>
      <c r="G106" s="39"/>
      <c r="H106" s="39"/>
    </row>
    <row r="107">
      <c r="A107" s="39"/>
      <c r="B107" s="39"/>
      <c r="C107" s="39"/>
      <c r="D107" s="39"/>
      <c r="E107" s="39"/>
      <c r="F107" s="263"/>
      <c r="G107" s="39"/>
      <c r="H107" s="39"/>
    </row>
    <row r="108">
      <c r="A108" s="39"/>
      <c r="B108" s="39"/>
      <c r="C108" s="39"/>
      <c r="D108" s="39"/>
      <c r="E108" s="39"/>
      <c r="F108" s="263"/>
      <c r="G108" s="39"/>
      <c r="H108" s="39"/>
    </row>
    <row r="109">
      <c r="A109" s="39"/>
      <c r="B109" s="39"/>
      <c r="C109" s="39"/>
      <c r="D109" s="39"/>
      <c r="E109" s="39"/>
      <c r="F109" s="263"/>
      <c r="G109" s="39"/>
      <c r="H109" s="39"/>
    </row>
    <row r="110">
      <c r="A110" s="39"/>
      <c r="B110" s="39"/>
      <c r="C110" s="39"/>
      <c r="D110" s="39"/>
      <c r="E110" s="39"/>
      <c r="F110" s="263"/>
      <c r="G110" s="39"/>
      <c r="H110" s="39"/>
    </row>
    <row r="111">
      <c r="A111" s="39"/>
      <c r="B111" s="39"/>
      <c r="C111" s="39"/>
      <c r="D111" s="39"/>
      <c r="E111" s="39"/>
      <c r="F111" s="263"/>
      <c r="G111" s="39"/>
      <c r="H111" s="39"/>
    </row>
    <row r="112">
      <c r="A112" s="39"/>
      <c r="B112" s="39"/>
      <c r="C112" s="39"/>
      <c r="D112" s="39"/>
      <c r="E112" s="39"/>
      <c r="F112" s="263"/>
      <c r="G112" s="39"/>
      <c r="H112" s="39"/>
    </row>
    <row r="113">
      <c r="A113" s="39"/>
      <c r="B113" s="39"/>
      <c r="C113" s="39"/>
      <c r="D113" s="39"/>
      <c r="E113" s="39"/>
      <c r="F113" s="263"/>
      <c r="G113" s="39"/>
      <c r="H113" s="39"/>
    </row>
    <row r="114">
      <c r="A114" s="39"/>
      <c r="B114" s="39"/>
      <c r="C114" s="39"/>
      <c r="D114" s="39"/>
      <c r="E114" s="39"/>
      <c r="F114" s="263"/>
      <c r="G114" s="39"/>
      <c r="H114" s="39"/>
    </row>
    <row r="115">
      <c r="A115" s="39"/>
      <c r="B115" s="39"/>
      <c r="C115" s="39"/>
      <c r="D115" s="39"/>
      <c r="E115" s="39"/>
      <c r="F115" s="263"/>
      <c r="G115" s="39"/>
      <c r="H115" s="39"/>
    </row>
    <row r="116">
      <c r="A116" s="39"/>
      <c r="B116" s="39"/>
      <c r="C116" s="39"/>
      <c r="D116" s="39"/>
      <c r="E116" s="39"/>
      <c r="F116" s="263"/>
      <c r="G116" s="39"/>
      <c r="H116" s="39"/>
    </row>
    <row r="117">
      <c r="A117" s="39"/>
      <c r="B117" s="39"/>
      <c r="C117" s="39"/>
      <c r="D117" s="39"/>
      <c r="E117" s="39"/>
      <c r="F117" s="263"/>
      <c r="G117" s="39"/>
      <c r="H117" s="39"/>
    </row>
    <row r="118">
      <c r="A118" s="39"/>
      <c r="B118" s="39"/>
      <c r="C118" s="39"/>
      <c r="D118" s="39"/>
      <c r="E118" s="39"/>
      <c r="F118" s="263"/>
      <c r="G118" s="39"/>
      <c r="H118" s="39"/>
    </row>
    <row r="119">
      <c r="A119" s="39"/>
      <c r="B119" s="39"/>
      <c r="C119" s="39"/>
      <c r="D119" s="39"/>
      <c r="E119" s="39"/>
      <c r="F119" s="263"/>
      <c r="G119" s="39"/>
      <c r="H119" s="39"/>
    </row>
    <row r="120">
      <c r="A120" s="39"/>
      <c r="B120" s="39"/>
      <c r="C120" s="39"/>
      <c r="D120" s="39"/>
      <c r="E120" s="39"/>
      <c r="F120" s="263"/>
      <c r="G120" s="39"/>
      <c r="H120" s="39"/>
    </row>
    <row r="121">
      <c r="A121" s="39"/>
      <c r="B121" s="39"/>
      <c r="C121" s="39"/>
      <c r="D121" s="39"/>
      <c r="E121" s="39"/>
      <c r="F121" s="263"/>
      <c r="G121" s="39"/>
      <c r="H121" s="39"/>
    </row>
    <row r="122">
      <c r="A122" s="39"/>
      <c r="B122" s="39"/>
      <c r="C122" s="39"/>
      <c r="D122" s="39"/>
      <c r="E122" s="39"/>
      <c r="F122" s="263"/>
      <c r="G122" s="39"/>
      <c r="H122" s="39"/>
    </row>
    <row r="123">
      <c r="A123" s="39"/>
      <c r="B123" s="39"/>
      <c r="C123" s="39"/>
      <c r="D123" s="39"/>
      <c r="E123" s="39"/>
      <c r="F123" s="263"/>
      <c r="G123" s="39"/>
      <c r="H123" s="39"/>
    </row>
    <row r="124">
      <c r="A124" s="39"/>
      <c r="B124" s="39"/>
      <c r="C124" s="39"/>
      <c r="D124" s="39"/>
      <c r="E124" s="39"/>
      <c r="F124" s="263"/>
      <c r="G124" s="39"/>
      <c r="H124" s="39"/>
    </row>
    <row r="125">
      <c r="A125" s="39"/>
      <c r="B125" s="39"/>
      <c r="C125" s="39"/>
      <c r="D125" s="39"/>
      <c r="E125" s="39"/>
      <c r="F125" s="263"/>
      <c r="G125" s="39"/>
      <c r="H125" s="39"/>
    </row>
    <row r="126">
      <c r="A126" s="39"/>
      <c r="B126" s="39"/>
      <c r="C126" s="39"/>
      <c r="D126" s="39"/>
      <c r="E126" s="39"/>
      <c r="F126" s="263"/>
      <c r="G126" s="39"/>
      <c r="H126" s="39"/>
    </row>
    <row r="127">
      <c r="A127" s="39"/>
      <c r="B127" s="39"/>
      <c r="C127" s="39"/>
      <c r="D127" s="39"/>
      <c r="E127" s="39"/>
      <c r="F127" s="263"/>
      <c r="G127" s="39"/>
      <c r="H127" s="39"/>
    </row>
    <row r="128">
      <c r="A128" s="39"/>
      <c r="B128" s="39"/>
      <c r="C128" s="39"/>
      <c r="D128" s="39"/>
      <c r="E128" s="39"/>
      <c r="F128" s="263"/>
      <c r="G128" s="39"/>
      <c r="H128" s="39"/>
    </row>
    <row r="129">
      <c r="A129" s="39"/>
      <c r="B129" s="39"/>
      <c r="C129" s="39"/>
      <c r="D129" s="39"/>
      <c r="E129" s="39"/>
      <c r="F129" s="263"/>
      <c r="G129" s="39"/>
      <c r="H129" s="39"/>
    </row>
    <row r="130">
      <c r="A130" s="39"/>
      <c r="B130" s="39"/>
      <c r="C130" s="39"/>
      <c r="D130" s="39"/>
      <c r="E130" s="39"/>
      <c r="F130" s="263"/>
      <c r="G130" s="39"/>
      <c r="H130" s="39"/>
    </row>
    <row r="131">
      <c r="A131" s="39"/>
      <c r="B131" s="39"/>
      <c r="C131" s="39"/>
      <c r="D131" s="39"/>
      <c r="E131" s="39"/>
      <c r="F131" s="263"/>
      <c r="G131" s="39"/>
      <c r="H131" s="39"/>
    </row>
    <row r="132">
      <c r="A132" s="39"/>
      <c r="B132" s="39"/>
      <c r="C132" s="39"/>
      <c r="D132" s="39"/>
      <c r="E132" s="39"/>
      <c r="F132" s="263"/>
      <c r="G132" s="39"/>
      <c r="H132" s="39"/>
    </row>
    <row r="133">
      <c r="A133" s="39"/>
      <c r="B133" s="39"/>
      <c r="C133" s="39"/>
      <c r="D133" s="39"/>
      <c r="E133" s="39"/>
      <c r="F133" s="263"/>
      <c r="G133" s="39"/>
      <c r="H133" s="39"/>
    </row>
    <row r="134">
      <c r="A134" s="39"/>
      <c r="B134" s="39"/>
      <c r="C134" s="39"/>
      <c r="D134" s="39"/>
      <c r="E134" s="39"/>
      <c r="F134" s="263"/>
      <c r="G134" s="39"/>
      <c r="H134" s="39"/>
    </row>
    <row r="135">
      <c r="A135" s="39"/>
      <c r="B135" s="39"/>
      <c r="C135" s="39"/>
      <c r="D135" s="39"/>
      <c r="E135" s="39"/>
      <c r="F135" s="263"/>
      <c r="G135" s="39"/>
      <c r="H135" s="39"/>
    </row>
    <row r="136">
      <c r="A136" s="39"/>
      <c r="B136" s="39"/>
      <c r="C136" s="39"/>
      <c r="D136" s="39"/>
      <c r="E136" s="39"/>
      <c r="F136" s="263"/>
      <c r="G136" s="39"/>
      <c r="H136" s="39"/>
    </row>
    <row r="137">
      <c r="A137" s="39"/>
      <c r="B137" s="39"/>
      <c r="C137" s="39"/>
      <c r="D137" s="39"/>
      <c r="E137" s="39"/>
      <c r="F137" s="263"/>
      <c r="G137" s="39"/>
      <c r="H137" s="39"/>
    </row>
    <row r="138">
      <c r="A138" s="39"/>
      <c r="B138" s="39"/>
      <c r="C138" s="39"/>
      <c r="D138" s="39"/>
      <c r="E138" s="39"/>
      <c r="F138" s="263"/>
      <c r="G138" s="39"/>
      <c r="H138" s="39"/>
    </row>
    <row r="139">
      <c r="A139" s="39"/>
      <c r="B139" s="39"/>
      <c r="C139" s="39"/>
      <c r="D139" s="39"/>
      <c r="E139" s="39"/>
      <c r="F139" s="263"/>
      <c r="G139" s="39"/>
      <c r="H139" s="39"/>
    </row>
    <row r="140">
      <c r="A140" s="39"/>
      <c r="B140" s="39"/>
      <c r="C140" s="39"/>
      <c r="D140" s="39"/>
      <c r="E140" s="39"/>
      <c r="F140" s="263"/>
      <c r="G140" s="39"/>
      <c r="H140" s="39"/>
    </row>
    <row r="141">
      <c r="A141" s="39"/>
      <c r="B141" s="39"/>
      <c r="C141" s="39"/>
      <c r="D141" s="39"/>
      <c r="E141" s="39"/>
      <c r="F141" s="263"/>
      <c r="G141" s="39"/>
      <c r="H141" s="39"/>
    </row>
    <row r="142">
      <c r="A142" s="39"/>
      <c r="B142" s="39"/>
      <c r="C142" s="39"/>
      <c r="D142" s="39"/>
      <c r="E142" s="39"/>
      <c r="F142" s="263"/>
      <c r="G142" s="39"/>
      <c r="H142" s="39"/>
    </row>
    <row r="143">
      <c r="A143" s="39"/>
      <c r="B143" s="39"/>
      <c r="C143" s="39"/>
      <c r="D143" s="39"/>
      <c r="E143" s="39"/>
      <c r="F143" s="263"/>
      <c r="G143" s="39"/>
      <c r="H143" s="39"/>
    </row>
    <row r="144">
      <c r="A144" s="39"/>
      <c r="B144" s="39"/>
      <c r="C144" s="39"/>
      <c r="D144" s="39"/>
      <c r="E144" s="39"/>
      <c r="F144" s="263"/>
      <c r="G144" s="39"/>
      <c r="H144" s="39"/>
    </row>
    <row r="145">
      <c r="A145" s="39"/>
      <c r="B145" s="39"/>
      <c r="C145" s="39"/>
      <c r="D145" s="39"/>
      <c r="E145" s="39"/>
      <c r="F145" s="263"/>
      <c r="G145" s="39"/>
      <c r="H145" s="39"/>
    </row>
    <row r="146">
      <c r="A146" s="39"/>
      <c r="B146" s="39"/>
      <c r="C146" s="39"/>
      <c r="D146" s="39"/>
      <c r="E146" s="39"/>
      <c r="F146" s="263"/>
      <c r="G146" s="39"/>
      <c r="H146" s="39"/>
    </row>
    <row r="147">
      <c r="A147" s="39"/>
      <c r="B147" s="39"/>
      <c r="C147" s="39"/>
      <c r="D147" s="39"/>
      <c r="E147" s="39"/>
      <c r="F147" s="263"/>
      <c r="G147" s="39"/>
      <c r="H147" s="39"/>
    </row>
    <row r="148">
      <c r="A148" s="39"/>
      <c r="B148" s="39"/>
      <c r="C148" s="39"/>
      <c r="D148" s="39"/>
      <c r="E148" s="39"/>
      <c r="F148" s="263"/>
      <c r="G148" s="39"/>
      <c r="H148" s="39"/>
    </row>
    <row r="149">
      <c r="A149" s="39"/>
      <c r="B149" s="39"/>
      <c r="C149" s="39"/>
      <c r="D149" s="39"/>
      <c r="E149" s="39"/>
      <c r="F149" s="263"/>
      <c r="G149" s="39"/>
      <c r="H149" s="39"/>
    </row>
    <row r="150">
      <c r="A150" s="39"/>
      <c r="B150" s="39"/>
      <c r="C150" s="39"/>
      <c r="D150" s="39"/>
      <c r="E150" s="39"/>
      <c r="F150" s="263"/>
      <c r="G150" s="39"/>
      <c r="H150" s="39"/>
    </row>
    <row r="151">
      <c r="A151" s="39"/>
      <c r="B151" s="39"/>
      <c r="C151" s="39"/>
      <c r="D151" s="39"/>
      <c r="E151" s="39"/>
      <c r="F151" s="263"/>
      <c r="G151" s="39"/>
      <c r="H151" s="39"/>
    </row>
    <row r="152">
      <c r="A152" s="39"/>
      <c r="B152" s="39"/>
      <c r="C152" s="39"/>
      <c r="D152" s="39"/>
      <c r="E152" s="39"/>
      <c r="F152" s="263"/>
      <c r="G152" s="39"/>
      <c r="H152" s="39"/>
    </row>
    <row r="153">
      <c r="A153" s="39"/>
      <c r="B153" s="39"/>
      <c r="C153" s="39"/>
      <c r="D153" s="39"/>
      <c r="E153" s="39"/>
      <c r="F153" s="263"/>
      <c r="G153" s="39"/>
      <c r="H153" s="39"/>
    </row>
    <row r="154">
      <c r="A154" s="39"/>
      <c r="B154" s="39"/>
      <c r="C154" s="39"/>
      <c r="D154" s="39"/>
      <c r="E154" s="39"/>
      <c r="F154" s="263"/>
      <c r="G154" s="39"/>
      <c r="H154" s="39"/>
    </row>
    <row r="155">
      <c r="A155" s="39"/>
      <c r="B155" s="39"/>
      <c r="C155" s="39"/>
      <c r="D155" s="39"/>
      <c r="E155" s="39"/>
      <c r="F155" s="263"/>
      <c r="G155" s="39"/>
      <c r="H155" s="39"/>
    </row>
    <row r="156">
      <c r="A156" s="39"/>
      <c r="B156" s="39"/>
      <c r="C156" s="39"/>
      <c r="D156" s="39"/>
      <c r="E156" s="39"/>
      <c r="F156" s="263"/>
      <c r="G156" s="39"/>
      <c r="H156" s="39"/>
    </row>
    <row r="157">
      <c r="A157" s="39"/>
      <c r="B157" s="39"/>
      <c r="C157" s="39"/>
      <c r="D157" s="39"/>
      <c r="E157" s="39"/>
      <c r="F157" s="263"/>
      <c r="G157" s="39"/>
      <c r="H157" s="39"/>
    </row>
    <row r="158">
      <c r="A158" s="39"/>
      <c r="B158" s="39"/>
      <c r="C158" s="39"/>
      <c r="D158" s="39"/>
      <c r="E158" s="39"/>
      <c r="F158" s="263"/>
      <c r="G158" s="39"/>
      <c r="H158" s="39"/>
    </row>
    <row r="159">
      <c r="A159" s="39"/>
      <c r="B159" s="39"/>
      <c r="C159" s="39"/>
      <c r="D159" s="39"/>
      <c r="E159" s="39"/>
      <c r="F159" s="263"/>
      <c r="G159" s="39"/>
      <c r="H159" s="39"/>
    </row>
    <row r="160">
      <c r="A160" s="39"/>
      <c r="B160" s="39"/>
      <c r="C160" s="39"/>
      <c r="D160" s="39"/>
      <c r="E160" s="39"/>
      <c r="F160" s="263"/>
      <c r="G160" s="39"/>
      <c r="H160" s="39"/>
    </row>
    <row r="161">
      <c r="A161" s="39"/>
      <c r="B161" s="39"/>
      <c r="C161" s="39"/>
      <c r="D161" s="39"/>
      <c r="E161" s="39"/>
      <c r="F161" s="263"/>
      <c r="G161" s="39"/>
      <c r="H161" s="39"/>
    </row>
    <row r="162">
      <c r="A162" s="39"/>
      <c r="B162" s="39"/>
      <c r="C162" s="39"/>
      <c r="D162" s="39"/>
      <c r="E162" s="39"/>
      <c r="F162" s="263"/>
      <c r="G162" s="39"/>
      <c r="H162" s="39"/>
    </row>
    <row r="163">
      <c r="A163" s="39"/>
      <c r="B163" s="39"/>
      <c r="C163" s="39"/>
      <c r="D163" s="39"/>
      <c r="E163" s="39"/>
      <c r="F163" s="263"/>
      <c r="G163" s="39"/>
      <c r="H163" s="39"/>
    </row>
    <row r="164">
      <c r="A164" s="39"/>
      <c r="B164" s="39"/>
      <c r="C164" s="39"/>
      <c r="D164" s="39"/>
      <c r="E164" s="39"/>
      <c r="F164" s="263"/>
      <c r="G164" s="39"/>
      <c r="H164" s="39"/>
    </row>
    <row r="165">
      <c r="A165" s="39"/>
      <c r="B165" s="39"/>
      <c r="C165" s="39"/>
      <c r="D165" s="39"/>
      <c r="E165" s="39"/>
      <c r="F165" s="263"/>
      <c r="G165" s="39"/>
      <c r="H165" s="39"/>
    </row>
    <row r="166">
      <c r="A166" s="39"/>
      <c r="B166" s="39"/>
      <c r="C166" s="39"/>
      <c r="D166" s="39"/>
      <c r="E166" s="39"/>
      <c r="F166" s="263"/>
      <c r="G166" s="39"/>
      <c r="H166" s="39"/>
    </row>
    <row r="167">
      <c r="A167" s="39"/>
      <c r="B167" s="39"/>
      <c r="C167" s="39"/>
      <c r="D167" s="39"/>
      <c r="E167" s="39"/>
      <c r="F167" s="263"/>
      <c r="G167" s="39"/>
      <c r="H167" s="39"/>
    </row>
    <row r="168">
      <c r="A168" s="39"/>
      <c r="B168" s="39"/>
      <c r="C168" s="39"/>
      <c r="D168" s="39"/>
      <c r="E168" s="39"/>
      <c r="F168" s="263"/>
      <c r="G168" s="39"/>
      <c r="H168" s="39"/>
    </row>
    <row r="169">
      <c r="A169" s="39"/>
      <c r="B169" s="39"/>
      <c r="C169" s="39"/>
      <c r="D169" s="39"/>
      <c r="E169" s="39"/>
      <c r="F169" s="263"/>
      <c r="G169" s="39"/>
      <c r="H169" s="39"/>
    </row>
    <row r="170">
      <c r="A170" s="39"/>
      <c r="B170" s="39"/>
      <c r="C170" s="39"/>
      <c r="D170" s="39"/>
      <c r="E170" s="39"/>
      <c r="F170" s="263"/>
      <c r="G170" s="39"/>
      <c r="H170" s="39"/>
    </row>
    <row r="171">
      <c r="A171" s="39"/>
      <c r="B171" s="39"/>
      <c r="C171" s="39"/>
      <c r="D171" s="39"/>
      <c r="E171" s="39"/>
      <c r="F171" s="263"/>
      <c r="G171" s="39"/>
      <c r="H171" s="39"/>
    </row>
    <row r="172">
      <c r="A172" s="39"/>
      <c r="B172" s="39"/>
      <c r="C172" s="39"/>
      <c r="D172" s="39"/>
      <c r="E172" s="39"/>
      <c r="F172" s="263"/>
      <c r="G172" s="39"/>
      <c r="H172" s="39"/>
    </row>
    <row r="173">
      <c r="A173" s="39"/>
      <c r="B173" s="39"/>
      <c r="C173" s="39"/>
      <c r="D173" s="39"/>
      <c r="E173" s="39"/>
      <c r="F173" s="263"/>
      <c r="G173" s="39"/>
      <c r="H173" s="39"/>
    </row>
    <row r="174">
      <c r="A174" s="39"/>
      <c r="B174" s="39"/>
      <c r="C174" s="39"/>
      <c r="D174" s="39"/>
      <c r="E174" s="39"/>
      <c r="F174" s="263"/>
      <c r="G174" s="39"/>
      <c r="H174" s="39"/>
    </row>
    <row r="175">
      <c r="A175" s="39"/>
      <c r="B175" s="39"/>
      <c r="C175" s="39"/>
      <c r="D175" s="39"/>
      <c r="E175" s="39"/>
      <c r="F175" s="263"/>
      <c r="G175" s="39"/>
      <c r="H175" s="39"/>
    </row>
    <row r="176">
      <c r="A176" s="39"/>
      <c r="B176" s="39"/>
      <c r="C176" s="39"/>
      <c r="D176" s="39"/>
      <c r="E176" s="39"/>
      <c r="F176" s="263"/>
      <c r="G176" s="39"/>
      <c r="H176" s="39"/>
    </row>
    <row r="177">
      <c r="A177" s="39"/>
      <c r="B177" s="39"/>
      <c r="C177" s="39"/>
      <c r="D177" s="39"/>
      <c r="E177" s="39"/>
      <c r="F177" s="263"/>
      <c r="G177" s="39"/>
      <c r="H177" s="39"/>
    </row>
    <row r="178">
      <c r="A178" s="39"/>
      <c r="B178" s="39"/>
      <c r="C178" s="39"/>
      <c r="D178" s="39"/>
      <c r="E178" s="39"/>
      <c r="F178" s="263"/>
      <c r="G178" s="39"/>
      <c r="H178" s="39"/>
    </row>
    <row r="179">
      <c r="A179" s="39"/>
      <c r="B179" s="39"/>
      <c r="C179" s="39"/>
      <c r="D179" s="39"/>
      <c r="E179" s="39"/>
      <c r="F179" s="263"/>
      <c r="G179" s="39"/>
      <c r="H179" s="39"/>
    </row>
    <row r="180">
      <c r="A180" s="39"/>
      <c r="B180" s="39"/>
      <c r="C180" s="39"/>
      <c r="D180" s="39"/>
      <c r="E180" s="39"/>
      <c r="F180" s="263"/>
      <c r="G180" s="39"/>
      <c r="H180" s="39"/>
    </row>
    <row r="181">
      <c r="A181" s="39"/>
      <c r="B181" s="39"/>
      <c r="C181" s="39"/>
      <c r="D181" s="39"/>
      <c r="E181" s="39"/>
      <c r="F181" s="263"/>
      <c r="G181" s="39"/>
      <c r="H181" s="39"/>
    </row>
    <row r="182">
      <c r="A182" s="39"/>
      <c r="B182" s="39"/>
      <c r="C182" s="39"/>
      <c r="D182" s="39"/>
      <c r="E182" s="39"/>
      <c r="F182" s="263"/>
      <c r="G182" s="39"/>
      <c r="H182" s="39"/>
    </row>
    <row r="183">
      <c r="A183" s="39"/>
      <c r="B183" s="39"/>
      <c r="C183" s="39"/>
      <c r="D183" s="39"/>
      <c r="E183" s="39"/>
      <c r="F183" s="263"/>
      <c r="G183" s="39"/>
      <c r="H183" s="39"/>
    </row>
    <row r="184">
      <c r="A184" s="39"/>
      <c r="B184" s="39"/>
      <c r="C184" s="39"/>
      <c r="D184" s="39"/>
      <c r="E184" s="39"/>
      <c r="F184" s="263"/>
      <c r="G184" s="39"/>
      <c r="H184" s="39"/>
    </row>
    <row r="185">
      <c r="A185" s="39"/>
      <c r="B185" s="39"/>
      <c r="C185" s="39"/>
      <c r="D185" s="39"/>
      <c r="E185" s="39"/>
      <c r="F185" s="263"/>
      <c r="G185" s="39"/>
      <c r="H185" s="39"/>
    </row>
    <row r="186">
      <c r="A186" s="39"/>
      <c r="B186" s="39"/>
      <c r="C186" s="39"/>
      <c r="D186" s="39"/>
      <c r="E186" s="39"/>
      <c r="F186" s="263"/>
      <c r="G186" s="39"/>
      <c r="H186" s="39"/>
    </row>
    <row r="187">
      <c r="A187" s="39"/>
      <c r="B187" s="39"/>
      <c r="C187" s="39"/>
      <c r="D187" s="39"/>
      <c r="E187" s="39"/>
      <c r="F187" s="263"/>
      <c r="G187" s="39"/>
      <c r="H187" s="39"/>
    </row>
    <row r="188">
      <c r="A188" s="39"/>
      <c r="B188" s="39"/>
      <c r="C188" s="39"/>
      <c r="D188" s="39"/>
      <c r="E188" s="39"/>
      <c r="F188" s="263"/>
      <c r="G188" s="39"/>
      <c r="H188" s="39"/>
    </row>
    <row r="189">
      <c r="A189" s="39"/>
      <c r="B189" s="39"/>
      <c r="C189" s="39"/>
      <c r="D189" s="39"/>
      <c r="E189" s="39"/>
      <c r="F189" s="263"/>
      <c r="G189" s="39"/>
      <c r="H189" s="39"/>
    </row>
    <row r="190">
      <c r="A190" s="39"/>
      <c r="B190" s="39"/>
      <c r="C190" s="39"/>
      <c r="D190" s="39"/>
      <c r="E190" s="39"/>
      <c r="F190" s="263"/>
      <c r="G190" s="39"/>
      <c r="H190" s="39"/>
    </row>
    <row r="191">
      <c r="A191" s="39"/>
      <c r="B191" s="39"/>
      <c r="C191" s="39"/>
      <c r="D191" s="39"/>
      <c r="E191" s="39"/>
      <c r="F191" s="263"/>
      <c r="G191" s="39"/>
      <c r="H191" s="39"/>
    </row>
    <row r="192">
      <c r="A192" s="39"/>
      <c r="B192" s="39"/>
      <c r="C192" s="39"/>
      <c r="D192" s="39"/>
      <c r="E192" s="39"/>
      <c r="F192" s="263"/>
      <c r="G192" s="39"/>
      <c r="H192" s="39"/>
    </row>
    <row r="193">
      <c r="A193" s="39"/>
      <c r="B193" s="39"/>
      <c r="C193" s="39"/>
      <c r="D193" s="39"/>
      <c r="E193" s="39"/>
      <c r="F193" s="263"/>
      <c r="G193" s="39"/>
      <c r="H193" s="39"/>
    </row>
    <row r="194">
      <c r="A194" s="39"/>
      <c r="B194" s="39"/>
      <c r="C194" s="39"/>
      <c r="D194" s="39"/>
      <c r="E194" s="39"/>
      <c r="F194" s="263"/>
      <c r="G194" s="39"/>
      <c r="H194" s="39"/>
    </row>
    <row r="195">
      <c r="A195" s="39"/>
      <c r="B195" s="39"/>
      <c r="C195" s="39"/>
      <c r="D195" s="39"/>
      <c r="E195" s="39"/>
      <c r="F195" s="263"/>
      <c r="G195" s="39"/>
      <c r="H195" s="39"/>
    </row>
    <row r="196">
      <c r="A196" s="39"/>
      <c r="B196" s="39"/>
      <c r="C196" s="39"/>
      <c r="D196" s="39"/>
      <c r="E196" s="39"/>
      <c r="F196" s="263"/>
      <c r="G196" s="39"/>
      <c r="H196" s="39"/>
    </row>
    <row r="197">
      <c r="A197" s="39"/>
      <c r="B197" s="39"/>
      <c r="C197" s="39"/>
      <c r="D197" s="39"/>
      <c r="E197" s="39"/>
      <c r="F197" s="263"/>
      <c r="G197" s="39"/>
      <c r="H197" s="39"/>
    </row>
    <row r="198">
      <c r="A198" s="39"/>
      <c r="B198" s="39"/>
      <c r="C198" s="39"/>
      <c r="D198" s="39"/>
      <c r="E198" s="39"/>
      <c r="F198" s="263"/>
      <c r="G198" s="39"/>
      <c r="H198" s="39"/>
    </row>
    <row r="199">
      <c r="A199" s="39"/>
      <c r="B199" s="39"/>
      <c r="C199" s="39"/>
      <c r="D199" s="39"/>
      <c r="E199" s="39"/>
      <c r="F199" s="263"/>
      <c r="G199" s="39"/>
      <c r="H199" s="39"/>
    </row>
    <row r="200">
      <c r="A200" s="39"/>
      <c r="B200" s="39"/>
      <c r="C200" s="39"/>
      <c r="D200" s="39"/>
      <c r="E200" s="39"/>
      <c r="F200" s="263"/>
      <c r="G200" s="39"/>
      <c r="H200" s="39"/>
    </row>
    <row r="201">
      <c r="A201" s="39"/>
      <c r="B201" s="39"/>
      <c r="C201" s="39"/>
      <c r="D201" s="39"/>
      <c r="E201" s="39"/>
      <c r="F201" s="263"/>
      <c r="G201" s="39"/>
      <c r="H201" s="39"/>
    </row>
    <row r="202">
      <c r="A202" s="39"/>
      <c r="B202" s="39"/>
      <c r="C202" s="39"/>
      <c r="D202" s="39"/>
      <c r="E202" s="39"/>
      <c r="F202" s="263"/>
      <c r="G202" s="39"/>
      <c r="H202" s="39"/>
    </row>
    <row r="203">
      <c r="A203" s="39"/>
      <c r="B203" s="39"/>
      <c r="C203" s="39"/>
      <c r="D203" s="39"/>
      <c r="E203" s="39"/>
      <c r="F203" s="263"/>
      <c r="G203" s="39"/>
      <c r="H203" s="39"/>
    </row>
    <row r="204">
      <c r="A204" s="39"/>
      <c r="B204" s="39"/>
      <c r="C204" s="39"/>
      <c r="D204" s="39"/>
      <c r="E204" s="39"/>
      <c r="F204" s="263"/>
      <c r="G204" s="39"/>
      <c r="H204" s="39"/>
    </row>
    <row r="205">
      <c r="A205" s="39"/>
      <c r="B205" s="39"/>
      <c r="C205" s="39"/>
      <c r="D205" s="39"/>
      <c r="E205" s="39"/>
      <c r="F205" s="263"/>
      <c r="G205" s="39"/>
      <c r="H205" s="39"/>
    </row>
    <row r="206">
      <c r="A206" s="39"/>
      <c r="B206" s="39"/>
      <c r="C206" s="39"/>
      <c r="D206" s="39"/>
      <c r="E206" s="39"/>
      <c r="F206" s="263"/>
      <c r="G206" s="39"/>
      <c r="H206" s="39"/>
    </row>
    <row r="207">
      <c r="A207" s="39"/>
      <c r="B207" s="39"/>
      <c r="C207" s="39"/>
      <c r="D207" s="39"/>
      <c r="E207" s="39"/>
      <c r="F207" s="263"/>
      <c r="G207" s="39"/>
      <c r="H207" s="39"/>
    </row>
    <row r="208">
      <c r="A208" s="39"/>
      <c r="B208" s="39"/>
      <c r="C208" s="39"/>
      <c r="D208" s="39"/>
      <c r="E208" s="39"/>
      <c r="F208" s="263"/>
      <c r="G208" s="39"/>
      <c r="H208" s="39"/>
    </row>
    <row r="209">
      <c r="A209" s="39"/>
      <c r="B209" s="39"/>
      <c r="C209" s="39"/>
      <c r="D209" s="39"/>
      <c r="E209" s="39"/>
      <c r="F209" s="263"/>
      <c r="G209" s="39"/>
      <c r="H209" s="39"/>
    </row>
    <row r="210">
      <c r="A210" s="39"/>
      <c r="B210" s="39"/>
      <c r="C210" s="39"/>
      <c r="D210" s="39"/>
      <c r="E210" s="39"/>
      <c r="F210" s="263"/>
      <c r="G210" s="39"/>
      <c r="H210" s="39"/>
    </row>
    <row r="211">
      <c r="A211" s="39"/>
      <c r="B211" s="39"/>
      <c r="C211" s="39"/>
      <c r="D211" s="39"/>
      <c r="E211" s="39"/>
      <c r="F211" s="263"/>
      <c r="G211" s="39"/>
      <c r="H211" s="39"/>
    </row>
    <row r="212">
      <c r="A212" s="39"/>
      <c r="B212" s="39"/>
      <c r="C212" s="39"/>
      <c r="D212" s="39"/>
      <c r="E212" s="39"/>
      <c r="F212" s="263"/>
      <c r="G212" s="39"/>
      <c r="H212" s="39"/>
    </row>
    <row r="213">
      <c r="A213" s="39"/>
      <c r="B213" s="39"/>
      <c r="C213" s="39"/>
      <c r="D213" s="39"/>
      <c r="E213" s="39"/>
      <c r="F213" s="263"/>
      <c r="G213" s="39"/>
      <c r="H213" s="39"/>
    </row>
    <row r="214">
      <c r="A214" s="39"/>
      <c r="B214" s="39"/>
      <c r="C214" s="39"/>
      <c r="D214" s="39"/>
      <c r="E214" s="39"/>
      <c r="F214" s="263"/>
      <c r="G214" s="39"/>
      <c r="H214" s="39"/>
    </row>
    <row r="215">
      <c r="A215" s="39"/>
      <c r="B215" s="39"/>
      <c r="C215" s="39"/>
      <c r="D215" s="39"/>
      <c r="E215" s="39"/>
      <c r="F215" s="263"/>
      <c r="G215" s="39"/>
      <c r="H215" s="39"/>
    </row>
    <row r="216">
      <c r="A216" s="39"/>
      <c r="B216" s="39"/>
      <c r="C216" s="39"/>
      <c r="D216" s="39"/>
      <c r="E216" s="39"/>
      <c r="F216" s="263"/>
      <c r="G216" s="39"/>
      <c r="H216" s="39"/>
    </row>
    <row r="217">
      <c r="A217" s="39"/>
      <c r="B217" s="39"/>
      <c r="C217" s="39"/>
      <c r="D217" s="39"/>
      <c r="E217" s="39"/>
      <c r="F217" s="263"/>
      <c r="G217" s="39"/>
      <c r="H217" s="39"/>
    </row>
    <row r="218">
      <c r="A218" s="39"/>
      <c r="B218" s="39"/>
      <c r="C218" s="39"/>
      <c r="D218" s="39"/>
      <c r="E218" s="39"/>
      <c r="F218" s="263"/>
      <c r="G218" s="39"/>
      <c r="H218" s="39"/>
    </row>
    <row r="219">
      <c r="A219" s="39"/>
      <c r="B219" s="39"/>
      <c r="C219" s="39"/>
      <c r="D219" s="39"/>
      <c r="E219" s="39"/>
      <c r="F219" s="263"/>
      <c r="G219" s="39"/>
      <c r="H219" s="39"/>
    </row>
    <row r="220">
      <c r="A220" s="39"/>
      <c r="B220" s="39"/>
      <c r="C220" s="39"/>
      <c r="D220" s="39"/>
      <c r="E220" s="39"/>
      <c r="F220" s="263"/>
      <c r="G220" s="39"/>
      <c r="H220" s="39"/>
    </row>
    <row r="221">
      <c r="A221" s="39"/>
      <c r="B221" s="39"/>
      <c r="C221" s="39"/>
      <c r="D221" s="39"/>
      <c r="E221" s="39"/>
      <c r="F221" s="263"/>
      <c r="G221" s="39"/>
      <c r="H221" s="39"/>
    </row>
    <row r="222">
      <c r="A222" s="39"/>
      <c r="B222" s="39"/>
      <c r="C222" s="39"/>
      <c r="D222" s="39"/>
      <c r="E222" s="39"/>
      <c r="F222" s="263"/>
      <c r="G222" s="39"/>
      <c r="H222" s="39"/>
    </row>
    <row r="223">
      <c r="A223" s="39"/>
      <c r="B223" s="39"/>
      <c r="C223" s="39"/>
      <c r="D223" s="39"/>
      <c r="E223" s="39"/>
      <c r="F223" s="263"/>
      <c r="G223" s="39"/>
      <c r="H223" s="39"/>
    </row>
    <row r="224">
      <c r="A224" s="39"/>
      <c r="B224" s="39"/>
      <c r="C224" s="39"/>
      <c r="D224" s="39"/>
      <c r="E224" s="39"/>
      <c r="F224" s="263"/>
      <c r="G224" s="39"/>
      <c r="H224" s="39"/>
    </row>
    <row r="225">
      <c r="A225" s="39"/>
      <c r="B225" s="39"/>
      <c r="C225" s="39"/>
      <c r="D225" s="39"/>
      <c r="E225" s="39"/>
      <c r="F225" s="263"/>
      <c r="G225" s="39"/>
      <c r="H225" s="39"/>
    </row>
    <row r="226">
      <c r="A226" s="39"/>
      <c r="B226" s="39"/>
      <c r="C226" s="39"/>
      <c r="D226" s="39"/>
      <c r="E226" s="39"/>
      <c r="F226" s="263"/>
      <c r="G226" s="39"/>
      <c r="H226" s="39"/>
    </row>
    <row r="227">
      <c r="A227" s="39"/>
      <c r="B227" s="39"/>
      <c r="C227" s="39"/>
      <c r="D227" s="39"/>
      <c r="E227" s="39"/>
      <c r="F227" s="263"/>
      <c r="G227" s="39"/>
      <c r="H227" s="39"/>
    </row>
    <row r="228">
      <c r="A228" s="39"/>
      <c r="B228" s="39"/>
      <c r="C228" s="39"/>
      <c r="D228" s="39"/>
      <c r="E228" s="39"/>
      <c r="F228" s="263"/>
      <c r="G228" s="39"/>
      <c r="H228" s="39"/>
    </row>
    <row r="229">
      <c r="A229" s="39"/>
      <c r="B229" s="39"/>
      <c r="C229" s="39"/>
      <c r="D229" s="39"/>
      <c r="E229" s="39"/>
      <c r="F229" s="263"/>
      <c r="G229" s="39"/>
      <c r="H229" s="39"/>
    </row>
    <row r="230">
      <c r="A230" s="39"/>
      <c r="B230" s="39"/>
      <c r="C230" s="39"/>
      <c r="D230" s="39"/>
      <c r="E230" s="39"/>
      <c r="F230" s="263"/>
      <c r="G230" s="39"/>
      <c r="H230" s="39"/>
    </row>
    <row r="231">
      <c r="A231" s="39"/>
      <c r="B231" s="39"/>
      <c r="C231" s="39"/>
      <c r="D231" s="39"/>
      <c r="E231" s="39"/>
      <c r="F231" s="263"/>
      <c r="G231" s="39"/>
      <c r="H231" s="39"/>
    </row>
    <row r="232">
      <c r="A232" s="39"/>
      <c r="B232" s="39"/>
      <c r="C232" s="39"/>
      <c r="D232" s="39"/>
      <c r="E232" s="39"/>
      <c r="F232" s="263"/>
      <c r="G232" s="39"/>
      <c r="H232" s="39"/>
    </row>
    <row r="233">
      <c r="A233" s="39"/>
      <c r="B233" s="39"/>
      <c r="C233" s="39"/>
      <c r="D233" s="39"/>
      <c r="E233" s="39"/>
      <c r="F233" s="263"/>
      <c r="G233" s="39"/>
      <c r="H233" s="39"/>
    </row>
    <row r="234">
      <c r="A234" s="39"/>
      <c r="B234" s="39"/>
      <c r="C234" s="39"/>
      <c r="D234" s="39"/>
      <c r="E234" s="39"/>
      <c r="F234" s="263"/>
      <c r="G234" s="39"/>
      <c r="H234" s="39"/>
    </row>
    <row r="235">
      <c r="A235" s="39"/>
      <c r="B235" s="39"/>
      <c r="C235" s="39"/>
      <c r="D235" s="39"/>
      <c r="E235" s="39"/>
      <c r="F235" s="263"/>
      <c r="G235" s="39"/>
      <c r="H235" s="39"/>
    </row>
    <row r="236">
      <c r="A236" s="39"/>
      <c r="B236" s="39"/>
      <c r="C236" s="39"/>
      <c r="D236" s="39"/>
      <c r="E236" s="39"/>
      <c r="F236" s="263"/>
      <c r="G236" s="39"/>
      <c r="H236" s="39"/>
    </row>
    <row r="237">
      <c r="A237" s="39"/>
      <c r="B237" s="39"/>
      <c r="C237" s="39"/>
      <c r="D237" s="39"/>
      <c r="E237" s="39"/>
      <c r="F237" s="263"/>
      <c r="G237" s="39"/>
      <c r="H237" s="39"/>
    </row>
    <row r="238">
      <c r="A238" s="39"/>
      <c r="B238" s="39"/>
      <c r="C238" s="39"/>
      <c r="D238" s="39"/>
      <c r="E238" s="39"/>
      <c r="F238" s="263"/>
      <c r="G238" s="39"/>
      <c r="H238" s="39"/>
    </row>
    <row r="239">
      <c r="A239" s="39"/>
      <c r="B239" s="39"/>
      <c r="C239" s="39"/>
      <c r="D239" s="39"/>
      <c r="E239" s="39"/>
      <c r="F239" s="263"/>
      <c r="G239" s="39"/>
      <c r="H239" s="39"/>
    </row>
    <row r="240">
      <c r="A240" s="39"/>
      <c r="B240" s="39"/>
      <c r="C240" s="39"/>
      <c r="D240" s="39"/>
      <c r="E240" s="39"/>
      <c r="F240" s="263"/>
      <c r="G240" s="39"/>
      <c r="H240" s="39"/>
    </row>
    <row r="241">
      <c r="A241" s="39"/>
      <c r="B241" s="39"/>
      <c r="C241" s="39"/>
      <c r="D241" s="39"/>
      <c r="E241" s="39"/>
      <c r="F241" s="263"/>
      <c r="G241" s="39"/>
      <c r="H241" s="39"/>
    </row>
    <row r="242">
      <c r="A242" s="39"/>
      <c r="B242" s="39"/>
      <c r="C242" s="39"/>
      <c r="D242" s="39"/>
      <c r="E242" s="39"/>
      <c r="F242" s="263"/>
      <c r="G242" s="39"/>
      <c r="H242" s="39"/>
    </row>
    <row r="243">
      <c r="A243" s="39"/>
      <c r="B243" s="39"/>
      <c r="C243" s="39"/>
      <c r="D243" s="39"/>
      <c r="E243" s="39"/>
      <c r="F243" s="263"/>
      <c r="G243" s="39"/>
      <c r="H243" s="39"/>
    </row>
    <row r="244">
      <c r="A244" s="39"/>
      <c r="B244" s="39"/>
      <c r="C244" s="39"/>
      <c r="D244" s="39"/>
      <c r="E244" s="39"/>
      <c r="F244" s="263"/>
      <c r="G244" s="39"/>
      <c r="H244" s="39"/>
    </row>
    <row r="245">
      <c r="A245" s="39"/>
      <c r="B245" s="39"/>
      <c r="C245" s="39"/>
      <c r="D245" s="39"/>
      <c r="E245" s="39"/>
      <c r="F245" s="263"/>
      <c r="G245" s="39"/>
      <c r="H245" s="39"/>
    </row>
    <row r="246">
      <c r="A246" s="39"/>
      <c r="B246" s="39"/>
      <c r="C246" s="39"/>
      <c r="D246" s="39"/>
      <c r="E246" s="39"/>
      <c r="F246" s="263"/>
      <c r="G246" s="39"/>
      <c r="H246" s="39"/>
    </row>
    <row r="247">
      <c r="A247" s="39"/>
      <c r="B247" s="39"/>
      <c r="C247" s="39"/>
      <c r="D247" s="39"/>
      <c r="E247" s="39"/>
      <c r="F247" s="263"/>
      <c r="G247" s="39"/>
      <c r="H247" s="39"/>
    </row>
    <row r="248">
      <c r="A248" s="39"/>
      <c r="B248" s="39"/>
      <c r="C248" s="39"/>
      <c r="D248" s="39"/>
      <c r="E248" s="39"/>
      <c r="F248" s="263"/>
      <c r="G248" s="39"/>
      <c r="H248" s="39"/>
    </row>
    <row r="249">
      <c r="A249" s="39"/>
      <c r="B249" s="39"/>
      <c r="C249" s="39"/>
      <c r="D249" s="39"/>
      <c r="E249" s="39"/>
      <c r="F249" s="263"/>
      <c r="G249" s="39"/>
      <c r="H249" s="39"/>
    </row>
    <row r="250">
      <c r="A250" s="39"/>
      <c r="B250" s="39"/>
      <c r="C250" s="39"/>
      <c r="D250" s="39"/>
      <c r="E250" s="39"/>
      <c r="F250" s="263"/>
      <c r="G250" s="39"/>
      <c r="H250" s="39"/>
    </row>
    <row r="251">
      <c r="A251" s="39"/>
      <c r="B251" s="39"/>
      <c r="C251" s="39"/>
      <c r="D251" s="39"/>
      <c r="E251" s="39"/>
      <c r="F251" s="263"/>
      <c r="G251" s="39"/>
      <c r="H251" s="39"/>
    </row>
    <row r="252">
      <c r="A252" s="39"/>
      <c r="B252" s="39"/>
      <c r="C252" s="39"/>
      <c r="D252" s="39"/>
      <c r="E252" s="39"/>
      <c r="F252" s="263"/>
      <c r="G252" s="39"/>
      <c r="H252" s="39"/>
    </row>
    <row r="253">
      <c r="A253" s="39"/>
      <c r="B253" s="39"/>
      <c r="C253" s="39"/>
      <c r="D253" s="39"/>
      <c r="E253" s="39"/>
      <c r="F253" s="263"/>
      <c r="G253" s="39"/>
      <c r="H253" s="39"/>
    </row>
    <row r="254">
      <c r="A254" s="39"/>
      <c r="B254" s="39"/>
      <c r="C254" s="39"/>
      <c r="D254" s="39"/>
      <c r="E254" s="39"/>
      <c r="F254" s="263"/>
      <c r="G254" s="39"/>
      <c r="H254" s="39"/>
    </row>
    <row r="255">
      <c r="A255" s="39"/>
      <c r="B255" s="39"/>
      <c r="C255" s="39"/>
      <c r="D255" s="39"/>
      <c r="E255" s="39"/>
      <c r="F255" s="263"/>
      <c r="G255" s="39"/>
      <c r="H255" s="39"/>
    </row>
    <row r="256">
      <c r="A256" s="39"/>
      <c r="B256" s="39"/>
      <c r="C256" s="39"/>
      <c r="D256" s="39"/>
      <c r="E256" s="39"/>
      <c r="F256" s="263"/>
      <c r="G256" s="39"/>
      <c r="H256" s="39"/>
    </row>
    <row r="257">
      <c r="A257" s="39"/>
      <c r="B257" s="39"/>
      <c r="C257" s="39"/>
      <c r="D257" s="39"/>
      <c r="E257" s="39"/>
      <c r="F257" s="263"/>
      <c r="G257" s="39"/>
      <c r="H257" s="39"/>
    </row>
    <row r="258">
      <c r="A258" s="39"/>
      <c r="B258" s="39"/>
      <c r="C258" s="39"/>
      <c r="D258" s="39"/>
      <c r="E258" s="39"/>
      <c r="F258" s="263"/>
      <c r="G258" s="39"/>
      <c r="H258" s="39"/>
    </row>
    <row r="259">
      <c r="A259" s="39"/>
      <c r="B259" s="39"/>
      <c r="C259" s="39"/>
      <c r="D259" s="39"/>
      <c r="E259" s="39"/>
      <c r="F259" s="263"/>
      <c r="G259" s="39"/>
      <c r="H259" s="39"/>
    </row>
    <row r="260">
      <c r="A260" s="39"/>
      <c r="B260" s="39"/>
      <c r="C260" s="39"/>
      <c r="D260" s="39"/>
      <c r="E260" s="39"/>
      <c r="F260" s="263"/>
      <c r="G260" s="39"/>
      <c r="H260" s="39"/>
    </row>
    <row r="261">
      <c r="A261" s="39"/>
      <c r="B261" s="39"/>
      <c r="C261" s="39"/>
      <c r="D261" s="39"/>
      <c r="E261" s="39"/>
      <c r="F261" s="263"/>
      <c r="G261" s="39"/>
      <c r="H261" s="39"/>
    </row>
    <row r="262">
      <c r="A262" s="39"/>
      <c r="B262" s="39"/>
      <c r="C262" s="39"/>
      <c r="D262" s="39"/>
      <c r="E262" s="39"/>
      <c r="F262" s="263"/>
      <c r="G262" s="39"/>
      <c r="H262" s="39"/>
    </row>
    <row r="263">
      <c r="A263" s="39"/>
      <c r="B263" s="39"/>
      <c r="C263" s="39"/>
      <c r="D263" s="39"/>
      <c r="E263" s="39"/>
      <c r="F263" s="263"/>
      <c r="G263" s="39"/>
      <c r="H263" s="39"/>
    </row>
    <row r="264">
      <c r="A264" s="39"/>
      <c r="B264" s="39"/>
      <c r="C264" s="39"/>
      <c r="D264" s="39"/>
      <c r="E264" s="39"/>
      <c r="F264" s="263"/>
      <c r="G264" s="39"/>
      <c r="H264" s="39"/>
    </row>
    <row r="265">
      <c r="A265" s="39"/>
      <c r="B265" s="39"/>
      <c r="C265" s="39"/>
      <c r="D265" s="39"/>
      <c r="E265" s="39"/>
      <c r="F265" s="263"/>
      <c r="G265" s="39"/>
      <c r="H265" s="39"/>
    </row>
    <row r="266">
      <c r="A266" s="39"/>
      <c r="B266" s="39"/>
      <c r="C266" s="39"/>
      <c r="D266" s="39"/>
      <c r="E266" s="39"/>
      <c r="F266" s="263"/>
      <c r="G266" s="39"/>
      <c r="H266" s="39"/>
    </row>
    <row r="267">
      <c r="A267" s="39"/>
      <c r="B267" s="39"/>
      <c r="C267" s="39"/>
      <c r="D267" s="39"/>
      <c r="E267" s="39"/>
      <c r="F267" s="263"/>
      <c r="G267" s="39"/>
      <c r="H267" s="39"/>
    </row>
    <row r="268">
      <c r="A268" s="39"/>
      <c r="B268" s="39"/>
      <c r="C268" s="39"/>
      <c r="D268" s="39"/>
      <c r="E268" s="39"/>
      <c r="F268" s="263"/>
      <c r="G268" s="39"/>
      <c r="H268" s="39"/>
    </row>
    <row r="269">
      <c r="A269" s="39"/>
      <c r="B269" s="39"/>
      <c r="C269" s="39"/>
      <c r="D269" s="39"/>
      <c r="E269" s="39"/>
      <c r="F269" s="263"/>
      <c r="G269" s="39"/>
      <c r="H269" s="39"/>
    </row>
    <row r="270">
      <c r="A270" s="39"/>
      <c r="B270" s="39"/>
      <c r="C270" s="39"/>
      <c r="D270" s="39"/>
      <c r="E270" s="39"/>
      <c r="F270" s="263"/>
      <c r="G270" s="39"/>
      <c r="H270" s="39"/>
    </row>
    <row r="271">
      <c r="A271" s="39"/>
      <c r="B271" s="39"/>
      <c r="C271" s="39"/>
      <c r="D271" s="39"/>
      <c r="E271" s="39"/>
      <c r="F271" s="263"/>
      <c r="G271" s="39"/>
      <c r="H271" s="39"/>
    </row>
    <row r="272">
      <c r="A272" s="39"/>
      <c r="B272" s="39"/>
      <c r="C272" s="39"/>
      <c r="D272" s="39"/>
      <c r="E272" s="39"/>
      <c r="F272" s="263"/>
      <c r="G272" s="39"/>
      <c r="H272" s="39"/>
    </row>
    <row r="273">
      <c r="A273" s="39"/>
      <c r="B273" s="39"/>
      <c r="C273" s="39"/>
      <c r="D273" s="39"/>
      <c r="E273" s="39"/>
      <c r="F273" s="263"/>
      <c r="G273" s="39"/>
      <c r="H273" s="39"/>
    </row>
    <row r="274">
      <c r="A274" s="39"/>
      <c r="B274" s="39"/>
      <c r="C274" s="39"/>
      <c r="D274" s="39"/>
      <c r="E274" s="39"/>
      <c r="F274" s="263"/>
      <c r="G274" s="39"/>
      <c r="H274" s="39"/>
    </row>
    <row r="275">
      <c r="A275" s="39"/>
      <c r="B275" s="39"/>
      <c r="C275" s="39"/>
      <c r="D275" s="39"/>
      <c r="E275" s="39"/>
      <c r="F275" s="263"/>
      <c r="G275" s="39"/>
      <c r="H275" s="39"/>
    </row>
    <row r="276">
      <c r="A276" s="39"/>
      <c r="B276" s="39"/>
      <c r="C276" s="39"/>
      <c r="D276" s="39"/>
      <c r="E276" s="39"/>
      <c r="F276" s="263"/>
      <c r="G276" s="39"/>
      <c r="H276" s="39"/>
    </row>
    <row r="277">
      <c r="A277" s="39"/>
      <c r="B277" s="39"/>
      <c r="C277" s="39"/>
      <c r="D277" s="39"/>
      <c r="E277" s="39"/>
      <c r="F277" s="263"/>
      <c r="G277" s="39"/>
      <c r="H277" s="39"/>
    </row>
    <row r="278">
      <c r="A278" s="39"/>
      <c r="B278" s="39"/>
      <c r="C278" s="39"/>
      <c r="D278" s="39"/>
      <c r="E278" s="39"/>
      <c r="F278" s="263"/>
      <c r="G278" s="39"/>
      <c r="H278" s="39"/>
    </row>
    <row r="279">
      <c r="A279" s="39"/>
      <c r="B279" s="39"/>
      <c r="C279" s="39"/>
      <c r="D279" s="39"/>
      <c r="E279" s="39"/>
      <c r="F279" s="263"/>
      <c r="G279" s="39"/>
      <c r="H279" s="39"/>
    </row>
    <row r="280">
      <c r="A280" s="39"/>
      <c r="B280" s="39"/>
      <c r="C280" s="39"/>
      <c r="D280" s="39"/>
      <c r="E280" s="39"/>
      <c r="F280" s="263"/>
      <c r="G280" s="39"/>
      <c r="H280" s="39"/>
    </row>
    <row r="281">
      <c r="A281" s="39"/>
      <c r="B281" s="39"/>
      <c r="C281" s="39"/>
      <c r="D281" s="39"/>
      <c r="E281" s="39"/>
      <c r="F281" s="263"/>
      <c r="G281" s="39"/>
      <c r="H281" s="39"/>
    </row>
    <row r="282">
      <c r="A282" s="39"/>
      <c r="B282" s="39"/>
      <c r="C282" s="39"/>
      <c r="D282" s="39"/>
      <c r="E282" s="39"/>
      <c r="F282" s="263"/>
      <c r="G282" s="39"/>
      <c r="H282" s="39"/>
    </row>
    <row r="283">
      <c r="A283" s="39"/>
      <c r="B283" s="39"/>
      <c r="C283" s="39"/>
      <c r="D283" s="39"/>
      <c r="E283" s="39"/>
      <c r="F283" s="263"/>
      <c r="G283" s="39"/>
      <c r="H283" s="39"/>
    </row>
    <row r="284">
      <c r="A284" s="39"/>
      <c r="B284" s="39"/>
      <c r="C284" s="39"/>
      <c r="D284" s="39"/>
      <c r="E284" s="39"/>
      <c r="F284" s="263"/>
      <c r="G284" s="39"/>
      <c r="H284" s="39"/>
    </row>
    <row r="285">
      <c r="A285" s="39"/>
      <c r="B285" s="39"/>
      <c r="C285" s="39"/>
      <c r="D285" s="39"/>
      <c r="E285" s="39"/>
      <c r="F285" s="263"/>
      <c r="G285" s="39"/>
      <c r="H285" s="39"/>
    </row>
    <row r="286">
      <c r="A286" s="39"/>
      <c r="B286" s="39"/>
      <c r="C286" s="39"/>
      <c r="D286" s="39"/>
      <c r="E286" s="39"/>
      <c r="F286" s="263"/>
      <c r="G286" s="39"/>
      <c r="H286" s="39"/>
    </row>
    <row r="287">
      <c r="A287" s="39"/>
      <c r="B287" s="39"/>
      <c r="C287" s="39"/>
      <c r="D287" s="39"/>
      <c r="E287" s="39"/>
      <c r="F287" s="263"/>
      <c r="G287" s="39"/>
      <c r="H287" s="39"/>
    </row>
    <row r="288">
      <c r="A288" s="39"/>
      <c r="B288" s="39"/>
      <c r="C288" s="39"/>
      <c r="D288" s="39"/>
      <c r="E288" s="39"/>
      <c r="F288" s="263"/>
      <c r="G288" s="39"/>
      <c r="H288" s="39"/>
    </row>
    <row r="289">
      <c r="A289" s="39"/>
      <c r="B289" s="39"/>
      <c r="C289" s="39"/>
      <c r="D289" s="39"/>
      <c r="E289" s="39"/>
      <c r="F289" s="263"/>
      <c r="G289" s="39"/>
      <c r="H289" s="39"/>
    </row>
    <row r="290">
      <c r="A290" s="39"/>
      <c r="B290" s="39"/>
      <c r="C290" s="39"/>
      <c r="D290" s="39"/>
      <c r="E290" s="39"/>
      <c r="F290" s="263"/>
      <c r="G290" s="39"/>
      <c r="H290" s="39"/>
    </row>
    <row r="291">
      <c r="A291" s="39"/>
      <c r="B291" s="39"/>
      <c r="C291" s="39"/>
      <c r="D291" s="39"/>
      <c r="E291" s="39"/>
      <c r="F291" s="263"/>
      <c r="G291" s="39"/>
      <c r="H291" s="39"/>
    </row>
    <row r="292">
      <c r="A292" s="39"/>
      <c r="B292" s="39"/>
      <c r="C292" s="39"/>
      <c r="D292" s="39"/>
      <c r="E292" s="39"/>
      <c r="F292" s="263"/>
      <c r="G292" s="39"/>
      <c r="H292" s="39"/>
    </row>
    <row r="293">
      <c r="A293" s="39"/>
      <c r="B293" s="39"/>
      <c r="C293" s="39"/>
      <c r="D293" s="39"/>
      <c r="E293" s="39"/>
      <c r="F293" s="263"/>
      <c r="G293" s="39"/>
      <c r="H293" s="39"/>
    </row>
    <row r="294">
      <c r="A294" s="39"/>
      <c r="B294" s="39"/>
      <c r="C294" s="39"/>
      <c r="D294" s="39"/>
      <c r="E294" s="39"/>
      <c r="F294" s="263"/>
      <c r="G294" s="39"/>
      <c r="H294" s="39"/>
    </row>
    <row r="295">
      <c r="A295" s="39"/>
      <c r="B295" s="39"/>
      <c r="C295" s="39"/>
      <c r="D295" s="39"/>
      <c r="E295" s="39"/>
      <c r="F295" s="263"/>
      <c r="G295" s="39"/>
      <c r="H295" s="39"/>
    </row>
    <row r="296">
      <c r="A296" s="39"/>
      <c r="B296" s="39"/>
      <c r="C296" s="39"/>
      <c r="D296" s="39"/>
      <c r="E296" s="39"/>
      <c r="F296" s="263"/>
      <c r="G296" s="39"/>
      <c r="H296" s="39"/>
    </row>
    <row r="297">
      <c r="A297" s="39"/>
      <c r="B297" s="39"/>
      <c r="C297" s="39"/>
      <c r="D297" s="39"/>
      <c r="E297" s="39"/>
      <c r="F297" s="263"/>
      <c r="G297" s="39"/>
      <c r="H297" s="39"/>
    </row>
    <row r="298">
      <c r="A298" s="39"/>
      <c r="B298" s="39"/>
      <c r="C298" s="39"/>
      <c r="D298" s="39"/>
      <c r="E298" s="39"/>
      <c r="F298" s="263"/>
      <c r="G298" s="39"/>
      <c r="H298" s="39"/>
    </row>
    <row r="299">
      <c r="A299" s="39"/>
      <c r="B299" s="39"/>
      <c r="C299" s="39"/>
      <c r="D299" s="39"/>
      <c r="E299" s="39"/>
      <c r="F299" s="263"/>
      <c r="G299" s="39"/>
      <c r="H299" s="39"/>
    </row>
    <row r="300">
      <c r="A300" s="39"/>
      <c r="B300" s="39"/>
      <c r="C300" s="39"/>
      <c r="D300" s="39"/>
      <c r="E300" s="39"/>
      <c r="F300" s="263"/>
      <c r="G300" s="39"/>
      <c r="H300" s="39"/>
    </row>
    <row r="301">
      <c r="A301" s="39"/>
      <c r="B301" s="39"/>
      <c r="C301" s="39"/>
      <c r="D301" s="39"/>
      <c r="E301" s="39"/>
      <c r="F301" s="263"/>
      <c r="G301" s="39"/>
      <c r="H301" s="39"/>
    </row>
    <row r="302">
      <c r="A302" s="39"/>
      <c r="B302" s="39"/>
      <c r="C302" s="39"/>
      <c r="D302" s="39"/>
      <c r="E302" s="39"/>
      <c r="F302" s="263"/>
      <c r="G302" s="39"/>
      <c r="H302" s="39"/>
    </row>
    <row r="303">
      <c r="A303" s="39"/>
      <c r="B303" s="39"/>
      <c r="C303" s="39"/>
      <c r="D303" s="39"/>
      <c r="E303" s="39"/>
      <c r="F303" s="263"/>
      <c r="G303" s="39"/>
      <c r="H303" s="39"/>
    </row>
    <row r="304">
      <c r="A304" s="39"/>
      <c r="B304" s="39"/>
      <c r="C304" s="39"/>
      <c r="D304" s="39"/>
      <c r="E304" s="39"/>
      <c r="F304" s="263"/>
      <c r="G304" s="39"/>
      <c r="H304" s="39"/>
    </row>
    <row r="305">
      <c r="A305" s="39"/>
      <c r="B305" s="39"/>
      <c r="C305" s="39"/>
      <c r="D305" s="39"/>
      <c r="E305" s="39"/>
      <c r="F305" s="263"/>
      <c r="G305" s="39"/>
      <c r="H305" s="39"/>
    </row>
    <row r="306">
      <c r="A306" s="39"/>
      <c r="B306" s="39"/>
      <c r="C306" s="39"/>
      <c r="D306" s="39"/>
      <c r="E306" s="39"/>
      <c r="F306" s="263"/>
      <c r="G306" s="39"/>
      <c r="H306" s="39"/>
    </row>
    <row r="307">
      <c r="A307" s="39"/>
      <c r="B307" s="39"/>
      <c r="C307" s="39"/>
      <c r="D307" s="39"/>
      <c r="E307" s="39"/>
      <c r="F307" s="263"/>
      <c r="G307" s="39"/>
      <c r="H307" s="39"/>
    </row>
    <row r="308">
      <c r="A308" s="39"/>
      <c r="B308" s="39"/>
      <c r="C308" s="39"/>
      <c r="D308" s="39"/>
      <c r="E308" s="39"/>
      <c r="F308" s="263"/>
      <c r="G308" s="39"/>
      <c r="H308" s="39"/>
    </row>
    <row r="309">
      <c r="A309" s="39"/>
      <c r="B309" s="39"/>
      <c r="C309" s="39"/>
      <c r="D309" s="39"/>
      <c r="E309" s="39"/>
      <c r="F309" s="263"/>
      <c r="G309" s="39"/>
      <c r="H309" s="39"/>
    </row>
    <row r="310">
      <c r="A310" s="39"/>
      <c r="B310" s="39"/>
      <c r="C310" s="39"/>
      <c r="D310" s="39"/>
      <c r="E310" s="39"/>
      <c r="F310" s="263"/>
      <c r="G310" s="39"/>
      <c r="H310" s="39"/>
    </row>
    <row r="311">
      <c r="A311" s="39"/>
      <c r="B311" s="39"/>
      <c r="C311" s="39"/>
      <c r="D311" s="39"/>
      <c r="E311" s="39"/>
      <c r="F311" s="263"/>
      <c r="G311" s="39"/>
      <c r="H311" s="39"/>
    </row>
    <row r="312">
      <c r="A312" s="39"/>
      <c r="B312" s="39"/>
      <c r="C312" s="39"/>
      <c r="D312" s="39"/>
      <c r="E312" s="39"/>
      <c r="F312" s="263"/>
      <c r="G312" s="39"/>
      <c r="H312" s="39"/>
    </row>
    <row r="313">
      <c r="A313" s="39"/>
      <c r="B313" s="39"/>
      <c r="C313" s="39"/>
      <c r="D313" s="39"/>
      <c r="E313" s="39"/>
      <c r="F313" s="263"/>
      <c r="G313" s="39"/>
      <c r="H313" s="39"/>
    </row>
    <row r="314">
      <c r="A314" s="39"/>
      <c r="B314" s="39"/>
      <c r="C314" s="39"/>
      <c r="D314" s="39"/>
      <c r="E314" s="39"/>
      <c r="F314" s="263"/>
      <c r="G314" s="39"/>
      <c r="H314" s="39"/>
    </row>
    <row r="315">
      <c r="A315" s="39"/>
      <c r="B315" s="39"/>
      <c r="C315" s="39"/>
      <c r="D315" s="39"/>
      <c r="E315" s="39"/>
      <c r="F315" s="263"/>
      <c r="G315" s="39"/>
      <c r="H315" s="39"/>
    </row>
    <row r="316">
      <c r="A316" s="39"/>
      <c r="B316" s="39"/>
      <c r="C316" s="39"/>
      <c r="D316" s="39"/>
      <c r="E316" s="39"/>
      <c r="F316" s="263"/>
      <c r="G316" s="39"/>
      <c r="H316" s="39"/>
    </row>
    <row r="317">
      <c r="A317" s="39"/>
      <c r="B317" s="39"/>
      <c r="C317" s="39"/>
      <c r="D317" s="39"/>
      <c r="E317" s="39"/>
      <c r="F317" s="263"/>
      <c r="G317" s="39"/>
      <c r="H317" s="39"/>
    </row>
    <row r="318">
      <c r="A318" s="39"/>
      <c r="B318" s="39"/>
      <c r="C318" s="39"/>
      <c r="D318" s="39"/>
      <c r="E318" s="39"/>
      <c r="F318" s="263"/>
      <c r="G318" s="39"/>
      <c r="H318" s="39"/>
    </row>
    <row r="319">
      <c r="A319" s="39"/>
      <c r="B319" s="39"/>
      <c r="C319" s="39"/>
      <c r="D319" s="39"/>
      <c r="E319" s="39"/>
      <c r="F319" s="263"/>
      <c r="G319" s="39"/>
      <c r="H319" s="39"/>
    </row>
    <row r="320">
      <c r="A320" s="39"/>
      <c r="B320" s="39"/>
      <c r="C320" s="39"/>
      <c r="D320" s="39"/>
      <c r="E320" s="39"/>
      <c r="F320" s="263"/>
      <c r="G320" s="39"/>
      <c r="H320" s="39"/>
    </row>
    <row r="321">
      <c r="A321" s="39"/>
      <c r="B321" s="39"/>
      <c r="C321" s="39"/>
      <c r="D321" s="39"/>
      <c r="E321" s="39"/>
      <c r="F321" s="263"/>
      <c r="G321" s="39"/>
      <c r="H321" s="39"/>
    </row>
    <row r="322">
      <c r="A322" s="39"/>
      <c r="B322" s="39"/>
      <c r="C322" s="39"/>
      <c r="D322" s="39"/>
      <c r="E322" s="39"/>
      <c r="F322" s="263"/>
      <c r="G322" s="39"/>
      <c r="H322" s="39"/>
    </row>
    <row r="323">
      <c r="A323" s="39"/>
      <c r="B323" s="39"/>
      <c r="C323" s="39"/>
      <c r="D323" s="39"/>
      <c r="E323" s="39"/>
      <c r="F323" s="263"/>
      <c r="G323" s="39"/>
      <c r="H323" s="39"/>
    </row>
    <row r="324">
      <c r="A324" s="39"/>
      <c r="B324" s="39"/>
      <c r="C324" s="39"/>
      <c r="D324" s="39"/>
      <c r="E324" s="39"/>
      <c r="F324" s="263"/>
      <c r="G324" s="39"/>
      <c r="H324" s="39"/>
    </row>
    <row r="325">
      <c r="A325" s="39"/>
      <c r="B325" s="39"/>
      <c r="C325" s="39"/>
      <c r="D325" s="39"/>
      <c r="E325" s="39"/>
      <c r="F325" s="263"/>
      <c r="G325" s="39"/>
      <c r="H325" s="39"/>
    </row>
    <row r="326">
      <c r="A326" s="39"/>
      <c r="B326" s="39"/>
      <c r="C326" s="39"/>
      <c r="D326" s="39"/>
      <c r="E326" s="39"/>
      <c r="F326" s="263"/>
      <c r="G326" s="39"/>
      <c r="H326" s="39"/>
    </row>
    <row r="327">
      <c r="A327" s="39"/>
      <c r="B327" s="39"/>
      <c r="C327" s="39"/>
      <c r="D327" s="39"/>
      <c r="E327" s="39"/>
      <c r="F327" s="263"/>
      <c r="G327" s="39"/>
      <c r="H327" s="39"/>
    </row>
    <row r="328">
      <c r="A328" s="39"/>
      <c r="B328" s="39"/>
      <c r="C328" s="39"/>
      <c r="D328" s="39"/>
      <c r="E328" s="39"/>
      <c r="F328" s="263"/>
      <c r="G328" s="39"/>
      <c r="H328" s="39"/>
    </row>
    <row r="329">
      <c r="A329" s="39"/>
      <c r="B329" s="39"/>
      <c r="C329" s="39"/>
      <c r="D329" s="39"/>
      <c r="E329" s="39"/>
      <c r="F329" s="263"/>
      <c r="G329" s="39"/>
      <c r="H329" s="39"/>
    </row>
    <row r="330">
      <c r="A330" s="39"/>
      <c r="B330" s="39"/>
      <c r="C330" s="39"/>
      <c r="D330" s="39"/>
      <c r="E330" s="39"/>
      <c r="F330" s="263"/>
      <c r="G330" s="39"/>
      <c r="H330" s="39"/>
    </row>
    <row r="331">
      <c r="A331" s="39"/>
      <c r="B331" s="39"/>
      <c r="C331" s="39"/>
      <c r="D331" s="39"/>
      <c r="E331" s="39"/>
      <c r="F331" s="263"/>
      <c r="G331" s="39"/>
      <c r="H331" s="39"/>
    </row>
    <row r="332">
      <c r="A332" s="39"/>
      <c r="B332" s="39"/>
      <c r="C332" s="39"/>
      <c r="D332" s="39"/>
      <c r="E332" s="39"/>
      <c r="F332" s="263"/>
      <c r="G332" s="39"/>
      <c r="H332" s="39"/>
    </row>
    <row r="333">
      <c r="A333" s="39"/>
      <c r="B333" s="39"/>
      <c r="C333" s="39"/>
      <c r="D333" s="39"/>
      <c r="E333" s="39"/>
      <c r="F333" s="263"/>
      <c r="G333" s="39"/>
      <c r="H333" s="39"/>
    </row>
    <row r="334">
      <c r="A334" s="39"/>
      <c r="B334" s="39"/>
      <c r="C334" s="39"/>
      <c r="D334" s="39"/>
      <c r="E334" s="39"/>
      <c r="F334" s="263"/>
      <c r="G334" s="39"/>
      <c r="H334" s="39"/>
    </row>
    <row r="335">
      <c r="A335" s="39"/>
      <c r="B335" s="39"/>
      <c r="C335" s="39"/>
      <c r="D335" s="39"/>
      <c r="E335" s="39"/>
      <c r="F335" s="263"/>
      <c r="G335" s="39"/>
      <c r="H335" s="39"/>
    </row>
    <row r="336">
      <c r="A336" s="39"/>
      <c r="B336" s="39"/>
      <c r="C336" s="39"/>
      <c r="D336" s="39"/>
      <c r="E336" s="39"/>
      <c r="F336" s="263"/>
      <c r="G336" s="39"/>
      <c r="H336" s="39"/>
    </row>
    <row r="337">
      <c r="A337" s="39"/>
      <c r="B337" s="39"/>
      <c r="C337" s="39"/>
      <c r="D337" s="39"/>
      <c r="E337" s="39"/>
      <c r="F337" s="263"/>
      <c r="G337" s="39"/>
      <c r="H337" s="39"/>
    </row>
    <row r="338">
      <c r="A338" s="39"/>
      <c r="B338" s="39"/>
      <c r="C338" s="39"/>
      <c r="D338" s="39"/>
      <c r="E338" s="39"/>
      <c r="F338" s="263"/>
      <c r="G338" s="39"/>
      <c r="H338" s="39"/>
    </row>
    <row r="339">
      <c r="A339" s="39"/>
      <c r="B339" s="39"/>
      <c r="C339" s="39"/>
      <c r="D339" s="39"/>
      <c r="E339" s="39"/>
      <c r="F339" s="263"/>
      <c r="G339" s="39"/>
      <c r="H339" s="39"/>
    </row>
    <row r="340">
      <c r="A340" s="39"/>
      <c r="B340" s="39"/>
      <c r="C340" s="39"/>
      <c r="D340" s="39"/>
      <c r="E340" s="39"/>
      <c r="F340" s="263"/>
      <c r="G340" s="39"/>
      <c r="H340" s="39"/>
    </row>
    <row r="341">
      <c r="A341" s="39"/>
      <c r="B341" s="39"/>
      <c r="C341" s="39"/>
      <c r="D341" s="39"/>
      <c r="E341" s="39"/>
      <c r="F341" s="263"/>
      <c r="G341" s="39"/>
      <c r="H341" s="39"/>
    </row>
    <row r="342">
      <c r="A342" s="39"/>
      <c r="B342" s="39"/>
      <c r="C342" s="39"/>
      <c r="D342" s="39"/>
      <c r="E342" s="39"/>
      <c r="F342" s="263"/>
      <c r="G342" s="39"/>
      <c r="H342" s="39"/>
    </row>
    <row r="343">
      <c r="A343" s="39"/>
      <c r="B343" s="39"/>
      <c r="C343" s="39"/>
      <c r="D343" s="39"/>
      <c r="E343" s="39"/>
      <c r="F343" s="263"/>
      <c r="G343" s="39"/>
      <c r="H343" s="39"/>
    </row>
    <row r="344">
      <c r="A344" s="39"/>
      <c r="B344" s="39"/>
      <c r="C344" s="39"/>
      <c r="D344" s="39"/>
      <c r="E344" s="39"/>
      <c r="F344" s="263"/>
      <c r="G344" s="39"/>
      <c r="H344" s="39"/>
    </row>
    <row r="345">
      <c r="A345" s="39"/>
      <c r="B345" s="39"/>
      <c r="C345" s="39"/>
      <c r="D345" s="39"/>
      <c r="E345" s="39"/>
      <c r="F345" s="263"/>
      <c r="G345" s="39"/>
      <c r="H345" s="39"/>
    </row>
    <row r="346">
      <c r="A346" s="39"/>
      <c r="B346" s="39"/>
      <c r="C346" s="39"/>
      <c r="D346" s="39"/>
      <c r="E346" s="39"/>
      <c r="F346" s="263"/>
      <c r="G346" s="39"/>
      <c r="H346" s="39"/>
    </row>
    <row r="347">
      <c r="A347" s="39"/>
      <c r="B347" s="39"/>
      <c r="C347" s="39"/>
      <c r="D347" s="39"/>
      <c r="E347" s="39"/>
      <c r="F347" s="263"/>
      <c r="G347" s="39"/>
      <c r="H347" s="39"/>
    </row>
    <row r="348">
      <c r="A348" s="39"/>
      <c r="B348" s="39"/>
      <c r="C348" s="39"/>
      <c r="D348" s="39"/>
      <c r="E348" s="39"/>
      <c r="F348" s="263"/>
      <c r="G348" s="39"/>
      <c r="H348" s="39"/>
    </row>
    <row r="349">
      <c r="A349" s="39"/>
      <c r="B349" s="39"/>
      <c r="C349" s="39"/>
      <c r="D349" s="39"/>
      <c r="E349" s="39"/>
      <c r="F349" s="263"/>
      <c r="G349" s="39"/>
      <c r="H349" s="39"/>
    </row>
    <row r="350">
      <c r="A350" s="39"/>
      <c r="B350" s="39"/>
      <c r="C350" s="39"/>
      <c r="D350" s="39"/>
      <c r="E350" s="39"/>
      <c r="F350" s="263"/>
      <c r="G350" s="39"/>
      <c r="H350" s="39"/>
    </row>
    <row r="351">
      <c r="A351" s="39"/>
      <c r="B351" s="39"/>
      <c r="C351" s="39"/>
      <c r="D351" s="39"/>
      <c r="E351" s="39"/>
      <c r="F351" s="263"/>
      <c r="G351" s="39"/>
      <c r="H351" s="39"/>
    </row>
    <row r="352">
      <c r="A352" s="39"/>
      <c r="B352" s="39"/>
      <c r="C352" s="39"/>
      <c r="D352" s="39"/>
      <c r="E352" s="39"/>
      <c r="F352" s="263"/>
      <c r="G352" s="39"/>
      <c r="H352" s="39"/>
    </row>
    <row r="353">
      <c r="A353" s="39"/>
      <c r="B353" s="39"/>
      <c r="C353" s="39"/>
      <c r="D353" s="39"/>
      <c r="E353" s="39"/>
      <c r="F353" s="263"/>
      <c r="G353" s="39"/>
      <c r="H353" s="39"/>
    </row>
    <row r="354">
      <c r="A354" s="39"/>
      <c r="B354" s="39"/>
      <c r="C354" s="39"/>
      <c r="D354" s="39"/>
      <c r="E354" s="39"/>
      <c r="F354" s="263"/>
      <c r="G354" s="39"/>
      <c r="H354" s="39"/>
    </row>
    <row r="355">
      <c r="A355" s="39"/>
      <c r="B355" s="39"/>
      <c r="C355" s="39"/>
      <c r="D355" s="39"/>
      <c r="E355" s="39"/>
      <c r="F355" s="263"/>
      <c r="G355" s="39"/>
      <c r="H355" s="39"/>
    </row>
    <row r="356">
      <c r="A356" s="39"/>
      <c r="B356" s="39"/>
      <c r="C356" s="39"/>
      <c r="D356" s="39"/>
      <c r="E356" s="39"/>
      <c r="F356" s="263"/>
      <c r="G356" s="39"/>
      <c r="H356" s="39"/>
    </row>
    <row r="357">
      <c r="A357" s="39"/>
      <c r="B357" s="39"/>
      <c r="C357" s="39"/>
      <c r="D357" s="39"/>
      <c r="E357" s="39"/>
      <c r="F357" s="263"/>
      <c r="G357" s="39"/>
      <c r="H357" s="39"/>
    </row>
    <row r="358">
      <c r="A358" s="39"/>
      <c r="B358" s="39"/>
      <c r="C358" s="39"/>
      <c r="D358" s="39"/>
      <c r="E358" s="39"/>
      <c r="F358" s="263"/>
      <c r="G358" s="39"/>
      <c r="H358" s="39"/>
    </row>
    <row r="359">
      <c r="A359" s="39"/>
      <c r="B359" s="39"/>
      <c r="C359" s="39"/>
      <c r="D359" s="39"/>
      <c r="E359" s="39"/>
      <c r="F359" s="263"/>
      <c r="G359" s="39"/>
      <c r="H359" s="39"/>
    </row>
    <row r="360">
      <c r="A360" s="39"/>
      <c r="B360" s="39"/>
      <c r="C360" s="39"/>
      <c r="D360" s="39"/>
      <c r="E360" s="39"/>
      <c r="F360" s="263"/>
      <c r="G360" s="39"/>
      <c r="H360" s="39"/>
    </row>
    <row r="361">
      <c r="A361" s="39"/>
      <c r="B361" s="39"/>
      <c r="C361" s="39"/>
      <c r="D361" s="39"/>
      <c r="E361" s="39"/>
      <c r="F361" s="263"/>
      <c r="G361" s="39"/>
      <c r="H361" s="39"/>
    </row>
    <row r="362">
      <c r="A362" s="39"/>
      <c r="B362" s="39"/>
      <c r="C362" s="39"/>
      <c r="D362" s="39"/>
      <c r="E362" s="39"/>
      <c r="F362" s="263"/>
      <c r="G362" s="39"/>
      <c r="H362" s="39"/>
    </row>
    <row r="363">
      <c r="A363" s="39"/>
      <c r="B363" s="39"/>
      <c r="C363" s="39"/>
      <c r="D363" s="39"/>
      <c r="E363" s="39"/>
      <c r="F363" s="263"/>
      <c r="G363" s="39"/>
      <c r="H363" s="39"/>
    </row>
    <row r="364">
      <c r="A364" s="39"/>
      <c r="B364" s="39"/>
      <c r="C364" s="39"/>
      <c r="D364" s="39"/>
      <c r="E364" s="39"/>
      <c r="F364" s="263"/>
      <c r="G364" s="39"/>
      <c r="H364" s="39"/>
    </row>
    <row r="365">
      <c r="A365" s="39"/>
      <c r="B365" s="39"/>
      <c r="C365" s="39"/>
      <c r="D365" s="39"/>
      <c r="E365" s="39"/>
      <c r="F365" s="263"/>
      <c r="G365" s="39"/>
      <c r="H365" s="39"/>
    </row>
    <row r="366">
      <c r="A366" s="39"/>
      <c r="B366" s="39"/>
      <c r="C366" s="39"/>
      <c r="D366" s="39"/>
      <c r="E366" s="39"/>
      <c r="F366" s="263"/>
      <c r="G366" s="39"/>
      <c r="H366" s="39"/>
    </row>
    <row r="367">
      <c r="A367" s="39"/>
      <c r="B367" s="39"/>
      <c r="C367" s="39"/>
      <c r="D367" s="39"/>
      <c r="E367" s="39"/>
      <c r="F367" s="263"/>
      <c r="G367" s="39"/>
      <c r="H367" s="39"/>
    </row>
    <row r="368">
      <c r="A368" s="39"/>
      <c r="B368" s="39"/>
      <c r="C368" s="39"/>
      <c r="D368" s="39"/>
      <c r="E368" s="39"/>
      <c r="F368" s="263"/>
      <c r="G368" s="39"/>
      <c r="H368" s="39"/>
    </row>
    <row r="369">
      <c r="A369" s="39"/>
      <c r="B369" s="39"/>
      <c r="C369" s="39"/>
      <c r="D369" s="39"/>
      <c r="E369" s="39"/>
      <c r="F369" s="263"/>
      <c r="G369" s="39"/>
      <c r="H369" s="39"/>
    </row>
    <row r="370">
      <c r="A370" s="39"/>
      <c r="B370" s="39"/>
      <c r="C370" s="39"/>
      <c r="D370" s="39"/>
      <c r="E370" s="39"/>
      <c r="F370" s="263"/>
      <c r="G370" s="39"/>
      <c r="H370" s="39"/>
    </row>
    <row r="371">
      <c r="A371" s="39"/>
      <c r="B371" s="39"/>
      <c r="C371" s="39"/>
      <c r="D371" s="39"/>
      <c r="E371" s="39"/>
      <c r="F371" s="263"/>
      <c r="G371" s="39"/>
      <c r="H371" s="39"/>
    </row>
    <row r="372">
      <c r="A372" s="39"/>
      <c r="B372" s="39"/>
      <c r="C372" s="39"/>
      <c r="D372" s="39"/>
      <c r="E372" s="39"/>
      <c r="F372" s="263"/>
      <c r="G372" s="39"/>
      <c r="H372" s="39"/>
    </row>
    <row r="373">
      <c r="A373" s="39"/>
      <c r="B373" s="39"/>
      <c r="C373" s="39"/>
      <c r="D373" s="39"/>
      <c r="E373" s="39"/>
      <c r="F373" s="263"/>
      <c r="G373" s="39"/>
      <c r="H373" s="39"/>
    </row>
    <row r="374">
      <c r="A374" s="39"/>
      <c r="B374" s="39"/>
      <c r="C374" s="39"/>
      <c r="D374" s="39"/>
      <c r="E374" s="39"/>
      <c r="F374" s="263"/>
      <c r="G374" s="39"/>
      <c r="H374" s="39"/>
    </row>
    <row r="375">
      <c r="A375" s="39"/>
      <c r="B375" s="39"/>
      <c r="C375" s="39"/>
      <c r="D375" s="39"/>
      <c r="E375" s="39"/>
      <c r="F375" s="263"/>
      <c r="G375" s="39"/>
      <c r="H375" s="39"/>
    </row>
    <row r="376">
      <c r="A376" s="39"/>
      <c r="B376" s="39"/>
      <c r="C376" s="39"/>
      <c r="D376" s="39"/>
      <c r="E376" s="39"/>
      <c r="F376" s="263"/>
      <c r="G376" s="39"/>
      <c r="H376" s="39"/>
    </row>
    <row r="377">
      <c r="A377" s="39"/>
      <c r="B377" s="39"/>
      <c r="C377" s="39"/>
      <c r="D377" s="39"/>
      <c r="E377" s="39"/>
      <c r="F377" s="263"/>
      <c r="G377" s="39"/>
      <c r="H377" s="39"/>
    </row>
    <row r="378">
      <c r="A378" s="39"/>
      <c r="B378" s="39"/>
      <c r="C378" s="39"/>
      <c r="D378" s="39"/>
      <c r="E378" s="39"/>
      <c r="F378" s="263"/>
      <c r="G378" s="39"/>
      <c r="H378" s="39"/>
    </row>
    <row r="379">
      <c r="A379" s="39"/>
      <c r="B379" s="39"/>
      <c r="C379" s="39"/>
      <c r="D379" s="39"/>
      <c r="E379" s="39"/>
      <c r="F379" s="263"/>
      <c r="G379" s="39"/>
      <c r="H379" s="39"/>
    </row>
    <row r="380">
      <c r="A380" s="39"/>
      <c r="B380" s="39"/>
      <c r="C380" s="39"/>
      <c r="D380" s="39"/>
      <c r="E380" s="39"/>
      <c r="F380" s="263"/>
      <c r="G380" s="39"/>
      <c r="H380" s="39"/>
    </row>
    <row r="381">
      <c r="A381" s="39"/>
      <c r="B381" s="39"/>
      <c r="C381" s="39"/>
      <c r="D381" s="39"/>
      <c r="E381" s="39"/>
      <c r="F381" s="263"/>
      <c r="G381" s="39"/>
      <c r="H381" s="39"/>
    </row>
    <row r="382">
      <c r="A382" s="39"/>
      <c r="B382" s="39"/>
      <c r="C382" s="39"/>
      <c r="D382" s="39"/>
      <c r="E382" s="39"/>
      <c r="F382" s="263"/>
      <c r="G382" s="39"/>
      <c r="H382" s="39"/>
    </row>
    <row r="383">
      <c r="A383" s="39"/>
      <c r="B383" s="39"/>
      <c r="C383" s="39"/>
      <c r="D383" s="39"/>
      <c r="E383" s="39"/>
      <c r="F383" s="263"/>
      <c r="G383" s="39"/>
      <c r="H383" s="39"/>
    </row>
    <row r="384">
      <c r="A384" s="39"/>
      <c r="B384" s="39"/>
      <c r="C384" s="39"/>
      <c r="D384" s="39"/>
      <c r="E384" s="39"/>
      <c r="F384" s="263"/>
      <c r="G384" s="39"/>
      <c r="H384" s="39"/>
    </row>
    <row r="385">
      <c r="A385" s="39"/>
      <c r="B385" s="39"/>
      <c r="C385" s="39"/>
      <c r="D385" s="39"/>
      <c r="E385" s="39"/>
      <c r="F385" s="263"/>
      <c r="G385" s="39"/>
      <c r="H385" s="39"/>
    </row>
    <row r="386">
      <c r="A386" s="39"/>
      <c r="B386" s="39"/>
      <c r="C386" s="39"/>
      <c r="D386" s="39"/>
      <c r="E386" s="39"/>
      <c r="F386" s="263"/>
      <c r="G386" s="39"/>
      <c r="H386" s="39"/>
    </row>
    <row r="387">
      <c r="A387" s="39"/>
      <c r="B387" s="39"/>
      <c r="C387" s="39"/>
      <c r="D387" s="39"/>
      <c r="E387" s="39"/>
      <c r="F387" s="263"/>
      <c r="G387" s="39"/>
      <c r="H387" s="39"/>
    </row>
    <row r="388">
      <c r="A388" s="39"/>
      <c r="B388" s="39"/>
      <c r="C388" s="39"/>
      <c r="D388" s="39"/>
      <c r="E388" s="39"/>
      <c r="F388" s="263"/>
      <c r="G388" s="39"/>
      <c r="H388" s="39"/>
    </row>
    <row r="389">
      <c r="A389" s="39"/>
      <c r="B389" s="39"/>
      <c r="C389" s="39"/>
      <c r="D389" s="39"/>
      <c r="E389" s="39"/>
      <c r="F389" s="263"/>
      <c r="G389" s="39"/>
      <c r="H389" s="39"/>
    </row>
    <row r="390">
      <c r="A390" s="39"/>
      <c r="B390" s="39"/>
      <c r="C390" s="39"/>
      <c r="D390" s="39"/>
      <c r="E390" s="39"/>
      <c r="F390" s="263"/>
      <c r="G390" s="39"/>
      <c r="H390" s="39"/>
    </row>
    <row r="391">
      <c r="A391" s="39"/>
      <c r="B391" s="39"/>
      <c r="C391" s="39"/>
      <c r="D391" s="39"/>
      <c r="E391" s="39"/>
      <c r="F391" s="263"/>
      <c r="G391" s="39"/>
      <c r="H391" s="39"/>
    </row>
    <row r="392">
      <c r="A392" s="39"/>
      <c r="B392" s="39"/>
      <c r="C392" s="39"/>
      <c r="D392" s="39"/>
      <c r="E392" s="39"/>
      <c r="F392" s="263"/>
      <c r="G392" s="39"/>
      <c r="H392" s="39"/>
    </row>
    <row r="393">
      <c r="A393" s="39"/>
      <c r="B393" s="39"/>
      <c r="C393" s="39"/>
      <c r="D393" s="39"/>
      <c r="E393" s="39"/>
      <c r="F393" s="263"/>
      <c r="G393" s="39"/>
      <c r="H393" s="39"/>
    </row>
    <row r="394">
      <c r="A394" s="39"/>
      <c r="B394" s="39"/>
      <c r="C394" s="39"/>
      <c r="D394" s="39"/>
      <c r="E394" s="39"/>
      <c r="F394" s="263"/>
      <c r="G394" s="39"/>
      <c r="H394" s="39"/>
    </row>
    <row r="395">
      <c r="A395" s="39"/>
      <c r="B395" s="39"/>
      <c r="C395" s="39"/>
      <c r="D395" s="39"/>
      <c r="E395" s="39"/>
      <c r="F395" s="263"/>
      <c r="G395" s="39"/>
      <c r="H395" s="39"/>
    </row>
    <row r="396">
      <c r="A396" s="39"/>
      <c r="B396" s="39"/>
      <c r="C396" s="39"/>
      <c r="D396" s="39"/>
      <c r="E396" s="39"/>
      <c r="F396" s="263"/>
      <c r="G396" s="39"/>
      <c r="H396" s="39"/>
    </row>
    <row r="397">
      <c r="A397" s="39"/>
      <c r="B397" s="39"/>
      <c r="C397" s="39"/>
      <c r="D397" s="39"/>
      <c r="E397" s="39"/>
      <c r="F397" s="263"/>
      <c r="G397" s="39"/>
      <c r="H397" s="39"/>
    </row>
    <row r="398">
      <c r="A398" s="39"/>
      <c r="B398" s="39"/>
      <c r="C398" s="39"/>
      <c r="D398" s="39"/>
      <c r="E398" s="39"/>
      <c r="F398" s="263"/>
      <c r="G398" s="39"/>
      <c r="H398" s="39"/>
    </row>
    <row r="399">
      <c r="A399" s="39"/>
      <c r="B399" s="39"/>
      <c r="C399" s="39"/>
      <c r="D399" s="39"/>
      <c r="E399" s="39"/>
      <c r="F399" s="263"/>
      <c r="G399" s="39"/>
      <c r="H399" s="39"/>
    </row>
    <row r="400">
      <c r="A400" s="39"/>
      <c r="B400" s="39"/>
      <c r="C400" s="39"/>
      <c r="D400" s="39"/>
      <c r="E400" s="39"/>
      <c r="F400" s="263"/>
      <c r="G400" s="39"/>
      <c r="H400" s="39"/>
    </row>
    <row r="401">
      <c r="A401" s="39"/>
      <c r="B401" s="39"/>
      <c r="C401" s="39"/>
      <c r="D401" s="39"/>
      <c r="E401" s="39"/>
      <c r="F401" s="263"/>
      <c r="G401" s="39"/>
      <c r="H401" s="39"/>
    </row>
    <row r="402">
      <c r="A402" s="39"/>
      <c r="B402" s="39"/>
      <c r="C402" s="39"/>
      <c r="D402" s="39"/>
      <c r="E402" s="39"/>
      <c r="F402" s="263"/>
      <c r="G402" s="39"/>
      <c r="H402" s="39"/>
    </row>
    <row r="403">
      <c r="A403" s="39"/>
      <c r="B403" s="39"/>
      <c r="C403" s="39"/>
      <c r="D403" s="39"/>
      <c r="E403" s="39"/>
      <c r="F403" s="263"/>
      <c r="G403" s="39"/>
      <c r="H403" s="39"/>
    </row>
    <row r="404">
      <c r="A404" s="39"/>
      <c r="B404" s="39"/>
      <c r="C404" s="39"/>
      <c r="D404" s="39"/>
      <c r="E404" s="39"/>
      <c r="F404" s="263"/>
      <c r="G404" s="39"/>
      <c r="H404" s="39"/>
    </row>
    <row r="405">
      <c r="A405" s="39"/>
      <c r="B405" s="39"/>
      <c r="C405" s="39"/>
      <c r="D405" s="39"/>
      <c r="E405" s="39"/>
      <c r="F405" s="263"/>
      <c r="G405" s="39"/>
      <c r="H405" s="39"/>
    </row>
    <row r="406">
      <c r="A406" s="39"/>
      <c r="B406" s="39"/>
      <c r="C406" s="39"/>
      <c r="D406" s="39"/>
      <c r="E406" s="39"/>
      <c r="F406" s="263"/>
      <c r="G406" s="39"/>
      <c r="H406" s="39"/>
    </row>
    <row r="407">
      <c r="A407" s="39"/>
      <c r="B407" s="39"/>
      <c r="C407" s="39"/>
      <c r="D407" s="39"/>
      <c r="E407" s="39"/>
      <c r="F407" s="263"/>
      <c r="G407" s="39"/>
      <c r="H407" s="39"/>
    </row>
    <row r="408">
      <c r="A408" s="39"/>
      <c r="B408" s="39"/>
      <c r="C408" s="39"/>
      <c r="D408" s="39"/>
      <c r="E408" s="39"/>
      <c r="F408" s="263"/>
      <c r="G408" s="39"/>
      <c r="H408" s="39"/>
    </row>
    <row r="409">
      <c r="A409" s="39"/>
      <c r="B409" s="39"/>
      <c r="C409" s="39"/>
      <c r="D409" s="39"/>
      <c r="E409" s="39"/>
      <c r="F409" s="263"/>
      <c r="G409" s="39"/>
      <c r="H409" s="39"/>
    </row>
    <row r="410">
      <c r="A410" s="39"/>
      <c r="B410" s="39"/>
      <c r="C410" s="39"/>
      <c r="D410" s="39"/>
      <c r="E410" s="39"/>
      <c r="F410" s="263"/>
      <c r="G410" s="39"/>
      <c r="H410" s="39"/>
    </row>
    <row r="411">
      <c r="A411" s="39"/>
      <c r="B411" s="39"/>
      <c r="C411" s="39"/>
      <c r="D411" s="39"/>
      <c r="E411" s="39"/>
      <c r="F411" s="263"/>
      <c r="G411" s="39"/>
      <c r="H411" s="39"/>
    </row>
    <row r="412">
      <c r="A412" s="39"/>
      <c r="B412" s="39"/>
      <c r="C412" s="39"/>
      <c r="D412" s="39"/>
      <c r="E412" s="39"/>
      <c r="F412" s="263"/>
      <c r="G412" s="39"/>
      <c r="H412" s="39"/>
    </row>
    <row r="413">
      <c r="A413" s="39"/>
      <c r="B413" s="39"/>
      <c r="C413" s="39"/>
      <c r="D413" s="39"/>
      <c r="E413" s="39"/>
      <c r="F413" s="263"/>
      <c r="G413" s="39"/>
      <c r="H413" s="39"/>
    </row>
    <row r="414">
      <c r="A414" s="39"/>
      <c r="B414" s="39"/>
      <c r="C414" s="39"/>
      <c r="D414" s="39"/>
      <c r="E414" s="39"/>
      <c r="F414" s="263"/>
      <c r="G414" s="39"/>
      <c r="H414" s="39"/>
    </row>
    <row r="415">
      <c r="A415" s="39"/>
      <c r="B415" s="39"/>
      <c r="C415" s="39"/>
      <c r="D415" s="39"/>
      <c r="E415" s="39"/>
      <c r="F415" s="263"/>
      <c r="G415" s="39"/>
      <c r="H415" s="39"/>
    </row>
    <row r="416">
      <c r="A416" s="39"/>
      <c r="B416" s="39"/>
      <c r="C416" s="39"/>
      <c r="D416" s="39"/>
      <c r="E416" s="39"/>
      <c r="F416" s="263"/>
      <c r="G416" s="39"/>
      <c r="H416" s="39"/>
    </row>
    <row r="417">
      <c r="A417" s="39"/>
      <c r="B417" s="39"/>
      <c r="C417" s="39"/>
      <c r="D417" s="39"/>
      <c r="E417" s="39"/>
      <c r="F417" s="263"/>
      <c r="G417" s="39"/>
      <c r="H417" s="39"/>
    </row>
    <row r="418">
      <c r="A418" s="39"/>
      <c r="B418" s="39"/>
      <c r="C418" s="39"/>
      <c r="D418" s="39"/>
      <c r="E418" s="39"/>
      <c r="F418" s="263"/>
      <c r="G418" s="39"/>
      <c r="H418" s="39"/>
    </row>
    <row r="419">
      <c r="A419" s="39"/>
      <c r="B419" s="39"/>
      <c r="C419" s="39"/>
      <c r="D419" s="39"/>
      <c r="E419" s="39"/>
      <c r="F419" s="263"/>
      <c r="G419" s="39"/>
      <c r="H419" s="39"/>
    </row>
    <row r="420">
      <c r="A420" s="39"/>
      <c r="B420" s="39"/>
      <c r="C420" s="39"/>
      <c r="D420" s="39"/>
      <c r="E420" s="39"/>
      <c r="F420" s="263"/>
      <c r="G420" s="39"/>
      <c r="H420" s="39"/>
    </row>
    <row r="421">
      <c r="A421" s="39"/>
      <c r="B421" s="39"/>
      <c r="C421" s="39"/>
      <c r="D421" s="39"/>
      <c r="E421" s="39"/>
      <c r="F421" s="263"/>
      <c r="G421" s="39"/>
      <c r="H421" s="39"/>
    </row>
    <row r="422">
      <c r="A422" s="39"/>
      <c r="B422" s="39"/>
      <c r="C422" s="39"/>
      <c r="D422" s="39"/>
      <c r="E422" s="39"/>
      <c r="F422" s="263"/>
      <c r="G422" s="39"/>
      <c r="H422" s="39"/>
    </row>
    <row r="423">
      <c r="A423" s="39"/>
      <c r="B423" s="39"/>
      <c r="C423" s="39"/>
      <c r="D423" s="39"/>
      <c r="E423" s="39"/>
      <c r="F423" s="263"/>
      <c r="G423" s="39"/>
      <c r="H423" s="39"/>
    </row>
    <row r="492">
      <c r="E492" s="39"/>
    </row>
    <row r="493">
      <c r="E493" s="39"/>
    </row>
    <row r="494">
      <c r="E494" s="39"/>
    </row>
  </sheetData>
  <autoFilter ref="$A$1:$Y$738"/>
  <printOptions gridLines="1" horizontalCentered="1"/>
  <pageMargins bottom="0.75" footer="0.0" header="0.0" left="0.7" right="0.7" top="0.75"/>
  <pageSetup fitToHeight="0" paperSize="9" cellComments="atEnd" orientation="portrait"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 customWidth="1" min="2" max="2" width="46.25"/>
    <col customWidth="1" min="18" max="18" width="15.88"/>
  </cols>
  <sheetData>
    <row r="1">
      <c r="A1" s="12" t="s">
        <v>173</v>
      </c>
      <c r="B1" s="12" t="s">
        <v>1</v>
      </c>
      <c r="C1" s="12" t="s">
        <v>261</v>
      </c>
      <c r="D1" s="12" t="s">
        <v>323</v>
      </c>
      <c r="E1" s="12" t="s">
        <v>324</v>
      </c>
      <c r="F1" s="12" t="s">
        <v>325</v>
      </c>
      <c r="G1" s="12" t="s">
        <v>326</v>
      </c>
      <c r="H1" s="12" t="s">
        <v>327</v>
      </c>
      <c r="I1" s="12" t="s">
        <v>328</v>
      </c>
      <c r="J1" s="12" t="s">
        <v>331</v>
      </c>
      <c r="K1" s="12" t="s">
        <v>2</v>
      </c>
      <c r="L1" s="12" t="s">
        <v>3</v>
      </c>
      <c r="M1" s="12" t="s">
        <v>4</v>
      </c>
      <c r="N1" s="12" t="s">
        <v>452</v>
      </c>
      <c r="O1" s="12" t="s">
        <v>593</v>
      </c>
      <c r="P1" s="12" t="s">
        <v>594</v>
      </c>
      <c r="Q1" s="12" t="s">
        <v>595</v>
      </c>
      <c r="R1" s="12" t="s">
        <v>451</v>
      </c>
      <c r="S1" s="12" t="s">
        <v>465</v>
      </c>
    </row>
    <row r="2">
      <c r="A2" s="12" t="s">
        <v>97</v>
      </c>
      <c r="B2" s="12" t="s">
        <v>174</v>
      </c>
      <c r="C2" s="12" t="s">
        <v>96</v>
      </c>
      <c r="D2" s="12" t="s">
        <v>175</v>
      </c>
      <c r="E2" s="321">
        <v>1.0</v>
      </c>
      <c r="F2" s="12" t="s">
        <v>236</v>
      </c>
      <c r="G2" s="321">
        <v>1.0</v>
      </c>
      <c r="H2" s="321">
        <v>2.0</v>
      </c>
      <c r="I2" s="12" t="s">
        <v>262</v>
      </c>
      <c r="J2" s="321">
        <v>-2.0</v>
      </c>
      <c r="K2" s="321">
        <v>0.0</v>
      </c>
      <c r="L2" s="321">
        <v>0.0</v>
      </c>
      <c r="M2" s="321">
        <v>0.0</v>
      </c>
      <c r="N2" s="321">
        <v>0.0</v>
      </c>
      <c r="O2" s="321">
        <v>1.0</v>
      </c>
      <c r="P2" s="321">
        <v>0.0</v>
      </c>
      <c r="Q2" s="321">
        <v>0.0</v>
      </c>
      <c r="R2" s="12" t="s">
        <v>236</v>
      </c>
      <c r="S2" s="373" t="s">
        <v>596</v>
      </c>
    </row>
    <row r="3">
      <c r="A3" s="12" t="s">
        <v>100</v>
      </c>
      <c r="B3" s="12" t="s">
        <v>164</v>
      </c>
      <c r="C3" s="12" t="s">
        <v>99</v>
      </c>
      <c r="D3" s="12" t="s">
        <v>175</v>
      </c>
      <c r="E3" s="321">
        <v>1.0</v>
      </c>
      <c r="F3" s="12" t="s">
        <v>236</v>
      </c>
      <c r="G3" s="321">
        <v>1.0</v>
      </c>
      <c r="H3" s="321">
        <v>2.0</v>
      </c>
      <c r="I3" s="12" t="s">
        <v>262</v>
      </c>
      <c r="J3" s="321">
        <v>-2.0</v>
      </c>
      <c r="K3" s="321">
        <v>0.0</v>
      </c>
      <c r="L3" s="321">
        <v>0.0</v>
      </c>
      <c r="M3" s="321">
        <v>0.0</v>
      </c>
      <c r="N3" s="321">
        <v>0.0</v>
      </c>
      <c r="O3" s="321">
        <v>1.0</v>
      </c>
      <c r="P3" s="321">
        <v>0.0</v>
      </c>
      <c r="Q3" s="321">
        <v>0.0</v>
      </c>
      <c r="R3" s="12" t="s">
        <v>236</v>
      </c>
      <c r="S3" s="373" t="s">
        <v>596</v>
      </c>
    </row>
    <row r="4">
      <c r="A4" s="12" t="s">
        <v>97</v>
      </c>
      <c r="B4" s="12" t="s">
        <v>176</v>
      </c>
      <c r="C4" s="12" t="s">
        <v>96</v>
      </c>
      <c r="D4" s="12" t="s">
        <v>177</v>
      </c>
      <c r="E4" s="321">
        <v>1.0</v>
      </c>
      <c r="F4" s="12" t="s">
        <v>236</v>
      </c>
      <c r="G4" s="321">
        <v>1.0</v>
      </c>
      <c r="H4" s="321">
        <v>3.0</v>
      </c>
      <c r="I4" s="12" t="s">
        <v>262</v>
      </c>
      <c r="J4" s="321">
        <v>-2.0</v>
      </c>
      <c r="K4" s="321">
        <v>0.0</v>
      </c>
      <c r="L4" s="321">
        <v>0.0</v>
      </c>
      <c r="M4" s="321">
        <v>0.0</v>
      </c>
      <c r="N4" s="321">
        <v>0.0</v>
      </c>
      <c r="O4" s="321">
        <v>1.0</v>
      </c>
      <c r="P4" s="321">
        <v>0.0</v>
      </c>
      <c r="Q4" s="321">
        <v>0.0</v>
      </c>
      <c r="R4" s="12" t="s">
        <v>236</v>
      </c>
      <c r="S4" s="373" t="s">
        <v>597</v>
      </c>
    </row>
    <row r="5">
      <c r="A5" s="12" t="s">
        <v>100</v>
      </c>
      <c r="B5" s="12" t="s">
        <v>162</v>
      </c>
      <c r="C5" s="12" t="s">
        <v>99</v>
      </c>
      <c r="D5" s="12" t="s">
        <v>177</v>
      </c>
      <c r="E5" s="321">
        <v>1.0</v>
      </c>
      <c r="F5" s="12" t="s">
        <v>236</v>
      </c>
      <c r="G5" s="321">
        <v>1.0</v>
      </c>
      <c r="H5" s="321">
        <v>3.0</v>
      </c>
      <c r="I5" s="12" t="s">
        <v>262</v>
      </c>
      <c r="J5" s="321">
        <v>-2.0</v>
      </c>
      <c r="K5" s="321">
        <v>0.0</v>
      </c>
      <c r="L5" s="321">
        <v>0.0</v>
      </c>
      <c r="M5" s="321">
        <v>0.0</v>
      </c>
      <c r="N5" s="321">
        <v>0.0</v>
      </c>
      <c r="O5" s="321">
        <v>1.0</v>
      </c>
      <c r="P5" s="321">
        <v>0.0</v>
      </c>
      <c r="Q5" s="321">
        <v>0.0</v>
      </c>
      <c r="R5" s="12" t="s">
        <v>236</v>
      </c>
      <c r="S5" s="373" t="s">
        <v>597</v>
      </c>
    </row>
    <row r="6">
      <c r="A6" s="12" t="s">
        <v>100</v>
      </c>
      <c r="B6" s="12" t="s">
        <v>159</v>
      </c>
      <c r="C6" s="12" t="s">
        <v>99</v>
      </c>
      <c r="D6" s="12" t="s">
        <v>216</v>
      </c>
      <c r="E6" s="321">
        <v>1.0</v>
      </c>
      <c r="F6" s="12" t="s">
        <v>236</v>
      </c>
      <c r="G6" s="321">
        <v>1.0</v>
      </c>
      <c r="H6" s="321">
        <v>4.0</v>
      </c>
      <c r="I6" s="12" t="s">
        <v>262</v>
      </c>
      <c r="J6" s="321">
        <v>-2.0</v>
      </c>
      <c r="K6" s="321">
        <v>0.0</v>
      </c>
      <c r="L6" s="321">
        <v>0.0</v>
      </c>
      <c r="M6" s="321">
        <v>0.0</v>
      </c>
      <c r="N6" s="321">
        <v>0.0</v>
      </c>
      <c r="O6" s="321">
        <v>1.0</v>
      </c>
      <c r="P6" s="321">
        <v>0.0</v>
      </c>
      <c r="Q6" s="321">
        <v>0.0</v>
      </c>
      <c r="R6" s="12" t="s">
        <v>236</v>
      </c>
      <c r="S6" s="373" t="s">
        <v>598</v>
      </c>
    </row>
    <row r="7">
      <c r="A7" s="12" t="s">
        <v>97</v>
      </c>
      <c r="B7" s="12" t="s">
        <v>178</v>
      </c>
      <c r="C7" s="12" t="s">
        <v>96</v>
      </c>
      <c r="D7" s="12" t="s">
        <v>179</v>
      </c>
      <c r="E7" s="321">
        <v>1.0</v>
      </c>
      <c r="F7" s="12" t="s">
        <v>236</v>
      </c>
      <c r="G7" s="321">
        <v>1.0</v>
      </c>
      <c r="H7" s="321">
        <v>5.0</v>
      </c>
      <c r="I7" s="12" t="s">
        <v>262</v>
      </c>
      <c r="J7" s="321">
        <v>-2.0</v>
      </c>
      <c r="K7" s="321">
        <v>0.0</v>
      </c>
      <c r="L7" s="321">
        <v>0.0</v>
      </c>
      <c r="M7" s="321">
        <v>0.0</v>
      </c>
      <c r="N7" s="321">
        <v>0.0</v>
      </c>
      <c r="O7" s="321">
        <v>1.0</v>
      </c>
      <c r="P7" s="321">
        <v>0.0</v>
      </c>
      <c r="Q7" s="321">
        <v>0.0</v>
      </c>
      <c r="R7" s="12" t="s">
        <v>236</v>
      </c>
      <c r="S7" s="373" t="s">
        <v>599</v>
      </c>
    </row>
    <row r="8">
      <c r="A8" s="12" t="s">
        <v>100</v>
      </c>
      <c r="B8" s="12" t="s">
        <v>215</v>
      </c>
      <c r="C8" s="12" t="s">
        <v>99</v>
      </c>
      <c r="D8" s="12" t="s">
        <v>179</v>
      </c>
      <c r="E8" s="321">
        <v>1.0</v>
      </c>
      <c r="F8" s="12" t="s">
        <v>236</v>
      </c>
      <c r="G8" s="321">
        <v>1.0</v>
      </c>
      <c r="H8" s="321">
        <v>5.0</v>
      </c>
      <c r="I8" s="12" t="s">
        <v>262</v>
      </c>
      <c r="J8" s="321">
        <v>-2.0</v>
      </c>
      <c r="K8" s="321">
        <v>0.0</v>
      </c>
      <c r="L8" s="321">
        <v>0.0</v>
      </c>
      <c r="M8" s="321">
        <v>0.0</v>
      </c>
      <c r="N8" s="321">
        <v>0.0</v>
      </c>
      <c r="O8" s="321">
        <v>1.0</v>
      </c>
      <c r="P8" s="321">
        <v>0.0</v>
      </c>
      <c r="Q8" s="321">
        <v>0.0</v>
      </c>
      <c r="R8" s="12" t="s">
        <v>236</v>
      </c>
      <c r="S8" s="373" t="s">
        <v>599</v>
      </c>
    </row>
    <row r="9">
      <c r="A9" s="12" t="s">
        <v>97</v>
      </c>
      <c r="B9" s="12" t="s">
        <v>188</v>
      </c>
      <c r="C9" s="12" t="s">
        <v>96</v>
      </c>
      <c r="D9" s="12" t="s">
        <v>189</v>
      </c>
      <c r="E9" s="321">
        <v>2.0</v>
      </c>
      <c r="F9" s="12" t="s">
        <v>236</v>
      </c>
      <c r="G9" s="321">
        <v>2.0</v>
      </c>
      <c r="H9" s="321">
        <v>6.0</v>
      </c>
      <c r="I9" s="12" t="s">
        <v>262</v>
      </c>
      <c r="J9" s="321">
        <v>-1.0</v>
      </c>
      <c r="K9" s="321">
        <v>0.0</v>
      </c>
      <c r="L9" s="321">
        <v>0.0</v>
      </c>
      <c r="M9" s="321">
        <v>0.0</v>
      </c>
      <c r="N9" s="321">
        <v>0.0</v>
      </c>
      <c r="O9" s="321">
        <v>1.0</v>
      </c>
      <c r="P9" s="321">
        <v>0.0</v>
      </c>
      <c r="Q9" s="321">
        <v>0.0</v>
      </c>
      <c r="R9" s="12" t="s">
        <v>236</v>
      </c>
      <c r="S9" s="373" t="s">
        <v>600</v>
      </c>
    </row>
    <row r="10">
      <c r="A10" s="12" t="s">
        <v>97</v>
      </c>
      <c r="B10" s="12" t="s">
        <v>180</v>
      </c>
      <c r="C10" s="12" t="s">
        <v>96</v>
      </c>
      <c r="D10" s="12" t="s">
        <v>181</v>
      </c>
      <c r="E10" s="321">
        <v>2.0</v>
      </c>
      <c r="F10" s="12" t="s">
        <v>236</v>
      </c>
      <c r="G10" s="321">
        <v>1.0</v>
      </c>
      <c r="H10" s="321">
        <v>7.0</v>
      </c>
      <c r="I10" s="12" t="s">
        <v>262</v>
      </c>
      <c r="J10" s="321">
        <v>-1.0</v>
      </c>
      <c r="K10" s="321">
        <v>0.0</v>
      </c>
      <c r="L10" s="321">
        <v>0.0</v>
      </c>
      <c r="M10" s="321">
        <v>0.0</v>
      </c>
      <c r="N10" s="321">
        <v>0.0</v>
      </c>
      <c r="O10" s="321">
        <v>1.0</v>
      </c>
      <c r="P10" s="321">
        <v>0.0</v>
      </c>
      <c r="Q10" s="321">
        <v>0.0</v>
      </c>
      <c r="R10" s="12" t="s">
        <v>236</v>
      </c>
      <c r="S10" s="373" t="s">
        <v>601</v>
      </c>
    </row>
    <row r="11">
      <c r="A11" s="12" t="s">
        <v>97</v>
      </c>
      <c r="B11" s="12" t="s">
        <v>184</v>
      </c>
      <c r="C11" s="12" t="s">
        <v>96</v>
      </c>
      <c r="D11" s="12" t="s">
        <v>185</v>
      </c>
      <c r="E11" s="321">
        <v>2.0</v>
      </c>
      <c r="F11" s="12" t="s">
        <v>236</v>
      </c>
      <c r="G11" s="321">
        <v>2.0</v>
      </c>
      <c r="H11" s="321">
        <v>7.0</v>
      </c>
      <c r="I11" s="12" t="s">
        <v>262</v>
      </c>
      <c r="J11" s="321">
        <v>-1.0</v>
      </c>
      <c r="K11" s="321">
        <v>0.0</v>
      </c>
      <c r="L11" s="321">
        <v>0.0</v>
      </c>
      <c r="M11" s="321">
        <v>0.0</v>
      </c>
      <c r="N11" s="321">
        <v>0.0</v>
      </c>
      <c r="O11" s="321">
        <v>1.0</v>
      </c>
      <c r="P11" s="321">
        <v>0.0</v>
      </c>
      <c r="Q11" s="321">
        <v>0.0</v>
      </c>
      <c r="R11" s="12" t="s">
        <v>236</v>
      </c>
      <c r="S11" s="373" t="s">
        <v>602</v>
      </c>
    </row>
    <row r="12">
      <c r="A12" s="12" t="s">
        <v>97</v>
      </c>
      <c r="B12" s="12" t="s">
        <v>190</v>
      </c>
      <c r="C12" s="12" t="s">
        <v>96</v>
      </c>
      <c r="D12" s="12" t="s">
        <v>191</v>
      </c>
      <c r="E12" s="321">
        <v>2.0</v>
      </c>
      <c r="F12" s="12" t="s">
        <v>236</v>
      </c>
      <c r="G12" s="321">
        <v>2.0</v>
      </c>
      <c r="H12" s="321">
        <v>8.0</v>
      </c>
      <c r="I12" s="12" t="s">
        <v>262</v>
      </c>
      <c r="J12" s="321">
        <v>-1.0</v>
      </c>
      <c r="K12" s="321">
        <v>0.0</v>
      </c>
      <c r="L12" s="321">
        <v>0.0</v>
      </c>
      <c r="M12" s="321">
        <v>0.0</v>
      </c>
      <c r="N12" s="321">
        <v>0.0</v>
      </c>
      <c r="O12" s="321">
        <v>1.0</v>
      </c>
      <c r="P12" s="321">
        <v>0.0</v>
      </c>
      <c r="Q12" s="321">
        <v>0.0</v>
      </c>
      <c r="R12" s="12" t="s">
        <v>236</v>
      </c>
      <c r="S12" s="373" t="s">
        <v>603</v>
      </c>
    </row>
    <row r="13">
      <c r="A13" s="12" t="s">
        <v>97</v>
      </c>
      <c r="B13" s="12" t="s">
        <v>182</v>
      </c>
      <c r="C13" s="12" t="s">
        <v>96</v>
      </c>
      <c r="D13" s="12" t="s">
        <v>183</v>
      </c>
      <c r="E13" s="321">
        <v>2.0</v>
      </c>
      <c r="F13" s="12" t="s">
        <v>236</v>
      </c>
      <c r="G13" s="321">
        <v>1.0</v>
      </c>
      <c r="H13" s="321">
        <v>9.0</v>
      </c>
      <c r="I13" s="12" t="s">
        <v>262</v>
      </c>
      <c r="J13" s="321">
        <v>-1.0</v>
      </c>
      <c r="K13" s="321">
        <v>0.0</v>
      </c>
      <c r="L13" s="321">
        <v>0.0</v>
      </c>
      <c r="M13" s="321">
        <v>0.0</v>
      </c>
      <c r="N13" s="321">
        <v>0.0</v>
      </c>
      <c r="O13" s="321">
        <v>1.0</v>
      </c>
      <c r="P13" s="321">
        <v>0.0</v>
      </c>
      <c r="Q13" s="321">
        <v>0.0</v>
      </c>
      <c r="R13" s="12" t="s">
        <v>236</v>
      </c>
      <c r="S13" s="373" t="s">
        <v>604</v>
      </c>
    </row>
    <row r="14">
      <c r="A14" s="12" t="s">
        <v>97</v>
      </c>
      <c r="B14" s="12" t="s">
        <v>186</v>
      </c>
      <c r="C14" s="12" t="s">
        <v>96</v>
      </c>
      <c r="D14" s="12" t="s">
        <v>187</v>
      </c>
      <c r="E14" s="321">
        <v>2.0</v>
      </c>
      <c r="F14" s="12" t="s">
        <v>236</v>
      </c>
      <c r="G14" s="321">
        <v>2.0</v>
      </c>
      <c r="H14" s="321">
        <v>9.0</v>
      </c>
      <c r="I14" s="12" t="s">
        <v>262</v>
      </c>
      <c r="J14" s="321">
        <v>-1.0</v>
      </c>
      <c r="K14" s="321">
        <v>0.0</v>
      </c>
      <c r="L14" s="321">
        <v>0.0</v>
      </c>
      <c r="M14" s="321">
        <v>0.0</v>
      </c>
      <c r="N14" s="321">
        <v>0.0</v>
      </c>
      <c r="O14" s="321">
        <v>1.0</v>
      </c>
      <c r="P14" s="321">
        <v>0.0</v>
      </c>
      <c r="Q14" s="321">
        <v>0.0</v>
      </c>
      <c r="R14" s="12" t="s">
        <v>236</v>
      </c>
      <c r="S14" s="373" t="s">
        <v>605</v>
      </c>
    </row>
    <row r="15">
      <c r="A15" s="12" t="s">
        <v>100</v>
      </c>
      <c r="B15" s="12" t="s">
        <v>255</v>
      </c>
      <c r="C15" s="12" t="s">
        <v>99</v>
      </c>
      <c r="D15" s="12" t="s">
        <v>342</v>
      </c>
      <c r="E15" s="321">
        <v>4.0</v>
      </c>
      <c r="F15" s="321">
        <v>2.0</v>
      </c>
      <c r="G15" s="321">
        <v>2.0</v>
      </c>
      <c r="H15" s="321">
        <v>12.0</v>
      </c>
      <c r="I15" s="12" t="s">
        <v>265</v>
      </c>
      <c r="J15" s="321">
        <v>1.0</v>
      </c>
      <c r="K15" s="321">
        <v>625.0</v>
      </c>
      <c r="L15" s="321">
        <v>0.0</v>
      </c>
      <c r="M15" s="321">
        <v>0.0</v>
      </c>
      <c r="N15" s="321">
        <v>625.0</v>
      </c>
      <c r="O15" s="321">
        <v>1.0</v>
      </c>
      <c r="P15" s="321">
        <v>130.0</v>
      </c>
      <c r="Q15" s="321">
        <v>3769.0</v>
      </c>
      <c r="R15" s="12" t="s">
        <v>308</v>
      </c>
      <c r="S15" s="373" t="s">
        <v>606</v>
      </c>
    </row>
    <row r="16">
      <c r="A16" s="12" t="s">
        <v>100</v>
      </c>
      <c r="B16" s="12" t="s">
        <v>244</v>
      </c>
      <c r="C16" s="12" t="s">
        <v>99</v>
      </c>
      <c r="D16" s="12" t="s">
        <v>345</v>
      </c>
      <c r="E16" s="321">
        <v>4.0</v>
      </c>
      <c r="F16" s="321">
        <v>1.0</v>
      </c>
      <c r="G16" s="321">
        <v>2.0</v>
      </c>
      <c r="H16" s="321">
        <v>13.0</v>
      </c>
      <c r="I16" s="12" t="s">
        <v>265</v>
      </c>
      <c r="J16" s="321">
        <v>1.0</v>
      </c>
      <c r="K16" s="321">
        <v>2382.0</v>
      </c>
      <c r="L16" s="321">
        <v>0.0</v>
      </c>
      <c r="M16" s="321">
        <v>0.0</v>
      </c>
      <c r="N16" s="321">
        <v>2382.0</v>
      </c>
      <c r="O16" s="321">
        <v>1.0</v>
      </c>
      <c r="P16" s="321">
        <v>130.0</v>
      </c>
      <c r="Q16" s="321">
        <v>3769.0</v>
      </c>
      <c r="R16" s="12" t="s">
        <v>236</v>
      </c>
      <c r="S16" s="12" t="s">
        <v>607</v>
      </c>
    </row>
    <row r="17">
      <c r="A17" s="12" t="s">
        <v>100</v>
      </c>
      <c r="B17" s="12" t="s">
        <v>259</v>
      </c>
      <c r="C17" s="12" t="s">
        <v>99</v>
      </c>
      <c r="D17" s="12" t="s">
        <v>347</v>
      </c>
      <c r="E17" s="321">
        <v>4.0</v>
      </c>
      <c r="F17" s="321">
        <v>0.0</v>
      </c>
      <c r="G17" s="321">
        <v>1.0</v>
      </c>
      <c r="H17" s="321">
        <v>14.0</v>
      </c>
      <c r="I17" s="12" t="s">
        <v>265</v>
      </c>
      <c r="J17" s="321">
        <v>1.0</v>
      </c>
      <c r="K17" s="321">
        <v>0.0</v>
      </c>
      <c r="L17" s="321">
        <v>0.0</v>
      </c>
      <c r="M17" s="321">
        <v>0.0</v>
      </c>
      <c r="N17" s="321">
        <v>0.0</v>
      </c>
      <c r="O17" s="321">
        <v>1.0</v>
      </c>
      <c r="P17" s="321">
        <v>130.0</v>
      </c>
      <c r="Q17" s="321">
        <v>3769.0</v>
      </c>
      <c r="R17" s="12" t="s">
        <v>236</v>
      </c>
      <c r="S17" s="12" t="s">
        <v>608</v>
      </c>
    </row>
    <row r="18">
      <c r="A18" s="12" t="s">
        <v>100</v>
      </c>
      <c r="B18" s="12" t="s">
        <v>254</v>
      </c>
      <c r="C18" s="12" t="s">
        <v>99</v>
      </c>
      <c r="D18" s="12" t="s">
        <v>348</v>
      </c>
      <c r="E18" s="321">
        <v>4.0</v>
      </c>
      <c r="F18" s="321">
        <v>0.0</v>
      </c>
      <c r="G18" s="321">
        <v>2.0</v>
      </c>
      <c r="H18" s="321">
        <v>14.0</v>
      </c>
      <c r="I18" s="12" t="s">
        <v>265</v>
      </c>
      <c r="J18" s="321">
        <v>1.0</v>
      </c>
      <c r="K18" s="321">
        <v>685.0</v>
      </c>
      <c r="L18" s="321">
        <v>0.0</v>
      </c>
      <c r="M18" s="321">
        <v>0.0</v>
      </c>
      <c r="N18" s="321">
        <v>685.0</v>
      </c>
      <c r="O18" s="321">
        <v>1.0</v>
      </c>
      <c r="P18" s="321">
        <v>130.0</v>
      </c>
      <c r="Q18" s="321">
        <v>3769.0</v>
      </c>
      <c r="R18" s="12" t="s">
        <v>236</v>
      </c>
      <c r="S18" s="12" t="s">
        <v>609</v>
      </c>
    </row>
    <row r="19">
      <c r="A19" s="12" t="s">
        <v>100</v>
      </c>
      <c r="B19" s="12" t="s">
        <v>243</v>
      </c>
      <c r="C19" s="12" t="s">
        <v>99</v>
      </c>
      <c r="D19" s="12" t="s">
        <v>357</v>
      </c>
      <c r="E19" s="321">
        <v>6.0</v>
      </c>
      <c r="F19" s="321">
        <v>2.0</v>
      </c>
      <c r="G19" s="321">
        <v>1.0</v>
      </c>
      <c r="H19" s="321">
        <v>18.0</v>
      </c>
      <c r="I19" s="12" t="s">
        <v>265</v>
      </c>
      <c r="J19" s="321">
        <v>3.0</v>
      </c>
      <c r="K19" s="321">
        <v>0.0</v>
      </c>
      <c r="L19" s="321">
        <v>0.0</v>
      </c>
      <c r="M19" s="321">
        <v>0.0</v>
      </c>
      <c r="N19" s="321">
        <v>0.0</v>
      </c>
      <c r="O19" s="321">
        <v>1.0</v>
      </c>
      <c r="P19" s="321">
        <v>130.0</v>
      </c>
      <c r="Q19" s="321">
        <v>3769.0</v>
      </c>
      <c r="R19" s="12" t="s">
        <v>308</v>
      </c>
      <c r="S19" s="12" t="s">
        <v>610</v>
      </c>
    </row>
    <row r="20">
      <c r="A20" s="12" t="s">
        <v>100</v>
      </c>
      <c r="B20" s="12" t="s">
        <v>253</v>
      </c>
      <c r="C20" s="12" t="s">
        <v>99</v>
      </c>
      <c r="D20" s="12" t="s">
        <v>358</v>
      </c>
      <c r="E20" s="321">
        <v>6.0</v>
      </c>
      <c r="F20" s="321">
        <v>2.0</v>
      </c>
      <c r="G20" s="321">
        <v>2.0</v>
      </c>
      <c r="H20" s="321">
        <v>18.0</v>
      </c>
      <c r="I20" s="12" t="s">
        <v>265</v>
      </c>
      <c r="J20" s="321">
        <v>3.0</v>
      </c>
      <c r="K20" s="321">
        <v>718.0</v>
      </c>
      <c r="L20" s="321">
        <v>0.0</v>
      </c>
      <c r="M20" s="321">
        <v>0.0</v>
      </c>
      <c r="N20" s="321">
        <v>718.0</v>
      </c>
      <c r="O20" s="321">
        <v>1.0</v>
      </c>
      <c r="P20" s="321">
        <v>130.0</v>
      </c>
      <c r="Q20" s="321">
        <v>3769.0</v>
      </c>
      <c r="R20" s="12" t="s">
        <v>305</v>
      </c>
      <c r="S20" s="12" t="s">
        <v>611</v>
      </c>
    </row>
    <row r="21">
      <c r="A21" s="12" t="s">
        <v>100</v>
      </c>
      <c r="B21" s="12" t="s">
        <v>246</v>
      </c>
      <c r="C21" s="12" t="s">
        <v>99</v>
      </c>
      <c r="D21" s="12" t="s">
        <v>360</v>
      </c>
      <c r="E21" s="321">
        <v>6.0</v>
      </c>
      <c r="F21" s="321">
        <v>1.0</v>
      </c>
      <c r="G21" s="321">
        <v>1.0</v>
      </c>
      <c r="H21" s="321">
        <v>19.0</v>
      </c>
      <c r="I21" s="12" t="s">
        <v>265</v>
      </c>
      <c r="J21" s="321">
        <v>3.0</v>
      </c>
      <c r="K21" s="321">
        <v>0.0</v>
      </c>
      <c r="L21" s="321">
        <v>0.0</v>
      </c>
      <c r="M21" s="321">
        <v>0.0</v>
      </c>
      <c r="N21" s="321">
        <v>0.0</v>
      </c>
      <c r="O21" s="321">
        <v>1.0</v>
      </c>
      <c r="P21" s="321">
        <v>130.0</v>
      </c>
      <c r="Q21" s="321">
        <v>3769.0</v>
      </c>
      <c r="R21" s="12" t="s">
        <v>236</v>
      </c>
      <c r="S21" s="12" t="s">
        <v>612</v>
      </c>
    </row>
    <row r="22">
      <c r="A22" s="12" t="s">
        <v>100</v>
      </c>
      <c r="B22" s="12" t="s">
        <v>242</v>
      </c>
      <c r="C22" s="12" t="s">
        <v>99</v>
      </c>
      <c r="D22" s="12" t="s">
        <v>361</v>
      </c>
      <c r="E22" s="321">
        <v>6.0</v>
      </c>
      <c r="F22" s="321">
        <v>1.0</v>
      </c>
      <c r="G22" s="321">
        <v>2.0</v>
      </c>
      <c r="H22" s="321">
        <v>19.0</v>
      </c>
      <c r="I22" s="12" t="s">
        <v>265</v>
      </c>
      <c r="J22" s="321">
        <v>3.0</v>
      </c>
      <c r="K22" s="321">
        <v>2354.0</v>
      </c>
      <c r="L22" s="321">
        <v>0.0</v>
      </c>
      <c r="M22" s="321">
        <v>0.0</v>
      </c>
      <c r="N22" s="321">
        <v>2354.0</v>
      </c>
      <c r="O22" s="321">
        <v>1.0</v>
      </c>
      <c r="P22" s="321">
        <v>130.0</v>
      </c>
      <c r="Q22" s="321">
        <v>3769.0</v>
      </c>
      <c r="R22" s="12" t="s">
        <v>236</v>
      </c>
      <c r="S22" s="12" t="s">
        <v>613</v>
      </c>
    </row>
    <row r="23">
      <c r="A23" s="12" t="s">
        <v>100</v>
      </c>
      <c r="B23" s="12" t="s">
        <v>257</v>
      </c>
      <c r="C23" s="12" t="s">
        <v>99</v>
      </c>
      <c r="D23" s="12" t="s">
        <v>364</v>
      </c>
      <c r="E23" s="321">
        <v>6.0</v>
      </c>
      <c r="F23" s="321">
        <v>0.0</v>
      </c>
      <c r="G23" s="321">
        <v>2.0</v>
      </c>
      <c r="H23" s="321">
        <v>20.0</v>
      </c>
      <c r="I23" s="12" t="s">
        <v>265</v>
      </c>
      <c r="J23" s="321">
        <v>3.0</v>
      </c>
      <c r="K23" s="321">
        <v>667.0</v>
      </c>
      <c r="L23" s="321">
        <v>0.0</v>
      </c>
      <c r="M23" s="321">
        <v>0.0</v>
      </c>
      <c r="N23" s="321">
        <v>667.0</v>
      </c>
      <c r="O23" s="321">
        <v>1.0</v>
      </c>
      <c r="P23" s="321">
        <v>130.0</v>
      </c>
      <c r="Q23" s="321">
        <v>3769.0</v>
      </c>
      <c r="R23" s="12" t="s">
        <v>309</v>
      </c>
      <c r="S23" s="12" t="s">
        <v>614</v>
      </c>
    </row>
    <row r="24">
      <c r="A24" s="12" t="s">
        <v>97</v>
      </c>
      <c r="B24" s="12" t="s">
        <v>221</v>
      </c>
      <c r="C24" s="12" t="s">
        <v>96</v>
      </c>
      <c r="D24" s="12" t="s">
        <v>375</v>
      </c>
      <c r="E24" s="321">
        <v>8.0</v>
      </c>
      <c r="F24" s="321">
        <v>2.0</v>
      </c>
      <c r="G24" s="321">
        <v>1.0</v>
      </c>
      <c r="H24" s="321">
        <v>24.0</v>
      </c>
      <c r="I24" s="12" t="s">
        <v>265</v>
      </c>
      <c r="J24" s="321">
        <v>5.0</v>
      </c>
      <c r="K24" s="321">
        <v>0.0</v>
      </c>
      <c r="L24" s="321">
        <v>0.0</v>
      </c>
      <c r="M24" s="321">
        <v>0.0</v>
      </c>
      <c r="N24" s="321">
        <v>0.0</v>
      </c>
      <c r="O24" s="321">
        <v>1.0</v>
      </c>
      <c r="P24" s="321">
        <v>55.0</v>
      </c>
      <c r="Q24" s="321">
        <v>2993.0</v>
      </c>
      <c r="R24" s="12" t="s">
        <v>293</v>
      </c>
      <c r="S24" s="12" t="s">
        <v>615</v>
      </c>
    </row>
    <row r="25">
      <c r="A25" s="12" t="s">
        <v>97</v>
      </c>
      <c r="B25" s="12" t="s">
        <v>235</v>
      </c>
      <c r="C25" s="12" t="s">
        <v>96</v>
      </c>
      <c r="D25" s="12" t="s">
        <v>376</v>
      </c>
      <c r="E25" s="321">
        <v>8.0</v>
      </c>
      <c r="F25" s="321">
        <v>2.0</v>
      </c>
      <c r="G25" s="321">
        <v>2.0</v>
      </c>
      <c r="H25" s="321">
        <v>24.0</v>
      </c>
      <c r="I25" s="12" t="s">
        <v>265</v>
      </c>
      <c r="J25" s="321">
        <v>5.0</v>
      </c>
      <c r="K25" s="321">
        <v>504.0</v>
      </c>
      <c r="L25" s="321">
        <v>0.0</v>
      </c>
      <c r="M25" s="321">
        <v>0.0</v>
      </c>
      <c r="N25" s="321">
        <v>504.0</v>
      </c>
      <c r="O25" s="321">
        <v>1.0</v>
      </c>
      <c r="P25" s="321">
        <v>55.0</v>
      </c>
      <c r="Q25" s="321">
        <v>2993.0</v>
      </c>
      <c r="R25" s="12" t="s">
        <v>291</v>
      </c>
      <c r="S25" s="12" t="s">
        <v>616</v>
      </c>
    </row>
    <row r="26">
      <c r="A26" s="12" t="s">
        <v>97</v>
      </c>
      <c r="B26" s="12" t="s">
        <v>236</v>
      </c>
      <c r="C26" s="12" t="s">
        <v>96</v>
      </c>
      <c r="D26" s="12" t="s">
        <v>146</v>
      </c>
      <c r="E26" s="321">
        <v>8.0</v>
      </c>
      <c r="F26" s="321">
        <v>1.0</v>
      </c>
      <c r="G26" s="321">
        <v>1.0</v>
      </c>
      <c r="H26" s="321">
        <v>25.0</v>
      </c>
      <c r="I26" s="12" t="s">
        <v>265</v>
      </c>
      <c r="J26" s="321">
        <v>5.0</v>
      </c>
      <c r="K26" s="321">
        <v>0.0</v>
      </c>
      <c r="L26" s="321">
        <v>0.0</v>
      </c>
      <c r="M26" s="321">
        <v>0.0</v>
      </c>
      <c r="N26" s="12" t="s">
        <v>236</v>
      </c>
      <c r="O26" s="321">
        <v>1.0</v>
      </c>
      <c r="P26" s="321">
        <v>55.0</v>
      </c>
      <c r="Q26" s="321">
        <v>2993.0</v>
      </c>
      <c r="R26" s="12" t="s">
        <v>236</v>
      </c>
      <c r="S26" s="12" t="s">
        <v>617</v>
      </c>
    </row>
    <row r="27">
      <c r="A27" s="12" t="s">
        <v>97</v>
      </c>
      <c r="B27" s="12" t="s">
        <v>234</v>
      </c>
      <c r="C27" s="12" t="s">
        <v>96</v>
      </c>
      <c r="D27" s="12" t="s">
        <v>378</v>
      </c>
      <c r="E27" s="321">
        <v>8.0</v>
      </c>
      <c r="F27" s="321">
        <v>1.0</v>
      </c>
      <c r="G27" s="321">
        <v>2.0</v>
      </c>
      <c r="H27" s="321">
        <v>25.0</v>
      </c>
      <c r="I27" s="12" t="s">
        <v>265</v>
      </c>
      <c r="J27" s="321">
        <v>5.0</v>
      </c>
      <c r="K27" s="321">
        <v>1733.0</v>
      </c>
      <c r="L27" s="321">
        <v>0.0</v>
      </c>
      <c r="M27" s="321">
        <v>0.0</v>
      </c>
      <c r="N27" s="321">
        <v>1733.0</v>
      </c>
      <c r="O27" s="321">
        <v>1.0</v>
      </c>
      <c r="P27" s="321">
        <v>55.0</v>
      </c>
      <c r="Q27" s="321">
        <v>2993.0</v>
      </c>
      <c r="R27" s="12" t="s">
        <v>236</v>
      </c>
      <c r="S27" s="12" t="s">
        <v>618</v>
      </c>
    </row>
    <row r="28">
      <c r="A28" s="12" t="s">
        <v>97</v>
      </c>
      <c r="B28" s="12" t="s">
        <v>232</v>
      </c>
      <c r="C28" s="12" t="s">
        <v>96</v>
      </c>
      <c r="D28" s="12" t="s">
        <v>381</v>
      </c>
      <c r="E28" s="321">
        <v>8.0</v>
      </c>
      <c r="F28" s="321">
        <v>0.0</v>
      </c>
      <c r="G28" s="321">
        <v>2.0</v>
      </c>
      <c r="H28" s="321">
        <v>26.0</v>
      </c>
      <c r="I28" s="12" t="s">
        <v>265</v>
      </c>
      <c r="J28" s="321">
        <v>5.0</v>
      </c>
      <c r="K28" s="321">
        <v>678.0</v>
      </c>
      <c r="L28" s="321">
        <v>0.0</v>
      </c>
      <c r="M28" s="321">
        <v>0.0</v>
      </c>
      <c r="N28" s="321">
        <v>678.0</v>
      </c>
      <c r="O28" s="321">
        <v>1.0</v>
      </c>
      <c r="P28" s="321">
        <v>55.0</v>
      </c>
      <c r="Q28" s="321">
        <v>2993.0</v>
      </c>
      <c r="R28" s="12" t="s">
        <v>236</v>
      </c>
      <c r="S28" s="12" t="s">
        <v>619</v>
      </c>
    </row>
    <row r="29">
      <c r="A29" s="12" t="s">
        <v>97</v>
      </c>
      <c r="B29" s="12" t="s">
        <v>225</v>
      </c>
      <c r="C29" s="12" t="s">
        <v>96</v>
      </c>
      <c r="D29" s="12" t="s">
        <v>384</v>
      </c>
      <c r="E29" s="321">
        <v>9.0</v>
      </c>
      <c r="F29" s="321">
        <v>2.0</v>
      </c>
      <c r="G29" s="321">
        <v>2.0</v>
      </c>
      <c r="H29" s="321">
        <v>27.0</v>
      </c>
      <c r="I29" s="12" t="s">
        <v>265</v>
      </c>
      <c r="J29" s="321">
        <v>6.0</v>
      </c>
      <c r="K29" s="321">
        <v>1246.0</v>
      </c>
      <c r="L29" s="321">
        <v>0.0</v>
      </c>
      <c r="M29" s="321">
        <v>0.0</v>
      </c>
      <c r="N29" s="321">
        <v>1246.0</v>
      </c>
      <c r="O29" s="321">
        <v>1.0</v>
      </c>
      <c r="P29" s="321">
        <v>55.0</v>
      </c>
      <c r="Q29" s="321">
        <v>2993.0</v>
      </c>
      <c r="R29" s="12" t="s">
        <v>236</v>
      </c>
      <c r="S29" s="12" t="s">
        <v>620</v>
      </c>
    </row>
    <row r="30">
      <c r="A30" s="12" t="s">
        <v>100</v>
      </c>
      <c r="B30" s="12" t="s">
        <v>240</v>
      </c>
      <c r="C30" s="12" t="s">
        <v>99</v>
      </c>
      <c r="D30" s="12" t="s">
        <v>387</v>
      </c>
      <c r="E30" s="321">
        <v>9.0</v>
      </c>
      <c r="F30" s="321">
        <v>1.0</v>
      </c>
      <c r="G30" s="321">
        <v>2.0</v>
      </c>
      <c r="H30" s="321">
        <v>28.0</v>
      </c>
      <c r="I30" s="12" t="s">
        <v>265</v>
      </c>
      <c r="J30" s="321">
        <v>6.0</v>
      </c>
      <c r="K30" s="321">
        <v>3769.0</v>
      </c>
      <c r="L30" s="321">
        <v>0.0</v>
      </c>
      <c r="M30" s="321">
        <v>0.0</v>
      </c>
      <c r="N30" s="321">
        <v>3769.0</v>
      </c>
      <c r="O30" s="321">
        <v>1.0</v>
      </c>
      <c r="P30" s="321">
        <v>130.0</v>
      </c>
      <c r="Q30" s="321">
        <v>3769.0</v>
      </c>
      <c r="R30" s="12" t="s">
        <v>305</v>
      </c>
      <c r="S30" s="12" t="s">
        <v>621</v>
      </c>
    </row>
    <row r="31">
      <c r="A31" s="12" t="s">
        <v>100</v>
      </c>
      <c r="B31" s="12" t="s">
        <v>258</v>
      </c>
      <c r="C31" s="12" t="s">
        <v>99</v>
      </c>
      <c r="D31" s="12" t="s">
        <v>389</v>
      </c>
      <c r="E31" s="321">
        <v>9.0</v>
      </c>
      <c r="F31" s="321">
        <v>0.0</v>
      </c>
      <c r="G31" s="321">
        <v>1.0</v>
      </c>
      <c r="H31" s="321">
        <v>29.0</v>
      </c>
      <c r="I31" s="12" t="s">
        <v>265</v>
      </c>
      <c r="J31" s="321">
        <v>6.0</v>
      </c>
      <c r="K31" s="321">
        <v>0.0</v>
      </c>
      <c r="L31" s="321">
        <v>0.0</v>
      </c>
      <c r="M31" s="321">
        <v>0.0</v>
      </c>
      <c r="N31" s="321">
        <v>0.0</v>
      </c>
      <c r="O31" s="321">
        <v>1.0</v>
      </c>
      <c r="P31" s="321">
        <v>130.0</v>
      </c>
      <c r="Q31" s="321">
        <v>3769.0</v>
      </c>
      <c r="R31" s="12" t="s">
        <v>236</v>
      </c>
      <c r="S31" s="12" t="s">
        <v>622</v>
      </c>
    </row>
    <row r="32">
      <c r="A32" s="12" t="s">
        <v>97</v>
      </c>
      <c r="B32" s="12" t="s">
        <v>231</v>
      </c>
      <c r="C32" s="12" t="s">
        <v>96</v>
      </c>
      <c r="D32" s="12" t="s">
        <v>404</v>
      </c>
      <c r="E32" s="321">
        <v>12.0</v>
      </c>
      <c r="F32" s="12" t="s">
        <v>236</v>
      </c>
      <c r="G32" s="321">
        <v>1.0</v>
      </c>
      <c r="H32" s="321">
        <v>34.0</v>
      </c>
      <c r="I32" s="12" t="s">
        <v>265</v>
      </c>
      <c r="J32" s="321">
        <v>9.0</v>
      </c>
      <c r="K32" s="321">
        <v>670.0</v>
      </c>
      <c r="L32" s="321">
        <v>0.0</v>
      </c>
      <c r="M32" s="321">
        <v>0.0</v>
      </c>
      <c r="N32" s="321">
        <v>670.0</v>
      </c>
      <c r="O32" s="321">
        <v>1.0</v>
      </c>
      <c r="P32" s="321">
        <v>55.0</v>
      </c>
      <c r="Q32" s="321">
        <v>2993.0</v>
      </c>
      <c r="R32" s="12" t="s">
        <v>290</v>
      </c>
      <c r="S32" s="12" t="s">
        <v>623</v>
      </c>
    </row>
    <row r="33">
      <c r="A33" s="12" t="s">
        <v>100</v>
      </c>
      <c r="B33" s="12" t="s">
        <v>588</v>
      </c>
      <c r="C33" s="12" t="s">
        <v>99</v>
      </c>
      <c r="D33" s="12" t="s">
        <v>404</v>
      </c>
      <c r="E33" s="321">
        <v>12.0</v>
      </c>
      <c r="F33" s="12" t="s">
        <v>236</v>
      </c>
      <c r="G33" s="321">
        <v>1.0</v>
      </c>
      <c r="H33" s="321">
        <v>34.0</v>
      </c>
      <c r="I33" s="12" t="s">
        <v>265</v>
      </c>
      <c r="J33" s="321">
        <v>9.0</v>
      </c>
      <c r="K33" s="321">
        <v>36.0</v>
      </c>
      <c r="L33" s="321">
        <v>0.0</v>
      </c>
      <c r="M33" s="321">
        <v>0.0</v>
      </c>
      <c r="N33" s="321">
        <v>36.0</v>
      </c>
      <c r="O33" s="321">
        <v>1.0</v>
      </c>
      <c r="P33" s="321">
        <v>130.0</v>
      </c>
      <c r="Q33" s="321">
        <v>3769.0</v>
      </c>
      <c r="R33" s="12" t="s">
        <v>236</v>
      </c>
      <c r="S33" s="12" t="s">
        <v>623</v>
      </c>
    </row>
    <row r="34">
      <c r="A34" s="12" t="s">
        <v>97</v>
      </c>
      <c r="B34" s="12" t="s">
        <v>237</v>
      </c>
      <c r="C34" s="12" t="s">
        <v>96</v>
      </c>
      <c r="D34" s="12" t="s">
        <v>149</v>
      </c>
      <c r="E34" s="321">
        <v>12.0</v>
      </c>
      <c r="F34" s="12" t="s">
        <v>236</v>
      </c>
      <c r="G34" s="321">
        <v>2.0</v>
      </c>
      <c r="H34" s="321">
        <v>34.0</v>
      </c>
      <c r="I34" s="12" t="s">
        <v>265</v>
      </c>
      <c r="J34" s="321">
        <v>9.0</v>
      </c>
      <c r="K34" s="321">
        <v>48.0</v>
      </c>
      <c r="L34" s="321">
        <v>0.0</v>
      </c>
      <c r="M34" s="321">
        <v>0.0</v>
      </c>
      <c r="N34" s="321">
        <v>48.0</v>
      </c>
      <c r="O34" s="321">
        <v>1.0</v>
      </c>
      <c r="P34" s="321">
        <v>55.0</v>
      </c>
      <c r="Q34" s="321">
        <v>2993.0</v>
      </c>
      <c r="R34" s="12" t="s">
        <v>236</v>
      </c>
      <c r="S34" s="12" t="s">
        <v>624</v>
      </c>
    </row>
    <row r="35">
      <c r="A35" s="12" t="s">
        <v>100</v>
      </c>
      <c r="B35" s="12" t="s">
        <v>252</v>
      </c>
      <c r="C35" s="12" t="s">
        <v>99</v>
      </c>
      <c r="D35" s="12" t="s">
        <v>149</v>
      </c>
      <c r="E35" s="321">
        <v>12.0</v>
      </c>
      <c r="F35" s="12" t="s">
        <v>236</v>
      </c>
      <c r="G35" s="321">
        <v>2.0</v>
      </c>
      <c r="H35" s="321">
        <v>34.0</v>
      </c>
      <c r="I35" s="12" t="s">
        <v>265</v>
      </c>
      <c r="J35" s="321">
        <v>9.0</v>
      </c>
      <c r="K35" s="321">
        <v>1996.0</v>
      </c>
      <c r="L35" s="321">
        <v>0.0</v>
      </c>
      <c r="M35" s="321">
        <v>0.0</v>
      </c>
      <c r="N35" s="321">
        <v>1996.0</v>
      </c>
      <c r="O35" s="321">
        <v>1.0</v>
      </c>
      <c r="P35" s="321">
        <v>130.0</v>
      </c>
      <c r="Q35" s="321">
        <v>3769.0</v>
      </c>
      <c r="R35" s="12" t="s">
        <v>236</v>
      </c>
      <c r="S35" s="12" t="s">
        <v>624</v>
      </c>
    </row>
    <row r="36">
      <c r="A36" s="12" t="s">
        <v>97</v>
      </c>
      <c r="B36" s="12" t="s">
        <v>220</v>
      </c>
      <c r="C36" s="12" t="s">
        <v>96</v>
      </c>
      <c r="D36" s="12" t="s">
        <v>406</v>
      </c>
      <c r="E36" s="321">
        <v>12.0</v>
      </c>
      <c r="F36" s="12" t="s">
        <v>236</v>
      </c>
      <c r="G36" s="321">
        <v>1.0</v>
      </c>
      <c r="H36" s="321">
        <v>35.0</v>
      </c>
      <c r="I36" s="12" t="s">
        <v>265</v>
      </c>
      <c r="J36" s="321">
        <v>9.0</v>
      </c>
      <c r="K36" s="321">
        <v>2052.0</v>
      </c>
      <c r="L36" s="321">
        <v>0.0</v>
      </c>
      <c r="M36" s="321">
        <v>0.0</v>
      </c>
      <c r="N36" s="321">
        <v>2052.0</v>
      </c>
      <c r="O36" s="321">
        <v>1.0</v>
      </c>
      <c r="P36" s="321">
        <v>55.0</v>
      </c>
      <c r="Q36" s="321">
        <v>2993.0</v>
      </c>
      <c r="R36" s="12" t="s">
        <v>236</v>
      </c>
      <c r="S36" s="12" t="s">
        <v>625</v>
      </c>
    </row>
    <row r="37">
      <c r="A37" s="12" t="s">
        <v>100</v>
      </c>
      <c r="B37" s="12" t="s">
        <v>251</v>
      </c>
      <c r="C37" s="12" t="s">
        <v>99</v>
      </c>
      <c r="D37" s="12" t="s">
        <v>406</v>
      </c>
      <c r="E37" s="321">
        <v>12.0</v>
      </c>
      <c r="F37" s="12" t="s">
        <v>236</v>
      </c>
      <c r="G37" s="321">
        <v>1.0</v>
      </c>
      <c r="H37" s="321">
        <v>35.0</v>
      </c>
      <c r="I37" s="12" t="s">
        <v>265</v>
      </c>
      <c r="J37" s="321">
        <v>9.0</v>
      </c>
      <c r="K37" s="321">
        <v>1383.0</v>
      </c>
      <c r="L37" s="321">
        <v>0.0</v>
      </c>
      <c r="M37" s="321">
        <v>0.0</v>
      </c>
      <c r="N37" s="321">
        <v>1383.0</v>
      </c>
      <c r="O37" s="321">
        <v>1.0</v>
      </c>
      <c r="P37" s="321">
        <v>130.0</v>
      </c>
      <c r="Q37" s="321">
        <v>3769.0</v>
      </c>
      <c r="R37" s="12" t="s">
        <v>236</v>
      </c>
      <c r="S37" s="12" t="s">
        <v>625</v>
      </c>
    </row>
    <row r="38">
      <c r="A38" s="12" t="s">
        <v>97</v>
      </c>
      <c r="B38" s="12" t="s">
        <v>209</v>
      </c>
      <c r="C38" s="12" t="s">
        <v>96</v>
      </c>
      <c r="D38" s="12" t="s">
        <v>166</v>
      </c>
      <c r="E38" s="321">
        <v>12.0</v>
      </c>
      <c r="F38" s="12" t="s">
        <v>236</v>
      </c>
      <c r="G38" s="321">
        <v>2.0</v>
      </c>
      <c r="H38" s="321">
        <v>35.0</v>
      </c>
      <c r="I38" s="12" t="s">
        <v>265</v>
      </c>
      <c r="J38" s="321">
        <v>9.0</v>
      </c>
      <c r="K38" s="321">
        <v>48.0</v>
      </c>
      <c r="L38" s="321">
        <v>0.0</v>
      </c>
      <c r="M38" s="321">
        <v>0.0</v>
      </c>
      <c r="N38" s="321">
        <v>48.0</v>
      </c>
      <c r="O38" s="321">
        <v>1.0</v>
      </c>
      <c r="P38" s="321">
        <v>55.0</v>
      </c>
      <c r="Q38" s="321">
        <v>2993.0</v>
      </c>
      <c r="R38" s="12" t="s">
        <v>236</v>
      </c>
      <c r="S38" s="12" t="s">
        <v>626</v>
      </c>
    </row>
    <row r="39">
      <c r="A39" s="12" t="s">
        <v>100</v>
      </c>
      <c r="B39" s="12" t="s">
        <v>236</v>
      </c>
      <c r="C39" s="12" t="s">
        <v>99</v>
      </c>
      <c r="D39" s="12" t="s">
        <v>166</v>
      </c>
      <c r="E39" s="321">
        <v>12.0</v>
      </c>
      <c r="F39" s="12" t="s">
        <v>236</v>
      </c>
      <c r="G39" s="321">
        <v>2.0</v>
      </c>
      <c r="H39" s="321">
        <v>35.0</v>
      </c>
      <c r="I39" s="12" t="s">
        <v>265</v>
      </c>
      <c r="J39" s="321">
        <v>9.0</v>
      </c>
      <c r="K39" s="321">
        <v>0.0</v>
      </c>
      <c r="L39" s="321">
        <v>0.0</v>
      </c>
      <c r="M39" s="321">
        <v>0.0</v>
      </c>
      <c r="N39" s="12" t="s">
        <v>236</v>
      </c>
      <c r="O39" s="321">
        <v>1.0</v>
      </c>
      <c r="P39" s="321">
        <v>130.0</v>
      </c>
      <c r="Q39" s="321">
        <v>3769.0</v>
      </c>
      <c r="R39" s="12" t="s">
        <v>236</v>
      </c>
      <c r="S39" s="12" t="s">
        <v>626</v>
      </c>
    </row>
    <row r="40">
      <c r="A40" s="12" t="s">
        <v>97</v>
      </c>
      <c r="B40" s="12" t="s">
        <v>224</v>
      </c>
      <c r="C40" s="12" t="s">
        <v>96</v>
      </c>
      <c r="D40" s="12" t="s">
        <v>409</v>
      </c>
      <c r="E40" s="321">
        <v>13.0</v>
      </c>
      <c r="F40" s="12" t="s">
        <v>236</v>
      </c>
      <c r="G40" s="321">
        <v>2.0</v>
      </c>
      <c r="H40" s="321">
        <v>36.0</v>
      </c>
      <c r="I40" s="12" t="s">
        <v>265</v>
      </c>
      <c r="J40" s="321">
        <v>10.0</v>
      </c>
      <c r="K40" s="321">
        <v>0.0</v>
      </c>
      <c r="L40" s="321">
        <v>0.0</v>
      </c>
      <c r="M40" s="321">
        <v>0.0</v>
      </c>
      <c r="N40" s="321">
        <v>0.0</v>
      </c>
      <c r="O40" s="321">
        <v>1.0</v>
      </c>
      <c r="P40" s="321">
        <v>55.0</v>
      </c>
      <c r="Q40" s="321">
        <v>2993.0</v>
      </c>
      <c r="R40" s="12" t="s">
        <v>236</v>
      </c>
      <c r="S40" s="12" t="s">
        <v>627</v>
      </c>
    </row>
    <row r="41">
      <c r="A41" s="12" t="s">
        <v>97</v>
      </c>
      <c r="B41" s="12" t="s">
        <v>223</v>
      </c>
      <c r="C41" s="12" t="s">
        <v>96</v>
      </c>
      <c r="D41" s="12" t="s">
        <v>413</v>
      </c>
      <c r="E41" s="321">
        <v>13.0</v>
      </c>
      <c r="F41" s="12" t="s">
        <v>236</v>
      </c>
      <c r="G41" s="321">
        <v>3.0</v>
      </c>
      <c r="H41" s="321">
        <v>37.0</v>
      </c>
      <c r="I41" s="12" t="s">
        <v>265</v>
      </c>
      <c r="J41" s="321">
        <v>10.0</v>
      </c>
      <c r="K41" s="321">
        <v>0.0</v>
      </c>
      <c r="L41" s="321">
        <v>0.0</v>
      </c>
      <c r="M41" s="321">
        <v>0.0</v>
      </c>
      <c r="N41" s="321">
        <v>0.0</v>
      </c>
      <c r="O41" s="321">
        <v>1.0</v>
      </c>
      <c r="P41" s="321">
        <v>55.0</v>
      </c>
      <c r="Q41" s="321">
        <v>2993.0</v>
      </c>
      <c r="R41" s="12" t="s">
        <v>293</v>
      </c>
      <c r="S41" s="12" t="s">
        <v>628</v>
      </c>
    </row>
    <row r="42">
      <c r="A42" s="12" t="s">
        <v>97</v>
      </c>
      <c r="B42" s="12" t="s">
        <v>218</v>
      </c>
      <c r="C42" s="12" t="s">
        <v>96</v>
      </c>
      <c r="D42" s="12" t="s">
        <v>414</v>
      </c>
      <c r="E42" s="321">
        <v>13.0</v>
      </c>
      <c r="F42" s="12" t="s">
        <v>236</v>
      </c>
      <c r="G42" s="321">
        <v>1.0</v>
      </c>
      <c r="H42" s="321">
        <v>38.0</v>
      </c>
      <c r="I42" s="12" t="s">
        <v>265</v>
      </c>
      <c r="J42" s="321">
        <v>10.0</v>
      </c>
      <c r="K42" s="321">
        <v>2993.0</v>
      </c>
      <c r="L42" s="321">
        <v>0.0</v>
      </c>
      <c r="M42" s="321">
        <v>0.0</v>
      </c>
      <c r="N42" s="321">
        <v>2993.0</v>
      </c>
      <c r="O42" s="321">
        <v>1.0</v>
      </c>
      <c r="P42" s="321">
        <v>55.0</v>
      </c>
      <c r="Q42" s="321">
        <v>2993.0</v>
      </c>
      <c r="R42" s="12" t="s">
        <v>290</v>
      </c>
      <c r="S42" s="12" t="s">
        <v>629</v>
      </c>
    </row>
    <row r="43">
      <c r="A43" s="12" t="s">
        <v>97</v>
      </c>
      <c r="B43" s="12" t="s">
        <v>16</v>
      </c>
      <c r="C43" s="12" t="s">
        <v>96</v>
      </c>
      <c r="D43" s="12" t="s">
        <v>17</v>
      </c>
      <c r="E43" s="321">
        <v>14.0</v>
      </c>
      <c r="F43" s="321">
        <v>1.0</v>
      </c>
      <c r="G43" s="321">
        <v>1.0</v>
      </c>
      <c r="H43" s="321">
        <v>41.0</v>
      </c>
      <c r="I43" s="12" t="s">
        <v>265</v>
      </c>
      <c r="J43" s="321">
        <v>11.0</v>
      </c>
      <c r="K43" s="321">
        <v>48.0</v>
      </c>
      <c r="L43" s="321">
        <v>0.0</v>
      </c>
      <c r="M43" s="321">
        <v>0.0</v>
      </c>
      <c r="N43" s="321">
        <v>48.0</v>
      </c>
      <c r="O43" s="321">
        <v>1.0</v>
      </c>
      <c r="P43" s="321">
        <v>55.0</v>
      </c>
      <c r="Q43" s="321">
        <v>2993.0</v>
      </c>
      <c r="R43" s="12" t="s">
        <v>236</v>
      </c>
      <c r="S43" s="12" t="s">
        <v>630</v>
      </c>
    </row>
    <row r="44">
      <c r="A44" s="12" t="s">
        <v>97</v>
      </c>
      <c r="B44" s="12" t="s">
        <v>301</v>
      </c>
      <c r="C44" s="12" t="s">
        <v>96</v>
      </c>
      <c r="D44" s="12" t="s">
        <v>171</v>
      </c>
      <c r="E44" s="321">
        <v>14.0</v>
      </c>
      <c r="F44" s="321">
        <v>1.0</v>
      </c>
      <c r="G44" s="321">
        <v>2.0</v>
      </c>
      <c r="H44" s="321">
        <v>41.0</v>
      </c>
      <c r="I44" s="12" t="s">
        <v>265</v>
      </c>
      <c r="J44" s="321">
        <v>11.0</v>
      </c>
      <c r="K44" s="12" t="s">
        <v>236</v>
      </c>
      <c r="L44" s="12" t="s">
        <v>236</v>
      </c>
      <c r="M44" s="12" t="s">
        <v>236</v>
      </c>
      <c r="N44" s="321">
        <v>0.0</v>
      </c>
      <c r="O44" s="321">
        <v>1.0</v>
      </c>
      <c r="P44" s="321">
        <v>55.0</v>
      </c>
      <c r="Q44" s="321">
        <v>2993.0</v>
      </c>
      <c r="R44" s="12" t="s">
        <v>290</v>
      </c>
      <c r="S44" s="12" t="s">
        <v>631</v>
      </c>
    </row>
    <row r="45">
      <c r="A45" s="12" t="s">
        <v>100</v>
      </c>
      <c r="B45" s="12" t="s">
        <v>170</v>
      </c>
      <c r="C45" s="12" t="s">
        <v>99</v>
      </c>
      <c r="D45" s="12" t="s">
        <v>171</v>
      </c>
      <c r="E45" s="321">
        <v>14.0</v>
      </c>
      <c r="F45" s="321">
        <v>1.0</v>
      </c>
      <c r="G45" s="321">
        <v>2.0</v>
      </c>
      <c r="H45" s="321">
        <v>41.0</v>
      </c>
      <c r="I45" s="12" t="s">
        <v>265</v>
      </c>
      <c r="J45" s="321">
        <v>11.0</v>
      </c>
      <c r="K45" s="321">
        <v>73.0</v>
      </c>
      <c r="L45" s="321">
        <v>0.0</v>
      </c>
      <c r="M45" s="321">
        <v>0.0</v>
      </c>
      <c r="N45" s="321">
        <v>73.0</v>
      </c>
      <c r="O45" s="321">
        <v>1.0</v>
      </c>
      <c r="P45" s="321">
        <v>130.0</v>
      </c>
      <c r="Q45" s="321">
        <v>3769.0</v>
      </c>
      <c r="R45" s="12" t="s">
        <v>236</v>
      </c>
      <c r="S45" s="12" t="s">
        <v>631</v>
      </c>
    </row>
    <row r="46">
      <c r="A46" s="12" t="s">
        <v>97</v>
      </c>
      <c r="B46" s="12" t="s">
        <v>228</v>
      </c>
      <c r="C46" s="12" t="s">
        <v>96</v>
      </c>
      <c r="D46" s="12" t="s">
        <v>420</v>
      </c>
      <c r="E46" s="321">
        <v>14.0</v>
      </c>
      <c r="F46" s="321">
        <v>0.0</v>
      </c>
      <c r="G46" s="321">
        <v>1.0</v>
      </c>
      <c r="H46" s="321">
        <v>42.0</v>
      </c>
      <c r="I46" s="12" t="s">
        <v>265</v>
      </c>
      <c r="J46" s="321">
        <v>11.0</v>
      </c>
      <c r="K46" s="321">
        <v>598.0</v>
      </c>
      <c r="L46" s="321">
        <v>0.0</v>
      </c>
      <c r="M46" s="321">
        <v>0.0</v>
      </c>
      <c r="N46" s="321">
        <v>598.0</v>
      </c>
      <c r="O46" s="321">
        <v>1.0</v>
      </c>
      <c r="P46" s="321">
        <v>55.0</v>
      </c>
      <c r="Q46" s="321">
        <v>2993.0</v>
      </c>
      <c r="R46" s="12" t="s">
        <v>291</v>
      </c>
      <c r="S46" s="12" t="s">
        <v>632</v>
      </c>
    </row>
    <row r="47">
      <c r="A47" s="12" t="s">
        <v>100</v>
      </c>
      <c r="B47" s="12" t="s">
        <v>247</v>
      </c>
      <c r="C47" s="12" t="s">
        <v>99</v>
      </c>
      <c r="D47" s="12" t="s">
        <v>420</v>
      </c>
      <c r="E47" s="321">
        <v>14.0</v>
      </c>
      <c r="F47" s="321">
        <v>0.0</v>
      </c>
      <c r="G47" s="321">
        <v>1.0</v>
      </c>
      <c r="H47" s="321">
        <v>42.0</v>
      </c>
      <c r="I47" s="12" t="s">
        <v>265</v>
      </c>
      <c r="J47" s="321">
        <v>11.0</v>
      </c>
      <c r="K47" s="321">
        <v>1291.0</v>
      </c>
      <c r="L47" s="321">
        <v>0.0</v>
      </c>
      <c r="M47" s="321">
        <v>0.0</v>
      </c>
      <c r="N47" s="321">
        <v>1291.0</v>
      </c>
      <c r="O47" s="321">
        <v>1.0</v>
      </c>
      <c r="P47" s="321">
        <v>130.0</v>
      </c>
      <c r="Q47" s="321">
        <v>3769.0</v>
      </c>
      <c r="R47" s="12" t="s">
        <v>236</v>
      </c>
      <c r="S47" s="12" t="s">
        <v>632</v>
      </c>
    </row>
    <row r="48">
      <c r="A48" s="12" t="s">
        <v>100</v>
      </c>
      <c r="B48" s="12" t="s">
        <v>172</v>
      </c>
      <c r="C48" s="12" t="s">
        <v>99</v>
      </c>
      <c r="D48" s="12" t="s">
        <v>77</v>
      </c>
      <c r="E48" s="321">
        <v>14.0</v>
      </c>
      <c r="F48" s="321">
        <v>0.0</v>
      </c>
      <c r="G48" s="321">
        <v>2.0</v>
      </c>
      <c r="H48" s="321">
        <v>42.0</v>
      </c>
      <c r="I48" s="12" t="s">
        <v>265</v>
      </c>
      <c r="J48" s="321">
        <v>11.0</v>
      </c>
      <c r="K48" s="321">
        <v>89.0</v>
      </c>
      <c r="L48" s="321">
        <v>0.0</v>
      </c>
      <c r="M48" s="321">
        <v>0.0</v>
      </c>
      <c r="N48" s="321">
        <v>89.0</v>
      </c>
      <c r="O48" s="321">
        <v>1.0</v>
      </c>
      <c r="P48" s="321">
        <v>130.0</v>
      </c>
      <c r="Q48" s="321">
        <v>3769.0</v>
      </c>
      <c r="R48" s="12" t="s">
        <v>236</v>
      </c>
      <c r="S48" s="12" t="s">
        <v>633</v>
      </c>
    </row>
    <row r="49">
      <c r="A49" s="12" t="s">
        <v>97</v>
      </c>
      <c r="B49" s="12" t="s">
        <v>222</v>
      </c>
      <c r="C49" s="12" t="s">
        <v>96</v>
      </c>
      <c r="D49" s="12" t="s">
        <v>421</v>
      </c>
      <c r="E49" s="321">
        <v>14.0</v>
      </c>
      <c r="F49" s="321">
        <v>2.0</v>
      </c>
      <c r="G49" s="321">
        <v>1.0</v>
      </c>
      <c r="H49" s="321">
        <v>43.0</v>
      </c>
      <c r="I49" s="12" t="s">
        <v>265</v>
      </c>
      <c r="J49" s="321">
        <v>11.0</v>
      </c>
      <c r="K49" s="321">
        <v>2180.0</v>
      </c>
      <c r="L49" s="321">
        <v>0.0</v>
      </c>
      <c r="M49" s="321">
        <v>0.0</v>
      </c>
      <c r="N49" s="321">
        <v>2180.0</v>
      </c>
      <c r="O49" s="321">
        <v>1.0</v>
      </c>
      <c r="P49" s="321">
        <v>55.0</v>
      </c>
      <c r="Q49" s="321">
        <v>2993.0</v>
      </c>
      <c r="R49" s="12" t="s">
        <v>236</v>
      </c>
      <c r="S49" s="12" t="s">
        <v>634</v>
      </c>
    </row>
    <row r="50">
      <c r="A50" s="12" t="s">
        <v>100</v>
      </c>
      <c r="B50" s="12" t="s">
        <v>256</v>
      </c>
      <c r="C50" s="12" t="s">
        <v>99</v>
      </c>
      <c r="D50" s="12" t="s">
        <v>421</v>
      </c>
      <c r="E50" s="321">
        <v>14.0</v>
      </c>
      <c r="F50" s="321">
        <v>2.0</v>
      </c>
      <c r="G50" s="321">
        <v>1.0</v>
      </c>
      <c r="H50" s="321">
        <v>43.0</v>
      </c>
      <c r="I50" s="12" t="s">
        <v>265</v>
      </c>
      <c r="J50" s="321">
        <v>11.0</v>
      </c>
      <c r="K50" s="321">
        <v>1844.0</v>
      </c>
      <c r="L50" s="321">
        <v>0.0</v>
      </c>
      <c r="M50" s="321">
        <v>0.0</v>
      </c>
      <c r="N50" s="321">
        <v>1844.0</v>
      </c>
      <c r="O50" s="321">
        <v>1.0</v>
      </c>
      <c r="P50" s="321">
        <v>130.0</v>
      </c>
      <c r="Q50" s="321">
        <v>3769.0</v>
      </c>
      <c r="R50" s="12" t="s">
        <v>236</v>
      </c>
      <c r="S50" s="12" t="s">
        <v>634</v>
      </c>
    </row>
    <row r="51">
      <c r="A51" s="12" t="s">
        <v>97</v>
      </c>
      <c r="B51" s="12" t="s">
        <v>238</v>
      </c>
      <c r="C51" s="12" t="s">
        <v>96</v>
      </c>
      <c r="D51" s="12" t="s">
        <v>150</v>
      </c>
      <c r="E51" s="321">
        <v>14.0</v>
      </c>
      <c r="F51" s="321">
        <v>2.0</v>
      </c>
      <c r="G51" s="321">
        <v>2.0</v>
      </c>
      <c r="H51" s="321">
        <v>43.0</v>
      </c>
      <c r="I51" s="12" t="s">
        <v>265</v>
      </c>
      <c r="J51" s="321">
        <v>11.0</v>
      </c>
      <c r="K51" s="321">
        <v>56.0</v>
      </c>
      <c r="L51" s="321">
        <v>0.0</v>
      </c>
      <c r="M51" s="321">
        <v>0.0</v>
      </c>
      <c r="N51" s="321">
        <v>56.0</v>
      </c>
      <c r="O51" s="321">
        <v>1.0</v>
      </c>
      <c r="P51" s="321">
        <v>55.0</v>
      </c>
      <c r="Q51" s="321">
        <v>2993.0</v>
      </c>
      <c r="R51" s="12" t="s">
        <v>236</v>
      </c>
      <c r="S51" s="12" t="s">
        <v>635</v>
      </c>
    </row>
    <row r="52">
      <c r="A52" s="12" t="s">
        <v>100</v>
      </c>
      <c r="B52" s="12" t="s">
        <v>249</v>
      </c>
      <c r="C52" s="12" t="s">
        <v>99</v>
      </c>
      <c r="D52" s="12" t="s">
        <v>150</v>
      </c>
      <c r="E52" s="321">
        <v>14.0</v>
      </c>
      <c r="F52" s="321">
        <v>2.0</v>
      </c>
      <c r="G52" s="321">
        <v>2.0</v>
      </c>
      <c r="H52" s="321">
        <v>43.0</v>
      </c>
      <c r="I52" s="12" t="s">
        <v>265</v>
      </c>
      <c r="J52" s="321">
        <v>11.0</v>
      </c>
      <c r="K52" s="321">
        <v>260.0</v>
      </c>
      <c r="L52" s="321">
        <v>0.0</v>
      </c>
      <c r="M52" s="321">
        <v>0.0</v>
      </c>
      <c r="N52" s="321">
        <v>260.0</v>
      </c>
      <c r="O52" s="321">
        <v>1.0</v>
      </c>
      <c r="P52" s="321">
        <v>130.0</v>
      </c>
      <c r="Q52" s="321">
        <v>3769.0</v>
      </c>
      <c r="R52" s="12" t="s">
        <v>236</v>
      </c>
      <c r="S52" s="12" t="s">
        <v>635</v>
      </c>
    </row>
    <row r="53">
      <c r="A53" s="12" t="s">
        <v>97</v>
      </c>
      <c r="B53" s="12" t="s">
        <v>211</v>
      </c>
      <c r="C53" s="12" t="s">
        <v>96</v>
      </c>
      <c r="D53" s="12" t="s">
        <v>212</v>
      </c>
      <c r="E53" s="321">
        <v>14.0</v>
      </c>
      <c r="F53" s="321">
        <v>1.0</v>
      </c>
      <c r="G53" s="321">
        <v>2.0</v>
      </c>
      <c r="H53" s="321">
        <v>44.0</v>
      </c>
      <c r="I53" s="12" t="s">
        <v>265</v>
      </c>
      <c r="J53" s="321">
        <v>11.0</v>
      </c>
      <c r="K53" s="321">
        <v>56.0</v>
      </c>
      <c r="L53" s="321">
        <v>0.0</v>
      </c>
      <c r="M53" s="321">
        <v>0.0</v>
      </c>
      <c r="N53" s="321">
        <v>56.0</v>
      </c>
      <c r="O53" s="321">
        <v>1.0</v>
      </c>
      <c r="P53" s="321">
        <v>55.0</v>
      </c>
      <c r="Q53" s="321">
        <v>2993.0</v>
      </c>
      <c r="R53" s="12" t="s">
        <v>236</v>
      </c>
      <c r="S53" s="12" t="s">
        <v>636</v>
      </c>
    </row>
    <row r="54">
      <c r="A54" s="12" t="s">
        <v>97</v>
      </c>
      <c r="B54" s="12" t="s">
        <v>239</v>
      </c>
      <c r="C54" s="12" t="s">
        <v>96</v>
      </c>
      <c r="D54" s="12" t="s">
        <v>153</v>
      </c>
      <c r="E54" s="321">
        <v>16.0</v>
      </c>
      <c r="F54" s="321">
        <v>2.0</v>
      </c>
      <c r="G54" s="321">
        <v>2.0</v>
      </c>
      <c r="H54" s="321">
        <v>49.0</v>
      </c>
      <c r="I54" s="12" t="s">
        <v>265</v>
      </c>
      <c r="J54" s="321">
        <v>13.0</v>
      </c>
      <c r="K54" s="321">
        <v>36.0</v>
      </c>
      <c r="L54" s="321">
        <v>0.0</v>
      </c>
      <c r="M54" s="321">
        <v>0.0</v>
      </c>
      <c r="N54" s="321">
        <v>36.0</v>
      </c>
      <c r="O54" s="321">
        <v>1.0</v>
      </c>
      <c r="P54" s="321">
        <v>55.0</v>
      </c>
      <c r="Q54" s="321">
        <v>2993.0</v>
      </c>
      <c r="R54" s="12" t="s">
        <v>236</v>
      </c>
      <c r="S54" s="12" t="s">
        <v>637</v>
      </c>
    </row>
    <row r="55">
      <c r="A55" s="12" t="s">
        <v>100</v>
      </c>
      <c r="B55" s="12" t="s">
        <v>169</v>
      </c>
      <c r="C55" s="12" t="s">
        <v>99</v>
      </c>
      <c r="D55" s="12" t="s">
        <v>153</v>
      </c>
      <c r="E55" s="321">
        <v>16.0</v>
      </c>
      <c r="F55" s="321">
        <v>2.0</v>
      </c>
      <c r="G55" s="321">
        <v>2.0</v>
      </c>
      <c r="H55" s="321">
        <v>49.0</v>
      </c>
      <c r="I55" s="12" t="s">
        <v>265</v>
      </c>
      <c r="J55" s="321">
        <v>13.0</v>
      </c>
      <c r="K55" s="321">
        <v>126.0</v>
      </c>
      <c r="L55" s="321">
        <v>0.0</v>
      </c>
      <c r="M55" s="321">
        <v>0.0</v>
      </c>
      <c r="N55" s="321">
        <v>126.0</v>
      </c>
      <c r="O55" s="321">
        <v>1.0</v>
      </c>
      <c r="P55" s="321">
        <v>130.0</v>
      </c>
      <c r="Q55" s="321">
        <v>3769.0</v>
      </c>
      <c r="R55" s="12" t="s">
        <v>236</v>
      </c>
      <c r="S55" s="12" t="s">
        <v>637</v>
      </c>
    </row>
    <row r="56">
      <c r="A56" s="12" t="s">
        <v>97</v>
      </c>
      <c r="B56" s="12" t="s">
        <v>230</v>
      </c>
      <c r="C56" s="12" t="s">
        <v>96</v>
      </c>
      <c r="D56" s="12" t="s">
        <v>78</v>
      </c>
      <c r="E56" s="321">
        <v>16.0</v>
      </c>
      <c r="F56" s="321">
        <v>1.0</v>
      </c>
      <c r="G56" s="321">
        <v>1.0</v>
      </c>
      <c r="H56" s="321">
        <v>50.0</v>
      </c>
      <c r="I56" s="12" t="s">
        <v>265</v>
      </c>
      <c r="J56" s="321">
        <v>13.0</v>
      </c>
      <c r="K56" s="321">
        <v>1276.0</v>
      </c>
      <c r="L56" s="321">
        <v>0.0</v>
      </c>
      <c r="M56" s="321">
        <v>0.0</v>
      </c>
      <c r="N56" s="321">
        <v>1276.0</v>
      </c>
      <c r="O56" s="321">
        <v>1.0</v>
      </c>
      <c r="P56" s="321">
        <v>55.0</v>
      </c>
      <c r="Q56" s="321">
        <v>2993.0</v>
      </c>
      <c r="R56" s="12" t="s">
        <v>236</v>
      </c>
      <c r="S56" s="12" t="s">
        <v>638</v>
      </c>
    </row>
    <row r="57">
      <c r="A57" s="12" t="s">
        <v>100</v>
      </c>
      <c r="B57" s="12" t="s">
        <v>250</v>
      </c>
      <c r="C57" s="12" t="s">
        <v>99</v>
      </c>
      <c r="D57" s="12" t="s">
        <v>78</v>
      </c>
      <c r="E57" s="321">
        <v>16.0</v>
      </c>
      <c r="F57" s="321">
        <v>1.0</v>
      </c>
      <c r="G57" s="321">
        <v>1.0</v>
      </c>
      <c r="H57" s="321">
        <v>50.0</v>
      </c>
      <c r="I57" s="12" t="s">
        <v>265</v>
      </c>
      <c r="J57" s="321">
        <v>13.0</v>
      </c>
      <c r="K57" s="321">
        <v>709.0</v>
      </c>
      <c r="L57" s="321">
        <v>0.0</v>
      </c>
      <c r="M57" s="321">
        <v>0.0</v>
      </c>
      <c r="N57" s="321">
        <v>709.0</v>
      </c>
      <c r="O57" s="321">
        <v>1.0</v>
      </c>
      <c r="P57" s="321">
        <v>130.0</v>
      </c>
      <c r="Q57" s="321">
        <v>3769.0</v>
      </c>
      <c r="R57" s="12" t="s">
        <v>309</v>
      </c>
      <c r="S57" s="12" t="s">
        <v>638</v>
      </c>
    </row>
    <row r="58">
      <c r="A58" s="12" t="s">
        <v>97</v>
      </c>
      <c r="B58" s="12" t="s">
        <v>213</v>
      </c>
      <c r="C58" s="12" t="s">
        <v>96</v>
      </c>
      <c r="D58" s="12" t="s">
        <v>214</v>
      </c>
      <c r="E58" s="321">
        <v>16.0</v>
      </c>
      <c r="F58" s="321">
        <v>1.0</v>
      </c>
      <c r="G58" s="321">
        <v>2.0</v>
      </c>
      <c r="H58" s="321">
        <v>50.0</v>
      </c>
      <c r="I58" s="12" t="s">
        <v>265</v>
      </c>
      <c r="J58" s="321">
        <v>13.0</v>
      </c>
      <c r="K58" s="321">
        <v>36.0</v>
      </c>
      <c r="L58" s="321">
        <v>0.0</v>
      </c>
      <c r="M58" s="321">
        <v>0.0</v>
      </c>
      <c r="N58" s="321">
        <v>36.0</v>
      </c>
      <c r="O58" s="321">
        <v>1.0</v>
      </c>
      <c r="P58" s="321">
        <v>55.0</v>
      </c>
      <c r="Q58" s="321">
        <v>2993.0</v>
      </c>
      <c r="R58" s="12" t="s">
        <v>236</v>
      </c>
      <c r="S58" s="12" t="s">
        <v>639</v>
      </c>
    </row>
    <row r="59">
      <c r="A59" s="12" t="s">
        <v>100</v>
      </c>
      <c r="B59" s="12" t="s">
        <v>217</v>
      </c>
      <c r="C59" s="12" t="s">
        <v>99</v>
      </c>
      <c r="D59" s="12" t="s">
        <v>214</v>
      </c>
      <c r="E59" s="321">
        <v>16.0</v>
      </c>
      <c r="F59" s="321">
        <v>1.0</v>
      </c>
      <c r="G59" s="321">
        <v>2.0</v>
      </c>
      <c r="H59" s="321">
        <v>50.0</v>
      </c>
      <c r="I59" s="12" t="s">
        <v>265</v>
      </c>
      <c r="J59" s="321">
        <v>13.0</v>
      </c>
      <c r="K59" s="321">
        <v>0.0</v>
      </c>
      <c r="L59" s="321">
        <v>0.0</v>
      </c>
      <c r="M59" s="321">
        <v>0.0</v>
      </c>
      <c r="N59" s="321">
        <v>0.0</v>
      </c>
      <c r="O59" s="321">
        <v>1.0</v>
      </c>
      <c r="P59" s="321">
        <v>130.0</v>
      </c>
      <c r="Q59" s="321">
        <v>3769.0</v>
      </c>
      <c r="R59" s="12" t="s">
        <v>236</v>
      </c>
      <c r="S59" s="12" t="s">
        <v>639</v>
      </c>
    </row>
    <row r="60">
      <c r="A60" s="12" t="s">
        <v>97</v>
      </c>
      <c r="B60" s="12" t="s">
        <v>229</v>
      </c>
      <c r="C60" s="12" t="s">
        <v>96</v>
      </c>
      <c r="D60" s="12" t="s">
        <v>432</v>
      </c>
      <c r="E60" s="321">
        <v>16.0</v>
      </c>
      <c r="F60" s="321">
        <v>0.0</v>
      </c>
      <c r="G60" s="321">
        <v>1.0</v>
      </c>
      <c r="H60" s="321">
        <v>51.0</v>
      </c>
      <c r="I60" s="12" t="s">
        <v>265</v>
      </c>
      <c r="J60" s="321">
        <v>13.0</v>
      </c>
      <c r="K60" s="321">
        <v>1282.0</v>
      </c>
      <c r="L60" s="321">
        <v>0.0</v>
      </c>
      <c r="M60" s="321">
        <v>0.0</v>
      </c>
      <c r="N60" s="321">
        <v>1282.0</v>
      </c>
      <c r="O60" s="321">
        <v>1.0</v>
      </c>
      <c r="P60" s="321">
        <v>55.0</v>
      </c>
      <c r="Q60" s="321">
        <v>2993.0</v>
      </c>
      <c r="R60" s="12" t="s">
        <v>236</v>
      </c>
      <c r="S60" s="12" t="s">
        <v>640</v>
      </c>
    </row>
    <row r="61">
      <c r="A61" s="12" t="s">
        <v>100</v>
      </c>
      <c r="B61" s="12" t="s">
        <v>241</v>
      </c>
      <c r="C61" s="12" t="s">
        <v>99</v>
      </c>
      <c r="D61" s="12" t="s">
        <v>432</v>
      </c>
      <c r="E61" s="321">
        <v>16.0</v>
      </c>
      <c r="F61" s="321">
        <v>0.0</v>
      </c>
      <c r="G61" s="321">
        <v>1.0</v>
      </c>
      <c r="H61" s="321">
        <v>51.0</v>
      </c>
      <c r="I61" s="12" t="s">
        <v>265</v>
      </c>
      <c r="J61" s="321">
        <v>13.0</v>
      </c>
      <c r="K61" s="321">
        <v>2570.0</v>
      </c>
      <c r="L61" s="321">
        <v>0.0</v>
      </c>
      <c r="M61" s="321">
        <v>0.0</v>
      </c>
      <c r="N61" s="321">
        <v>2570.0</v>
      </c>
      <c r="O61" s="321">
        <v>1.0</v>
      </c>
      <c r="P61" s="321">
        <v>130.0</v>
      </c>
      <c r="Q61" s="321">
        <v>3769.0</v>
      </c>
      <c r="R61" s="12" t="s">
        <v>236</v>
      </c>
      <c r="S61" s="12" t="s">
        <v>640</v>
      </c>
    </row>
    <row r="62">
      <c r="A62" s="12" t="s">
        <v>97</v>
      </c>
      <c r="B62" s="12" t="s">
        <v>227</v>
      </c>
      <c r="C62" s="12" t="s">
        <v>96</v>
      </c>
      <c r="D62" s="12" t="s">
        <v>318</v>
      </c>
      <c r="E62" s="321">
        <v>16.0</v>
      </c>
      <c r="F62" s="12" t="s">
        <v>236</v>
      </c>
      <c r="G62" s="321">
        <v>2.0</v>
      </c>
      <c r="H62" s="321">
        <v>51.0</v>
      </c>
      <c r="I62" s="12" t="s">
        <v>265</v>
      </c>
      <c r="J62" s="321">
        <v>13.0</v>
      </c>
      <c r="K62" s="321">
        <v>293.0</v>
      </c>
      <c r="L62" s="321">
        <v>0.0</v>
      </c>
      <c r="M62" s="321">
        <v>0.0</v>
      </c>
      <c r="N62" s="321">
        <v>293.0</v>
      </c>
      <c r="O62" s="321">
        <v>1.0</v>
      </c>
      <c r="P62" s="321">
        <v>55.0</v>
      </c>
      <c r="Q62" s="321">
        <v>2993.0</v>
      </c>
      <c r="R62" s="12" t="s">
        <v>236</v>
      </c>
      <c r="S62" s="12" t="s">
        <v>641</v>
      </c>
    </row>
    <row r="63">
      <c r="A63" s="12" t="s">
        <v>100</v>
      </c>
      <c r="B63" s="12" t="s">
        <v>248</v>
      </c>
      <c r="C63" s="12" t="s">
        <v>99</v>
      </c>
      <c r="D63" s="12" t="s">
        <v>318</v>
      </c>
      <c r="E63" s="321">
        <v>16.0</v>
      </c>
      <c r="F63" s="12" t="s">
        <v>236</v>
      </c>
      <c r="G63" s="321">
        <v>2.0</v>
      </c>
      <c r="H63" s="321">
        <v>51.0</v>
      </c>
      <c r="I63" s="12" t="s">
        <v>265</v>
      </c>
      <c r="J63" s="321">
        <v>13.0</v>
      </c>
      <c r="K63" s="321">
        <v>310.0</v>
      </c>
      <c r="L63" s="321">
        <v>0.0</v>
      </c>
      <c r="M63" s="321">
        <v>0.0</v>
      </c>
      <c r="N63" s="321">
        <v>310.0</v>
      </c>
      <c r="O63" s="321">
        <v>1.0</v>
      </c>
      <c r="P63" s="321">
        <v>130.0</v>
      </c>
      <c r="Q63" s="321">
        <v>3769.0</v>
      </c>
      <c r="R63" s="12" t="s">
        <v>236</v>
      </c>
      <c r="S63" s="12" t="s">
        <v>641</v>
      </c>
    </row>
    <row r="64">
      <c r="A64" s="12" t="s">
        <v>97</v>
      </c>
      <c r="B64" s="12" t="s">
        <v>19</v>
      </c>
      <c r="C64" s="12" t="s">
        <v>96</v>
      </c>
      <c r="D64" s="12" t="s">
        <v>145</v>
      </c>
      <c r="E64" s="321">
        <v>16.0</v>
      </c>
      <c r="F64" s="321">
        <v>2.0</v>
      </c>
      <c r="G64" s="321">
        <v>1.0</v>
      </c>
      <c r="H64" s="321">
        <v>52.0</v>
      </c>
      <c r="I64" s="12" t="s">
        <v>265</v>
      </c>
      <c r="J64" s="321">
        <v>13.0</v>
      </c>
      <c r="K64" s="321">
        <v>55.0</v>
      </c>
      <c r="L64" s="321">
        <v>0.0</v>
      </c>
      <c r="M64" s="321">
        <v>0.0</v>
      </c>
      <c r="N64" s="321">
        <v>55.0</v>
      </c>
      <c r="O64" s="321">
        <v>1.0</v>
      </c>
      <c r="P64" s="321">
        <v>55.0</v>
      </c>
      <c r="Q64" s="321">
        <v>2993.0</v>
      </c>
      <c r="R64" s="12" t="s">
        <v>236</v>
      </c>
      <c r="S64" s="12" t="s">
        <v>642</v>
      </c>
    </row>
    <row r="65">
      <c r="A65" s="12" t="s">
        <v>100</v>
      </c>
      <c r="B65" s="12" t="s">
        <v>245</v>
      </c>
      <c r="C65" s="12" t="s">
        <v>99</v>
      </c>
      <c r="D65" s="12" t="s">
        <v>145</v>
      </c>
      <c r="E65" s="321">
        <v>16.0</v>
      </c>
      <c r="F65" s="321">
        <v>2.0</v>
      </c>
      <c r="G65" s="321">
        <v>1.0</v>
      </c>
      <c r="H65" s="321">
        <v>52.0</v>
      </c>
      <c r="I65" s="12" t="s">
        <v>265</v>
      </c>
      <c r="J65" s="321">
        <v>13.0</v>
      </c>
      <c r="K65" s="321">
        <v>0.0</v>
      </c>
      <c r="L65" s="321">
        <v>0.0</v>
      </c>
      <c r="M65" s="321">
        <v>0.0</v>
      </c>
      <c r="N65" s="321">
        <v>0.0</v>
      </c>
      <c r="O65" s="321">
        <v>1.0</v>
      </c>
      <c r="P65" s="321">
        <v>130.0</v>
      </c>
      <c r="Q65" s="321">
        <v>3769.0</v>
      </c>
      <c r="R65" s="12" t="s">
        <v>308</v>
      </c>
      <c r="S65" s="12" t="s">
        <v>642</v>
      </c>
    </row>
    <row r="66">
      <c r="A66" s="12" t="s">
        <v>97</v>
      </c>
      <c r="B66" s="12" t="s">
        <v>233</v>
      </c>
      <c r="C66" s="12" t="s">
        <v>96</v>
      </c>
      <c r="D66" s="12" t="s">
        <v>436</v>
      </c>
      <c r="E66" s="321">
        <v>17.0</v>
      </c>
      <c r="F66" s="321">
        <v>0.0</v>
      </c>
      <c r="G66" s="321">
        <v>1.0</v>
      </c>
      <c r="H66" s="321">
        <v>54.0</v>
      </c>
      <c r="I66" s="12" t="s">
        <v>265</v>
      </c>
      <c r="J66" s="321">
        <v>14.0</v>
      </c>
      <c r="K66" s="321">
        <v>773.0</v>
      </c>
      <c r="L66" s="321">
        <v>0.0</v>
      </c>
      <c r="M66" s="321">
        <v>0.0</v>
      </c>
      <c r="N66" s="321">
        <v>773.0</v>
      </c>
      <c r="O66" s="321">
        <v>1.0</v>
      </c>
      <c r="P66" s="321">
        <v>55.0</v>
      </c>
      <c r="Q66" s="321">
        <v>2993.0</v>
      </c>
      <c r="R66" s="12" t="s">
        <v>293</v>
      </c>
      <c r="S66" s="12" t="s">
        <v>643</v>
      </c>
    </row>
    <row r="67">
      <c r="A67" s="12" t="s">
        <v>97</v>
      </c>
      <c r="B67" s="12" t="s">
        <v>219</v>
      </c>
      <c r="C67" s="12" t="s">
        <v>96</v>
      </c>
      <c r="D67" s="12" t="s">
        <v>438</v>
      </c>
      <c r="E67" s="321">
        <v>17.0</v>
      </c>
      <c r="F67" s="321">
        <v>2.0</v>
      </c>
      <c r="G67" s="321">
        <v>1.0</v>
      </c>
      <c r="H67" s="321">
        <v>55.0</v>
      </c>
      <c r="I67" s="12" t="s">
        <v>265</v>
      </c>
      <c r="J67" s="321">
        <v>14.0</v>
      </c>
      <c r="K67" s="321">
        <v>1863.0</v>
      </c>
      <c r="L67" s="321">
        <v>0.0</v>
      </c>
      <c r="M67" s="321">
        <v>0.0</v>
      </c>
      <c r="N67" s="321">
        <v>1863.0</v>
      </c>
      <c r="O67" s="321">
        <v>1.0</v>
      </c>
      <c r="P67" s="321">
        <v>55.0</v>
      </c>
      <c r="Q67" s="321">
        <v>2993.0</v>
      </c>
      <c r="R67" s="12" t="s">
        <v>236</v>
      </c>
      <c r="S67" s="12" t="s">
        <v>644</v>
      </c>
    </row>
    <row r="68">
      <c r="A68" s="12" t="s">
        <v>97</v>
      </c>
      <c r="B68" s="12" t="s">
        <v>226</v>
      </c>
      <c r="C68" s="12" t="s">
        <v>96</v>
      </c>
      <c r="D68" s="12" t="s">
        <v>79</v>
      </c>
      <c r="E68" s="321">
        <v>17.0</v>
      </c>
      <c r="F68" s="321">
        <v>2.0</v>
      </c>
      <c r="G68" s="321">
        <v>2.0</v>
      </c>
      <c r="H68" s="321">
        <v>55.0</v>
      </c>
      <c r="I68" s="12" t="s">
        <v>265</v>
      </c>
      <c r="J68" s="321">
        <v>14.0</v>
      </c>
      <c r="K68" s="321">
        <v>326.0</v>
      </c>
      <c r="L68" s="321">
        <v>0.0</v>
      </c>
      <c r="M68" s="321">
        <v>0.0</v>
      </c>
      <c r="N68" s="321">
        <v>326.0</v>
      </c>
      <c r="O68" s="321">
        <v>1.0</v>
      </c>
      <c r="P68" s="321">
        <v>55.0</v>
      </c>
      <c r="Q68" s="321">
        <v>2993.0</v>
      </c>
      <c r="R68" s="12" t="s">
        <v>294</v>
      </c>
      <c r="S68" s="12" t="s">
        <v>645</v>
      </c>
    </row>
    <row r="69">
      <c r="A69" s="12" t="s">
        <v>97</v>
      </c>
      <c r="B69" s="12" t="s">
        <v>205</v>
      </c>
      <c r="C69" s="12" t="s">
        <v>96</v>
      </c>
      <c r="D69" s="12" t="s">
        <v>206</v>
      </c>
      <c r="E69" s="321">
        <v>17.0</v>
      </c>
      <c r="F69" s="321">
        <v>1.0</v>
      </c>
      <c r="G69" s="321">
        <v>1.0</v>
      </c>
      <c r="H69" s="321">
        <v>56.0</v>
      </c>
      <c r="I69" s="12" t="s">
        <v>265</v>
      </c>
      <c r="J69" s="321">
        <v>14.0</v>
      </c>
      <c r="K69" s="321">
        <v>0.0</v>
      </c>
      <c r="L69" s="321">
        <v>0.0</v>
      </c>
      <c r="M69" s="321">
        <v>0.0</v>
      </c>
      <c r="N69" s="321">
        <v>0.0</v>
      </c>
      <c r="O69" s="321">
        <v>1.0</v>
      </c>
      <c r="P69" s="321">
        <v>55.0</v>
      </c>
      <c r="Q69" s="321">
        <v>2993.0</v>
      </c>
      <c r="R69" s="12" t="s">
        <v>236</v>
      </c>
      <c r="S69" s="12" t="s">
        <v>646</v>
      </c>
    </row>
    <row r="70">
      <c r="A70" s="12" t="s">
        <v>97</v>
      </c>
      <c r="B70" s="12" t="s">
        <v>207</v>
      </c>
      <c r="C70" s="12" t="s">
        <v>96</v>
      </c>
      <c r="D70" s="12" t="s">
        <v>208</v>
      </c>
      <c r="E70" s="321">
        <v>17.0</v>
      </c>
      <c r="F70" s="321">
        <v>1.0</v>
      </c>
      <c r="G70" s="321">
        <v>2.0</v>
      </c>
      <c r="H70" s="321">
        <v>56.0</v>
      </c>
      <c r="I70" s="12" t="s">
        <v>265</v>
      </c>
      <c r="J70" s="321">
        <v>14.0</v>
      </c>
      <c r="K70" s="321">
        <v>0.0</v>
      </c>
      <c r="L70" s="321">
        <v>0.0</v>
      </c>
      <c r="M70" s="321">
        <v>0.0</v>
      </c>
      <c r="N70" s="321">
        <v>0.0</v>
      </c>
      <c r="O70" s="321">
        <v>1.0</v>
      </c>
      <c r="P70" s="321">
        <v>55.0</v>
      </c>
      <c r="Q70" s="321">
        <v>2993.0</v>
      </c>
      <c r="R70" s="12" t="s">
        <v>236</v>
      </c>
      <c r="S70" s="12" t="s">
        <v>647</v>
      </c>
    </row>
    <row r="71">
      <c r="A71" s="12" t="s">
        <v>97</v>
      </c>
      <c r="B71" s="12" t="s">
        <v>204</v>
      </c>
      <c r="C71" s="12" t="s">
        <v>96</v>
      </c>
      <c r="D71" s="12" t="s">
        <v>20</v>
      </c>
      <c r="E71" s="321">
        <v>18.0</v>
      </c>
      <c r="F71" s="321">
        <v>0.0</v>
      </c>
      <c r="G71" s="321">
        <v>1.0</v>
      </c>
      <c r="H71" s="321">
        <v>57.0</v>
      </c>
      <c r="I71" s="12" t="s">
        <v>265</v>
      </c>
      <c r="J71" s="321">
        <v>15.0</v>
      </c>
      <c r="K71" s="321">
        <v>0.0</v>
      </c>
      <c r="L71" s="321">
        <v>0.0</v>
      </c>
      <c r="M71" s="321">
        <v>0.0</v>
      </c>
      <c r="N71" s="321">
        <v>0.0</v>
      </c>
      <c r="O71" s="321">
        <v>1.0</v>
      </c>
      <c r="P71" s="321">
        <v>55.0</v>
      </c>
      <c r="Q71" s="321">
        <v>2993.0</v>
      </c>
      <c r="R71" s="12" t="s">
        <v>236</v>
      </c>
      <c r="S71" s="12" t="s">
        <v>648</v>
      </c>
    </row>
    <row r="72">
      <c r="A72" s="12" t="s">
        <v>100</v>
      </c>
      <c r="B72" s="12" t="s">
        <v>11</v>
      </c>
      <c r="C72" s="12" t="s">
        <v>99</v>
      </c>
      <c r="D72" s="12" t="s">
        <v>20</v>
      </c>
      <c r="E72" s="321">
        <v>18.0</v>
      </c>
      <c r="F72" s="321">
        <v>0.0</v>
      </c>
      <c r="G72" s="321">
        <v>1.0</v>
      </c>
      <c r="H72" s="321">
        <v>57.0</v>
      </c>
      <c r="I72" s="12" t="s">
        <v>265</v>
      </c>
      <c r="J72" s="321">
        <v>15.0</v>
      </c>
      <c r="K72" s="321">
        <v>130.0</v>
      </c>
      <c r="L72" s="321">
        <v>0.0</v>
      </c>
      <c r="M72" s="321">
        <v>0.0</v>
      </c>
      <c r="N72" s="321">
        <v>130.0</v>
      </c>
      <c r="O72" s="321">
        <v>1.0</v>
      </c>
      <c r="P72" s="321">
        <v>130.0</v>
      </c>
      <c r="Q72" s="321">
        <v>3769.0</v>
      </c>
      <c r="R72" s="12" t="s">
        <v>236</v>
      </c>
      <c r="S72" s="12" t="s">
        <v>648</v>
      </c>
    </row>
    <row r="73">
      <c r="A73" s="12" t="s">
        <v>97</v>
      </c>
      <c r="B73" s="12" t="s">
        <v>202</v>
      </c>
      <c r="C73" s="12" t="s">
        <v>96</v>
      </c>
      <c r="D73" s="12" t="s">
        <v>203</v>
      </c>
      <c r="E73" s="321">
        <v>18.0</v>
      </c>
      <c r="F73" s="321">
        <v>0.0</v>
      </c>
      <c r="G73" s="321">
        <v>2.0</v>
      </c>
      <c r="H73" s="321">
        <v>57.0</v>
      </c>
      <c r="I73" s="12" t="s">
        <v>265</v>
      </c>
      <c r="J73" s="321">
        <v>15.0</v>
      </c>
      <c r="K73" s="321">
        <v>0.0</v>
      </c>
      <c r="L73" s="321">
        <v>0.0</v>
      </c>
      <c r="M73" s="321">
        <v>0.0</v>
      </c>
      <c r="N73" s="321">
        <v>0.0</v>
      </c>
      <c r="O73" s="321">
        <v>1.0</v>
      </c>
      <c r="P73" s="321">
        <v>55.0</v>
      </c>
      <c r="Q73" s="321">
        <v>2993.0</v>
      </c>
      <c r="R73" s="12" t="s">
        <v>236</v>
      </c>
      <c r="S73" s="12" t="s">
        <v>649</v>
      </c>
    </row>
    <row r="74">
      <c r="A74" s="12" t="s">
        <v>100</v>
      </c>
      <c r="B74" s="12" t="s">
        <v>192</v>
      </c>
      <c r="C74" s="12" t="s">
        <v>99</v>
      </c>
      <c r="D74" s="12" t="s">
        <v>203</v>
      </c>
      <c r="E74" s="321">
        <v>18.0</v>
      </c>
      <c r="F74" s="321">
        <v>0.0</v>
      </c>
      <c r="G74" s="321">
        <v>2.0</v>
      </c>
      <c r="H74" s="321">
        <v>57.0</v>
      </c>
      <c r="I74" s="12" t="s">
        <v>265</v>
      </c>
      <c r="J74" s="321">
        <v>15.0</v>
      </c>
      <c r="K74" s="321">
        <v>0.0</v>
      </c>
      <c r="L74" s="321">
        <v>0.0</v>
      </c>
      <c r="M74" s="321">
        <v>0.0</v>
      </c>
      <c r="N74" s="321">
        <v>0.0</v>
      </c>
      <c r="O74" s="321">
        <v>1.0</v>
      </c>
      <c r="P74" s="321">
        <v>130.0</v>
      </c>
      <c r="Q74" s="321">
        <v>3769.0</v>
      </c>
      <c r="R74" s="12" t="s">
        <v>236</v>
      </c>
      <c r="S74" s="12" t="s">
        <v>649</v>
      </c>
    </row>
    <row r="75">
      <c r="A75" s="12" t="s">
        <v>97</v>
      </c>
      <c r="B75" s="12" t="s">
        <v>198</v>
      </c>
      <c r="C75" s="12" t="s">
        <v>96</v>
      </c>
      <c r="D75" s="12" t="s">
        <v>199</v>
      </c>
      <c r="E75" s="321">
        <v>18.0</v>
      </c>
      <c r="F75" s="321">
        <v>2.0</v>
      </c>
      <c r="G75" s="321">
        <v>1.0</v>
      </c>
      <c r="H75" s="321">
        <v>58.0</v>
      </c>
      <c r="I75" s="12" t="s">
        <v>265</v>
      </c>
      <c r="J75" s="321">
        <v>15.0</v>
      </c>
      <c r="K75" s="321">
        <v>0.0</v>
      </c>
      <c r="L75" s="321">
        <v>0.0</v>
      </c>
      <c r="M75" s="321">
        <v>0.0</v>
      </c>
      <c r="N75" s="321">
        <v>0.0</v>
      </c>
      <c r="O75" s="321">
        <v>1.0</v>
      </c>
      <c r="P75" s="321">
        <v>55.0</v>
      </c>
      <c r="Q75" s="321">
        <v>2993.0</v>
      </c>
      <c r="R75" s="12" t="s">
        <v>236</v>
      </c>
      <c r="S75" s="12" t="s">
        <v>650</v>
      </c>
    </row>
    <row r="76">
      <c r="A76" s="12" t="s">
        <v>97</v>
      </c>
      <c r="B76" s="12" t="s">
        <v>200</v>
      </c>
      <c r="C76" s="12" t="s">
        <v>96</v>
      </c>
      <c r="D76" s="12" t="s">
        <v>201</v>
      </c>
      <c r="E76" s="321">
        <v>18.0</v>
      </c>
      <c r="F76" s="321">
        <v>2.0</v>
      </c>
      <c r="G76" s="321">
        <v>2.0</v>
      </c>
      <c r="H76" s="321">
        <v>58.0</v>
      </c>
      <c r="I76" s="12" t="s">
        <v>265</v>
      </c>
      <c r="J76" s="321">
        <v>15.0</v>
      </c>
      <c r="K76" s="321">
        <v>0.0</v>
      </c>
      <c r="L76" s="321">
        <v>0.0</v>
      </c>
      <c r="M76" s="321">
        <v>0.0</v>
      </c>
      <c r="N76" s="321">
        <v>0.0</v>
      </c>
      <c r="O76" s="321">
        <v>1.0</v>
      </c>
      <c r="P76" s="321">
        <v>55.0</v>
      </c>
      <c r="Q76" s="321">
        <v>2993.0</v>
      </c>
      <c r="R76" s="12" t="s">
        <v>236</v>
      </c>
      <c r="S76" s="12" t="s">
        <v>651</v>
      </c>
    </row>
    <row r="77">
      <c r="A77" s="12" t="s">
        <v>97</v>
      </c>
      <c r="B77" s="12" t="s">
        <v>196</v>
      </c>
      <c r="C77" s="12" t="s">
        <v>96</v>
      </c>
      <c r="D77" s="12" t="s">
        <v>197</v>
      </c>
      <c r="E77" s="321">
        <v>18.0</v>
      </c>
      <c r="F77" s="321">
        <v>1.0</v>
      </c>
      <c r="G77" s="321">
        <v>1.0</v>
      </c>
      <c r="H77" s="321">
        <v>59.0</v>
      </c>
      <c r="I77" s="12" t="s">
        <v>265</v>
      </c>
      <c r="J77" s="321">
        <v>15.0</v>
      </c>
      <c r="K77" s="321">
        <v>0.0</v>
      </c>
      <c r="L77" s="321">
        <v>0.0</v>
      </c>
      <c r="M77" s="321">
        <v>0.0</v>
      </c>
      <c r="N77" s="321">
        <v>0.0</v>
      </c>
      <c r="O77" s="321">
        <v>1.0</v>
      </c>
      <c r="P77" s="321">
        <v>55.0</v>
      </c>
      <c r="Q77" s="321">
        <v>2993.0</v>
      </c>
      <c r="R77" s="12" t="s">
        <v>236</v>
      </c>
      <c r="S77" s="12" t="s">
        <v>652</v>
      </c>
    </row>
    <row r="78">
      <c r="A78" s="12" t="s">
        <v>97</v>
      </c>
      <c r="B78" s="12" t="s">
        <v>194</v>
      </c>
      <c r="C78" s="12" t="s">
        <v>96</v>
      </c>
      <c r="D78" s="12" t="s">
        <v>195</v>
      </c>
      <c r="E78" s="321">
        <v>18.0</v>
      </c>
      <c r="F78" s="321">
        <v>1.0</v>
      </c>
      <c r="G78" s="321">
        <v>2.0</v>
      </c>
      <c r="H78" s="321">
        <v>59.0</v>
      </c>
      <c r="I78" s="12" t="s">
        <v>265</v>
      </c>
      <c r="J78" s="321">
        <v>15.0</v>
      </c>
      <c r="K78" s="321">
        <v>0.0</v>
      </c>
      <c r="L78" s="321">
        <v>0.0</v>
      </c>
      <c r="M78" s="321">
        <v>0.0</v>
      </c>
      <c r="N78" s="321">
        <v>0.0</v>
      </c>
      <c r="O78" s="321">
        <v>1.0</v>
      </c>
      <c r="P78" s="321">
        <v>55.0</v>
      </c>
      <c r="Q78" s="321">
        <v>2993.0</v>
      </c>
      <c r="R78" s="12" t="s">
        <v>236</v>
      </c>
      <c r="S78" s="12" t="s">
        <v>653</v>
      </c>
    </row>
    <row r="79">
      <c r="A79" s="12" t="s">
        <v>97</v>
      </c>
      <c r="B79" s="12" t="s">
        <v>192</v>
      </c>
      <c r="C79" s="12" t="s">
        <v>96</v>
      </c>
      <c r="D79" s="12" t="s">
        <v>193</v>
      </c>
      <c r="E79" s="321">
        <v>18.0</v>
      </c>
      <c r="F79" s="321">
        <v>0.0</v>
      </c>
      <c r="G79" s="321">
        <v>1.0</v>
      </c>
      <c r="H79" s="321">
        <v>60.0</v>
      </c>
      <c r="I79" s="12" t="s">
        <v>265</v>
      </c>
      <c r="J79" s="321">
        <v>15.0</v>
      </c>
      <c r="K79" s="321">
        <v>0.0</v>
      </c>
      <c r="L79" s="321">
        <v>0.0</v>
      </c>
      <c r="M79" s="321">
        <v>0.0</v>
      </c>
      <c r="N79" s="321">
        <v>0.0</v>
      </c>
      <c r="O79" s="321">
        <v>1.0</v>
      </c>
      <c r="P79" s="321">
        <v>55.0</v>
      </c>
      <c r="Q79" s="321">
        <v>2993.0</v>
      </c>
      <c r="R79" s="12" t="s">
        <v>236</v>
      </c>
      <c r="S79" s="12" t="s">
        <v>654</v>
      </c>
    </row>
    <row r="80">
      <c r="A80" s="12" t="s">
        <v>97</v>
      </c>
      <c r="B80" s="12" t="s">
        <v>11</v>
      </c>
      <c r="C80" s="12" t="s">
        <v>96</v>
      </c>
      <c r="D80" s="12" t="s">
        <v>129</v>
      </c>
      <c r="E80" s="321">
        <v>18.0</v>
      </c>
      <c r="F80" s="321">
        <v>0.0</v>
      </c>
      <c r="G80" s="321">
        <v>2.0</v>
      </c>
      <c r="H80" s="321">
        <v>60.0</v>
      </c>
      <c r="I80" s="12" t="s">
        <v>265</v>
      </c>
      <c r="J80" s="321">
        <v>15.0</v>
      </c>
      <c r="K80" s="321">
        <v>55.0</v>
      </c>
      <c r="L80" s="321">
        <v>0.0</v>
      </c>
      <c r="M80" s="321">
        <v>0.0</v>
      </c>
      <c r="N80" s="321">
        <v>55.0</v>
      </c>
      <c r="O80" s="321">
        <v>1.0</v>
      </c>
      <c r="P80" s="321">
        <v>55.0</v>
      </c>
      <c r="Q80" s="321">
        <v>2993.0</v>
      </c>
      <c r="R80" s="12" t="s">
        <v>236</v>
      </c>
      <c r="S80" s="12" t="s">
        <v>655</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 customWidth="1" min="18" max="18" width="15.88"/>
  </cols>
  <sheetData>
    <row r="1">
      <c r="A1" s="12" t="s">
        <v>173</v>
      </c>
      <c r="B1" s="12" t="s">
        <v>1</v>
      </c>
      <c r="C1" s="12" t="s">
        <v>261</v>
      </c>
      <c r="D1" s="12" t="s">
        <v>323</v>
      </c>
      <c r="E1" s="12" t="s">
        <v>324</v>
      </c>
      <c r="F1" s="12" t="s">
        <v>325</v>
      </c>
      <c r="G1" s="12" t="s">
        <v>326</v>
      </c>
      <c r="H1" s="12" t="s">
        <v>327</v>
      </c>
      <c r="I1" s="12" t="s">
        <v>328</v>
      </c>
      <c r="J1" s="12" t="s">
        <v>331</v>
      </c>
      <c r="K1" s="12" t="s">
        <v>2</v>
      </c>
      <c r="L1" s="12" t="s">
        <v>3</v>
      </c>
      <c r="M1" s="12" t="s">
        <v>4</v>
      </c>
      <c r="N1" s="12" t="s">
        <v>452</v>
      </c>
      <c r="O1" s="12" t="s">
        <v>593</v>
      </c>
      <c r="P1" s="12" t="s">
        <v>594</v>
      </c>
      <c r="Q1" s="12" t="s">
        <v>595</v>
      </c>
      <c r="R1" s="12" t="s">
        <v>451</v>
      </c>
      <c r="S1" s="12" t="s">
        <v>465</v>
      </c>
    </row>
    <row r="2">
      <c r="A2" s="186" t="str">
        <f>IFERROR(__xludf.DUMMYFUNCTION("FILTER(Output_HALO!A2:S1000, Output_HALO!A2:A1000=""DACH"")"),"DACH")</f>
        <v>DACH</v>
      </c>
      <c r="B2" s="186" t="str">
        <f>IFERROR(__xludf.DUMMYFUNCTION("""COMPUTED_VALUE"""),"Factor Box Large")</f>
        <v>Factor Box Large</v>
      </c>
      <c r="C2" s="186" t="str">
        <f>IFERROR(__xludf.DUMMYFUNCTION("""COMPUTED_VALUE"""),"ASL1")</f>
        <v>ASL1</v>
      </c>
      <c r="D2" s="186" t="str">
        <f>IFERROR(__xludf.DUMMYFUNCTION("""COMPUTED_VALUE"""),"F02")</f>
        <v>F02</v>
      </c>
      <c r="E2" s="186">
        <f>IFERROR(__xludf.DUMMYFUNCTION("""COMPUTED_VALUE"""),1.0)</f>
        <v>1</v>
      </c>
      <c r="F2" s="186" t="str">
        <f>IFERROR(__xludf.DUMMYFUNCTION("""COMPUTED_VALUE"""),"")</f>
        <v/>
      </c>
      <c r="G2" s="186">
        <f>IFERROR(__xludf.DUMMYFUNCTION("""COMPUTED_VALUE"""),1.0)</f>
        <v>1</v>
      </c>
      <c r="H2" s="186">
        <f>IFERROR(__xludf.DUMMYFUNCTION("""COMPUTED_VALUE"""),2.0)</f>
        <v>2</v>
      </c>
      <c r="I2" s="186" t="str">
        <f>IFERROR(__xludf.DUMMYFUNCTION("""COMPUTED_VALUE"""),"Packaging")</f>
        <v>Packaging</v>
      </c>
      <c r="J2" s="186">
        <f>IFERROR(__xludf.DUMMYFUNCTION("""COMPUTED_VALUE"""),-2.0)</f>
        <v>-2</v>
      </c>
      <c r="K2" s="186">
        <f>IFERROR(__xludf.DUMMYFUNCTION("""COMPUTED_VALUE"""),0.0)</f>
        <v>0</v>
      </c>
      <c r="L2" s="186">
        <f>IFERROR(__xludf.DUMMYFUNCTION("""COMPUTED_VALUE"""),0.0)</f>
        <v>0</v>
      </c>
      <c r="M2" s="186">
        <f>IFERROR(__xludf.DUMMYFUNCTION("""COMPUTED_VALUE"""),0.0)</f>
        <v>0</v>
      </c>
      <c r="N2" s="186">
        <f>IFERROR(__xludf.DUMMYFUNCTION("""COMPUTED_VALUE"""),0.0)</f>
        <v>0</v>
      </c>
      <c r="O2" s="186">
        <f>IFERROR(__xludf.DUMMYFUNCTION("""COMPUTED_VALUE"""),1.0)</f>
        <v>1</v>
      </c>
      <c r="P2" s="186">
        <f>IFERROR(__xludf.DUMMYFUNCTION("""COMPUTED_VALUE"""),0.0)</f>
        <v>0</v>
      </c>
      <c r="Q2" s="186">
        <f>IFERROR(__xludf.DUMMYFUNCTION("""COMPUTED_VALUE"""),0.0)</f>
        <v>0</v>
      </c>
      <c r="R2" s="186" t="str">
        <f>IFERROR(__xludf.DUMMYFUNCTION("""COMPUTED_VALUE"""),"")</f>
        <v/>
      </c>
      <c r="S2" s="186" t="str">
        <f>IFERROR(__xludf.DUMMYFUNCTION("""COMPUTED_VALUE"""),"2-1")</f>
        <v>2-1</v>
      </c>
    </row>
    <row r="3">
      <c r="A3" s="186" t="str">
        <f>IFERROR(__xludf.DUMMYFUNCTION("""COMPUTED_VALUE"""),"DACH")</f>
        <v>DACH</v>
      </c>
      <c r="B3" s="186" t="str">
        <f>IFERROR(__xludf.DUMMYFUNCTION("""COMPUTED_VALUE"""),"Factor Box Medium")</f>
        <v>Factor Box Medium</v>
      </c>
      <c r="C3" s="186" t="str">
        <f>IFERROR(__xludf.DUMMYFUNCTION("""COMPUTED_VALUE"""),"ASL1")</f>
        <v>ASL1</v>
      </c>
      <c r="D3" s="186" t="str">
        <f>IFERROR(__xludf.DUMMYFUNCTION("""COMPUTED_VALUE"""),"F03")</f>
        <v>F03</v>
      </c>
      <c r="E3" s="186">
        <f>IFERROR(__xludf.DUMMYFUNCTION("""COMPUTED_VALUE"""),1.0)</f>
        <v>1</v>
      </c>
      <c r="F3" s="186" t="str">
        <f>IFERROR(__xludf.DUMMYFUNCTION("""COMPUTED_VALUE"""),"")</f>
        <v/>
      </c>
      <c r="G3" s="186">
        <f>IFERROR(__xludf.DUMMYFUNCTION("""COMPUTED_VALUE"""),1.0)</f>
        <v>1</v>
      </c>
      <c r="H3" s="186">
        <f>IFERROR(__xludf.DUMMYFUNCTION("""COMPUTED_VALUE"""),3.0)</f>
        <v>3</v>
      </c>
      <c r="I3" s="186" t="str">
        <f>IFERROR(__xludf.DUMMYFUNCTION("""COMPUTED_VALUE"""),"Packaging")</f>
        <v>Packaging</v>
      </c>
      <c r="J3" s="186">
        <f>IFERROR(__xludf.DUMMYFUNCTION("""COMPUTED_VALUE"""),-2.0)</f>
        <v>-2</v>
      </c>
      <c r="K3" s="186">
        <f>IFERROR(__xludf.DUMMYFUNCTION("""COMPUTED_VALUE"""),0.0)</f>
        <v>0</v>
      </c>
      <c r="L3" s="186">
        <f>IFERROR(__xludf.DUMMYFUNCTION("""COMPUTED_VALUE"""),0.0)</f>
        <v>0</v>
      </c>
      <c r="M3" s="186">
        <f>IFERROR(__xludf.DUMMYFUNCTION("""COMPUTED_VALUE"""),0.0)</f>
        <v>0</v>
      </c>
      <c r="N3" s="186">
        <f>IFERROR(__xludf.DUMMYFUNCTION("""COMPUTED_VALUE"""),0.0)</f>
        <v>0</v>
      </c>
      <c r="O3" s="186">
        <f>IFERROR(__xludf.DUMMYFUNCTION("""COMPUTED_VALUE"""),1.0)</f>
        <v>1</v>
      </c>
      <c r="P3" s="186">
        <f>IFERROR(__xludf.DUMMYFUNCTION("""COMPUTED_VALUE"""),0.0)</f>
        <v>0</v>
      </c>
      <c r="Q3" s="186">
        <f>IFERROR(__xludf.DUMMYFUNCTION("""COMPUTED_VALUE"""),0.0)</f>
        <v>0</v>
      </c>
      <c r="R3" s="186" t="str">
        <f>IFERROR(__xludf.DUMMYFUNCTION("""COMPUTED_VALUE"""),"")</f>
        <v/>
      </c>
      <c r="S3" s="186" t="str">
        <f>IFERROR(__xludf.DUMMYFUNCTION("""COMPUTED_VALUE"""),"3-1")</f>
        <v>3-1</v>
      </c>
    </row>
    <row r="4">
      <c r="A4" s="186" t="str">
        <f>IFERROR(__xludf.DUMMYFUNCTION("""COMPUTED_VALUE"""),"DACH")</f>
        <v>DACH</v>
      </c>
      <c r="B4" s="186" t="str">
        <f>IFERROR(__xludf.DUMMYFUNCTION("""COMPUTED_VALUE"""),"Factor Box Small")</f>
        <v>Factor Box Small</v>
      </c>
      <c r="C4" s="186" t="str">
        <f>IFERROR(__xludf.DUMMYFUNCTION("""COMPUTED_VALUE"""),"ASL1")</f>
        <v>ASL1</v>
      </c>
      <c r="D4" s="186" t="str">
        <f>IFERROR(__xludf.DUMMYFUNCTION("""COMPUTED_VALUE"""),"F05")</f>
        <v>F05</v>
      </c>
      <c r="E4" s="186">
        <f>IFERROR(__xludf.DUMMYFUNCTION("""COMPUTED_VALUE"""),1.0)</f>
        <v>1</v>
      </c>
      <c r="F4" s="186" t="str">
        <f>IFERROR(__xludf.DUMMYFUNCTION("""COMPUTED_VALUE"""),"")</f>
        <v/>
      </c>
      <c r="G4" s="186">
        <f>IFERROR(__xludf.DUMMYFUNCTION("""COMPUTED_VALUE"""),1.0)</f>
        <v>1</v>
      </c>
      <c r="H4" s="186">
        <f>IFERROR(__xludf.DUMMYFUNCTION("""COMPUTED_VALUE"""),5.0)</f>
        <v>5</v>
      </c>
      <c r="I4" s="186" t="str">
        <f>IFERROR(__xludf.DUMMYFUNCTION("""COMPUTED_VALUE"""),"Packaging")</f>
        <v>Packaging</v>
      </c>
      <c r="J4" s="186">
        <f>IFERROR(__xludf.DUMMYFUNCTION("""COMPUTED_VALUE"""),-2.0)</f>
        <v>-2</v>
      </c>
      <c r="K4" s="186">
        <f>IFERROR(__xludf.DUMMYFUNCTION("""COMPUTED_VALUE"""),0.0)</f>
        <v>0</v>
      </c>
      <c r="L4" s="186">
        <f>IFERROR(__xludf.DUMMYFUNCTION("""COMPUTED_VALUE"""),0.0)</f>
        <v>0</v>
      </c>
      <c r="M4" s="186">
        <f>IFERROR(__xludf.DUMMYFUNCTION("""COMPUTED_VALUE"""),0.0)</f>
        <v>0</v>
      </c>
      <c r="N4" s="186">
        <f>IFERROR(__xludf.DUMMYFUNCTION("""COMPUTED_VALUE"""),0.0)</f>
        <v>0</v>
      </c>
      <c r="O4" s="186">
        <f>IFERROR(__xludf.DUMMYFUNCTION("""COMPUTED_VALUE"""),1.0)</f>
        <v>1</v>
      </c>
      <c r="P4" s="186">
        <f>IFERROR(__xludf.DUMMYFUNCTION("""COMPUTED_VALUE"""),0.0)</f>
        <v>0</v>
      </c>
      <c r="Q4" s="186">
        <f>IFERROR(__xludf.DUMMYFUNCTION("""COMPUTED_VALUE"""),0.0)</f>
        <v>0</v>
      </c>
      <c r="R4" s="186" t="str">
        <f>IFERROR(__xludf.DUMMYFUNCTION("""COMPUTED_VALUE"""),"")</f>
        <v/>
      </c>
      <c r="S4" s="186" t="str">
        <f>IFERROR(__xludf.DUMMYFUNCTION("""COMPUTED_VALUE"""),"5-1")</f>
        <v>5-1</v>
      </c>
    </row>
    <row r="5">
      <c r="A5" s="186" t="str">
        <f>IFERROR(__xludf.DUMMYFUNCTION("""COMPUTED_VALUE"""),"DACH")</f>
        <v>DACH</v>
      </c>
      <c r="B5" s="186" t="str">
        <f>IFERROR(__xludf.DUMMYFUNCTION("""COMPUTED_VALUE"""),"Factor Liner Small1")</f>
        <v>Factor Liner Small1</v>
      </c>
      <c r="C5" s="186" t="str">
        <f>IFERROR(__xludf.DUMMYFUNCTION("""COMPUTED_VALUE"""),"ASL1")</f>
        <v>ASL1</v>
      </c>
      <c r="D5" s="186" t="str">
        <f>IFERROR(__xludf.DUMMYFUNCTION("""COMPUTED_VALUE"""),"F06")</f>
        <v>F06</v>
      </c>
      <c r="E5" s="186">
        <f>IFERROR(__xludf.DUMMYFUNCTION("""COMPUTED_VALUE"""),2.0)</f>
        <v>2</v>
      </c>
      <c r="F5" s="186" t="str">
        <f>IFERROR(__xludf.DUMMYFUNCTION("""COMPUTED_VALUE"""),"")</f>
        <v/>
      </c>
      <c r="G5" s="186">
        <f>IFERROR(__xludf.DUMMYFUNCTION("""COMPUTED_VALUE"""),2.0)</f>
        <v>2</v>
      </c>
      <c r="H5" s="186">
        <f>IFERROR(__xludf.DUMMYFUNCTION("""COMPUTED_VALUE"""),6.0)</f>
        <v>6</v>
      </c>
      <c r="I5" s="186" t="str">
        <f>IFERROR(__xludf.DUMMYFUNCTION("""COMPUTED_VALUE"""),"Packaging")</f>
        <v>Packaging</v>
      </c>
      <c r="J5" s="186">
        <f>IFERROR(__xludf.DUMMYFUNCTION("""COMPUTED_VALUE"""),-1.0)</f>
        <v>-1</v>
      </c>
      <c r="K5" s="186">
        <f>IFERROR(__xludf.DUMMYFUNCTION("""COMPUTED_VALUE"""),0.0)</f>
        <v>0</v>
      </c>
      <c r="L5" s="186">
        <f>IFERROR(__xludf.DUMMYFUNCTION("""COMPUTED_VALUE"""),0.0)</f>
        <v>0</v>
      </c>
      <c r="M5" s="186">
        <f>IFERROR(__xludf.DUMMYFUNCTION("""COMPUTED_VALUE"""),0.0)</f>
        <v>0</v>
      </c>
      <c r="N5" s="186">
        <f>IFERROR(__xludf.DUMMYFUNCTION("""COMPUTED_VALUE"""),0.0)</f>
        <v>0</v>
      </c>
      <c r="O5" s="186">
        <f>IFERROR(__xludf.DUMMYFUNCTION("""COMPUTED_VALUE"""),1.0)</f>
        <v>1</v>
      </c>
      <c r="P5" s="186">
        <f>IFERROR(__xludf.DUMMYFUNCTION("""COMPUTED_VALUE"""),0.0)</f>
        <v>0</v>
      </c>
      <c r="Q5" s="186">
        <f>IFERROR(__xludf.DUMMYFUNCTION("""COMPUTED_VALUE"""),0.0)</f>
        <v>0</v>
      </c>
      <c r="R5" s="186" t="str">
        <f>IFERROR(__xludf.DUMMYFUNCTION("""COMPUTED_VALUE"""),"")</f>
        <v/>
      </c>
      <c r="S5" s="186" t="str">
        <f>IFERROR(__xludf.DUMMYFUNCTION("""COMPUTED_VALUE"""),"6-2")</f>
        <v>6-2</v>
      </c>
    </row>
    <row r="6">
      <c r="A6" s="186" t="str">
        <f>IFERROR(__xludf.DUMMYFUNCTION("""COMPUTED_VALUE"""),"DACH")</f>
        <v>DACH</v>
      </c>
      <c r="B6" s="186" t="str">
        <f>IFERROR(__xludf.DUMMYFUNCTION("""COMPUTED_VALUE"""),"Factor Liner Large1")</f>
        <v>Factor Liner Large1</v>
      </c>
      <c r="C6" s="186" t="str">
        <f>IFERROR(__xludf.DUMMYFUNCTION("""COMPUTED_VALUE"""),"ASL1")</f>
        <v>ASL1</v>
      </c>
      <c r="D6" s="186" t="str">
        <f>IFERROR(__xludf.DUMMYFUNCTION("""COMPUTED_VALUE"""),"F07")</f>
        <v>F07</v>
      </c>
      <c r="E6" s="186">
        <f>IFERROR(__xludf.DUMMYFUNCTION("""COMPUTED_VALUE"""),2.0)</f>
        <v>2</v>
      </c>
      <c r="F6" s="186" t="str">
        <f>IFERROR(__xludf.DUMMYFUNCTION("""COMPUTED_VALUE"""),"")</f>
        <v/>
      </c>
      <c r="G6" s="186">
        <f>IFERROR(__xludf.DUMMYFUNCTION("""COMPUTED_VALUE"""),1.0)</f>
        <v>1</v>
      </c>
      <c r="H6" s="186">
        <f>IFERROR(__xludf.DUMMYFUNCTION("""COMPUTED_VALUE"""),7.0)</f>
        <v>7</v>
      </c>
      <c r="I6" s="186" t="str">
        <f>IFERROR(__xludf.DUMMYFUNCTION("""COMPUTED_VALUE"""),"Packaging")</f>
        <v>Packaging</v>
      </c>
      <c r="J6" s="186">
        <f>IFERROR(__xludf.DUMMYFUNCTION("""COMPUTED_VALUE"""),-1.0)</f>
        <v>-1</v>
      </c>
      <c r="K6" s="186">
        <f>IFERROR(__xludf.DUMMYFUNCTION("""COMPUTED_VALUE"""),0.0)</f>
        <v>0</v>
      </c>
      <c r="L6" s="186">
        <f>IFERROR(__xludf.DUMMYFUNCTION("""COMPUTED_VALUE"""),0.0)</f>
        <v>0</v>
      </c>
      <c r="M6" s="186">
        <f>IFERROR(__xludf.DUMMYFUNCTION("""COMPUTED_VALUE"""),0.0)</f>
        <v>0</v>
      </c>
      <c r="N6" s="186">
        <f>IFERROR(__xludf.DUMMYFUNCTION("""COMPUTED_VALUE"""),0.0)</f>
        <v>0</v>
      </c>
      <c r="O6" s="186">
        <f>IFERROR(__xludf.DUMMYFUNCTION("""COMPUTED_VALUE"""),1.0)</f>
        <v>1</v>
      </c>
      <c r="P6" s="186">
        <f>IFERROR(__xludf.DUMMYFUNCTION("""COMPUTED_VALUE"""),0.0)</f>
        <v>0</v>
      </c>
      <c r="Q6" s="186">
        <f>IFERROR(__xludf.DUMMYFUNCTION("""COMPUTED_VALUE"""),0.0)</f>
        <v>0</v>
      </c>
      <c r="R6" s="186" t="str">
        <f>IFERROR(__xludf.DUMMYFUNCTION("""COMPUTED_VALUE"""),"")</f>
        <v/>
      </c>
      <c r="S6" s="186" t="str">
        <f>IFERROR(__xludf.DUMMYFUNCTION("""COMPUTED_VALUE"""),"7-1")</f>
        <v>7-1</v>
      </c>
    </row>
    <row r="7">
      <c r="A7" s="186" t="str">
        <f>IFERROR(__xludf.DUMMYFUNCTION("""COMPUTED_VALUE"""),"DACH")</f>
        <v>DACH</v>
      </c>
      <c r="B7" s="186" t="str">
        <f>IFERROR(__xludf.DUMMYFUNCTION("""COMPUTED_VALUE"""),"Factor Liner Medium1")</f>
        <v>Factor Liner Medium1</v>
      </c>
      <c r="C7" s="186" t="str">
        <f>IFERROR(__xludf.DUMMYFUNCTION("""COMPUTED_VALUE"""),"ASL1")</f>
        <v>ASL1</v>
      </c>
      <c r="D7" s="186" t="str">
        <f>IFERROR(__xludf.DUMMYFUNCTION("""COMPUTED_VALUE"""),"F08")</f>
        <v>F08</v>
      </c>
      <c r="E7" s="186">
        <f>IFERROR(__xludf.DUMMYFUNCTION("""COMPUTED_VALUE"""),2.0)</f>
        <v>2</v>
      </c>
      <c r="F7" s="186" t="str">
        <f>IFERROR(__xludf.DUMMYFUNCTION("""COMPUTED_VALUE"""),"")</f>
        <v/>
      </c>
      <c r="G7" s="186">
        <f>IFERROR(__xludf.DUMMYFUNCTION("""COMPUTED_VALUE"""),2.0)</f>
        <v>2</v>
      </c>
      <c r="H7" s="186">
        <f>IFERROR(__xludf.DUMMYFUNCTION("""COMPUTED_VALUE"""),7.0)</f>
        <v>7</v>
      </c>
      <c r="I7" s="186" t="str">
        <f>IFERROR(__xludf.DUMMYFUNCTION("""COMPUTED_VALUE"""),"Packaging")</f>
        <v>Packaging</v>
      </c>
      <c r="J7" s="186">
        <f>IFERROR(__xludf.DUMMYFUNCTION("""COMPUTED_VALUE"""),-1.0)</f>
        <v>-1</v>
      </c>
      <c r="K7" s="186">
        <f>IFERROR(__xludf.DUMMYFUNCTION("""COMPUTED_VALUE"""),0.0)</f>
        <v>0</v>
      </c>
      <c r="L7" s="186">
        <f>IFERROR(__xludf.DUMMYFUNCTION("""COMPUTED_VALUE"""),0.0)</f>
        <v>0</v>
      </c>
      <c r="M7" s="186">
        <f>IFERROR(__xludf.DUMMYFUNCTION("""COMPUTED_VALUE"""),0.0)</f>
        <v>0</v>
      </c>
      <c r="N7" s="186">
        <f>IFERROR(__xludf.DUMMYFUNCTION("""COMPUTED_VALUE"""),0.0)</f>
        <v>0</v>
      </c>
      <c r="O7" s="186">
        <f>IFERROR(__xludf.DUMMYFUNCTION("""COMPUTED_VALUE"""),1.0)</f>
        <v>1</v>
      </c>
      <c r="P7" s="186">
        <f>IFERROR(__xludf.DUMMYFUNCTION("""COMPUTED_VALUE"""),0.0)</f>
        <v>0</v>
      </c>
      <c r="Q7" s="186">
        <f>IFERROR(__xludf.DUMMYFUNCTION("""COMPUTED_VALUE"""),0.0)</f>
        <v>0</v>
      </c>
      <c r="R7" s="186" t="str">
        <f>IFERROR(__xludf.DUMMYFUNCTION("""COMPUTED_VALUE"""),"")</f>
        <v/>
      </c>
      <c r="S7" s="186" t="str">
        <f>IFERROR(__xludf.DUMMYFUNCTION("""COMPUTED_VALUE"""),"7-2")</f>
        <v>7-2</v>
      </c>
    </row>
    <row r="8">
      <c r="A8" s="186" t="str">
        <f>IFERROR(__xludf.DUMMYFUNCTION("""COMPUTED_VALUE"""),"DACH")</f>
        <v>DACH</v>
      </c>
      <c r="B8" s="186" t="str">
        <f>IFERROR(__xludf.DUMMYFUNCTION("""COMPUTED_VALUE"""),"Factor Liner Small2")</f>
        <v>Factor Liner Small2</v>
      </c>
      <c r="C8" s="186" t="str">
        <f>IFERROR(__xludf.DUMMYFUNCTION("""COMPUTED_VALUE"""),"ASL1")</f>
        <v>ASL1</v>
      </c>
      <c r="D8" s="186" t="str">
        <f>IFERROR(__xludf.DUMMYFUNCTION("""COMPUTED_VALUE"""),"F10")</f>
        <v>F10</v>
      </c>
      <c r="E8" s="186">
        <f>IFERROR(__xludf.DUMMYFUNCTION("""COMPUTED_VALUE"""),2.0)</f>
        <v>2</v>
      </c>
      <c r="F8" s="186" t="str">
        <f>IFERROR(__xludf.DUMMYFUNCTION("""COMPUTED_VALUE"""),"")</f>
        <v/>
      </c>
      <c r="G8" s="186">
        <f>IFERROR(__xludf.DUMMYFUNCTION("""COMPUTED_VALUE"""),2.0)</f>
        <v>2</v>
      </c>
      <c r="H8" s="186">
        <f>IFERROR(__xludf.DUMMYFUNCTION("""COMPUTED_VALUE"""),8.0)</f>
        <v>8</v>
      </c>
      <c r="I8" s="186" t="str">
        <f>IFERROR(__xludf.DUMMYFUNCTION("""COMPUTED_VALUE"""),"Packaging")</f>
        <v>Packaging</v>
      </c>
      <c r="J8" s="186">
        <f>IFERROR(__xludf.DUMMYFUNCTION("""COMPUTED_VALUE"""),-1.0)</f>
        <v>-1</v>
      </c>
      <c r="K8" s="186">
        <f>IFERROR(__xludf.DUMMYFUNCTION("""COMPUTED_VALUE"""),0.0)</f>
        <v>0</v>
      </c>
      <c r="L8" s="186">
        <f>IFERROR(__xludf.DUMMYFUNCTION("""COMPUTED_VALUE"""),0.0)</f>
        <v>0</v>
      </c>
      <c r="M8" s="186">
        <f>IFERROR(__xludf.DUMMYFUNCTION("""COMPUTED_VALUE"""),0.0)</f>
        <v>0</v>
      </c>
      <c r="N8" s="186">
        <f>IFERROR(__xludf.DUMMYFUNCTION("""COMPUTED_VALUE"""),0.0)</f>
        <v>0</v>
      </c>
      <c r="O8" s="186">
        <f>IFERROR(__xludf.DUMMYFUNCTION("""COMPUTED_VALUE"""),1.0)</f>
        <v>1</v>
      </c>
      <c r="P8" s="186">
        <f>IFERROR(__xludf.DUMMYFUNCTION("""COMPUTED_VALUE"""),0.0)</f>
        <v>0</v>
      </c>
      <c r="Q8" s="186">
        <f>IFERROR(__xludf.DUMMYFUNCTION("""COMPUTED_VALUE"""),0.0)</f>
        <v>0</v>
      </c>
      <c r="R8" s="186" t="str">
        <f>IFERROR(__xludf.DUMMYFUNCTION("""COMPUTED_VALUE"""),"")</f>
        <v/>
      </c>
      <c r="S8" s="186" t="str">
        <f>IFERROR(__xludf.DUMMYFUNCTION("""COMPUTED_VALUE"""),"8-2")</f>
        <v>8-2</v>
      </c>
    </row>
    <row r="9">
      <c r="A9" s="186" t="str">
        <f>IFERROR(__xludf.DUMMYFUNCTION("""COMPUTED_VALUE"""),"DACH")</f>
        <v>DACH</v>
      </c>
      <c r="B9" s="186" t="str">
        <f>IFERROR(__xludf.DUMMYFUNCTION("""COMPUTED_VALUE"""),"Factor Liner Large2")</f>
        <v>Factor Liner Large2</v>
      </c>
      <c r="C9" s="186" t="str">
        <f>IFERROR(__xludf.DUMMYFUNCTION("""COMPUTED_VALUE"""),"ASL1")</f>
        <v>ASL1</v>
      </c>
      <c r="D9" s="186" t="str">
        <f>IFERROR(__xludf.DUMMYFUNCTION("""COMPUTED_VALUE"""),"F11")</f>
        <v>F11</v>
      </c>
      <c r="E9" s="186">
        <f>IFERROR(__xludf.DUMMYFUNCTION("""COMPUTED_VALUE"""),2.0)</f>
        <v>2</v>
      </c>
      <c r="F9" s="186" t="str">
        <f>IFERROR(__xludf.DUMMYFUNCTION("""COMPUTED_VALUE"""),"")</f>
        <v/>
      </c>
      <c r="G9" s="186">
        <f>IFERROR(__xludf.DUMMYFUNCTION("""COMPUTED_VALUE"""),1.0)</f>
        <v>1</v>
      </c>
      <c r="H9" s="186">
        <f>IFERROR(__xludf.DUMMYFUNCTION("""COMPUTED_VALUE"""),9.0)</f>
        <v>9</v>
      </c>
      <c r="I9" s="186" t="str">
        <f>IFERROR(__xludf.DUMMYFUNCTION("""COMPUTED_VALUE"""),"Packaging")</f>
        <v>Packaging</v>
      </c>
      <c r="J9" s="186">
        <f>IFERROR(__xludf.DUMMYFUNCTION("""COMPUTED_VALUE"""),-1.0)</f>
        <v>-1</v>
      </c>
      <c r="K9" s="186">
        <f>IFERROR(__xludf.DUMMYFUNCTION("""COMPUTED_VALUE"""),0.0)</f>
        <v>0</v>
      </c>
      <c r="L9" s="186">
        <f>IFERROR(__xludf.DUMMYFUNCTION("""COMPUTED_VALUE"""),0.0)</f>
        <v>0</v>
      </c>
      <c r="M9" s="186">
        <f>IFERROR(__xludf.DUMMYFUNCTION("""COMPUTED_VALUE"""),0.0)</f>
        <v>0</v>
      </c>
      <c r="N9" s="186">
        <f>IFERROR(__xludf.DUMMYFUNCTION("""COMPUTED_VALUE"""),0.0)</f>
        <v>0</v>
      </c>
      <c r="O9" s="186">
        <f>IFERROR(__xludf.DUMMYFUNCTION("""COMPUTED_VALUE"""),1.0)</f>
        <v>1</v>
      </c>
      <c r="P9" s="186">
        <f>IFERROR(__xludf.DUMMYFUNCTION("""COMPUTED_VALUE"""),0.0)</f>
        <v>0</v>
      </c>
      <c r="Q9" s="186">
        <f>IFERROR(__xludf.DUMMYFUNCTION("""COMPUTED_VALUE"""),0.0)</f>
        <v>0</v>
      </c>
      <c r="R9" s="186" t="str">
        <f>IFERROR(__xludf.DUMMYFUNCTION("""COMPUTED_VALUE"""),"")</f>
        <v/>
      </c>
      <c r="S9" s="186" t="str">
        <f>IFERROR(__xludf.DUMMYFUNCTION("""COMPUTED_VALUE"""),"9-1")</f>
        <v>9-1</v>
      </c>
    </row>
    <row r="10">
      <c r="A10" s="186" t="str">
        <f>IFERROR(__xludf.DUMMYFUNCTION("""COMPUTED_VALUE"""),"DACH")</f>
        <v>DACH</v>
      </c>
      <c r="B10" s="186" t="str">
        <f>IFERROR(__xludf.DUMMYFUNCTION("""COMPUTED_VALUE"""),"Factor Liner Medium2")</f>
        <v>Factor Liner Medium2</v>
      </c>
      <c r="C10" s="186" t="str">
        <f>IFERROR(__xludf.DUMMYFUNCTION("""COMPUTED_VALUE"""),"ASL1")</f>
        <v>ASL1</v>
      </c>
      <c r="D10" s="186" t="str">
        <f>IFERROR(__xludf.DUMMYFUNCTION("""COMPUTED_VALUE"""),"F12")</f>
        <v>F12</v>
      </c>
      <c r="E10" s="186">
        <f>IFERROR(__xludf.DUMMYFUNCTION("""COMPUTED_VALUE"""),2.0)</f>
        <v>2</v>
      </c>
      <c r="F10" s="186" t="str">
        <f>IFERROR(__xludf.DUMMYFUNCTION("""COMPUTED_VALUE"""),"")</f>
        <v/>
      </c>
      <c r="G10" s="186">
        <f>IFERROR(__xludf.DUMMYFUNCTION("""COMPUTED_VALUE"""),2.0)</f>
        <v>2</v>
      </c>
      <c r="H10" s="186">
        <f>IFERROR(__xludf.DUMMYFUNCTION("""COMPUTED_VALUE"""),9.0)</f>
        <v>9</v>
      </c>
      <c r="I10" s="186" t="str">
        <f>IFERROR(__xludf.DUMMYFUNCTION("""COMPUTED_VALUE"""),"Packaging")</f>
        <v>Packaging</v>
      </c>
      <c r="J10" s="186">
        <f>IFERROR(__xludf.DUMMYFUNCTION("""COMPUTED_VALUE"""),-1.0)</f>
        <v>-1</v>
      </c>
      <c r="K10" s="186">
        <f>IFERROR(__xludf.DUMMYFUNCTION("""COMPUTED_VALUE"""),0.0)</f>
        <v>0</v>
      </c>
      <c r="L10" s="186">
        <f>IFERROR(__xludf.DUMMYFUNCTION("""COMPUTED_VALUE"""),0.0)</f>
        <v>0</v>
      </c>
      <c r="M10" s="186">
        <f>IFERROR(__xludf.DUMMYFUNCTION("""COMPUTED_VALUE"""),0.0)</f>
        <v>0</v>
      </c>
      <c r="N10" s="186">
        <f>IFERROR(__xludf.DUMMYFUNCTION("""COMPUTED_VALUE"""),0.0)</f>
        <v>0</v>
      </c>
      <c r="O10" s="186">
        <f>IFERROR(__xludf.DUMMYFUNCTION("""COMPUTED_VALUE"""),1.0)</f>
        <v>1</v>
      </c>
      <c r="P10" s="186">
        <f>IFERROR(__xludf.DUMMYFUNCTION("""COMPUTED_VALUE"""),0.0)</f>
        <v>0</v>
      </c>
      <c r="Q10" s="186">
        <f>IFERROR(__xludf.DUMMYFUNCTION("""COMPUTED_VALUE"""),0.0)</f>
        <v>0</v>
      </c>
      <c r="R10" s="186" t="str">
        <f>IFERROR(__xludf.DUMMYFUNCTION("""COMPUTED_VALUE"""),"")</f>
        <v/>
      </c>
      <c r="S10" s="186" t="str">
        <f>IFERROR(__xludf.DUMMYFUNCTION("""COMPUTED_VALUE"""),"9-2")</f>
        <v>9-2</v>
      </c>
    </row>
    <row r="11">
      <c r="A11" s="186" t="str">
        <f>IFERROR(__xludf.DUMMYFUNCTION("""COMPUTED_VALUE"""),"DACH")</f>
        <v>DACH</v>
      </c>
      <c r="B11" s="186" t="str">
        <f>IFERROR(__xludf.DUMMYFUNCTION("""COMPUTED_VALUE"""),"565064 - Lachs in Senf-Dill-Sauce")</f>
        <v>565064 - Lachs in Senf-Dill-Sauce</v>
      </c>
      <c r="C11" s="186" t="str">
        <f>IFERROR(__xludf.DUMMYFUNCTION("""COMPUTED_VALUE"""),"ASL1")</f>
        <v>ASL1</v>
      </c>
      <c r="D11" s="186" t="str">
        <f>IFERROR(__xludf.DUMMYFUNCTION("""COMPUTED_VALUE"""),"F55")</f>
        <v>F55</v>
      </c>
      <c r="E11" s="186">
        <f>IFERROR(__xludf.DUMMYFUNCTION("""COMPUTED_VALUE"""),8.0)</f>
        <v>8</v>
      </c>
      <c r="F11" s="186">
        <f>IFERROR(__xludf.DUMMYFUNCTION("""COMPUTED_VALUE"""),2.0)</f>
        <v>2</v>
      </c>
      <c r="G11" s="186">
        <f>IFERROR(__xludf.DUMMYFUNCTION("""COMPUTED_VALUE"""),1.0)</f>
        <v>1</v>
      </c>
      <c r="H11" s="186">
        <f>IFERROR(__xludf.DUMMYFUNCTION("""COMPUTED_VALUE"""),24.0)</f>
        <v>24</v>
      </c>
      <c r="I11" s="186" t="str">
        <f>IFERROR(__xludf.DUMMYFUNCTION("""COMPUTED_VALUE"""),"Chilled")</f>
        <v>Chilled</v>
      </c>
      <c r="J11" s="186">
        <f>IFERROR(__xludf.DUMMYFUNCTION("""COMPUTED_VALUE"""),5.0)</f>
        <v>5</v>
      </c>
      <c r="K11" s="186">
        <f>IFERROR(__xludf.DUMMYFUNCTION("""COMPUTED_VALUE"""),0.0)</f>
        <v>0</v>
      </c>
      <c r="L11" s="186">
        <f>IFERROR(__xludf.DUMMYFUNCTION("""COMPUTED_VALUE"""),0.0)</f>
        <v>0</v>
      </c>
      <c r="M11" s="186">
        <f>IFERROR(__xludf.DUMMYFUNCTION("""COMPUTED_VALUE"""),0.0)</f>
        <v>0</v>
      </c>
      <c r="N11" s="186">
        <f>IFERROR(__xludf.DUMMYFUNCTION("""COMPUTED_VALUE"""),0.0)</f>
        <v>0</v>
      </c>
      <c r="O11" s="186">
        <f>IFERROR(__xludf.DUMMYFUNCTION("""COMPUTED_VALUE"""),1.0)</f>
        <v>1</v>
      </c>
      <c r="P11" s="186">
        <f>IFERROR(__xludf.DUMMYFUNCTION("""COMPUTED_VALUE"""),55.0)</f>
        <v>55</v>
      </c>
      <c r="Q11" s="186">
        <f>IFERROR(__xludf.DUMMYFUNCTION("""COMPUTED_VALUE"""),2993.0)</f>
        <v>2993</v>
      </c>
      <c r="R11" s="186" t="str">
        <f>IFERROR(__xludf.DUMMYFUNCTION("""COMPUTED_VALUE"""),"Lachs")</f>
        <v>Lachs</v>
      </c>
      <c r="S11" s="186" t="str">
        <f>IFERROR(__xludf.DUMMYFUNCTION("""COMPUTED_VALUE"""),"24-1")</f>
        <v>24-1</v>
      </c>
    </row>
    <row r="12">
      <c r="A12" s="186" t="str">
        <f>IFERROR(__xludf.DUMMYFUNCTION("""COMPUTED_VALUE"""),"DACH")</f>
        <v>DACH</v>
      </c>
      <c r="B12" s="186" t="str">
        <f>IFERROR(__xludf.DUMMYFUNCTION("""COMPUTED_VALUE"""),"565095 - Schweinefilet in würziger Ancho-Chili-Sauce")</f>
        <v>565095 - Schweinefilet in würziger Ancho-Chili-Sauce</v>
      </c>
      <c r="C12" s="186" t="str">
        <f>IFERROR(__xludf.DUMMYFUNCTION("""COMPUTED_VALUE"""),"ASL1")</f>
        <v>ASL1</v>
      </c>
      <c r="D12" s="186" t="str">
        <f>IFERROR(__xludf.DUMMYFUNCTION("""COMPUTED_VALUE"""),"F56")</f>
        <v>F56</v>
      </c>
      <c r="E12" s="186">
        <f>IFERROR(__xludf.DUMMYFUNCTION("""COMPUTED_VALUE"""),8.0)</f>
        <v>8</v>
      </c>
      <c r="F12" s="186">
        <f>IFERROR(__xludf.DUMMYFUNCTION("""COMPUTED_VALUE"""),2.0)</f>
        <v>2</v>
      </c>
      <c r="G12" s="186">
        <f>IFERROR(__xludf.DUMMYFUNCTION("""COMPUTED_VALUE"""),2.0)</f>
        <v>2</v>
      </c>
      <c r="H12" s="186">
        <f>IFERROR(__xludf.DUMMYFUNCTION("""COMPUTED_VALUE"""),24.0)</f>
        <v>24</v>
      </c>
      <c r="I12" s="186" t="str">
        <f>IFERROR(__xludf.DUMMYFUNCTION("""COMPUTED_VALUE"""),"Chilled")</f>
        <v>Chilled</v>
      </c>
      <c r="J12" s="186">
        <f>IFERROR(__xludf.DUMMYFUNCTION("""COMPUTED_VALUE"""),5.0)</f>
        <v>5</v>
      </c>
      <c r="K12" s="186">
        <f>IFERROR(__xludf.DUMMYFUNCTION("""COMPUTED_VALUE"""),504.0)</f>
        <v>504</v>
      </c>
      <c r="L12" s="186">
        <f>IFERROR(__xludf.DUMMYFUNCTION("""COMPUTED_VALUE"""),0.0)</f>
        <v>0</v>
      </c>
      <c r="M12" s="186">
        <f>IFERROR(__xludf.DUMMYFUNCTION("""COMPUTED_VALUE"""),0.0)</f>
        <v>0</v>
      </c>
      <c r="N12" s="186">
        <f>IFERROR(__xludf.DUMMYFUNCTION("""COMPUTED_VALUE"""),504.0)</f>
        <v>504</v>
      </c>
      <c r="O12" s="186">
        <f>IFERROR(__xludf.DUMMYFUNCTION("""COMPUTED_VALUE"""),1.0)</f>
        <v>1</v>
      </c>
      <c r="P12" s="186">
        <f>IFERROR(__xludf.DUMMYFUNCTION("""COMPUTED_VALUE"""),55.0)</f>
        <v>55</v>
      </c>
      <c r="Q12" s="186">
        <f>IFERROR(__xludf.DUMMYFUNCTION("""COMPUTED_VALUE"""),2993.0)</f>
        <v>2993</v>
      </c>
      <c r="R12" s="186" t="str">
        <f>IFERROR(__xludf.DUMMYFUNCTION("""COMPUTED_VALUE"""),"Schwein")</f>
        <v>Schwein</v>
      </c>
      <c r="S12" s="186" t="str">
        <f>IFERROR(__xludf.DUMMYFUNCTION("""COMPUTED_VALUE"""),"24-2")</f>
        <v>24-2</v>
      </c>
    </row>
    <row r="13">
      <c r="A13" s="186" t="str">
        <f>IFERROR(__xludf.DUMMYFUNCTION("""COMPUTED_VALUE"""),"DACH")</f>
        <v>DACH</v>
      </c>
      <c r="B13" s="186" t="str">
        <f>IFERROR(__xludf.DUMMYFUNCTION("""COMPUTED_VALUE"""),"")</f>
        <v/>
      </c>
      <c r="C13" s="186" t="str">
        <f>IFERROR(__xludf.DUMMYFUNCTION("""COMPUTED_VALUE"""),"ASL1")</f>
        <v>ASL1</v>
      </c>
      <c r="D13" s="186" t="str">
        <f>IFERROR(__xludf.DUMMYFUNCTION("""COMPUTED_VALUE"""),"F58")</f>
        <v>F58</v>
      </c>
      <c r="E13" s="186">
        <f>IFERROR(__xludf.DUMMYFUNCTION("""COMPUTED_VALUE"""),8.0)</f>
        <v>8</v>
      </c>
      <c r="F13" s="186">
        <f>IFERROR(__xludf.DUMMYFUNCTION("""COMPUTED_VALUE"""),1.0)</f>
        <v>1</v>
      </c>
      <c r="G13" s="186">
        <f>IFERROR(__xludf.DUMMYFUNCTION("""COMPUTED_VALUE"""),1.0)</f>
        <v>1</v>
      </c>
      <c r="H13" s="186">
        <f>IFERROR(__xludf.DUMMYFUNCTION("""COMPUTED_VALUE"""),25.0)</f>
        <v>25</v>
      </c>
      <c r="I13" s="186" t="str">
        <f>IFERROR(__xludf.DUMMYFUNCTION("""COMPUTED_VALUE"""),"Chilled")</f>
        <v>Chilled</v>
      </c>
      <c r="J13" s="186">
        <f>IFERROR(__xludf.DUMMYFUNCTION("""COMPUTED_VALUE"""),5.0)</f>
        <v>5</v>
      </c>
      <c r="K13" s="186">
        <f>IFERROR(__xludf.DUMMYFUNCTION("""COMPUTED_VALUE"""),0.0)</f>
        <v>0</v>
      </c>
      <c r="L13" s="186">
        <f>IFERROR(__xludf.DUMMYFUNCTION("""COMPUTED_VALUE"""),0.0)</f>
        <v>0</v>
      </c>
      <c r="M13" s="186">
        <f>IFERROR(__xludf.DUMMYFUNCTION("""COMPUTED_VALUE"""),0.0)</f>
        <v>0</v>
      </c>
      <c r="N13" s="186" t="str">
        <f>IFERROR(__xludf.DUMMYFUNCTION("""COMPUTED_VALUE"""),"")</f>
        <v/>
      </c>
      <c r="O13" s="186">
        <f>IFERROR(__xludf.DUMMYFUNCTION("""COMPUTED_VALUE"""),1.0)</f>
        <v>1</v>
      </c>
      <c r="P13" s="186">
        <f>IFERROR(__xludf.DUMMYFUNCTION("""COMPUTED_VALUE"""),55.0)</f>
        <v>55</v>
      </c>
      <c r="Q13" s="186">
        <f>IFERROR(__xludf.DUMMYFUNCTION("""COMPUTED_VALUE"""),2993.0)</f>
        <v>2993</v>
      </c>
      <c r="R13" s="186" t="str">
        <f>IFERROR(__xludf.DUMMYFUNCTION("""COMPUTED_VALUE"""),"")</f>
        <v/>
      </c>
      <c r="S13" s="186" t="str">
        <f>IFERROR(__xludf.DUMMYFUNCTION("""COMPUTED_VALUE"""),"25-1")</f>
        <v>25-1</v>
      </c>
    </row>
    <row r="14">
      <c r="A14" s="186" t="str">
        <f>IFERROR(__xludf.DUMMYFUNCTION("""COMPUTED_VALUE"""),"DACH")</f>
        <v>DACH</v>
      </c>
      <c r="B14" s="186" t="str">
        <f>IFERROR(__xludf.DUMMYFUNCTION("""COMPUTED_VALUE"""),"565252 - Rinderragù mit sonnengetrockneten Tomaten und Pasta")</f>
        <v>565252 - Rinderragù mit sonnengetrockneten Tomaten und Pasta</v>
      </c>
      <c r="C14" s="186" t="str">
        <f>IFERROR(__xludf.DUMMYFUNCTION("""COMPUTED_VALUE"""),"ASL1")</f>
        <v>ASL1</v>
      </c>
      <c r="D14" s="186" t="str">
        <f>IFERROR(__xludf.DUMMYFUNCTION("""COMPUTED_VALUE"""),"F59")</f>
        <v>F59</v>
      </c>
      <c r="E14" s="186">
        <f>IFERROR(__xludf.DUMMYFUNCTION("""COMPUTED_VALUE"""),8.0)</f>
        <v>8</v>
      </c>
      <c r="F14" s="186">
        <f>IFERROR(__xludf.DUMMYFUNCTION("""COMPUTED_VALUE"""),1.0)</f>
        <v>1</v>
      </c>
      <c r="G14" s="186">
        <f>IFERROR(__xludf.DUMMYFUNCTION("""COMPUTED_VALUE"""),2.0)</f>
        <v>2</v>
      </c>
      <c r="H14" s="186">
        <f>IFERROR(__xludf.DUMMYFUNCTION("""COMPUTED_VALUE"""),25.0)</f>
        <v>25</v>
      </c>
      <c r="I14" s="186" t="str">
        <f>IFERROR(__xludf.DUMMYFUNCTION("""COMPUTED_VALUE"""),"Chilled")</f>
        <v>Chilled</v>
      </c>
      <c r="J14" s="186">
        <f>IFERROR(__xludf.DUMMYFUNCTION("""COMPUTED_VALUE"""),5.0)</f>
        <v>5</v>
      </c>
      <c r="K14" s="186">
        <f>IFERROR(__xludf.DUMMYFUNCTION("""COMPUTED_VALUE"""),1733.0)</f>
        <v>1733</v>
      </c>
      <c r="L14" s="186">
        <f>IFERROR(__xludf.DUMMYFUNCTION("""COMPUTED_VALUE"""),0.0)</f>
        <v>0</v>
      </c>
      <c r="M14" s="186">
        <f>IFERROR(__xludf.DUMMYFUNCTION("""COMPUTED_VALUE"""),0.0)</f>
        <v>0</v>
      </c>
      <c r="N14" s="186">
        <f>IFERROR(__xludf.DUMMYFUNCTION("""COMPUTED_VALUE"""),1733.0)</f>
        <v>1733</v>
      </c>
      <c r="O14" s="186">
        <f>IFERROR(__xludf.DUMMYFUNCTION("""COMPUTED_VALUE"""),1.0)</f>
        <v>1</v>
      </c>
      <c r="P14" s="186">
        <f>IFERROR(__xludf.DUMMYFUNCTION("""COMPUTED_VALUE"""),55.0)</f>
        <v>55</v>
      </c>
      <c r="Q14" s="186">
        <f>IFERROR(__xludf.DUMMYFUNCTION("""COMPUTED_VALUE"""),2993.0)</f>
        <v>2993</v>
      </c>
      <c r="R14" s="186" t="str">
        <f>IFERROR(__xludf.DUMMYFUNCTION("""COMPUTED_VALUE"""),"")</f>
        <v/>
      </c>
      <c r="S14" s="186" t="str">
        <f>IFERROR(__xludf.DUMMYFUNCTION("""COMPUTED_VALUE"""),"25-2")</f>
        <v>25-2</v>
      </c>
    </row>
    <row r="15">
      <c r="A15" s="186" t="str">
        <f>IFERROR(__xludf.DUMMYFUNCTION("""COMPUTED_VALUE"""),"DACH")</f>
        <v>DACH</v>
      </c>
      <c r="B15" s="186" t="str">
        <f>IFERROR(__xludf.DUMMYFUNCTION("""COMPUTED_VALUE"""),"565091 - Scharfes Rinderhack mit Jalapeños")</f>
        <v>565091 - Scharfes Rinderhack mit Jalapeños</v>
      </c>
      <c r="C15" s="186" t="str">
        <f>IFERROR(__xludf.DUMMYFUNCTION("""COMPUTED_VALUE"""),"ASL1")</f>
        <v>ASL1</v>
      </c>
      <c r="D15" s="186" t="str">
        <f>IFERROR(__xludf.DUMMYFUNCTION("""COMPUTED_VALUE"""),"F62")</f>
        <v>F62</v>
      </c>
      <c r="E15" s="186">
        <f>IFERROR(__xludf.DUMMYFUNCTION("""COMPUTED_VALUE"""),8.0)</f>
        <v>8</v>
      </c>
      <c r="F15" s="186">
        <f>IFERROR(__xludf.DUMMYFUNCTION("""COMPUTED_VALUE"""),0.0)</f>
        <v>0</v>
      </c>
      <c r="G15" s="186">
        <f>IFERROR(__xludf.DUMMYFUNCTION("""COMPUTED_VALUE"""),2.0)</f>
        <v>2</v>
      </c>
      <c r="H15" s="186">
        <f>IFERROR(__xludf.DUMMYFUNCTION("""COMPUTED_VALUE"""),26.0)</f>
        <v>26</v>
      </c>
      <c r="I15" s="186" t="str">
        <f>IFERROR(__xludf.DUMMYFUNCTION("""COMPUTED_VALUE"""),"Chilled")</f>
        <v>Chilled</v>
      </c>
      <c r="J15" s="186">
        <f>IFERROR(__xludf.DUMMYFUNCTION("""COMPUTED_VALUE"""),5.0)</f>
        <v>5</v>
      </c>
      <c r="K15" s="186">
        <f>IFERROR(__xludf.DUMMYFUNCTION("""COMPUTED_VALUE"""),678.0)</f>
        <v>678</v>
      </c>
      <c r="L15" s="186">
        <f>IFERROR(__xludf.DUMMYFUNCTION("""COMPUTED_VALUE"""),0.0)</f>
        <v>0</v>
      </c>
      <c r="M15" s="186">
        <f>IFERROR(__xludf.DUMMYFUNCTION("""COMPUTED_VALUE"""),0.0)</f>
        <v>0</v>
      </c>
      <c r="N15" s="186">
        <f>IFERROR(__xludf.DUMMYFUNCTION("""COMPUTED_VALUE"""),678.0)</f>
        <v>678</v>
      </c>
      <c r="O15" s="186">
        <f>IFERROR(__xludf.DUMMYFUNCTION("""COMPUTED_VALUE"""),1.0)</f>
        <v>1</v>
      </c>
      <c r="P15" s="186">
        <f>IFERROR(__xludf.DUMMYFUNCTION("""COMPUTED_VALUE"""),55.0)</f>
        <v>55</v>
      </c>
      <c r="Q15" s="186">
        <f>IFERROR(__xludf.DUMMYFUNCTION("""COMPUTED_VALUE"""),2993.0)</f>
        <v>2993</v>
      </c>
      <c r="R15" s="186" t="str">
        <f>IFERROR(__xludf.DUMMYFUNCTION("""COMPUTED_VALUE"""),"")</f>
        <v/>
      </c>
      <c r="S15" s="186" t="str">
        <f>IFERROR(__xludf.DUMMYFUNCTION("""COMPUTED_VALUE"""),"26-2")</f>
        <v>26-2</v>
      </c>
    </row>
    <row r="16">
      <c r="A16" s="186" t="str">
        <f>IFERROR(__xludf.DUMMYFUNCTION("""COMPUTED_VALUE"""),"DACH")</f>
        <v>DACH</v>
      </c>
      <c r="B16" s="186" t="str">
        <f>IFERROR(__xludf.DUMMYFUNCTION("""COMPUTED_VALUE"""),"565043 - Würziges Hähnchen mit Jalapeño, Limette und Cheddar")</f>
        <v>565043 - Würziges Hähnchen mit Jalapeño, Limette und Cheddar</v>
      </c>
      <c r="C16" s="186" t="str">
        <f>IFERROR(__xludf.DUMMYFUNCTION("""COMPUTED_VALUE"""),"ASL1")</f>
        <v>ASL1</v>
      </c>
      <c r="D16" s="186" t="str">
        <f>IFERROR(__xludf.DUMMYFUNCTION("""COMPUTED_VALUE"""),"F65")</f>
        <v>F65</v>
      </c>
      <c r="E16" s="186">
        <f>IFERROR(__xludf.DUMMYFUNCTION("""COMPUTED_VALUE"""),9.0)</f>
        <v>9</v>
      </c>
      <c r="F16" s="186">
        <f>IFERROR(__xludf.DUMMYFUNCTION("""COMPUTED_VALUE"""),2.0)</f>
        <v>2</v>
      </c>
      <c r="G16" s="186">
        <f>IFERROR(__xludf.DUMMYFUNCTION("""COMPUTED_VALUE"""),2.0)</f>
        <v>2</v>
      </c>
      <c r="H16" s="186">
        <f>IFERROR(__xludf.DUMMYFUNCTION("""COMPUTED_VALUE"""),27.0)</f>
        <v>27</v>
      </c>
      <c r="I16" s="186" t="str">
        <f>IFERROR(__xludf.DUMMYFUNCTION("""COMPUTED_VALUE"""),"Chilled")</f>
        <v>Chilled</v>
      </c>
      <c r="J16" s="186">
        <f>IFERROR(__xludf.DUMMYFUNCTION("""COMPUTED_VALUE"""),6.0)</f>
        <v>6</v>
      </c>
      <c r="K16" s="186">
        <f>IFERROR(__xludf.DUMMYFUNCTION("""COMPUTED_VALUE"""),1246.0)</f>
        <v>1246</v>
      </c>
      <c r="L16" s="186">
        <f>IFERROR(__xludf.DUMMYFUNCTION("""COMPUTED_VALUE"""),0.0)</f>
        <v>0</v>
      </c>
      <c r="M16" s="186">
        <f>IFERROR(__xludf.DUMMYFUNCTION("""COMPUTED_VALUE"""),0.0)</f>
        <v>0</v>
      </c>
      <c r="N16" s="186">
        <f>IFERROR(__xludf.DUMMYFUNCTION("""COMPUTED_VALUE"""),1246.0)</f>
        <v>1246</v>
      </c>
      <c r="O16" s="186">
        <f>IFERROR(__xludf.DUMMYFUNCTION("""COMPUTED_VALUE"""),1.0)</f>
        <v>1</v>
      </c>
      <c r="P16" s="186">
        <f>IFERROR(__xludf.DUMMYFUNCTION("""COMPUTED_VALUE"""),55.0)</f>
        <v>55</v>
      </c>
      <c r="Q16" s="186">
        <f>IFERROR(__xludf.DUMMYFUNCTION("""COMPUTED_VALUE"""),2993.0)</f>
        <v>2993</v>
      </c>
      <c r="R16" s="186" t="str">
        <f>IFERROR(__xludf.DUMMYFUNCTION("""COMPUTED_VALUE"""),"")</f>
        <v/>
      </c>
      <c r="S16" s="186" t="str">
        <f>IFERROR(__xludf.DUMMYFUNCTION("""COMPUTED_VALUE"""),"27-2")</f>
        <v>27-2</v>
      </c>
    </row>
    <row r="17">
      <c r="A17" s="186" t="str">
        <f>IFERROR(__xludf.DUMMYFUNCTION("""COMPUTED_VALUE"""),"DACH")</f>
        <v>DACH</v>
      </c>
      <c r="B17" s="186" t="str">
        <f>IFERROR(__xludf.DUMMYFUNCTION("""COMPUTED_VALUE"""),"565211 - Gegrilltes Hähnchen in Ingwer-Knoblauch-Marinade")</f>
        <v>565211 - Gegrilltes Hähnchen in Ingwer-Knoblauch-Marinade</v>
      </c>
      <c r="C17" s="186" t="str">
        <f>IFERROR(__xludf.DUMMYFUNCTION("""COMPUTED_VALUE"""),"ASL1")</f>
        <v>ASL1</v>
      </c>
      <c r="D17" s="186" t="str">
        <f>IFERROR(__xludf.DUMMYFUNCTION("""COMPUTED_VALUE"""),"F85")</f>
        <v>F85</v>
      </c>
      <c r="E17" s="186">
        <f>IFERROR(__xludf.DUMMYFUNCTION("""COMPUTED_VALUE"""),12.0)</f>
        <v>12</v>
      </c>
      <c r="F17" s="186" t="str">
        <f>IFERROR(__xludf.DUMMYFUNCTION("""COMPUTED_VALUE"""),"")</f>
        <v/>
      </c>
      <c r="G17" s="186">
        <f>IFERROR(__xludf.DUMMYFUNCTION("""COMPUTED_VALUE"""),1.0)</f>
        <v>1</v>
      </c>
      <c r="H17" s="186">
        <f>IFERROR(__xludf.DUMMYFUNCTION("""COMPUTED_VALUE"""),34.0)</f>
        <v>34</v>
      </c>
      <c r="I17" s="186" t="str">
        <f>IFERROR(__xludf.DUMMYFUNCTION("""COMPUTED_VALUE"""),"Chilled")</f>
        <v>Chilled</v>
      </c>
      <c r="J17" s="186">
        <f>IFERROR(__xludf.DUMMYFUNCTION("""COMPUTED_VALUE"""),9.0)</f>
        <v>9</v>
      </c>
      <c r="K17" s="186">
        <f>IFERROR(__xludf.DUMMYFUNCTION("""COMPUTED_VALUE"""),670.0)</f>
        <v>670</v>
      </c>
      <c r="L17" s="186">
        <f>IFERROR(__xludf.DUMMYFUNCTION("""COMPUTED_VALUE"""),0.0)</f>
        <v>0</v>
      </c>
      <c r="M17" s="186">
        <f>IFERROR(__xludf.DUMMYFUNCTION("""COMPUTED_VALUE"""),0.0)</f>
        <v>0</v>
      </c>
      <c r="N17" s="186">
        <f>IFERROR(__xludf.DUMMYFUNCTION("""COMPUTED_VALUE"""),670.0)</f>
        <v>670</v>
      </c>
      <c r="O17" s="186">
        <f>IFERROR(__xludf.DUMMYFUNCTION("""COMPUTED_VALUE"""),1.0)</f>
        <v>1</v>
      </c>
      <c r="P17" s="186">
        <f>IFERROR(__xludf.DUMMYFUNCTION("""COMPUTED_VALUE"""),55.0)</f>
        <v>55</v>
      </c>
      <c r="Q17" s="186">
        <f>IFERROR(__xludf.DUMMYFUNCTION("""COMPUTED_VALUE"""),2993.0)</f>
        <v>2993</v>
      </c>
      <c r="R17" s="186" t="str">
        <f>IFERROR(__xludf.DUMMYFUNCTION("""COMPUTED_VALUE"""),"Gegrillt")</f>
        <v>Gegrillt</v>
      </c>
      <c r="S17" s="186" t="str">
        <f>IFERROR(__xludf.DUMMYFUNCTION("""COMPUTED_VALUE"""),"34-1")</f>
        <v>34-1</v>
      </c>
    </row>
    <row r="18">
      <c r="A18" s="186" t="str">
        <f>IFERROR(__xludf.DUMMYFUNCTION("""COMPUTED_VALUE"""),"DACH")</f>
        <v>DACH</v>
      </c>
      <c r="B18" s="186" t="str">
        <f>IFERROR(__xludf.DUMMYFUNCTION("""COMPUTED_VALUE"""),"205 - FACTOR_ Ginger Lemon Apple Wellness Shot")</f>
        <v>205 - FACTOR_ Ginger Lemon Apple Wellness Shot</v>
      </c>
      <c r="C18" s="186" t="str">
        <f>IFERROR(__xludf.DUMMYFUNCTION("""COMPUTED_VALUE"""),"ASL1")</f>
        <v>ASL1</v>
      </c>
      <c r="D18" s="186" t="str">
        <f>IFERROR(__xludf.DUMMYFUNCTION("""COMPUTED_VALUE"""),"F86")</f>
        <v>F86</v>
      </c>
      <c r="E18" s="186">
        <f>IFERROR(__xludf.DUMMYFUNCTION("""COMPUTED_VALUE"""),12.0)</f>
        <v>12</v>
      </c>
      <c r="F18" s="186" t="str">
        <f>IFERROR(__xludf.DUMMYFUNCTION("""COMPUTED_VALUE"""),"")</f>
        <v/>
      </c>
      <c r="G18" s="186">
        <f>IFERROR(__xludf.DUMMYFUNCTION("""COMPUTED_VALUE"""),2.0)</f>
        <v>2</v>
      </c>
      <c r="H18" s="186">
        <f>IFERROR(__xludf.DUMMYFUNCTION("""COMPUTED_VALUE"""),34.0)</f>
        <v>34</v>
      </c>
      <c r="I18" s="186" t="str">
        <f>IFERROR(__xludf.DUMMYFUNCTION("""COMPUTED_VALUE"""),"Chilled")</f>
        <v>Chilled</v>
      </c>
      <c r="J18" s="186">
        <f>IFERROR(__xludf.DUMMYFUNCTION("""COMPUTED_VALUE"""),9.0)</f>
        <v>9</v>
      </c>
      <c r="K18" s="186">
        <f>IFERROR(__xludf.DUMMYFUNCTION("""COMPUTED_VALUE"""),48.0)</f>
        <v>48</v>
      </c>
      <c r="L18" s="186">
        <f>IFERROR(__xludf.DUMMYFUNCTION("""COMPUTED_VALUE"""),0.0)</f>
        <v>0</v>
      </c>
      <c r="M18" s="186">
        <f>IFERROR(__xludf.DUMMYFUNCTION("""COMPUTED_VALUE"""),0.0)</f>
        <v>0</v>
      </c>
      <c r="N18" s="186">
        <f>IFERROR(__xludf.DUMMYFUNCTION("""COMPUTED_VALUE"""),48.0)</f>
        <v>48</v>
      </c>
      <c r="O18" s="186">
        <f>IFERROR(__xludf.DUMMYFUNCTION("""COMPUTED_VALUE"""),1.0)</f>
        <v>1</v>
      </c>
      <c r="P18" s="186">
        <f>IFERROR(__xludf.DUMMYFUNCTION("""COMPUTED_VALUE"""),55.0)</f>
        <v>55</v>
      </c>
      <c r="Q18" s="186">
        <f>IFERROR(__xludf.DUMMYFUNCTION("""COMPUTED_VALUE"""),2993.0)</f>
        <v>2993</v>
      </c>
      <c r="R18" s="186" t="str">
        <f>IFERROR(__xludf.DUMMYFUNCTION("""COMPUTED_VALUE"""),"")</f>
        <v/>
      </c>
      <c r="S18" s="186" t="str">
        <f>IFERROR(__xludf.DUMMYFUNCTION("""COMPUTED_VALUE"""),"34-2")</f>
        <v>34-2</v>
      </c>
    </row>
    <row r="19">
      <c r="A19" s="186" t="str">
        <f>IFERROR(__xludf.DUMMYFUNCTION("""COMPUTED_VALUE"""),"DACH")</f>
        <v>DACH</v>
      </c>
      <c r="B19" s="186" t="str">
        <f>IFERROR(__xludf.DUMMYFUNCTION("""COMPUTED_VALUE"""),"565309 - Geschmortes Rind in Kräuterjus")</f>
        <v>565309 - Geschmortes Rind in Kräuterjus</v>
      </c>
      <c r="C19" s="186" t="str">
        <f>IFERROR(__xludf.DUMMYFUNCTION("""COMPUTED_VALUE"""),"ASL1")</f>
        <v>ASL1</v>
      </c>
      <c r="D19" s="186" t="str">
        <f>IFERROR(__xludf.DUMMYFUNCTION("""COMPUTED_VALUE"""),"F88")</f>
        <v>F88</v>
      </c>
      <c r="E19" s="186">
        <f>IFERROR(__xludf.DUMMYFUNCTION("""COMPUTED_VALUE"""),12.0)</f>
        <v>12</v>
      </c>
      <c r="F19" s="186" t="str">
        <f>IFERROR(__xludf.DUMMYFUNCTION("""COMPUTED_VALUE"""),"")</f>
        <v/>
      </c>
      <c r="G19" s="186">
        <f>IFERROR(__xludf.DUMMYFUNCTION("""COMPUTED_VALUE"""),1.0)</f>
        <v>1</v>
      </c>
      <c r="H19" s="186">
        <f>IFERROR(__xludf.DUMMYFUNCTION("""COMPUTED_VALUE"""),35.0)</f>
        <v>35</v>
      </c>
      <c r="I19" s="186" t="str">
        <f>IFERROR(__xludf.DUMMYFUNCTION("""COMPUTED_VALUE"""),"Chilled")</f>
        <v>Chilled</v>
      </c>
      <c r="J19" s="186">
        <f>IFERROR(__xludf.DUMMYFUNCTION("""COMPUTED_VALUE"""),9.0)</f>
        <v>9</v>
      </c>
      <c r="K19" s="186">
        <f>IFERROR(__xludf.DUMMYFUNCTION("""COMPUTED_VALUE"""),2052.0)</f>
        <v>2052</v>
      </c>
      <c r="L19" s="186">
        <f>IFERROR(__xludf.DUMMYFUNCTION("""COMPUTED_VALUE"""),0.0)</f>
        <v>0</v>
      </c>
      <c r="M19" s="186">
        <f>IFERROR(__xludf.DUMMYFUNCTION("""COMPUTED_VALUE"""),0.0)</f>
        <v>0</v>
      </c>
      <c r="N19" s="186">
        <f>IFERROR(__xludf.DUMMYFUNCTION("""COMPUTED_VALUE"""),2052.0)</f>
        <v>2052</v>
      </c>
      <c r="O19" s="186">
        <f>IFERROR(__xludf.DUMMYFUNCTION("""COMPUTED_VALUE"""),1.0)</f>
        <v>1</v>
      </c>
      <c r="P19" s="186">
        <f>IFERROR(__xludf.DUMMYFUNCTION("""COMPUTED_VALUE"""),55.0)</f>
        <v>55</v>
      </c>
      <c r="Q19" s="186">
        <f>IFERROR(__xludf.DUMMYFUNCTION("""COMPUTED_VALUE"""),2993.0)</f>
        <v>2993</v>
      </c>
      <c r="R19" s="186" t="str">
        <f>IFERROR(__xludf.DUMMYFUNCTION("""COMPUTED_VALUE"""),"")</f>
        <v/>
      </c>
      <c r="S19" s="186" t="str">
        <f>IFERROR(__xludf.DUMMYFUNCTION("""COMPUTED_VALUE"""),"35-1")</f>
        <v>35-1</v>
      </c>
    </row>
    <row r="20">
      <c r="A20" s="186" t="str">
        <f>IFERROR(__xludf.DUMMYFUNCTION("""COMPUTED_VALUE"""),"DACH")</f>
        <v>DACH</v>
      </c>
      <c r="B20" s="186" t="str">
        <f>IFERROR(__xludf.DUMMYFUNCTION("""COMPUTED_VALUE"""),"220 - Free4Life_ Ginger Lemon Apple Wellness Shot_Single")</f>
        <v>220 - Free4Life_ Ginger Lemon Apple Wellness Shot_Single</v>
      </c>
      <c r="C20" s="186" t="str">
        <f>IFERROR(__xludf.DUMMYFUNCTION("""COMPUTED_VALUE"""),"ASL1")</f>
        <v>ASL1</v>
      </c>
      <c r="D20" s="186" t="str">
        <f>IFERROR(__xludf.DUMMYFUNCTION("""COMPUTED_VALUE"""),"F89")</f>
        <v>F89</v>
      </c>
      <c r="E20" s="186">
        <f>IFERROR(__xludf.DUMMYFUNCTION("""COMPUTED_VALUE"""),12.0)</f>
        <v>12</v>
      </c>
      <c r="F20" s="186" t="str">
        <f>IFERROR(__xludf.DUMMYFUNCTION("""COMPUTED_VALUE"""),"")</f>
        <v/>
      </c>
      <c r="G20" s="186">
        <f>IFERROR(__xludf.DUMMYFUNCTION("""COMPUTED_VALUE"""),2.0)</f>
        <v>2</v>
      </c>
      <c r="H20" s="186">
        <f>IFERROR(__xludf.DUMMYFUNCTION("""COMPUTED_VALUE"""),35.0)</f>
        <v>35</v>
      </c>
      <c r="I20" s="186" t="str">
        <f>IFERROR(__xludf.DUMMYFUNCTION("""COMPUTED_VALUE"""),"Chilled")</f>
        <v>Chilled</v>
      </c>
      <c r="J20" s="186">
        <f>IFERROR(__xludf.DUMMYFUNCTION("""COMPUTED_VALUE"""),9.0)</f>
        <v>9</v>
      </c>
      <c r="K20" s="186">
        <f>IFERROR(__xludf.DUMMYFUNCTION("""COMPUTED_VALUE"""),48.0)</f>
        <v>48</v>
      </c>
      <c r="L20" s="186">
        <f>IFERROR(__xludf.DUMMYFUNCTION("""COMPUTED_VALUE"""),0.0)</f>
        <v>0</v>
      </c>
      <c r="M20" s="186">
        <f>IFERROR(__xludf.DUMMYFUNCTION("""COMPUTED_VALUE"""),0.0)</f>
        <v>0</v>
      </c>
      <c r="N20" s="186">
        <f>IFERROR(__xludf.DUMMYFUNCTION("""COMPUTED_VALUE"""),48.0)</f>
        <v>48</v>
      </c>
      <c r="O20" s="186">
        <f>IFERROR(__xludf.DUMMYFUNCTION("""COMPUTED_VALUE"""),1.0)</f>
        <v>1</v>
      </c>
      <c r="P20" s="186">
        <f>IFERROR(__xludf.DUMMYFUNCTION("""COMPUTED_VALUE"""),55.0)</f>
        <v>55</v>
      </c>
      <c r="Q20" s="186">
        <f>IFERROR(__xludf.DUMMYFUNCTION("""COMPUTED_VALUE"""),2993.0)</f>
        <v>2993</v>
      </c>
      <c r="R20" s="186" t="str">
        <f>IFERROR(__xludf.DUMMYFUNCTION("""COMPUTED_VALUE"""),"")</f>
        <v/>
      </c>
      <c r="S20" s="186" t="str">
        <f>IFERROR(__xludf.DUMMYFUNCTION("""COMPUTED_VALUE"""),"35-2")</f>
        <v>35-2</v>
      </c>
    </row>
    <row r="21">
      <c r="A21" s="186" t="str">
        <f>IFERROR(__xludf.DUMMYFUNCTION("""COMPUTED_VALUE"""),"DACH")</f>
        <v>DACH</v>
      </c>
      <c r="B21" s="186" t="str">
        <f>IFERROR(__xludf.DUMMYFUNCTION("""COMPUTED_VALUE"""),"565164 - Hähnchen mit karamellisierten Zwiebeln &amp; Emmentaler-Fondue")</f>
        <v>565164 - Hähnchen mit karamellisierten Zwiebeln &amp; Emmentaler-Fondue</v>
      </c>
      <c r="C21" s="186" t="str">
        <f>IFERROR(__xludf.DUMMYFUNCTION("""COMPUTED_VALUE"""),"ASL1")</f>
        <v>ASL1</v>
      </c>
      <c r="D21" s="186" t="str">
        <f>IFERROR(__xludf.DUMMYFUNCTION("""COMPUTED_VALUE"""),"F92")</f>
        <v>F92</v>
      </c>
      <c r="E21" s="186">
        <f>IFERROR(__xludf.DUMMYFUNCTION("""COMPUTED_VALUE"""),13.0)</f>
        <v>13</v>
      </c>
      <c r="F21" s="186" t="str">
        <f>IFERROR(__xludf.DUMMYFUNCTION("""COMPUTED_VALUE"""),"")</f>
        <v/>
      </c>
      <c r="G21" s="186">
        <f>IFERROR(__xludf.DUMMYFUNCTION("""COMPUTED_VALUE"""),2.0)</f>
        <v>2</v>
      </c>
      <c r="H21" s="186">
        <f>IFERROR(__xludf.DUMMYFUNCTION("""COMPUTED_VALUE"""),36.0)</f>
        <v>36</v>
      </c>
      <c r="I21" s="186" t="str">
        <f>IFERROR(__xludf.DUMMYFUNCTION("""COMPUTED_VALUE"""),"Chilled")</f>
        <v>Chilled</v>
      </c>
      <c r="J21" s="186">
        <f>IFERROR(__xludf.DUMMYFUNCTION("""COMPUTED_VALUE"""),10.0)</f>
        <v>10</v>
      </c>
      <c r="K21" s="186">
        <f>IFERROR(__xludf.DUMMYFUNCTION("""COMPUTED_VALUE"""),0.0)</f>
        <v>0</v>
      </c>
      <c r="L21" s="186">
        <f>IFERROR(__xludf.DUMMYFUNCTION("""COMPUTED_VALUE"""),0.0)</f>
        <v>0</v>
      </c>
      <c r="M21" s="186">
        <f>IFERROR(__xludf.DUMMYFUNCTION("""COMPUTED_VALUE"""),0.0)</f>
        <v>0</v>
      </c>
      <c r="N21" s="186">
        <f>IFERROR(__xludf.DUMMYFUNCTION("""COMPUTED_VALUE"""),0.0)</f>
        <v>0</v>
      </c>
      <c r="O21" s="186">
        <f>IFERROR(__xludf.DUMMYFUNCTION("""COMPUTED_VALUE"""),1.0)</f>
        <v>1</v>
      </c>
      <c r="P21" s="186">
        <f>IFERROR(__xludf.DUMMYFUNCTION("""COMPUTED_VALUE"""),55.0)</f>
        <v>55</v>
      </c>
      <c r="Q21" s="186">
        <f>IFERROR(__xludf.DUMMYFUNCTION("""COMPUTED_VALUE"""),2993.0)</f>
        <v>2993</v>
      </c>
      <c r="R21" s="186" t="str">
        <f>IFERROR(__xludf.DUMMYFUNCTION("""COMPUTED_VALUE"""),"")</f>
        <v/>
      </c>
      <c r="S21" s="186" t="str">
        <f>IFERROR(__xludf.DUMMYFUNCTION("""COMPUTED_VALUE"""),"36-2")</f>
        <v>36-2</v>
      </c>
    </row>
    <row r="22">
      <c r="A22" s="186" t="str">
        <f>IFERROR(__xludf.DUMMYFUNCTION("""COMPUTED_VALUE"""),"DACH")</f>
        <v>DACH</v>
      </c>
      <c r="B22" s="186" t="str">
        <f>IFERROR(__xludf.DUMMYFUNCTION("""COMPUTED_VALUE"""),"565189 - Lachs Piccata")</f>
        <v>565189 - Lachs Piccata</v>
      </c>
      <c r="C22" s="186" t="str">
        <f>IFERROR(__xludf.DUMMYFUNCTION("""COMPUTED_VALUE"""),"ASL1")</f>
        <v>ASL1</v>
      </c>
      <c r="D22" s="186" t="str">
        <f>IFERROR(__xludf.DUMMYFUNCTION("""COMPUTED_VALUE"""),"F96")</f>
        <v>F96</v>
      </c>
      <c r="E22" s="186">
        <f>IFERROR(__xludf.DUMMYFUNCTION("""COMPUTED_VALUE"""),13.0)</f>
        <v>13</v>
      </c>
      <c r="F22" s="186" t="str">
        <f>IFERROR(__xludf.DUMMYFUNCTION("""COMPUTED_VALUE"""),"")</f>
        <v/>
      </c>
      <c r="G22" s="186">
        <f>IFERROR(__xludf.DUMMYFUNCTION("""COMPUTED_VALUE"""),3.0)</f>
        <v>3</v>
      </c>
      <c r="H22" s="186">
        <f>IFERROR(__xludf.DUMMYFUNCTION("""COMPUTED_VALUE"""),37.0)</f>
        <v>37</v>
      </c>
      <c r="I22" s="186" t="str">
        <f>IFERROR(__xludf.DUMMYFUNCTION("""COMPUTED_VALUE"""),"Chilled")</f>
        <v>Chilled</v>
      </c>
      <c r="J22" s="186">
        <f>IFERROR(__xludf.DUMMYFUNCTION("""COMPUTED_VALUE"""),10.0)</f>
        <v>10</v>
      </c>
      <c r="K22" s="186">
        <f>IFERROR(__xludf.DUMMYFUNCTION("""COMPUTED_VALUE"""),0.0)</f>
        <v>0</v>
      </c>
      <c r="L22" s="186">
        <f>IFERROR(__xludf.DUMMYFUNCTION("""COMPUTED_VALUE"""),0.0)</f>
        <v>0</v>
      </c>
      <c r="M22" s="186">
        <f>IFERROR(__xludf.DUMMYFUNCTION("""COMPUTED_VALUE"""),0.0)</f>
        <v>0</v>
      </c>
      <c r="N22" s="186">
        <f>IFERROR(__xludf.DUMMYFUNCTION("""COMPUTED_VALUE"""),0.0)</f>
        <v>0</v>
      </c>
      <c r="O22" s="186">
        <f>IFERROR(__xludf.DUMMYFUNCTION("""COMPUTED_VALUE"""),1.0)</f>
        <v>1</v>
      </c>
      <c r="P22" s="186">
        <f>IFERROR(__xludf.DUMMYFUNCTION("""COMPUTED_VALUE"""),55.0)</f>
        <v>55</v>
      </c>
      <c r="Q22" s="186">
        <f>IFERROR(__xludf.DUMMYFUNCTION("""COMPUTED_VALUE"""),2993.0)</f>
        <v>2993</v>
      </c>
      <c r="R22" s="186" t="str">
        <f>IFERROR(__xludf.DUMMYFUNCTION("""COMPUTED_VALUE"""),"Lachs")</f>
        <v>Lachs</v>
      </c>
      <c r="S22" s="186" t="str">
        <f>IFERROR(__xludf.DUMMYFUNCTION("""COMPUTED_VALUE"""),"37-3")</f>
        <v>37-3</v>
      </c>
    </row>
    <row r="23">
      <c r="A23" s="186" t="str">
        <f>IFERROR(__xludf.DUMMYFUNCTION("""COMPUTED_VALUE"""),"DACH")</f>
        <v>DACH</v>
      </c>
      <c r="B23" s="186" t="str">
        <f>IFERROR(__xludf.DUMMYFUNCTION("""COMPUTED_VALUE"""),"565072 - Gegrilltes Hähnchen mit Ratatouille")</f>
        <v>565072 - Gegrilltes Hähnchen mit Ratatouille</v>
      </c>
      <c r="C23" s="186" t="str">
        <f>IFERROR(__xludf.DUMMYFUNCTION("""COMPUTED_VALUE"""),"ASL1")</f>
        <v>ASL1</v>
      </c>
      <c r="D23" s="186" t="str">
        <f>IFERROR(__xludf.DUMMYFUNCTION("""COMPUTED_VALUE"""),"F97")</f>
        <v>F97</v>
      </c>
      <c r="E23" s="186">
        <f>IFERROR(__xludf.DUMMYFUNCTION("""COMPUTED_VALUE"""),13.0)</f>
        <v>13</v>
      </c>
      <c r="F23" s="186" t="str">
        <f>IFERROR(__xludf.DUMMYFUNCTION("""COMPUTED_VALUE"""),"")</f>
        <v/>
      </c>
      <c r="G23" s="186">
        <f>IFERROR(__xludf.DUMMYFUNCTION("""COMPUTED_VALUE"""),1.0)</f>
        <v>1</v>
      </c>
      <c r="H23" s="186">
        <f>IFERROR(__xludf.DUMMYFUNCTION("""COMPUTED_VALUE"""),38.0)</f>
        <v>38</v>
      </c>
      <c r="I23" s="186" t="str">
        <f>IFERROR(__xludf.DUMMYFUNCTION("""COMPUTED_VALUE"""),"Chilled")</f>
        <v>Chilled</v>
      </c>
      <c r="J23" s="186">
        <f>IFERROR(__xludf.DUMMYFUNCTION("""COMPUTED_VALUE"""),10.0)</f>
        <v>10</v>
      </c>
      <c r="K23" s="186">
        <f>IFERROR(__xludf.DUMMYFUNCTION("""COMPUTED_VALUE"""),2993.0)</f>
        <v>2993</v>
      </c>
      <c r="L23" s="186">
        <f>IFERROR(__xludf.DUMMYFUNCTION("""COMPUTED_VALUE"""),0.0)</f>
        <v>0</v>
      </c>
      <c r="M23" s="186">
        <f>IFERROR(__xludf.DUMMYFUNCTION("""COMPUTED_VALUE"""),0.0)</f>
        <v>0</v>
      </c>
      <c r="N23" s="186">
        <f>IFERROR(__xludf.DUMMYFUNCTION("""COMPUTED_VALUE"""),2993.0)</f>
        <v>2993</v>
      </c>
      <c r="O23" s="186">
        <f>IFERROR(__xludf.DUMMYFUNCTION("""COMPUTED_VALUE"""),1.0)</f>
        <v>1</v>
      </c>
      <c r="P23" s="186">
        <f>IFERROR(__xludf.DUMMYFUNCTION("""COMPUTED_VALUE"""),55.0)</f>
        <v>55</v>
      </c>
      <c r="Q23" s="186">
        <f>IFERROR(__xludf.DUMMYFUNCTION("""COMPUTED_VALUE"""),2993.0)</f>
        <v>2993</v>
      </c>
      <c r="R23" s="186" t="str">
        <f>IFERROR(__xludf.DUMMYFUNCTION("""COMPUTED_VALUE"""),"Gegrillt")</f>
        <v>Gegrillt</v>
      </c>
      <c r="S23" s="186" t="str">
        <f>IFERROR(__xludf.DUMMYFUNCTION("""COMPUTED_VALUE"""),"38-1")</f>
        <v>38-1</v>
      </c>
    </row>
    <row r="24">
      <c r="A24" s="186" t="str">
        <f>IFERROR(__xludf.DUMMYFUNCTION("""COMPUTED_VALUE"""),"DACH")</f>
        <v>DACH</v>
      </c>
      <c r="B24" s="186" t="str">
        <f>IFERROR(__xludf.DUMMYFUNCTION("""COMPUTED_VALUE"""),"IcePack2")</f>
        <v>IcePack2</v>
      </c>
      <c r="C24" s="186" t="str">
        <f>IFERROR(__xludf.DUMMYFUNCTION("""COMPUTED_VALUE"""),"ASL1")</f>
        <v>ASL1</v>
      </c>
      <c r="D24" s="186" t="str">
        <f>IFERROR(__xludf.DUMMYFUNCTION("""COMPUTED_VALUE"""),"F105")</f>
        <v>F105</v>
      </c>
      <c r="E24" s="186">
        <f>IFERROR(__xludf.DUMMYFUNCTION("""COMPUTED_VALUE"""),14.0)</f>
        <v>14</v>
      </c>
      <c r="F24" s="186">
        <f>IFERROR(__xludf.DUMMYFUNCTION("""COMPUTED_VALUE"""),1.0)</f>
        <v>1</v>
      </c>
      <c r="G24" s="186">
        <f>IFERROR(__xludf.DUMMYFUNCTION("""COMPUTED_VALUE"""),1.0)</f>
        <v>1</v>
      </c>
      <c r="H24" s="186">
        <f>IFERROR(__xludf.DUMMYFUNCTION("""COMPUTED_VALUE"""),41.0)</f>
        <v>41</v>
      </c>
      <c r="I24" s="186" t="str">
        <f>IFERROR(__xludf.DUMMYFUNCTION("""COMPUTED_VALUE"""),"Chilled")</f>
        <v>Chilled</v>
      </c>
      <c r="J24" s="186">
        <f>IFERROR(__xludf.DUMMYFUNCTION("""COMPUTED_VALUE"""),11.0)</f>
        <v>11</v>
      </c>
      <c r="K24" s="186">
        <f>IFERROR(__xludf.DUMMYFUNCTION("""COMPUTED_VALUE"""),48.0)</f>
        <v>48</v>
      </c>
      <c r="L24" s="186">
        <f>IFERROR(__xludf.DUMMYFUNCTION("""COMPUTED_VALUE"""),0.0)</f>
        <v>0</v>
      </c>
      <c r="M24" s="186">
        <f>IFERROR(__xludf.DUMMYFUNCTION("""COMPUTED_VALUE"""),0.0)</f>
        <v>0</v>
      </c>
      <c r="N24" s="186">
        <f>IFERROR(__xludf.DUMMYFUNCTION("""COMPUTED_VALUE"""),48.0)</f>
        <v>48</v>
      </c>
      <c r="O24" s="186">
        <f>IFERROR(__xludf.DUMMYFUNCTION("""COMPUTED_VALUE"""),1.0)</f>
        <v>1</v>
      </c>
      <c r="P24" s="186">
        <f>IFERROR(__xludf.DUMMYFUNCTION("""COMPUTED_VALUE"""),55.0)</f>
        <v>55</v>
      </c>
      <c r="Q24" s="186">
        <f>IFERROR(__xludf.DUMMYFUNCTION("""COMPUTED_VALUE"""),2993.0)</f>
        <v>2993</v>
      </c>
      <c r="R24" s="186" t="str">
        <f>IFERROR(__xludf.DUMMYFUNCTION("""COMPUTED_VALUE"""),"")</f>
        <v/>
      </c>
      <c r="S24" s="186" t="str">
        <f>IFERROR(__xludf.DUMMYFUNCTION("""COMPUTED_VALUE"""),"41-1")</f>
        <v>41-1</v>
      </c>
    </row>
    <row r="25">
      <c r="A25" s="186" t="str">
        <f>IFERROR(__xludf.DUMMYFUNCTION("""COMPUTED_VALUE"""),"DACH")</f>
        <v>DACH</v>
      </c>
      <c r="B25" s="186" t="str">
        <f>IFERROR(__xludf.DUMMYFUNCTION("""COMPUTED_VALUE"""),"565119 - Gegrilltes Hähnchen mit Knoblauch-Kräutern")</f>
        <v>565119 - Gegrilltes Hähnchen mit Knoblauch-Kräutern</v>
      </c>
      <c r="C25" s="186" t="str">
        <f>IFERROR(__xludf.DUMMYFUNCTION("""COMPUTED_VALUE"""),"ASL1")</f>
        <v>ASL1</v>
      </c>
      <c r="D25" s="186" t="str">
        <f>IFERROR(__xludf.DUMMYFUNCTION("""COMPUTED_VALUE"""),"F106")</f>
        <v>F106</v>
      </c>
      <c r="E25" s="186">
        <f>IFERROR(__xludf.DUMMYFUNCTION("""COMPUTED_VALUE"""),14.0)</f>
        <v>14</v>
      </c>
      <c r="F25" s="186">
        <f>IFERROR(__xludf.DUMMYFUNCTION("""COMPUTED_VALUE"""),1.0)</f>
        <v>1</v>
      </c>
      <c r="G25" s="186">
        <f>IFERROR(__xludf.DUMMYFUNCTION("""COMPUTED_VALUE"""),2.0)</f>
        <v>2</v>
      </c>
      <c r="H25" s="186">
        <f>IFERROR(__xludf.DUMMYFUNCTION("""COMPUTED_VALUE"""),41.0)</f>
        <v>41</v>
      </c>
      <c r="I25" s="186" t="str">
        <f>IFERROR(__xludf.DUMMYFUNCTION("""COMPUTED_VALUE"""),"Chilled")</f>
        <v>Chilled</v>
      </c>
      <c r="J25" s="186">
        <f>IFERROR(__xludf.DUMMYFUNCTION("""COMPUTED_VALUE"""),11.0)</f>
        <v>11</v>
      </c>
      <c r="K25" s="186" t="str">
        <f>IFERROR(__xludf.DUMMYFUNCTION("""COMPUTED_VALUE"""),"")</f>
        <v/>
      </c>
      <c r="L25" s="186" t="str">
        <f>IFERROR(__xludf.DUMMYFUNCTION("""COMPUTED_VALUE"""),"")</f>
        <v/>
      </c>
      <c r="M25" s="186" t="str">
        <f>IFERROR(__xludf.DUMMYFUNCTION("""COMPUTED_VALUE"""),"")</f>
        <v/>
      </c>
      <c r="N25" s="186">
        <f>IFERROR(__xludf.DUMMYFUNCTION("""COMPUTED_VALUE"""),0.0)</f>
        <v>0</v>
      </c>
      <c r="O25" s="186">
        <f>IFERROR(__xludf.DUMMYFUNCTION("""COMPUTED_VALUE"""),1.0)</f>
        <v>1</v>
      </c>
      <c r="P25" s="186">
        <f>IFERROR(__xludf.DUMMYFUNCTION("""COMPUTED_VALUE"""),55.0)</f>
        <v>55</v>
      </c>
      <c r="Q25" s="186">
        <f>IFERROR(__xludf.DUMMYFUNCTION("""COMPUTED_VALUE"""),2993.0)</f>
        <v>2993</v>
      </c>
      <c r="R25" s="186" t="str">
        <f>IFERROR(__xludf.DUMMYFUNCTION("""COMPUTED_VALUE"""),"Gegrillt")</f>
        <v>Gegrillt</v>
      </c>
      <c r="S25" s="186" t="str">
        <f>IFERROR(__xludf.DUMMYFUNCTION("""COMPUTED_VALUE"""),"41-2")</f>
        <v>41-2</v>
      </c>
    </row>
    <row r="26">
      <c r="A26" s="186" t="str">
        <f>IFERROR(__xludf.DUMMYFUNCTION("""COMPUTED_VALUE"""),"DACH")</f>
        <v>DACH</v>
      </c>
      <c r="B26" s="186" t="str">
        <f>IFERROR(__xludf.DUMMYFUNCTION("""COMPUTED_VALUE"""),"565143 - Schweinefilet in cremiger Knoblauch-Senf-Sauce")</f>
        <v>565143 - Schweinefilet in cremiger Knoblauch-Senf-Sauce</v>
      </c>
      <c r="C26" s="186" t="str">
        <f>IFERROR(__xludf.DUMMYFUNCTION("""COMPUTED_VALUE"""),"ASL1")</f>
        <v>ASL1</v>
      </c>
      <c r="D26" s="186" t="str">
        <f>IFERROR(__xludf.DUMMYFUNCTION("""COMPUTED_VALUE"""),"F107")</f>
        <v>F107</v>
      </c>
      <c r="E26" s="186">
        <f>IFERROR(__xludf.DUMMYFUNCTION("""COMPUTED_VALUE"""),14.0)</f>
        <v>14</v>
      </c>
      <c r="F26" s="186">
        <f>IFERROR(__xludf.DUMMYFUNCTION("""COMPUTED_VALUE"""),0.0)</f>
        <v>0</v>
      </c>
      <c r="G26" s="186">
        <f>IFERROR(__xludf.DUMMYFUNCTION("""COMPUTED_VALUE"""),1.0)</f>
        <v>1</v>
      </c>
      <c r="H26" s="186">
        <f>IFERROR(__xludf.DUMMYFUNCTION("""COMPUTED_VALUE"""),42.0)</f>
        <v>42</v>
      </c>
      <c r="I26" s="186" t="str">
        <f>IFERROR(__xludf.DUMMYFUNCTION("""COMPUTED_VALUE"""),"Chilled")</f>
        <v>Chilled</v>
      </c>
      <c r="J26" s="186">
        <f>IFERROR(__xludf.DUMMYFUNCTION("""COMPUTED_VALUE"""),11.0)</f>
        <v>11</v>
      </c>
      <c r="K26" s="186">
        <f>IFERROR(__xludf.DUMMYFUNCTION("""COMPUTED_VALUE"""),598.0)</f>
        <v>598</v>
      </c>
      <c r="L26" s="186">
        <f>IFERROR(__xludf.DUMMYFUNCTION("""COMPUTED_VALUE"""),0.0)</f>
        <v>0</v>
      </c>
      <c r="M26" s="186">
        <f>IFERROR(__xludf.DUMMYFUNCTION("""COMPUTED_VALUE"""),0.0)</f>
        <v>0</v>
      </c>
      <c r="N26" s="186">
        <f>IFERROR(__xludf.DUMMYFUNCTION("""COMPUTED_VALUE"""),598.0)</f>
        <v>598</v>
      </c>
      <c r="O26" s="186">
        <f>IFERROR(__xludf.DUMMYFUNCTION("""COMPUTED_VALUE"""),1.0)</f>
        <v>1</v>
      </c>
      <c r="P26" s="186">
        <f>IFERROR(__xludf.DUMMYFUNCTION("""COMPUTED_VALUE"""),55.0)</f>
        <v>55</v>
      </c>
      <c r="Q26" s="186">
        <f>IFERROR(__xludf.DUMMYFUNCTION("""COMPUTED_VALUE"""),2993.0)</f>
        <v>2993</v>
      </c>
      <c r="R26" s="186" t="str">
        <f>IFERROR(__xludf.DUMMYFUNCTION("""COMPUTED_VALUE"""),"Schwein")</f>
        <v>Schwein</v>
      </c>
      <c r="S26" s="186" t="str">
        <f>IFERROR(__xludf.DUMMYFUNCTION("""COMPUTED_VALUE"""),"42-1")</f>
        <v>42-1</v>
      </c>
    </row>
    <row r="27">
      <c r="A27" s="186" t="str">
        <f>IFERROR(__xludf.DUMMYFUNCTION("""COMPUTED_VALUE"""),"DACH")</f>
        <v>DACH</v>
      </c>
      <c r="B27" s="186" t="str">
        <f>IFERROR(__xludf.DUMMYFUNCTION("""COMPUTED_VALUE"""),"565178 - Westafrikanisches Hähnchen-Erdnuss-Curry")</f>
        <v>565178 - Westafrikanisches Hähnchen-Erdnuss-Curry</v>
      </c>
      <c r="C27" s="186" t="str">
        <f>IFERROR(__xludf.DUMMYFUNCTION("""COMPUTED_VALUE"""),"ASL1")</f>
        <v>ASL1</v>
      </c>
      <c r="D27" s="186" t="str">
        <f>IFERROR(__xludf.DUMMYFUNCTION("""COMPUTED_VALUE"""),"F109")</f>
        <v>F109</v>
      </c>
      <c r="E27" s="186">
        <f>IFERROR(__xludf.DUMMYFUNCTION("""COMPUTED_VALUE"""),14.0)</f>
        <v>14</v>
      </c>
      <c r="F27" s="186">
        <f>IFERROR(__xludf.DUMMYFUNCTION("""COMPUTED_VALUE"""),2.0)</f>
        <v>2</v>
      </c>
      <c r="G27" s="186">
        <f>IFERROR(__xludf.DUMMYFUNCTION("""COMPUTED_VALUE"""),1.0)</f>
        <v>1</v>
      </c>
      <c r="H27" s="186">
        <f>IFERROR(__xludf.DUMMYFUNCTION("""COMPUTED_VALUE"""),43.0)</f>
        <v>43</v>
      </c>
      <c r="I27" s="186" t="str">
        <f>IFERROR(__xludf.DUMMYFUNCTION("""COMPUTED_VALUE"""),"Chilled")</f>
        <v>Chilled</v>
      </c>
      <c r="J27" s="186">
        <f>IFERROR(__xludf.DUMMYFUNCTION("""COMPUTED_VALUE"""),11.0)</f>
        <v>11</v>
      </c>
      <c r="K27" s="186">
        <f>IFERROR(__xludf.DUMMYFUNCTION("""COMPUTED_VALUE"""),2180.0)</f>
        <v>2180</v>
      </c>
      <c r="L27" s="186">
        <f>IFERROR(__xludf.DUMMYFUNCTION("""COMPUTED_VALUE"""),0.0)</f>
        <v>0</v>
      </c>
      <c r="M27" s="186">
        <f>IFERROR(__xludf.DUMMYFUNCTION("""COMPUTED_VALUE"""),0.0)</f>
        <v>0</v>
      </c>
      <c r="N27" s="186">
        <f>IFERROR(__xludf.DUMMYFUNCTION("""COMPUTED_VALUE"""),2180.0)</f>
        <v>2180</v>
      </c>
      <c r="O27" s="186">
        <f>IFERROR(__xludf.DUMMYFUNCTION("""COMPUTED_VALUE"""),1.0)</f>
        <v>1</v>
      </c>
      <c r="P27" s="186">
        <f>IFERROR(__xludf.DUMMYFUNCTION("""COMPUTED_VALUE"""),55.0)</f>
        <v>55</v>
      </c>
      <c r="Q27" s="186">
        <f>IFERROR(__xludf.DUMMYFUNCTION("""COMPUTED_VALUE"""),2993.0)</f>
        <v>2993</v>
      </c>
      <c r="R27" s="186" t="str">
        <f>IFERROR(__xludf.DUMMYFUNCTION("""COMPUTED_VALUE"""),"")</f>
        <v/>
      </c>
      <c r="S27" s="186" t="str">
        <f>IFERROR(__xludf.DUMMYFUNCTION("""COMPUTED_VALUE"""),"43-1")</f>
        <v>43-1</v>
      </c>
    </row>
    <row r="28">
      <c r="A28" s="186" t="str">
        <f>IFERROR(__xludf.DUMMYFUNCTION("""COMPUTED_VALUE"""),"DACH")</f>
        <v>DACH</v>
      </c>
      <c r="B28" s="186" t="str">
        <f>IFERROR(__xludf.DUMMYFUNCTION("""COMPUTED_VALUE"""),"209 - FACTOR_ Spirulina Ginger Lime Ginger Shot")</f>
        <v>209 - FACTOR_ Spirulina Ginger Lime Ginger Shot</v>
      </c>
      <c r="C28" s="186" t="str">
        <f>IFERROR(__xludf.DUMMYFUNCTION("""COMPUTED_VALUE"""),"ASL1")</f>
        <v>ASL1</v>
      </c>
      <c r="D28" s="186" t="str">
        <f>IFERROR(__xludf.DUMMYFUNCTION("""COMPUTED_VALUE"""),"F110")</f>
        <v>F110</v>
      </c>
      <c r="E28" s="186">
        <f>IFERROR(__xludf.DUMMYFUNCTION("""COMPUTED_VALUE"""),14.0)</f>
        <v>14</v>
      </c>
      <c r="F28" s="186">
        <f>IFERROR(__xludf.DUMMYFUNCTION("""COMPUTED_VALUE"""),2.0)</f>
        <v>2</v>
      </c>
      <c r="G28" s="186">
        <f>IFERROR(__xludf.DUMMYFUNCTION("""COMPUTED_VALUE"""),2.0)</f>
        <v>2</v>
      </c>
      <c r="H28" s="186">
        <f>IFERROR(__xludf.DUMMYFUNCTION("""COMPUTED_VALUE"""),43.0)</f>
        <v>43</v>
      </c>
      <c r="I28" s="186" t="str">
        <f>IFERROR(__xludf.DUMMYFUNCTION("""COMPUTED_VALUE"""),"Chilled")</f>
        <v>Chilled</v>
      </c>
      <c r="J28" s="186">
        <f>IFERROR(__xludf.DUMMYFUNCTION("""COMPUTED_VALUE"""),11.0)</f>
        <v>11</v>
      </c>
      <c r="K28" s="186">
        <f>IFERROR(__xludf.DUMMYFUNCTION("""COMPUTED_VALUE"""),56.0)</f>
        <v>56</v>
      </c>
      <c r="L28" s="186">
        <f>IFERROR(__xludf.DUMMYFUNCTION("""COMPUTED_VALUE"""),0.0)</f>
        <v>0</v>
      </c>
      <c r="M28" s="186">
        <f>IFERROR(__xludf.DUMMYFUNCTION("""COMPUTED_VALUE"""),0.0)</f>
        <v>0</v>
      </c>
      <c r="N28" s="186">
        <f>IFERROR(__xludf.DUMMYFUNCTION("""COMPUTED_VALUE"""),56.0)</f>
        <v>56</v>
      </c>
      <c r="O28" s="186">
        <f>IFERROR(__xludf.DUMMYFUNCTION("""COMPUTED_VALUE"""),1.0)</f>
        <v>1</v>
      </c>
      <c r="P28" s="186">
        <f>IFERROR(__xludf.DUMMYFUNCTION("""COMPUTED_VALUE"""),55.0)</f>
        <v>55</v>
      </c>
      <c r="Q28" s="186">
        <f>IFERROR(__xludf.DUMMYFUNCTION("""COMPUTED_VALUE"""),2993.0)</f>
        <v>2993</v>
      </c>
      <c r="R28" s="186" t="str">
        <f>IFERROR(__xludf.DUMMYFUNCTION("""COMPUTED_VALUE"""),"")</f>
        <v/>
      </c>
      <c r="S28" s="186" t="str">
        <f>IFERROR(__xludf.DUMMYFUNCTION("""COMPUTED_VALUE"""),"43-2")</f>
        <v>43-2</v>
      </c>
    </row>
    <row r="29">
      <c r="A29" s="186" t="str">
        <f>IFERROR(__xludf.DUMMYFUNCTION("""COMPUTED_VALUE"""),"DACH")</f>
        <v>DACH</v>
      </c>
      <c r="B29" s="186" t="str">
        <f>IFERROR(__xludf.DUMMYFUNCTION("""COMPUTED_VALUE"""),"221 - Free4Life_ Spirulina Ginger Lime Ginger Shot_Single")</f>
        <v>221 - Free4Life_ Spirulina Ginger Lime Ginger Shot_Single</v>
      </c>
      <c r="C29" s="186" t="str">
        <f>IFERROR(__xludf.DUMMYFUNCTION("""COMPUTED_VALUE"""),"ASL1")</f>
        <v>ASL1</v>
      </c>
      <c r="D29" s="186" t="str">
        <f>IFERROR(__xludf.DUMMYFUNCTION("""COMPUTED_VALUE"""),"F112")</f>
        <v>F112</v>
      </c>
      <c r="E29" s="186">
        <f>IFERROR(__xludf.DUMMYFUNCTION("""COMPUTED_VALUE"""),14.0)</f>
        <v>14</v>
      </c>
      <c r="F29" s="186">
        <f>IFERROR(__xludf.DUMMYFUNCTION("""COMPUTED_VALUE"""),1.0)</f>
        <v>1</v>
      </c>
      <c r="G29" s="186">
        <f>IFERROR(__xludf.DUMMYFUNCTION("""COMPUTED_VALUE"""),2.0)</f>
        <v>2</v>
      </c>
      <c r="H29" s="186">
        <f>IFERROR(__xludf.DUMMYFUNCTION("""COMPUTED_VALUE"""),44.0)</f>
        <v>44</v>
      </c>
      <c r="I29" s="186" t="str">
        <f>IFERROR(__xludf.DUMMYFUNCTION("""COMPUTED_VALUE"""),"Chilled")</f>
        <v>Chilled</v>
      </c>
      <c r="J29" s="186">
        <f>IFERROR(__xludf.DUMMYFUNCTION("""COMPUTED_VALUE"""),11.0)</f>
        <v>11</v>
      </c>
      <c r="K29" s="186">
        <f>IFERROR(__xludf.DUMMYFUNCTION("""COMPUTED_VALUE"""),56.0)</f>
        <v>56</v>
      </c>
      <c r="L29" s="186">
        <f>IFERROR(__xludf.DUMMYFUNCTION("""COMPUTED_VALUE"""),0.0)</f>
        <v>0</v>
      </c>
      <c r="M29" s="186">
        <f>IFERROR(__xludf.DUMMYFUNCTION("""COMPUTED_VALUE"""),0.0)</f>
        <v>0</v>
      </c>
      <c r="N29" s="186">
        <f>IFERROR(__xludf.DUMMYFUNCTION("""COMPUTED_VALUE"""),56.0)</f>
        <v>56</v>
      </c>
      <c r="O29" s="186">
        <f>IFERROR(__xludf.DUMMYFUNCTION("""COMPUTED_VALUE"""),1.0)</f>
        <v>1</v>
      </c>
      <c r="P29" s="186">
        <f>IFERROR(__xludf.DUMMYFUNCTION("""COMPUTED_VALUE"""),55.0)</f>
        <v>55</v>
      </c>
      <c r="Q29" s="186">
        <f>IFERROR(__xludf.DUMMYFUNCTION("""COMPUTED_VALUE"""),2993.0)</f>
        <v>2993</v>
      </c>
      <c r="R29" s="186" t="str">
        <f>IFERROR(__xludf.DUMMYFUNCTION("""COMPUTED_VALUE"""),"")</f>
        <v/>
      </c>
      <c r="S29" s="186" t="str">
        <f>IFERROR(__xludf.DUMMYFUNCTION("""COMPUTED_VALUE"""),"44-2")</f>
        <v>44-2</v>
      </c>
    </row>
    <row r="30">
      <c r="A30" s="186" t="str">
        <f>IFERROR(__xludf.DUMMYFUNCTION("""COMPUTED_VALUE"""),"DACH")</f>
        <v>DACH</v>
      </c>
      <c r="B30" s="186" t="str">
        <f>IFERROR(__xludf.DUMMYFUNCTION("""COMPUTED_VALUE"""),"210 - FACTOR_ Turmeric Cayenne Pineapple Ginger Shot")</f>
        <v>210 - FACTOR_ Turmeric Cayenne Pineapple Ginger Shot</v>
      </c>
      <c r="C30" s="186" t="str">
        <f>IFERROR(__xludf.DUMMYFUNCTION("""COMPUTED_VALUE"""),"ASL1")</f>
        <v>ASL1</v>
      </c>
      <c r="D30" s="186" t="str">
        <f>IFERROR(__xludf.DUMMYFUNCTION("""COMPUTED_VALUE"""),"F122")</f>
        <v>F122</v>
      </c>
      <c r="E30" s="186">
        <f>IFERROR(__xludf.DUMMYFUNCTION("""COMPUTED_VALUE"""),16.0)</f>
        <v>16</v>
      </c>
      <c r="F30" s="186">
        <f>IFERROR(__xludf.DUMMYFUNCTION("""COMPUTED_VALUE"""),2.0)</f>
        <v>2</v>
      </c>
      <c r="G30" s="186">
        <f>IFERROR(__xludf.DUMMYFUNCTION("""COMPUTED_VALUE"""),2.0)</f>
        <v>2</v>
      </c>
      <c r="H30" s="186">
        <f>IFERROR(__xludf.DUMMYFUNCTION("""COMPUTED_VALUE"""),49.0)</f>
        <v>49</v>
      </c>
      <c r="I30" s="186" t="str">
        <f>IFERROR(__xludf.DUMMYFUNCTION("""COMPUTED_VALUE"""),"Chilled")</f>
        <v>Chilled</v>
      </c>
      <c r="J30" s="186">
        <f>IFERROR(__xludf.DUMMYFUNCTION("""COMPUTED_VALUE"""),13.0)</f>
        <v>13</v>
      </c>
      <c r="K30" s="186">
        <f>IFERROR(__xludf.DUMMYFUNCTION("""COMPUTED_VALUE"""),36.0)</f>
        <v>36</v>
      </c>
      <c r="L30" s="186">
        <f>IFERROR(__xludf.DUMMYFUNCTION("""COMPUTED_VALUE"""),0.0)</f>
        <v>0</v>
      </c>
      <c r="M30" s="186">
        <f>IFERROR(__xludf.DUMMYFUNCTION("""COMPUTED_VALUE"""),0.0)</f>
        <v>0</v>
      </c>
      <c r="N30" s="186">
        <f>IFERROR(__xludf.DUMMYFUNCTION("""COMPUTED_VALUE"""),36.0)</f>
        <v>36</v>
      </c>
      <c r="O30" s="186">
        <f>IFERROR(__xludf.DUMMYFUNCTION("""COMPUTED_VALUE"""),1.0)</f>
        <v>1</v>
      </c>
      <c r="P30" s="186">
        <f>IFERROR(__xludf.DUMMYFUNCTION("""COMPUTED_VALUE"""),55.0)</f>
        <v>55</v>
      </c>
      <c r="Q30" s="186">
        <f>IFERROR(__xludf.DUMMYFUNCTION("""COMPUTED_VALUE"""),2993.0)</f>
        <v>2993</v>
      </c>
      <c r="R30" s="186" t="str">
        <f>IFERROR(__xludf.DUMMYFUNCTION("""COMPUTED_VALUE"""),"")</f>
        <v/>
      </c>
      <c r="S30" s="186" t="str">
        <f>IFERROR(__xludf.DUMMYFUNCTION("""COMPUTED_VALUE"""),"49-2")</f>
        <v>49-2</v>
      </c>
    </row>
    <row r="31">
      <c r="A31" s="186" t="str">
        <f>IFERROR(__xludf.DUMMYFUNCTION("""COMPUTED_VALUE"""),"DACH")</f>
        <v>DACH</v>
      </c>
      <c r="B31" s="186" t="str">
        <f>IFERROR(__xludf.DUMMYFUNCTION("""COMPUTED_VALUE"""),"565130 - Pulled Pork mit roter Chilisauce")</f>
        <v>565130 - Pulled Pork mit roter Chilisauce</v>
      </c>
      <c r="C31" s="186" t="str">
        <f>IFERROR(__xludf.DUMMYFUNCTION("""COMPUTED_VALUE"""),"ASL1")</f>
        <v>ASL1</v>
      </c>
      <c r="D31" s="186" t="str">
        <f>IFERROR(__xludf.DUMMYFUNCTION("""COMPUTED_VALUE"""),"F123")</f>
        <v>F123</v>
      </c>
      <c r="E31" s="186">
        <f>IFERROR(__xludf.DUMMYFUNCTION("""COMPUTED_VALUE"""),16.0)</f>
        <v>16</v>
      </c>
      <c r="F31" s="186">
        <f>IFERROR(__xludf.DUMMYFUNCTION("""COMPUTED_VALUE"""),1.0)</f>
        <v>1</v>
      </c>
      <c r="G31" s="186">
        <f>IFERROR(__xludf.DUMMYFUNCTION("""COMPUTED_VALUE"""),1.0)</f>
        <v>1</v>
      </c>
      <c r="H31" s="186">
        <f>IFERROR(__xludf.DUMMYFUNCTION("""COMPUTED_VALUE"""),50.0)</f>
        <v>50</v>
      </c>
      <c r="I31" s="186" t="str">
        <f>IFERROR(__xludf.DUMMYFUNCTION("""COMPUTED_VALUE"""),"Chilled")</f>
        <v>Chilled</v>
      </c>
      <c r="J31" s="186">
        <f>IFERROR(__xludf.DUMMYFUNCTION("""COMPUTED_VALUE"""),13.0)</f>
        <v>13</v>
      </c>
      <c r="K31" s="186">
        <f>IFERROR(__xludf.DUMMYFUNCTION("""COMPUTED_VALUE"""),1276.0)</f>
        <v>1276</v>
      </c>
      <c r="L31" s="186">
        <f>IFERROR(__xludf.DUMMYFUNCTION("""COMPUTED_VALUE"""),0.0)</f>
        <v>0</v>
      </c>
      <c r="M31" s="186">
        <f>IFERROR(__xludf.DUMMYFUNCTION("""COMPUTED_VALUE"""),0.0)</f>
        <v>0</v>
      </c>
      <c r="N31" s="186">
        <f>IFERROR(__xludf.DUMMYFUNCTION("""COMPUTED_VALUE"""),1276.0)</f>
        <v>1276</v>
      </c>
      <c r="O31" s="186">
        <f>IFERROR(__xludf.DUMMYFUNCTION("""COMPUTED_VALUE"""),1.0)</f>
        <v>1</v>
      </c>
      <c r="P31" s="186">
        <f>IFERROR(__xludf.DUMMYFUNCTION("""COMPUTED_VALUE"""),55.0)</f>
        <v>55</v>
      </c>
      <c r="Q31" s="186">
        <f>IFERROR(__xludf.DUMMYFUNCTION("""COMPUTED_VALUE"""),2993.0)</f>
        <v>2993</v>
      </c>
      <c r="R31" s="186" t="str">
        <f>IFERROR(__xludf.DUMMYFUNCTION("""COMPUTED_VALUE"""),"")</f>
        <v/>
      </c>
      <c r="S31" s="186" t="str">
        <f>IFERROR(__xludf.DUMMYFUNCTION("""COMPUTED_VALUE"""),"50-1")</f>
        <v>50-1</v>
      </c>
    </row>
    <row r="32">
      <c r="A32" s="186" t="str">
        <f>IFERROR(__xludf.DUMMYFUNCTION("""COMPUTED_VALUE"""),"DACH")</f>
        <v>DACH</v>
      </c>
      <c r="B32" s="186" t="str">
        <f>IFERROR(__xludf.DUMMYFUNCTION("""COMPUTED_VALUE"""),"222 - Free4Life_ Turmeric Cayenne Pineapple Ginger Shot_Single")</f>
        <v>222 - Free4Life_ Turmeric Cayenne Pineapple Ginger Shot_Single</v>
      </c>
      <c r="C32" s="186" t="str">
        <f>IFERROR(__xludf.DUMMYFUNCTION("""COMPUTED_VALUE"""),"ASL1")</f>
        <v>ASL1</v>
      </c>
      <c r="D32" s="186" t="str">
        <f>IFERROR(__xludf.DUMMYFUNCTION("""COMPUTED_VALUE"""),"F124")</f>
        <v>F124</v>
      </c>
      <c r="E32" s="186">
        <f>IFERROR(__xludf.DUMMYFUNCTION("""COMPUTED_VALUE"""),16.0)</f>
        <v>16</v>
      </c>
      <c r="F32" s="186">
        <f>IFERROR(__xludf.DUMMYFUNCTION("""COMPUTED_VALUE"""),1.0)</f>
        <v>1</v>
      </c>
      <c r="G32" s="186">
        <f>IFERROR(__xludf.DUMMYFUNCTION("""COMPUTED_VALUE"""),2.0)</f>
        <v>2</v>
      </c>
      <c r="H32" s="186">
        <f>IFERROR(__xludf.DUMMYFUNCTION("""COMPUTED_VALUE"""),50.0)</f>
        <v>50</v>
      </c>
      <c r="I32" s="186" t="str">
        <f>IFERROR(__xludf.DUMMYFUNCTION("""COMPUTED_VALUE"""),"Chilled")</f>
        <v>Chilled</v>
      </c>
      <c r="J32" s="186">
        <f>IFERROR(__xludf.DUMMYFUNCTION("""COMPUTED_VALUE"""),13.0)</f>
        <v>13</v>
      </c>
      <c r="K32" s="186">
        <f>IFERROR(__xludf.DUMMYFUNCTION("""COMPUTED_VALUE"""),36.0)</f>
        <v>36</v>
      </c>
      <c r="L32" s="186">
        <f>IFERROR(__xludf.DUMMYFUNCTION("""COMPUTED_VALUE"""),0.0)</f>
        <v>0</v>
      </c>
      <c r="M32" s="186">
        <f>IFERROR(__xludf.DUMMYFUNCTION("""COMPUTED_VALUE"""),0.0)</f>
        <v>0</v>
      </c>
      <c r="N32" s="186">
        <f>IFERROR(__xludf.DUMMYFUNCTION("""COMPUTED_VALUE"""),36.0)</f>
        <v>36</v>
      </c>
      <c r="O32" s="186">
        <f>IFERROR(__xludf.DUMMYFUNCTION("""COMPUTED_VALUE"""),1.0)</f>
        <v>1</v>
      </c>
      <c r="P32" s="186">
        <f>IFERROR(__xludf.DUMMYFUNCTION("""COMPUTED_VALUE"""),55.0)</f>
        <v>55</v>
      </c>
      <c r="Q32" s="186">
        <f>IFERROR(__xludf.DUMMYFUNCTION("""COMPUTED_VALUE"""),2993.0)</f>
        <v>2993</v>
      </c>
      <c r="R32" s="186" t="str">
        <f>IFERROR(__xludf.DUMMYFUNCTION("""COMPUTED_VALUE"""),"")</f>
        <v/>
      </c>
      <c r="S32" s="186" t="str">
        <f>IFERROR(__xludf.DUMMYFUNCTION("""COMPUTED_VALUE"""),"50-2")</f>
        <v>50-2</v>
      </c>
    </row>
    <row r="33">
      <c r="A33" s="186" t="str">
        <f>IFERROR(__xludf.DUMMYFUNCTION("""COMPUTED_VALUE"""),"DACH")</f>
        <v>DACH</v>
      </c>
      <c r="B33" s="186" t="str">
        <f>IFERROR(__xludf.DUMMYFUNCTION("""COMPUTED_VALUE"""),"565196 - Ají Verde Lachs")</f>
        <v>565196 - Ají Verde Lachs</v>
      </c>
      <c r="C33" s="186" t="str">
        <f>IFERROR(__xludf.DUMMYFUNCTION("""COMPUTED_VALUE"""),"ASL1")</f>
        <v>ASL1</v>
      </c>
      <c r="D33" s="186" t="str">
        <f>IFERROR(__xludf.DUMMYFUNCTION("""COMPUTED_VALUE"""),"F125")</f>
        <v>F125</v>
      </c>
      <c r="E33" s="186">
        <f>IFERROR(__xludf.DUMMYFUNCTION("""COMPUTED_VALUE"""),16.0)</f>
        <v>16</v>
      </c>
      <c r="F33" s="186">
        <f>IFERROR(__xludf.DUMMYFUNCTION("""COMPUTED_VALUE"""),0.0)</f>
        <v>0</v>
      </c>
      <c r="G33" s="186">
        <f>IFERROR(__xludf.DUMMYFUNCTION("""COMPUTED_VALUE"""),1.0)</f>
        <v>1</v>
      </c>
      <c r="H33" s="186">
        <f>IFERROR(__xludf.DUMMYFUNCTION("""COMPUTED_VALUE"""),51.0)</f>
        <v>51</v>
      </c>
      <c r="I33" s="186" t="str">
        <f>IFERROR(__xludf.DUMMYFUNCTION("""COMPUTED_VALUE"""),"Chilled")</f>
        <v>Chilled</v>
      </c>
      <c r="J33" s="186">
        <f>IFERROR(__xludf.DUMMYFUNCTION("""COMPUTED_VALUE"""),13.0)</f>
        <v>13</v>
      </c>
      <c r="K33" s="186">
        <f>IFERROR(__xludf.DUMMYFUNCTION("""COMPUTED_VALUE"""),1282.0)</f>
        <v>1282</v>
      </c>
      <c r="L33" s="186">
        <f>IFERROR(__xludf.DUMMYFUNCTION("""COMPUTED_VALUE"""),0.0)</f>
        <v>0</v>
      </c>
      <c r="M33" s="186">
        <f>IFERROR(__xludf.DUMMYFUNCTION("""COMPUTED_VALUE"""),0.0)</f>
        <v>0</v>
      </c>
      <c r="N33" s="186">
        <f>IFERROR(__xludf.DUMMYFUNCTION("""COMPUTED_VALUE"""),1282.0)</f>
        <v>1282</v>
      </c>
      <c r="O33" s="186">
        <f>IFERROR(__xludf.DUMMYFUNCTION("""COMPUTED_VALUE"""),1.0)</f>
        <v>1</v>
      </c>
      <c r="P33" s="186">
        <f>IFERROR(__xludf.DUMMYFUNCTION("""COMPUTED_VALUE"""),55.0)</f>
        <v>55</v>
      </c>
      <c r="Q33" s="186">
        <f>IFERROR(__xludf.DUMMYFUNCTION("""COMPUTED_VALUE"""),2993.0)</f>
        <v>2993</v>
      </c>
      <c r="R33" s="186" t="str">
        <f>IFERROR(__xludf.DUMMYFUNCTION("""COMPUTED_VALUE"""),"")</f>
        <v/>
      </c>
      <c r="S33" s="186" t="str">
        <f>IFERROR(__xludf.DUMMYFUNCTION("""COMPUTED_VALUE"""),"51-1")</f>
        <v>51-1</v>
      </c>
    </row>
    <row r="34">
      <c r="A34" s="186" t="str">
        <f>IFERROR(__xludf.DUMMYFUNCTION("""COMPUTED_VALUE"""),"DACH")</f>
        <v>DACH</v>
      </c>
      <c r="B34" s="186" t="str">
        <f>IFERROR(__xludf.DUMMYFUNCTION("""COMPUTED_VALUE"""),"565141 - Zucchini-Paprika-Ratatouille")</f>
        <v>565141 - Zucchini-Paprika-Ratatouille</v>
      </c>
      <c r="C34" s="186" t="str">
        <f>IFERROR(__xludf.DUMMYFUNCTION("""COMPUTED_VALUE"""),"ASL1")</f>
        <v>ASL1</v>
      </c>
      <c r="D34" s="186" t="str">
        <f>IFERROR(__xludf.DUMMYFUNCTION("""COMPUTED_VALUE"""),"F126")</f>
        <v>F126</v>
      </c>
      <c r="E34" s="186">
        <f>IFERROR(__xludf.DUMMYFUNCTION("""COMPUTED_VALUE"""),16.0)</f>
        <v>16</v>
      </c>
      <c r="F34" s="186" t="str">
        <f>IFERROR(__xludf.DUMMYFUNCTION("""COMPUTED_VALUE"""),"")</f>
        <v/>
      </c>
      <c r="G34" s="186">
        <f>IFERROR(__xludf.DUMMYFUNCTION("""COMPUTED_VALUE"""),2.0)</f>
        <v>2</v>
      </c>
      <c r="H34" s="186">
        <f>IFERROR(__xludf.DUMMYFUNCTION("""COMPUTED_VALUE"""),51.0)</f>
        <v>51</v>
      </c>
      <c r="I34" s="186" t="str">
        <f>IFERROR(__xludf.DUMMYFUNCTION("""COMPUTED_VALUE"""),"Chilled")</f>
        <v>Chilled</v>
      </c>
      <c r="J34" s="186">
        <f>IFERROR(__xludf.DUMMYFUNCTION("""COMPUTED_VALUE"""),13.0)</f>
        <v>13</v>
      </c>
      <c r="K34" s="186">
        <f>IFERROR(__xludf.DUMMYFUNCTION("""COMPUTED_VALUE"""),293.0)</f>
        <v>293</v>
      </c>
      <c r="L34" s="186">
        <f>IFERROR(__xludf.DUMMYFUNCTION("""COMPUTED_VALUE"""),0.0)</f>
        <v>0</v>
      </c>
      <c r="M34" s="186">
        <f>IFERROR(__xludf.DUMMYFUNCTION("""COMPUTED_VALUE"""),0.0)</f>
        <v>0</v>
      </c>
      <c r="N34" s="186">
        <f>IFERROR(__xludf.DUMMYFUNCTION("""COMPUTED_VALUE"""),293.0)</f>
        <v>293</v>
      </c>
      <c r="O34" s="186">
        <f>IFERROR(__xludf.DUMMYFUNCTION("""COMPUTED_VALUE"""),1.0)</f>
        <v>1</v>
      </c>
      <c r="P34" s="186">
        <f>IFERROR(__xludf.DUMMYFUNCTION("""COMPUTED_VALUE"""),55.0)</f>
        <v>55</v>
      </c>
      <c r="Q34" s="186">
        <f>IFERROR(__xludf.DUMMYFUNCTION("""COMPUTED_VALUE"""),2993.0)</f>
        <v>2993</v>
      </c>
      <c r="R34" s="186" t="str">
        <f>IFERROR(__xludf.DUMMYFUNCTION("""COMPUTED_VALUE"""),"")</f>
        <v/>
      </c>
      <c r="S34" s="186" t="str">
        <f>IFERROR(__xludf.DUMMYFUNCTION("""COMPUTED_VALUE"""),"51-2")</f>
        <v>51-2</v>
      </c>
    </row>
    <row r="35">
      <c r="A35" s="186" t="str">
        <f>IFERROR(__xludf.DUMMYFUNCTION("""COMPUTED_VALUE"""),"DACH")</f>
        <v>DACH</v>
      </c>
      <c r="B35" s="186" t="str">
        <f>IFERROR(__xludf.DUMMYFUNCTION("""COMPUTED_VALUE"""),"IcePack3")</f>
        <v>IcePack3</v>
      </c>
      <c r="C35" s="186" t="str">
        <f>IFERROR(__xludf.DUMMYFUNCTION("""COMPUTED_VALUE"""),"ASL1")</f>
        <v>ASL1</v>
      </c>
      <c r="D35" s="186" t="str">
        <f>IFERROR(__xludf.DUMMYFUNCTION("""COMPUTED_VALUE"""),"F127")</f>
        <v>F127</v>
      </c>
      <c r="E35" s="186">
        <f>IFERROR(__xludf.DUMMYFUNCTION("""COMPUTED_VALUE"""),16.0)</f>
        <v>16</v>
      </c>
      <c r="F35" s="186">
        <f>IFERROR(__xludf.DUMMYFUNCTION("""COMPUTED_VALUE"""),2.0)</f>
        <v>2</v>
      </c>
      <c r="G35" s="186">
        <f>IFERROR(__xludf.DUMMYFUNCTION("""COMPUTED_VALUE"""),1.0)</f>
        <v>1</v>
      </c>
      <c r="H35" s="186">
        <f>IFERROR(__xludf.DUMMYFUNCTION("""COMPUTED_VALUE"""),52.0)</f>
        <v>52</v>
      </c>
      <c r="I35" s="186" t="str">
        <f>IFERROR(__xludf.DUMMYFUNCTION("""COMPUTED_VALUE"""),"Chilled")</f>
        <v>Chilled</v>
      </c>
      <c r="J35" s="186">
        <f>IFERROR(__xludf.DUMMYFUNCTION("""COMPUTED_VALUE"""),13.0)</f>
        <v>13</v>
      </c>
      <c r="K35" s="186">
        <f>IFERROR(__xludf.DUMMYFUNCTION("""COMPUTED_VALUE"""),55.0)</f>
        <v>55</v>
      </c>
      <c r="L35" s="186">
        <f>IFERROR(__xludf.DUMMYFUNCTION("""COMPUTED_VALUE"""),0.0)</f>
        <v>0</v>
      </c>
      <c r="M35" s="186">
        <f>IFERROR(__xludf.DUMMYFUNCTION("""COMPUTED_VALUE"""),0.0)</f>
        <v>0</v>
      </c>
      <c r="N35" s="186">
        <f>IFERROR(__xludf.DUMMYFUNCTION("""COMPUTED_VALUE"""),55.0)</f>
        <v>55</v>
      </c>
      <c r="O35" s="186">
        <f>IFERROR(__xludf.DUMMYFUNCTION("""COMPUTED_VALUE"""),1.0)</f>
        <v>1</v>
      </c>
      <c r="P35" s="186">
        <f>IFERROR(__xludf.DUMMYFUNCTION("""COMPUTED_VALUE"""),55.0)</f>
        <v>55</v>
      </c>
      <c r="Q35" s="186">
        <f>IFERROR(__xludf.DUMMYFUNCTION("""COMPUTED_VALUE"""),2993.0)</f>
        <v>2993</v>
      </c>
      <c r="R35" s="186" t="str">
        <f>IFERROR(__xludf.DUMMYFUNCTION("""COMPUTED_VALUE"""),"")</f>
        <v/>
      </c>
      <c r="S35" s="186" t="str">
        <f>IFERROR(__xludf.DUMMYFUNCTION("""COMPUTED_VALUE"""),"52-1")</f>
        <v>52-1</v>
      </c>
    </row>
    <row r="36">
      <c r="A36" s="186" t="str">
        <f>IFERROR(__xludf.DUMMYFUNCTION("""COMPUTED_VALUE"""),"DACH")</f>
        <v>DACH</v>
      </c>
      <c r="B36" s="186" t="str">
        <f>IFERROR(__xludf.DUMMYFUNCTION("""COMPUTED_VALUE"""),"565221 - Lachs-Bowl mit Zitrus-Miso")</f>
        <v>565221 - Lachs-Bowl mit Zitrus-Miso</v>
      </c>
      <c r="C36" s="186" t="str">
        <f>IFERROR(__xludf.DUMMYFUNCTION("""COMPUTED_VALUE"""),"ASL1")</f>
        <v>ASL1</v>
      </c>
      <c r="D36" s="186" t="str">
        <f>IFERROR(__xludf.DUMMYFUNCTION("""COMPUTED_VALUE"""),"F131")</f>
        <v>F131</v>
      </c>
      <c r="E36" s="186">
        <f>IFERROR(__xludf.DUMMYFUNCTION("""COMPUTED_VALUE"""),17.0)</f>
        <v>17</v>
      </c>
      <c r="F36" s="186">
        <f>IFERROR(__xludf.DUMMYFUNCTION("""COMPUTED_VALUE"""),0.0)</f>
        <v>0</v>
      </c>
      <c r="G36" s="186">
        <f>IFERROR(__xludf.DUMMYFUNCTION("""COMPUTED_VALUE"""),1.0)</f>
        <v>1</v>
      </c>
      <c r="H36" s="186">
        <f>IFERROR(__xludf.DUMMYFUNCTION("""COMPUTED_VALUE"""),54.0)</f>
        <v>54</v>
      </c>
      <c r="I36" s="186" t="str">
        <f>IFERROR(__xludf.DUMMYFUNCTION("""COMPUTED_VALUE"""),"Chilled")</f>
        <v>Chilled</v>
      </c>
      <c r="J36" s="186">
        <f>IFERROR(__xludf.DUMMYFUNCTION("""COMPUTED_VALUE"""),14.0)</f>
        <v>14</v>
      </c>
      <c r="K36" s="186">
        <f>IFERROR(__xludf.DUMMYFUNCTION("""COMPUTED_VALUE"""),773.0)</f>
        <v>773</v>
      </c>
      <c r="L36" s="186">
        <f>IFERROR(__xludf.DUMMYFUNCTION("""COMPUTED_VALUE"""),0.0)</f>
        <v>0</v>
      </c>
      <c r="M36" s="186">
        <f>IFERROR(__xludf.DUMMYFUNCTION("""COMPUTED_VALUE"""),0.0)</f>
        <v>0</v>
      </c>
      <c r="N36" s="186">
        <f>IFERROR(__xludf.DUMMYFUNCTION("""COMPUTED_VALUE"""),773.0)</f>
        <v>773</v>
      </c>
      <c r="O36" s="186">
        <f>IFERROR(__xludf.DUMMYFUNCTION("""COMPUTED_VALUE"""),1.0)</f>
        <v>1</v>
      </c>
      <c r="P36" s="186">
        <f>IFERROR(__xludf.DUMMYFUNCTION("""COMPUTED_VALUE"""),55.0)</f>
        <v>55</v>
      </c>
      <c r="Q36" s="186">
        <f>IFERROR(__xludf.DUMMYFUNCTION("""COMPUTED_VALUE"""),2993.0)</f>
        <v>2993</v>
      </c>
      <c r="R36" s="186" t="str">
        <f>IFERROR(__xludf.DUMMYFUNCTION("""COMPUTED_VALUE"""),"Lachs")</f>
        <v>Lachs</v>
      </c>
      <c r="S36" s="186" t="str">
        <f>IFERROR(__xludf.DUMMYFUNCTION("""COMPUTED_VALUE"""),"54-1")</f>
        <v>54-1</v>
      </c>
    </row>
    <row r="37">
      <c r="A37" s="186" t="str">
        <f>IFERROR(__xludf.DUMMYFUNCTION("""COMPUTED_VALUE"""),"DACH")</f>
        <v>DACH</v>
      </c>
      <c r="B37" s="186" t="str">
        <f>IFERROR(__xludf.DUMMYFUNCTION("""COMPUTED_VALUE"""),"565209 - Grünes Chili-Hähnchen mit Quinoa-Salsa")</f>
        <v>565209 - Grünes Chili-Hähnchen mit Quinoa-Salsa</v>
      </c>
      <c r="C37" s="186" t="str">
        <f>IFERROR(__xludf.DUMMYFUNCTION("""COMPUTED_VALUE"""),"ASL1")</f>
        <v>ASL1</v>
      </c>
      <c r="D37" s="186" t="str">
        <f>IFERROR(__xludf.DUMMYFUNCTION("""COMPUTED_VALUE"""),"F133")</f>
        <v>F133</v>
      </c>
      <c r="E37" s="186">
        <f>IFERROR(__xludf.DUMMYFUNCTION("""COMPUTED_VALUE"""),17.0)</f>
        <v>17</v>
      </c>
      <c r="F37" s="186">
        <f>IFERROR(__xludf.DUMMYFUNCTION("""COMPUTED_VALUE"""),2.0)</f>
        <v>2</v>
      </c>
      <c r="G37" s="186">
        <f>IFERROR(__xludf.DUMMYFUNCTION("""COMPUTED_VALUE"""),1.0)</f>
        <v>1</v>
      </c>
      <c r="H37" s="186">
        <f>IFERROR(__xludf.DUMMYFUNCTION("""COMPUTED_VALUE"""),55.0)</f>
        <v>55</v>
      </c>
      <c r="I37" s="186" t="str">
        <f>IFERROR(__xludf.DUMMYFUNCTION("""COMPUTED_VALUE"""),"Chilled")</f>
        <v>Chilled</v>
      </c>
      <c r="J37" s="186">
        <f>IFERROR(__xludf.DUMMYFUNCTION("""COMPUTED_VALUE"""),14.0)</f>
        <v>14</v>
      </c>
      <c r="K37" s="186">
        <f>IFERROR(__xludf.DUMMYFUNCTION("""COMPUTED_VALUE"""),1863.0)</f>
        <v>1863</v>
      </c>
      <c r="L37" s="186">
        <f>IFERROR(__xludf.DUMMYFUNCTION("""COMPUTED_VALUE"""),0.0)</f>
        <v>0</v>
      </c>
      <c r="M37" s="186">
        <f>IFERROR(__xludf.DUMMYFUNCTION("""COMPUTED_VALUE"""),0.0)</f>
        <v>0</v>
      </c>
      <c r="N37" s="186">
        <f>IFERROR(__xludf.DUMMYFUNCTION("""COMPUTED_VALUE"""),1863.0)</f>
        <v>1863</v>
      </c>
      <c r="O37" s="186">
        <f>IFERROR(__xludf.DUMMYFUNCTION("""COMPUTED_VALUE"""),1.0)</f>
        <v>1</v>
      </c>
      <c r="P37" s="186">
        <f>IFERROR(__xludf.DUMMYFUNCTION("""COMPUTED_VALUE"""),55.0)</f>
        <v>55</v>
      </c>
      <c r="Q37" s="186">
        <f>IFERROR(__xludf.DUMMYFUNCTION("""COMPUTED_VALUE"""),2993.0)</f>
        <v>2993</v>
      </c>
      <c r="R37" s="186" t="str">
        <f>IFERROR(__xludf.DUMMYFUNCTION("""COMPUTED_VALUE"""),"")</f>
        <v/>
      </c>
      <c r="S37" s="186" t="str">
        <f>IFERROR(__xludf.DUMMYFUNCTION("""COMPUTED_VALUE"""),"55-1")</f>
        <v>55-1</v>
      </c>
    </row>
    <row r="38">
      <c r="A38" s="186" t="str">
        <f>IFERROR(__xludf.DUMMYFUNCTION("""COMPUTED_VALUE"""),"DACH")</f>
        <v>DACH</v>
      </c>
      <c r="B38" s="186" t="str">
        <f>IFERROR(__xludf.DUMMYFUNCTION("""COMPUTED_VALUE"""),"565244 - Cremiges Tomaten-Risotto")</f>
        <v>565244 - Cremiges Tomaten-Risotto</v>
      </c>
      <c r="C38" s="186" t="str">
        <f>IFERROR(__xludf.DUMMYFUNCTION("""COMPUTED_VALUE"""),"ASL1")</f>
        <v>ASL1</v>
      </c>
      <c r="D38" s="186" t="str">
        <f>IFERROR(__xludf.DUMMYFUNCTION("""COMPUTED_VALUE"""),"F134")</f>
        <v>F134</v>
      </c>
      <c r="E38" s="186">
        <f>IFERROR(__xludf.DUMMYFUNCTION("""COMPUTED_VALUE"""),17.0)</f>
        <v>17</v>
      </c>
      <c r="F38" s="186">
        <f>IFERROR(__xludf.DUMMYFUNCTION("""COMPUTED_VALUE"""),2.0)</f>
        <v>2</v>
      </c>
      <c r="G38" s="186">
        <f>IFERROR(__xludf.DUMMYFUNCTION("""COMPUTED_VALUE"""),2.0)</f>
        <v>2</v>
      </c>
      <c r="H38" s="186">
        <f>IFERROR(__xludf.DUMMYFUNCTION("""COMPUTED_VALUE"""),55.0)</f>
        <v>55</v>
      </c>
      <c r="I38" s="186" t="str">
        <f>IFERROR(__xludf.DUMMYFUNCTION("""COMPUTED_VALUE"""),"Chilled")</f>
        <v>Chilled</v>
      </c>
      <c r="J38" s="186">
        <f>IFERROR(__xludf.DUMMYFUNCTION("""COMPUTED_VALUE"""),14.0)</f>
        <v>14</v>
      </c>
      <c r="K38" s="186">
        <f>IFERROR(__xludf.DUMMYFUNCTION("""COMPUTED_VALUE"""),326.0)</f>
        <v>326</v>
      </c>
      <c r="L38" s="186">
        <f>IFERROR(__xludf.DUMMYFUNCTION("""COMPUTED_VALUE"""),0.0)</f>
        <v>0</v>
      </c>
      <c r="M38" s="186">
        <f>IFERROR(__xludf.DUMMYFUNCTION("""COMPUTED_VALUE"""),0.0)</f>
        <v>0</v>
      </c>
      <c r="N38" s="186">
        <f>IFERROR(__xludf.DUMMYFUNCTION("""COMPUTED_VALUE"""),326.0)</f>
        <v>326</v>
      </c>
      <c r="O38" s="186">
        <f>IFERROR(__xludf.DUMMYFUNCTION("""COMPUTED_VALUE"""),1.0)</f>
        <v>1</v>
      </c>
      <c r="P38" s="186">
        <f>IFERROR(__xludf.DUMMYFUNCTION("""COMPUTED_VALUE"""),55.0)</f>
        <v>55</v>
      </c>
      <c r="Q38" s="186">
        <f>IFERROR(__xludf.DUMMYFUNCTION("""COMPUTED_VALUE"""),2993.0)</f>
        <v>2993</v>
      </c>
      <c r="R38" s="186" t="str">
        <f>IFERROR(__xludf.DUMMYFUNCTION("""COMPUTED_VALUE"""),"Cremiges")</f>
        <v>Cremiges</v>
      </c>
      <c r="S38" s="186" t="str">
        <f>IFERROR(__xludf.DUMMYFUNCTION("""COMPUTED_VALUE"""),"55-2")</f>
        <v>55-2</v>
      </c>
    </row>
    <row r="39">
      <c r="A39" s="186" t="str">
        <f>IFERROR(__xludf.DUMMYFUNCTION("""COMPUTED_VALUE"""),"DACH")</f>
        <v>DACH</v>
      </c>
      <c r="B39" s="186" t="str">
        <f>IFERROR(__xludf.DUMMYFUNCTION("""COMPUTED_VALUE"""),"FA-DE Fourth Box - Hydroflask")</f>
        <v>FA-DE Fourth Box - Hydroflask</v>
      </c>
      <c r="C39" s="186" t="str">
        <f>IFERROR(__xludf.DUMMYFUNCTION("""COMPUTED_VALUE"""),"ASL1")</f>
        <v>ASL1</v>
      </c>
      <c r="D39" s="186" t="str">
        <f>IFERROR(__xludf.DUMMYFUNCTION("""COMPUTED_VALUE"""),"F135")</f>
        <v>F135</v>
      </c>
      <c r="E39" s="186">
        <f>IFERROR(__xludf.DUMMYFUNCTION("""COMPUTED_VALUE"""),17.0)</f>
        <v>17</v>
      </c>
      <c r="F39" s="186">
        <f>IFERROR(__xludf.DUMMYFUNCTION("""COMPUTED_VALUE"""),1.0)</f>
        <v>1</v>
      </c>
      <c r="G39" s="186">
        <f>IFERROR(__xludf.DUMMYFUNCTION("""COMPUTED_VALUE"""),1.0)</f>
        <v>1</v>
      </c>
      <c r="H39" s="186">
        <f>IFERROR(__xludf.DUMMYFUNCTION("""COMPUTED_VALUE"""),56.0)</f>
        <v>56</v>
      </c>
      <c r="I39" s="186" t="str">
        <f>IFERROR(__xludf.DUMMYFUNCTION("""COMPUTED_VALUE"""),"Chilled")</f>
        <v>Chilled</v>
      </c>
      <c r="J39" s="186">
        <f>IFERROR(__xludf.DUMMYFUNCTION("""COMPUTED_VALUE"""),14.0)</f>
        <v>14</v>
      </c>
      <c r="K39" s="186">
        <f>IFERROR(__xludf.DUMMYFUNCTION("""COMPUTED_VALUE"""),0.0)</f>
        <v>0</v>
      </c>
      <c r="L39" s="186">
        <f>IFERROR(__xludf.DUMMYFUNCTION("""COMPUTED_VALUE"""),0.0)</f>
        <v>0</v>
      </c>
      <c r="M39" s="186">
        <f>IFERROR(__xludf.DUMMYFUNCTION("""COMPUTED_VALUE"""),0.0)</f>
        <v>0</v>
      </c>
      <c r="N39" s="186">
        <f>IFERROR(__xludf.DUMMYFUNCTION("""COMPUTED_VALUE"""),0.0)</f>
        <v>0</v>
      </c>
      <c r="O39" s="186">
        <f>IFERROR(__xludf.DUMMYFUNCTION("""COMPUTED_VALUE"""),1.0)</f>
        <v>1</v>
      </c>
      <c r="P39" s="186">
        <f>IFERROR(__xludf.DUMMYFUNCTION("""COMPUTED_VALUE"""),55.0)</f>
        <v>55</v>
      </c>
      <c r="Q39" s="186">
        <f>IFERROR(__xludf.DUMMYFUNCTION("""COMPUTED_VALUE"""),2993.0)</f>
        <v>2993</v>
      </c>
      <c r="R39" s="186" t="str">
        <f>IFERROR(__xludf.DUMMYFUNCTION("""COMPUTED_VALUE"""),"")</f>
        <v/>
      </c>
      <c r="S39" s="186" t="str">
        <f>IFERROR(__xludf.DUMMYFUNCTION("""COMPUTED_VALUE"""),"56-1")</f>
        <v>56-1</v>
      </c>
    </row>
    <row r="40">
      <c r="A40" s="186" t="str">
        <f>IFERROR(__xludf.DUMMYFUNCTION("""COMPUTED_VALUE"""),"DACH")</f>
        <v>DACH</v>
      </c>
      <c r="B40" s="186" t="str">
        <f>IFERROR(__xludf.DUMMYFUNCTION("""COMPUTED_VALUE"""),"FA-DE Fourth Box - Flyer")</f>
        <v>FA-DE Fourth Box - Flyer</v>
      </c>
      <c r="C40" s="186" t="str">
        <f>IFERROR(__xludf.DUMMYFUNCTION("""COMPUTED_VALUE"""),"ASL1")</f>
        <v>ASL1</v>
      </c>
      <c r="D40" s="186" t="str">
        <f>IFERROR(__xludf.DUMMYFUNCTION("""COMPUTED_VALUE"""),"F136")</f>
        <v>F136</v>
      </c>
      <c r="E40" s="186">
        <f>IFERROR(__xludf.DUMMYFUNCTION("""COMPUTED_VALUE"""),17.0)</f>
        <v>17</v>
      </c>
      <c r="F40" s="186">
        <f>IFERROR(__xludf.DUMMYFUNCTION("""COMPUTED_VALUE"""),1.0)</f>
        <v>1</v>
      </c>
      <c r="G40" s="186">
        <f>IFERROR(__xludf.DUMMYFUNCTION("""COMPUTED_VALUE"""),2.0)</f>
        <v>2</v>
      </c>
      <c r="H40" s="186">
        <f>IFERROR(__xludf.DUMMYFUNCTION("""COMPUTED_VALUE"""),56.0)</f>
        <v>56</v>
      </c>
      <c r="I40" s="186" t="str">
        <f>IFERROR(__xludf.DUMMYFUNCTION("""COMPUTED_VALUE"""),"Chilled")</f>
        <v>Chilled</v>
      </c>
      <c r="J40" s="186">
        <f>IFERROR(__xludf.DUMMYFUNCTION("""COMPUTED_VALUE"""),14.0)</f>
        <v>14</v>
      </c>
      <c r="K40" s="186">
        <f>IFERROR(__xludf.DUMMYFUNCTION("""COMPUTED_VALUE"""),0.0)</f>
        <v>0</v>
      </c>
      <c r="L40" s="186">
        <f>IFERROR(__xludf.DUMMYFUNCTION("""COMPUTED_VALUE"""),0.0)</f>
        <v>0</v>
      </c>
      <c r="M40" s="186">
        <f>IFERROR(__xludf.DUMMYFUNCTION("""COMPUTED_VALUE"""),0.0)</f>
        <v>0</v>
      </c>
      <c r="N40" s="186">
        <f>IFERROR(__xludf.DUMMYFUNCTION("""COMPUTED_VALUE"""),0.0)</f>
        <v>0</v>
      </c>
      <c r="O40" s="186">
        <f>IFERROR(__xludf.DUMMYFUNCTION("""COMPUTED_VALUE"""),1.0)</f>
        <v>1</v>
      </c>
      <c r="P40" s="186">
        <f>IFERROR(__xludf.DUMMYFUNCTION("""COMPUTED_VALUE"""),55.0)</f>
        <v>55</v>
      </c>
      <c r="Q40" s="186">
        <f>IFERROR(__xludf.DUMMYFUNCTION("""COMPUTED_VALUE"""),2993.0)</f>
        <v>2993</v>
      </c>
      <c r="R40" s="186" t="str">
        <f>IFERROR(__xludf.DUMMYFUNCTION("""COMPUTED_VALUE"""),"")</f>
        <v/>
      </c>
      <c r="S40" s="186" t="str">
        <f>IFERROR(__xludf.DUMMYFUNCTION("""COMPUTED_VALUE"""),"56-2")</f>
        <v>56-2</v>
      </c>
    </row>
    <row r="41">
      <c r="A41" s="186" t="str">
        <f>IFERROR(__xludf.DUMMYFUNCTION("""COMPUTED_VALUE"""),"DACH")</f>
        <v>DACH</v>
      </c>
      <c r="B41" s="186" t="str">
        <f>IFERROR(__xludf.DUMMYFUNCTION("""COMPUTED_VALUE"""),"FA-DE Third Box - Flyer")</f>
        <v>FA-DE Third Box - Flyer</v>
      </c>
      <c r="C41" s="186" t="str">
        <f>IFERROR(__xludf.DUMMYFUNCTION("""COMPUTED_VALUE"""),"ASL1")</f>
        <v>ASL1</v>
      </c>
      <c r="D41" s="186" t="str">
        <f>IFERROR(__xludf.DUMMYFUNCTION("""COMPUTED_VALUE"""),"F137")</f>
        <v>F137</v>
      </c>
      <c r="E41" s="186">
        <f>IFERROR(__xludf.DUMMYFUNCTION("""COMPUTED_VALUE"""),18.0)</f>
        <v>18</v>
      </c>
      <c r="F41" s="186">
        <f>IFERROR(__xludf.DUMMYFUNCTION("""COMPUTED_VALUE"""),0.0)</f>
        <v>0</v>
      </c>
      <c r="G41" s="186">
        <f>IFERROR(__xludf.DUMMYFUNCTION("""COMPUTED_VALUE"""),1.0)</f>
        <v>1</v>
      </c>
      <c r="H41" s="186">
        <f>IFERROR(__xludf.DUMMYFUNCTION("""COMPUTED_VALUE"""),57.0)</f>
        <v>57</v>
      </c>
      <c r="I41" s="186" t="str">
        <f>IFERROR(__xludf.DUMMYFUNCTION("""COMPUTED_VALUE"""),"Chilled")</f>
        <v>Chilled</v>
      </c>
      <c r="J41" s="186">
        <f>IFERROR(__xludf.DUMMYFUNCTION("""COMPUTED_VALUE"""),15.0)</f>
        <v>15</v>
      </c>
      <c r="K41" s="186">
        <f>IFERROR(__xludf.DUMMYFUNCTION("""COMPUTED_VALUE"""),0.0)</f>
        <v>0</v>
      </c>
      <c r="L41" s="186">
        <f>IFERROR(__xludf.DUMMYFUNCTION("""COMPUTED_VALUE"""),0.0)</f>
        <v>0</v>
      </c>
      <c r="M41" s="186">
        <f>IFERROR(__xludf.DUMMYFUNCTION("""COMPUTED_VALUE"""),0.0)</f>
        <v>0</v>
      </c>
      <c r="N41" s="186">
        <f>IFERROR(__xludf.DUMMYFUNCTION("""COMPUTED_VALUE"""),0.0)</f>
        <v>0</v>
      </c>
      <c r="O41" s="186">
        <f>IFERROR(__xludf.DUMMYFUNCTION("""COMPUTED_VALUE"""),1.0)</f>
        <v>1</v>
      </c>
      <c r="P41" s="186">
        <f>IFERROR(__xludf.DUMMYFUNCTION("""COMPUTED_VALUE"""),55.0)</f>
        <v>55</v>
      </c>
      <c r="Q41" s="186">
        <f>IFERROR(__xludf.DUMMYFUNCTION("""COMPUTED_VALUE"""),2993.0)</f>
        <v>2993</v>
      </c>
      <c r="R41" s="186" t="str">
        <f>IFERROR(__xludf.DUMMYFUNCTION("""COMPUTED_VALUE"""),"")</f>
        <v/>
      </c>
      <c r="S41" s="186" t="str">
        <f>IFERROR(__xludf.DUMMYFUNCTION("""COMPUTED_VALUE"""),"57-1")</f>
        <v>57-1</v>
      </c>
    </row>
    <row r="42">
      <c r="A42" s="186" t="str">
        <f>IFERROR(__xludf.DUMMYFUNCTION("""COMPUTED_VALUE"""),"DACH")</f>
        <v>DACH</v>
      </c>
      <c r="B42" s="186" t="str">
        <f>IFERROR(__xludf.DUMMYFUNCTION("""COMPUTED_VALUE"""),"FA-DE Third Box - Socks")</f>
        <v>FA-DE Third Box - Socks</v>
      </c>
      <c r="C42" s="186" t="str">
        <f>IFERROR(__xludf.DUMMYFUNCTION("""COMPUTED_VALUE"""),"ASL1")</f>
        <v>ASL1</v>
      </c>
      <c r="D42" s="186" t="str">
        <f>IFERROR(__xludf.DUMMYFUNCTION("""COMPUTED_VALUE"""),"F138")</f>
        <v>F138</v>
      </c>
      <c r="E42" s="186">
        <f>IFERROR(__xludf.DUMMYFUNCTION("""COMPUTED_VALUE"""),18.0)</f>
        <v>18</v>
      </c>
      <c r="F42" s="186">
        <f>IFERROR(__xludf.DUMMYFUNCTION("""COMPUTED_VALUE"""),0.0)</f>
        <v>0</v>
      </c>
      <c r="G42" s="186">
        <f>IFERROR(__xludf.DUMMYFUNCTION("""COMPUTED_VALUE"""),2.0)</f>
        <v>2</v>
      </c>
      <c r="H42" s="186">
        <f>IFERROR(__xludf.DUMMYFUNCTION("""COMPUTED_VALUE"""),57.0)</f>
        <v>57</v>
      </c>
      <c r="I42" s="186" t="str">
        <f>IFERROR(__xludf.DUMMYFUNCTION("""COMPUTED_VALUE"""),"Chilled")</f>
        <v>Chilled</v>
      </c>
      <c r="J42" s="186">
        <f>IFERROR(__xludf.DUMMYFUNCTION("""COMPUTED_VALUE"""),15.0)</f>
        <v>15</v>
      </c>
      <c r="K42" s="186">
        <f>IFERROR(__xludf.DUMMYFUNCTION("""COMPUTED_VALUE"""),0.0)</f>
        <v>0</v>
      </c>
      <c r="L42" s="186">
        <f>IFERROR(__xludf.DUMMYFUNCTION("""COMPUTED_VALUE"""),0.0)</f>
        <v>0</v>
      </c>
      <c r="M42" s="186">
        <f>IFERROR(__xludf.DUMMYFUNCTION("""COMPUTED_VALUE"""),0.0)</f>
        <v>0</v>
      </c>
      <c r="N42" s="186">
        <f>IFERROR(__xludf.DUMMYFUNCTION("""COMPUTED_VALUE"""),0.0)</f>
        <v>0</v>
      </c>
      <c r="O42" s="186">
        <f>IFERROR(__xludf.DUMMYFUNCTION("""COMPUTED_VALUE"""),1.0)</f>
        <v>1</v>
      </c>
      <c r="P42" s="186">
        <f>IFERROR(__xludf.DUMMYFUNCTION("""COMPUTED_VALUE"""),55.0)</f>
        <v>55</v>
      </c>
      <c r="Q42" s="186">
        <f>IFERROR(__xludf.DUMMYFUNCTION("""COMPUTED_VALUE"""),2993.0)</f>
        <v>2993</v>
      </c>
      <c r="R42" s="186" t="str">
        <f>IFERROR(__xludf.DUMMYFUNCTION("""COMPUTED_VALUE"""),"")</f>
        <v/>
      </c>
      <c r="S42" s="186" t="str">
        <f>IFERROR(__xludf.DUMMYFUNCTION("""COMPUTED_VALUE"""),"57-2")</f>
        <v>57-2</v>
      </c>
    </row>
    <row r="43">
      <c r="A43" s="186" t="str">
        <f>IFERROR(__xludf.DUMMYFUNCTION("""COMPUTED_VALUE"""),"DACH")</f>
        <v>DACH</v>
      </c>
      <c r="B43" s="186" t="str">
        <f>IFERROR(__xludf.DUMMYFUNCTION("""COMPUTED_VALUE"""),"FA-DE Second Box - Tote Bag")</f>
        <v>FA-DE Second Box - Tote Bag</v>
      </c>
      <c r="C43" s="186" t="str">
        <f>IFERROR(__xludf.DUMMYFUNCTION("""COMPUTED_VALUE"""),"ASL1")</f>
        <v>ASL1</v>
      </c>
      <c r="D43" s="186" t="str">
        <f>IFERROR(__xludf.DUMMYFUNCTION("""COMPUTED_VALUE"""),"F139")</f>
        <v>F139</v>
      </c>
      <c r="E43" s="186">
        <f>IFERROR(__xludf.DUMMYFUNCTION("""COMPUTED_VALUE"""),18.0)</f>
        <v>18</v>
      </c>
      <c r="F43" s="186">
        <f>IFERROR(__xludf.DUMMYFUNCTION("""COMPUTED_VALUE"""),2.0)</f>
        <v>2</v>
      </c>
      <c r="G43" s="186">
        <f>IFERROR(__xludf.DUMMYFUNCTION("""COMPUTED_VALUE"""),1.0)</f>
        <v>1</v>
      </c>
      <c r="H43" s="186">
        <f>IFERROR(__xludf.DUMMYFUNCTION("""COMPUTED_VALUE"""),58.0)</f>
        <v>58</v>
      </c>
      <c r="I43" s="186" t="str">
        <f>IFERROR(__xludf.DUMMYFUNCTION("""COMPUTED_VALUE"""),"Chilled")</f>
        <v>Chilled</v>
      </c>
      <c r="J43" s="186">
        <f>IFERROR(__xludf.DUMMYFUNCTION("""COMPUTED_VALUE"""),15.0)</f>
        <v>15</v>
      </c>
      <c r="K43" s="186">
        <f>IFERROR(__xludf.DUMMYFUNCTION("""COMPUTED_VALUE"""),0.0)</f>
        <v>0</v>
      </c>
      <c r="L43" s="186">
        <f>IFERROR(__xludf.DUMMYFUNCTION("""COMPUTED_VALUE"""),0.0)</f>
        <v>0</v>
      </c>
      <c r="M43" s="186">
        <f>IFERROR(__xludf.DUMMYFUNCTION("""COMPUTED_VALUE"""),0.0)</f>
        <v>0</v>
      </c>
      <c r="N43" s="186">
        <f>IFERROR(__xludf.DUMMYFUNCTION("""COMPUTED_VALUE"""),0.0)</f>
        <v>0</v>
      </c>
      <c r="O43" s="186">
        <f>IFERROR(__xludf.DUMMYFUNCTION("""COMPUTED_VALUE"""),1.0)</f>
        <v>1</v>
      </c>
      <c r="P43" s="186">
        <f>IFERROR(__xludf.DUMMYFUNCTION("""COMPUTED_VALUE"""),55.0)</f>
        <v>55</v>
      </c>
      <c r="Q43" s="186">
        <f>IFERROR(__xludf.DUMMYFUNCTION("""COMPUTED_VALUE"""),2993.0)</f>
        <v>2993</v>
      </c>
      <c r="R43" s="186" t="str">
        <f>IFERROR(__xludf.DUMMYFUNCTION("""COMPUTED_VALUE"""),"")</f>
        <v/>
      </c>
      <c r="S43" s="186" t="str">
        <f>IFERROR(__xludf.DUMMYFUNCTION("""COMPUTED_VALUE"""),"58-1")</f>
        <v>58-1</v>
      </c>
    </row>
    <row r="44">
      <c r="A44" s="186" t="str">
        <f>IFERROR(__xludf.DUMMYFUNCTION("""COMPUTED_VALUE"""),"DACH")</f>
        <v>DACH</v>
      </c>
      <c r="B44" s="186" t="str">
        <f>IFERROR(__xludf.DUMMYFUNCTION("""COMPUTED_VALUE"""),"FA-DE Second Box - Flyer")</f>
        <v>FA-DE Second Box - Flyer</v>
      </c>
      <c r="C44" s="186" t="str">
        <f>IFERROR(__xludf.DUMMYFUNCTION("""COMPUTED_VALUE"""),"ASL1")</f>
        <v>ASL1</v>
      </c>
      <c r="D44" s="186" t="str">
        <f>IFERROR(__xludf.DUMMYFUNCTION("""COMPUTED_VALUE"""),"F140")</f>
        <v>F140</v>
      </c>
      <c r="E44" s="186">
        <f>IFERROR(__xludf.DUMMYFUNCTION("""COMPUTED_VALUE"""),18.0)</f>
        <v>18</v>
      </c>
      <c r="F44" s="186">
        <f>IFERROR(__xludf.DUMMYFUNCTION("""COMPUTED_VALUE"""),2.0)</f>
        <v>2</v>
      </c>
      <c r="G44" s="186">
        <f>IFERROR(__xludf.DUMMYFUNCTION("""COMPUTED_VALUE"""),2.0)</f>
        <v>2</v>
      </c>
      <c r="H44" s="186">
        <f>IFERROR(__xludf.DUMMYFUNCTION("""COMPUTED_VALUE"""),58.0)</f>
        <v>58</v>
      </c>
      <c r="I44" s="186" t="str">
        <f>IFERROR(__xludf.DUMMYFUNCTION("""COMPUTED_VALUE"""),"Chilled")</f>
        <v>Chilled</v>
      </c>
      <c r="J44" s="186">
        <f>IFERROR(__xludf.DUMMYFUNCTION("""COMPUTED_VALUE"""),15.0)</f>
        <v>15</v>
      </c>
      <c r="K44" s="186">
        <f>IFERROR(__xludf.DUMMYFUNCTION("""COMPUTED_VALUE"""),0.0)</f>
        <v>0</v>
      </c>
      <c r="L44" s="186">
        <f>IFERROR(__xludf.DUMMYFUNCTION("""COMPUTED_VALUE"""),0.0)</f>
        <v>0</v>
      </c>
      <c r="M44" s="186">
        <f>IFERROR(__xludf.DUMMYFUNCTION("""COMPUTED_VALUE"""),0.0)</f>
        <v>0</v>
      </c>
      <c r="N44" s="186">
        <f>IFERROR(__xludf.DUMMYFUNCTION("""COMPUTED_VALUE"""),0.0)</f>
        <v>0</v>
      </c>
      <c r="O44" s="186">
        <f>IFERROR(__xludf.DUMMYFUNCTION("""COMPUTED_VALUE"""),1.0)</f>
        <v>1</v>
      </c>
      <c r="P44" s="186">
        <f>IFERROR(__xludf.DUMMYFUNCTION("""COMPUTED_VALUE"""),55.0)</f>
        <v>55</v>
      </c>
      <c r="Q44" s="186">
        <f>IFERROR(__xludf.DUMMYFUNCTION("""COMPUTED_VALUE"""),2993.0)</f>
        <v>2993</v>
      </c>
      <c r="R44" s="186" t="str">
        <f>IFERROR(__xludf.DUMMYFUNCTION("""COMPUTED_VALUE"""),"")</f>
        <v/>
      </c>
      <c r="S44" s="186" t="str">
        <f>IFERROR(__xludf.DUMMYFUNCTION("""COMPUTED_VALUE"""),"58-2")</f>
        <v>58-2</v>
      </c>
    </row>
    <row r="45">
      <c r="A45" s="186" t="str">
        <f>IFERROR(__xludf.DUMMYFUNCTION("""COMPUTED_VALUE"""),"DACH")</f>
        <v>DACH</v>
      </c>
      <c r="B45" s="186" t="str">
        <f>IFERROR(__xludf.DUMMYFUNCTION("""COMPUTED_VALUE"""),"FA-DE First Box - Flyer about program")</f>
        <v>FA-DE First Box - Flyer about program</v>
      </c>
      <c r="C45" s="186" t="str">
        <f>IFERROR(__xludf.DUMMYFUNCTION("""COMPUTED_VALUE"""),"ASL1")</f>
        <v>ASL1</v>
      </c>
      <c r="D45" s="186" t="str">
        <f>IFERROR(__xludf.DUMMYFUNCTION("""COMPUTED_VALUE"""),"F141")</f>
        <v>F141</v>
      </c>
      <c r="E45" s="186">
        <f>IFERROR(__xludf.DUMMYFUNCTION("""COMPUTED_VALUE"""),18.0)</f>
        <v>18</v>
      </c>
      <c r="F45" s="186">
        <f>IFERROR(__xludf.DUMMYFUNCTION("""COMPUTED_VALUE"""),1.0)</f>
        <v>1</v>
      </c>
      <c r="G45" s="186">
        <f>IFERROR(__xludf.DUMMYFUNCTION("""COMPUTED_VALUE"""),1.0)</f>
        <v>1</v>
      </c>
      <c r="H45" s="186">
        <f>IFERROR(__xludf.DUMMYFUNCTION("""COMPUTED_VALUE"""),59.0)</f>
        <v>59</v>
      </c>
      <c r="I45" s="186" t="str">
        <f>IFERROR(__xludf.DUMMYFUNCTION("""COMPUTED_VALUE"""),"Chilled")</f>
        <v>Chilled</v>
      </c>
      <c r="J45" s="186">
        <f>IFERROR(__xludf.DUMMYFUNCTION("""COMPUTED_VALUE"""),15.0)</f>
        <v>15</v>
      </c>
      <c r="K45" s="186">
        <f>IFERROR(__xludf.DUMMYFUNCTION("""COMPUTED_VALUE"""),0.0)</f>
        <v>0</v>
      </c>
      <c r="L45" s="186">
        <f>IFERROR(__xludf.DUMMYFUNCTION("""COMPUTED_VALUE"""),0.0)</f>
        <v>0</v>
      </c>
      <c r="M45" s="186">
        <f>IFERROR(__xludf.DUMMYFUNCTION("""COMPUTED_VALUE"""),0.0)</f>
        <v>0</v>
      </c>
      <c r="N45" s="186">
        <f>IFERROR(__xludf.DUMMYFUNCTION("""COMPUTED_VALUE"""),0.0)</f>
        <v>0</v>
      </c>
      <c r="O45" s="186">
        <f>IFERROR(__xludf.DUMMYFUNCTION("""COMPUTED_VALUE"""),1.0)</f>
        <v>1</v>
      </c>
      <c r="P45" s="186">
        <f>IFERROR(__xludf.DUMMYFUNCTION("""COMPUTED_VALUE"""),55.0)</f>
        <v>55</v>
      </c>
      <c r="Q45" s="186">
        <f>IFERROR(__xludf.DUMMYFUNCTION("""COMPUTED_VALUE"""),2993.0)</f>
        <v>2993</v>
      </c>
      <c r="R45" s="186" t="str">
        <f>IFERROR(__xludf.DUMMYFUNCTION("""COMPUTED_VALUE"""),"")</f>
        <v/>
      </c>
      <c r="S45" s="186" t="str">
        <f>IFERROR(__xludf.DUMMYFUNCTION("""COMPUTED_VALUE"""),"59-1")</f>
        <v>59-1</v>
      </c>
    </row>
    <row r="46">
      <c r="A46" s="186" t="str">
        <f>IFERROR(__xludf.DUMMYFUNCTION("""COMPUTED_VALUE"""),"DACH")</f>
        <v>DACH</v>
      </c>
      <c r="B46" s="186" t="str">
        <f>IFERROR(__xludf.DUMMYFUNCTION("""COMPUTED_VALUE"""),"FA-DE Welcome Booklet")</f>
        <v>FA-DE Welcome Booklet</v>
      </c>
      <c r="C46" s="186" t="str">
        <f>IFERROR(__xludf.DUMMYFUNCTION("""COMPUTED_VALUE"""),"ASL1")</f>
        <v>ASL1</v>
      </c>
      <c r="D46" s="186" t="str">
        <f>IFERROR(__xludf.DUMMYFUNCTION("""COMPUTED_VALUE"""),"F142")</f>
        <v>F142</v>
      </c>
      <c r="E46" s="186">
        <f>IFERROR(__xludf.DUMMYFUNCTION("""COMPUTED_VALUE"""),18.0)</f>
        <v>18</v>
      </c>
      <c r="F46" s="186">
        <f>IFERROR(__xludf.DUMMYFUNCTION("""COMPUTED_VALUE"""),1.0)</f>
        <v>1</v>
      </c>
      <c r="G46" s="186">
        <f>IFERROR(__xludf.DUMMYFUNCTION("""COMPUTED_VALUE"""),2.0)</f>
        <v>2</v>
      </c>
      <c r="H46" s="186">
        <f>IFERROR(__xludf.DUMMYFUNCTION("""COMPUTED_VALUE"""),59.0)</f>
        <v>59</v>
      </c>
      <c r="I46" s="186" t="str">
        <f>IFERROR(__xludf.DUMMYFUNCTION("""COMPUTED_VALUE"""),"Chilled")</f>
        <v>Chilled</v>
      </c>
      <c r="J46" s="186">
        <f>IFERROR(__xludf.DUMMYFUNCTION("""COMPUTED_VALUE"""),15.0)</f>
        <v>15</v>
      </c>
      <c r="K46" s="186">
        <f>IFERROR(__xludf.DUMMYFUNCTION("""COMPUTED_VALUE"""),0.0)</f>
        <v>0</v>
      </c>
      <c r="L46" s="186">
        <f>IFERROR(__xludf.DUMMYFUNCTION("""COMPUTED_VALUE"""),0.0)</f>
        <v>0</v>
      </c>
      <c r="M46" s="186">
        <f>IFERROR(__xludf.DUMMYFUNCTION("""COMPUTED_VALUE"""),0.0)</f>
        <v>0</v>
      </c>
      <c r="N46" s="186">
        <f>IFERROR(__xludf.DUMMYFUNCTION("""COMPUTED_VALUE"""),0.0)</f>
        <v>0</v>
      </c>
      <c r="O46" s="186">
        <f>IFERROR(__xludf.DUMMYFUNCTION("""COMPUTED_VALUE"""),1.0)</f>
        <v>1</v>
      </c>
      <c r="P46" s="186">
        <f>IFERROR(__xludf.DUMMYFUNCTION("""COMPUTED_VALUE"""),55.0)</f>
        <v>55</v>
      </c>
      <c r="Q46" s="186">
        <f>IFERROR(__xludf.DUMMYFUNCTION("""COMPUTED_VALUE"""),2993.0)</f>
        <v>2993</v>
      </c>
      <c r="R46" s="186" t="str">
        <f>IFERROR(__xludf.DUMMYFUNCTION("""COMPUTED_VALUE"""),"")</f>
        <v/>
      </c>
      <c r="S46" s="186" t="str">
        <f>IFERROR(__xludf.DUMMYFUNCTION("""COMPUTED_VALUE"""),"59-2")</f>
        <v>59-2</v>
      </c>
    </row>
    <row r="47">
      <c r="A47" s="186" t="str">
        <f>IFERROR(__xludf.DUMMYFUNCTION("""COMPUTED_VALUE"""),"DACH")</f>
        <v>DACH</v>
      </c>
      <c r="B47" s="186" t="str">
        <f>IFERROR(__xludf.DUMMYFUNCTION("""COMPUTED_VALUE"""),"FA-DE Freebies")</f>
        <v>FA-DE Freebies</v>
      </c>
      <c r="C47" s="186" t="str">
        <f>IFERROR(__xludf.DUMMYFUNCTION("""COMPUTED_VALUE"""),"ASL1")</f>
        <v>ASL1</v>
      </c>
      <c r="D47" s="186" t="str">
        <f>IFERROR(__xludf.DUMMYFUNCTION("""COMPUTED_VALUE"""),"F143")</f>
        <v>F143</v>
      </c>
      <c r="E47" s="186">
        <f>IFERROR(__xludf.DUMMYFUNCTION("""COMPUTED_VALUE"""),18.0)</f>
        <v>18</v>
      </c>
      <c r="F47" s="186">
        <f>IFERROR(__xludf.DUMMYFUNCTION("""COMPUTED_VALUE"""),0.0)</f>
        <v>0</v>
      </c>
      <c r="G47" s="186">
        <f>IFERROR(__xludf.DUMMYFUNCTION("""COMPUTED_VALUE"""),1.0)</f>
        <v>1</v>
      </c>
      <c r="H47" s="186">
        <f>IFERROR(__xludf.DUMMYFUNCTION("""COMPUTED_VALUE"""),60.0)</f>
        <v>60</v>
      </c>
      <c r="I47" s="186" t="str">
        <f>IFERROR(__xludf.DUMMYFUNCTION("""COMPUTED_VALUE"""),"Chilled")</f>
        <v>Chilled</v>
      </c>
      <c r="J47" s="186">
        <f>IFERROR(__xludf.DUMMYFUNCTION("""COMPUTED_VALUE"""),15.0)</f>
        <v>15</v>
      </c>
      <c r="K47" s="186">
        <f>IFERROR(__xludf.DUMMYFUNCTION("""COMPUTED_VALUE"""),0.0)</f>
        <v>0</v>
      </c>
      <c r="L47" s="186">
        <f>IFERROR(__xludf.DUMMYFUNCTION("""COMPUTED_VALUE"""),0.0)</f>
        <v>0</v>
      </c>
      <c r="M47" s="186">
        <f>IFERROR(__xludf.DUMMYFUNCTION("""COMPUTED_VALUE"""),0.0)</f>
        <v>0</v>
      </c>
      <c r="N47" s="186">
        <f>IFERROR(__xludf.DUMMYFUNCTION("""COMPUTED_VALUE"""),0.0)</f>
        <v>0</v>
      </c>
      <c r="O47" s="186">
        <f>IFERROR(__xludf.DUMMYFUNCTION("""COMPUTED_VALUE"""),1.0)</f>
        <v>1</v>
      </c>
      <c r="P47" s="186">
        <f>IFERROR(__xludf.DUMMYFUNCTION("""COMPUTED_VALUE"""),55.0)</f>
        <v>55</v>
      </c>
      <c r="Q47" s="186">
        <f>IFERROR(__xludf.DUMMYFUNCTION("""COMPUTED_VALUE"""),2993.0)</f>
        <v>2993</v>
      </c>
      <c r="R47" s="186" t="str">
        <f>IFERROR(__xludf.DUMMYFUNCTION("""COMPUTED_VALUE"""),"")</f>
        <v/>
      </c>
      <c r="S47" s="186" t="str">
        <f>IFERROR(__xludf.DUMMYFUNCTION("""COMPUTED_VALUE"""),"60-1")</f>
        <v>60-1</v>
      </c>
    </row>
    <row r="48">
      <c r="A48" s="186" t="str">
        <f>IFERROR(__xludf.DUMMYFUNCTION("""COMPUTED_VALUE"""),"DACH")</f>
        <v>DACH</v>
      </c>
      <c r="B48" s="186" t="str">
        <f>IFERROR(__xludf.DUMMYFUNCTION("""COMPUTED_VALUE"""),"IcePack1")</f>
        <v>IcePack1</v>
      </c>
      <c r="C48" s="186" t="str">
        <f>IFERROR(__xludf.DUMMYFUNCTION("""COMPUTED_VALUE"""),"ASL1")</f>
        <v>ASL1</v>
      </c>
      <c r="D48" s="186" t="str">
        <f>IFERROR(__xludf.DUMMYFUNCTION("""COMPUTED_VALUE"""),"F144")</f>
        <v>F144</v>
      </c>
      <c r="E48" s="186">
        <f>IFERROR(__xludf.DUMMYFUNCTION("""COMPUTED_VALUE"""),18.0)</f>
        <v>18</v>
      </c>
      <c r="F48" s="186">
        <f>IFERROR(__xludf.DUMMYFUNCTION("""COMPUTED_VALUE"""),0.0)</f>
        <v>0</v>
      </c>
      <c r="G48" s="186">
        <f>IFERROR(__xludf.DUMMYFUNCTION("""COMPUTED_VALUE"""),2.0)</f>
        <v>2</v>
      </c>
      <c r="H48" s="186">
        <f>IFERROR(__xludf.DUMMYFUNCTION("""COMPUTED_VALUE"""),60.0)</f>
        <v>60</v>
      </c>
      <c r="I48" s="186" t="str">
        <f>IFERROR(__xludf.DUMMYFUNCTION("""COMPUTED_VALUE"""),"Chilled")</f>
        <v>Chilled</v>
      </c>
      <c r="J48" s="186">
        <f>IFERROR(__xludf.DUMMYFUNCTION("""COMPUTED_VALUE"""),15.0)</f>
        <v>15</v>
      </c>
      <c r="K48" s="186">
        <f>IFERROR(__xludf.DUMMYFUNCTION("""COMPUTED_VALUE"""),55.0)</f>
        <v>55</v>
      </c>
      <c r="L48" s="186">
        <f>IFERROR(__xludf.DUMMYFUNCTION("""COMPUTED_VALUE"""),0.0)</f>
        <v>0</v>
      </c>
      <c r="M48" s="186">
        <f>IFERROR(__xludf.DUMMYFUNCTION("""COMPUTED_VALUE"""),0.0)</f>
        <v>0</v>
      </c>
      <c r="N48" s="186">
        <f>IFERROR(__xludf.DUMMYFUNCTION("""COMPUTED_VALUE"""),55.0)</f>
        <v>55</v>
      </c>
      <c r="O48" s="186">
        <f>IFERROR(__xludf.DUMMYFUNCTION("""COMPUTED_VALUE"""),1.0)</f>
        <v>1</v>
      </c>
      <c r="P48" s="186">
        <f>IFERROR(__xludf.DUMMYFUNCTION("""COMPUTED_VALUE"""),55.0)</f>
        <v>55</v>
      </c>
      <c r="Q48" s="186">
        <f>IFERROR(__xludf.DUMMYFUNCTION("""COMPUTED_VALUE"""),2993.0)</f>
        <v>2993</v>
      </c>
      <c r="R48" s="186" t="str">
        <f>IFERROR(__xludf.DUMMYFUNCTION("""COMPUTED_VALUE"""),"")</f>
        <v/>
      </c>
      <c r="S48" s="186" t="str">
        <f>IFERROR(__xludf.DUMMYFUNCTION("""COMPUTED_VALUE"""),"60-2")</f>
        <v>60-2</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5F4"/>
    <outlinePr summaryBelow="0" summaryRight="0"/>
  </sheetPr>
  <sheetViews>
    <sheetView showGridLines="0" workbookViewId="0"/>
  </sheetViews>
  <sheetFormatPr customHeight="1" defaultColWidth="12.63" defaultRowHeight="15.75"/>
  <cols>
    <col customWidth="1" min="1" max="1" width="19.88"/>
    <col customWidth="1" min="2" max="18" width="7.75"/>
    <col customWidth="1" min="19" max="20" width="7.38"/>
  </cols>
  <sheetData>
    <row r="1">
      <c r="A1" s="186"/>
      <c r="B1" s="186" t="s">
        <v>656</v>
      </c>
      <c r="C1" s="186"/>
      <c r="D1" s="186"/>
      <c r="E1" s="186"/>
    </row>
    <row r="2">
      <c r="A2" s="186" t="s">
        <v>657</v>
      </c>
      <c r="B2" s="186" t="s">
        <v>526</v>
      </c>
      <c r="C2" s="186"/>
      <c r="D2" s="186"/>
      <c r="E2" s="186"/>
    </row>
    <row r="3">
      <c r="A3" s="186"/>
      <c r="B3" s="186"/>
      <c r="C3" s="186"/>
      <c r="D3" s="186"/>
      <c r="E3" s="186"/>
    </row>
    <row r="4">
      <c r="A4" s="186"/>
      <c r="B4" s="186"/>
      <c r="C4" s="186"/>
      <c r="D4" s="186"/>
      <c r="E4" s="186"/>
    </row>
    <row r="5">
      <c r="A5" s="186"/>
      <c r="B5" s="186"/>
      <c r="C5" s="186"/>
      <c r="D5" s="186"/>
      <c r="E5" s="186"/>
    </row>
    <row r="6">
      <c r="A6" s="186"/>
      <c r="B6" s="186"/>
      <c r="C6" s="186"/>
      <c r="D6" s="186"/>
      <c r="E6" s="186"/>
    </row>
    <row r="7">
      <c r="A7" s="186"/>
      <c r="B7" s="186"/>
      <c r="C7" s="186"/>
      <c r="D7" s="186"/>
      <c r="E7" s="186"/>
    </row>
    <row r="8">
      <c r="A8" s="186"/>
      <c r="B8" s="186"/>
      <c r="C8" s="186"/>
      <c r="D8" s="186"/>
      <c r="E8" s="186"/>
    </row>
    <row r="9">
      <c r="A9" s="186"/>
      <c r="B9" s="186"/>
      <c r="C9" s="186"/>
      <c r="D9" s="186"/>
      <c r="E9" s="186"/>
    </row>
    <row r="10">
      <c r="A10" s="186"/>
      <c r="B10" s="186"/>
      <c r="C10" s="186"/>
      <c r="D10" s="186"/>
      <c r="E10" s="186"/>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2.63" defaultRowHeight="15.75"/>
  <cols>
    <col customWidth="1" min="1" max="1" width="23.13"/>
    <col customWidth="1" min="2" max="15" width="5.38"/>
    <col customWidth="1" min="16" max="16" width="3.25"/>
    <col customWidth="1" min="17" max="17" width="4.25"/>
    <col customWidth="1" min="18" max="18" width="19.13"/>
    <col customWidth="1" min="19" max="31" width="5.38"/>
    <col customWidth="1" min="34" max="34" width="12.38"/>
    <col customWidth="1" min="35" max="35" width="9.63"/>
    <col customWidth="1" min="36" max="36" width="10.13"/>
    <col customWidth="1" min="37" max="37" width="10.75"/>
  </cols>
  <sheetData>
    <row r="1">
      <c r="B1" s="374"/>
      <c r="C1" s="374"/>
      <c r="D1" s="374"/>
      <c r="E1" s="374"/>
      <c r="F1" s="374"/>
      <c r="G1" s="374"/>
      <c r="H1" s="374"/>
      <c r="I1" s="374"/>
      <c r="J1" s="374"/>
      <c r="K1" s="374"/>
      <c r="L1" s="374"/>
      <c r="M1" s="374"/>
      <c r="N1" s="374"/>
      <c r="O1" s="374"/>
    </row>
    <row r="2">
      <c r="A2" s="375" t="s">
        <v>658</v>
      </c>
      <c r="R2" s="376" t="s">
        <v>659</v>
      </c>
      <c r="AF2" s="376"/>
    </row>
    <row r="3">
      <c r="AF3" s="376"/>
    </row>
    <row r="4">
      <c r="AF4" s="376"/>
    </row>
    <row r="5">
      <c r="B5" s="374"/>
      <c r="C5" s="374"/>
      <c r="D5" s="374"/>
      <c r="E5" s="374"/>
      <c r="F5" s="374"/>
      <c r="G5" s="374"/>
      <c r="H5" s="374"/>
      <c r="I5" s="374"/>
      <c r="J5" s="374"/>
      <c r="K5" s="374"/>
      <c r="L5" s="374"/>
      <c r="M5" s="374"/>
      <c r="N5" s="374"/>
      <c r="O5" s="374"/>
    </row>
    <row r="6">
      <c r="A6" s="186"/>
      <c r="B6" s="374" t="s">
        <v>656</v>
      </c>
      <c r="C6" s="374"/>
      <c r="D6" s="374"/>
      <c r="E6" s="374"/>
      <c r="F6" s="374"/>
      <c r="G6" s="374"/>
      <c r="H6" s="374"/>
      <c r="I6" s="374"/>
      <c r="J6" s="374"/>
      <c r="K6" s="374"/>
      <c r="L6" s="374"/>
      <c r="M6" s="374"/>
      <c r="N6" s="374"/>
      <c r="O6" s="374"/>
      <c r="R6" s="186" t="s">
        <v>660</v>
      </c>
      <c r="S6" s="186" t="s">
        <v>28</v>
      </c>
      <c r="T6" s="186" t="s">
        <v>324</v>
      </c>
      <c r="U6" s="186"/>
      <c r="V6" s="186"/>
      <c r="W6" s="186"/>
      <c r="X6" s="186"/>
      <c r="Y6" s="186"/>
      <c r="Z6" s="186"/>
      <c r="AA6" s="186"/>
      <c r="AB6" s="186"/>
      <c r="AC6" s="186"/>
      <c r="AD6" s="186"/>
      <c r="AE6" s="186"/>
      <c r="AF6" s="186"/>
    </row>
    <row r="7">
      <c r="A7" s="186" t="s">
        <v>657</v>
      </c>
      <c r="B7" s="377" t="s">
        <v>526</v>
      </c>
      <c r="C7" s="377"/>
      <c r="D7" s="377"/>
      <c r="E7" s="377"/>
      <c r="F7" s="377"/>
      <c r="G7" s="377"/>
      <c r="H7" s="377"/>
      <c r="I7" s="374"/>
      <c r="J7" s="374"/>
      <c r="K7" s="374"/>
      <c r="L7" s="374"/>
      <c r="M7" s="374"/>
      <c r="N7" s="377"/>
      <c r="O7" s="377"/>
      <c r="P7" s="303"/>
      <c r="R7" s="186"/>
      <c r="S7" s="186" t="s">
        <v>265</v>
      </c>
      <c r="T7" s="186"/>
      <c r="U7" s="186"/>
      <c r="V7" s="186"/>
      <c r="W7" s="186"/>
      <c r="X7" s="186"/>
      <c r="Y7" s="186"/>
      <c r="Z7" s="186"/>
      <c r="AA7" s="186" t="s">
        <v>661</v>
      </c>
      <c r="AB7" s="186"/>
      <c r="AC7" s="186"/>
      <c r="AD7" s="186"/>
      <c r="AE7" s="186"/>
      <c r="AF7" s="186"/>
    </row>
    <row r="8">
      <c r="A8" s="186"/>
      <c r="B8" s="377"/>
      <c r="C8" s="377"/>
      <c r="D8" s="377"/>
      <c r="E8" s="377"/>
      <c r="F8" s="377"/>
      <c r="G8" s="377"/>
      <c r="H8" s="377"/>
      <c r="I8" s="377"/>
      <c r="J8" s="377"/>
      <c r="K8" s="377"/>
      <c r="L8" s="377"/>
      <c r="M8" s="377"/>
      <c r="N8" s="377"/>
      <c r="O8" s="377"/>
      <c r="R8" s="186" t="s">
        <v>21</v>
      </c>
      <c r="S8" s="303">
        <v>3.0</v>
      </c>
      <c r="T8" s="303">
        <v>4.0</v>
      </c>
      <c r="U8" s="303">
        <v>5.0</v>
      </c>
      <c r="V8" s="303">
        <v>6.0</v>
      </c>
      <c r="W8" s="303">
        <v>7.0</v>
      </c>
      <c r="X8" s="303">
        <v>8.0</v>
      </c>
      <c r="Y8" s="303">
        <v>9.0</v>
      </c>
      <c r="Z8" s="303">
        <v>10.0</v>
      </c>
      <c r="AA8" s="303">
        <v>13.0</v>
      </c>
      <c r="AB8" s="303">
        <v>14.0</v>
      </c>
      <c r="AC8" s="303">
        <v>15.0</v>
      </c>
      <c r="AD8" s="303">
        <v>16.0</v>
      </c>
      <c r="AE8" s="303">
        <v>17.0</v>
      </c>
      <c r="AF8" s="186">
        <v>18.0</v>
      </c>
      <c r="AH8" s="378" t="s">
        <v>662</v>
      </c>
      <c r="AI8" s="379" t="s">
        <v>663</v>
      </c>
      <c r="AJ8" s="379" t="s">
        <v>664</v>
      </c>
      <c r="AK8" s="379" t="s">
        <v>665</v>
      </c>
      <c r="AL8" s="303"/>
      <c r="AM8" s="303"/>
      <c r="AN8" s="380"/>
      <c r="AO8" s="380"/>
    </row>
    <row r="9">
      <c r="A9" s="186"/>
      <c r="B9" s="377"/>
      <c r="C9" s="377"/>
      <c r="D9" s="377"/>
      <c r="E9" s="377"/>
      <c r="F9" s="377"/>
      <c r="G9" s="377"/>
      <c r="H9" s="377"/>
      <c r="I9" s="377"/>
      <c r="J9" s="377"/>
      <c r="K9" s="377"/>
      <c r="L9" s="377"/>
      <c r="M9" s="377"/>
      <c r="N9" s="377"/>
      <c r="O9" s="377"/>
      <c r="R9" s="186" t="s">
        <v>666</v>
      </c>
      <c r="S9" s="303">
        <v>1.0</v>
      </c>
      <c r="T9" s="303"/>
      <c r="U9" s="303">
        <v>1.0</v>
      </c>
      <c r="V9" s="303"/>
      <c r="W9" s="303">
        <v>1.0</v>
      </c>
      <c r="X9" s="303">
        <v>1.0</v>
      </c>
      <c r="Y9" s="303">
        <v>1.0</v>
      </c>
      <c r="Z9" s="303">
        <v>1.0</v>
      </c>
      <c r="AA9" s="303"/>
      <c r="AB9" s="303"/>
      <c r="AC9" s="303">
        <v>1.0</v>
      </c>
      <c r="AD9" s="303"/>
      <c r="AE9" s="303"/>
      <c r="AF9" s="186"/>
      <c r="AH9" s="303" t="str">
        <f>VLOOKUP(AK9,VolumeFile_combined!A:B,2,false)</f>
        <v>#VALUE!</v>
      </c>
      <c r="AI9" s="303" t="str">
        <f>IFERROR(__xludf.DUMMYFUNCTION("SPLIT(A9,""_"")"),"#VALUE!")</f>
        <v>#VALUE!</v>
      </c>
      <c r="AJ9" s="303"/>
      <c r="AK9" s="303" t="str">
        <f t="shared" ref="AK9:AK45" si="1">SUBSTITUTE(AI9,"r","")&amp;"_MK"</f>
        <v>#VALUE!</v>
      </c>
      <c r="AO9" s="380"/>
    </row>
    <row r="10">
      <c r="A10" s="186"/>
      <c r="B10" s="377"/>
      <c r="C10" s="377"/>
      <c r="D10" s="377"/>
      <c r="E10" s="377"/>
      <c r="F10" s="377"/>
      <c r="G10" s="377"/>
      <c r="H10" s="377"/>
      <c r="I10" s="377"/>
      <c r="J10" s="377"/>
      <c r="K10" s="377"/>
      <c r="L10" s="377"/>
      <c r="M10" s="377"/>
      <c r="N10" s="377"/>
      <c r="O10" s="377"/>
      <c r="R10" s="186" t="s">
        <v>667</v>
      </c>
      <c r="S10" s="303">
        <v>1.0</v>
      </c>
      <c r="T10" s="303"/>
      <c r="U10" s="303">
        <v>1.0</v>
      </c>
      <c r="V10" s="303"/>
      <c r="W10" s="303"/>
      <c r="X10" s="303"/>
      <c r="Y10" s="303"/>
      <c r="Z10" s="303"/>
      <c r="AA10" s="303"/>
      <c r="AB10" s="303"/>
      <c r="AC10" s="303"/>
      <c r="AD10" s="303"/>
      <c r="AE10" s="303"/>
      <c r="AF10" s="186">
        <v>1.0</v>
      </c>
      <c r="AH10" s="303" t="str">
        <f>VLOOKUP(AK10,VolumeFile_combined!A:B,2,false)</f>
        <v>#VALUE!</v>
      </c>
      <c r="AI10" s="303" t="str">
        <f>IFERROR(__xludf.DUMMYFUNCTION("SPLIT(A10,""_"")"),"#VALUE!")</f>
        <v>#VALUE!</v>
      </c>
      <c r="AJ10" s="303"/>
      <c r="AK10" s="303" t="str">
        <f t="shared" si="1"/>
        <v>#VALUE!</v>
      </c>
      <c r="AO10" s="380"/>
    </row>
    <row r="11">
      <c r="A11" s="186"/>
      <c r="B11" s="377"/>
      <c r="C11" s="377"/>
      <c r="D11" s="377"/>
      <c r="E11" s="377"/>
      <c r="F11" s="377"/>
      <c r="G11" s="377"/>
      <c r="H11" s="377"/>
      <c r="I11" s="377"/>
      <c r="J11" s="377"/>
      <c r="K11" s="377"/>
      <c r="L11" s="377"/>
      <c r="M11" s="377"/>
      <c r="N11" s="377"/>
      <c r="O11" s="377"/>
      <c r="R11" s="186" t="s">
        <v>668</v>
      </c>
      <c r="S11" s="303"/>
      <c r="T11" s="303">
        <v>1.0</v>
      </c>
      <c r="U11" s="303">
        <v>1.0</v>
      </c>
      <c r="V11" s="303"/>
      <c r="W11" s="303">
        <v>1.0</v>
      </c>
      <c r="X11" s="303">
        <v>1.0</v>
      </c>
      <c r="Y11" s="303"/>
      <c r="Z11" s="303"/>
      <c r="AA11" s="303"/>
      <c r="AB11" s="303">
        <v>1.0</v>
      </c>
      <c r="AC11" s="303"/>
      <c r="AD11" s="303"/>
      <c r="AE11" s="303"/>
      <c r="AF11" s="186"/>
      <c r="AH11" s="303" t="str">
        <f>VLOOKUP(AK11,VolumeFile_combined!A:B,2,false)</f>
        <v>#VALUE!</v>
      </c>
      <c r="AI11" s="303" t="str">
        <f>IFERROR(__xludf.DUMMYFUNCTION("SPLIT(A11,""_"")"),"#VALUE!")</f>
        <v>#VALUE!</v>
      </c>
      <c r="AJ11" s="303"/>
      <c r="AK11" s="303" t="str">
        <f t="shared" si="1"/>
        <v>#VALUE!</v>
      </c>
      <c r="AO11" s="380"/>
    </row>
    <row r="12">
      <c r="A12" s="186"/>
      <c r="B12" s="377"/>
      <c r="C12" s="377"/>
      <c r="D12" s="377"/>
      <c r="E12" s="377"/>
      <c r="F12" s="377"/>
      <c r="G12" s="377"/>
      <c r="H12" s="377"/>
      <c r="I12" s="377"/>
      <c r="J12" s="377"/>
      <c r="K12" s="377"/>
      <c r="L12" s="377"/>
      <c r="M12" s="377"/>
      <c r="N12" s="377"/>
      <c r="O12" s="377"/>
      <c r="R12" s="186" t="s">
        <v>669</v>
      </c>
      <c r="S12" s="303"/>
      <c r="T12" s="303">
        <v>1.0</v>
      </c>
      <c r="U12" s="303">
        <v>1.0</v>
      </c>
      <c r="V12" s="303"/>
      <c r="W12" s="303"/>
      <c r="X12" s="303"/>
      <c r="Y12" s="303"/>
      <c r="Z12" s="303"/>
      <c r="AA12" s="303">
        <v>1.0</v>
      </c>
      <c r="AB12" s="303"/>
      <c r="AC12" s="303"/>
      <c r="AD12" s="303"/>
      <c r="AE12" s="303"/>
      <c r="AF12" s="186"/>
      <c r="AH12" s="303" t="str">
        <f>VLOOKUP(AK12,VolumeFile_combined!A:B,2,false)</f>
        <v>#VALUE!</v>
      </c>
      <c r="AI12" s="303" t="str">
        <f>IFERROR(__xludf.DUMMYFUNCTION("SPLIT(A12,""_"")"),"#VALUE!")</f>
        <v>#VALUE!</v>
      </c>
      <c r="AJ12" s="303"/>
      <c r="AK12" s="303" t="str">
        <f t="shared" si="1"/>
        <v>#VALUE!</v>
      </c>
      <c r="AO12" s="380"/>
    </row>
    <row r="13">
      <c r="A13" s="186"/>
      <c r="B13" s="377"/>
      <c r="C13" s="377"/>
      <c r="D13" s="377"/>
      <c r="E13" s="377"/>
      <c r="F13" s="377"/>
      <c r="G13" s="377"/>
      <c r="H13" s="377"/>
      <c r="I13" s="377"/>
      <c r="J13" s="377"/>
      <c r="K13" s="377"/>
      <c r="L13" s="377"/>
      <c r="M13" s="377"/>
      <c r="N13" s="377"/>
      <c r="O13" s="377"/>
      <c r="R13" s="186" t="s">
        <v>670</v>
      </c>
      <c r="S13" s="303"/>
      <c r="T13" s="303"/>
      <c r="U13" s="303"/>
      <c r="V13" s="303"/>
      <c r="W13" s="303"/>
      <c r="X13" s="303">
        <v>1.0</v>
      </c>
      <c r="Y13" s="303"/>
      <c r="Z13" s="303"/>
      <c r="AA13" s="303">
        <v>1.0</v>
      </c>
      <c r="AB13" s="303"/>
      <c r="AC13" s="303"/>
      <c r="AD13" s="303"/>
      <c r="AE13" s="303"/>
      <c r="AF13" s="186"/>
      <c r="AH13" s="303" t="str">
        <f>VLOOKUP(AK13,VolumeFile_combined!A:B,2,false)</f>
        <v>#VALUE!</v>
      </c>
      <c r="AI13" s="303" t="str">
        <f>IFERROR(__xludf.DUMMYFUNCTION("SPLIT(A13,""_"")"),"#VALUE!")</f>
        <v>#VALUE!</v>
      </c>
      <c r="AJ13" s="303"/>
      <c r="AK13" s="303" t="str">
        <f t="shared" si="1"/>
        <v>#VALUE!</v>
      </c>
      <c r="AO13" s="380"/>
    </row>
    <row r="14">
      <c r="A14" s="186"/>
      <c r="B14" s="377"/>
      <c r="C14" s="377"/>
      <c r="D14" s="377"/>
      <c r="E14" s="377"/>
      <c r="F14" s="377"/>
      <c r="G14" s="377"/>
      <c r="H14" s="377"/>
      <c r="I14" s="377"/>
      <c r="J14" s="377"/>
      <c r="K14" s="377"/>
      <c r="L14" s="377"/>
      <c r="M14" s="377"/>
      <c r="N14" s="377"/>
      <c r="O14" s="377"/>
      <c r="R14" s="186" t="s">
        <v>671</v>
      </c>
      <c r="S14" s="303"/>
      <c r="T14" s="303">
        <v>1.0</v>
      </c>
      <c r="U14" s="303">
        <v>1.0</v>
      </c>
      <c r="V14" s="303"/>
      <c r="W14" s="303"/>
      <c r="X14" s="303">
        <v>1.0</v>
      </c>
      <c r="Y14" s="303"/>
      <c r="Z14" s="303"/>
      <c r="AA14" s="303"/>
      <c r="AB14" s="303"/>
      <c r="AC14" s="303"/>
      <c r="AD14" s="303">
        <v>1.0</v>
      </c>
      <c r="AE14" s="303"/>
      <c r="AF14" s="186"/>
      <c r="AH14" s="303" t="str">
        <f>VLOOKUP(AK14,VolumeFile_combined!A:B,2,false)</f>
        <v>#VALUE!</v>
      </c>
      <c r="AI14" s="303" t="str">
        <f>IFERROR(__xludf.DUMMYFUNCTION("SPLIT(A14,""_"")"),"#VALUE!")</f>
        <v>#VALUE!</v>
      </c>
      <c r="AJ14" s="303"/>
      <c r="AK14" s="303" t="str">
        <f t="shared" si="1"/>
        <v>#VALUE!</v>
      </c>
      <c r="AO14" s="380"/>
    </row>
    <row r="15">
      <c r="A15" s="186"/>
      <c r="B15" s="377"/>
      <c r="C15" s="377"/>
      <c r="D15" s="377"/>
      <c r="E15" s="377"/>
      <c r="F15" s="377"/>
      <c r="G15" s="377"/>
      <c r="H15" s="377"/>
      <c r="I15" s="377"/>
      <c r="J15" s="377"/>
      <c r="K15" s="377"/>
      <c r="L15" s="377"/>
      <c r="M15" s="377"/>
      <c r="N15" s="377"/>
      <c r="O15" s="377"/>
      <c r="R15" s="186" t="s">
        <v>672</v>
      </c>
      <c r="S15" s="303"/>
      <c r="T15" s="303">
        <v>1.0</v>
      </c>
      <c r="U15" s="303"/>
      <c r="V15" s="303"/>
      <c r="W15" s="303">
        <v>1.0</v>
      </c>
      <c r="X15" s="303"/>
      <c r="Y15" s="303"/>
      <c r="Z15" s="303">
        <v>1.0</v>
      </c>
      <c r="AA15" s="303"/>
      <c r="AB15" s="303">
        <v>1.0</v>
      </c>
      <c r="AC15" s="303"/>
      <c r="AD15" s="303"/>
      <c r="AE15" s="303"/>
      <c r="AF15" s="186"/>
      <c r="AH15" s="303" t="str">
        <f>VLOOKUP(AK15,VolumeFile_combined!A:B,2,false)</f>
        <v>#VALUE!</v>
      </c>
      <c r="AI15" s="303" t="str">
        <f>IFERROR(__xludf.DUMMYFUNCTION("SPLIT(A15,""_"")"),"#VALUE!")</f>
        <v>#VALUE!</v>
      </c>
      <c r="AJ15" s="303"/>
      <c r="AK15" s="303" t="str">
        <f t="shared" si="1"/>
        <v>#VALUE!</v>
      </c>
      <c r="AO15" s="380"/>
    </row>
    <row r="16">
      <c r="B16" s="377"/>
      <c r="C16" s="377"/>
      <c r="D16" s="377"/>
      <c r="E16" s="377"/>
      <c r="F16" s="377"/>
      <c r="G16" s="377"/>
      <c r="H16" s="377"/>
      <c r="I16" s="377"/>
      <c r="J16" s="377"/>
      <c r="K16" s="377"/>
      <c r="L16" s="377"/>
      <c r="M16" s="377"/>
      <c r="N16" s="377"/>
      <c r="O16" s="377"/>
      <c r="R16" s="186" t="s">
        <v>673</v>
      </c>
      <c r="S16" s="303"/>
      <c r="T16" s="303"/>
      <c r="U16" s="303"/>
      <c r="V16" s="303"/>
      <c r="W16" s="303">
        <v>1.0</v>
      </c>
      <c r="X16" s="303"/>
      <c r="Y16" s="303"/>
      <c r="Z16" s="303">
        <v>1.0</v>
      </c>
      <c r="AA16" s="303">
        <v>1.0</v>
      </c>
      <c r="AB16" s="303"/>
      <c r="AC16" s="303"/>
      <c r="AD16" s="303"/>
      <c r="AE16" s="303"/>
      <c r="AF16" s="186"/>
      <c r="AH16" s="303" t="str">
        <f>VLOOKUP(AK16,VolumeFile_combined!A:B,2,false)</f>
        <v>#VALUE!</v>
      </c>
      <c r="AI16" s="303" t="str">
        <f>IFERROR(__xludf.DUMMYFUNCTION("SPLIT(A16,""_"")"),"#VALUE!")</f>
        <v>#VALUE!</v>
      </c>
      <c r="AJ16" s="303"/>
      <c r="AK16" s="303" t="str">
        <f t="shared" si="1"/>
        <v>#VALUE!</v>
      </c>
      <c r="AO16" s="380"/>
    </row>
    <row r="17">
      <c r="B17" s="377"/>
      <c r="C17" s="377"/>
      <c r="D17" s="377"/>
      <c r="E17" s="377"/>
      <c r="F17" s="377"/>
      <c r="G17" s="377"/>
      <c r="H17" s="377"/>
      <c r="I17" s="377"/>
      <c r="J17" s="377"/>
      <c r="K17" s="377"/>
      <c r="L17" s="377"/>
      <c r="M17" s="377"/>
      <c r="N17" s="377"/>
      <c r="O17" s="377"/>
      <c r="R17" s="186" t="s">
        <v>674</v>
      </c>
      <c r="S17" s="303"/>
      <c r="T17" s="303">
        <v>1.0</v>
      </c>
      <c r="U17" s="303"/>
      <c r="V17" s="303"/>
      <c r="W17" s="303"/>
      <c r="X17" s="303"/>
      <c r="Y17" s="303"/>
      <c r="Z17" s="303">
        <v>1.0</v>
      </c>
      <c r="AA17" s="303"/>
      <c r="AB17" s="303"/>
      <c r="AC17" s="303"/>
      <c r="AD17" s="303">
        <v>1.0</v>
      </c>
      <c r="AE17" s="303"/>
      <c r="AF17" s="186"/>
      <c r="AH17" s="303" t="str">
        <f>VLOOKUP(AK17,VolumeFile_combined!A:B,2,false)</f>
        <v>#VALUE!</v>
      </c>
      <c r="AI17" s="303" t="str">
        <f>IFERROR(__xludf.DUMMYFUNCTION("SPLIT(A17,""_"")"),"#VALUE!")</f>
        <v>#VALUE!</v>
      </c>
      <c r="AJ17" s="303"/>
      <c r="AK17" s="303" t="str">
        <f t="shared" si="1"/>
        <v>#VALUE!</v>
      </c>
      <c r="AO17" s="380"/>
    </row>
    <row r="18">
      <c r="B18" s="377"/>
      <c r="C18" s="377"/>
      <c r="D18" s="377"/>
      <c r="E18" s="377"/>
      <c r="F18" s="377"/>
      <c r="G18" s="377"/>
      <c r="H18" s="377"/>
      <c r="I18" s="377"/>
      <c r="J18" s="377"/>
      <c r="K18" s="377"/>
      <c r="L18" s="377"/>
      <c r="M18" s="377"/>
      <c r="N18" s="377"/>
      <c r="O18" s="377"/>
      <c r="R18" s="186" t="s">
        <v>675</v>
      </c>
      <c r="S18" s="303"/>
      <c r="T18" s="303"/>
      <c r="U18" s="303">
        <v>1.0</v>
      </c>
      <c r="V18" s="303"/>
      <c r="W18" s="303"/>
      <c r="X18" s="303"/>
      <c r="Y18" s="303"/>
      <c r="Z18" s="303"/>
      <c r="AA18" s="303"/>
      <c r="AB18" s="303"/>
      <c r="AC18" s="303"/>
      <c r="AD18" s="303"/>
      <c r="AE18" s="303">
        <v>1.0</v>
      </c>
      <c r="AF18" s="186"/>
      <c r="AH18" s="303" t="str">
        <f>VLOOKUP(AK18,VolumeFile_combined!A:B,2,false)</f>
        <v>#VALUE!</v>
      </c>
      <c r="AI18" s="303" t="str">
        <f>IFERROR(__xludf.DUMMYFUNCTION("SPLIT(A18,""_"")"),"#VALUE!")</f>
        <v>#VALUE!</v>
      </c>
      <c r="AJ18" s="303"/>
      <c r="AK18" s="303" t="str">
        <f t="shared" si="1"/>
        <v>#VALUE!</v>
      </c>
      <c r="AO18" s="380"/>
    </row>
    <row r="19">
      <c r="B19" s="377"/>
      <c r="C19" s="377"/>
      <c r="D19" s="377"/>
      <c r="E19" s="377"/>
      <c r="F19" s="377"/>
      <c r="G19" s="377"/>
      <c r="H19" s="377"/>
      <c r="I19" s="377"/>
      <c r="J19" s="377"/>
      <c r="K19" s="377"/>
      <c r="L19" s="377"/>
      <c r="M19" s="377"/>
      <c r="N19" s="377"/>
      <c r="O19" s="377"/>
      <c r="R19" s="186" t="s">
        <v>676</v>
      </c>
      <c r="S19" s="303"/>
      <c r="T19" s="303"/>
      <c r="U19" s="303">
        <v>1.0</v>
      </c>
      <c r="V19" s="303"/>
      <c r="W19" s="303"/>
      <c r="X19" s="303"/>
      <c r="Y19" s="303">
        <v>1.0</v>
      </c>
      <c r="Z19" s="303"/>
      <c r="AA19" s="303"/>
      <c r="AB19" s="303"/>
      <c r="AC19" s="303"/>
      <c r="AD19" s="303"/>
      <c r="AE19" s="303"/>
      <c r="AF19" s="186">
        <v>1.0</v>
      </c>
      <c r="AH19" s="303" t="str">
        <f>VLOOKUP(AK19,VolumeFile_combined!A:B,2,false)</f>
        <v>#VALUE!</v>
      </c>
      <c r="AI19" s="303" t="str">
        <f>IFERROR(__xludf.DUMMYFUNCTION("SPLIT(A19,""_"")"),"#VALUE!")</f>
        <v>#VALUE!</v>
      </c>
      <c r="AJ19" s="303"/>
      <c r="AK19" s="303" t="str">
        <f t="shared" si="1"/>
        <v>#VALUE!</v>
      </c>
      <c r="AO19" s="380"/>
    </row>
    <row r="20">
      <c r="B20" s="377"/>
      <c r="C20" s="377"/>
      <c r="D20" s="377"/>
      <c r="E20" s="377"/>
      <c r="F20" s="377"/>
      <c r="G20" s="377"/>
      <c r="H20" s="377"/>
      <c r="I20" s="377"/>
      <c r="J20" s="377"/>
      <c r="K20" s="377"/>
      <c r="L20" s="377"/>
      <c r="M20" s="377"/>
      <c r="N20" s="377"/>
      <c r="O20" s="377"/>
      <c r="R20" s="186" t="s">
        <v>677</v>
      </c>
      <c r="S20" s="303"/>
      <c r="T20" s="303">
        <v>1.0</v>
      </c>
      <c r="U20" s="303"/>
      <c r="V20" s="303">
        <v>1.0</v>
      </c>
      <c r="W20" s="303"/>
      <c r="X20" s="303"/>
      <c r="Y20" s="303"/>
      <c r="Z20" s="303"/>
      <c r="AA20" s="303"/>
      <c r="AB20" s="303"/>
      <c r="AC20" s="303"/>
      <c r="AD20" s="303"/>
      <c r="AE20" s="303"/>
      <c r="AF20" s="186">
        <v>1.0</v>
      </c>
      <c r="AH20" s="303" t="str">
        <f>VLOOKUP(AK20,VolumeFile_combined!A:B,2,false)</f>
        <v>#VALUE!</v>
      </c>
      <c r="AI20" s="303" t="str">
        <f>IFERROR(__xludf.DUMMYFUNCTION("SPLIT(A20,""_"")"),"#VALUE!")</f>
        <v>#VALUE!</v>
      </c>
      <c r="AJ20" s="303"/>
      <c r="AK20" s="303" t="str">
        <f t="shared" si="1"/>
        <v>#VALUE!</v>
      </c>
      <c r="AO20" s="380"/>
    </row>
    <row r="21">
      <c r="B21" s="377"/>
      <c r="C21" s="377"/>
      <c r="D21" s="377"/>
      <c r="E21" s="377"/>
      <c r="F21" s="377"/>
      <c r="G21" s="377"/>
      <c r="H21" s="377"/>
      <c r="I21" s="377"/>
      <c r="J21" s="377"/>
      <c r="K21" s="377"/>
      <c r="L21" s="377"/>
      <c r="M21" s="377"/>
      <c r="N21" s="377"/>
      <c r="O21" s="377"/>
      <c r="R21" s="186" t="s">
        <v>678</v>
      </c>
      <c r="S21" s="303"/>
      <c r="T21" s="303">
        <v>1.0</v>
      </c>
      <c r="U21" s="303"/>
      <c r="V21" s="303"/>
      <c r="W21" s="303">
        <v>1.0</v>
      </c>
      <c r="X21" s="303"/>
      <c r="Y21" s="303"/>
      <c r="Z21" s="303"/>
      <c r="AA21" s="303"/>
      <c r="AB21" s="303"/>
      <c r="AC21" s="303"/>
      <c r="AD21" s="303">
        <v>1.0</v>
      </c>
      <c r="AE21" s="303"/>
      <c r="AF21" s="186"/>
      <c r="AH21" s="303" t="str">
        <f>VLOOKUP(AK21,VolumeFile_combined!A:B,2,false)</f>
        <v>#VALUE!</v>
      </c>
      <c r="AI21" s="303" t="str">
        <f>IFERROR(__xludf.DUMMYFUNCTION("SPLIT(A21,""_"")"),"#VALUE!")</f>
        <v>#VALUE!</v>
      </c>
      <c r="AJ21" s="303"/>
      <c r="AK21" s="303" t="str">
        <f t="shared" si="1"/>
        <v>#VALUE!</v>
      </c>
      <c r="AO21" s="380"/>
    </row>
    <row r="22">
      <c r="B22" s="377"/>
      <c r="C22" s="377"/>
      <c r="D22" s="377"/>
      <c r="E22" s="377"/>
      <c r="F22" s="377"/>
      <c r="G22" s="377"/>
      <c r="H22" s="377"/>
      <c r="I22" s="377"/>
      <c r="J22" s="377"/>
      <c r="K22" s="377"/>
      <c r="L22" s="377"/>
      <c r="M22" s="377"/>
      <c r="N22" s="377"/>
      <c r="O22" s="377"/>
      <c r="R22" s="186" t="s">
        <v>679</v>
      </c>
      <c r="S22" s="303"/>
      <c r="T22" s="303"/>
      <c r="U22" s="303"/>
      <c r="V22" s="303">
        <v>1.0</v>
      </c>
      <c r="W22" s="303"/>
      <c r="X22" s="303"/>
      <c r="Y22" s="303"/>
      <c r="Z22" s="303"/>
      <c r="AA22" s="303"/>
      <c r="AB22" s="303"/>
      <c r="AC22" s="303"/>
      <c r="AD22" s="303"/>
      <c r="AE22" s="303"/>
      <c r="AF22" s="186">
        <v>1.0</v>
      </c>
      <c r="AH22" s="303" t="str">
        <f>VLOOKUP(AK22,VolumeFile_combined!A:B,2,false)</f>
        <v>#VALUE!</v>
      </c>
      <c r="AI22" s="303" t="str">
        <f>IFERROR(__xludf.DUMMYFUNCTION("SPLIT(A22,""_"")"),"#VALUE!")</f>
        <v>#VALUE!</v>
      </c>
      <c r="AJ22" s="303"/>
      <c r="AK22" s="303" t="str">
        <f t="shared" si="1"/>
        <v>#VALUE!</v>
      </c>
      <c r="AO22" s="380"/>
    </row>
    <row r="23">
      <c r="B23" s="377"/>
      <c r="C23" s="377"/>
      <c r="D23" s="377"/>
      <c r="E23" s="377"/>
      <c r="F23" s="377"/>
      <c r="G23" s="377"/>
      <c r="H23" s="377"/>
      <c r="I23" s="377"/>
      <c r="J23" s="377"/>
      <c r="K23" s="377"/>
      <c r="L23" s="377"/>
      <c r="M23" s="377"/>
      <c r="N23" s="377"/>
      <c r="O23" s="377"/>
      <c r="R23" s="186" t="s">
        <v>680</v>
      </c>
      <c r="S23" s="303"/>
      <c r="T23" s="303"/>
      <c r="U23" s="303"/>
      <c r="V23" s="303"/>
      <c r="W23" s="303"/>
      <c r="X23" s="303">
        <v>1.0</v>
      </c>
      <c r="Y23" s="303"/>
      <c r="Z23" s="303"/>
      <c r="AA23" s="303">
        <v>1.0</v>
      </c>
      <c r="AB23" s="303"/>
      <c r="AC23" s="303"/>
      <c r="AD23" s="303"/>
      <c r="AE23" s="303"/>
      <c r="AF23" s="186"/>
      <c r="AH23" s="303" t="str">
        <f>VLOOKUP(AK23,VolumeFile_combined!A:B,2,false)</f>
        <v>#VALUE!</v>
      </c>
      <c r="AI23" s="303" t="str">
        <f>IFERROR(__xludf.DUMMYFUNCTION("SPLIT(A23,""_"")"),"#VALUE!")</f>
        <v>#VALUE!</v>
      </c>
      <c r="AJ23" s="303"/>
      <c r="AK23" s="303" t="str">
        <f t="shared" si="1"/>
        <v>#VALUE!</v>
      </c>
      <c r="AO23" s="380"/>
    </row>
    <row r="24">
      <c r="B24" s="377"/>
      <c r="C24" s="377"/>
      <c r="D24" s="377"/>
      <c r="E24" s="377"/>
      <c r="F24" s="377"/>
      <c r="G24" s="377"/>
      <c r="H24" s="377"/>
      <c r="I24" s="377"/>
      <c r="J24" s="377"/>
      <c r="K24" s="377"/>
      <c r="L24" s="377"/>
      <c r="M24" s="377"/>
      <c r="N24" s="377"/>
      <c r="O24" s="377"/>
      <c r="R24" s="186" t="s">
        <v>681</v>
      </c>
      <c r="S24" s="303"/>
      <c r="T24" s="303"/>
      <c r="U24" s="303">
        <v>1.0</v>
      </c>
      <c r="V24" s="303"/>
      <c r="W24" s="303"/>
      <c r="X24" s="303">
        <v>1.0</v>
      </c>
      <c r="Y24" s="303"/>
      <c r="Z24" s="303"/>
      <c r="AA24" s="303"/>
      <c r="AB24" s="303">
        <v>1.0</v>
      </c>
      <c r="AC24" s="303"/>
      <c r="AD24" s="303"/>
      <c r="AE24" s="303"/>
      <c r="AF24" s="186"/>
      <c r="AH24" s="303" t="str">
        <f>VLOOKUP(AK24,VolumeFile_combined!A:B,2,false)</f>
        <v>#VALUE!</v>
      </c>
      <c r="AI24" s="303" t="str">
        <f>IFERROR(__xludf.DUMMYFUNCTION("SPLIT(A24,""_"")"),"#VALUE!")</f>
        <v>#VALUE!</v>
      </c>
      <c r="AJ24" s="303"/>
      <c r="AK24" s="303" t="str">
        <f t="shared" si="1"/>
        <v>#VALUE!</v>
      </c>
      <c r="AO24" s="380"/>
    </row>
    <row r="25">
      <c r="B25" s="377"/>
      <c r="C25" s="377"/>
      <c r="D25" s="377"/>
      <c r="E25" s="377"/>
      <c r="F25" s="377"/>
      <c r="G25" s="377"/>
      <c r="H25" s="377"/>
      <c r="I25" s="377"/>
      <c r="J25" s="377"/>
      <c r="K25" s="377"/>
      <c r="L25" s="377"/>
      <c r="M25" s="377"/>
      <c r="N25" s="377"/>
      <c r="O25" s="377"/>
      <c r="R25" s="186" t="s">
        <v>682</v>
      </c>
      <c r="S25" s="303"/>
      <c r="T25" s="303"/>
      <c r="U25" s="303"/>
      <c r="V25" s="303"/>
      <c r="W25" s="303"/>
      <c r="X25" s="303"/>
      <c r="Y25" s="303"/>
      <c r="Z25" s="303"/>
      <c r="AA25" s="303"/>
      <c r="AB25" s="303">
        <v>1.0</v>
      </c>
      <c r="AC25" s="303"/>
      <c r="AD25" s="303"/>
      <c r="AE25" s="303"/>
      <c r="AF25" s="186"/>
      <c r="AH25" s="303" t="str">
        <f>VLOOKUP(AK25,VolumeFile_combined!A:B,2,false)</f>
        <v>#VALUE!</v>
      </c>
      <c r="AI25" s="303" t="str">
        <f>IFERROR(__xludf.DUMMYFUNCTION("SPLIT(A25,""_"")"),"#VALUE!")</f>
        <v>#VALUE!</v>
      </c>
      <c r="AJ25" s="303"/>
      <c r="AK25" s="303" t="str">
        <f t="shared" si="1"/>
        <v>#VALUE!</v>
      </c>
      <c r="AO25" s="380"/>
    </row>
    <row r="26">
      <c r="B26" s="377"/>
      <c r="C26" s="377"/>
      <c r="D26" s="377"/>
      <c r="E26" s="377"/>
      <c r="F26" s="377"/>
      <c r="G26" s="377"/>
      <c r="H26" s="377"/>
      <c r="I26" s="377"/>
      <c r="J26" s="377"/>
      <c r="K26" s="377"/>
      <c r="L26" s="377"/>
      <c r="M26" s="377"/>
      <c r="N26" s="377"/>
      <c r="O26" s="377"/>
      <c r="R26" s="186" t="s">
        <v>683</v>
      </c>
      <c r="S26" s="303"/>
      <c r="T26" s="303"/>
      <c r="U26" s="303">
        <v>1.0</v>
      </c>
      <c r="V26" s="303"/>
      <c r="W26" s="303"/>
      <c r="X26" s="303">
        <v>1.0</v>
      </c>
      <c r="Y26" s="303"/>
      <c r="Z26" s="303">
        <v>1.0</v>
      </c>
      <c r="AA26" s="303"/>
      <c r="AB26" s="303"/>
      <c r="AC26" s="303"/>
      <c r="AD26" s="303">
        <v>1.0</v>
      </c>
      <c r="AE26" s="303"/>
      <c r="AF26" s="186"/>
      <c r="AH26" s="303" t="str">
        <f>VLOOKUP(AK26,VolumeFile_combined!A:B,2,false)</f>
        <v>#VALUE!</v>
      </c>
      <c r="AI26" s="303" t="str">
        <f>IFERROR(__xludf.DUMMYFUNCTION("SPLIT(A26,""_"")"),"#VALUE!")</f>
        <v>#VALUE!</v>
      </c>
      <c r="AJ26" s="303"/>
      <c r="AK26" s="303" t="str">
        <f t="shared" si="1"/>
        <v>#VALUE!</v>
      </c>
      <c r="AO26" s="380"/>
    </row>
    <row r="27">
      <c r="B27" s="377"/>
      <c r="C27" s="377"/>
      <c r="D27" s="377"/>
      <c r="E27" s="377"/>
      <c r="F27" s="377"/>
      <c r="G27" s="377"/>
      <c r="H27" s="377"/>
      <c r="I27" s="377"/>
      <c r="J27" s="377"/>
      <c r="K27" s="377"/>
      <c r="L27" s="377"/>
      <c r="M27" s="377"/>
      <c r="N27" s="377"/>
      <c r="O27" s="377"/>
      <c r="R27" s="186" t="s">
        <v>684</v>
      </c>
      <c r="S27" s="303"/>
      <c r="T27" s="303">
        <v>1.0</v>
      </c>
      <c r="U27" s="303">
        <v>1.0</v>
      </c>
      <c r="V27" s="303"/>
      <c r="W27" s="303"/>
      <c r="X27" s="303">
        <v>1.0</v>
      </c>
      <c r="Y27" s="303"/>
      <c r="Z27" s="303">
        <v>1.0</v>
      </c>
      <c r="AA27" s="303"/>
      <c r="AB27" s="303"/>
      <c r="AC27" s="303"/>
      <c r="AD27" s="303"/>
      <c r="AE27" s="303"/>
      <c r="AF27" s="186">
        <v>1.0</v>
      </c>
      <c r="AH27" s="303" t="str">
        <f>VLOOKUP(AK27,VolumeFile_combined!A:B,2,false)</f>
        <v>#VALUE!</v>
      </c>
      <c r="AI27" s="303" t="str">
        <f>IFERROR(__xludf.DUMMYFUNCTION("SPLIT(A27,""_"")"),"#VALUE!")</f>
        <v>#VALUE!</v>
      </c>
      <c r="AJ27" s="303"/>
      <c r="AK27" s="303" t="str">
        <f t="shared" si="1"/>
        <v>#VALUE!</v>
      </c>
      <c r="AO27" s="380"/>
    </row>
    <row r="28">
      <c r="B28" s="377"/>
      <c r="C28" s="377"/>
      <c r="D28" s="377"/>
      <c r="E28" s="377"/>
      <c r="F28" s="377"/>
      <c r="G28" s="377"/>
      <c r="H28" s="377"/>
      <c r="I28" s="377"/>
      <c r="J28" s="377"/>
      <c r="K28" s="377"/>
      <c r="L28" s="377"/>
      <c r="M28" s="377"/>
      <c r="N28" s="377"/>
      <c r="O28" s="377"/>
      <c r="R28" s="186" t="s">
        <v>685</v>
      </c>
      <c r="S28" s="303"/>
      <c r="T28" s="303">
        <v>1.0</v>
      </c>
      <c r="U28" s="303"/>
      <c r="V28" s="303"/>
      <c r="W28" s="303"/>
      <c r="X28" s="303">
        <v>1.0</v>
      </c>
      <c r="Y28" s="303"/>
      <c r="Z28" s="303"/>
      <c r="AA28" s="303">
        <v>1.0</v>
      </c>
      <c r="AB28" s="303"/>
      <c r="AC28" s="303"/>
      <c r="AD28" s="303"/>
      <c r="AE28" s="303"/>
      <c r="AF28" s="186"/>
      <c r="AH28" s="303" t="str">
        <f>VLOOKUP(AK28,VolumeFile_combined!A:B,2,false)</f>
        <v>#VALUE!</v>
      </c>
      <c r="AI28" s="303" t="str">
        <f>IFERROR(__xludf.DUMMYFUNCTION("SPLIT(A28,""_"")"),"#VALUE!")</f>
        <v>#VALUE!</v>
      </c>
      <c r="AJ28" s="303"/>
      <c r="AK28" s="303" t="str">
        <f t="shared" si="1"/>
        <v>#VALUE!</v>
      </c>
      <c r="AO28" s="380"/>
    </row>
    <row r="29">
      <c r="B29" s="377"/>
      <c r="C29" s="377"/>
      <c r="D29" s="377"/>
      <c r="E29" s="377"/>
      <c r="F29" s="377"/>
      <c r="G29" s="377"/>
      <c r="H29" s="377"/>
      <c r="I29" s="377"/>
      <c r="J29" s="377"/>
      <c r="K29" s="377"/>
      <c r="L29" s="377"/>
      <c r="M29" s="377"/>
      <c r="N29" s="377"/>
      <c r="O29" s="377"/>
      <c r="R29" s="186" t="s">
        <v>686</v>
      </c>
      <c r="S29" s="303"/>
      <c r="T29" s="303">
        <v>1.0</v>
      </c>
      <c r="U29" s="303"/>
      <c r="V29" s="303"/>
      <c r="W29" s="303">
        <v>1.0</v>
      </c>
      <c r="X29" s="303"/>
      <c r="Y29" s="303"/>
      <c r="Z29" s="303"/>
      <c r="AA29" s="303"/>
      <c r="AB29" s="303">
        <v>1.0</v>
      </c>
      <c r="AC29" s="303"/>
      <c r="AD29" s="303"/>
      <c r="AE29" s="303"/>
      <c r="AF29" s="186"/>
      <c r="AH29" s="303" t="str">
        <f>VLOOKUP(AK29,VolumeFile_combined!A:B,2,false)</f>
        <v>#VALUE!</v>
      </c>
      <c r="AI29" s="303" t="str">
        <f>IFERROR(__xludf.DUMMYFUNCTION("SPLIT(A29,""_"")"),"#VALUE!")</f>
        <v>#VALUE!</v>
      </c>
      <c r="AJ29" s="303"/>
      <c r="AK29" s="303" t="str">
        <f t="shared" si="1"/>
        <v>#VALUE!</v>
      </c>
      <c r="AO29" s="380"/>
    </row>
    <row r="30">
      <c r="B30" s="377"/>
      <c r="C30" s="377"/>
      <c r="D30" s="377"/>
      <c r="E30" s="377"/>
      <c r="F30" s="377"/>
      <c r="G30" s="377"/>
      <c r="H30" s="377"/>
      <c r="I30" s="377"/>
      <c r="J30" s="377"/>
      <c r="K30" s="377"/>
      <c r="L30" s="377"/>
      <c r="M30" s="377"/>
      <c r="N30" s="377"/>
      <c r="O30" s="377"/>
      <c r="R30" s="186" t="s">
        <v>687</v>
      </c>
      <c r="S30" s="303"/>
      <c r="T30" s="303"/>
      <c r="U30" s="303"/>
      <c r="V30" s="303">
        <v>1.0</v>
      </c>
      <c r="W30" s="303"/>
      <c r="X30" s="303">
        <v>1.0</v>
      </c>
      <c r="Y30" s="303"/>
      <c r="Z30" s="303">
        <v>1.0</v>
      </c>
      <c r="AA30" s="303"/>
      <c r="AB30" s="303">
        <v>1.0</v>
      </c>
      <c r="AC30" s="303"/>
      <c r="AD30" s="303"/>
      <c r="AE30" s="303"/>
      <c r="AF30" s="186"/>
      <c r="AH30" s="303" t="str">
        <f>VLOOKUP(AK30,VolumeFile_combined!A:B,2,false)</f>
        <v>#VALUE!</v>
      </c>
      <c r="AI30" s="303" t="str">
        <f>IFERROR(__xludf.DUMMYFUNCTION("SPLIT(A30,""_"")"),"#VALUE!")</f>
        <v>#VALUE!</v>
      </c>
      <c r="AJ30" s="303"/>
      <c r="AK30" s="303" t="str">
        <f t="shared" si="1"/>
        <v>#VALUE!</v>
      </c>
      <c r="AO30" s="380"/>
    </row>
    <row r="31">
      <c r="B31" s="377"/>
      <c r="C31" s="377"/>
      <c r="D31" s="377"/>
      <c r="E31" s="377"/>
      <c r="F31" s="377"/>
      <c r="G31" s="377"/>
      <c r="H31" s="377"/>
      <c r="I31" s="377"/>
      <c r="J31" s="377"/>
      <c r="K31" s="377"/>
      <c r="L31" s="377"/>
      <c r="M31" s="377"/>
      <c r="N31" s="377"/>
      <c r="O31" s="377"/>
      <c r="R31" s="186" t="s">
        <v>688</v>
      </c>
      <c r="S31" s="303"/>
      <c r="T31" s="303"/>
      <c r="U31" s="303"/>
      <c r="V31" s="303"/>
      <c r="W31" s="303"/>
      <c r="X31" s="303"/>
      <c r="Y31" s="303"/>
      <c r="Z31" s="303"/>
      <c r="AA31" s="303"/>
      <c r="AB31" s="303"/>
      <c r="AC31" s="303">
        <v>1.0</v>
      </c>
      <c r="AD31" s="303"/>
      <c r="AE31" s="303"/>
      <c r="AF31" s="186"/>
      <c r="AH31" s="303" t="str">
        <f>VLOOKUP(AK31,VolumeFile_combined!A:B,2,false)</f>
        <v>#VALUE!</v>
      </c>
      <c r="AI31" s="303" t="str">
        <f>IFERROR(__xludf.DUMMYFUNCTION("SPLIT(A31,""_"")"),"#VALUE!")</f>
        <v>#VALUE!</v>
      </c>
      <c r="AJ31" s="303"/>
      <c r="AK31" s="303" t="str">
        <f t="shared" si="1"/>
        <v>#VALUE!</v>
      </c>
      <c r="AO31" s="380"/>
    </row>
    <row r="32">
      <c r="B32" s="377"/>
      <c r="C32" s="377"/>
      <c r="D32" s="377"/>
      <c r="E32" s="377"/>
      <c r="F32" s="377"/>
      <c r="G32" s="377"/>
      <c r="H32" s="377"/>
      <c r="I32" s="377"/>
      <c r="J32" s="377"/>
      <c r="K32" s="377"/>
      <c r="L32" s="377"/>
      <c r="M32" s="377"/>
      <c r="N32" s="377"/>
      <c r="O32" s="377"/>
      <c r="R32" s="186" t="s">
        <v>689</v>
      </c>
      <c r="S32" s="303"/>
      <c r="T32" s="303"/>
      <c r="U32" s="303"/>
      <c r="V32" s="303"/>
      <c r="W32" s="303"/>
      <c r="X32" s="303"/>
      <c r="Y32" s="303"/>
      <c r="Z32" s="303"/>
      <c r="AA32" s="303"/>
      <c r="AB32" s="303"/>
      <c r="AC32" s="303"/>
      <c r="AD32" s="303">
        <v>1.0</v>
      </c>
      <c r="AE32" s="303"/>
      <c r="AF32" s="186"/>
      <c r="AH32" s="303" t="str">
        <f>VLOOKUP(AK32,VolumeFile_combined!A:B,2,false)</f>
        <v>#VALUE!</v>
      </c>
      <c r="AI32" s="303" t="str">
        <f>IFERROR(__xludf.DUMMYFUNCTION("SPLIT(A32,""_"")"),"#VALUE!")</f>
        <v>#VALUE!</v>
      </c>
      <c r="AJ32" s="303"/>
      <c r="AK32" s="303" t="str">
        <f t="shared" si="1"/>
        <v>#VALUE!</v>
      </c>
      <c r="AO32" s="380"/>
    </row>
    <row r="33">
      <c r="B33" s="377"/>
      <c r="C33" s="377"/>
      <c r="D33" s="377"/>
      <c r="E33" s="377"/>
      <c r="F33" s="377"/>
      <c r="G33" s="377"/>
      <c r="H33" s="377"/>
      <c r="I33" s="377"/>
      <c r="J33" s="377"/>
      <c r="K33" s="377"/>
      <c r="L33" s="377"/>
      <c r="M33" s="377"/>
      <c r="N33" s="377"/>
      <c r="O33" s="377"/>
      <c r="R33" s="186" t="s">
        <v>690</v>
      </c>
      <c r="S33" s="303"/>
      <c r="T33" s="303">
        <v>1.0</v>
      </c>
      <c r="U33" s="303"/>
      <c r="V33" s="303"/>
      <c r="W33" s="303"/>
      <c r="X33" s="303"/>
      <c r="Y33" s="303"/>
      <c r="Z33" s="303"/>
      <c r="AA33" s="303"/>
      <c r="AB33" s="303">
        <v>1.0</v>
      </c>
      <c r="AC33" s="303"/>
      <c r="AD33" s="303"/>
      <c r="AE33" s="303"/>
      <c r="AF33" s="186"/>
      <c r="AH33" s="303" t="str">
        <f>VLOOKUP(AK33,VolumeFile_combined!A:B,2,false)</f>
        <v>#VALUE!</v>
      </c>
      <c r="AI33" s="303" t="str">
        <f>IFERROR(__xludf.DUMMYFUNCTION("SPLIT(A33,""_"")"),"#VALUE!")</f>
        <v>#VALUE!</v>
      </c>
      <c r="AJ33" s="303"/>
      <c r="AK33" s="303" t="str">
        <f t="shared" si="1"/>
        <v>#VALUE!</v>
      </c>
      <c r="AO33" s="380"/>
    </row>
    <row r="34">
      <c r="B34" s="377"/>
      <c r="C34" s="377"/>
      <c r="D34" s="377"/>
      <c r="E34" s="377"/>
      <c r="F34" s="377"/>
      <c r="G34" s="377"/>
      <c r="H34" s="377"/>
      <c r="I34" s="377"/>
      <c r="J34" s="377"/>
      <c r="K34" s="377"/>
      <c r="L34" s="377"/>
      <c r="M34" s="377"/>
      <c r="N34" s="377"/>
      <c r="O34" s="377"/>
      <c r="R34" s="186" t="s">
        <v>691</v>
      </c>
      <c r="S34" s="303">
        <v>1.0</v>
      </c>
      <c r="T34" s="303"/>
      <c r="U34" s="303">
        <v>1.0</v>
      </c>
      <c r="V34" s="303"/>
      <c r="W34" s="303"/>
      <c r="X34" s="303">
        <v>1.0</v>
      </c>
      <c r="Y34" s="303"/>
      <c r="Z34" s="303"/>
      <c r="AA34" s="303"/>
      <c r="AB34" s="303">
        <v>1.0</v>
      </c>
      <c r="AC34" s="303"/>
      <c r="AD34" s="303"/>
      <c r="AE34" s="303"/>
      <c r="AF34" s="186"/>
      <c r="AH34" s="303" t="str">
        <f>VLOOKUP(AK34,VolumeFile_combined!A:B,2,false)</f>
        <v>#VALUE!</v>
      </c>
      <c r="AI34" s="303" t="str">
        <f>IFERROR(__xludf.DUMMYFUNCTION("SPLIT(A34,""_"")"),"#VALUE!")</f>
        <v>#VALUE!</v>
      </c>
      <c r="AJ34" s="303"/>
      <c r="AK34" s="303" t="str">
        <f t="shared" si="1"/>
        <v>#VALUE!</v>
      </c>
      <c r="AO34" s="380"/>
    </row>
    <row r="35">
      <c r="B35" s="377"/>
      <c r="C35" s="377"/>
      <c r="D35" s="377"/>
      <c r="E35" s="377"/>
      <c r="F35" s="377"/>
      <c r="G35" s="377"/>
      <c r="H35" s="377"/>
      <c r="I35" s="377"/>
      <c r="J35" s="377"/>
      <c r="K35" s="377"/>
      <c r="L35" s="377"/>
      <c r="M35" s="377"/>
      <c r="N35" s="377"/>
      <c r="O35" s="377"/>
      <c r="R35" s="186" t="s">
        <v>692</v>
      </c>
      <c r="S35" s="303"/>
      <c r="T35" s="303">
        <v>1.0</v>
      </c>
      <c r="U35" s="303"/>
      <c r="V35" s="303"/>
      <c r="W35" s="303"/>
      <c r="X35" s="303"/>
      <c r="Y35" s="303"/>
      <c r="Z35" s="303"/>
      <c r="AA35" s="303"/>
      <c r="AB35" s="303"/>
      <c r="AC35" s="303"/>
      <c r="AD35" s="303">
        <v>1.0</v>
      </c>
      <c r="AE35" s="303"/>
      <c r="AF35" s="186"/>
      <c r="AH35" s="303" t="str">
        <f>VLOOKUP(AK35,VolumeFile_combined!A:B,2,false)</f>
        <v>#VALUE!</v>
      </c>
      <c r="AI35" s="303" t="str">
        <f>IFERROR(__xludf.DUMMYFUNCTION("SPLIT(A35,""_"")"),"#VALUE!")</f>
        <v>#VALUE!</v>
      </c>
      <c r="AJ35" s="303"/>
      <c r="AK35" s="303" t="str">
        <f t="shared" si="1"/>
        <v>#VALUE!</v>
      </c>
      <c r="AO35" s="380"/>
    </row>
    <row r="36">
      <c r="B36" s="377"/>
      <c r="C36" s="377"/>
      <c r="D36" s="377"/>
      <c r="E36" s="377"/>
      <c r="F36" s="377"/>
      <c r="G36" s="377"/>
      <c r="H36" s="377"/>
      <c r="I36" s="377"/>
      <c r="J36" s="377"/>
      <c r="K36" s="377"/>
      <c r="L36" s="377"/>
      <c r="M36" s="377"/>
      <c r="N36" s="377"/>
      <c r="O36" s="377"/>
      <c r="R36" s="186" t="s">
        <v>693</v>
      </c>
      <c r="S36" s="303"/>
      <c r="T36" s="303"/>
      <c r="U36" s="303"/>
      <c r="V36" s="303">
        <v>1.0</v>
      </c>
      <c r="W36" s="303"/>
      <c r="X36" s="303"/>
      <c r="Y36" s="303"/>
      <c r="Z36" s="303"/>
      <c r="AA36" s="303">
        <v>1.0</v>
      </c>
      <c r="AB36" s="303"/>
      <c r="AC36" s="303"/>
      <c r="AD36" s="303"/>
      <c r="AE36" s="303"/>
      <c r="AF36" s="186"/>
      <c r="AH36" s="303" t="str">
        <f>VLOOKUP(AK36,VolumeFile_combined!A:B,2,false)</f>
        <v>#VALUE!</v>
      </c>
      <c r="AI36" s="303" t="str">
        <f>IFERROR(__xludf.DUMMYFUNCTION("SPLIT(A36,""_"")"),"#VALUE!")</f>
        <v>#VALUE!</v>
      </c>
      <c r="AJ36" s="303"/>
      <c r="AK36" s="303" t="str">
        <f t="shared" si="1"/>
        <v>#VALUE!</v>
      </c>
      <c r="AO36" s="380"/>
    </row>
    <row r="37">
      <c r="B37" s="377"/>
      <c r="C37" s="377"/>
      <c r="D37" s="377"/>
      <c r="E37" s="377"/>
      <c r="F37" s="377"/>
      <c r="G37" s="377"/>
      <c r="H37" s="377"/>
      <c r="I37" s="377"/>
      <c r="J37" s="377"/>
      <c r="K37" s="377"/>
      <c r="L37" s="377"/>
      <c r="M37" s="377"/>
      <c r="N37" s="377"/>
      <c r="O37" s="377"/>
      <c r="R37" s="186" t="s">
        <v>694</v>
      </c>
      <c r="S37" s="303"/>
      <c r="T37" s="303"/>
      <c r="U37" s="303"/>
      <c r="V37" s="303"/>
      <c r="W37" s="303"/>
      <c r="X37" s="303"/>
      <c r="Y37" s="303"/>
      <c r="Z37" s="303"/>
      <c r="AA37" s="303"/>
      <c r="AB37" s="303">
        <v>1.0</v>
      </c>
      <c r="AC37" s="303"/>
      <c r="AD37" s="303"/>
      <c r="AE37" s="303"/>
      <c r="AF37" s="186"/>
      <c r="AH37" s="303" t="str">
        <f>VLOOKUP(AK37,VolumeFile_combined!A:B,2,false)</f>
        <v>#VALUE!</v>
      </c>
      <c r="AI37" s="303" t="str">
        <f>IFERROR(__xludf.DUMMYFUNCTION("SPLIT(A37,""_"")"),"#VALUE!")</f>
        <v>#VALUE!</v>
      </c>
      <c r="AJ37" s="303"/>
      <c r="AK37" s="303" t="str">
        <f t="shared" si="1"/>
        <v>#VALUE!</v>
      </c>
      <c r="AO37" s="380"/>
    </row>
    <row r="38">
      <c r="B38" s="377"/>
      <c r="C38" s="377"/>
      <c r="D38" s="377"/>
      <c r="E38" s="377"/>
      <c r="F38" s="377"/>
      <c r="G38" s="377"/>
      <c r="H38" s="377"/>
      <c r="I38" s="377"/>
      <c r="J38" s="377"/>
      <c r="K38" s="377"/>
      <c r="L38" s="377"/>
      <c r="M38" s="377"/>
      <c r="N38" s="377"/>
      <c r="O38" s="377"/>
      <c r="R38" s="186" t="s">
        <v>695</v>
      </c>
      <c r="S38" s="303"/>
      <c r="T38" s="303"/>
      <c r="U38" s="303"/>
      <c r="V38" s="303"/>
      <c r="W38" s="303"/>
      <c r="X38" s="303">
        <v>1.0</v>
      </c>
      <c r="Y38" s="303">
        <v>1.0</v>
      </c>
      <c r="Z38" s="303"/>
      <c r="AA38" s="303"/>
      <c r="AB38" s="303"/>
      <c r="AC38" s="303"/>
      <c r="AD38" s="303"/>
      <c r="AE38" s="303">
        <v>1.0</v>
      </c>
      <c r="AF38" s="186"/>
      <c r="AH38" s="303" t="str">
        <f>VLOOKUP(AK38,VolumeFile_combined!A:B,2,false)</f>
        <v>#VALUE!</v>
      </c>
      <c r="AI38" s="303" t="str">
        <f>IFERROR(__xludf.DUMMYFUNCTION("SPLIT(A38,""_"")"),"#VALUE!")</f>
        <v>#VALUE!</v>
      </c>
      <c r="AJ38" s="303"/>
      <c r="AK38" s="303" t="str">
        <f t="shared" si="1"/>
        <v>#VALUE!</v>
      </c>
      <c r="AO38" s="380"/>
    </row>
    <row r="39">
      <c r="B39" s="377"/>
      <c r="C39" s="377"/>
      <c r="D39" s="377"/>
      <c r="E39" s="377"/>
      <c r="F39" s="377"/>
      <c r="G39" s="377"/>
      <c r="H39" s="377"/>
      <c r="I39" s="377"/>
      <c r="J39" s="377"/>
      <c r="K39" s="377"/>
      <c r="L39" s="377"/>
      <c r="M39" s="377"/>
      <c r="N39" s="377"/>
      <c r="O39" s="377"/>
      <c r="R39" s="186" t="s">
        <v>696</v>
      </c>
      <c r="S39" s="303"/>
      <c r="T39" s="303"/>
      <c r="U39" s="303"/>
      <c r="V39" s="303">
        <v>1.0</v>
      </c>
      <c r="W39" s="303"/>
      <c r="X39" s="303">
        <v>1.0</v>
      </c>
      <c r="Y39" s="303"/>
      <c r="Z39" s="303"/>
      <c r="AA39" s="303"/>
      <c r="AB39" s="303"/>
      <c r="AC39" s="303"/>
      <c r="AD39" s="303"/>
      <c r="AE39" s="303">
        <v>1.0</v>
      </c>
      <c r="AF39" s="186"/>
      <c r="AH39" s="303" t="str">
        <f>VLOOKUP(AK39,VolumeFile_combined!A:B,2,false)</f>
        <v>#VALUE!</v>
      </c>
      <c r="AI39" s="303" t="str">
        <f>IFERROR(__xludf.DUMMYFUNCTION("SPLIT(A39,""_"")"),"#VALUE!")</f>
        <v>#VALUE!</v>
      </c>
      <c r="AJ39" s="303"/>
      <c r="AK39" s="303" t="str">
        <f t="shared" si="1"/>
        <v>#VALUE!</v>
      </c>
      <c r="AO39" s="380"/>
    </row>
    <row r="40">
      <c r="B40" s="377"/>
      <c r="C40" s="377"/>
      <c r="D40" s="377"/>
      <c r="E40" s="377"/>
      <c r="F40" s="377"/>
      <c r="G40" s="377"/>
      <c r="H40" s="377"/>
      <c r="I40" s="377"/>
      <c r="J40" s="377"/>
      <c r="K40" s="377"/>
      <c r="L40" s="377"/>
      <c r="M40" s="377"/>
      <c r="N40" s="377"/>
      <c r="O40" s="377"/>
      <c r="R40" s="186" t="s">
        <v>697</v>
      </c>
      <c r="S40" s="303"/>
      <c r="T40" s="303"/>
      <c r="U40" s="303"/>
      <c r="V40" s="303">
        <v>1.0</v>
      </c>
      <c r="W40" s="303"/>
      <c r="X40" s="303"/>
      <c r="Y40" s="303">
        <v>1.0</v>
      </c>
      <c r="Z40" s="303"/>
      <c r="AA40" s="303"/>
      <c r="AB40" s="303"/>
      <c r="AC40" s="303"/>
      <c r="AD40" s="303"/>
      <c r="AE40" s="303"/>
      <c r="AF40" s="186">
        <v>1.0</v>
      </c>
      <c r="AH40" s="303" t="str">
        <f>VLOOKUP(AK40,VolumeFile_combined!A:B,2,false)</f>
        <v>#VALUE!</v>
      </c>
      <c r="AI40" s="303" t="str">
        <f>IFERROR(__xludf.DUMMYFUNCTION("SPLIT(A40,""_"")"),"#VALUE!")</f>
        <v>#VALUE!</v>
      </c>
      <c r="AJ40" s="303"/>
      <c r="AK40" s="303" t="str">
        <f t="shared" si="1"/>
        <v>#VALUE!</v>
      </c>
      <c r="AO40" s="380"/>
    </row>
    <row r="41">
      <c r="B41" s="377"/>
      <c r="C41" s="377"/>
      <c r="D41" s="377"/>
      <c r="E41" s="377"/>
      <c r="F41" s="377"/>
      <c r="G41" s="377"/>
      <c r="H41" s="377"/>
      <c r="I41" s="377"/>
      <c r="J41" s="377"/>
      <c r="K41" s="377"/>
      <c r="L41" s="377"/>
      <c r="M41" s="377"/>
      <c r="N41" s="377"/>
      <c r="O41" s="377"/>
      <c r="R41" s="186" t="s">
        <v>698</v>
      </c>
      <c r="S41" s="303"/>
      <c r="T41" s="303"/>
      <c r="U41" s="303"/>
      <c r="V41" s="303"/>
      <c r="W41" s="303"/>
      <c r="X41" s="303"/>
      <c r="Y41" s="303"/>
      <c r="Z41" s="303"/>
      <c r="AA41" s="303"/>
      <c r="AB41" s="303"/>
      <c r="AC41" s="303">
        <v>1.0</v>
      </c>
      <c r="AD41" s="303"/>
      <c r="AE41" s="303"/>
      <c r="AF41" s="186"/>
      <c r="AH41" s="303" t="str">
        <f>VLOOKUP(AK41,VolumeFile_combined!A:B,2,false)</f>
        <v>#VALUE!</v>
      </c>
      <c r="AI41" s="303" t="str">
        <f>IFERROR(__xludf.DUMMYFUNCTION("SPLIT(A41,""_"")"),"#VALUE!")</f>
        <v>#VALUE!</v>
      </c>
      <c r="AJ41" s="303"/>
      <c r="AK41" s="303" t="str">
        <f t="shared" si="1"/>
        <v>#VALUE!</v>
      </c>
      <c r="AO41" s="380"/>
    </row>
    <row r="42">
      <c r="B42" s="377"/>
      <c r="C42" s="377"/>
      <c r="D42" s="377"/>
      <c r="E42" s="377"/>
      <c r="F42" s="377"/>
      <c r="G42" s="377"/>
      <c r="H42" s="377"/>
      <c r="I42" s="377"/>
      <c r="J42" s="377"/>
      <c r="K42" s="377"/>
      <c r="L42" s="377"/>
      <c r="M42" s="377"/>
      <c r="N42" s="377"/>
      <c r="O42" s="377"/>
      <c r="R42" s="186" t="s">
        <v>699</v>
      </c>
      <c r="S42" s="303"/>
      <c r="T42" s="303"/>
      <c r="U42" s="303">
        <v>1.0</v>
      </c>
      <c r="V42" s="303"/>
      <c r="W42" s="303">
        <v>1.0</v>
      </c>
      <c r="X42" s="303">
        <v>1.0</v>
      </c>
      <c r="Y42" s="303"/>
      <c r="Z42" s="303"/>
      <c r="AA42" s="303"/>
      <c r="AB42" s="303"/>
      <c r="AC42" s="303"/>
      <c r="AD42" s="303">
        <v>1.0</v>
      </c>
      <c r="AE42" s="303"/>
      <c r="AF42" s="186"/>
      <c r="AH42" s="303" t="str">
        <f>VLOOKUP(AK42,VolumeFile_combined!A:B,2,false)</f>
        <v>#VALUE!</v>
      </c>
      <c r="AI42" s="303" t="str">
        <f>IFERROR(__xludf.DUMMYFUNCTION("SPLIT(A42,""_"")"),"#VALUE!")</f>
        <v>#VALUE!</v>
      </c>
      <c r="AJ42" s="303"/>
      <c r="AK42" s="303" t="str">
        <f t="shared" si="1"/>
        <v>#VALUE!</v>
      </c>
      <c r="AO42" s="380"/>
    </row>
    <row r="43">
      <c r="B43" s="377"/>
      <c r="C43" s="377"/>
      <c r="D43" s="377"/>
      <c r="E43" s="377"/>
      <c r="F43" s="377"/>
      <c r="G43" s="377"/>
      <c r="H43" s="377"/>
      <c r="I43" s="377"/>
      <c r="J43" s="377"/>
      <c r="K43" s="377"/>
      <c r="L43" s="377"/>
      <c r="M43" s="377"/>
      <c r="N43" s="377"/>
      <c r="O43" s="377"/>
      <c r="R43" s="186" t="s">
        <v>700</v>
      </c>
      <c r="S43" s="303"/>
      <c r="T43" s="303"/>
      <c r="U43" s="303">
        <v>1.0</v>
      </c>
      <c r="V43" s="303"/>
      <c r="W43" s="303"/>
      <c r="X43" s="303"/>
      <c r="Y43" s="303"/>
      <c r="Z43" s="303"/>
      <c r="AA43" s="303"/>
      <c r="AB43" s="303"/>
      <c r="AC43" s="303"/>
      <c r="AD43" s="303"/>
      <c r="AE43" s="303">
        <v>1.0</v>
      </c>
      <c r="AF43" s="186"/>
      <c r="AH43" s="303" t="str">
        <f>VLOOKUP(AK43,VolumeFile_combined!A:B,2,false)</f>
        <v>#VALUE!</v>
      </c>
      <c r="AI43" s="303" t="str">
        <f>IFERROR(__xludf.DUMMYFUNCTION("SPLIT(A43,""_"")"),"#VALUE!")</f>
        <v>#VALUE!</v>
      </c>
      <c r="AJ43" s="303"/>
      <c r="AK43" s="303" t="str">
        <f t="shared" si="1"/>
        <v>#VALUE!</v>
      </c>
      <c r="AO43" s="380"/>
    </row>
    <row r="44">
      <c r="B44" s="377"/>
      <c r="C44" s="377"/>
      <c r="D44" s="377"/>
      <c r="E44" s="377"/>
      <c r="F44" s="377"/>
      <c r="G44" s="377"/>
      <c r="H44" s="377"/>
      <c r="I44" s="377"/>
      <c r="J44" s="377"/>
      <c r="K44" s="377"/>
      <c r="L44" s="377"/>
      <c r="M44" s="377"/>
      <c r="N44" s="377"/>
      <c r="O44" s="377"/>
      <c r="R44" s="186" t="s">
        <v>701</v>
      </c>
      <c r="S44" s="303"/>
      <c r="T44" s="303">
        <v>1.0</v>
      </c>
      <c r="U44" s="303"/>
      <c r="V44" s="303"/>
      <c r="W44" s="303"/>
      <c r="X44" s="303">
        <v>1.0</v>
      </c>
      <c r="Y44" s="303"/>
      <c r="Z44" s="303"/>
      <c r="AA44" s="303"/>
      <c r="AB44" s="303">
        <v>1.0</v>
      </c>
      <c r="AC44" s="303"/>
      <c r="AD44" s="303"/>
      <c r="AE44" s="303"/>
      <c r="AF44" s="186"/>
      <c r="AH44" s="303" t="str">
        <f>VLOOKUP(AK44,VolumeFile_combined!A:B,2,false)</f>
        <v>#VALUE!</v>
      </c>
      <c r="AI44" s="303" t="str">
        <f>IFERROR(__xludf.DUMMYFUNCTION("SPLIT(A44,""_"")"),"#VALUE!")</f>
        <v>#VALUE!</v>
      </c>
      <c r="AK44" s="303" t="str">
        <f t="shared" si="1"/>
        <v>#VALUE!</v>
      </c>
    </row>
    <row r="45">
      <c r="B45" s="377"/>
      <c r="C45" s="377"/>
      <c r="D45" s="377"/>
      <c r="E45" s="377"/>
      <c r="F45" s="377"/>
      <c r="G45" s="377"/>
      <c r="H45" s="377"/>
      <c r="I45" s="377"/>
      <c r="J45" s="377"/>
      <c r="K45" s="377"/>
      <c r="L45" s="377"/>
      <c r="M45" s="377"/>
      <c r="N45" s="377"/>
      <c r="O45" s="377"/>
      <c r="R45" s="186" t="s">
        <v>702</v>
      </c>
      <c r="S45" s="303"/>
      <c r="T45" s="303"/>
      <c r="U45" s="303"/>
      <c r="V45" s="303"/>
      <c r="W45" s="303"/>
      <c r="X45" s="303"/>
      <c r="Y45" s="303"/>
      <c r="Z45" s="303"/>
      <c r="AA45" s="303"/>
      <c r="AB45" s="303"/>
      <c r="AC45" s="303">
        <v>1.0</v>
      </c>
      <c r="AD45" s="303"/>
      <c r="AE45" s="303"/>
      <c r="AF45" s="186"/>
      <c r="AH45" s="303" t="str">
        <f>VLOOKUP(AK45,VolumeFile_combined!A:B,2,false)</f>
        <v>#VALUE!</v>
      </c>
      <c r="AI45" s="303" t="str">
        <f>IFERROR(__xludf.DUMMYFUNCTION("SPLIT(A45,""_"")"),"#VALUE!")</f>
        <v>#VALUE!</v>
      </c>
      <c r="AK45" s="303" t="str">
        <f t="shared" si="1"/>
        <v>#VALUE!</v>
      </c>
    </row>
    <row r="46">
      <c r="B46" s="377"/>
      <c r="C46" s="377"/>
      <c r="D46" s="377"/>
      <c r="E46" s="377"/>
      <c r="F46" s="377"/>
      <c r="G46" s="377"/>
      <c r="H46" s="377"/>
      <c r="I46" s="377"/>
      <c r="J46" s="377"/>
      <c r="K46" s="377"/>
      <c r="L46" s="377"/>
      <c r="M46" s="377"/>
      <c r="N46" s="377"/>
      <c r="O46" s="377"/>
      <c r="R46" s="186" t="s">
        <v>703</v>
      </c>
      <c r="S46" s="186"/>
      <c r="T46" s="186"/>
      <c r="U46" s="186"/>
      <c r="V46" s="186"/>
      <c r="W46" s="186"/>
      <c r="X46" s="186"/>
      <c r="Y46" s="186"/>
      <c r="Z46" s="186"/>
      <c r="AA46" s="186"/>
      <c r="AB46" s="186"/>
      <c r="AC46" s="186">
        <v>1.0</v>
      </c>
      <c r="AD46" s="186"/>
      <c r="AE46" s="186"/>
      <c r="AF46" s="186"/>
      <c r="AH46" s="303"/>
      <c r="AI46" s="303"/>
      <c r="AK46" s="303"/>
    </row>
    <row r="47">
      <c r="B47" s="377"/>
      <c r="C47" s="377"/>
      <c r="D47" s="377"/>
      <c r="E47" s="377"/>
      <c r="F47" s="377"/>
      <c r="G47" s="377"/>
      <c r="H47" s="377"/>
      <c r="I47" s="377"/>
      <c r="J47" s="377"/>
      <c r="K47" s="377"/>
      <c r="L47" s="377"/>
      <c r="M47" s="377"/>
      <c r="N47" s="377"/>
      <c r="O47" s="377"/>
      <c r="R47" s="186" t="s">
        <v>704</v>
      </c>
      <c r="S47" s="186"/>
      <c r="T47" s="186"/>
      <c r="U47" s="186"/>
      <c r="V47" s="186"/>
      <c r="W47" s="186"/>
      <c r="X47" s="186"/>
      <c r="Y47" s="186"/>
      <c r="Z47" s="186"/>
      <c r="AA47" s="186"/>
      <c r="AB47" s="186"/>
      <c r="AC47" s="186">
        <v>1.0</v>
      </c>
      <c r="AD47" s="186"/>
      <c r="AE47" s="186"/>
      <c r="AF47" s="186"/>
      <c r="AH47" s="303"/>
      <c r="AI47" s="303"/>
      <c r="AK47" s="303"/>
    </row>
    <row r="48">
      <c r="B48" s="377"/>
      <c r="C48" s="377"/>
      <c r="D48" s="377"/>
      <c r="E48" s="377"/>
      <c r="F48" s="377"/>
      <c r="G48" s="377"/>
      <c r="H48" s="377"/>
      <c r="I48" s="377"/>
      <c r="J48" s="377"/>
      <c r="K48" s="377"/>
      <c r="L48" s="377"/>
      <c r="M48" s="377"/>
      <c r="N48" s="377"/>
      <c r="O48" s="377"/>
      <c r="R48" s="186" t="s">
        <v>705</v>
      </c>
      <c r="S48" s="186"/>
      <c r="T48" s="186"/>
      <c r="U48" s="186"/>
      <c r="V48" s="186"/>
      <c r="W48" s="186"/>
      <c r="X48" s="186"/>
      <c r="Y48" s="186"/>
      <c r="Z48" s="186"/>
      <c r="AA48" s="186"/>
      <c r="AB48" s="186"/>
      <c r="AC48" s="186"/>
      <c r="AD48" s="186"/>
      <c r="AE48" s="186"/>
      <c r="AF48" s="186">
        <v>1.0</v>
      </c>
    </row>
    <row r="49">
      <c r="B49" s="377"/>
      <c r="C49" s="377"/>
      <c r="D49" s="377"/>
      <c r="E49" s="377"/>
      <c r="F49" s="377"/>
      <c r="G49" s="377"/>
      <c r="H49" s="377"/>
      <c r="I49" s="377"/>
      <c r="J49" s="377"/>
      <c r="K49" s="377"/>
      <c r="L49" s="377"/>
      <c r="M49" s="377"/>
      <c r="N49" s="377"/>
      <c r="O49" s="377"/>
      <c r="R49" s="186" t="s">
        <v>706</v>
      </c>
      <c r="S49" s="186"/>
      <c r="T49" s="186"/>
      <c r="U49" s="186"/>
      <c r="V49" s="186"/>
      <c r="W49" s="186"/>
      <c r="X49" s="186"/>
      <c r="Y49" s="186">
        <v>1.0</v>
      </c>
      <c r="Z49" s="186"/>
      <c r="AA49" s="186"/>
      <c r="AB49" s="186"/>
      <c r="AC49" s="186"/>
      <c r="AD49" s="186"/>
      <c r="AE49" s="186"/>
      <c r="AF49" s="186">
        <v>1.0</v>
      </c>
    </row>
    <row r="50">
      <c r="B50" s="377"/>
      <c r="C50" s="377"/>
      <c r="D50" s="377"/>
      <c r="E50" s="377"/>
      <c r="F50" s="377"/>
      <c r="G50" s="377"/>
      <c r="H50" s="377"/>
      <c r="I50" s="377"/>
      <c r="J50" s="377"/>
      <c r="K50" s="377"/>
      <c r="L50" s="377"/>
      <c r="M50" s="377"/>
      <c r="N50" s="377"/>
      <c r="O50" s="377"/>
      <c r="R50" s="186" t="s">
        <v>707</v>
      </c>
      <c r="S50" s="186"/>
      <c r="T50" s="186"/>
      <c r="U50" s="186"/>
      <c r="V50" s="186"/>
      <c r="W50" s="186"/>
      <c r="X50" s="186"/>
      <c r="Y50" s="186"/>
      <c r="Z50" s="186"/>
      <c r="AA50" s="186">
        <v>1.0</v>
      </c>
      <c r="AB50" s="186"/>
      <c r="AC50" s="186"/>
      <c r="AD50" s="186"/>
      <c r="AE50" s="186"/>
      <c r="AF50" s="186"/>
    </row>
    <row r="51">
      <c r="B51" s="377"/>
      <c r="C51" s="377"/>
      <c r="D51" s="377"/>
      <c r="E51" s="377"/>
      <c r="F51" s="377"/>
      <c r="G51" s="377"/>
      <c r="H51" s="377"/>
      <c r="I51" s="377"/>
      <c r="J51" s="377"/>
      <c r="K51" s="377"/>
      <c r="L51" s="377"/>
      <c r="M51" s="377"/>
      <c r="N51" s="377"/>
      <c r="O51" s="377"/>
    </row>
    <row r="52">
      <c r="B52" s="377"/>
      <c r="C52" s="377"/>
      <c r="D52" s="377"/>
      <c r="E52" s="377"/>
      <c r="F52" s="377"/>
      <c r="G52" s="377"/>
      <c r="H52" s="377"/>
      <c r="I52" s="377"/>
      <c r="J52" s="377"/>
      <c r="K52" s="377"/>
      <c r="L52" s="377"/>
      <c r="M52" s="377"/>
      <c r="N52" s="377"/>
      <c r="O52" s="377"/>
    </row>
    <row r="53">
      <c r="B53" s="377"/>
      <c r="C53" s="377"/>
      <c r="D53" s="377"/>
      <c r="E53" s="377"/>
      <c r="F53" s="377"/>
      <c r="G53" s="377"/>
      <c r="H53" s="377"/>
      <c r="I53" s="377"/>
      <c r="J53" s="377"/>
      <c r="K53" s="377"/>
      <c r="L53" s="377"/>
      <c r="M53" s="377"/>
      <c r="N53" s="377"/>
      <c r="O53" s="377"/>
    </row>
    <row r="54">
      <c r="B54" s="377"/>
      <c r="C54" s="377"/>
      <c r="D54" s="377"/>
      <c r="E54" s="377"/>
      <c r="F54" s="377"/>
      <c r="G54" s="377"/>
      <c r="H54" s="377"/>
      <c r="I54" s="377"/>
      <c r="J54" s="377"/>
      <c r="K54" s="377"/>
      <c r="L54" s="377"/>
      <c r="M54" s="377"/>
      <c r="N54" s="377"/>
      <c r="O54" s="377"/>
    </row>
    <row r="55">
      <c r="B55" s="377"/>
      <c r="C55" s="377"/>
      <c r="D55" s="377"/>
      <c r="E55" s="377"/>
      <c r="F55" s="377"/>
      <c r="G55" s="377"/>
      <c r="H55" s="377"/>
      <c r="I55" s="377"/>
      <c r="J55" s="377"/>
      <c r="K55" s="377"/>
      <c r="L55" s="377"/>
      <c r="M55" s="377"/>
      <c r="N55" s="377"/>
      <c r="O55" s="377"/>
    </row>
    <row r="56">
      <c r="B56" s="377"/>
      <c r="C56" s="377"/>
      <c r="D56" s="377"/>
      <c r="E56" s="377"/>
      <c r="F56" s="377"/>
      <c r="G56" s="377"/>
      <c r="H56" s="377"/>
      <c r="I56" s="377"/>
      <c r="J56" s="377"/>
      <c r="K56" s="377"/>
      <c r="L56" s="377"/>
      <c r="M56" s="377"/>
      <c r="N56" s="377"/>
      <c r="O56" s="377"/>
    </row>
    <row r="57">
      <c r="B57" s="377"/>
      <c r="C57" s="377"/>
      <c r="D57" s="377"/>
      <c r="E57" s="377"/>
      <c r="F57" s="377"/>
      <c r="G57" s="377"/>
      <c r="H57" s="377"/>
      <c r="I57" s="377"/>
      <c r="J57" s="377"/>
      <c r="K57" s="377"/>
      <c r="L57" s="377"/>
      <c r="M57" s="377"/>
      <c r="N57" s="377"/>
      <c r="O57" s="377"/>
    </row>
    <row r="58">
      <c r="B58" s="377"/>
      <c r="C58" s="377"/>
      <c r="D58" s="377"/>
      <c r="E58" s="377"/>
      <c r="F58" s="377"/>
      <c r="G58" s="377"/>
      <c r="H58" s="377"/>
      <c r="I58" s="377"/>
      <c r="J58" s="377"/>
      <c r="K58" s="377"/>
      <c r="L58" s="377"/>
      <c r="M58" s="377"/>
      <c r="N58" s="377"/>
      <c r="O58" s="377"/>
    </row>
    <row r="59">
      <c r="B59" s="377"/>
      <c r="C59" s="377"/>
      <c r="D59" s="377"/>
      <c r="E59" s="377"/>
      <c r="F59" s="377"/>
      <c r="G59" s="377"/>
      <c r="H59" s="377"/>
      <c r="I59" s="377"/>
      <c r="J59" s="377"/>
      <c r="K59" s="377"/>
      <c r="L59" s="377"/>
      <c r="M59" s="377"/>
      <c r="N59" s="377"/>
      <c r="O59" s="377"/>
    </row>
    <row r="60">
      <c r="B60" s="377"/>
      <c r="C60" s="377"/>
      <c r="D60" s="377"/>
      <c r="E60" s="377"/>
      <c r="F60" s="377"/>
      <c r="G60" s="377"/>
      <c r="H60" s="377"/>
      <c r="I60" s="377"/>
      <c r="J60" s="377"/>
      <c r="K60" s="377"/>
      <c r="L60" s="377"/>
      <c r="M60" s="377"/>
      <c r="N60" s="377"/>
      <c r="O60" s="377"/>
    </row>
    <row r="61">
      <c r="B61" s="377"/>
      <c r="C61" s="377"/>
      <c r="D61" s="377"/>
      <c r="E61" s="377"/>
      <c r="F61" s="377"/>
      <c r="G61" s="377"/>
      <c r="H61" s="377"/>
      <c r="I61" s="377"/>
      <c r="J61" s="377"/>
      <c r="K61" s="377"/>
      <c r="L61" s="377"/>
      <c r="M61" s="377"/>
      <c r="N61" s="377"/>
      <c r="O61" s="377"/>
    </row>
    <row r="62">
      <c r="B62" s="377"/>
      <c r="C62" s="377"/>
      <c r="D62" s="377"/>
      <c r="E62" s="377"/>
      <c r="F62" s="377"/>
      <c r="G62" s="377"/>
      <c r="H62" s="377"/>
      <c r="I62" s="377"/>
      <c r="J62" s="377"/>
      <c r="K62" s="377"/>
      <c r="L62" s="377"/>
      <c r="M62" s="377"/>
      <c r="N62" s="377"/>
      <c r="O62" s="377"/>
    </row>
    <row r="63">
      <c r="B63" s="377"/>
      <c r="C63" s="377"/>
      <c r="D63" s="377"/>
      <c r="E63" s="377"/>
      <c r="F63" s="377"/>
      <c r="G63" s="377"/>
      <c r="H63" s="377"/>
      <c r="I63" s="377"/>
      <c r="J63" s="377"/>
      <c r="K63" s="377"/>
      <c r="L63" s="377"/>
      <c r="M63" s="377"/>
      <c r="N63" s="377"/>
      <c r="O63" s="377"/>
    </row>
    <row r="64">
      <c r="B64" s="377"/>
      <c r="C64" s="377"/>
      <c r="D64" s="377"/>
      <c r="E64" s="377"/>
      <c r="F64" s="377"/>
      <c r="G64" s="377"/>
      <c r="H64" s="377"/>
      <c r="I64" s="377"/>
      <c r="J64" s="377"/>
      <c r="K64" s="377"/>
      <c r="L64" s="377"/>
      <c r="M64" s="377"/>
      <c r="N64" s="377"/>
      <c r="O64" s="377"/>
    </row>
    <row r="65">
      <c r="B65" s="377"/>
      <c r="C65" s="377"/>
      <c r="D65" s="377"/>
      <c r="E65" s="377"/>
      <c r="F65" s="377"/>
      <c r="G65" s="377"/>
      <c r="H65" s="377"/>
      <c r="I65" s="377"/>
      <c r="J65" s="377"/>
      <c r="K65" s="377"/>
      <c r="L65" s="377"/>
      <c r="M65" s="377"/>
      <c r="N65" s="377"/>
      <c r="O65" s="377"/>
    </row>
    <row r="66">
      <c r="B66" s="377"/>
      <c r="C66" s="377"/>
      <c r="D66" s="377"/>
      <c r="E66" s="377"/>
      <c r="F66" s="377"/>
      <c r="G66" s="377"/>
      <c r="H66" s="377"/>
      <c r="I66" s="377"/>
      <c r="J66" s="377"/>
      <c r="K66" s="377"/>
      <c r="L66" s="377"/>
      <c r="M66" s="377"/>
      <c r="N66" s="377"/>
      <c r="O66" s="377"/>
    </row>
    <row r="67">
      <c r="B67" s="377"/>
      <c r="C67" s="377"/>
      <c r="D67" s="377"/>
      <c r="E67" s="377"/>
      <c r="F67" s="377"/>
      <c r="G67" s="377"/>
      <c r="H67" s="377"/>
      <c r="I67" s="377"/>
      <c r="J67" s="377"/>
      <c r="K67" s="377"/>
      <c r="L67" s="377"/>
      <c r="M67" s="377"/>
      <c r="N67" s="377"/>
      <c r="O67" s="377"/>
    </row>
    <row r="68">
      <c r="B68" s="377"/>
      <c r="C68" s="377"/>
      <c r="D68" s="377"/>
      <c r="E68" s="377"/>
      <c r="F68" s="377"/>
      <c r="G68" s="377"/>
      <c r="H68" s="377"/>
      <c r="I68" s="377"/>
      <c r="J68" s="377"/>
      <c r="K68" s="377"/>
      <c r="L68" s="377"/>
      <c r="M68" s="377"/>
      <c r="N68" s="377"/>
      <c r="O68" s="377"/>
    </row>
    <row r="69">
      <c r="B69" s="377"/>
      <c r="C69" s="377"/>
      <c r="D69" s="377"/>
      <c r="E69" s="377"/>
      <c r="F69" s="377"/>
      <c r="G69" s="377"/>
      <c r="H69" s="377"/>
      <c r="I69" s="377"/>
      <c r="J69" s="377"/>
      <c r="K69" s="377"/>
      <c r="L69" s="377"/>
      <c r="M69" s="377"/>
      <c r="N69" s="377"/>
      <c r="O69" s="377"/>
    </row>
    <row r="70">
      <c r="B70" s="377"/>
      <c r="C70" s="377"/>
      <c r="D70" s="377"/>
      <c r="E70" s="377"/>
      <c r="F70" s="377"/>
      <c r="G70" s="377"/>
      <c r="H70" s="377"/>
      <c r="I70" s="377"/>
      <c r="J70" s="377"/>
      <c r="K70" s="377"/>
      <c r="L70" s="377"/>
      <c r="M70" s="377"/>
      <c r="N70" s="377"/>
      <c r="O70" s="377"/>
    </row>
    <row r="71">
      <c r="B71" s="377"/>
      <c r="C71" s="377"/>
      <c r="D71" s="377"/>
      <c r="E71" s="377"/>
      <c r="F71" s="377"/>
      <c r="G71" s="377"/>
      <c r="H71" s="377"/>
      <c r="I71" s="377"/>
      <c r="J71" s="377"/>
      <c r="K71" s="377"/>
      <c r="L71" s="377"/>
      <c r="M71" s="377"/>
      <c r="N71" s="377"/>
      <c r="O71" s="377"/>
    </row>
    <row r="72">
      <c r="B72" s="377"/>
      <c r="C72" s="377"/>
      <c r="D72" s="377"/>
      <c r="E72" s="377"/>
      <c r="F72" s="377"/>
      <c r="G72" s="377"/>
      <c r="H72" s="377"/>
      <c r="I72" s="377"/>
      <c r="J72" s="377"/>
      <c r="K72" s="377"/>
      <c r="L72" s="377"/>
      <c r="M72" s="377"/>
      <c r="N72" s="377"/>
      <c r="O72" s="377"/>
    </row>
    <row r="73">
      <c r="B73" s="377"/>
      <c r="C73" s="377"/>
      <c r="D73" s="377"/>
      <c r="E73" s="377"/>
      <c r="F73" s="377"/>
      <c r="G73" s="377"/>
      <c r="H73" s="377"/>
      <c r="I73" s="377"/>
      <c r="J73" s="377"/>
      <c r="K73" s="377"/>
      <c r="L73" s="377"/>
      <c r="M73" s="377"/>
      <c r="N73" s="377"/>
      <c r="O73" s="377"/>
    </row>
    <row r="74">
      <c r="B74" s="377"/>
      <c r="C74" s="377"/>
      <c r="D74" s="377"/>
      <c r="E74" s="377"/>
      <c r="F74" s="377"/>
      <c r="G74" s="377"/>
      <c r="H74" s="377"/>
      <c r="I74" s="377"/>
      <c r="J74" s="377"/>
      <c r="K74" s="377"/>
      <c r="L74" s="377"/>
      <c r="M74" s="377"/>
      <c r="N74" s="377"/>
      <c r="O74" s="377"/>
    </row>
    <row r="75">
      <c r="B75" s="377"/>
      <c r="C75" s="377"/>
      <c r="D75" s="377"/>
      <c r="E75" s="377"/>
      <c r="F75" s="377"/>
      <c r="G75" s="377"/>
      <c r="H75" s="377"/>
      <c r="I75" s="377"/>
      <c r="J75" s="377"/>
      <c r="K75" s="377"/>
      <c r="L75" s="377"/>
      <c r="M75" s="377"/>
      <c r="N75" s="377"/>
      <c r="O75" s="377"/>
    </row>
    <row r="76">
      <c r="B76" s="377"/>
      <c r="C76" s="377"/>
      <c r="D76" s="377"/>
      <c r="E76" s="377"/>
      <c r="F76" s="377"/>
      <c r="G76" s="377"/>
      <c r="H76" s="377"/>
      <c r="I76" s="377"/>
      <c r="J76" s="377"/>
      <c r="K76" s="377"/>
      <c r="L76" s="377"/>
      <c r="M76" s="377"/>
      <c r="N76" s="377"/>
      <c r="O76" s="377"/>
    </row>
    <row r="77">
      <c r="B77" s="377"/>
      <c r="C77" s="377"/>
      <c r="D77" s="377"/>
      <c r="E77" s="377"/>
      <c r="F77" s="377"/>
      <c r="G77" s="377"/>
      <c r="H77" s="377"/>
      <c r="I77" s="377"/>
      <c r="J77" s="377"/>
      <c r="K77" s="377"/>
      <c r="L77" s="377"/>
      <c r="M77" s="377"/>
      <c r="N77" s="377"/>
      <c r="O77" s="377"/>
    </row>
    <row r="78">
      <c r="B78" s="377"/>
      <c r="C78" s="377"/>
      <c r="D78" s="377"/>
      <c r="E78" s="377"/>
      <c r="F78" s="377"/>
      <c r="G78" s="377"/>
      <c r="H78" s="377"/>
      <c r="I78" s="377"/>
      <c r="J78" s="377"/>
      <c r="K78" s="377"/>
      <c r="L78" s="377"/>
      <c r="M78" s="377"/>
      <c r="N78" s="377"/>
      <c r="O78" s="377"/>
    </row>
    <row r="79">
      <c r="B79" s="377"/>
      <c r="C79" s="377"/>
      <c r="D79" s="377"/>
      <c r="E79" s="377"/>
      <c r="F79" s="377"/>
      <c r="G79" s="377"/>
      <c r="H79" s="377"/>
      <c r="I79" s="377"/>
      <c r="J79" s="377"/>
      <c r="K79" s="377"/>
      <c r="L79" s="377"/>
      <c r="M79" s="377"/>
      <c r="N79" s="377"/>
      <c r="O79" s="377"/>
    </row>
    <row r="80">
      <c r="B80" s="377"/>
      <c r="C80" s="377"/>
      <c r="D80" s="377"/>
      <c r="E80" s="377"/>
      <c r="F80" s="377"/>
      <c r="G80" s="377"/>
      <c r="H80" s="377"/>
      <c r="I80" s="377"/>
      <c r="J80" s="377"/>
      <c r="K80" s="377"/>
      <c r="L80" s="377"/>
      <c r="M80" s="377"/>
      <c r="N80" s="377"/>
      <c r="O80" s="377"/>
    </row>
    <row r="81">
      <c r="B81" s="377"/>
      <c r="C81" s="377"/>
      <c r="D81" s="377"/>
      <c r="E81" s="377"/>
      <c r="F81" s="377"/>
      <c r="G81" s="377"/>
      <c r="H81" s="377"/>
      <c r="I81" s="377"/>
      <c r="J81" s="377"/>
      <c r="K81" s="377"/>
      <c r="L81" s="377"/>
      <c r="M81" s="377"/>
      <c r="N81" s="377"/>
      <c r="O81" s="377"/>
    </row>
    <row r="82">
      <c r="B82" s="377"/>
      <c r="C82" s="377"/>
      <c r="D82" s="377"/>
      <c r="E82" s="377"/>
      <c r="F82" s="377"/>
      <c r="G82" s="377"/>
      <c r="H82" s="377"/>
      <c r="I82" s="377"/>
      <c r="J82" s="377"/>
      <c r="K82" s="377"/>
      <c r="L82" s="377"/>
      <c r="M82" s="377"/>
      <c r="N82" s="377"/>
      <c r="O82" s="377"/>
    </row>
    <row r="83">
      <c r="B83" s="377"/>
      <c r="C83" s="377"/>
      <c r="D83" s="377"/>
      <c r="E83" s="377"/>
      <c r="F83" s="377"/>
      <c r="G83" s="377"/>
      <c r="H83" s="377"/>
      <c r="I83" s="377"/>
      <c r="J83" s="377"/>
      <c r="K83" s="377"/>
      <c r="L83" s="377"/>
      <c r="M83" s="377"/>
      <c r="N83" s="377"/>
      <c r="O83" s="377"/>
    </row>
    <row r="84">
      <c r="B84" s="377"/>
      <c r="C84" s="377"/>
      <c r="D84" s="377"/>
      <c r="E84" s="377"/>
      <c r="F84" s="377"/>
      <c r="G84" s="377"/>
      <c r="H84" s="377"/>
      <c r="I84" s="377"/>
      <c r="J84" s="377"/>
      <c r="K84" s="377"/>
      <c r="L84" s="377"/>
      <c r="M84" s="377"/>
      <c r="N84" s="377"/>
      <c r="O84" s="377"/>
    </row>
    <row r="85">
      <c r="B85" s="377"/>
      <c r="C85" s="377"/>
      <c r="D85" s="377"/>
      <c r="E85" s="377"/>
      <c r="F85" s="377"/>
      <c r="G85" s="377"/>
      <c r="H85" s="377"/>
      <c r="I85" s="377"/>
      <c r="J85" s="377"/>
      <c r="K85" s="377"/>
      <c r="L85" s="377"/>
      <c r="M85" s="377"/>
      <c r="N85" s="377"/>
      <c r="O85" s="377"/>
    </row>
    <row r="86">
      <c r="B86" s="377"/>
      <c r="C86" s="377"/>
      <c r="D86" s="377"/>
      <c r="E86" s="377"/>
      <c r="F86" s="377"/>
      <c r="G86" s="377"/>
      <c r="H86" s="377"/>
      <c r="I86" s="377"/>
      <c r="J86" s="377"/>
      <c r="K86" s="377"/>
      <c r="L86" s="377"/>
      <c r="M86" s="377"/>
      <c r="N86" s="377"/>
      <c r="O86" s="377"/>
    </row>
    <row r="87">
      <c r="B87" s="377"/>
      <c r="C87" s="377"/>
      <c r="D87" s="377"/>
      <c r="E87" s="377"/>
      <c r="F87" s="377"/>
      <c r="G87" s="377"/>
      <c r="H87" s="377"/>
      <c r="I87" s="377"/>
      <c r="J87" s="377"/>
      <c r="K87" s="377"/>
      <c r="L87" s="377"/>
      <c r="M87" s="377"/>
      <c r="N87" s="377"/>
      <c r="O87" s="377"/>
    </row>
    <row r="88">
      <c r="B88" s="377"/>
      <c r="C88" s="377"/>
      <c r="D88" s="377"/>
      <c r="E88" s="377"/>
      <c r="F88" s="377"/>
      <c r="G88" s="377"/>
      <c r="H88" s="377"/>
      <c r="I88" s="377"/>
      <c r="J88" s="377"/>
      <c r="K88" s="377"/>
      <c r="L88" s="377"/>
      <c r="M88" s="377"/>
      <c r="N88" s="377"/>
      <c r="O88" s="377"/>
    </row>
    <row r="89">
      <c r="B89" s="377"/>
      <c r="C89" s="377"/>
      <c r="D89" s="377"/>
      <c r="E89" s="377"/>
      <c r="F89" s="377"/>
      <c r="G89" s="377"/>
      <c r="H89" s="377"/>
      <c r="I89" s="377"/>
      <c r="J89" s="377"/>
      <c r="K89" s="377"/>
      <c r="L89" s="377"/>
      <c r="M89" s="377"/>
      <c r="N89" s="377"/>
      <c r="O89" s="377"/>
    </row>
    <row r="90">
      <c r="B90" s="377"/>
      <c r="C90" s="377"/>
      <c r="D90" s="377"/>
      <c r="E90" s="377"/>
      <c r="F90" s="377"/>
      <c r="G90" s="377"/>
      <c r="H90" s="377"/>
      <c r="I90" s="377"/>
      <c r="J90" s="377"/>
      <c r="K90" s="377"/>
      <c r="L90" s="377"/>
      <c r="M90" s="377"/>
      <c r="N90" s="377"/>
      <c r="O90" s="377"/>
    </row>
    <row r="91">
      <c r="B91" s="377"/>
      <c r="C91" s="377"/>
      <c r="D91" s="377"/>
      <c r="E91" s="377"/>
      <c r="F91" s="377"/>
      <c r="G91" s="377"/>
      <c r="H91" s="377"/>
      <c r="I91" s="377"/>
      <c r="J91" s="377"/>
      <c r="K91" s="377"/>
      <c r="L91" s="377"/>
      <c r="M91" s="377"/>
      <c r="N91" s="377"/>
      <c r="O91" s="377"/>
    </row>
    <row r="92">
      <c r="B92" s="377"/>
      <c r="C92" s="377"/>
      <c r="D92" s="377"/>
      <c r="E92" s="377"/>
      <c r="F92" s="377"/>
      <c r="G92" s="377"/>
      <c r="H92" s="377"/>
      <c r="I92" s="377"/>
      <c r="J92" s="377"/>
      <c r="K92" s="377"/>
      <c r="L92" s="377"/>
      <c r="M92" s="377"/>
      <c r="N92" s="377"/>
      <c r="O92" s="377"/>
    </row>
    <row r="93">
      <c r="B93" s="377"/>
      <c r="C93" s="377"/>
      <c r="D93" s="377"/>
      <c r="E93" s="377"/>
      <c r="F93" s="377"/>
      <c r="G93" s="377"/>
      <c r="H93" s="377"/>
      <c r="I93" s="377"/>
      <c r="J93" s="377"/>
      <c r="K93" s="377"/>
      <c r="L93" s="377"/>
      <c r="M93" s="377"/>
      <c r="N93" s="377"/>
      <c r="O93" s="377"/>
    </row>
    <row r="94">
      <c r="B94" s="377"/>
      <c r="C94" s="377"/>
      <c r="D94" s="377"/>
      <c r="E94" s="377"/>
      <c r="F94" s="377"/>
      <c r="G94" s="377"/>
      <c r="H94" s="377"/>
      <c r="I94" s="377"/>
      <c r="J94" s="377"/>
      <c r="K94" s="377"/>
      <c r="L94" s="377"/>
      <c r="M94" s="377"/>
      <c r="N94" s="377"/>
      <c r="O94" s="377"/>
    </row>
    <row r="95">
      <c r="B95" s="377"/>
      <c r="C95" s="377"/>
      <c r="D95" s="377"/>
      <c r="E95" s="377"/>
      <c r="F95" s="377"/>
      <c r="G95" s="377"/>
      <c r="H95" s="377"/>
      <c r="I95" s="377"/>
      <c r="J95" s="377"/>
      <c r="K95" s="377"/>
      <c r="L95" s="377"/>
      <c r="M95" s="377"/>
      <c r="N95" s="377"/>
      <c r="O95" s="377"/>
    </row>
    <row r="96">
      <c r="B96" s="377"/>
      <c r="C96" s="377"/>
      <c r="D96" s="377"/>
      <c r="E96" s="377"/>
      <c r="F96" s="377"/>
      <c r="G96" s="377"/>
      <c r="H96" s="377"/>
      <c r="I96" s="377"/>
      <c r="J96" s="377"/>
      <c r="K96" s="377"/>
      <c r="L96" s="377"/>
      <c r="M96" s="377"/>
      <c r="N96" s="377"/>
      <c r="O96" s="377"/>
    </row>
    <row r="97">
      <c r="B97" s="377"/>
      <c r="C97" s="377"/>
      <c r="D97" s="377"/>
      <c r="E97" s="377"/>
      <c r="F97" s="377"/>
      <c r="G97" s="377"/>
      <c r="H97" s="377"/>
      <c r="I97" s="377"/>
      <c r="J97" s="377"/>
      <c r="K97" s="377"/>
      <c r="L97" s="377"/>
      <c r="M97" s="377"/>
      <c r="N97" s="377"/>
      <c r="O97" s="377"/>
    </row>
    <row r="98">
      <c r="B98" s="377"/>
      <c r="C98" s="377"/>
      <c r="D98" s="377"/>
      <c r="E98" s="377"/>
      <c r="F98" s="377"/>
      <c r="G98" s="377"/>
      <c r="H98" s="377"/>
      <c r="I98" s="377"/>
      <c r="J98" s="377"/>
      <c r="K98" s="377"/>
      <c r="L98" s="377"/>
      <c r="M98" s="377"/>
      <c r="N98" s="377"/>
      <c r="O98" s="377"/>
    </row>
    <row r="99">
      <c r="B99" s="377"/>
      <c r="C99" s="377"/>
      <c r="D99" s="377"/>
      <c r="E99" s="377"/>
      <c r="F99" s="377"/>
      <c r="G99" s="377"/>
      <c r="H99" s="377"/>
      <c r="I99" s="377"/>
      <c r="J99" s="377"/>
      <c r="K99" s="377"/>
      <c r="L99" s="377"/>
      <c r="M99" s="377"/>
      <c r="N99" s="377"/>
      <c r="O99" s="377"/>
    </row>
    <row r="100">
      <c r="B100" s="377"/>
      <c r="C100" s="377"/>
      <c r="D100" s="377"/>
      <c r="E100" s="377"/>
      <c r="F100" s="377"/>
      <c r="G100" s="377"/>
      <c r="H100" s="377"/>
      <c r="I100" s="377"/>
      <c r="J100" s="377"/>
      <c r="K100" s="377"/>
      <c r="L100" s="377"/>
      <c r="M100" s="377"/>
      <c r="N100" s="377"/>
      <c r="O100" s="377"/>
    </row>
    <row r="101">
      <c r="B101" s="377"/>
      <c r="C101" s="377"/>
      <c r="D101" s="377"/>
      <c r="E101" s="377"/>
      <c r="F101" s="377"/>
      <c r="G101" s="377"/>
      <c r="H101" s="377"/>
      <c r="I101" s="377"/>
      <c r="J101" s="377"/>
      <c r="K101" s="377"/>
      <c r="L101" s="377"/>
      <c r="M101" s="377"/>
      <c r="N101" s="377"/>
      <c r="O101" s="377"/>
    </row>
    <row r="102">
      <c r="B102" s="377"/>
      <c r="C102" s="377"/>
      <c r="D102" s="377"/>
      <c r="E102" s="377"/>
      <c r="F102" s="377"/>
      <c r="G102" s="377"/>
      <c r="H102" s="377"/>
      <c r="I102" s="377"/>
      <c r="J102" s="377"/>
      <c r="K102" s="377"/>
      <c r="L102" s="377"/>
      <c r="M102" s="377"/>
      <c r="N102" s="377"/>
      <c r="O102" s="377"/>
    </row>
    <row r="103">
      <c r="B103" s="377"/>
      <c r="C103" s="377"/>
      <c r="D103" s="377"/>
      <c r="E103" s="377"/>
      <c r="F103" s="377"/>
      <c r="G103" s="377"/>
      <c r="H103" s="377"/>
      <c r="I103" s="377"/>
      <c r="J103" s="377"/>
      <c r="K103" s="377"/>
      <c r="L103" s="377"/>
      <c r="M103" s="377"/>
      <c r="N103" s="377"/>
      <c r="O103" s="377"/>
    </row>
    <row r="104">
      <c r="B104" s="377"/>
      <c r="C104" s="377"/>
      <c r="D104" s="377"/>
      <c r="E104" s="377"/>
      <c r="F104" s="377"/>
      <c r="G104" s="377"/>
      <c r="H104" s="377"/>
      <c r="I104" s="377"/>
      <c r="J104" s="377"/>
      <c r="K104" s="377"/>
      <c r="L104" s="377"/>
      <c r="M104" s="377"/>
      <c r="N104" s="377"/>
      <c r="O104" s="377"/>
    </row>
    <row r="105">
      <c r="B105" s="377"/>
      <c r="C105" s="377"/>
      <c r="D105" s="377"/>
      <c r="E105" s="377"/>
      <c r="F105" s="377"/>
      <c r="G105" s="377"/>
      <c r="H105" s="377"/>
      <c r="I105" s="377"/>
      <c r="J105" s="377"/>
      <c r="K105" s="377"/>
      <c r="L105" s="377"/>
      <c r="M105" s="377"/>
      <c r="N105" s="377"/>
      <c r="O105" s="377"/>
    </row>
    <row r="106">
      <c r="B106" s="377"/>
      <c r="C106" s="377"/>
      <c r="D106" s="377"/>
      <c r="E106" s="377"/>
      <c r="F106" s="377"/>
      <c r="G106" s="377"/>
      <c r="H106" s="377"/>
      <c r="I106" s="377"/>
      <c r="J106" s="377"/>
      <c r="K106" s="377"/>
      <c r="L106" s="377"/>
      <c r="M106" s="377"/>
      <c r="N106" s="377"/>
      <c r="O106" s="377"/>
    </row>
    <row r="107">
      <c r="B107" s="377"/>
      <c r="C107" s="377"/>
      <c r="D107" s="377"/>
      <c r="E107" s="377"/>
      <c r="F107" s="377"/>
      <c r="G107" s="377"/>
      <c r="H107" s="377"/>
      <c r="I107" s="377"/>
      <c r="J107" s="377"/>
      <c r="K107" s="377"/>
      <c r="L107" s="377"/>
      <c r="M107" s="377"/>
      <c r="N107" s="377"/>
      <c r="O107" s="377"/>
    </row>
    <row r="108">
      <c r="B108" s="377"/>
      <c r="C108" s="377"/>
      <c r="D108" s="377"/>
      <c r="E108" s="377"/>
      <c r="F108" s="377"/>
      <c r="G108" s="377"/>
      <c r="H108" s="377"/>
      <c r="I108" s="377"/>
      <c r="J108" s="377"/>
      <c r="K108" s="377"/>
      <c r="L108" s="377"/>
      <c r="M108" s="377"/>
      <c r="N108" s="377"/>
      <c r="O108" s="377"/>
    </row>
    <row r="109">
      <c r="B109" s="377"/>
      <c r="C109" s="377"/>
      <c r="D109" s="377"/>
      <c r="E109" s="377"/>
      <c r="F109" s="377"/>
      <c r="G109" s="377"/>
      <c r="H109" s="377"/>
      <c r="I109" s="377"/>
      <c r="J109" s="377"/>
      <c r="K109" s="377"/>
      <c r="L109" s="377"/>
      <c r="M109" s="377"/>
      <c r="N109" s="377"/>
      <c r="O109" s="377"/>
    </row>
    <row r="110">
      <c r="B110" s="377"/>
      <c r="C110" s="377"/>
      <c r="D110" s="377"/>
      <c r="E110" s="377"/>
      <c r="F110" s="377"/>
      <c r="G110" s="377"/>
      <c r="H110" s="377"/>
      <c r="I110" s="377"/>
      <c r="J110" s="377"/>
      <c r="K110" s="377"/>
      <c r="L110" s="377"/>
      <c r="M110" s="377"/>
      <c r="N110" s="377"/>
      <c r="O110" s="377"/>
    </row>
    <row r="111">
      <c r="B111" s="377"/>
      <c r="C111" s="377"/>
      <c r="D111" s="377"/>
      <c r="E111" s="377"/>
      <c r="F111" s="377"/>
      <c r="G111" s="377"/>
      <c r="H111" s="377"/>
      <c r="I111" s="377"/>
      <c r="J111" s="377"/>
      <c r="K111" s="377"/>
      <c r="L111" s="377"/>
      <c r="M111" s="377"/>
      <c r="N111" s="377"/>
      <c r="O111" s="377"/>
    </row>
    <row r="112">
      <c r="B112" s="377"/>
      <c r="C112" s="377"/>
      <c r="D112" s="377"/>
      <c r="E112" s="377"/>
      <c r="F112" s="377"/>
      <c r="G112" s="377"/>
      <c r="H112" s="377"/>
      <c r="I112" s="377"/>
      <c r="J112" s="377"/>
      <c r="K112" s="377"/>
      <c r="L112" s="377"/>
      <c r="M112" s="377"/>
      <c r="N112" s="377"/>
      <c r="O112" s="377"/>
    </row>
    <row r="113">
      <c r="B113" s="377"/>
      <c r="C113" s="377"/>
      <c r="D113" s="377"/>
      <c r="E113" s="377"/>
      <c r="F113" s="377"/>
      <c r="G113" s="377"/>
      <c r="H113" s="377"/>
      <c r="I113" s="377"/>
      <c r="J113" s="377"/>
      <c r="K113" s="377"/>
      <c r="L113" s="377"/>
      <c r="M113" s="377"/>
      <c r="N113" s="377"/>
      <c r="O113" s="377"/>
    </row>
    <row r="114">
      <c r="B114" s="377"/>
      <c r="C114" s="377"/>
      <c r="D114" s="377"/>
      <c r="E114" s="377"/>
      <c r="F114" s="377"/>
      <c r="G114" s="377"/>
      <c r="H114" s="377"/>
      <c r="I114" s="377"/>
      <c r="J114" s="377"/>
      <c r="K114" s="377"/>
      <c r="L114" s="377"/>
      <c r="M114" s="377"/>
      <c r="N114" s="377"/>
      <c r="O114" s="377"/>
    </row>
    <row r="115">
      <c r="B115" s="377"/>
      <c r="C115" s="377"/>
      <c r="D115" s="377"/>
      <c r="E115" s="377"/>
      <c r="F115" s="377"/>
      <c r="G115" s="377"/>
      <c r="H115" s="377"/>
      <c r="I115" s="377"/>
      <c r="J115" s="377"/>
      <c r="K115" s="377"/>
      <c r="L115" s="377"/>
      <c r="M115" s="377"/>
      <c r="N115" s="377"/>
      <c r="O115" s="377"/>
    </row>
    <row r="116">
      <c r="B116" s="377"/>
      <c r="C116" s="377"/>
      <c r="D116" s="377"/>
      <c r="E116" s="377"/>
      <c r="F116" s="377"/>
      <c r="G116" s="377"/>
      <c r="H116" s="377"/>
      <c r="I116" s="377"/>
      <c r="J116" s="377"/>
      <c r="K116" s="377"/>
      <c r="L116" s="377"/>
      <c r="M116" s="377"/>
      <c r="N116" s="377"/>
      <c r="O116" s="377"/>
    </row>
    <row r="117">
      <c r="B117" s="377"/>
      <c r="C117" s="377"/>
      <c r="D117" s="377"/>
      <c r="E117" s="377"/>
      <c r="F117" s="377"/>
      <c r="G117" s="377"/>
      <c r="H117" s="377"/>
      <c r="I117" s="377"/>
      <c r="J117" s="377"/>
      <c r="K117" s="377"/>
      <c r="L117" s="377"/>
      <c r="M117" s="377"/>
      <c r="N117" s="377"/>
      <c r="O117" s="377"/>
    </row>
    <row r="118">
      <c r="B118" s="377"/>
      <c r="C118" s="377"/>
      <c r="D118" s="377"/>
      <c r="E118" s="377"/>
      <c r="F118" s="377"/>
      <c r="G118" s="377"/>
      <c r="H118" s="377"/>
      <c r="I118" s="377"/>
      <c r="J118" s="377"/>
      <c r="K118" s="377"/>
      <c r="L118" s="377"/>
      <c r="M118" s="377"/>
      <c r="N118" s="377"/>
      <c r="O118" s="377"/>
    </row>
    <row r="119">
      <c r="B119" s="377"/>
      <c r="C119" s="377"/>
      <c r="D119" s="377"/>
      <c r="E119" s="377"/>
      <c r="F119" s="377"/>
      <c r="G119" s="377"/>
      <c r="H119" s="377"/>
      <c r="I119" s="377"/>
      <c r="J119" s="377"/>
      <c r="K119" s="377"/>
      <c r="L119" s="377"/>
      <c r="M119" s="377"/>
      <c r="N119" s="377"/>
      <c r="O119" s="377"/>
    </row>
    <row r="120">
      <c r="B120" s="377"/>
      <c r="C120" s="377"/>
      <c r="D120" s="377"/>
      <c r="E120" s="377"/>
      <c r="F120" s="377"/>
      <c r="G120" s="377"/>
      <c r="H120" s="377"/>
      <c r="I120" s="377"/>
      <c r="J120" s="377"/>
      <c r="K120" s="377"/>
      <c r="L120" s="377"/>
      <c r="M120" s="377"/>
      <c r="N120" s="377"/>
      <c r="O120" s="377"/>
    </row>
    <row r="121">
      <c r="B121" s="377"/>
      <c r="C121" s="377"/>
      <c r="D121" s="377"/>
      <c r="E121" s="377"/>
      <c r="F121" s="377"/>
      <c r="G121" s="377"/>
      <c r="H121" s="377"/>
      <c r="I121" s="377"/>
      <c r="J121" s="377"/>
      <c r="K121" s="377"/>
      <c r="L121" s="377"/>
      <c r="M121" s="377"/>
      <c r="N121" s="377"/>
      <c r="O121" s="377"/>
    </row>
    <row r="122">
      <c r="B122" s="377"/>
      <c r="C122" s="377"/>
      <c r="D122" s="377"/>
      <c r="E122" s="377"/>
      <c r="F122" s="377"/>
      <c r="G122" s="377"/>
      <c r="H122" s="377"/>
      <c r="I122" s="377"/>
      <c r="J122" s="377"/>
      <c r="K122" s="377"/>
      <c r="L122" s="377"/>
      <c r="M122" s="377"/>
      <c r="N122" s="377"/>
      <c r="O122" s="377"/>
    </row>
    <row r="123">
      <c r="B123" s="377"/>
      <c r="C123" s="377"/>
      <c r="D123" s="377"/>
      <c r="E123" s="377"/>
      <c r="F123" s="377"/>
      <c r="G123" s="377"/>
      <c r="H123" s="377"/>
      <c r="I123" s="377"/>
      <c r="J123" s="377"/>
      <c r="K123" s="377"/>
      <c r="L123" s="377"/>
      <c r="M123" s="377"/>
      <c r="N123" s="377"/>
      <c r="O123" s="377"/>
    </row>
    <row r="124">
      <c r="B124" s="377"/>
      <c r="C124" s="377"/>
      <c r="D124" s="377"/>
      <c r="E124" s="377"/>
      <c r="F124" s="377"/>
      <c r="G124" s="377"/>
      <c r="H124" s="377"/>
      <c r="I124" s="377"/>
      <c r="J124" s="377"/>
      <c r="K124" s="377"/>
      <c r="L124" s="377"/>
      <c r="M124" s="377"/>
      <c r="N124" s="377"/>
      <c r="O124" s="377"/>
    </row>
    <row r="125">
      <c r="B125" s="377"/>
      <c r="C125" s="377"/>
      <c r="D125" s="377"/>
      <c r="E125" s="377"/>
      <c r="F125" s="377"/>
      <c r="G125" s="377"/>
      <c r="H125" s="377"/>
      <c r="I125" s="377"/>
      <c r="J125" s="377"/>
      <c r="K125" s="377"/>
      <c r="L125" s="377"/>
      <c r="M125" s="377"/>
      <c r="N125" s="377"/>
      <c r="O125" s="377"/>
    </row>
    <row r="126">
      <c r="B126" s="377"/>
      <c r="C126" s="377"/>
      <c r="D126" s="377"/>
      <c r="E126" s="377"/>
      <c r="F126" s="377"/>
      <c r="G126" s="377"/>
      <c r="H126" s="377"/>
      <c r="I126" s="377"/>
      <c r="J126" s="377"/>
      <c r="K126" s="377"/>
      <c r="L126" s="377"/>
      <c r="M126" s="377"/>
      <c r="N126" s="377"/>
      <c r="O126" s="377"/>
    </row>
    <row r="127">
      <c r="B127" s="377"/>
      <c r="C127" s="377"/>
      <c r="D127" s="377"/>
      <c r="E127" s="377"/>
      <c r="F127" s="377"/>
      <c r="G127" s="377"/>
      <c r="H127" s="377"/>
      <c r="I127" s="377"/>
      <c r="J127" s="377"/>
      <c r="K127" s="377"/>
      <c r="L127" s="377"/>
      <c r="M127" s="377"/>
      <c r="N127" s="377"/>
      <c r="O127" s="377"/>
    </row>
    <row r="128">
      <c r="B128" s="377"/>
      <c r="C128" s="377"/>
      <c r="D128" s="377"/>
      <c r="E128" s="377"/>
      <c r="F128" s="377"/>
      <c r="G128" s="377"/>
      <c r="H128" s="377"/>
      <c r="I128" s="377"/>
      <c r="J128" s="377"/>
      <c r="K128" s="377"/>
      <c r="L128" s="377"/>
      <c r="M128" s="377"/>
      <c r="N128" s="377"/>
      <c r="O128" s="377"/>
    </row>
    <row r="129">
      <c r="B129" s="377"/>
      <c r="C129" s="377"/>
      <c r="D129" s="377"/>
      <c r="E129" s="377"/>
      <c r="F129" s="377"/>
      <c r="G129" s="377"/>
      <c r="H129" s="377"/>
      <c r="I129" s="377"/>
      <c r="J129" s="377"/>
      <c r="K129" s="377"/>
      <c r="L129" s="377"/>
      <c r="M129" s="377"/>
      <c r="N129" s="377"/>
      <c r="O129" s="377"/>
    </row>
    <row r="130">
      <c r="B130" s="377"/>
      <c r="C130" s="377"/>
      <c r="D130" s="377"/>
      <c r="E130" s="377"/>
      <c r="F130" s="377"/>
      <c r="G130" s="377"/>
      <c r="H130" s="377"/>
      <c r="I130" s="377"/>
      <c r="J130" s="377"/>
      <c r="K130" s="377"/>
      <c r="L130" s="377"/>
      <c r="M130" s="377"/>
      <c r="N130" s="377"/>
      <c r="O130" s="377"/>
    </row>
    <row r="131">
      <c r="B131" s="377"/>
      <c r="C131" s="377"/>
      <c r="D131" s="377"/>
      <c r="E131" s="377"/>
      <c r="F131" s="377"/>
      <c r="G131" s="377"/>
      <c r="H131" s="377"/>
      <c r="I131" s="377"/>
      <c r="J131" s="377"/>
      <c r="K131" s="377"/>
      <c r="L131" s="377"/>
      <c r="M131" s="377"/>
      <c r="N131" s="377"/>
      <c r="O131" s="377"/>
    </row>
    <row r="132">
      <c r="B132" s="377"/>
      <c r="C132" s="377"/>
      <c r="D132" s="377"/>
      <c r="E132" s="377"/>
      <c r="F132" s="377"/>
      <c r="G132" s="377"/>
      <c r="H132" s="377"/>
      <c r="I132" s="377"/>
      <c r="J132" s="377"/>
      <c r="K132" s="377"/>
      <c r="L132" s="377"/>
      <c r="M132" s="377"/>
      <c r="N132" s="377"/>
      <c r="O132" s="377"/>
    </row>
    <row r="133">
      <c r="B133" s="377"/>
      <c r="C133" s="377"/>
      <c r="D133" s="377"/>
      <c r="E133" s="377"/>
      <c r="F133" s="377"/>
      <c r="G133" s="377"/>
      <c r="H133" s="377"/>
      <c r="I133" s="377"/>
      <c r="J133" s="377"/>
      <c r="K133" s="377"/>
      <c r="L133" s="377"/>
      <c r="M133" s="377"/>
      <c r="N133" s="377"/>
      <c r="O133" s="377"/>
    </row>
    <row r="134">
      <c r="B134" s="377"/>
      <c r="C134" s="377"/>
      <c r="D134" s="377"/>
      <c r="E134" s="377"/>
      <c r="F134" s="377"/>
      <c r="G134" s="377"/>
      <c r="H134" s="377"/>
      <c r="I134" s="377"/>
      <c r="J134" s="377"/>
      <c r="K134" s="377"/>
      <c r="L134" s="377"/>
      <c r="M134" s="377"/>
      <c r="N134" s="377"/>
      <c r="O134" s="377"/>
    </row>
    <row r="135">
      <c r="B135" s="377"/>
      <c r="C135" s="377"/>
      <c r="D135" s="377"/>
      <c r="E135" s="377"/>
      <c r="F135" s="377"/>
      <c r="G135" s="377"/>
      <c r="H135" s="377"/>
      <c r="I135" s="377"/>
      <c r="J135" s="377"/>
      <c r="K135" s="377"/>
      <c r="L135" s="377"/>
      <c r="M135" s="377"/>
      <c r="N135" s="377"/>
      <c r="O135" s="377"/>
    </row>
    <row r="136">
      <c r="B136" s="377"/>
      <c r="C136" s="377"/>
      <c r="D136" s="377"/>
      <c r="E136" s="377"/>
      <c r="F136" s="377"/>
      <c r="G136" s="377"/>
      <c r="H136" s="377"/>
      <c r="I136" s="377"/>
      <c r="J136" s="377"/>
      <c r="K136" s="377"/>
      <c r="L136" s="377"/>
      <c r="M136" s="377"/>
      <c r="N136" s="377"/>
      <c r="O136" s="377"/>
    </row>
    <row r="137">
      <c r="B137" s="377"/>
      <c r="C137" s="377"/>
      <c r="D137" s="377"/>
      <c r="E137" s="377"/>
      <c r="F137" s="377"/>
      <c r="G137" s="377"/>
      <c r="H137" s="377"/>
      <c r="I137" s="377"/>
      <c r="J137" s="377"/>
      <c r="K137" s="377"/>
      <c r="L137" s="377"/>
      <c r="M137" s="377"/>
      <c r="N137" s="377"/>
      <c r="O137" s="377"/>
    </row>
    <row r="138">
      <c r="B138" s="377"/>
      <c r="C138" s="377"/>
      <c r="D138" s="377"/>
      <c r="E138" s="377"/>
      <c r="F138" s="377"/>
      <c r="G138" s="377"/>
      <c r="H138" s="377"/>
      <c r="I138" s="377"/>
      <c r="J138" s="377"/>
      <c r="K138" s="377"/>
      <c r="L138" s="377"/>
      <c r="M138" s="377"/>
      <c r="N138" s="377"/>
      <c r="O138" s="377"/>
    </row>
    <row r="139">
      <c r="B139" s="377"/>
      <c r="C139" s="377"/>
      <c r="D139" s="377"/>
      <c r="E139" s="377"/>
      <c r="F139" s="377"/>
      <c r="G139" s="377"/>
      <c r="H139" s="377"/>
      <c r="I139" s="377"/>
      <c r="J139" s="377"/>
      <c r="K139" s="377"/>
      <c r="L139" s="377"/>
      <c r="M139" s="377"/>
      <c r="N139" s="377"/>
      <c r="O139" s="377"/>
    </row>
    <row r="140">
      <c r="B140" s="377"/>
      <c r="C140" s="377"/>
      <c r="D140" s="377"/>
      <c r="E140" s="377"/>
      <c r="F140" s="377"/>
      <c r="G140" s="377"/>
      <c r="H140" s="377"/>
      <c r="I140" s="377"/>
      <c r="J140" s="377"/>
      <c r="K140" s="377"/>
      <c r="L140" s="377"/>
      <c r="M140" s="377"/>
      <c r="N140" s="377"/>
      <c r="O140" s="377"/>
    </row>
    <row r="141">
      <c r="B141" s="377"/>
      <c r="C141" s="377"/>
      <c r="D141" s="377"/>
      <c r="E141" s="377"/>
      <c r="F141" s="377"/>
      <c r="G141" s="377"/>
      <c r="H141" s="377"/>
      <c r="I141" s="377"/>
      <c r="J141" s="377"/>
      <c r="K141" s="377"/>
      <c r="L141" s="377"/>
      <c r="M141" s="377"/>
      <c r="N141" s="377"/>
      <c r="O141" s="377"/>
    </row>
    <row r="142">
      <c r="B142" s="377"/>
      <c r="C142" s="377"/>
      <c r="D142" s="377"/>
      <c r="E142" s="377"/>
      <c r="F142" s="377"/>
      <c r="G142" s="377"/>
      <c r="H142" s="377"/>
      <c r="I142" s="377"/>
      <c r="J142" s="377"/>
      <c r="K142" s="377"/>
      <c r="L142" s="377"/>
      <c r="M142" s="377"/>
      <c r="N142" s="377"/>
      <c r="O142" s="377"/>
    </row>
    <row r="143">
      <c r="B143" s="377"/>
      <c r="C143" s="377"/>
      <c r="D143" s="377"/>
      <c r="E143" s="377"/>
      <c r="F143" s="377"/>
      <c r="G143" s="377"/>
      <c r="H143" s="377"/>
      <c r="I143" s="377"/>
      <c r="J143" s="377"/>
      <c r="K143" s="377"/>
      <c r="L143" s="377"/>
      <c r="M143" s="377"/>
      <c r="N143" s="377"/>
      <c r="O143" s="377"/>
    </row>
    <row r="144">
      <c r="B144" s="377"/>
      <c r="C144" s="377"/>
      <c r="D144" s="377"/>
      <c r="E144" s="377"/>
      <c r="F144" s="377"/>
      <c r="G144" s="377"/>
      <c r="H144" s="377"/>
      <c r="I144" s="377"/>
      <c r="J144" s="377"/>
      <c r="K144" s="377"/>
      <c r="L144" s="377"/>
      <c r="M144" s="377"/>
      <c r="N144" s="377"/>
      <c r="O144" s="377"/>
    </row>
    <row r="145">
      <c r="B145" s="377"/>
      <c r="C145" s="377"/>
      <c r="D145" s="377"/>
      <c r="E145" s="377"/>
      <c r="F145" s="377"/>
      <c r="G145" s="377"/>
      <c r="H145" s="377"/>
      <c r="I145" s="377"/>
      <c r="J145" s="377"/>
      <c r="K145" s="377"/>
      <c r="L145" s="377"/>
      <c r="M145" s="377"/>
      <c r="N145" s="377"/>
      <c r="O145" s="377"/>
    </row>
    <row r="146">
      <c r="B146" s="377"/>
      <c r="C146" s="377"/>
      <c r="D146" s="377"/>
      <c r="E146" s="377"/>
      <c r="F146" s="377"/>
      <c r="G146" s="377"/>
      <c r="H146" s="377"/>
      <c r="I146" s="377"/>
      <c r="J146" s="377"/>
      <c r="K146" s="377"/>
      <c r="L146" s="377"/>
      <c r="M146" s="377"/>
      <c r="N146" s="377"/>
      <c r="O146" s="377"/>
    </row>
    <row r="147">
      <c r="B147" s="377"/>
      <c r="C147" s="377"/>
      <c r="D147" s="377"/>
      <c r="E147" s="377"/>
      <c r="F147" s="377"/>
      <c r="G147" s="377"/>
      <c r="H147" s="377"/>
      <c r="I147" s="377"/>
      <c r="J147" s="377"/>
      <c r="K147" s="377"/>
      <c r="L147" s="377"/>
      <c r="M147" s="377"/>
      <c r="N147" s="377"/>
      <c r="O147" s="377"/>
    </row>
    <row r="148">
      <c r="B148" s="377"/>
      <c r="C148" s="377"/>
      <c r="D148" s="377"/>
      <c r="E148" s="377"/>
      <c r="F148" s="377"/>
      <c r="G148" s="377"/>
      <c r="H148" s="377"/>
      <c r="I148" s="377"/>
      <c r="J148" s="377"/>
      <c r="K148" s="377"/>
      <c r="L148" s="377"/>
      <c r="M148" s="377"/>
      <c r="N148" s="377"/>
      <c r="O148" s="377"/>
    </row>
    <row r="149">
      <c r="B149" s="377"/>
      <c r="C149" s="377"/>
      <c r="D149" s="377"/>
      <c r="E149" s="377"/>
      <c r="F149" s="377"/>
      <c r="G149" s="377"/>
      <c r="H149" s="377"/>
      <c r="I149" s="377"/>
      <c r="J149" s="377"/>
      <c r="K149" s="377"/>
      <c r="L149" s="377"/>
      <c r="M149" s="377"/>
      <c r="N149" s="377"/>
      <c r="O149" s="377"/>
    </row>
    <row r="150">
      <c r="B150" s="377"/>
      <c r="C150" s="377"/>
      <c r="D150" s="377"/>
      <c r="E150" s="377"/>
      <c r="F150" s="377"/>
      <c r="G150" s="377"/>
      <c r="H150" s="377"/>
      <c r="I150" s="377"/>
      <c r="J150" s="377"/>
      <c r="K150" s="377"/>
      <c r="L150" s="377"/>
      <c r="M150" s="377"/>
      <c r="N150" s="377"/>
      <c r="O150" s="377"/>
    </row>
    <row r="151">
      <c r="B151" s="377"/>
      <c r="C151" s="377"/>
      <c r="D151" s="377"/>
      <c r="E151" s="377"/>
      <c r="F151" s="377"/>
      <c r="G151" s="377"/>
      <c r="H151" s="377"/>
      <c r="I151" s="377"/>
      <c r="J151" s="377"/>
      <c r="K151" s="377"/>
      <c r="L151" s="377"/>
      <c r="M151" s="377"/>
      <c r="N151" s="377"/>
      <c r="O151" s="377"/>
    </row>
    <row r="152">
      <c r="B152" s="377"/>
      <c r="C152" s="377"/>
      <c r="D152" s="377"/>
      <c r="E152" s="377"/>
      <c r="F152" s="377"/>
      <c r="G152" s="377"/>
      <c r="H152" s="377"/>
      <c r="I152" s="377"/>
      <c r="J152" s="377"/>
      <c r="K152" s="377"/>
      <c r="L152" s="377"/>
      <c r="M152" s="377"/>
      <c r="N152" s="377"/>
      <c r="O152" s="377"/>
    </row>
    <row r="153">
      <c r="B153" s="377"/>
      <c r="C153" s="377"/>
      <c r="D153" s="377"/>
      <c r="E153" s="377"/>
      <c r="F153" s="377"/>
      <c r="G153" s="377"/>
      <c r="H153" s="377"/>
      <c r="I153" s="377"/>
      <c r="J153" s="377"/>
      <c r="K153" s="377"/>
      <c r="L153" s="377"/>
      <c r="M153" s="377"/>
      <c r="N153" s="377"/>
      <c r="O153" s="377"/>
    </row>
    <row r="154">
      <c r="B154" s="377"/>
      <c r="C154" s="377"/>
      <c r="D154" s="377"/>
      <c r="E154" s="377"/>
      <c r="F154" s="377"/>
      <c r="G154" s="377"/>
      <c r="H154" s="377"/>
      <c r="I154" s="377"/>
      <c r="J154" s="377"/>
      <c r="K154" s="377"/>
      <c r="L154" s="377"/>
      <c r="M154" s="377"/>
      <c r="N154" s="377"/>
      <c r="O154" s="377"/>
    </row>
    <row r="155">
      <c r="B155" s="377"/>
      <c r="C155" s="377"/>
      <c r="D155" s="377"/>
      <c r="E155" s="377"/>
      <c r="F155" s="377"/>
      <c r="G155" s="377"/>
      <c r="H155" s="377"/>
      <c r="I155" s="377"/>
      <c r="J155" s="377"/>
      <c r="K155" s="377"/>
      <c r="L155" s="377"/>
      <c r="M155" s="377"/>
      <c r="N155" s="377"/>
      <c r="O155" s="377"/>
    </row>
    <row r="156">
      <c r="B156" s="377"/>
      <c r="C156" s="377"/>
      <c r="D156" s="377"/>
      <c r="E156" s="377"/>
      <c r="F156" s="377"/>
      <c r="G156" s="377"/>
      <c r="H156" s="377"/>
      <c r="I156" s="377"/>
      <c r="J156" s="377"/>
      <c r="K156" s="377"/>
      <c r="L156" s="377"/>
      <c r="M156" s="377"/>
      <c r="N156" s="377"/>
      <c r="O156" s="377"/>
    </row>
    <row r="157">
      <c r="B157" s="377"/>
      <c r="C157" s="377"/>
      <c r="D157" s="377"/>
      <c r="E157" s="377"/>
      <c r="F157" s="377"/>
      <c r="G157" s="377"/>
      <c r="H157" s="377"/>
      <c r="I157" s="377"/>
      <c r="J157" s="377"/>
      <c r="K157" s="377"/>
      <c r="L157" s="377"/>
      <c r="M157" s="377"/>
      <c r="N157" s="377"/>
      <c r="O157" s="377"/>
    </row>
    <row r="158">
      <c r="B158" s="377"/>
      <c r="C158" s="377"/>
      <c r="D158" s="377"/>
      <c r="E158" s="377"/>
      <c r="F158" s="377"/>
      <c r="G158" s="377"/>
      <c r="H158" s="377"/>
      <c r="I158" s="377"/>
      <c r="J158" s="377"/>
      <c r="K158" s="377"/>
      <c r="L158" s="377"/>
      <c r="M158" s="377"/>
      <c r="N158" s="377"/>
      <c r="O158" s="377"/>
    </row>
    <row r="159">
      <c r="B159" s="377"/>
      <c r="C159" s="377"/>
      <c r="D159" s="377"/>
      <c r="E159" s="377"/>
      <c r="F159" s="377"/>
      <c r="G159" s="377"/>
      <c r="H159" s="377"/>
      <c r="I159" s="377"/>
      <c r="J159" s="377"/>
      <c r="K159" s="377"/>
      <c r="L159" s="377"/>
      <c r="M159" s="377"/>
      <c r="N159" s="377"/>
      <c r="O159" s="377"/>
    </row>
    <row r="160">
      <c r="B160" s="377"/>
      <c r="C160" s="377"/>
      <c r="D160" s="377"/>
      <c r="E160" s="377"/>
      <c r="F160" s="377"/>
      <c r="G160" s="377"/>
      <c r="H160" s="377"/>
      <c r="I160" s="377"/>
      <c r="J160" s="377"/>
      <c r="K160" s="377"/>
      <c r="L160" s="377"/>
      <c r="M160" s="377"/>
      <c r="N160" s="377"/>
      <c r="O160" s="377"/>
    </row>
    <row r="161">
      <c r="B161" s="377"/>
      <c r="C161" s="377"/>
      <c r="D161" s="377"/>
      <c r="E161" s="377"/>
      <c r="F161" s="377"/>
      <c r="G161" s="377"/>
      <c r="H161" s="377"/>
      <c r="I161" s="377"/>
      <c r="J161" s="377"/>
      <c r="K161" s="377"/>
      <c r="L161" s="377"/>
      <c r="M161" s="377"/>
      <c r="N161" s="377"/>
      <c r="O161" s="377"/>
    </row>
    <row r="162">
      <c r="B162" s="377"/>
      <c r="C162" s="377"/>
      <c r="D162" s="377"/>
      <c r="E162" s="377"/>
      <c r="F162" s="377"/>
      <c r="G162" s="377"/>
      <c r="H162" s="377"/>
      <c r="I162" s="377"/>
      <c r="J162" s="377"/>
      <c r="K162" s="377"/>
      <c r="L162" s="377"/>
      <c r="M162" s="377"/>
      <c r="N162" s="377"/>
      <c r="O162" s="377"/>
    </row>
    <row r="163">
      <c r="B163" s="377"/>
      <c r="C163" s="377"/>
      <c r="D163" s="377"/>
      <c r="E163" s="377"/>
      <c r="F163" s="377"/>
      <c r="G163" s="377"/>
      <c r="H163" s="377"/>
      <c r="I163" s="377"/>
      <c r="J163" s="377"/>
      <c r="K163" s="377"/>
      <c r="L163" s="377"/>
      <c r="M163" s="377"/>
      <c r="N163" s="377"/>
      <c r="O163" s="377"/>
    </row>
    <row r="164">
      <c r="B164" s="377"/>
      <c r="C164" s="377"/>
      <c r="D164" s="377"/>
      <c r="E164" s="377"/>
      <c r="F164" s="377"/>
      <c r="G164" s="377"/>
      <c r="H164" s="377"/>
      <c r="I164" s="377"/>
      <c r="J164" s="377"/>
      <c r="K164" s="377"/>
      <c r="L164" s="377"/>
      <c r="M164" s="377"/>
      <c r="N164" s="377"/>
      <c r="O164" s="377"/>
    </row>
    <row r="165">
      <c r="B165" s="377"/>
      <c r="C165" s="377"/>
      <c r="D165" s="377"/>
      <c r="E165" s="377"/>
      <c r="F165" s="377"/>
      <c r="G165" s="377"/>
      <c r="H165" s="377"/>
      <c r="I165" s="377"/>
      <c r="J165" s="377"/>
      <c r="K165" s="377"/>
      <c r="L165" s="377"/>
      <c r="M165" s="377"/>
      <c r="N165" s="377"/>
      <c r="O165" s="377"/>
    </row>
    <row r="166">
      <c r="B166" s="377"/>
      <c r="C166" s="377"/>
      <c r="D166" s="377"/>
      <c r="E166" s="377"/>
      <c r="F166" s="377"/>
      <c r="G166" s="377"/>
      <c r="H166" s="377"/>
      <c r="I166" s="377"/>
      <c r="J166" s="377"/>
      <c r="K166" s="377"/>
      <c r="L166" s="377"/>
      <c r="M166" s="377"/>
      <c r="N166" s="377"/>
      <c r="O166" s="377"/>
    </row>
    <row r="167">
      <c r="B167" s="377"/>
      <c r="C167" s="377"/>
      <c r="D167" s="377"/>
      <c r="E167" s="377"/>
      <c r="F167" s="377"/>
      <c r="G167" s="377"/>
      <c r="H167" s="377"/>
      <c r="I167" s="377"/>
      <c r="J167" s="377"/>
      <c r="K167" s="377"/>
      <c r="L167" s="377"/>
      <c r="M167" s="377"/>
      <c r="N167" s="377"/>
      <c r="O167" s="377"/>
    </row>
    <row r="168">
      <c r="B168" s="377"/>
      <c r="C168" s="377"/>
      <c r="D168" s="377"/>
      <c r="E168" s="377"/>
      <c r="F168" s="377"/>
      <c r="G168" s="377"/>
      <c r="H168" s="377"/>
      <c r="I168" s="377"/>
      <c r="J168" s="377"/>
      <c r="K168" s="377"/>
      <c r="L168" s="377"/>
      <c r="M168" s="377"/>
      <c r="N168" s="377"/>
      <c r="O168" s="377"/>
    </row>
    <row r="169">
      <c r="B169" s="377"/>
      <c r="C169" s="377"/>
      <c r="D169" s="377"/>
      <c r="E169" s="377"/>
      <c r="F169" s="377"/>
      <c r="G169" s="377"/>
      <c r="H169" s="377"/>
      <c r="I169" s="377"/>
      <c r="J169" s="377"/>
      <c r="K169" s="377"/>
      <c r="L169" s="377"/>
      <c r="M169" s="377"/>
      <c r="N169" s="377"/>
      <c r="O169" s="377"/>
    </row>
    <row r="170">
      <c r="B170" s="377"/>
      <c r="C170" s="377"/>
      <c r="D170" s="377"/>
      <c r="E170" s="377"/>
      <c r="F170" s="377"/>
      <c r="G170" s="377"/>
      <c r="H170" s="377"/>
      <c r="I170" s="377"/>
      <c r="J170" s="377"/>
      <c r="K170" s="377"/>
      <c r="L170" s="377"/>
      <c r="M170" s="377"/>
      <c r="N170" s="377"/>
      <c r="O170" s="377"/>
    </row>
    <row r="171">
      <c r="B171" s="377"/>
      <c r="C171" s="377"/>
      <c r="D171" s="377"/>
      <c r="E171" s="377"/>
      <c r="F171" s="377"/>
      <c r="G171" s="377"/>
      <c r="H171" s="377"/>
      <c r="I171" s="377"/>
      <c r="J171" s="377"/>
      <c r="K171" s="377"/>
      <c r="L171" s="377"/>
      <c r="M171" s="377"/>
      <c r="N171" s="377"/>
      <c r="O171" s="377"/>
    </row>
    <row r="172">
      <c r="B172" s="377"/>
      <c r="C172" s="377"/>
      <c r="D172" s="377"/>
      <c r="E172" s="377"/>
      <c r="F172" s="377"/>
      <c r="G172" s="377"/>
      <c r="H172" s="377"/>
      <c r="I172" s="377"/>
      <c r="J172" s="377"/>
      <c r="K172" s="377"/>
      <c r="L172" s="377"/>
      <c r="M172" s="377"/>
      <c r="N172" s="377"/>
      <c r="O172" s="377"/>
    </row>
    <row r="173">
      <c r="B173" s="377"/>
      <c r="C173" s="377"/>
      <c r="D173" s="377"/>
      <c r="E173" s="377"/>
      <c r="F173" s="377"/>
      <c r="G173" s="377"/>
      <c r="H173" s="377"/>
      <c r="I173" s="377"/>
      <c r="J173" s="377"/>
      <c r="K173" s="377"/>
      <c r="L173" s="377"/>
      <c r="M173" s="377"/>
      <c r="N173" s="377"/>
      <c r="O173" s="377"/>
    </row>
    <row r="174">
      <c r="B174" s="377"/>
      <c r="C174" s="377"/>
      <c r="D174" s="377"/>
      <c r="E174" s="377"/>
      <c r="F174" s="377"/>
      <c r="G174" s="377"/>
      <c r="H174" s="377"/>
      <c r="I174" s="377"/>
      <c r="J174" s="377"/>
      <c r="K174" s="377"/>
      <c r="L174" s="377"/>
      <c r="M174" s="377"/>
      <c r="N174" s="377"/>
      <c r="O174" s="377"/>
    </row>
    <row r="175">
      <c r="B175" s="377"/>
      <c r="C175" s="377"/>
      <c r="D175" s="377"/>
      <c r="E175" s="377"/>
      <c r="F175" s="377"/>
      <c r="G175" s="377"/>
      <c r="H175" s="377"/>
      <c r="I175" s="377"/>
      <c r="J175" s="377"/>
      <c r="K175" s="377"/>
      <c r="L175" s="377"/>
      <c r="M175" s="377"/>
      <c r="N175" s="377"/>
      <c r="O175" s="377"/>
    </row>
    <row r="176">
      <c r="B176" s="377"/>
      <c r="C176" s="377"/>
      <c r="D176" s="377"/>
      <c r="E176" s="377"/>
      <c r="F176" s="377"/>
      <c r="G176" s="377"/>
      <c r="H176" s="377"/>
      <c r="I176" s="377"/>
      <c r="J176" s="377"/>
      <c r="K176" s="377"/>
      <c r="L176" s="377"/>
      <c r="M176" s="377"/>
      <c r="N176" s="377"/>
      <c r="O176" s="377"/>
    </row>
    <row r="177">
      <c r="B177" s="377"/>
      <c r="C177" s="377"/>
      <c r="D177" s="377"/>
      <c r="E177" s="377"/>
      <c r="F177" s="377"/>
      <c r="G177" s="377"/>
      <c r="H177" s="377"/>
      <c r="I177" s="377"/>
      <c r="J177" s="377"/>
      <c r="K177" s="377"/>
      <c r="L177" s="377"/>
      <c r="M177" s="377"/>
      <c r="N177" s="377"/>
      <c r="O177" s="377"/>
    </row>
    <row r="178">
      <c r="B178" s="377"/>
      <c r="C178" s="377"/>
      <c r="D178" s="377"/>
      <c r="E178" s="377"/>
      <c r="F178" s="377"/>
      <c r="G178" s="377"/>
      <c r="H178" s="377"/>
      <c r="I178" s="377"/>
      <c r="J178" s="377"/>
      <c r="K178" s="377"/>
      <c r="L178" s="377"/>
      <c r="M178" s="377"/>
      <c r="N178" s="377"/>
      <c r="O178" s="377"/>
    </row>
    <row r="179">
      <c r="B179" s="377"/>
      <c r="C179" s="377"/>
      <c r="D179" s="377"/>
      <c r="E179" s="377"/>
      <c r="F179" s="377"/>
      <c r="G179" s="377"/>
      <c r="H179" s="377"/>
      <c r="I179" s="377"/>
      <c r="J179" s="377"/>
      <c r="K179" s="377"/>
      <c r="L179" s="377"/>
      <c r="M179" s="377"/>
      <c r="N179" s="377"/>
      <c r="O179" s="377"/>
    </row>
    <row r="180">
      <c r="B180" s="377"/>
      <c r="C180" s="377"/>
      <c r="D180" s="377"/>
      <c r="E180" s="377"/>
      <c r="F180" s="377"/>
      <c r="G180" s="377"/>
      <c r="H180" s="377"/>
      <c r="I180" s="377"/>
      <c r="J180" s="377"/>
      <c r="K180" s="377"/>
      <c r="L180" s="377"/>
      <c r="M180" s="377"/>
      <c r="N180" s="377"/>
      <c r="O180" s="377"/>
    </row>
    <row r="181">
      <c r="B181" s="377"/>
      <c r="C181" s="377"/>
      <c r="D181" s="377"/>
      <c r="E181" s="377"/>
      <c r="F181" s="377"/>
      <c r="G181" s="377"/>
      <c r="H181" s="377"/>
      <c r="I181" s="377"/>
      <c r="J181" s="377"/>
      <c r="K181" s="377"/>
      <c r="L181" s="377"/>
      <c r="M181" s="377"/>
      <c r="N181" s="377"/>
      <c r="O181" s="377"/>
    </row>
    <row r="182">
      <c r="B182" s="377"/>
      <c r="C182" s="377"/>
      <c r="D182" s="377"/>
      <c r="E182" s="377"/>
      <c r="F182" s="377"/>
      <c r="G182" s="377"/>
      <c r="H182" s="377"/>
      <c r="I182" s="377"/>
      <c r="J182" s="377"/>
      <c r="K182" s="377"/>
      <c r="L182" s="377"/>
      <c r="M182" s="377"/>
      <c r="N182" s="377"/>
      <c r="O182" s="377"/>
    </row>
    <row r="183">
      <c r="B183" s="377"/>
      <c r="C183" s="377"/>
      <c r="D183" s="377"/>
      <c r="E183" s="377"/>
      <c r="F183" s="377"/>
      <c r="G183" s="377"/>
      <c r="H183" s="377"/>
      <c r="I183" s="377"/>
      <c r="J183" s="377"/>
      <c r="K183" s="377"/>
      <c r="L183" s="377"/>
      <c r="M183" s="377"/>
      <c r="N183" s="377"/>
      <c r="O183" s="377"/>
    </row>
    <row r="184">
      <c r="B184" s="377"/>
      <c r="C184" s="377"/>
      <c r="D184" s="377"/>
      <c r="E184" s="377"/>
      <c r="F184" s="377"/>
      <c r="G184" s="377"/>
      <c r="H184" s="377"/>
      <c r="I184" s="377"/>
      <c r="J184" s="377"/>
      <c r="K184" s="377"/>
      <c r="L184" s="377"/>
      <c r="M184" s="377"/>
      <c r="N184" s="377"/>
      <c r="O184" s="377"/>
    </row>
    <row r="185">
      <c r="B185" s="377"/>
      <c r="C185" s="377"/>
      <c r="D185" s="377"/>
      <c r="E185" s="377"/>
      <c r="F185" s="377"/>
      <c r="G185" s="377"/>
      <c r="H185" s="377"/>
      <c r="I185" s="377"/>
      <c r="J185" s="377"/>
      <c r="K185" s="377"/>
      <c r="L185" s="377"/>
      <c r="M185" s="377"/>
      <c r="N185" s="377"/>
      <c r="O185" s="377"/>
    </row>
    <row r="186">
      <c r="B186" s="377"/>
      <c r="C186" s="377"/>
      <c r="D186" s="377"/>
      <c r="E186" s="377"/>
      <c r="F186" s="377"/>
      <c r="G186" s="377"/>
      <c r="H186" s="377"/>
      <c r="I186" s="377"/>
      <c r="J186" s="377"/>
      <c r="K186" s="377"/>
      <c r="L186" s="377"/>
      <c r="M186" s="377"/>
      <c r="N186" s="377"/>
      <c r="O186" s="377"/>
    </row>
    <row r="187">
      <c r="B187" s="377"/>
      <c r="C187" s="377"/>
      <c r="D187" s="377"/>
      <c r="E187" s="377"/>
      <c r="F187" s="377"/>
      <c r="G187" s="377"/>
      <c r="H187" s="377"/>
      <c r="I187" s="377"/>
      <c r="J187" s="377"/>
      <c r="K187" s="377"/>
      <c r="L187" s="377"/>
      <c r="M187" s="377"/>
      <c r="N187" s="377"/>
      <c r="O187" s="377"/>
    </row>
    <row r="188">
      <c r="B188" s="377"/>
      <c r="C188" s="377"/>
      <c r="D188" s="377"/>
      <c r="E188" s="377"/>
      <c r="F188" s="377"/>
      <c r="G188" s="377"/>
      <c r="H188" s="377"/>
      <c r="I188" s="377"/>
      <c r="J188" s="377"/>
      <c r="K188" s="377"/>
      <c r="L188" s="377"/>
      <c r="M188" s="377"/>
      <c r="N188" s="377"/>
      <c r="O188" s="377"/>
    </row>
    <row r="189">
      <c r="B189" s="377"/>
      <c r="C189" s="377"/>
      <c r="D189" s="377"/>
      <c r="E189" s="377"/>
      <c r="F189" s="377"/>
      <c r="G189" s="377"/>
      <c r="H189" s="377"/>
      <c r="I189" s="377"/>
      <c r="J189" s="377"/>
      <c r="K189" s="377"/>
      <c r="L189" s="377"/>
      <c r="M189" s="377"/>
      <c r="N189" s="377"/>
      <c r="O189" s="377"/>
    </row>
    <row r="190">
      <c r="B190" s="377"/>
      <c r="C190" s="377"/>
      <c r="D190" s="377"/>
      <c r="E190" s="377"/>
      <c r="F190" s="377"/>
      <c r="G190" s="377"/>
      <c r="H190" s="377"/>
      <c r="I190" s="377"/>
      <c r="J190" s="377"/>
      <c r="K190" s="377"/>
      <c r="L190" s="377"/>
      <c r="M190" s="377"/>
      <c r="N190" s="377"/>
      <c r="O190" s="377"/>
    </row>
    <row r="191">
      <c r="B191" s="377"/>
      <c r="C191" s="377"/>
      <c r="D191" s="377"/>
      <c r="E191" s="377"/>
      <c r="F191" s="377"/>
      <c r="G191" s="377"/>
      <c r="H191" s="377"/>
      <c r="I191" s="377"/>
      <c r="J191" s="377"/>
      <c r="K191" s="377"/>
      <c r="L191" s="377"/>
      <c r="M191" s="377"/>
      <c r="N191" s="377"/>
      <c r="O191" s="377"/>
    </row>
    <row r="192">
      <c r="B192" s="377"/>
      <c r="C192" s="377"/>
      <c r="D192" s="377"/>
      <c r="E192" s="377"/>
      <c r="F192" s="377"/>
      <c r="G192" s="377"/>
      <c r="H192" s="377"/>
      <c r="I192" s="377"/>
      <c r="J192" s="377"/>
      <c r="K192" s="377"/>
      <c r="L192" s="377"/>
      <c r="M192" s="377"/>
      <c r="N192" s="377"/>
      <c r="O192" s="377"/>
    </row>
    <row r="193">
      <c r="B193" s="377"/>
      <c r="C193" s="377"/>
      <c r="D193" s="377"/>
      <c r="E193" s="377"/>
      <c r="F193" s="377"/>
      <c r="G193" s="377"/>
      <c r="H193" s="377"/>
      <c r="I193" s="377"/>
      <c r="J193" s="377"/>
      <c r="K193" s="377"/>
      <c r="L193" s="377"/>
      <c r="M193" s="377"/>
      <c r="N193" s="377"/>
      <c r="O193" s="377"/>
    </row>
    <row r="194">
      <c r="B194" s="377"/>
      <c r="C194" s="377"/>
      <c r="D194" s="377"/>
      <c r="E194" s="377"/>
      <c r="F194" s="377"/>
      <c r="G194" s="377"/>
      <c r="H194" s="377"/>
      <c r="I194" s="377"/>
      <c r="J194" s="377"/>
      <c r="K194" s="377"/>
      <c r="L194" s="377"/>
      <c r="M194" s="377"/>
      <c r="N194" s="377"/>
      <c r="O194" s="377"/>
    </row>
    <row r="195">
      <c r="B195" s="377"/>
      <c r="C195" s="377"/>
      <c r="D195" s="377"/>
      <c r="E195" s="377"/>
      <c r="F195" s="377"/>
      <c r="G195" s="377"/>
      <c r="H195" s="377"/>
      <c r="I195" s="377"/>
      <c r="J195" s="377"/>
      <c r="K195" s="377"/>
      <c r="L195" s="377"/>
      <c r="M195" s="377"/>
      <c r="N195" s="377"/>
      <c r="O195" s="377"/>
    </row>
    <row r="196">
      <c r="B196" s="377"/>
      <c r="C196" s="377"/>
      <c r="D196" s="377"/>
      <c r="E196" s="377"/>
      <c r="F196" s="377"/>
      <c r="G196" s="377"/>
      <c r="H196" s="377"/>
      <c r="I196" s="377"/>
      <c r="J196" s="377"/>
      <c r="K196" s="377"/>
      <c r="L196" s="377"/>
      <c r="M196" s="377"/>
      <c r="N196" s="377"/>
      <c r="O196" s="377"/>
    </row>
    <row r="197">
      <c r="B197" s="377"/>
      <c r="C197" s="377"/>
      <c r="D197" s="377"/>
      <c r="E197" s="377"/>
      <c r="F197" s="377"/>
      <c r="G197" s="377"/>
      <c r="H197" s="377"/>
      <c r="I197" s="377"/>
      <c r="J197" s="377"/>
      <c r="K197" s="377"/>
      <c r="L197" s="377"/>
      <c r="M197" s="377"/>
      <c r="N197" s="377"/>
      <c r="O197" s="377"/>
    </row>
    <row r="198">
      <c r="B198" s="377"/>
      <c r="C198" s="377"/>
      <c r="D198" s="377"/>
      <c r="E198" s="377"/>
      <c r="F198" s="377"/>
      <c r="G198" s="377"/>
      <c r="H198" s="377"/>
      <c r="I198" s="377"/>
      <c r="J198" s="377"/>
      <c r="K198" s="377"/>
      <c r="L198" s="377"/>
      <c r="M198" s="377"/>
      <c r="N198" s="377"/>
      <c r="O198" s="377"/>
    </row>
    <row r="199">
      <c r="B199" s="377"/>
      <c r="C199" s="377"/>
      <c r="D199" s="377"/>
      <c r="E199" s="377"/>
      <c r="F199" s="377"/>
      <c r="G199" s="377"/>
      <c r="H199" s="377"/>
      <c r="I199" s="377"/>
      <c r="J199" s="377"/>
      <c r="K199" s="377"/>
      <c r="L199" s="377"/>
      <c r="M199" s="377"/>
      <c r="N199" s="377"/>
      <c r="O199" s="377"/>
    </row>
    <row r="200">
      <c r="B200" s="377"/>
      <c r="C200" s="377"/>
      <c r="D200" s="377"/>
      <c r="E200" s="377"/>
      <c r="F200" s="377"/>
      <c r="G200" s="377"/>
      <c r="H200" s="377"/>
      <c r="I200" s="377"/>
      <c r="J200" s="377"/>
      <c r="K200" s="377"/>
      <c r="L200" s="377"/>
      <c r="M200" s="377"/>
      <c r="N200" s="377"/>
      <c r="O200" s="377"/>
    </row>
    <row r="201">
      <c r="B201" s="377"/>
      <c r="C201" s="377"/>
      <c r="D201" s="377"/>
      <c r="E201" s="377"/>
      <c r="F201" s="377"/>
      <c r="G201" s="377"/>
      <c r="H201" s="377"/>
      <c r="I201" s="377"/>
      <c r="J201" s="377"/>
      <c r="K201" s="377"/>
      <c r="L201" s="377"/>
      <c r="M201" s="377"/>
      <c r="N201" s="377"/>
      <c r="O201" s="377"/>
    </row>
    <row r="202">
      <c r="B202" s="377"/>
      <c r="C202" s="377"/>
      <c r="D202" s="377"/>
      <c r="E202" s="377"/>
      <c r="F202" s="377"/>
      <c r="G202" s="377"/>
      <c r="H202" s="377"/>
      <c r="I202" s="377"/>
      <c r="J202" s="377"/>
      <c r="K202" s="377"/>
      <c r="L202" s="377"/>
      <c r="M202" s="377"/>
      <c r="N202" s="377"/>
      <c r="O202" s="377"/>
    </row>
    <row r="203">
      <c r="B203" s="377"/>
      <c r="C203" s="377"/>
      <c r="D203" s="377"/>
      <c r="E203" s="377"/>
      <c r="F203" s="377"/>
      <c r="G203" s="377"/>
      <c r="H203" s="377"/>
      <c r="I203" s="377"/>
      <c r="J203" s="377"/>
      <c r="K203" s="377"/>
      <c r="L203" s="377"/>
      <c r="M203" s="377"/>
      <c r="N203" s="377"/>
      <c r="O203" s="377"/>
    </row>
    <row r="204">
      <c r="B204" s="377"/>
      <c r="C204" s="377"/>
      <c r="D204" s="377"/>
      <c r="E204" s="377"/>
      <c r="F204" s="377"/>
      <c r="G204" s="377"/>
      <c r="H204" s="377"/>
      <c r="I204" s="377"/>
      <c r="J204" s="377"/>
      <c r="K204" s="377"/>
      <c r="L204" s="377"/>
      <c r="M204" s="377"/>
      <c r="N204" s="377"/>
      <c r="O204" s="377"/>
    </row>
    <row r="205">
      <c r="B205" s="377"/>
      <c r="C205" s="377"/>
      <c r="D205" s="377"/>
      <c r="E205" s="377"/>
      <c r="F205" s="377"/>
      <c r="G205" s="377"/>
      <c r="H205" s="377"/>
      <c r="I205" s="377"/>
      <c r="J205" s="377"/>
      <c r="K205" s="377"/>
      <c r="L205" s="377"/>
      <c r="M205" s="377"/>
      <c r="N205" s="377"/>
      <c r="O205" s="377"/>
    </row>
    <row r="206">
      <c r="B206" s="377"/>
      <c r="C206" s="377"/>
      <c r="D206" s="377"/>
      <c r="E206" s="377"/>
      <c r="F206" s="377"/>
      <c r="G206" s="377"/>
      <c r="H206" s="377"/>
      <c r="I206" s="377"/>
      <c r="J206" s="377"/>
      <c r="K206" s="377"/>
      <c r="L206" s="377"/>
      <c r="M206" s="377"/>
      <c r="N206" s="377"/>
      <c r="O206" s="377"/>
    </row>
    <row r="207">
      <c r="B207" s="377"/>
      <c r="C207" s="377"/>
      <c r="D207" s="377"/>
      <c r="E207" s="377"/>
      <c r="F207" s="377"/>
      <c r="G207" s="377"/>
      <c r="H207" s="377"/>
      <c r="I207" s="377"/>
      <c r="J207" s="377"/>
      <c r="K207" s="377"/>
      <c r="L207" s="377"/>
      <c r="M207" s="377"/>
      <c r="N207" s="377"/>
      <c r="O207" s="377"/>
    </row>
    <row r="208">
      <c r="B208" s="377"/>
      <c r="C208" s="377"/>
      <c r="D208" s="377"/>
      <c r="E208" s="377"/>
      <c r="F208" s="377"/>
      <c r="G208" s="377"/>
      <c r="H208" s="377"/>
      <c r="I208" s="377"/>
      <c r="J208" s="377"/>
      <c r="K208" s="377"/>
      <c r="L208" s="377"/>
      <c r="M208" s="377"/>
      <c r="N208" s="377"/>
      <c r="O208" s="377"/>
    </row>
    <row r="209">
      <c r="B209" s="377"/>
      <c r="C209" s="377"/>
      <c r="D209" s="377"/>
      <c r="E209" s="377"/>
      <c r="F209" s="377"/>
      <c r="G209" s="377"/>
      <c r="H209" s="377"/>
      <c r="I209" s="377"/>
      <c r="J209" s="377"/>
      <c r="K209" s="377"/>
      <c r="L209" s="377"/>
      <c r="M209" s="377"/>
      <c r="N209" s="377"/>
      <c r="O209" s="377"/>
    </row>
    <row r="210">
      <c r="B210" s="377"/>
      <c r="C210" s="377"/>
      <c r="D210" s="377"/>
      <c r="E210" s="377"/>
      <c r="F210" s="377"/>
      <c r="G210" s="377"/>
      <c r="H210" s="377"/>
      <c r="I210" s="377"/>
      <c r="J210" s="377"/>
      <c r="K210" s="377"/>
      <c r="L210" s="377"/>
      <c r="M210" s="377"/>
      <c r="N210" s="377"/>
      <c r="O210" s="377"/>
    </row>
    <row r="211">
      <c r="B211" s="377"/>
      <c r="C211" s="377"/>
      <c r="D211" s="377"/>
      <c r="E211" s="377"/>
      <c r="F211" s="377"/>
      <c r="G211" s="377"/>
      <c r="H211" s="377"/>
      <c r="I211" s="377"/>
      <c r="J211" s="377"/>
      <c r="K211" s="377"/>
      <c r="L211" s="377"/>
      <c r="M211" s="377"/>
      <c r="N211" s="377"/>
      <c r="O211" s="377"/>
    </row>
    <row r="212">
      <c r="B212" s="377"/>
      <c r="C212" s="377"/>
      <c r="D212" s="377"/>
      <c r="E212" s="377"/>
      <c r="F212" s="377"/>
      <c r="G212" s="377"/>
      <c r="H212" s="377"/>
      <c r="I212" s="377"/>
      <c r="J212" s="377"/>
      <c r="K212" s="377"/>
      <c r="L212" s="377"/>
      <c r="M212" s="377"/>
      <c r="N212" s="377"/>
      <c r="O212" s="377"/>
    </row>
    <row r="213">
      <c r="B213" s="377"/>
      <c r="C213" s="377"/>
      <c r="D213" s="377"/>
      <c r="E213" s="377"/>
      <c r="F213" s="377"/>
      <c r="G213" s="377"/>
      <c r="H213" s="377"/>
      <c r="I213" s="377"/>
      <c r="J213" s="377"/>
      <c r="K213" s="377"/>
      <c r="L213" s="377"/>
      <c r="M213" s="377"/>
      <c r="N213" s="377"/>
      <c r="O213" s="377"/>
    </row>
    <row r="214">
      <c r="B214" s="377"/>
      <c r="C214" s="377"/>
      <c r="D214" s="377"/>
      <c r="E214" s="377"/>
      <c r="F214" s="377"/>
      <c r="G214" s="377"/>
      <c r="H214" s="377"/>
      <c r="I214" s="377"/>
      <c r="J214" s="377"/>
      <c r="K214" s="377"/>
      <c r="L214" s="377"/>
      <c r="M214" s="377"/>
      <c r="N214" s="377"/>
      <c r="O214" s="377"/>
    </row>
    <row r="215">
      <c r="B215" s="377"/>
      <c r="C215" s="377"/>
      <c r="D215" s="377"/>
      <c r="E215" s="377"/>
      <c r="F215" s="377"/>
      <c r="G215" s="377"/>
      <c r="H215" s="377"/>
      <c r="I215" s="377"/>
      <c r="J215" s="377"/>
      <c r="K215" s="377"/>
      <c r="L215" s="377"/>
      <c r="M215" s="377"/>
      <c r="N215" s="377"/>
      <c r="O215" s="377"/>
    </row>
    <row r="216">
      <c r="B216" s="377"/>
      <c r="C216" s="377"/>
      <c r="D216" s="377"/>
      <c r="E216" s="377"/>
      <c r="F216" s="377"/>
      <c r="G216" s="377"/>
      <c r="H216" s="377"/>
      <c r="I216" s="377"/>
      <c r="J216" s="377"/>
      <c r="K216" s="377"/>
      <c r="L216" s="377"/>
      <c r="M216" s="377"/>
      <c r="N216" s="377"/>
      <c r="O216" s="377"/>
    </row>
    <row r="217">
      <c r="B217" s="377"/>
      <c r="C217" s="377"/>
      <c r="D217" s="377"/>
      <c r="E217" s="377"/>
      <c r="F217" s="377"/>
      <c r="G217" s="377"/>
      <c r="H217" s="377"/>
      <c r="I217" s="377"/>
      <c r="J217" s="377"/>
      <c r="K217" s="377"/>
      <c r="L217" s="377"/>
      <c r="M217" s="377"/>
      <c r="N217" s="377"/>
      <c r="O217" s="377"/>
    </row>
    <row r="218">
      <c r="B218" s="377"/>
      <c r="C218" s="377"/>
      <c r="D218" s="377"/>
      <c r="E218" s="377"/>
      <c r="F218" s="377"/>
      <c r="G218" s="377"/>
      <c r="H218" s="377"/>
      <c r="I218" s="377"/>
      <c r="J218" s="377"/>
      <c r="K218" s="377"/>
      <c r="L218" s="377"/>
      <c r="M218" s="377"/>
      <c r="N218" s="377"/>
      <c r="O218" s="377"/>
    </row>
    <row r="219">
      <c r="B219" s="377"/>
      <c r="C219" s="377"/>
      <c r="D219" s="377"/>
      <c r="E219" s="377"/>
      <c r="F219" s="377"/>
      <c r="G219" s="377"/>
      <c r="H219" s="377"/>
      <c r="I219" s="377"/>
      <c r="J219" s="377"/>
      <c r="K219" s="377"/>
      <c r="L219" s="377"/>
      <c r="M219" s="377"/>
      <c r="N219" s="377"/>
      <c r="O219" s="377"/>
    </row>
    <row r="220">
      <c r="B220" s="377"/>
      <c r="C220" s="377"/>
      <c r="D220" s="377"/>
      <c r="E220" s="377"/>
      <c r="F220" s="377"/>
      <c r="G220" s="377"/>
      <c r="H220" s="377"/>
      <c r="I220" s="377"/>
      <c r="J220" s="377"/>
      <c r="K220" s="377"/>
      <c r="L220" s="377"/>
      <c r="M220" s="377"/>
      <c r="N220" s="377"/>
      <c r="O220" s="377"/>
    </row>
    <row r="221">
      <c r="B221" s="377"/>
      <c r="C221" s="377"/>
      <c r="D221" s="377"/>
      <c r="E221" s="377"/>
      <c r="F221" s="377"/>
      <c r="G221" s="377"/>
      <c r="H221" s="377"/>
      <c r="I221" s="377"/>
      <c r="J221" s="377"/>
      <c r="K221" s="377"/>
      <c r="L221" s="377"/>
      <c r="M221" s="377"/>
      <c r="N221" s="377"/>
      <c r="O221" s="377"/>
    </row>
    <row r="222">
      <c r="B222" s="377"/>
      <c r="C222" s="377"/>
      <c r="D222" s="377"/>
      <c r="E222" s="377"/>
      <c r="F222" s="377"/>
      <c r="G222" s="377"/>
      <c r="H222" s="377"/>
      <c r="I222" s="377"/>
      <c r="J222" s="377"/>
      <c r="K222" s="377"/>
      <c r="L222" s="377"/>
      <c r="M222" s="377"/>
      <c r="N222" s="377"/>
      <c r="O222" s="377"/>
    </row>
    <row r="223">
      <c r="B223" s="377"/>
      <c r="C223" s="377"/>
      <c r="D223" s="377"/>
      <c r="E223" s="377"/>
      <c r="F223" s="377"/>
      <c r="G223" s="377"/>
      <c r="H223" s="377"/>
      <c r="I223" s="377"/>
      <c r="J223" s="377"/>
      <c r="K223" s="377"/>
      <c r="L223" s="377"/>
      <c r="M223" s="377"/>
      <c r="N223" s="377"/>
      <c r="O223" s="377"/>
    </row>
    <row r="224">
      <c r="B224" s="377"/>
      <c r="C224" s="377"/>
      <c r="D224" s="377"/>
      <c r="E224" s="377"/>
      <c r="F224" s="377"/>
      <c r="G224" s="377"/>
      <c r="H224" s="377"/>
      <c r="I224" s="377"/>
      <c r="J224" s="377"/>
      <c r="K224" s="377"/>
      <c r="L224" s="377"/>
      <c r="M224" s="377"/>
      <c r="N224" s="377"/>
      <c r="O224" s="377"/>
    </row>
    <row r="225">
      <c r="B225" s="377"/>
      <c r="C225" s="377"/>
      <c r="D225" s="377"/>
      <c r="E225" s="377"/>
      <c r="F225" s="377"/>
      <c r="G225" s="377"/>
      <c r="H225" s="377"/>
      <c r="I225" s="377"/>
      <c r="J225" s="377"/>
      <c r="K225" s="377"/>
      <c r="L225" s="377"/>
      <c r="M225" s="377"/>
      <c r="N225" s="377"/>
      <c r="O225" s="377"/>
    </row>
    <row r="226">
      <c r="B226" s="377"/>
      <c r="C226" s="377"/>
      <c r="D226" s="377"/>
      <c r="E226" s="377"/>
      <c r="F226" s="377"/>
      <c r="G226" s="377"/>
      <c r="H226" s="377"/>
      <c r="I226" s="377"/>
      <c r="J226" s="377"/>
      <c r="K226" s="377"/>
      <c r="L226" s="377"/>
      <c r="M226" s="377"/>
      <c r="N226" s="377"/>
      <c r="O226" s="377"/>
    </row>
    <row r="227">
      <c r="B227" s="377"/>
      <c r="C227" s="377"/>
      <c r="D227" s="377"/>
      <c r="E227" s="377"/>
      <c r="F227" s="377"/>
      <c r="G227" s="377"/>
      <c r="H227" s="377"/>
      <c r="I227" s="377"/>
      <c r="J227" s="377"/>
      <c r="K227" s="377"/>
      <c r="L227" s="377"/>
      <c r="M227" s="377"/>
      <c r="N227" s="377"/>
      <c r="O227" s="377"/>
    </row>
    <row r="228">
      <c r="B228" s="377"/>
      <c r="C228" s="377"/>
      <c r="D228" s="377"/>
      <c r="E228" s="377"/>
      <c r="F228" s="377"/>
      <c r="G228" s="377"/>
      <c r="H228" s="377"/>
      <c r="I228" s="377"/>
      <c r="J228" s="377"/>
      <c r="K228" s="377"/>
      <c r="L228" s="377"/>
      <c r="M228" s="377"/>
      <c r="N228" s="377"/>
      <c r="O228" s="377"/>
    </row>
    <row r="229">
      <c r="B229" s="377"/>
      <c r="C229" s="377"/>
      <c r="D229" s="377"/>
      <c r="E229" s="377"/>
      <c r="F229" s="377"/>
      <c r="G229" s="377"/>
      <c r="H229" s="377"/>
      <c r="I229" s="377"/>
      <c r="J229" s="377"/>
      <c r="K229" s="377"/>
      <c r="L229" s="377"/>
      <c r="M229" s="377"/>
      <c r="N229" s="377"/>
      <c r="O229" s="377"/>
    </row>
    <row r="230">
      <c r="B230" s="377"/>
      <c r="C230" s="377"/>
      <c r="D230" s="377"/>
      <c r="E230" s="377"/>
      <c r="F230" s="377"/>
      <c r="G230" s="377"/>
      <c r="H230" s="377"/>
      <c r="I230" s="377"/>
      <c r="J230" s="377"/>
      <c r="K230" s="377"/>
      <c r="L230" s="377"/>
      <c r="M230" s="377"/>
      <c r="N230" s="377"/>
      <c r="O230" s="377"/>
    </row>
    <row r="231">
      <c r="B231" s="377"/>
      <c r="C231" s="377"/>
      <c r="D231" s="377"/>
      <c r="E231" s="377"/>
      <c r="F231" s="377"/>
      <c r="G231" s="377"/>
      <c r="H231" s="377"/>
      <c r="I231" s="377"/>
      <c r="J231" s="377"/>
      <c r="K231" s="377"/>
      <c r="L231" s="377"/>
      <c r="M231" s="377"/>
      <c r="N231" s="377"/>
      <c r="O231" s="377"/>
    </row>
    <row r="232">
      <c r="B232" s="377"/>
      <c r="C232" s="377"/>
      <c r="D232" s="377"/>
      <c r="E232" s="377"/>
      <c r="F232" s="377"/>
      <c r="G232" s="377"/>
      <c r="H232" s="377"/>
      <c r="I232" s="377"/>
      <c r="J232" s="377"/>
      <c r="K232" s="377"/>
      <c r="L232" s="377"/>
      <c r="M232" s="377"/>
      <c r="N232" s="377"/>
      <c r="O232" s="377"/>
    </row>
    <row r="233">
      <c r="B233" s="377"/>
      <c r="C233" s="377"/>
      <c r="D233" s="377"/>
      <c r="E233" s="377"/>
      <c r="F233" s="377"/>
      <c r="G233" s="377"/>
      <c r="H233" s="377"/>
      <c r="I233" s="377"/>
      <c r="J233" s="377"/>
      <c r="K233" s="377"/>
      <c r="L233" s="377"/>
      <c r="M233" s="377"/>
      <c r="N233" s="377"/>
      <c r="O233" s="377"/>
    </row>
    <row r="234">
      <c r="B234" s="377"/>
      <c r="C234" s="377"/>
      <c r="D234" s="377"/>
      <c r="E234" s="377"/>
      <c r="F234" s="377"/>
      <c r="G234" s="377"/>
      <c r="H234" s="377"/>
      <c r="I234" s="377"/>
      <c r="J234" s="377"/>
      <c r="K234" s="377"/>
      <c r="L234" s="377"/>
      <c r="M234" s="377"/>
      <c r="N234" s="377"/>
      <c r="O234" s="377"/>
    </row>
    <row r="235">
      <c r="B235" s="377"/>
      <c r="C235" s="377"/>
      <c r="D235" s="377"/>
      <c r="E235" s="377"/>
      <c r="F235" s="377"/>
      <c r="G235" s="377"/>
      <c r="H235" s="377"/>
      <c r="I235" s="377"/>
      <c r="J235" s="377"/>
      <c r="K235" s="377"/>
      <c r="L235" s="377"/>
      <c r="M235" s="377"/>
      <c r="N235" s="377"/>
      <c r="O235" s="377"/>
    </row>
    <row r="236">
      <c r="B236" s="377"/>
      <c r="C236" s="377"/>
      <c r="D236" s="377"/>
      <c r="E236" s="377"/>
      <c r="F236" s="377"/>
      <c r="G236" s="377"/>
      <c r="H236" s="377"/>
      <c r="I236" s="377"/>
      <c r="J236" s="377"/>
      <c r="K236" s="377"/>
      <c r="L236" s="377"/>
      <c r="M236" s="377"/>
      <c r="N236" s="377"/>
      <c r="O236" s="377"/>
    </row>
    <row r="237">
      <c r="B237" s="377"/>
      <c r="C237" s="377"/>
      <c r="D237" s="377"/>
      <c r="E237" s="377"/>
      <c r="F237" s="377"/>
      <c r="G237" s="377"/>
      <c r="H237" s="377"/>
      <c r="I237" s="377"/>
      <c r="J237" s="377"/>
      <c r="K237" s="377"/>
      <c r="L237" s="377"/>
      <c r="M237" s="377"/>
      <c r="N237" s="377"/>
      <c r="O237" s="377"/>
    </row>
    <row r="238">
      <c r="B238" s="377"/>
      <c r="C238" s="377"/>
      <c r="D238" s="377"/>
      <c r="E238" s="377"/>
      <c r="F238" s="377"/>
      <c r="G238" s="377"/>
      <c r="H238" s="377"/>
      <c r="I238" s="377"/>
      <c r="J238" s="377"/>
      <c r="K238" s="377"/>
      <c r="L238" s="377"/>
      <c r="M238" s="377"/>
      <c r="N238" s="377"/>
      <c r="O238" s="377"/>
    </row>
    <row r="239">
      <c r="B239" s="377"/>
      <c r="C239" s="377"/>
      <c r="D239" s="377"/>
      <c r="E239" s="377"/>
      <c r="F239" s="377"/>
      <c r="G239" s="377"/>
      <c r="H239" s="377"/>
      <c r="I239" s="377"/>
      <c r="J239" s="377"/>
      <c r="K239" s="377"/>
      <c r="L239" s="377"/>
      <c r="M239" s="377"/>
      <c r="N239" s="377"/>
      <c r="O239" s="377"/>
    </row>
    <row r="240">
      <c r="B240" s="377"/>
      <c r="C240" s="377"/>
      <c r="D240" s="377"/>
      <c r="E240" s="377"/>
      <c r="F240" s="377"/>
      <c r="G240" s="377"/>
      <c r="H240" s="377"/>
      <c r="I240" s="377"/>
      <c r="J240" s="377"/>
      <c r="K240" s="377"/>
      <c r="L240" s="377"/>
      <c r="M240" s="377"/>
      <c r="N240" s="377"/>
      <c r="O240" s="377"/>
    </row>
    <row r="241">
      <c r="B241" s="377"/>
      <c r="C241" s="377"/>
      <c r="D241" s="377"/>
      <c r="E241" s="377"/>
      <c r="F241" s="377"/>
      <c r="G241" s="377"/>
      <c r="H241" s="377"/>
      <c r="I241" s="377"/>
      <c r="J241" s="377"/>
      <c r="K241" s="377"/>
      <c r="L241" s="377"/>
      <c r="M241" s="377"/>
      <c r="N241" s="377"/>
      <c r="O241" s="377"/>
    </row>
    <row r="242">
      <c r="B242" s="377"/>
      <c r="C242" s="377"/>
      <c r="D242" s="377"/>
      <c r="E242" s="377"/>
      <c r="F242" s="377"/>
      <c r="G242" s="377"/>
      <c r="H242" s="377"/>
      <c r="I242" s="377"/>
      <c r="J242" s="377"/>
      <c r="K242" s="377"/>
      <c r="L242" s="377"/>
      <c r="M242" s="377"/>
      <c r="N242" s="377"/>
      <c r="O242" s="377"/>
    </row>
    <row r="243">
      <c r="B243" s="377"/>
      <c r="C243" s="377"/>
      <c r="D243" s="377"/>
      <c r="E243" s="377"/>
      <c r="F243" s="377"/>
      <c r="G243" s="377"/>
      <c r="H243" s="377"/>
      <c r="I243" s="377"/>
      <c r="J243" s="377"/>
      <c r="K243" s="377"/>
      <c r="L243" s="377"/>
      <c r="M243" s="377"/>
      <c r="N243" s="377"/>
      <c r="O243" s="377"/>
    </row>
    <row r="244">
      <c r="B244" s="377"/>
      <c r="C244" s="377"/>
      <c r="D244" s="377"/>
      <c r="E244" s="377"/>
      <c r="F244" s="377"/>
      <c r="G244" s="377"/>
      <c r="H244" s="377"/>
      <c r="I244" s="377"/>
      <c r="J244" s="377"/>
      <c r="K244" s="377"/>
      <c r="L244" s="377"/>
      <c r="M244" s="377"/>
      <c r="N244" s="377"/>
      <c r="O244" s="377"/>
    </row>
    <row r="245">
      <c r="B245" s="377"/>
      <c r="C245" s="377"/>
      <c r="D245" s="377"/>
      <c r="E245" s="377"/>
      <c r="F245" s="377"/>
      <c r="G245" s="377"/>
      <c r="H245" s="377"/>
      <c r="I245" s="377"/>
      <c r="J245" s="377"/>
      <c r="K245" s="377"/>
      <c r="L245" s="377"/>
      <c r="M245" s="377"/>
      <c r="N245" s="377"/>
      <c r="O245" s="377"/>
    </row>
    <row r="246">
      <c r="B246" s="377"/>
      <c r="C246" s="377"/>
      <c r="D246" s="377"/>
      <c r="E246" s="377"/>
      <c r="F246" s="377"/>
      <c r="G246" s="377"/>
      <c r="H246" s="377"/>
      <c r="I246" s="377"/>
      <c r="J246" s="377"/>
      <c r="K246" s="377"/>
      <c r="L246" s="377"/>
      <c r="M246" s="377"/>
      <c r="N246" s="377"/>
      <c r="O246" s="377"/>
    </row>
    <row r="247">
      <c r="B247" s="377"/>
      <c r="C247" s="377"/>
      <c r="D247" s="377"/>
      <c r="E247" s="377"/>
      <c r="F247" s="377"/>
      <c r="G247" s="377"/>
      <c r="H247" s="377"/>
      <c r="I247" s="377"/>
      <c r="J247" s="377"/>
      <c r="K247" s="377"/>
      <c r="L247" s="377"/>
      <c r="M247" s="377"/>
      <c r="N247" s="377"/>
      <c r="O247" s="377"/>
    </row>
    <row r="248">
      <c r="B248" s="377"/>
      <c r="C248" s="377"/>
      <c r="D248" s="377"/>
      <c r="E248" s="377"/>
      <c r="F248" s="377"/>
      <c r="G248" s="377"/>
      <c r="H248" s="377"/>
      <c r="I248" s="377"/>
      <c r="J248" s="377"/>
      <c r="K248" s="377"/>
      <c r="L248" s="377"/>
      <c r="M248" s="377"/>
      <c r="N248" s="377"/>
      <c r="O248" s="377"/>
    </row>
    <row r="249">
      <c r="B249" s="377"/>
      <c r="C249" s="377"/>
      <c r="D249" s="377"/>
      <c r="E249" s="377"/>
      <c r="F249" s="377"/>
      <c r="G249" s="377"/>
      <c r="H249" s="377"/>
      <c r="I249" s="377"/>
      <c r="J249" s="377"/>
      <c r="K249" s="377"/>
      <c r="L249" s="377"/>
      <c r="M249" s="377"/>
      <c r="N249" s="377"/>
      <c r="O249" s="377"/>
    </row>
    <row r="250">
      <c r="B250" s="377"/>
      <c r="C250" s="377"/>
      <c r="D250" s="377"/>
      <c r="E250" s="377"/>
      <c r="F250" s="377"/>
      <c r="G250" s="377"/>
      <c r="H250" s="377"/>
      <c r="I250" s="377"/>
      <c r="J250" s="377"/>
      <c r="K250" s="377"/>
      <c r="L250" s="377"/>
      <c r="M250" s="377"/>
      <c r="N250" s="377"/>
      <c r="O250" s="377"/>
    </row>
    <row r="251">
      <c r="B251" s="377"/>
      <c r="C251" s="377"/>
      <c r="D251" s="377"/>
      <c r="E251" s="377"/>
      <c r="F251" s="377"/>
      <c r="G251" s="377"/>
      <c r="H251" s="377"/>
      <c r="I251" s="377"/>
      <c r="J251" s="377"/>
      <c r="K251" s="377"/>
      <c r="L251" s="377"/>
      <c r="M251" s="377"/>
      <c r="N251" s="377"/>
      <c r="O251" s="377"/>
    </row>
    <row r="252">
      <c r="B252" s="377"/>
      <c r="C252" s="377"/>
      <c r="D252" s="377"/>
      <c r="E252" s="377"/>
      <c r="F252" s="377"/>
      <c r="G252" s="377"/>
      <c r="H252" s="377"/>
      <c r="I252" s="377"/>
      <c r="J252" s="377"/>
      <c r="K252" s="377"/>
      <c r="L252" s="377"/>
      <c r="M252" s="377"/>
      <c r="N252" s="377"/>
      <c r="O252" s="377"/>
    </row>
    <row r="253">
      <c r="B253" s="377"/>
      <c r="C253" s="377"/>
      <c r="D253" s="377"/>
      <c r="E253" s="377"/>
      <c r="F253" s="377"/>
      <c r="G253" s="377"/>
      <c r="H253" s="377"/>
      <c r="I253" s="377"/>
      <c r="J253" s="377"/>
      <c r="K253" s="377"/>
      <c r="L253" s="377"/>
      <c r="M253" s="377"/>
      <c r="N253" s="377"/>
      <c r="O253" s="377"/>
    </row>
    <row r="254">
      <c r="B254" s="377"/>
      <c r="C254" s="377"/>
      <c r="D254" s="377"/>
      <c r="E254" s="377"/>
      <c r="F254" s="377"/>
      <c r="G254" s="377"/>
      <c r="H254" s="377"/>
      <c r="I254" s="377"/>
      <c r="J254" s="377"/>
      <c r="K254" s="377"/>
      <c r="L254" s="377"/>
      <c r="M254" s="377"/>
      <c r="N254" s="377"/>
      <c r="O254" s="377"/>
    </row>
    <row r="255">
      <c r="B255" s="377"/>
      <c r="C255" s="377"/>
      <c r="D255" s="377"/>
      <c r="E255" s="377"/>
      <c r="F255" s="377"/>
      <c r="G255" s="377"/>
      <c r="H255" s="377"/>
      <c r="I255" s="377"/>
      <c r="J255" s="377"/>
      <c r="K255" s="377"/>
      <c r="L255" s="377"/>
      <c r="M255" s="377"/>
      <c r="N255" s="377"/>
      <c r="O255" s="377"/>
    </row>
    <row r="256">
      <c r="B256" s="377"/>
      <c r="C256" s="377"/>
      <c r="D256" s="377"/>
      <c r="E256" s="377"/>
      <c r="F256" s="377"/>
      <c r="G256" s="377"/>
      <c r="H256" s="377"/>
      <c r="I256" s="377"/>
      <c r="J256" s="377"/>
      <c r="K256" s="377"/>
      <c r="L256" s="377"/>
      <c r="M256" s="377"/>
      <c r="N256" s="377"/>
      <c r="O256" s="377"/>
    </row>
    <row r="257">
      <c r="B257" s="377"/>
      <c r="C257" s="377"/>
      <c r="D257" s="377"/>
      <c r="E257" s="377"/>
      <c r="F257" s="377"/>
      <c r="G257" s="377"/>
      <c r="H257" s="377"/>
      <c r="I257" s="377"/>
      <c r="J257" s="377"/>
      <c r="K257" s="377"/>
      <c r="L257" s="377"/>
      <c r="M257" s="377"/>
      <c r="N257" s="377"/>
      <c r="O257" s="377"/>
    </row>
    <row r="258">
      <c r="B258" s="377"/>
      <c r="C258" s="377"/>
      <c r="D258" s="377"/>
      <c r="E258" s="377"/>
      <c r="F258" s="377"/>
      <c r="G258" s="377"/>
      <c r="H258" s="377"/>
      <c r="I258" s="377"/>
      <c r="J258" s="377"/>
      <c r="K258" s="377"/>
      <c r="L258" s="377"/>
      <c r="M258" s="377"/>
      <c r="N258" s="377"/>
      <c r="O258" s="377"/>
    </row>
    <row r="259">
      <c r="B259" s="377"/>
      <c r="C259" s="377"/>
      <c r="D259" s="377"/>
      <c r="E259" s="377"/>
      <c r="F259" s="377"/>
      <c r="G259" s="377"/>
      <c r="H259" s="377"/>
      <c r="I259" s="377"/>
      <c r="J259" s="377"/>
      <c r="K259" s="377"/>
      <c r="L259" s="377"/>
      <c r="M259" s="377"/>
      <c r="N259" s="377"/>
      <c r="O259" s="377"/>
    </row>
    <row r="260">
      <c r="B260" s="377"/>
      <c r="C260" s="377"/>
      <c r="D260" s="377"/>
      <c r="E260" s="377"/>
      <c r="F260" s="377"/>
      <c r="G260" s="377"/>
      <c r="H260" s="377"/>
      <c r="I260" s="377"/>
      <c r="J260" s="377"/>
      <c r="K260" s="377"/>
      <c r="L260" s="377"/>
      <c r="M260" s="377"/>
      <c r="N260" s="377"/>
      <c r="O260" s="377"/>
    </row>
    <row r="261">
      <c r="B261" s="377"/>
      <c r="C261" s="377"/>
      <c r="D261" s="377"/>
      <c r="E261" s="377"/>
      <c r="F261" s="377"/>
      <c r="G261" s="377"/>
      <c r="H261" s="377"/>
      <c r="I261" s="377"/>
      <c r="J261" s="377"/>
      <c r="K261" s="377"/>
      <c r="L261" s="377"/>
      <c r="M261" s="377"/>
      <c r="N261" s="377"/>
      <c r="O261" s="377"/>
    </row>
    <row r="262">
      <c r="B262" s="377"/>
      <c r="C262" s="377"/>
      <c r="D262" s="377"/>
      <c r="E262" s="377"/>
      <c r="F262" s="377"/>
      <c r="G262" s="377"/>
      <c r="H262" s="377"/>
      <c r="I262" s="377"/>
      <c r="J262" s="377"/>
      <c r="K262" s="377"/>
      <c r="L262" s="377"/>
      <c r="M262" s="377"/>
      <c r="N262" s="377"/>
      <c r="O262" s="377"/>
    </row>
    <row r="263">
      <c r="B263" s="377"/>
      <c r="C263" s="377"/>
      <c r="D263" s="377"/>
      <c r="E263" s="377"/>
      <c r="F263" s="377"/>
      <c r="G263" s="377"/>
      <c r="H263" s="377"/>
      <c r="I263" s="377"/>
      <c r="J263" s="377"/>
      <c r="K263" s="377"/>
      <c r="L263" s="377"/>
      <c r="M263" s="377"/>
      <c r="N263" s="377"/>
      <c r="O263" s="377"/>
    </row>
    <row r="264">
      <c r="B264" s="377"/>
      <c r="C264" s="377"/>
      <c r="D264" s="377"/>
      <c r="E264" s="377"/>
      <c r="F264" s="377"/>
      <c r="G264" s="377"/>
      <c r="H264" s="377"/>
      <c r="I264" s="377"/>
      <c r="J264" s="377"/>
      <c r="K264" s="377"/>
      <c r="L264" s="377"/>
      <c r="M264" s="377"/>
      <c r="N264" s="377"/>
      <c r="O264" s="377"/>
    </row>
    <row r="265">
      <c r="B265" s="377"/>
      <c r="C265" s="377"/>
      <c r="D265" s="377"/>
      <c r="E265" s="377"/>
      <c r="F265" s="377"/>
      <c r="G265" s="377"/>
      <c r="H265" s="377"/>
      <c r="I265" s="377"/>
      <c r="J265" s="377"/>
      <c r="K265" s="377"/>
      <c r="L265" s="377"/>
      <c r="M265" s="377"/>
      <c r="N265" s="377"/>
      <c r="O265" s="377"/>
    </row>
    <row r="266">
      <c r="B266" s="377"/>
      <c r="C266" s="377"/>
      <c r="D266" s="377"/>
      <c r="E266" s="377"/>
      <c r="F266" s="377"/>
      <c r="G266" s="377"/>
      <c r="H266" s="377"/>
      <c r="I266" s="377"/>
      <c r="J266" s="377"/>
      <c r="K266" s="377"/>
      <c r="L266" s="377"/>
      <c r="M266" s="377"/>
      <c r="N266" s="377"/>
      <c r="O266" s="377"/>
    </row>
    <row r="267">
      <c r="B267" s="377"/>
      <c r="C267" s="377"/>
      <c r="D267" s="377"/>
      <c r="E267" s="377"/>
      <c r="F267" s="377"/>
      <c r="G267" s="377"/>
      <c r="H267" s="377"/>
      <c r="I267" s="377"/>
      <c r="J267" s="377"/>
      <c r="K267" s="377"/>
      <c r="L267" s="377"/>
      <c r="M267" s="377"/>
      <c r="N267" s="377"/>
      <c r="O267" s="377"/>
    </row>
    <row r="268">
      <c r="B268" s="377"/>
      <c r="C268" s="377"/>
      <c r="D268" s="377"/>
      <c r="E268" s="377"/>
      <c r="F268" s="377"/>
      <c r="G268" s="377"/>
      <c r="H268" s="377"/>
      <c r="I268" s="377"/>
      <c r="J268" s="377"/>
      <c r="K268" s="377"/>
      <c r="L268" s="377"/>
      <c r="M268" s="377"/>
      <c r="N268" s="377"/>
      <c r="O268" s="377"/>
    </row>
    <row r="269">
      <c r="B269" s="377"/>
      <c r="C269" s="377"/>
      <c r="D269" s="377"/>
      <c r="E269" s="377"/>
      <c r="F269" s="377"/>
      <c r="G269" s="377"/>
      <c r="H269" s="377"/>
      <c r="I269" s="377"/>
      <c r="J269" s="377"/>
      <c r="K269" s="377"/>
      <c r="L269" s="377"/>
      <c r="M269" s="377"/>
      <c r="N269" s="377"/>
      <c r="O269" s="377"/>
    </row>
    <row r="270">
      <c r="B270" s="377"/>
      <c r="C270" s="377"/>
      <c r="D270" s="377"/>
      <c r="E270" s="377"/>
      <c r="F270" s="377"/>
      <c r="G270" s="377"/>
      <c r="H270" s="377"/>
      <c r="I270" s="377"/>
      <c r="J270" s="377"/>
      <c r="K270" s="377"/>
      <c r="L270" s="377"/>
      <c r="M270" s="377"/>
      <c r="N270" s="377"/>
      <c r="O270" s="377"/>
    </row>
    <row r="271">
      <c r="B271" s="377"/>
      <c r="C271" s="377"/>
      <c r="D271" s="377"/>
      <c r="E271" s="377"/>
      <c r="F271" s="377"/>
      <c r="G271" s="377"/>
      <c r="H271" s="377"/>
      <c r="I271" s="377"/>
      <c r="J271" s="377"/>
      <c r="K271" s="377"/>
      <c r="L271" s="377"/>
      <c r="M271" s="377"/>
      <c r="N271" s="377"/>
      <c r="O271" s="377"/>
    </row>
    <row r="272">
      <c r="B272" s="377"/>
      <c r="C272" s="377"/>
      <c r="D272" s="377"/>
      <c r="E272" s="377"/>
      <c r="F272" s="377"/>
      <c r="G272" s="377"/>
      <c r="H272" s="377"/>
      <c r="I272" s="377"/>
      <c r="J272" s="377"/>
      <c r="K272" s="377"/>
      <c r="L272" s="377"/>
      <c r="M272" s="377"/>
      <c r="N272" s="377"/>
      <c r="O272" s="377"/>
    </row>
    <row r="273">
      <c r="B273" s="377"/>
      <c r="C273" s="377"/>
      <c r="D273" s="377"/>
      <c r="E273" s="377"/>
      <c r="F273" s="377"/>
      <c r="G273" s="377"/>
      <c r="H273" s="377"/>
      <c r="I273" s="377"/>
      <c r="J273" s="377"/>
      <c r="K273" s="377"/>
      <c r="L273" s="377"/>
      <c r="M273" s="377"/>
      <c r="N273" s="377"/>
      <c r="O273" s="377"/>
    </row>
    <row r="274">
      <c r="B274" s="377"/>
      <c r="C274" s="377"/>
      <c r="D274" s="377"/>
      <c r="E274" s="377"/>
      <c r="F274" s="377"/>
      <c r="G274" s="377"/>
      <c r="H274" s="377"/>
      <c r="I274" s="377"/>
      <c r="J274" s="377"/>
      <c r="K274" s="377"/>
      <c r="L274" s="377"/>
      <c r="M274" s="377"/>
      <c r="N274" s="377"/>
      <c r="O274" s="377"/>
    </row>
    <row r="275">
      <c r="B275" s="377"/>
      <c r="C275" s="377"/>
      <c r="D275" s="377"/>
      <c r="E275" s="377"/>
      <c r="F275" s="377"/>
      <c r="G275" s="377"/>
      <c r="H275" s="377"/>
      <c r="I275" s="377"/>
      <c r="J275" s="377"/>
      <c r="K275" s="377"/>
      <c r="L275" s="377"/>
      <c r="M275" s="377"/>
      <c r="N275" s="377"/>
      <c r="O275" s="377"/>
    </row>
    <row r="276">
      <c r="B276" s="377"/>
      <c r="C276" s="377"/>
      <c r="D276" s="377"/>
      <c r="E276" s="377"/>
      <c r="F276" s="377"/>
      <c r="G276" s="377"/>
      <c r="H276" s="377"/>
      <c r="I276" s="377"/>
      <c r="J276" s="377"/>
      <c r="K276" s="377"/>
      <c r="L276" s="377"/>
      <c r="M276" s="377"/>
      <c r="N276" s="377"/>
      <c r="O276" s="377"/>
    </row>
    <row r="277">
      <c r="B277" s="377"/>
      <c r="C277" s="377"/>
      <c r="D277" s="377"/>
      <c r="E277" s="377"/>
      <c r="F277" s="377"/>
      <c r="G277" s="377"/>
      <c r="H277" s="377"/>
      <c r="I277" s="377"/>
      <c r="J277" s="377"/>
      <c r="K277" s="377"/>
      <c r="L277" s="377"/>
      <c r="M277" s="377"/>
      <c r="N277" s="377"/>
      <c r="O277" s="377"/>
    </row>
    <row r="278">
      <c r="B278" s="377"/>
      <c r="C278" s="377"/>
      <c r="D278" s="377"/>
      <c r="E278" s="377"/>
      <c r="F278" s="377"/>
      <c r="G278" s="377"/>
      <c r="H278" s="377"/>
      <c r="I278" s="377"/>
      <c r="J278" s="377"/>
      <c r="K278" s="377"/>
      <c r="L278" s="377"/>
      <c r="M278" s="377"/>
      <c r="N278" s="377"/>
      <c r="O278" s="377"/>
    </row>
    <row r="279">
      <c r="B279" s="377"/>
      <c r="C279" s="377"/>
      <c r="D279" s="377"/>
      <c r="E279" s="377"/>
      <c r="F279" s="377"/>
      <c r="G279" s="377"/>
      <c r="H279" s="377"/>
      <c r="I279" s="377"/>
      <c r="J279" s="377"/>
      <c r="K279" s="377"/>
      <c r="L279" s="377"/>
      <c r="M279" s="377"/>
      <c r="N279" s="377"/>
      <c r="O279" s="377"/>
    </row>
    <row r="280">
      <c r="B280" s="377"/>
      <c r="C280" s="377"/>
      <c r="D280" s="377"/>
      <c r="E280" s="377"/>
      <c r="F280" s="377"/>
      <c r="G280" s="377"/>
      <c r="H280" s="377"/>
      <c r="I280" s="377"/>
      <c r="J280" s="377"/>
      <c r="K280" s="377"/>
      <c r="L280" s="377"/>
      <c r="M280" s="377"/>
      <c r="N280" s="377"/>
      <c r="O280" s="377"/>
    </row>
    <row r="281">
      <c r="B281" s="377"/>
      <c r="C281" s="377"/>
      <c r="D281" s="377"/>
      <c r="E281" s="377"/>
      <c r="F281" s="377"/>
      <c r="G281" s="377"/>
      <c r="H281" s="377"/>
      <c r="I281" s="377"/>
      <c r="J281" s="377"/>
      <c r="K281" s="377"/>
      <c r="L281" s="377"/>
      <c r="M281" s="377"/>
      <c r="N281" s="377"/>
      <c r="O281" s="377"/>
    </row>
    <row r="282">
      <c r="B282" s="377"/>
      <c r="C282" s="377"/>
      <c r="D282" s="377"/>
      <c r="E282" s="377"/>
      <c r="F282" s="377"/>
      <c r="G282" s="377"/>
      <c r="H282" s="377"/>
      <c r="I282" s="377"/>
      <c r="J282" s="377"/>
      <c r="K282" s="377"/>
      <c r="L282" s="377"/>
      <c r="M282" s="377"/>
      <c r="N282" s="377"/>
      <c r="O282" s="377"/>
    </row>
    <row r="283">
      <c r="B283" s="377"/>
      <c r="C283" s="377"/>
      <c r="D283" s="377"/>
      <c r="E283" s="377"/>
      <c r="F283" s="377"/>
      <c r="G283" s="377"/>
      <c r="H283" s="377"/>
      <c r="I283" s="377"/>
      <c r="J283" s="377"/>
      <c r="K283" s="377"/>
      <c r="L283" s="377"/>
      <c r="M283" s="377"/>
      <c r="N283" s="377"/>
      <c r="O283" s="377"/>
    </row>
    <row r="284">
      <c r="B284" s="377"/>
      <c r="C284" s="377"/>
      <c r="D284" s="377"/>
      <c r="E284" s="377"/>
      <c r="F284" s="377"/>
      <c r="G284" s="377"/>
      <c r="H284" s="377"/>
      <c r="I284" s="377"/>
      <c r="J284" s="377"/>
      <c r="K284" s="377"/>
      <c r="L284" s="377"/>
      <c r="M284" s="377"/>
      <c r="N284" s="377"/>
      <c r="O284" s="377"/>
    </row>
    <row r="285">
      <c r="B285" s="377"/>
      <c r="C285" s="377"/>
      <c r="D285" s="377"/>
      <c r="E285" s="377"/>
      <c r="F285" s="377"/>
      <c r="G285" s="377"/>
      <c r="H285" s="377"/>
      <c r="I285" s="377"/>
      <c r="J285" s="377"/>
      <c r="K285" s="377"/>
      <c r="L285" s="377"/>
      <c r="M285" s="377"/>
      <c r="N285" s="377"/>
      <c r="O285" s="377"/>
    </row>
    <row r="286">
      <c r="B286" s="377"/>
      <c r="C286" s="377"/>
      <c r="D286" s="377"/>
      <c r="E286" s="377"/>
      <c r="F286" s="377"/>
      <c r="G286" s="377"/>
      <c r="H286" s="377"/>
      <c r="I286" s="377"/>
      <c r="J286" s="377"/>
      <c r="K286" s="377"/>
      <c r="L286" s="377"/>
      <c r="M286" s="377"/>
      <c r="N286" s="377"/>
      <c r="O286" s="377"/>
    </row>
    <row r="287">
      <c r="B287" s="377"/>
      <c r="C287" s="377"/>
      <c r="D287" s="377"/>
      <c r="E287" s="377"/>
      <c r="F287" s="377"/>
      <c r="G287" s="377"/>
      <c r="H287" s="377"/>
      <c r="I287" s="377"/>
      <c r="J287" s="377"/>
      <c r="K287" s="377"/>
      <c r="L287" s="377"/>
      <c r="M287" s="377"/>
      <c r="N287" s="377"/>
      <c r="O287" s="377"/>
    </row>
    <row r="288">
      <c r="B288" s="377"/>
      <c r="C288" s="377"/>
      <c r="D288" s="377"/>
      <c r="E288" s="377"/>
      <c r="F288" s="377"/>
      <c r="G288" s="377"/>
      <c r="H288" s="377"/>
      <c r="I288" s="377"/>
      <c r="J288" s="377"/>
      <c r="K288" s="377"/>
      <c r="L288" s="377"/>
      <c r="M288" s="377"/>
      <c r="N288" s="377"/>
      <c r="O288" s="377"/>
    </row>
    <row r="289">
      <c r="B289" s="377"/>
      <c r="C289" s="377"/>
      <c r="D289" s="377"/>
      <c r="E289" s="377"/>
      <c r="F289" s="377"/>
      <c r="G289" s="377"/>
      <c r="H289" s="377"/>
      <c r="I289" s="377"/>
      <c r="J289" s="377"/>
      <c r="K289" s="377"/>
      <c r="L289" s="377"/>
      <c r="M289" s="377"/>
      <c r="N289" s="377"/>
      <c r="O289" s="377"/>
    </row>
    <row r="290">
      <c r="B290" s="377"/>
      <c r="C290" s="377"/>
      <c r="D290" s="377"/>
      <c r="E290" s="377"/>
      <c r="F290" s="377"/>
      <c r="G290" s="377"/>
      <c r="H290" s="377"/>
      <c r="I290" s="377"/>
      <c r="J290" s="377"/>
      <c r="K290" s="377"/>
      <c r="L290" s="377"/>
      <c r="M290" s="377"/>
      <c r="N290" s="377"/>
      <c r="O290" s="377"/>
    </row>
    <row r="291">
      <c r="B291" s="377"/>
      <c r="C291" s="377"/>
      <c r="D291" s="377"/>
      <c r="E291" s="377"/>
      <c r="F291" s="377"/>
      <c r="G291" s="377"/>
      <c r="H291" s="377"/>
      <c r="I291" s="377"/>
      <c r="J291" s="377"/>
      <c r="K291" s="377"/>
      <c r="L291" s="377"/>
      <c r="M291" s="377"/>
      <c r="N291" s="377"/>
      <c r="O291" s="377"/>
    </row>
    <row r="292">
      <c r="B292" s="377"/>
      <c r="C292" s="377"/>
      <c r="D292" s="377"/>
      <c r="E292" s="377"/>
      <c r="F292" s="377"/>
      <c r="G292" s="377"/>
      <c r="H292" s="377"/>
      <c r="I292" s="377"/>
      <c r="J292" s="377"/>
      <c r="K292" s="377"/>
      <c r="L292" s="377"/>
      <c r="M292" s="377"/>
      <c r="N292" s="377"/>
      <c r="O292" s="377"/>
    </row>
    <row r="293">
      <c r="B293" s="377"/>
      <c r="C293" s="377"/>
      <c r="D293" s="377"/>
      <c r="E293" s="377"/>
      <c r="F293" s="377"/>
      <c r="G293" s="377"/>
      <c r="H293" s="377"/>
      <c r="I293" s="377"/>
      <c r="J293" s="377"/>
      <c r="K293" s="377"/>
      <c r="L293" s="377"/>
      <c r="M293" s="377"/>
      <c r="N293" s="377"/>
      <c r="O293" s="377"/>
    </row>
    <row r="294">
      <c r="B294" s="377"/>
      <c r="C294" s="377"/>
      <c r="D294" s="377"/>
      <c r="E294" s="377"/>
      <c r="F294" s="377"/>
      <c r="G294" s="377"/>
      <c r="H294" s="377"/>
      <c r="I294" s="377"/>
      <c r="J294" s="377"/>
      <c r="K294" s="377"/>
      <c r="L294" s="377"/>
      <c r="M294" s="377"/>
      <c r="N294" s="377"/>
      <c r="O294" s="377"/>
    </row>
    <row r="295">
      <c r="B295" s="377"/>
      <c r="C295" s="377"/>
      <c r="D295" s="377"/>
      <c r="E295" s="377"/>
      <c r="F295" s="377"/>
      <c r="G295" s="377"/>
      <c r="H295" s="377"/>
      <c r="I295" s="377"/>
      <c r="J295" s="377"/>
      <c r="K295" s="377"/>
      <c r="L295" s="377"/>
      <c r="M295" s="377"/>
      <c r="N295" s="377"/>
      <c r="O295" s="377"/>
    </row>
    <row r="296">
      <c r="B296" s="377"/>
      <c r="C296" s="377"/>
      <c r="D296" s="377"/>
      <c r="E296" s="377"/>
      <c r="F296" s="377"/>
      <c r="G296" s="377"/>
      <c r="H296" s="377"/>
      <c r="I296" s="377"/>
      <c r="J296" s="377"/>
      <c r="K296" s="377"/>
      <c r="L296" s="377"/>
      <c r="M296" s="377"/>
      <c r="N296" s="377"/>
      <c r="O296" s="377"/>
    </row>
    <row r="297">
      <c r="B297" s="377"/>
      <c r="C297" s="377"/>
      <c r="D297" s="377"/>
      <c r="E297" s="377"/>
      <c r="F297" s="377"/>
      <c r="G297" s="377"/>
      <c r="H297" s="377"/>
      <c r="I297" s="377"/>
      <c r="J297" s="377"/>
      <c r="K297" s="377"/>
      <c r="L297" s="377"/>
      <c r="M297" s="377"/>
      <c r="N297" s="377"/>
      <c r="O297" s="377"/>
    </row>
    <row r="298">
      <c r="B298" s="377"/>
      <c r="C298" s="377"/>
      <c r="D298" s="377"/>
      <c r="E298" s="377"/>
      <c r="F298" s="377"/>
      <c r="G298" s="377"/>
      <c r="H298" s="377"/>
      <c r="I298" s="377"/>
      <c r="J298" s="377"/>
      <c r="K298" s="377"/>
      <c r="L298" s="377"/>
      <c r="M298" s="377"/>
      <c r="N298" s="377"/>
      <c r="O298" s="377"/>
    </row>
    <row r="299">
      <c r="B299" s="377"/>
      <c r="C299" s="377"/>
      <c r="D299" s="377"/>
      <c r="E299" s="377"/>
      <c r="F299" s="377"/>
      <c r="G299" s="377"/>
      <c r="H299" s="377"/>
      <c r="I299" s="377"/>
      <c r="J299" s="377"/>
      <c r="K299" s="377"/>
      <c r="L299" s="377"/>
      <c r="M299" s="377"/>
      <c r="N299" s="377"/>
      <c r="O299" s="377"/>
    </row>
    <row r="300">
      <c r="B300" s="377"/>
      <c r="C300" s="377"/>
      <c r="D300" s="377"/>
      <c r="E300" s="377"/>
      <c r="F300" s="377"/>
      <c r="G300" s="377"/>
      <c r="H300" s="377"/>
      <c r="I300" s="377"/>
      <c r="J300" s="377"/>
      <c r="K300" s="377"/>
      <c r="L300" s="377"/>
      <c r="M300" s="377"/>
      <c r="N300" s="377"/>
      <c r="O300" s="377"/>
    </row>
    <row r="301">
      <c r="B301" s="377"/>
      <c r="C301" s="377"/>
      <c r="D301" s="377"/>
      <c r="E301" s="377"/>
      <c r="F301" s="377"/>
      <c r="G301" s="377"/>
      <c r="H301" s="377"/>
      <c r="I301" s="377"/>
      <c r="J301" s="377"/>
      <c r="K301" s="377"/>
      <c r="L301" s="377"/>
      <c r="M301" s="377"/>
      <c r="N301" s="377"/>
      <c r="O301" s="377"/>
    </row>
    <row r="302">
      <c r="B302" s="377"/>
      <c r="C302" s="377"/>
      <c r="D302" s="377"/>
      <c r="E302" s="377"/>
      <c r="F302" s="377"/>
      <c r="G302" s="377"/>
      <c r="H302" s="377"/>
      <c r="I302" s="377"/>
      <c r="J302" s="377"/>
      <c r="K302" s="377"/>
      <c r="L302" s="377"/>
      <c r="M302" s="377"/>
      <c r="N302" s="377"/>
      <c r="O302" s="377"/>
    </row>
    <row r="303">
      <c r="B303" s="377"/>
      <c r="C303" s="377"/>
      <c r="D303" s="377"/>
      <c r="E303" s="377"/>
      <c r="F303" s="377"/>
      <c r="G303" s="377"/>
      <c r="H303" s="377"/>
      <c r="I303" s="377"/>
      <c r="J303" s="377"/>
      <c r="K303" s="377"/>
      <c r="L303" s="377"/>
      <c r="M303" s="377"/>
      <c r="N303" s="377"/>
      <c r="O303" s="377"/>
    </row>
    <row r="304">
      <c r="B304" s="377"/>
      <c r="C304" s="377"/>
      <c r="D304" s="377"/>
      <c r="E304" s="377"/>
      <c r="F304" s="377"/>
      <c r="G304" s="377"/>
      <c r="H304" s="377"/>
      <c r="I304" s="377"/>
      <c r="J304" s="377"/>
      <c r="K304" s="377"/>
      <c r="L304" s="377"/>
      <c r="M304" s="377"/>
      <c r="N304" s="377"/>
      <c r="O304" s="377"/>
    </row>
    <row r="305">
      <c r="B305" s="377"/>
      <c r="C305" s="377"/>
      <c r="D305" s="377"/>
      <c r="E305" s="377"/>
      <c r="F305" s="377"/>
      <c r="G305" s="377"/>
      <c r="H305" s="377"/>
      <c r="I305" s="377"/>
      <c r="J305" s="377"/>
      <c r="K305" s="377"/>
      <c r="L305" s="377"/>
      <c r="M305" s="377"/>
      <c r="N305" s="377"/>
      <c r="O305" s="377"/>
    </row>
    <row r="306">
      <c r="B306" s="377"/>
      <c r="C306" s="377"/>
      <c r="D306" s="377"/>
      <c r="E306" s="377"/>
      <c r="F306" s="377"/>
      <c r="G306" s="377"/>
      <c r="H306" s="377"/>
      <c r="I306" s="377"/>
      <c r="J306" s="377"/>
      <c r="K306" s="377"/>
      <c r="L306" s="377"/>
      <c r="M306" s="377"/>
      <c r="N306" s="377"/>
      <c r="O306" s="377"/>
    </row>
    <row r="307">
      <c r="B307" s="377"/>
      <c r="C307" s="377"/>
      <c r="D307" s="377"/>
      <c r="E307" s="377"/>
      <c r="F307" s="377"/>
      <c r="G307" s="377"/>
      <c r="H307" s="377"/>
      <c r="I307" s="377"/>
      <c r="J307" s="377"/>
      <c r="K307" s="377"/>
      <c r="L307" s="377"/>
      <c r="M307" s="377"/>
      <c r="N307" s="377"/>
      <c r="O307" s="377"/>
    </row>
    <row r="308">
      <c r="B308" s="377"/>
      <c r="C308" s="377"/>
      <c r="D308" s="377"/>
      <c r="E308" s="377"/>
      <c r="F308" s="377"/>
      <c r="G308" s="377"/>
      <c r="H308" s="377"/>
      <c r="I308" s="377"/>
      <c r="J308" s="377"/>
      <c r="K308" s="377"/>
      <c r="L308" s="377"/>
      <c r="M308" s="377"/>
      <c r="N308" s="377"/>
      <c r="O308" s="377"/>
    </row>
    <row r="309">
      <c r="B309" s="377"/>
      <c r="C309" s="377"/>
      <c r="D309" s="377"/>
      <c r="E309" s="377"/>
      <c r="F309" s="377"/>
      <c r="G309" s="377"/>
      <c r="H309" s="377"/>
      <c r="I309" s="377"/>
      <c r="J309" s="377"/>
      <c r="K309" s="377"/>
      <c r="L309" s="377"/>
      <c r="M309" s="377"/>
      <c r="N309" s="377"/>
      <c r="O309" s="377"/>
    </row>
    <row r="310">
      <c r="B310" s="377"/>
      <c r="C310" s="377"/>
      <c r="D310" s="377"/>
      <c r="E310" s="377"/>
      <c r="F310" s="377"/>
      <c r="G310" s="377"/>
      <c r="H310" s="377"/>
      <c r="I310" s="377"/>
      <c r="J310" s="377"/>
      <c r="K310" s="377"/>
      <c r="L310" s="377"/>
      <c r="M310" s="377"/>
      <c r="N310" s="377"/>
      <c r="O310" s="377"/>
    </row>
    <row r="311">
      <c r="B311" s="377"/>
      <c r="C311" s="377"/>
      <c r="D311" s="377"/>
      <c r="E311" s="377"/>
      <c r="F311" s="377"/>
      <c r="G311" s="377"/>
      <c r="H311" s="377"/>
      <c r="I311" s="377"/>
      <c r="J311" s="377"/>
      <c r="K311" s="377"/>
      <c r="L311" s="377"/>
      <c r="M311" s="377"/>
      <c r="N311" s="377"/>
      <c r="O311" s="377"/>
    </row>
    <row r="312">
      <c r="B312" s="377"/>
      <c r="C312" s="377"/>
      <c r="D312" s="377"/>
      <c r="E312" s="377"/>
      <c r="F312" s="377"/>
      <c r="G312" s="377"/>
      <c r="H312" s="377"/>
      <c r="I312" s="377"/>
      <c r="J312" s="377"/>
      <c r="K312" s="377"/>
      <c r="L312" s="377"/>
      <c r="M312" s="377"/>
      <c r="N312" s="377"/>
      <c r="O312" s="377"/>
    </row>
    <row r="313">
      <c r="B313" s="377"/>
      <c r="C313" s="377"/>
      <c r="D313" s="377"/>
      <c r="E313" s="377"/>
      <c r="F313" s="377"/>
      <c r="G313" s="377"/>
      <c r="H313" s="377"/>
      <c r="I313" s="377"/>
      <c r="J313" s="377"/>
      <c r="K313" s="377"/>
      <c r="L313" s="377"/>
      <c r="M313" s="377"/>
      <c r="N313" s="377"/>
      <c r="O313" s="377"/>
    </row>
    <row r="314">
      <c r="B314" s="377"/>
      <c r="C314" s="377"/>
      <c r="D314" s="377"/>
      <c r="E314" s="377"/>
      <c r="F314" s="377"/>
      <c r="G314" s="377"/>
      <c r="H314" s="377"/>
      <c r="I314" s="377"/>
      <c r="J314" s="377"/>
      <c r="K314" s="377"/>
      <c r="L314" s="377"/>
      <c r="M314" s="377"/>
      <c r="N314" s="377"/>
      <c r="O314" s="377"/>
    </row>
    <row r="315">
      <c r="B315" s="377"/>
      <c r="C315" s="377"/>
      <c r="D315" s="377"/>
      <c r="E315" s="377"/>
      <c r="F315" s="377"/>
      <c r="G315" s="377"/>
      <c r="H315" s="377"/>
      <c r="I315" s="377"/>
      <c r="J315" s="377"/>
      <c r="K315" s="377"/>
      <c r="L315" s="377"/>
      <c r="M315" s="377"/>
      <c r="N315" s="377"/>
      <c r="O315" s="377"/>
    </row>
    <row r="316">
      <c r="B316" s="377"/>
      <c r="C316" s="377"/>
      <c r="D316" s="377"/>
      <c r="E316" s="377"/>
      <c r="F316" s="377"/>
      <c r="G316" s="377"/>
      <c r="H316" s="377"/>
      <c r="I316" s="377"/>
      <c r="J316" s="377"/>
      <c r="K316" s="377"/>
      <c r="L316" s="377"/>
      <c r="M316" s="377"/>
      <c r="N316" s="377"/>
      <c r="O316" s="377"/>
    </row>
    <row r="317">
      <c r="B317" s="377"/>
      <c r="C317" s="377"/>
      <c r="D317" s="377"/>
      <c r="E317" s="377"/>
      <c r="F317" s="377"/>
      <c r="G317" s="377"/>
      <c r="H317" s="377"/>
      <c r="I317" s="377"/>
      <c r="J317" s="377"/>
      <c r="K317" s="377"/>
      <c r="L317" s="377"/>
      <c r="M317" s="377"/>
      <c r="N317" s="377"/>
      <c r="O317" s="377"/>
    </row>
    <row r="318">
      <c r="B318" s="377"/>
      <c r="C318" s="377"/>
      <c r="D318" s="377"/>
      <c r="E318" s="377"/>
      <c r="F318" s="377"/>
      <c r="G318" s="377"/>
      <c r="H318" s="377"/>
      <c r="I318" s="377"/>
      <c r="J318" s="377"/>
      <c r="K318" s="377"/>
      <c r="L318" s="377"/>
      <c r="M318" s="377"/>
      <c r="N318" s="377"/>
      <c r="O318" s="377"/>
    </row>
    <row r="319">
      <c r="B319" s="377"/>
      <c r="C319" s="377"/>
      <c r="D319" s="377"/>
      <c r="E319" s="377"/>
      <c r="F319" s="377"/>
      <c r="G319" s="377"/>
      <c r="H319" s="377"/>
      <c r="I319" s="377"/>
      <c r="J319" s="377"/>
      <c r="K319" s="377"/>
      <c r="L319" s="377"/>
      <c r="M319" s="377"/>
      <c r="N319" s="377"/>
      <c r="O319" s="377"/>
    </row>
    <row r="320">
      <c r="B320" s="377"/>
      <c r="C320" s="377"/>
      <c r="D320" s="377"/>
      <c r="E320" s="377"/>
      <c r="F320" s="377"/>
      <c r="G320" s="377"/>
      <c r="H320" s="377"/>
      <c r="I320" s="377"/>
      <c r="J320" s="377"/>
      <c r="K320" s="377"/>
      <c r="L320" s="377"/>
      <c r="M320" s="377"/>
      <c r="N320" s="377"/>
      <c r="O320" s="377"/>
    </row>
    <row r="321">
      <c r="B321" s="377"/>
      <c r="C321" s="377"/>
      <c r="D321" s="377"/>
      <c r="E321" s="377"/>
      <c r="F321" s="377"/>
      <c r="G321" s="377"/>
      <c r="H321" s="377"/>
      <c r="I321" s="377"/>
      <c r="J321" s="377"/>
      <c r="K321" s="377"/>
      <c r="L321" s="377"/>
      <c r="M321" s="377"/>
      <c r="N321" s="377"/>
      <c r="O321" s="377"/>
    </row>
    <row r="322">
      <c r="B322" s="377"/>
      <c r="C322" s="377"/>
      <c r="D322" s="377"/>
      <c r="E322" s="377"/>
      <c r="F322" s="377"/>
      <c r="G322" s="377"/>
      <c r="H322" s="377"/>
      <c r="I322" s="377"/>
      <c r="J322" s="377"/>
      <c r="K322" s="377"/>
      <c r="L322" s="377"/>
      <c r="M322" s="377"/>
      <c r="N322" s="377"/>
      <c r="O322" s="377"/>
    </row>
    <row r="323">
      <c r="B323" s="377"/>
      <c r="C323" s="377"/>
      <c r="D323" s="377"/>
      <c r="E323" s="377"/>
      <c r="F323" s="377"/>
      <c r="G323" s="377"/>
      <c r="H323" s="377"/>
      <c r="I323" s="377"/>
      <c r="J323" s="377"/>
      <c r="K323" s="377"/>
      <c r="L323" s="377"/>
      <c r="M323" s="377"/>
      <c r="N323" s="377"/>
      <c r="O323" s="377"/>
    </row>
    <row r="324">
      <c r="B324" s="377"/>
      <c r="C324" s="377"/>
      <c r="D324" s="377"/>
      <c r="E324" s="377"/>
      <c r="F324" s="377"/>
      <c r="G324" s="377"/>
      <c r="H324" s="377"/>
      <c r="I324" s="377"/>
      <c r="J324" s="377"/>
      <c r="K324" s="377"/>
      <c r="L324" s="377"/>
      <c r="M324" s="377"/>
      <c r="N324" s="377"/>
      <c r="O324" s="377"/>
    </row>
    <row r="325">
      <c r="B325" s="377"/>
      <c r="C325" s="377"/>
      <c r="D325" s="377"/>
      <c r="E325" s="377"/>
      <c r="F325" s="377"/>
      <c r="G325" s="377"/>
      <c r="H325" s="377"/>
      <c r="I325" s="377"/>
      <c r="J325" s="377"/>
      <c r="K325" s="377"/>
      <c r="L325" s="377"/>
      <c r="M325" s="377"/>
      <c r="N325" s="377"/>
      <c r="O325" s="377"/>
    </row>
    <row r="326">
      <c r="B326" s="377"/>
      <c r="C326" s="377"/>
      <c r="D326" s="377"/>
      <c r="E326" s="377"/>
      <c r="F326" s="377"/>
      <c r="G326" s="377"/>
      <c r="H326" s="377"/>
      <c r="I326" s="377"/>
      <c r="J326" s="377"/>
      <c r="K326" s="377"/>
      <c r="L326" s="377"/>
      <c r="M326" s="377"/>
      <c r="N326" s="377"/>
      <c r="O326" s="377"/>
    </row>
    <row r="327">
      <c r="B327" s="377"/>
      <c r="C327" s="377"/>
      <c r="D327" s="377"/>
      <c r="E327" s="377"/>
      <c r="F327" s="377"/>
      <c r="G327" s="377"/>
      <c r="H327" s="377"/>
      <c r="I327" s="377"/>
      <c r="J327" s="377"/>
      <c r="K327" s="377"/>
      <c r="L327" s="377"/>
      <c r="M327" s="377"/>
      <c r="N327" s="377"/>
      <c r="O327" s="377"/>
    </row>
    <row r="328">
      <c r="B328" s="377"/>
      <c r="C328" s="377"/>
      <c r="D328" s="377"/>
      <c r="E328" s="377"/>
      <c r="F328" s="377"/>
      <c r="G328" s="377"/>
      <c r="H328" s="377"/>
      <c r="I328" s="377"/>
      <c r="J328" s="377"/>
      <c r="K328" s="377"/>
      <c r="L328" s="377"/>
      <c r="M328" s="377"/>
      <c r="N328" s="377"/>
      <c r="O328" s="377"/>
    </row>
    <row r="329">
      <c r="B329" s="377"/>
      <c r="C329" s="377"/>
      <c r="D329" s="377"/>
      <c r="E329" s="377"/>
      <c r="F329" s="377"/>
      <c r="G329" s="377"/>
      <c r="H329" s="377"/>
      <c r="I329" s="377"/>
      <c r="J329" s="377"/>
      <c r="K329" s="377"/>
      <c r="L329" s="377"/>
      <c r="M329" s="377"/>
      <c r="N329" s="377"/>
      <c r="O329" s="377"/>
    </row>
    <row r="330">
      <c r="B330" s="377"/>
      <c r="C330" s="377"/>
      <c r="D330" s="377"/>
      <c r="E330" s="377"/>
      <c r="F330" s="377"/>
      <c r="G330" s="377"/>
      <c r="H330" s="377"/>
      <c r="I330" s="377"/>
      <c r="J330" s="377"/>
      <c r="K330" s="377"/>
      <c r="L330" s="377"/>
      <c r="M330" s="377"/>
      <c r="N330" s="377"/>
      <c r="O330" s="377"/>
    </row>
    <row r="331">
      <c r="B331" s="377"/>
      <c r="C331" s="377"/>
      <c r="D331" s="377"/>
      <c r="E331" s="377"/>
      <c r="F331" s="377"/>
      <c r="G331" s="377"/>
      <c r="H331" s="377"/>
      <c r="I331" s="377"/>
      <c r="J331" s="377"/>
      <c r="K331" s="377"/>
      <c r="L331" s="377"/>
      <c r="M331" s="377"/>
      <c r="N331" s="377"/>
      <c r="O331" s="377"/>
    </row>
    <row r="332">
      <c r="B332" s="377"/>
      <c r="C332" s="377"/>
      <c r="D332" s="377"/>
      <c r="E332" s="377"/>
      <c r="F332" s="377"/>
      <c r="G332" s="377"/>
      <c r="H332" s="377"/>
      <c r="I332" s="377"/>
      <c r="J332" s="377"/>
      <c r="K332" s="377"/>
      <c r="L332" s="377"/>
      <c r="M332" s="377"/>
      <c r="N332" s="377"/>
      <c r="O332" s="377"/>
    </row>
    <row r="333">
      <c r="B333" s="377"/>
      <c r="C333" s="377"/>
      <c r="D333" s="377"/>
      <c r="E333" s="377"/>
      <c r="F333" s="377"/>
      <c r="G333" s="377"/>
      <c r="H333" s="377"/>
      <c r="I333" s="377"/>
      <c r="J333" s="377"/>
      <c r="K333" s="377"/>
      <c r="L333" s="377"/>
      <c r="M333" s="377"/>
      <c r="N333" s="377"/>
      <c r="O333" s="377"/>
    </row>
    <row r="334">
      <c r="B334" s="377"/>
      <c r="C334" s="377"/>
      <c r="D334" s="377"/>
      <c r="E334" s="377"/>
      <c r="F334" s="377"/>
      <c r="G334" s="377"/>
      <c r="H334" s="377"/>
      <c r="I334" s="377"/>
      <c r="J334" s="377"/>
      <c r="K334" s="377"/>
      <c r="L334" s="377"/>
      <c r="M334" s="377"/>
      <c r="N334" s="377"/>
      <c r="O334" s="377"/>
    </row>
    <row r="335">
      <c r="B335" s="377"/>
      <c r="C335" s="377"/>
      <c r="D335" s="377"/>
      <c r="E335" s="377"/>
      <c r="F335" s="377"/>
      <c r="G335" s="377"/>
      <c r="H335" s="377"/>
      <c r="I335" s="377"/>
      <c r="J335" s="377"/>
      <c r="K335" s="377"/>
      <c r="L335" s="377"/>
      <c r="M335" s="377"/>
      <c r="N335" s="377"/>
      <c r="O335" s="377"/>
    </row>
    <row r="336">
      <c r="B336" s="377"/>
      <c r="C336" s="377"/>
      <c r="D336" s="377"/>
      <c r="E336" s="377"/>
      <c r="F336" s="377"/>
      <c r="G336" s="377"/>
      <c r="H336" s="377"/>
      <c r="I336" s="377"/>
      <c r="J336" s="377"/>
      <c r="K336" s="377"/>
      <c r="L336" s="377"/>
      <c r="M336" s="377"/>
      <c r="N336" s="377"/>
      <c r="O336" s="377"/>
    </row>
    <row r="337">
      <c r="B337" s="377"/>
      <c r="C337" s="377"/>
      <c r="D337" s="377"/>
      <c r="E337" s="377"/>
      <c r="F337" s="377"/>
      <c r="G337" s="377"/>
      <c r="H337" s="377"/>
      <c r="I337" s="377"/>
      <c r="J337" s="377"/>
      <c r="K337" s="377"/>
      <c r="L337" s="377"/>
      <c r="M337" s="377"/>
      <c r="N337" s="377"/>
      <c r="O337" s="377"/>
    </row>
    <row r="338">
      <c r="B338" s="377"/>
      <c r="C338" s="377"/>
      <c r="D338" s="377"/>
      <c r="E338" s="377"/>
      <c r="F338" s="377"/>
      <c r="G338" s="377"/>
      <c r="H338" s="377"/>
      <c r="I338" s="377"/>
      <c r="J338" s="377"/>
      <c r="K338" s="377"/>
      <c r="L338" s="377"/>
      <c r="M338" s="377"/>
      <c r="N338" s="377"/>
      <c r="O338" s="377"/>
    </row>
    <row r="339">
      <c r="B339" s="377"/>
      <c r="C339" s="377"/>
      <c r="D339" s="377"/>
      <c r="E339" s="377"/>
      <c r="F339" s="377"/>
      <c r="G339" s="377"/>
      <c r="H339" s="377"/>
      <c r="I339" s="377"/>
      <c r="J339" s="377"/>
      <c r="K339" s="377"/>
      <c r="L339" s="377"/>
      <c r="M339" s="377"/>
      <c r="N339" s="377"/>
      <c r="O339" s="377"/>
    </row>
    <row r="340">
      <c r="B340" s="377"/>
      <c r="C340" s="377"/>
      <c r="D340" s="377"/>
      <c r="E340" s="377"/>
      <c r="F340" s="377"/>
      <c r="G340" s="377"/>
      <c r="H340" s="377"/>
      <c r="I340" s="377"/>
      <c r="J340" s="377"/>
      <c r="K340" s="377"/>
      <c r="L340" s="377"/>
      <c r="M340" s="377"/>
      <c r="N340" s="377"/>
      <c r="O340" s="377"/>
    </row>
    <row r="341">
      <c r="B341" s="377"/>
      <c r="C341" s="377"/>
      <c r="D341" s="377"/>
      <c r="E341" s="377"/>
      <c r="F341" s="377"/>
      <c r="G341" s="377"/>
      <c r="H341" s="377"/>
      <c r="I341" s="377"/>
      <c r="J341" s="377"/>
      <c r="K341" s="377"/>
      <c r="L341" s="377"/>
      <c r="M341" s="377"/>
      <c r="N341" s="377"/>
      <c r="O341" s="377"/>
    </row>
    <row r="342">
      <c r="B342" s="377"/>
      <c r="C342" s="377"/>
      <c r="D342" s="377"/>
      <c r="E342" s="377"/>
      <c r="F342" s="377"/>
      <c r="G342" s="377"/>
      <c r="H342" s="377"/>
      <c r="I342" s="377"/>
      <c r="J342" s="377"/>
      <c r="K342" s="377"/>
      <c r="L342" s="377"/>
      <c r="M342" s="377"/>
      <c r="N342" s="377"/>
      <c r="O342" s="377"/>
    </row>
    <row r="343">
      <c r="B343" s="377"/>
      <c r="C343" s="377"/>
      <c r="D343" s="377"/>
      <c r="E343" s="377"/>
      <c r="F343" s="377"/>
      <c r="G343" s="377"/>
      <c r="H343" s="377"/>
      <c r="I343" s="377"/>
      <c r="J343" s="377"/>
      <c r="K343" s="377"/>
      <c r="L343" s="377"/>
      <c r="M343" s="377"/>
      <c r="N343" s="377"/>
      <c r="O343" s="377"/>
    </row>
    <row r="344">
      <c r="B344" s="377"/>
      <c r="C344" s="377"/>
      <c r="D344" s="377"/>
      <c r="E344" s="377"/>
      <c r="F344" s="377"/>
      <c r="G344" s="377"/>
      <c r="H344" s="377"/>
      <c r="I344" s="377"/>
      <c r="J344" s="377"/>
      <c r="K344" s="377"/>
      <c r="L344" s="377"/>
      <c r="M344" s="377"/>
      <c r="N344" s="377"/>
      <c r="O344" s="377"/>
    </row>
    <row r="345">
      <c r="B345" s="377"/>
      <c r="C345" s="377"/>
      <c r="D345" s="377"/>
      <c r="E345" s="377"/>
      <c r="F345" s="377"/>
      <c r="G345" s="377"/>
      <c r="H345" s="377"/>
      <c r="I345" s="377"/>
      <c r="J345" s="377"/>
      <c r="K345" s="377"/>
      <c r="L345" s="377"/>
      <c r="M345" s="377"/>
      <c r="N345" s="377"/>
      <c r="O345" s="377"/>
    </row>
    <row r="346">
      <c r="B346" s="377"/>
      <c r="C346" s="377"/>
      <c r="D346" s="377"/>
      <c r="E346" s="377"/>
      <c r="F346" s="377"/>
      <c r="G346" s="377"/>
      <c r="H346" s="377"/>
      <c r="I346" s="377"/>
      <c r="J346" s="377"/>
      <c r="K346" s="377"/>
      <c r="L346" s="377"/>
      <c r="M346" s="377"/>
      <c r="N346" s="377"/>
      <c r="O346" s="377"/>
    </row>
    <row r="347">
      <c r="B347" s="377"/>
      <c r="C347" s="377"/>
      <c r="D347" s="377"/>
      <c r="E347" s="377"/>
      <c r="F347" s="377"/>
      <c r="G347" s="377"/>
      <c r="H347" s="377"/>
      <c r="I347" s="377"/>
      <c r="J347" s="377"/>
      <c r="K347" s="377"/>
      <c r="L347" s="377"/>
      <c r="M347" s="377"/>
      <c r="N347" s="377"/>
      <c r="O347" s="377"/>
    </row>
    <row r="348">
      <c r="B348" s="377"/>
      <c r="C348" s="377"/>
      <c r="D348" s="377"/>
      <c r="E348" s="377"/>
      <c r="F348" s="377"/>
      <c r="G348" s="377"/>
      <c r="H348" s="377"/>
      <c r="I348" s="377"/>
      <c r="J348" s="377"/>
      <c r="K348" s="377"/>
      <c r="L348" s="377"/>
      <c r="M348" s="377"/>
      <c r="N348" s="377"/>
      <c r="O348" s="377"/>
    </row>
    <row r="349">
      <c r="B349" s="377"/>
      <c r="C349" s="377"/>
      <c r="D349" s="377"/>
      <c r="E349" s="377"/>
      <c r="F349" s="377"/>
      <c r="G349" s="377"/>
      <c r="H349" s="377"/>
      <c r="I349" s="377"/>
      <c r="J349" s="377"/>
      <c r="K349" s="377"/>
      <c r="L349" s="377"/>
      <c r="M349" s="377"/>
      <c r="N349" s="377"/>
      <c r="O349" s="377"/>
    </row>
    <row r="350">
      <c r="B350" s="377"/>
      <c r="C350" s="377"/>
      <c r="D350" s="377"/>
      <c r="E350" s="377"/>
      <c r="F350" s="377"/>
      <c r="G350" s="377"/>
      <c r="H350" s="377"/>
      <c r="I350" s="377"/>
      <c r="J350" s="377"/>
      <c r="K350" s="377"/>
      <c r="L350" s="377"/>
      <c r="M350" s="377"/>
      <c r="N350" s="377"/>
      <c r="O350" s="377"/>
    </row>
    <row r="351">
      <c r="B351" s="377"/>
      <c r="C351" s="377"/>
      <c r="D351" s="377"/>
      <c r="E351" s="377"/>
      <c r="F351" s="377"/>
      <c r="G351" s="377"/>
      <c r="H351" s="377"/>
      <c r="I351" s="377"/>
      <c r="J351" s="377"/>
      <c r="K351" s="377"/>
      <c r="L351" s="377"/>
      <c r="M351" s="377"/>
      <c r="N351" s="377"/>
      <c r="O351" s="377"/>
    </row>
    <row r="352">
      <c r="B352" s="377"/>
      <c r="C352" s="377"/>
      <c r="D352" s="377"/>
      <c r="E352" s="377"/>
      <c r="F352" s="377"/>
      <c r="G352" s="377"/>
      <c r="H352" s="377"/>
      <c r="I352" s="377"/>
      <c r="J352" s="377"/>
      <c r="K352" s="377"/>
      <c r="L352" s="377"/>
      <c r="M352" s="377"/>
      <c r="N352" s="377"/>
      <c r="O352" s="377"/>
    </row>
    <row r="353">
      <c r="B353" s="377"/>
      <c r="C353" s="377"/>
      <c r="D353" s="377"/>
      <c r="E353" s="377"/>
      <c r="F353" s="377"/>
      <c r="G353" s="377"/>
      <c r="H353" s="377"/>
      <c r="I353" s="377"/>
      <c r="J353" s="377"/>
      <c r="K353" s="377"/>
      <c r="L353" s="377"/>
      <c r="M353" s="377"/>
      <c r="N353" s="377"/>
      <c r="O353" s="377"/>
    </row>
    <row r="354">
      <c r="B354" s="377"/>
      <c r="C354" s="377"/>
      <c r="D354" s="377"/>
      <c r="E354" s="377"/>
      <c r="F354" s="377"/>
      <c r="G354" s="377"/>
      <c r="H354" s="377"/>
      <c r="I354" s="377"/>
      <c r="J354" s="377"/>
      <c r="K354" s="377"/>
      <c r="L354" s="377"/>
      <c r="M354" s="377"/>
      <c r="N354" s="377"/>
      <c r="O354" s="377"/>
    </row>
    <row r="355">
      <c r="B355" s="377"/>
      <c r="C355" s="377"/>
      <c r="D355" s="377"/>
      <c r="E355" s="377"/>
      <c r="F355" s="377"/>
      <c r="G355" s="377"/>
      <c r="H355" s="377"/>
      <c r="I355" s="377"/>
      <c r="J355" s="377"/>
      <c r="K355" s="377"/>
      <c r="L355" s="377"/>
      <c r="M355" s="377"/>
      <c r="N355" s="377"/>
      <c r="O355" s="377"/>
    </row>
    <row r="356">
      <c r="B356" s="377"/>
      <c r="C356" s="377"/>
      <c r="D356" s="377"/>
      <c r="E356" s="377"/>
      <c r="F356" s="377"/>
      <c r="G356" s="377"/>
      <c r="H356" s="377"/>
      <c r="I356" s="377"/>
      <c r="J356" s="377"/>
      <c r="K356" s="377"/>
      <c r="L356" s="377"/>
      <c r="M356" s="377"/>
      <c r="N356" s="377"/>
      <c r="O356" s="377"/>
    </row>
    <row r="357">
      <c r="B357" s="377"/>
      <c r="C357" s="377"/>
      <c r="D357" s="377"/>
      <c r="E357" s="377"/>
      <c r="F357" s="377"/>
      <c r="G357" s="377"/>
      <c r="H357" s="377"/>
      <c r="I357" s="377"/>
      <c r="J357" s="377"/>
      <c r="K357" s="377"/>
      <c r="L357" s="377"/>
      <c r="M357" s="377"/>
      <c r="N357" s="377"/>
      <c r="O357" s="377"/>
    </row>
    <row r="358">
      <c r="B358" s="377"/>
      <c r="C358" s="377"/>
      <c r="D358" s="377"/>
      <c r="E358" s="377"/>
      <c r="F358" s="377"/>
      <c r="G358" s="377"/>
      <c r="H358" s="377"/>
      <c r="I358" s="377"/>
      <c r="J358" s="377"/>
      <c r="K358" s="377"/>
      <c r="L358" s="377"/>
      <c r="M358" s="377"/>
      <c r="N358" s="377"/>
      <c r="O358" s="377"/>
    </row>
    <row r="359">
      <c r="B359" s="377"/>
      <c r="C359" s="377"/>
      <c r="D359" s="377"/>
      <c r="E359" s="377"/>
      <c r="F359" s="377"/>
      <c r="G359" s="377"/>
      <c r="H359" s="377"/>
      <c r="I359" s="377"/>
      <c r="J359" s="377"/>
      <c r="K359" s="377"/>
      <c r="L359" s="377"/>
      <c r="M359" s="377"/>
      <c r="N359" s="377"/>
      <c r="O359" s="377"/>
    </row>
    <row r="360">
      <c r="B360" s="377"/>
      <c r="C360" s="377"/>
      <c r="D360" s="377"/>
      <c r="E360" s="377"/>
      <c r="F360" s="377"/>
      <c r="G360" s="377"/>
      <c r="H360" s="377"/>
      <c r="I360" s="377"/>
      <c r="J360" s="377"/>
      <c r="K360" s="377"/>
      <c r="L360" s="377"/>
      <c r="M360" s="377"/>
      <c r="N360" s="377"/>
      <c r="O360" s="377"/>
    </row>
    <row r="361">
      <c r="B361" s="377"/>
      <c r="C361" s="377"/>
      <c r="D361" s="377"/>
      <c r="E361" s="377"/>
      <c r="F361" s="377"/>
      <c r="G361" s="377"/>
      <c r="H361" s="377"/>
      <c r="I361" s="377"/>
      <c r="J361" s="377"/>
      <c r="K361" s="377"/>
      <c r="L361" s="377"/>
      <c r="M361" s="377"/>
      <c r="N361" s="377"/>
      <c r="O361" s="377"/>
    </row>
    <row r="362">
      <c r="B362" s="377"/>
      <c r="C362" s="377"/>
      <c r="D362" s="377"/>
      <c r="E362" s="377"/>
      <c r="F362" s="377"/>
      <c r="G362" s="377"/>
      <c r="H362" s="377"/>
      <c r="I362" s="377"/>
      <c r="J362" s="377"/>
      <c r="K362" s="377"/>
      <c r="L362" s="377"/>
      <c r="M362" s="377"/>
      <c r="N362" s="377"/>
      <c r="O362" s="377"/>
    </row>
    <row r="363">
      <c r="B363" s="377"/>
      <c r="C363" s="377"/>
      <c r="D363" s="377"/>
      <c r="E363" s="377"/>
      <c r="F363" s="377"/>
      <c r="G363" s="377"/>
      <c r="H363" s="377"/>
      <c r="I363" s="377"/>
      <c r="J363" s="377"/>
      <c r="K363" s="377"/>
      <c r="L363" s="377"/>
      <c r="M363" s="377"/>
      <c r="N363" s="377"/>
      <c r="O363" s="377"/>
    </row>
    <row r="364">
      <c r="B364" s="377"/>
      <c r="C364" s="377"/>
      <c r="D364" s="377"/>
      <c r="E364" s="377"/>
      <c r="F364" s="377"/>
      <c r="G364" s="377"/>
      <c r="H364" s="377"/>
      <c r="I364" s="377"/>
      <c r="J364" s="377"/>
      <c r="K364" s="377"/>
      <c r="L364" s="377"/>
      <c r="M364" s="377"/>
      <c r="N364" s="377"/>
      <c r="O364" s="377"/>
    </row>
    <row r="365">
      <c r="B365" s="377"/>
      <c r="C365" s="377"/>
      <c r="D365" s="377"/>
      <c r="E365" s="377"/>
      <c r="F365" s="377"/>
      <c r="G365" s="377"/>
      <c r="H365" s="377"/>
      <c r="I365" s="377"/>
      <c r="J365" s="377"/>
      <c r="K365" s="377"/>
      <c r="L365" s="377"/>
      <c r="M365" s="377"/>
      <c r="N365" s="377"/>
      <c r="O365" s="377"/>
    </row>
    <row r="366">
      <c r="B366" s="377"/>
      <c r="C366" s="377"/>
      <c r="D366" s="377"/>
      <c r="E366" s="377"/>
      <c r="F366" s="377"/>
      <c r="G366" s="377"/>
      <c r="H366" s="377"/>
      <c r="I366" s="377"/>
      <c r="J366" s="377"/>
      <c r="K366" s="377"/>
      <c r="L366" s="377"/>
      <c r="M366" s="377"/>
      <c r="N366" s="377"/>
      <c r="O366" s="377"/>
    </row>
    <row r="367">
      <c r="B367" s="377"/>
      <c r="C367" s="377"/>
      <c r="D367" s="377"/>
      <c r="E367" s="377"/>
      <c r="F367" s="377"/>
      <c r="G367" s="377"/>
      <c r="H367" s="377"/>
      <c r="I367" s="377"/>
      <c r="J367" s="377"/>
      <c r="K367" s="377"/>
      <c r="L367" s="377"/>
      <c r="M367" s="377"/>
      <c r="N367" s="377"/>
      <c r="O367" s="377"/>
    </row>
    <row r="368">
      <c r="B368" s="377"/>
      <c r="C368" s="377"/>
      <c r="D368" s="377"/>
      <c r="E368" s="377"/>
      <c r="F368" s="377"/>
      <c r="G368" s="377"/>
      <c r="H368" s="377"/>
      <c r="I368" s="377"/>
      <c r="J368" s="377"/>
      <c r="K368" s="377"/>
      <c r="L368" s="377"/>
      <c r="M368" s="377"/>
      <c r="N368" s="377"/>
      <c r="O368" s="377"/>
    </row>
    <row r="369">
      <c r="B369" s="377"/>
      <c r="C369" s="377"/>
      <c r="D369" s="377"/>
      <c r="E369" s="377"/>
      <c r="F369" s="377"/>
      <c r="G369" s="377"/>
      <c r="H369" s="377"/>
      <c r="I369" s="377"/>
      <c r="J369" s="377"/>
      <c r="K369" s="377"/>
      <c r="L369" s="377"/>
      <c r="M369" s="377"/>
      <c r="N369" s="377"/>
      <c r="O369" s="377"/>
    </row>
    <row r="370">
      <c r="B370" s="377"/>
      <c r="C370" s="377"/>
      <c r="D370" s="377"/>
      <c r="E370" s="377"/>
      <c r="F370" s="377"/>
      <c r="G370" s="377"/>
      <c r="H370" s="377"/>
      <c r="I370" s="377"/>
      <c r="J370" s="377"/>
      <c r="K370" s="377"/>
      <c r="L370" s="377"/>
      <c r="M370" s="377"/>
      <c r="N370" s="377"/>
      <c r="O370" s="377"/>
    </row>
    <row r="371">
      <c r="B371" s="377"/>
      <c r="C371" s="377"/>
      <c r="D371" s="377"/>
      <c r="E371" s="377"/>
      <c r="F371" s="377"/>
      <c r="G371" s="377"/>
      <c r="H371" s="377"/>
      <c r="I371" s="377"/>
      <c r="J371" s="377"/>
      <c r="K371" s="377"/>
      <c r="L371" s="377"/>
      <c r="M371" s="377"/>
      <c r="N371" s="377"/>
      <c r="O371" s="377"/>
    </row>
    <row r="372">
      <c r="B372" s="377"/>
      <c r="C372" s="377"/>
      <c r="D372" s="377"/>
      <c r="E372" s="377"/>
      <c r="F372" s="377"/>
      <c r="G372" s="377"/>
      <c r="H372" s="377"/>
      <c r="I372" s="377"/>
      <c r="J372" s="377"/>
      <c r="K372" s="377"/>
      <c r="L372" s="377"/>
      <c r="M372" s="377"/>
      <c r="N372" s="377"/>
      <c r="O372" s="377"/>
    </row>
    <row r="373">
      <c r="B373" s="377"/>
      <c r="C373" s="377"/>
      <c r="D373" s="377"/>
      <c r="E373" s="377"/>
      <c r="F373" s="377"/>
      <c r="G373" s="377"/>
      <c r="H373" s="377"/>
      <c r="I373" s="377"/>
      <c r="J373" s="377"/>
      <c r="K373" s="377"/>
      <c r="L373" s="377"/>
      <c r="M373" s="377"/>
      <c r="N373" s="377"/>
      <c r="O373" s="377"/>
    </row>
    <row r="374">
      <c r="B374" s="377"/>
      <c r="C374" s="377"/>
      <c r="D374" s="377"/>
      <c r="E374" s="377"/>
      <c r="F374" s="377"/>
      <c r="G374" s="377"/>
      <c r="H374" s="377"/>
      <c r="I374" s="377"/>
      <c r="J374" s="377"/>
      <c r="K374" s="377"/>
      <c r="L374" s="377"/>
      <c r="M374" s="377"/>
      <c r="N374" s="377"/>
      <c r="O374" s="377"/>
    </row>
    <row r="375">
      <c r="B375" s="377"/>
      <c r="C375" s="377"/>
      <c r="D375" s="377"/>
      <c r="E375" s="377"/>
      <c r="F375" s="377"/>
      <c r="G375" s="377"/>
      <c r="H375" s="377"/>
      <c r="I375" s="377"/>
      <c r="J375" s="377"/>
      <c r="K375" s="377"/>
      <c r="L375" s="377"/>
      <c r="M375" s="377"/>
      <c r="N375" s="377"/>
      <c r="O375" s="377"/>
    </row>
    <row r="376">
      <c r="B376" s="377"/>
      <c r="C376" s="377"/>
      <c r="D376" s="377"/>
      <c r="E376" s="377"/>
      <c r="F376" s="377"/>
      <c r="G376" s="377"/>
      <c r="H376" s="377"/>
      <c r="I376" s="377"/>
      <c r="J376" s="377"/>
      <c r="K376" s="377"/>
      <c r="L376" s="377"/>
      <c r="M376" s="377"/>
      <c r="N376" s="377"/>
      <c r="O376" s="377"/>
    </row>
    <row r="377">
      <c r="B377" s="377"/>
      <c r="C377" s="377"/>
      <c r="D377" s="377"/>
      <c r="E377" s="377"/>
      <c r="F377" s="377"/>
      <c r="G377" s="377"/>
      <c r="H377" s="377"/>
      <c r="I377" s="377"/>
      <c r="J377" s="377"/>
      <c r="K377" s="377"/>
      <c r="L377" s="377"/>
      <c r="M377" s="377"/>
      <c r="N377" s="377"/>
      <c r="O377" s="377"/>
    </row>
    <row r="378">
      <c r="B378" s="377"/>
      <c r="C378" s="377"/>
      <c r="D378" s="377"/>
      <c r="E378" s="377"/>
      <c r="F378" s="377"/>
      <c r="G378" s="377"/>
      <c r="H378" s="377"/>
      <c r="I378" s="377"/>
      <c r="J378" s="377"/>
      <c r="K378" s="377"/>
      <c r="L378" s="377"/>
      <c r="M378" s="377"/>
      <c r="N378" s="377"/>
      <c r="O378" s="377"/>
    </row>
    <row r="379">
      <c r="B379" s="377"/>
      <c r="C379" s="377"/>
      <c r="D379" s="377"/>
      <c r="E379" s="377"/>
      <c r="F379" s="377"/>
      <c r="G379" s="377"/>
      <c r="H379" s="377"/>
      <c r="I379" s="377"/>
      <c r="J379" s="377"/>
      <c r="K379" s="377"/>
      <c r="L379" s="377"/>
      <c r="M379" s="377"/>
      <c r="N379" s="377"/>
      <c r="O379" s="377"/>
    </row>
    <row r="380">
      <c r="B380" s="377"/>
      <c r="C380" s="377"/>
      <c r="D380" s="377"/>
      <c r="E380" s="377"/>
      <c r="F380" s="377"/>
      <c r="G380" s="377"/>
      <c r="H380" s="377"/>
      <c r="I380" s="377"/>
      <c r="J380" s="377"/>
      <c r="K380" s="377"/>
      <c r="L380" s="377"/>
      <c r="M380" s="377"/>
      <c r="N380" s="377"/>
      <c r="O380" s="377"/>
    </row>
    <row r="381">
      <c r="B381" s="377"/>
      <c r="C381" s="377"/>
      <c r="D381" s="377"/>
      <c r="E381" s="377"/>
      <c r="F381" s="377"/>
      <c r="G381" s="377"/>
      <c r="H381" s="377"/>
      <c r="I381" s="377"/>
      <c r="J381" s="377"/>
      <c r="K381" s="377"/>
      <c r="L381" s="377"/>
      <c r="M381" s="377"/>
      <c r="N381" s="377"/>
      <c r="O381" s="377"/>
    </row>
    <row r="382">
      <c r="B382" s="377"/>
      <c r="C382" s="377"/>
      <c r="D382" s="377"/>
      <c r="E382" s="377"/>
      <c r="F382" s="377"/>
      <c r="G382" s="377"/>
      <c r="H382" s="377"/>
      <c r="I382" s="377"/>
      <c r="J382" s="377"/>
      <c r="K382" s="377"/>
      <c r="L382" s="377"/>
      <c r="M382" s="377"/>
      <c r="N382" s="377"/>
      <c r="O382" s="377"/>
    </row>
    <row r="383">
      <c r="B383" s="377"/>
      <c r="C383" s="377"/>
      <c r="D383" s="377"/>
      <c r="E383" s="377"/>
      <c r="F383" s="377"/>
      <c r="G383" s="377"/>
      <c r="H383" s="377"/>
      <c r="I383" s="377"/>
      <c r="J383" s="377"/>
      <c r="K383" s="377"/>
      <c r="L383" s="377"/>
      <c r="M383" s="377"/>
      <c r="N383" s="377"/>
      <c r="O383" s="377"/>
    </row>
    <row r="384">
      <c r="B384" s="377"/>
      <c r="C384" s="377"/>
      <c r="D384" s="377"/>
      <c r="E384" s="377"/>
      <c r="F384" s="377"/>
      <c r="G384" s="377"/>
      <c r="H384" s="377"/>
      <c r="I384" s="377"/>
      <c r="J384" s="377"/>
      <c r="K384" s="377"/>
      <c r="L384" s="377"/>
      <c r="M384" s="377"/>
      <c r="N384" s="377"/>
      <c r="O384" s="377"/>
    </row>
    <row r="385">
      <c r="B385" s="377"/>
      <c r="C385" s="377"/>
      <c r="D385" s="377"/>
      <c r="E385" s="377"/>
      <c r="F385" s="377"/>
      <c r="G385" s="377"/>
      <c r="H385" s="377"/>
      <c r="I385" s="377"/>
      <c r="J385" s="377"/>
      <c r="K385" s="377"/>
      <c r="L385" s="377"/>
      <c r="M385" s="377"/>
      <c r="N385" s="377"/>
      <c r="O385" s="377"/>
    </row>
    <row r="386">
      <c r="B386" s="377"/>
      <c r="C386" s="377"/>
      <c r="D386" s="377"/>
      <c r="E386" s="377"/>
      <c r="F386" s="377"/>
      <c r="G386" s="377"/>
      <c r="H386" s="377"/>
      <c r="I386" s="377"/>
      <c r="J386" s="377"/>
      <c r="K386" s="377"/>
      <c r="L386" s="377"/>
      <c r="M386" s="377"/>
      <c r="N386" s="377"/>
      <c r="O386" s="377"/>
    </row>
    <row r="387">
      <c r="B387" s="377"/>
      <c r="C387" s="377"/>
      <c r="D387" s="377"/>
      <c r="E387" s="377"/>
      <c r="F387" s="377"/>
      <c r="G387" s="377"/>
      <c r="H387" s="377"/>
      <c r="I387" s="377"/>
      <c r="J387" s="377"/>
      <c r="K387" s="377"/>
      <c r="L387" s="377"/>
      <c r="M387" s="377"/>
      <c r="N387" s="377"/>
      <c r="O387" s="377"/>
    </row>
    <row r="388">
      <c r="B388" s="377"/>
      <c r="C388" s="377"/>
      <c r="D388" s="377"/>
      <c r="E388" s="377"/>
      <c r="F388" s="377"/>
      <c r="G388" s="377"/>
      <c r="H388" s="377"/>
      <c r="I388" s="377"/>
      <c r="J388" s="377"/>
      <c r="K388" s="377"/>
      <c r="L388" s="377"/>
      <c r="M388" s="377"/>
      <c r="N388" s="377"/>
      <c r="O388" s="377"/>
    </row>
    <row r="389">
      <c r="B389" s="377"/>
      <c r="C389" s="377"/>
      <c r="D389" s="377"/>
      <c r="E389" s="377"/>
      <c r="F389" s="377"/>
      <c r="G389" s="377"/>
      <c r="H389" s="377"/>
      <c r="I389" s="377"/>
      <c r="J389" s="377"/>
      <c r="K389" s="377"/>
      <c r="L389" s="377"/>
      <c r="M389" s="377"/>
      <c r="N389" s="377"/>
      <c r="O389" s="377"/>
    </row>
    <row r="390">
      <c r="B390" s="377"/>
      <c r="C390" s="377"/>
      <c r="D390" s="377"/>
      <c r="E390" s="377"/>
      <c r="F390" s="377"/>
      <c r="G390" s="377"/>
      <c r="H390" s="377"/>
      <c r="I390" s="377"/>
      <c r="J390" s="377"/>
      <c r="K390" s="377"/>
      <c r="L390" s="377"/>
      <c r="M390" s="377"/>
      <c r="N390" s="377"/>
      <c r="O390" s="377"/>
    </row>
    <row r="391">
      <c r="B391" s="377"/>
      <c r="C391" s="377"/>
      <c r="D391" s="377"/>
      <c r="E391" s="377"/>
      <c r="F391" s="377"/>
      <c r="G391" s="377"/>
      <c r="H391" s="377"/>
      <c r="I391" s="377"/>
      <c r="J391" s="377"/>
      <c r="K391" s="377"/>
      <c r="L391" s="377"/>
      <c r="M391" s="377"/>
      <c r="N391" s="377"/>
      <c r="O391" s="377"/>
    </row>
    <row r="392">
      <c r="B392" s="377"/>
      <c r="C392" s="377"/>
      <c r="D392" s="377"/>
      <c r="E392" s="377"/>
      <c r="F392" s="377"/>
      <c r="G392" s="377"/>
      <c r="H392" s="377"/>
      <c r="I392" s="377"/>
      <c r="J392" s="377"/>
      <c r="K392" s="377"/>
      <c r="L392" s="377"/>
      <c r="M392" s="377"/>
      <c r="N392" s="377"/>
      <c r="O392" s="377"/>
    </row>
    <row r="393">
      <c r="B393" s="377"/>
      <c r="C393" s="377"/>
      <c r="D393" s="377"/>
      <c r="E393" s="377"/>
      <c r="F393" s="377"/>
      <c r="G393" s="377"/>
      <c r="H393" s="377"/>
      <c r="I393" s="377"/>
      <c r="J393" s="377"/>
      <c r="K393" s="377"/>
      <c r="L393" s="377"/>
      <c r="M393" s="377"/>
      <c r="N393" s="377"/>
      <c r="O393" s="377"/>
    </row>
    <row r="394">
      <c r="B394" s="377"/>
      <c r="C394" s="377"/>
      <c r="D394" s="377"/>
      <c r="E394" s="377"/>
      <c r="F394" s="377"/>
      <c r="G394" s="377"/>
      <c r="H394" s="377"/>
      <c r="I394" s="377"/>
      <c r="J394" s="377"/>
      <c r="K394" s="377"/>
      <c r="L394" s="377"/>
      <c r="M394" s="377"/>
      <c r="N394" s="377"/>
      <c r="O394" s="377"/>
    </row>
    <row r="395">
      <c r="B395" s="377"/>
      <c r="C395" s="377"/>
      <c r="D395" s="377"/>
      <c r="E395" s="377"/>
      <c r="F395" s="377"/>
      <c r="G395" s="377"/>
      <c r="H395" s="377"/>
      <c r="I395" s="377"/>
      <c r="J395" s="377"/>
      <c r="K395" s="377"/>
      <c r="L395" s="377"/>
      <c r="M395" s="377"/>
      <c r="N395" s="377"/>
      <c r="O395" s="377"/>
    </row>
    <row r="396">
      <c r="B396" s="377"/>
      <c r="C396" s="377"/>
      <c r="D396" s="377"/>
      <c r="E396" s="377"/>
      <c r="F396" s="377"/>
      <c r="G396" s="377"/>
      <c r="H396" s="377"/>
      <c r="I396" s="377"/>
      <c r="J396" s="377"/>
      <c r="K396" s="377"/>
      <c r="L396" s="377"/>
      <c r="M396" s="377"/>
      <c r="N396" s="377"/>
      <c r="O396" s="377"/>
    </row>
    <row r="397">
      <c r="B397" s="377"/>
      <c r="C397" s="377"/>
      <c r="D397" s="377"/>
      <c r="E397" s="377"/>
      <c r="F397" s="377"/>
      <c r="G397" s="377"/>
      <c r="H397" s="377"/>
      <c r="I397" s="377"/>
      <c r="J397" s="377"/>
      <c r="K397" s="377"/>
      <c r="L397" s="377"/>
      <c r="M397" s="377"/>
      <c r="N397" s="377"/>
      <c r="O397" s="377"/>
    </row>
    <row r="398">
      <c r="B398" s="377"/>
      <c r="C398" s="377"/>
      <c r="D398" s="377"/>
      <c r="E398" s="377"/>
      <c r="F398" s="377"/>
      <c r="G398" s="377"/>
      <c r="H398" s="377"/>
      <c r="I398" s="377"/>
      <c r="J398" s="377"/>
      <c r="K398" s="377"/>
      <c r="L398" s="377"/>
      <c r="M398" s="377"/>
      <c r="N398" s="377"/>
      <c r="O398" s="377"/>
    </row>
    <row r="399">
      <c r="B399" s="377"/>
      <c r="C399" s="377"/>
      <c r="D399" s="377"/>
      <c r="E399" s="377"/>
      <c r="F399" s="377"/>
      <c r="G399" s="377"/>
      <c r="H399" s="377"/>
      <c r="I399" s="377"/>
      <c r="J399" s="377"/>
      <c r="K399" s="377"/>
      <c r="L399" s="377"/>
      <c r="M399" s="377"/>
      <c r="N399" s="377"/>
      <c r="O399" s="377"/>
    </row>
    <row r="400">
      <c r="B400" s="377"/>
      <c r="C400" s="377"/>
      <c r="D400" s="377"/>
      <c r="E400" s="377"/>
      <c r="F400" s="377"/>
      <c r="G400" s="377"/>
      <c r="H400" s="377"/>
      <c r="I400" s="377"/>
      <c r="J400" s="377"/>
      <c r="K400" s="377"/>
      <c r="L400" s="377"/>
      <c r="M400" s="377"/>
      <c r="N400" s="377"/>
      <c r="O400" s="377"/>
    </row>
    <row r="401">
      <c r="B401" s="377"/>
      <c r="C401" s="377"/>
      <c r="D401" s="377"/>
      <c r="E401" s="377"/>
      <c r="F401" s="377"/>
      <c r="G401" s="377"/>
      <c r="H401" s="377"/>
      <c r="I401" s="377"/>
      <c r="J401" s="377"/>
      <c r="K401" s="377"/>
      <c r="L401" s="377"/>
      <c r="M401" s="377"/>
      <c r="N401" s="377"/>
      <c r="O401" s="377"/>
    </row>
    <row r="402">
      <c r="B402" s="377"/>
      <c r="C402" s="377"/>
      <c r="D402" s="377"/>
      <c r="E402" s="377"/>
      <c r="F402" s="377"/>
      <c r="G402" s="377"/>
      <c r="H402" s="377"/>
      <c r="I402" s="377"/>
      <c r="J402" s="377"/>
      <c r="K402" s="377"/>
      <c r="L402" s="377"/>
      <c r="M402" s="377"/>
      <c r="N402" s="377"/>
      <c r="O402" s="377"/>
    </row>
    <row r="403">
      <c r="B403" s="377"/>
      <c r="C403" s="377"/>
      <c r="D403" s="377"/>
      <c r="E403" s="377"/>
      <c r="F403" s="377"/>
      <c r="G403" s="377"/>
      <c r="H403" s="377"/>
      <c r="I403" s="377"/>
      <c r="J403" s="377"/>
      <c r="K403" s="377"/>
      <c r="L403" s="377"/>
      <c r="M403" s="377"/>
      <c r="N403" s="377"/>
      <c r="O403" s="377"/>
    </row>
    <row r="404">
      <c r="B404" s="377"/>
      <c r="C404" s="377"/>
      <c r="D404" s="377"/>
      <c r="E404" s="377"/>
      <c r="F404" s="377"/>
      <c r="G404" s="377"/>
      <c r="H404" s="377"/>
      <c r="I404" s="377"/>
      <c r="J404" s="377"/>
      <c r="K404" s="377"/>
      <c r="L404" s="377"/>
      <c r="M404" s="377"/>
      <c r="N404" s="377"/>
      <c r="O404" s="377"/>
    </row>
    <row r="405">
      <c r="B405" s="377"/>
      <c r="C405" s="377"/>
      <c r="D405" s="377"/>
      <c r="E405" s="377"/>
      <c r="F405" s="377"/>
      <c r="G405" s="377"/>
      <c r="H405" s="377"/>
      <c r="I405" s="377"/>
      <c r="J405" s="377"/>
      <c r="K405" s="377"/>
      <c r="L405" s="377"/>
      <c r="M405" s="377"/>
      <c r="N405" s="377"/>
      <c r="O405" s="377"/>
    </row>
    <row r="406">
      <c r="B406" s="377"/>
      <c r="C406" s="377"/>
      <c r="D406" s="377"/>
      <c r="E406" s="377"/>
      <c r="F406" s="377"/>
      <c r="G406" s="377"/>
      <c r="H406" s="377"/>
      <c r="I406" s="377"/>
      <c r="J406" s="377"/>
      <c r="K406" s="377"/>
      <c r="L406" s="377"/>
      <c r="M406" s="377"/>
      <c r="N406" s="377"/>
      <c r="O406" s="377"/>
    </row>
    <row r="407">
      <c r="B407" s="377"/>
      <c r="C407" s="377"/>
      <c r="D407" s="377"/>
      <c r="E407" s="377"/>
      <c r="F407" s="377"/>
      <c r="G407" s="377"/>
      <c r="H407" s="377"/>
      <c r="I407" s="377"/>
      <c r="J407" s="377"/>
      <c r="K407" s="377"/>
      <c r="L407" s="377"/>
      <c r="M407" s="377"/>
      <c r="N407" s="377"/>
      <c r="O407" s="377"/>
    </row>
    <row r="408">
      <c r="B408" s="377"/>
      <c r="C408" s="377"/>
      <c r="D408" s="377"/>
      <c r="E408" s="377"/>
      <c r="F408" s="377"/>
      <c r="G408" s="377"/>
      <c r="H408" s="377"/>
      <c r="I408" s="377"/>
      <c r="J408" s="377"/>
      <c r="K408" s="377"/>
      <c r="L408" s="377"/>
      <c r="M408" s="377"/>
      <c r="N408" s="377"/>
      <c r="O408" s="377"/>
    </row>
    <row r="409">
      <c r="B409" s="377"/>
      <c r="C409" s="377"/>
      <c r="D409" s="377"/>
      <c r="E409" s="377"/>
      <c r="F409" s="377"/>
      <c r="G409" s="377"/>
      <c r="H409" s="377"/>
      <c r="I409" s="377"/>
      <c r="J409" s="377"/>
      <c r="K409" s="377"/>
      <c r="L409" s="377"/>
      <c r="M409" s="377"/>
      <c r="N409" s="377"/>
      <c r="O409" s="377"/>
    </row>
    <row r="410">
      <c r="B410" s="377"/>
      <c r="C410" s="377"/>
      <c r="D410" s="377"/>
      <c r="E410" s="377"/>
      <c r="F410" s="377"/>
      <c r="G410" s="377"/>
      <c r="H410" s="377"/>
      <c r="I410" s="377"/>
      <c r="J410" s="377"/>
      <c r="K410" s="377"/>
      <c r="L410" s="377"/>
      <c r="M410" s="377"/>
      <c r="N410" s="377"/>
      <c r="O410" s="377"/>
    </row>
    <row r="411">
      <c r="B411" s="377"/>
      <c r="C411" s="377"/>
      <c r="D411" s="377"/>
      <c r="E411" s="377"/>
      <c r="F411" s="377"/>
      <c r="G411" s="377"/>
      <c r="H411" s="377"/>
      <c r="I411" s="377"/>
      <c r="J411" s="377"/>
      <c r="K411" s="377"/>
      <c r="L411" s="377"/>
      <c r="M411" s="377"/>
      <c r="N411" s="377"/>
      <c r="O411" s="377"/>
    </row>
    <row r="412">
      <c r="B412" s="377"/>
      <c r="C412" s="377"/>
      <c r="D412" s="377"/>
      <c r="E412" s="377"/>
      <c r="F412" s="377"/>
      <c r="G412" s="377"/>
      <c r="H412" s="377"/>
      <c r="I412" s="377"/>
      <c r="J412" s="377"/>
      <c r="K412" s="377"/>
      <c r="L412" s="377"/>
      <c r="M412" s="377"/>
      <c r="N412" s="377"/>
      <c r="O412" s="377"/>
    </row>
    <row r="413">
      <c r="B413" s="377"/>
      <c r="C413" s="377"/>
      <c r="D413" s="377"/>
      <c r="E413" s="377"/>
      <c r="F413" s="377"/>
      <c r="G413" s="377"/>
      <c r="H413" s="377"/>
      <c r="I413" s="377"/>
      <c r="J413" s="377"/>
      <c r="K413" s="377"/>
      <c r="L413" s="377"/>
      <c r="M413" s="377"/>
      <c r="N413" s="377"/>
      <c r="O413" s="377"/>
    </row>
    <row r="414">
      <c r="B414" s="377"/>
      <c r="C414" s="377"/>
      <c r="D414" s="377"/>
      <c r="E414" s="377"/>
      <c r="F414" s="377"/>
      <c r="G414" s="377"/>
      <c r="H414" s="377"/>
      <c r="I414" s="377"/>
      <c r="J414" s="377"/>
      <c r="K414" s="377"/>
      <c r="L414" s="377"/>
      <c r="M414" s="377"/>
      <c r="N414" s="377"/>
      <c r="O414" s="377"/>
    </row>
    <row r="415">
      <c r="B415" s="377"/>
      <c r="C415" s="377"/>
      <c r="D415" s="377"/>
      <c r="E415" s="377"/>
      <c r="F415" s="377"/>
      <c r="G415" s="377"/>
      <c r="H415" s="377"/>
      <c r="I415" s="377"/>
      <c r="J415" s="377"/>
      <c r="K415" s="377"/>
      <c r="L415" s="377"/>
      <c r="M415" s="377"/>
      <c r="N415" s="377"/>
      <c r="O415" s="377"/>
    </row>
    <row r="416">
      <c r="B416" s="377"/>
      <c r="C416" s="377"/>
      <c r="D416" s="377"/>
      <c r="E416" s="377"/>
      <c r="F416" s="377"/>
      <c r="G416" s="377"/>
      <c r="H416" s="377"/>
      <c r="I416" s="377"/>
      <c r="J416" s="377"/>
      <c r="K416" s="377"/>
      <c r="L416" s="377"/>
      <c r="M416" s="377"/>
      <c r="N416" s="377"/>
      <c r="O416" s="377"/>
    </row>
    <row r="417">
      <c r="B417" s="377"/>
      <c r="C417" s="377"/>
      <c r="D417" s="377"/>
      <c r="E417" s="377"/>
      <c r="F417" s="377"/>
      <c r="G417" s="377"/>
      <c r="H417" s="377"/>
      <c r="I417" s="377"/>
      <c r="J417" s="377"/>
      <c r="K417" s="377"/>
      <c r="L417" s="377"/>
      <c r="M417" s="377"/>
      <c r="N417" s="377"/>
      <c r="O417" s="377"/>
    </row>
    <row r="418">
      <c r="B418" s="377"/>
      <c r="C418" s="377"/>
      <c r="D418" s="377"/>
      <c r="E418" s="377"/>
      <c r="F418" s="377"/>
      <c r="G418" s="377"/>
      <c r="H418" s="377"/>
      <c r="I418" s="377"/>
      <c r="J418" s="377"/>
      <c r="K418" s="377"/>
      <c r="L418" s="377"/>
      <c r="M418" s="377"/>
      <c r="N418" s="377"/>
      <c r="O418" s="377"/>
    </row>
    <row r="419">
      <c r="B419" s="377"/>
      <c r="C419" s="377"/>
      <c r="D419" s="377"/>
      <c r="E419" s="377"/>
      <c r="F419" s="377"/>
      <c r="G419" s="377"/>
      <c r="H419" s="377"/>
      <c r="I419" s="377"/>
      <c r="J419" s="377"/>
      <c r="K419" s="377"/>
      <c r="L419" s="377"/>
      <c r="M419" s="377"/>
      <c r="N419" s="377"/>
      <c r="O419" s="377"/>
    </row>
    <row r="420">
      <c r="B420" s="377"/>
      <c r="C420" s="377"/>
      <c r="D420" s="377"/>
      <c r="E420" s="377"/>
      <c r="F420" s="377"/>
      <c r="G420" s="377"/>
      <c r="H420" s="377"/>
      <c r="I420" s="377"/>
      <c r="J420" s="377"/>
      <c r="K420" s="377"/>
      <c r="L420" s="377"/>
      <c r="M420" s="377"/>
      <c r="N420" s="377"/>
      <c r="O420" s="377"/>
    </row>
    <row r="421">
      <c r="B421" s="377"/>
      <c r="C421" s="377"/>
      <c r="D421" s="377"/>
      <c r="E421" s="377"/>
      <c r="F421" s="377"/>
      <c r="G421" s="377"/>
      <c r="H421" s="377"/>
      <c r="I421" s="377"/>
      <c r="J421" s="377"/>
      <c r="K421" s="377"/>
      <c r="L421" s="377"/>
      <c r="M421" s="377"/>
      <c r="N421" s="377"/>
      <c r="O421" s="377"/>
    </row>
    <row r="422">
      <c r="B422" s="377"/>
      <c r="C422" s="377"/>
      <c r="D422" s="377"/>
      <c r="E422" s="377"/>
      <c r="F422" s="377"/>
      <c r="G422" s="377"/>
      <c r="H422" s="377"/>
      <c r="I422" s="377"/>
      <c r="J422" s="377"/>
      <c r="K422" s="377"/>
      <c r="L422" s="377"/>
      <c r="M422" s="377"/>
      <c r="N422" s="377"/>
      <c r="O422" s="377"/>
    </row>
    <row r="423">
      <c r="B423" s="377"/>
      <c r="C423" s="377"/>
      <c r="D423" s="377"/>
      <c r="E423" s="377"/>
      <c r="F423" s="377"/>
      <c r="G423" s="377"/>
      <c r="H423" s="377"/>
      <c r="I423" s="377"/>
      <c r="J423" s="377"/>
      <c r="K423" s="377"/>
      <c r="L423" s="377"/>
      <c r="M423" s="377"/>
      <c r="N423" s="377"/>
      <c r="O423" s="377"/>
    </row>
    <row r="424">
      <c r="B424" s="377"/>
      <c r="C424" s="377"/>
      <c r="D424" s="377"/>
      <c r="E424" s="377"/>
      <c r="F424" s="377"/>
      <c r="G424" s="377"/>
      <c r="H424" s="377"/>
      <c r="I424" s="377"/>
      <c r="J424" s="377"/>
      <c r="K424" s="377"/>
      <c r="L424" s="377"/>
      <c r="M424" s="377"/>
      <c r="N424" s="377"/>
      <c r="O424" s="377"/>
    </row>
    <row r="425">
      <c r="B425" s="377"/>
      <c r="C425" s="377"/>
      <c r="D425" s="377"/>
      <c r="E425" s="377"/>
      <c r="F425" s="377"/>
      <c r="G425" s="377"/>
      <c r="H425" s="377"/>
      <c r="I425" s="377"/>
      <c r="J425" s="377"/>
      <c r="K425" s="377"/>
      <c r="L425" s="377"/>
      <c r="M425" s="377"/>
      <c r="N425" s="377"/>
      <c r="O425" s="377"/>
    </row>
    <row r="426">
      <c r="B426" s="377"/>
      <c r="C426" s="377"/>
      <c r="D426" s="377"/>
      <c r="E426" s="377"/>
      <c r="F426" s="377"/>
      <c r="G426" s="377"/>
      <c r="H426" s="377"/>
      <c r="I426" s="377"/>
      <c r="J426" s="377"/>
      <c r="K426" s="377"/>
      <c r="L426" s="377"/>
      <c r="M426" s="377"/>
      <c r="N426" s="377"/>
      <c r="O426" s="377"/>
    </row>
    <row r="427">
      <c r="B427" s="377"/>
      <c r="C427" s="377"/>
      <c r="D427" s="377"/>
      <c r="E427" s="377"/>
      <c r="F427" s="377"/>
      <c r="G427" s="377"/>
      <c r="H427" s="377"/>
      <c r="I427" s="377"/>
      <c r="J427" s="377"/>
      <c r="K427" s="377"/>
      <c r="L427" s="377"/>
      <c r="M427" s="377"/>
      <c r="N427" s="377"/>
      <c r="O427" s="377"/>
    </row>
    <row r="428">
      <c r="B428" s="377"/>
      <c r="C428" s="377"/>
      <c r="D428" s="377"/>
      <c r="E428" s="377"/>
      <c r="F428" s="377"/>
      <c r="G428" s="377"/>
      <c r="H428" s="377"/>
      <c r="I428" s="377"/>
      <c r="J428" s="377"/>
      <c r="K428" s="377"/>
      <c r="L428" s="377"/>
      <c r="M428" s="377"/>
      <c r="N428" s="377"/>
      <c r="O428" s="377"/>
    </row>
    <row r="429">
      <c r="B429" s="377"/>
      <c r="C429" s="377"/>
      <c r="D429" s="377"/>
      <c r="E429" s="377"/>
      <c r="F429" s="377"/>
      <c r="G429" s="377"/>
      <c r="H429" s="377"/>
      <c r="I429" s="377"/>
      <c r="J429" s="377"/>
      <c r="K429" s="377"/>
      <c r="L429" s="377"/>
      <c r="M429" s="377"/>
      <c r="N429" s="377"/>
      <c r="O429" s="377"/>
    </row>
    <row r="430">
      <c r="B430" s="377"/>
      <c r="C430" s="377"/>
      <c r="D430" s="377"/>
      <c r="E430" s="377"/>
      <c r="F430" s="377"/>
      <c r="G430" s="377"/>
      <c r="H430" s="377"/>
      <c r="I430" s="377"/>
      <c r="J430" s="377"/>
      <c r="K430" s="377"/>
      <c r="L430" s="377"/>
      <c r="M430" s="377"/>
      <c r="N430" s="377"/>
      <c r="O430" s="377"/>
    </row>
    <row r="431">
      <c r="B431" s="377"/>
      <c r="C431" s="377"/>
      <c r="D431" s="377"/>
      <c r="E431" s="377"/>
      <c r="F431" s="377"/>
      <c r="G431" s="377"/>
      <c r="H431" s="377"/>
      <c r="I431" s="377"/>
      <c r="J431" s="377"/>
      <c r="K431" s="377"/>
      <c r="L431" s="377"/>
      <c r="M431" s="377"/>
      <c r="N431" s="377"/>
      <c r="O431" s="377"/>
    </row>
    <row r="432">
      <c r="B432" s="377"/>
      <c r="C432" s="377"/>
      <c r="D432" s="377"/>
      <c r="E432" s="377"/>
      <c r="F432" s="377"/>
      <c r="G432" s="377"/>
      <c r="H432" s="377"/>
      <c r="I432" s="377"/>
      <c r="J432" s="377"/>
      <c r="K432" s="377"/>
      <c r="L432" s="377"/>
      <c r="M432" s="377"/>
      <c r="N432" s="377"/>
      <c r="O432" s="377"/>
    </row>
    <row r="433">
      <c r="B433" s="377"/>
      <c r="C433" s="377"/>
      <c r="D433" s="377"/>
      <c r="E433" s="377"/>
      <c r="F433" s="377"/>
      <c r="G433" s="377"/>
      <c r="H433" s="377"/>
      <c r="I433" s="377"/>
      <c r="J433" s="377"/>
      <c r="K433" s="377"/>
      <c r="L433" s="377"/>
      <c r="M433" s="377"/>
      <c r="N433" s="377"/>
      <c r="O433" s="377"/>
    </row>
    <row r="434">
      <c r="B434" s="377"/>
      <c r="C434" s="377"/>
      <c r="D434" s="377"/>
      <c r="E434" s="377"/>
      <c r="F434" s="377"/>
      <c r="G434" s="377"/>
      <c r="H434" s="377"/>
      <c r="I434" s="377"/>
      <c r="J434" s="377"/>
      <c r="K434" s="377"/>
      <c r="L434" s="377"/>
      <c r="M434" s="377"/>
      <c r="N434" s="377"/>
      <c r="O434" s="377"/>
    </row>
    <row r="435">
      <c r="B435" s="377"/>
      <c r="C435" s="377"/>
      <c r="D435" s="377"/>
      <c r="E435" s="377"/>
      <c r="F435" s="377"/>
      <c r="G435" s="377"/>
      <c r="H435" s="377"/>
      <c r="I435" s="377"/>
      <c r="J435" s="377"/>
      <c r="K435" s="377"/>
      <c r="L435" s="377"/>
      <c r="M435" s="377"/>
      <c r="N435" s="377"/>
      <c r="O435" s="377"/>
    </row>
    <row r="436">
      <c r="B436" s="377"/>
      <c r="C436" s="377"/>
      <c r="D436" s="377"/>
      <c r="E436" s="377"/>
      <c r="F436" s="377"/>
      <c r="G436" s="377"/>
      <c r="H436" s="377"/>
      <c r="I436" s="377"/>
      <c r="J436" s="377"/>
      <c r="K436" s="377"/>
      <c r="L436" s="377"/>
      <c r="M436" s="377"/>
      <c r="N436" s="377"/>
      <c r="O436" s="377"/>
    </row>
    <row r="437">
      <c r="B437" s="377"/>
      <c r="C437" s="377"/>
      <c r="D437" s="377"/>
      <c r="E437" s="377"/>
      <c r="F437" s="377"/>
      <c r="G437" s="377"/>
      <c r="H437" s="377"/>
      <c r="I437" s="377"/>
      <c r="J437" s="377"/>
      <c r="K437" s="377"/>
      <c r="L437" s="377"/>
      <c r="M437" s="377"/>
      <c r="N437" s="377"/>
      <c r="O437" s="377"/>
    </row>
    <row r="438">
      <c r="B438" s="377"/>
      <c r="C438" s="377"/>
      <c r="D438" s="377"/>
      <c r="E438" s="377"/>
      <c r="F438" s="377"/>
      <c r="G438" s="377"/>
      <c r="H438" s="377"/>
      <c r="I438" s="377"/>
      <c r="J438" s="377"/>
      <c r="K438" s="377"/>
      <c r="L438" s="377"/>
      <c r="M438" s="377"/>
      <c r="N438" s="377"/>
      <c r="O438" s="377"/>
    </row>
    <row r="439">
      <c r="B439" s="377"/>
      <c r="C439" s="377"/>
      <c r="D439" s="377"/>
      <c r="E439" s="377"/>
      <c r="F439" s="377"/>
      <c r="G439" s="377"/>
      <c r="H439" s="377"/>
      <c r="I439" s="377"/>
      <c r="J439" s="377"/>
      <c r="K439" s="377"/>
      <c r="L439" s="377"/>
      <c r="M439" s="377"/>
      <c r="N439" s="377"/>
      <c r="O439" s="377"/>
    </row>
    <row r="440">
      <c r="B440" s="377"/>
      <c r="C440" s="377"/>
      <c r="D440" s="377"/>
      <c r="E440" s="377"/>
      <c r="F440" s="377"/>
      <c r="G440" s="377"/>
      <c r="H440" s="377"/>
      <c r="I440" s="377"/>
      <c r="J440" s="377"/>
      <c r="K440" s="377"/>
      <c r="L440" s="377"/>
      <c r="M440" s="377"/>
      <c r="N440" s="377"/>
      <c r="O440" s="377"/>
    </row>
    <row r="441">
      <c r="B441" s="377"/>
      <c r="C441" s="377"/>
      <c r="D441" s="377"/>
      <c r="E441" s="377"/>
      <c r="F441" s="377"/>
      <c r="G441" s="377"/>
      <c r="H441" s="377"/>
      <c r="I441" s="377"/>
      <c r="J441" s="377"/>
      <c r="K441" s="377"/>
      <c r="L441" s="377"/>
      <c r="M441" s="377"/>
      <c r="N441" s="377"/>
      <c r="O441" s="377"/>
    </row>
    <row r="442">
      <c r="B442" s="377"/>
      <c r="C442" s="377"/>
      <c r="D442" s="377"/>
      <c r="E442" s="377"/>
      <c r="F442" s="377"/>
      <c r="G442" s="377"/>
      <c r="H442" s="377"/>
      <c r="I442" s="377"/>
      <c r="J442" s="377"/>
      <c r="K442" s="377"/>
      <c r="L442" s="377"/>
      <c r="M442" s="377"/>
      <c r="N442" s="377"/>
      <c r="O442" s="377"/>
    </row>
    <row r="443">
      <c r="B443" s="377"/>
      <c r="C443" s="377"/>
      <c r="D443" s="377"/>
      <c r="E443" s="377"/>
      <c r="F443" s="377"/>
      <c r="G443" s="377"/>
      <c r="H443" s="377"/>
      <c r="I443" s="377"/>
      <c r="J443" s="377"/>
      <c r="K443" s="377"/>
      <c r="L443" s="377"/>
      <c r="M443" s="377"/>
      <c r="N443" s="377"/>
      <c r="O443" s="377"/>
    </row>
    <row r="444">
      <c r="B444" s="377"/>
      <c r="C444" s="377"/>
      <c r="D444" s="377"/>
      <c r="E444" s="377"/>
      <c r="F444" s="377"/>
      <c r="G444" s="377"/>
      <c r="H444" s="377"/>
      <c r="I444" s="377"/>
      <c r="J444" s="377"/>
      <c r="K444" s="377"/>
      <c r="L444" s="377"/>
      <c r="M444" s="377"/>
      <c r="N444" s="377"/>
      <c r="O444" s="377"/>
    </row>
    <row r="445">
      <c r="B445" s="377"/>
      <c r="C445" s="377"/>
      <c r="D445" s="377"/>
      <c r="E445" s="377"/>
      <c r="F445" s="377"/>
      <c r="G445" s="377"/>
      <c r="H445" s="377"/>
      <c r="I445" s="377"/>
      <c r="J445" s="377"/>
      <c r="K445" s="377"/>
      <c r="L445" s="377"/>
      <c r="M445" s="377"/>
      <c r="N445" s="377"/>
      <c r="O445" s="377"/>
    </row>
    <row r="446">
      <c r="B446" s="377"/>
      <c r="C446" s="377"/>
      <c r="D446" s="377"/>
      <c r="E446" s="377"/>
      <c r="F446" s="377"/>
      <c r="G446" s="377"/>
      <c r="H446" s="377"/>
      <c r="I446" s="377"/>
      <c r="J446" s="377"/>
      <c r="K446" s="377"/>
      <c r="L446" s="377"/>
      <c r="M446" s="377"/>
      <c r="N446" s="377"/>
      <c r="O446" s="377"/>
    </row>
    <row r="447">
      <c r="B447" s="377"/>
      <c r="C447" s="377"/>
      <c r="D447" s="377"/>
      <c r="E447" s="377"/>
      <c r="F447" s="377"/>
      <c r="G447" s="377"/>
      <c r="H447" s="377"/>
      <c r="I447" s="377"/>
      <c r="J447" s="377"/>
      <c r="K447" s="377"/>
      <c r="L447" s="377"/>
      <c r="M447" s="377"/>
      <c r="N447" s="377"/>
      <c r="O447" s="377"/>
    </row>
    <row r="448">
      <c r="B448" s="377"/>
      <c r="C448" s="377"/>
      <c r="D448" s="377"/>
      <c r="E448" s="377"/>
      <c r="F448" s="377"/>
      <c r="G448" s="377"/>
      <c r="H448" s="377"/>
      <c r="I448" s="377"/>
      <c r="J448" s="377"/>
      <c r="K448" s="377"/>
      <c r="L448" s="377"/>
      <c r="M448" s="377"/>
      <c r="N448" s="377"/>
      <c r="O448" s="377"/>
    </row>
    <row r="449">
      <c r="B449" s="377"/>
      <c r="C449" s="377"/>
      <c r="D449" s="377"/>
      <c r="E449" s="377"/>
      <c r="F449" s="377"/>
      <c r="G449" s="377"/>
      <c r="H449" s="377"/>
      <c r="I449" s="377"/>
      <c r="J449" s="377"/>
      <c r="K449" s="377"/>
      <c r="L449" s="377"/>
      <c r="M449" s="377"/>
      <c r="N449" s="377"/>
      <c r="O449" s="377"/>
    </row>
    <row r="450">
      <c r="B450" s="377"/>
      <c r="C450" s="377"/>
      <c r="D450" s="377"/>
      <c r="E450" s="377"/>
      <c r="F450" s="377"/>
      <c r="G450" s="377"/>
      <c r="H450" s="377"/>
      <c r="I450" s="377"/>
      <c r="J450" s="377"/>
      <c r="K450" s="377"/>
      <c r="L450" s="377"/>
      <c r="M450" s="377"/>
      <c r="N450" s="377"/>
      <c r="O450" s="377"/>
    </row>
    <row r="451">
      <c r="B451" s="377"/>
      <c r="C451" s="377"/>
      <c r="D451" s="377"/>
      <c r="E451" s="377"/>
      <c r="F451" s="377"/>
      <c r="G451" s="377"/>
      <c r="H451" s="377"/>
      <c r="I451" s="377"/>
      <c r="J451" s="377"/>
      <c r="K451" s="377"/>
      <c r="L451" s="377"/>
      <c r="M451" s="377"/>
      <c r="N451" s="377"/>
      <c r="O451" s="377"/>
    </row>
    <row r="452">
      <c r="B452" s="377"/>
      <c r="C452" s="377"/>
      <c r="D452" s="377"/>
      <c r="E452" s="377"/>
      <c r="F452" s="377"/>
      <c r="G452" s="377"/>
      <c r="H452" s="377"/>
      <c r="I452" s="377"/>
      <c r="J452" s="377"/>
      <c r="K452" s="377"/>
      <c r="L452" s="377"/>
      <c r="M452" s="377"/>
      <c r="N452" s="377"/>
      <c r="O452" s="377"/>
    </row>
    <row r="453">
      <c r="B453" s="377"/>
      <c r="C453" s="377"/>
      <c r="D453" s="377"/>
      <c r="E453" s="377"/>
      <c r="F453" s="377"/>
      <c r="G453" s="377"/>
      <c r="H453" s="377"/>
      <c r="I453" s="377"/>
      <c r="J453" s="377"/>
      <c r="K453" s="377"/>
      <c r="L453" s="377"/>
      <c r="M453" s="377"/>
      <c r="N453" s="377"/>
      <c r="O453" s="377"/>
    </row>
    <row r="454">
      <c r="B454" s="377"/>
      <c r="C454" s="377"/>
      <c r="D454" s="377"/>
      <c r="E454" s="377"/>
      <c r="F454" s="377"/>
      <c r="G454" s="377"/>
      <c r="H454" s="377"/>
      <c r="I454" s="377"/>
      <c r="J454" s="377"/>
      <c r="K454" s="377"/>
      <c r="L454" s="377"/>
      <c r="M454" s="377"/>
      <c r="N454" s="377"/>
      <c r="O454" s="377"/>
    </row>
    <row r="455">
      <c r="B455" s="377"/>
      <c r="C455" s="377"/>
      <c r="D455" s="377"/>
      <c r="E455" s="377"/>
      <c r="F455" s="377"/>
      <c r="G455" s="377"/>
      <c r="H455" s="377"/>
      <c r="I455" s="377"/>
      <c r="J455" s="377"/>
      <c r="K455" s="377"/>
      <c r="L455" s="377"/>
      <c r="M455" s="377"/>
      <c r="N455" s="377"/>
      <c r="O455" s="377"/>
    </row>
    <row r="456">
      <c r="B456" s="377"/>
      <c r="C456" s="377"/>
      <c r="D456" s="377"/>
      <c r="E456" s="377"/>
      <c r="F456" s="377"/>
      <c r="G456" s="377"/>
      <c r="H456" s="377"/>
      <c r="I456" s="377"/>
      <c r="J456" s="377"/>
      <c r="K456" s="377"/>
      <c r="L456" s="377"/>
      <c r="M456" s="377"/>
      <c r="N456" s="377"/>
      <c r="O456" s="377"/>
    </row>
    <row r="457">
      <c r="B457" s="377"/>
      <c r="C457" s="377"/>
      <c r="D457" s="377"/>
      <c r="E457" s="377"/>
      <c r="F457" s="377"/>
      <c r="G457" s="377"/>
      <c r="H457" s="377"/>
      <c r="I457" s="377"/>
      <c r="J457" s="377"/>
      <c r="K457" s="377"/>
      <c r="L457" s="377"/>
      <c r="M457" s="377"/>
      <c r="N457" s="377"/>
      <c r="O457" s="377"/>
    </row>
    <row r="458">
      <c r="B458" s="377"/>
      <c r="C458" s="377"/>
      <c r="D458" s="377"/>
      <c r="E458" s="377"/>
      <c r="F458" s="377"/>
      <c r="G458" s="377"/>
      <c r="H458" s="377"/>
      <c r="I458" s="377"/>
      <c r="J458" s="377"/>
      <c r="K458" s="377"/>
      <c r="L458" s="377"/>
      <c r="M458" s="377"/>
      <c r="N458" s="377"/>
      <c r="O458" s="377"/>
    </row>
    <row r="459">
      <c r="B459" s="377"/>
      <c r="C459" s="377"/>
      <c r="D459" s="377"/>
      <c r="E459" s="377"/>
      <c r="F459" s="377"/>
      <c r="G459" s="377"/>
      <c r="H459" s="377"/>
      <c r="I459" s="377"/>
      <c r="J459" s="377"/>
      <c r="K459" s="377"/>
      <c r="L459" s="377"/>
      <c r="M459" s="377"/>
      <c r="N459" s="377"/>
      <c r="O459" s="377"/>
    </row>
    <row r="460">
      <c r="B460" s="377"/>
      <c r="C460" s="377"/>
      <c r="D460" s="377"/>
      <c r="E460" s="377"/>
      <c r="F460" s="377"/>
      <c r="G460" s="377"/>
      <c r="H460" s="377"/>
      <c r="I460" s="377"/>
      <c r="J460" s="377"/>
      <c r="K460" s="377"/>
      <c r="L460" s="377"/>
      <c r="M460" s="377"/>
      <c r="N460" s="377"/>
      <c r="O460" s="377"/>
    </row>
    <row r="461">
      <c r="B461" s="377"/>
      <c r="C461" s="377"/>
      <c r="D461" s="377"/>
      <c r="E461" s="377"/>
      <c r="F461" s="377"/>
      <c r="G461" s="377"/>
      <c r="H461" s="377"/>
      <c r="I461" s="377"/>
      <c r="J461" s="377"/>
      <c r="K461" s="377"/>
      <c r="L461" s="377"/>
      <c r="M461" s="377"/>
      <c r="N461" s="377"/>
      <c r="O461" s="377"/>
    </row>
    <row r="462">
      <c r="B462" s="377"/>
      <c r="C462" s="377"/>
      <c r="D462" s="377"/>
      <c r="E462" s="377"/>
      <c r="F462" s="377"/>
      <c r="G462" s="377"/>
      <c r="H462" s="377"/>
      <c r="I462" s="377"/>
      <c r="J462" s="377"/>
      <c r="K462" s="377"/>
      <c r="L462" s="377"/>
      <c r="M462" s="377"/>
      <c r="N462" s="377"/>
      <c r="O462" s="377"/>
    </row>
    <row r="463">
      <c r="B463" s="377"/>
      <c r="C463" s="377"/>
      <c r="D463" s="377"/>
      <c r="E463" s="377"/>
      <c r="F463" s="377"/>
      <c r="G463" s="377"/>
      <c r="H463" s="377"/>
      <c r="I463" s="377"/>
      <c r="J463" s="377"/>
      <c r="K463" s="377"/>
      <c r="L463" s="377"/>
      <c r="M463" s="377"/>
      <c r="N463" s="377"/>
      <c r="O463" s="377"/>
    </row>
    <row r="464">
      <c r="B464" s="377"/>
      <c r="C464" s="377"/>
      <c r="D464" s="377"/>
      <c r="E464" s="377"/>
      <c r="F464" s="377"/>
      <c r="G464" s="377"/>
      <c r="H464" s="377"/>
      <c r="I464" s="377"/>
      <c r="J464" s="377"/>
      <c r="K464" s="377"/>
      <c r="L464" s="377"/>
      <c r="M464" s="377"/>
      <c r="N464" s="377"/>
      <c r="O464" s="377"/>
    </row>
    <row r="465">
      <c r="B465" s="377"/>
      <c r="C465" s="377"/>
      <c r="D465" s="377"/>
      <c r="E465" s="377"/>
      <c r="F465" s="377"/>
      <c r="G465" s="377"/>
      <c r="H465" s="377"/>
      <c r="I465" s="377"/>
      <c r="J465" s="377"/>
      <c r="K465" s="377"/>
      <c r="L465" s="377"/>
      <c r="M465" s="377"/>
      <c r="N465" s="377"/>
      <c r="O465" s="377"/>
    </row>
    <row r="466">
      <c r="B466" s="377"/>
      <c r="C466" s="377"/>
      <c r="D466" s="377"/>
      <c r="E466" s="377"/>
      <c r="F466" s="377"/>
      <c r="G466" s="377"/>
      <c r="H466" s="377"/>
      <c r="I466" s="377"/>
      <c r="J466" s="377"/>
      <c r="K466" s="377"/>
      <c r="L466" s="377"/>
      <c r="M466" s="377"/>
      <c r="N466" s="377"/>
      <c r="O466" s="377"/>
    </row>
    <row r="467">
      <c r="B467" s="377"/>
      <c r="C467" s="377"/>
      <c r="D467" s="377"/>
      <c r="E467" s="377"/>
      <c r="F467" s="377"/>
      <c r="G467" s="377"/>
      <c r="H467" s="377"/>
      <c r="I467" s="377"/>
      <c r="J467" s="377"/>
      <c r="K467" s="377"/>
      <c r="L467" s="377"/>
      <c r="M467" s="377"/>
      <c r="N467" s="377"/>
      <c r="O467" s="377"/>
    </row>
    <row r="468">
      <c r="B468" s="377"/>
      <c r="C468" s="377"/>
      <c r="D468" s="377"/>
      <c r="E468" s="377"/>
      <c r="F468" s="377"/>
      <c r="G468" s="377"/>
      <c r="H468" s="377"/>
      <c r="I468" s="377"/>
      <c r="J468" s="377"/>
      <c r="K468" s="377"/>
      <c r="L468" s="377"/>
      <c r="M468" s="377"/>
      <c r="N468" s="377"/>
      <c r="O468" s="377"/>
    </row>
    <row r="469">
      <c r="B469" s="377"/>
      <c r="C469" s="377"/>
      <c r="D469" s="377"/>
      <c r="E469" s="377"/>
      <c r="F469" s="377"/>
      <c r="G469" s="377"/>
      <c r="H469" s="377"/>
      <c r="I469" s="377"/>
      <c r="J469" s="377"/>
      <c r="K469" s="377"/>
      <c r="L469" s="377"/>
      <c r="M469" s="377"/>
      <c r="N469" s="377"/>
      <c r="O469" s="377"/>
    </row>
    <row r="470">
      <c r="B470" s="377"/>
      <c r="C470" s="377"/>
      <c r="D470" s="377"/>
      <c r="E470" s="377"/>
      <c r="F470" s="377"/>
      <c r="G470" s="377"/>
      <c r="H470" s="377"/>
      <c r="I470" s="377"/>
      <c r="J470" s="377"/>
      <c r="K470" s="377"/>
      <c r="L470" s="377"/>
      <c r="M470" s="377"/>
      <c r="N470" s="377"/>
      <c r="O470" s="377"/>
    </row>
    <row r="471">
      <c r="B471" s="377"/>
      <c r="C471" s="377"/>
      <c r="D471" s="377"/>
      <c r="E471" s="377"/>
      <c r="F471" s="377"/>
      <c r="G471" s="377"/>
      <c r="H471" s="377"/>
      <c r="I471" s="377"/>
      <c r="J471" s="377"/>
      <c r="K471" s="377"/>
      <c r="L471" s="377"/>
      <c r="M471" s="377"/>
      <c r="N471" s="377"/>
      <c r="O471" s="377"/>
    </row>
    <row r="472">
      <c r="B472" s="377"/>
      <c r="C472" s="377"/>
      <c r="D472" s="377"/>
      <c r="E472" s="377"/>
      <c r="F472" s="377"/>
      <c r="G472" s="377"/>
      <c r="H472" s="377"/>
      <c r="I472" s="377"/>
      <c r="J472" s="377"/>
      <c r="K472" s="377"/>
      <c r="L472" s="377"/>
      <c r="M472" s="377"/>
      <c r="N472" s="377"/>
      <c r="O472" s="377"/>
    </row>
    <row r="473">
      <c r="B473" s="377"/>
      <c r="C473" s="377"/>
      <c r="D473" s="377"/>
      <c r="E473" s="377"/>
      <c r="F473" s="377"/>
      <c r="G473" s="377"/>
      <c r="H473" s="377"/>
      <c r="I473" s="377"/>
      <c r="J473" s="377"/>
      <c r="K473" s="377"/>
      <c r="L473" s="377"/>
      <c r="M473" s="377"/>
      <c r="N473" s="377"/>
      <c r="O473" s="377"/>
    </row>
    <row r="474">
      <c r="B474" s="377"/>
      <c r="C474" s="377"/>
      <c r="D474" s="377"/>
      <c r="E474" s="377"/>
      <c r="F474" s="377"/>
      <c r="G474" s="377"/>
      <c r="H474" s="377"/>
      <c r="I474" s="377"/>
      <c r="J474" s="377"/>
      <c r="K474" s="377"/>
      <c r="L474" s="377"/>
      <c r="M474" s="377"/>
      <c r="N474" s="377"/>
      <c r="O474" s="377"/>
    </row>
    <row r="475">
      <c r="B475" s="377"/>
      <c r="C475" s="377"/>
      <c r="D475" s="377"/>
      <c r="E475" s="377"/>
      <c r="F475" s="377"/>
      <c r="G475" s="377"/>
      <c r="H475" s="377"/>
      <c r="I475" s="377"/>
      <c r="J475" s="377"/>
      <c r="K475" s="377"/>
      <c r="L475" s="377"/>
      <c r="M475" s="377"/>
      <c r="N475" s="377"/>
      <c r="O475" s="377"/>
    </row>
    <row r="476">
      <c r="B476" s="377"/>
      <c r="C476" s="377"/>
      <c r="D476" s="377"/>
      <c r="E476" s="377"/>
      <c r="F476" s="377"/>
      <c r="G476" s="377"/>
      <c r="H476" s="377"/>
      <c r="I476" s="377"/>
      <c r="J476" s="377"/>
      <c r="K476" s="377"/>
      <c r="L476" s="377"/>
      <c r="M476" s="377"/>
      <c r="N476" s="377"/>
      <c r="O476" s="377"/>
    </row>
    <row r="477">
      <c r="B477" s="377"/>
      <c r="C477" s="377"/>
      <c r="D477" s="377"/>
      <c r="E477" s="377"/>
      <c r="F477" s="377"/>
      <c r="G477" s="377"/>
      <c r="H477" s="377"/>
      <c r="I477" s="377"/>
      <c r="J477" s="377"/>
      <c r="K477" s="377"/>
      <c r="L477" s="377"/>
      <c r="M477" s="377"/>
      <c r="N477" s="377"/>
      <c r="O477" s="377"/>
    </row>
    <row r="478">
      <c r="B478" s="377"/>
      <c r="C478" s="377"/>
      <c r="D478" s="377"/>
      <c r="E478" s="377"/>
      <c r="F478" s="377"/>
      <c r="G478" s="377"/>
      <c r="H478" s="377"/>
      <c r="I478" s="377"/>
      <c r="J478" s="377"/>
      <c r="K478" s="377"/>
      <c r="L478" s="377"/>
      <c r="M478" s="377"/>
      <c r="N478" s="377"/>
      <c r="O478" s="377"/>
    </row>
    <row r="479">
      <c r="B479" s="377"/>
      <c r="C479" s="377"/>
      <c r="D479" s="377"/>
      <c r="E479" s="377"/>
      <c r="F479" s="377"/>
      <c r="G479" s="377"/>
      <c r="H479" s="377"/>
      <c r="I479" s="377"/>
      <c r="J479" s="377"/>
      <c r="K479" s="377"/>
      <c r="L479" s="377"/>
      <c r="M479" s="377"/>
      <c r="N479" s="377"/>
      <c r="O479" s="377"/>
    </row>
    <row r="480">
      <c r="B480" s="377"/>
      <c r="C480" s="377"/>
      <c r="D480" s="377"/>
      <c r="E480" s="377"/>
      <c r="F480" s="377"/>
      <c r="G480" s="377"/>
      <c r="H480" s="377"/>
      <c r="I480" s="377"/>
      <c r="J480" s="377"/>
      <c r="K480" s="377"/>
      <c r="L480" s="377"/>
      <c r="M480" s="377"/>
      <c r="N480" s="377"/>
      <c r="O480" s="377"/>
    </row>
    <row r="481">
      <c r="B481" s="377"/>
      <c r="C481" s="377"/>
      <c r="D481" s="377"/>
      <c r="E481" s="377"/>
      <c r="F481" s="377"/>
      <c r="G481" s="377"/>
      <c r="H481" s="377"/>
      <c r="I481" s="377"/>
      <c r="J481" s="377"/>
      <c r="K481" s="377"/>
      <c r="L481" s="377"/>
      <c r="M481" s="377"/>
      <c r="N481" s="377"/>
      <c r="O481" s="377"/>
    </row>
    <row r="482">
      <c r="B482" s="377"/>
      <c r="C482" s="377"/>
      <c r="D482" s="377"/>
      <c r="E482" s="377"/>
      <c r="F482" s="377"/>
      <c r="G482" s="377"/>
      <c r="H482" s="377"/>
      <c r="I482" s="377"/>
      <c r="J482" s="377"/>
      <c r="K482" s="377"/>
      <c r="L482" s="377"/>
      <c r="M482" s="377"/>
      <c r="N482" s="377"/>
      <c r="O482" s="377"/>
    </row>
    <row r="483">
      <c r="B483" s="377"/>
      <c r="C483" s="377"/>
      <c r="D483" s="377"/>
      <c r="E483" s="377"/>
      <c r="F483" s="377"/>
      <c r="G483" s="377"/>
      <c r="H483" s="377"/>
      <c r="I483" s="377"/>
      <c r="J483" s="377"/>
      <c r="K483" s="377"/>
      <c r="L483" s="377"/>
      <c r="M483" s="377"/>
      <c r="N483" s="377"/>
      <c r="O483" s="377"/>
    </row>
    <row r="484">
      <c r="B484" s="377"/>
      <c r="C484" s="377"/>
      <c r="D484" s="377"/>
      <c r="E484" s="377"/>
      <c r="F484" s="377"/>
      <c r="G484" s="377"/>
      <c r="H484" s="377"/>
      <c r="I484" s="377"/>
      <c r="J484" s="377"/>
      <c r="K484" s="377"/>
      <c r="L484" s="377"/>
      <c r="M484" s="377"/>
      <c r="N484" s="377"/>
      <c r="O484" s="377"/>
    </row>
    <row r="485">
      <c r="B485" s="377"/>
      <c r="C485" s="377"/>
      <c r="D485" s="377"/>
      <c r="E485" s="377"/>
      <c r="F485" s="377"/>
      <c r="G485" s="377"/>
      <c r="H485" s="377"/>
      <c r="I485" s="377"/>
      <c r="J485" s="377"/>
      <c r="K485" s="377"/>
      <c r="L485" s="377"/>
      <c r="M485" s="377"/>
      <c r="N485" s="377"/>
      <c r="O485" s="377"/>
    </row>
    <row r="486">
      <c r="B486" s="377"/>
      <c r="C486" s="377"/>
      <c r="D486" s="377"/>
      <c r="E486" s="377"/>
      <c r="F486" s="377"/>
      <c r="G486" s="377"/>
      <c r="H486" s="377"/>
      <c r="I486" s="377"/>
      <c r="J486" s="377"/>
      <c r="K486" s="377"/>
      <c r="L486" s="377"/>
      <c r="M486" s="377"/>
      <c r="N486" s="377"/>
      <c r="O486" s="377"/>
    </row>
    <row r="487">
      <c r="B487" s="377"/>
      <c r="C487" s="377"/>
      <c r="D487" s="377"/>
      <c r="E487" s="377"/>
      <c r="F487" s="377"/>
      <c r="G487" s="377"/>
      <c r="H487" s="377"/>
      <c r="I487" s="377"/>
      <c r="J487" s="377"/>
      <c r="K487" s="377"/>
      <c r="L487" s="377"/>
      <c r="M487" s="377"/>
      <c r="N487" s="377"/>
      <c r="O487" s="377"/>
    </row>
    <row r="488">
      <c r="B488" s="377"/>
      <c r="C488" s="377"/>
      <c r="D488" s="377"/>
      <c r="E488" s="377"/>
      <c r="F488" s="377"/>
      <c r="G488" s="377"/>
      <c r="H488" s="377"/>
      <c r="I488" s="377"/>
      <c r="J488" s="377"/>
      <c r="K488" s="377"/>
      <c r="L488" s="377"/>
      <c r="M488" s="377"/>
      <c r="N488" s="377"/>
      <c r="O488" s="377"/>
    </row>
    <row r="489">
      <c r="B489" s="377"/>
      <c r="C489" s="377"/>
      <c r="D489" s="377"/>
      <c r="E489" s="377"/>
      <c r="F489" s="377"/>
      <c r="G489" s="377"/>
      <c r="H489" s="377"/>
      <c r="I489" s="377"/>
      <c r="J489" s="377"/>
      <c r="K489" s="377"/>
      <c r="L489" s="377"/>
      <c r="M489" s="377"/>
      <c r="N489" s="377"/>
      <c r="O489" s="377"/>
    </row>
    <row r="490">
      <c r="B490" s="377"/>
      <c r="C490" s="377"/>
      <c r="D490" s="377"/>
      <c r="E490" s="377"/>
      <c r="F490" s="377"/>
      <c r="G490" s="377"/>
      <c r="H490" s="377"/>
      <c r="I490" s="377"/>
      <c r="J490" s="377"/>
      <c r="K490" s="377"/>
      <c r="L490" s="377"/>
      <c r="M490" s="377"/>
      <c r="N490" s="377"/>
      <c r="O490" s="377"/>
    </row>
    <row r="491">
      <c r="B491" s="377"/>
      <c r="C491" s="377"/>
      <c r="D491" s="377"/>
      <c r="E491" s="377"/>
      <c r="F491" s="377"/>
      <c r="G491" s="377"/>
      <c r="H491" s="377"/>
      <c r="I491" s="377"/>
      <c r="J491" s="377"/>
      <c r="K491" s="377"/>
      <c r="L491" s="377"/>
      <c r="M491" s="377"/>
      <c r="N491" s="377"/>
      <c r="O491" s="377"/>
    </row>
    <row r="492">
      <c r="B492" s="377"/>
      <c r="C492" s="377"/>
      <c r="D492" s="377"/>
      <c r="E492" s="377"/>
      <c r="F492" s="377"/>
      <c r="G492" s="377"/>
      <c r="H492" s="377"/>
      <c r="I492" s="377"/>
      <c r="J492" s="377"/>
      <c r="K492" s="377"/>
      <c r="L492" s="377"/>
      <c r="M492" s="377"/>
      <c r="N492" s="377"/>
      <c r="O492" s="377"/>
    </row>
    <row r="493">
      <c r="B493" s="377"/>
      <c r="C493" s="377"/>
      <c r="D493" s="377"/>
      <c r="E493" s="377"/>
      <c r="F493" s="377"/>
      <c r="G493" s="377"/>
      <c r="H493" s="377"/>
      <c r="I493" s="377"/>
      <c r="J493" s="377"/>
      <c r="K493" s="377"/>
      <c r="L493" s="377"/>
      <c r="M493" s="377"/>
      <c r="N493" s="377"/>
      <c r="O493" s="377"/>
    </row>
    <row r="494">
      <c r="B494" s="377"/>
      <c r="C494" s="377"/>
      <c r="D494" s="377"/>
      <c r="E494" s="377"/>
      <c r="F494" s="377"/>
      <c r="G494" s="377"/>
      <c r="H494" s="377"/>
      <c r="I494" s="377"/>
      <c r="J494" s="377"/>
      <c r="K494" s="377"/>
      <c r="L494" s="377"/>
      <c r="M494" s="377"/>
      <c r="N494" s="377"/>
      <c r="O494" s="377"/>
    </row>
    <row r="495">
      <c r="B495" s="377"/>
      <c r="C495" s="377"/>
      <c r="D495" s="377"/>
      <c r="E495" s="377"/>
      <c r="F495" s="377"/>
      <c r="G495" s="377"/>
      <c r="H495" s="377"/>
      <c r="I495" s="377"/>
      <c r="J495" s="377"/>
      <c r="K495" s="377"/>
      <c r="L495" s="377"/>
      <c r="M495" s="377"/>
      <c r="N495" s="377"/>
      <c r="O495" s="377"/>
    </row>
    <row r="496">
      <c r="B496" s="377"/>
      <c r="C496" s="377"/>
      <c r="D496" s="377"/>
      <c r="E496" s="377"/>
      <c r="F496" s="377"/>
      <c r="G496" s="377"/>
      <c r="H496" s="377"/>
      <c r="I496" s="377"/>
      <c r="J496" s="377"/>
      <c r="K496" s="377"/>
      <c r="L496" s="377"/>
      <c r="M496" s="377"/>
      <c r="N496" s="377"/>
      <c r="O496" s="377"/>
    </row>
    <row r="497">
      <c r="B497" s="377"/>
      <c r="C497" s="377"/>
      <c r="D497" s="377"/>
      <c r="E497" s="377"/>
      <c r="F497" s="377"/>
      <c r="G497" s="377"/>
      <c r="H497" s="377"/>
      <c r="I497" s="377"/>
      <c r="J497" s="377"/>
      <c r="K497" s="377"/>
      <c r="L497" s="377"/>
      <c r="M497" s="377"/>
      <c r="N497" s="377"/>
      <c r="O497" s="377"/>
    </row>
    <row r="498">
      <c r="B498" s="377"/>
      <c r="C498" s="377"/>
      <c r="D498" s="377"/>
      <c r="E498" s="377"/>
      <c r="F498" s="377"/>
      <c r="G498" s="377"/>
      <c r="H498" s="377"/>
      <c r="I498" s="377"/>
      <c r="J498" s="377"/>
      <c r="K498" s="377"/>
      <c r="L498" s="377"/>
      <c r="M498" s="377"/>
      <c r="N498" s="377"/>
      <c r="O498" s="377"/>
    </row>
    <row r="499">
      <c r="B499" s="377"/>
      <c r="C499" s="377"/>
      <c r="D499" s="377"/>
      <c r="E499" s="377"/>
      <c r="F499" s="377"/>
      <c r="G499" s="377"/>
      <c r="H499" s="377"/>
      <c r="I499" s="377"/>
      <c r="J499" s="377"/>
      <c r="K499" s="377"/>
      <c r="L499" s="377"/>
      <c r="M499" s="377"/>
      <c r="N499" s="377"/>
      <c r="O499" s="377"/>
    </row>
    <row r="500">
      <c r="B500" s="377"/>
      <c r="C500" s="377"/>
      <c r="D500" s="377"/>
      <c r="E500" s="377"/>
      <c r="F500" s="377"/>
      <c r="G500" s="377"/>
      <c r="H500" s="377"/>
      <c r="I500" s="377"/>
      <c r="J500" s="377"/>
      <c r="K500" s="377"/>
      <c r="L500" s="377"/>
      <c r="M500" s="377"/>
      <c r="N500" s="377"/>
      <c r="O500" s="377"/>
    </row>
    <row r="501">
      <c r="B501" s="377"/>
      <c r="C501" s="377"/>
      <c r="D501" s="377"/>
      <c r="E501" s="377"/>
      <c r="F501" s="377"/>
      <c r="G501" s="377"/>
      <c r="H501" s="377"/>
      <c r="I501" s="377"/>
      <c r="J501" s="377"/>
      <c r="K501" s="377"/>
      <c r="L501" s="377"/>
      <c r="M501" s="377"/>
      <c r="N501" s="377"/>
      <c r="O501" s="377"/>
    </row>
    <row r="502">
      <c r="B502" s="377"/>
      <c r="C502" s="377"/>
      <c r="D502" s="377"/>
      <c r="E502" s="377"/>
      <c r="F502" s="377"/>
      <c r="G502" s="377"/>
      <c r="H502" s="377"/>
      <c r="I502" s="377"/>
      <c r="J502" s="377"/>
      <c r="K502" s="377"/>
      <c r="L502" s="377"/>
      <c r="M502" s="377"/>
      <c r="N502" s="377"/>
      <c r="O502" s="377"/>
    </row>
    <row r="503">
      <c r="B503" s="377"/>
      <c r="C503" s="377"/>
      <c r="D503" s="377"/>
      <c r="E503" s="377"/>
      <c r="F503" s="377"/>
      <c r="G503" s="377"/>
      <c r="H503" s="377"/>
      <c r="I503" s="377"/>
      <c r="J503" s="377"/>
      <c r="K503" s="377"/>
      <c r="L503" s="377"/>
      <c r="M503" s="377"/>
      <c r="N503" s="377"/>
      <c r="O503" s="377"/>
    </row>
    <row r="504">
      <c r="B504" s="377"/>
      <c r="C504" s="377"/>
      <c r="D504" s="377"/>
      <c r="E504" s="377"/>
      <c r="F504" s="377"/>
      <c r="G504" s="377"/>
      <c r="H504" s="377"/>
      <c r="I504" s="377"/>
      <c r="J504" s="377"/>
      <c r="K504" s="377"/>
      <c r="L504" s="377"/>
      <c r="M504" s="377"/>
      <c r="N504" s="377"/>
      <c r="O504" s="377"/>
    </row>
    <row r="505">
      <c r="B505" s="377"/>
      <c r="C505" s="377"/>
      <c r="D505" s="377"/>
      <c r="E505" s="377"/>
      <c r="F505" s="377"/>
      <c r="G505" s="377"/>
      <c r="H505" s="377"/>
      <c r="I505" s="377"/>
      <c r="J505" s="377"/>
      <c r="K505" s="377"/>
      <c r="L505" s="377"/>
      <c r="M505" s="377"/>
      <c r="N505" s="377"/>
      <c r="O505" s="377"/>
    </row>
    <row r="506">
      <c r="B506" s="377"/>
      <c r="C506" s="377"/>
      <c r="D506" s="377"/>
      <c r="E506" s="377"/>
      <c r="F506" s="377"/>
      <c r="G506" s="377"/>
      <c r="H506" s="377"/>
      <c r="I506" s="377"/>
      <c r="J506" s="377"/>
      <c r="K506" s="377"/>
      <c r="L506" s="377"/>
      <c r="M506" s="377"/>
      <c r="N506" s="377"/>
      <c r="O506" s="377"/>
    </row>
    <row r="507">
      <c r="B507" s="377"/>
      <c r="C507" s="377"/>
      <c r="D507" s="377"/>
      <c r="E507" s="377"/>
      <c r="F507" s="377"/>
      <c r="G507" s="377"/>
      <c r="H507" s="377"/>
      <c r="I507" s="377"/>
      <c r="J507" s="377"/>
      <c r="K507" s="377"/>
      <c r="L507" s="377"/>
      <c r="M507" s="377"/>
      <c r="N507" s="377"/>
      <c r="O507" s="377"/>
    </row>
    <row r="508">
      <c r="B508" s="377"/>
      <c r="C508" s="377"/>
      <c r="D508" s="377"/>
      <c r="E508" s="377"/>
      <c r="F508" s="377"/>
      <c r="G508" s="377"/>
      <c r="H508" s="377"/>
      <c r="I508" s="377"/>
      <c r="J508" s="377"/>
      <c r="K508" s="377"/>
      <c r="L508" s="377"/>
      <c r="M508" s="377"/>
      <c r="N508" s="377"/>
      <c r="O508" s="377"/>
    </row>
    <row r="509">
      <c r="B509" s="377"/>
      <c r="C509" s="377"/>
      <c r="D509" s="377"/>
      <c r="E509" s="377"/>
      <c r="F509" s="377"/>
      <c r="G509" s="377"/>
      <c r="H509" s="377"/>
      <c r="I509" s="377"/>
      <c r="J509" s="377"/>
      <c r="K509" s="377"/>
      <c r="L509" s="377"/>
      <c r="M509" s="377"/>
      <c r="N509" s="377"/>
      <c r="O509" s="377"/>
    </row>
    <row r="510">
      <c r="B510" s="377"/>
      <c r="C510" s="377"/>
      <c r="D510" s="377"/>
      <c r="E510" s="377"/>
      <c r="F510" s="377"/>
      <c r="G510" s="377"/>
      <c r="H510" s="377"/>
      <c r="I510" s="377"/>
      <c r="J510" s="377"/>
      <c r="K510" s="377"/>
      <c r="L510" s="377"/>
      <c r="M510" s="377"/>
      <c r="N510" s="377"/>
      <c r="O510" s="377"/>
    </row>
    <row r="511">
      <c r="B511" s="377"/>
      <c r="C511" s="377"/>
      <c r="D511" s="377"/>
      <c r="E511" s="377"/>
      <c r="F511" s="377"/>
      <c r="G511" s="377"/>
      <c r="H511" s="377"/>
      <c r="I511" s="377"/>
      <c r="J511" s="377"/>
      <c r="K511" s="377"/>
      <c r="L511" s="377"/>
      <c r="M511" s="377"/>
      <c r="N511" s="377"/>
      <c r="O511" s="377"/>
    </row>
    <row r="512">
      <c r="B512" s="377"/>
      <c r="C512" s="377"/>
      <c r="D512" s="377"/>
      <c r="E512" s="377"/>
      <c r="F512" s="377"/>
      <c r="G512" s="377"/>
      <c r="H512" s="377"/>
      <c r="I512" s="377"/>
      <c r="J512" s="377"/>
      <c r="K512" s="377"/>
      <c r="L512" s="377"/>
      <c r="M512" s="377"/>
      <c r="N512" s="377"/>
      <c r="O512" s="377"/>
    </row>
    <row r="513">
      <c r="B513" s="377"/>
      <c r="C513" s="377"/>
      <c r="D513" s="377"/>
      <c r="E513" s="377"/>
      <c r="F513" s="377"/>
      <c r="G513" s="377"/>
      <c r="H513" s="377"/>
      <c r="I513" s="377"/>
      <c r="J513" s="377"/>
      <c r="K513" s="377"/>
      <c r="L513" s="377"/>
      <c r="M513" s="377"/>
      <c r="N513" s="377"/>
      <c r="O513" s="377"/>
    </row>
    <row r="514">
      <c r="B514" s="377"/>
      <c r="C514" s="377"/>
      <c r="D514" s="377"/>
      <c r="E514" s="377"/>
      <c r="F514" s="377"/>
      <c r="G514" s="377"/>
      <c r="H514" s="377"/>
      <c r="I514" s="377"/>
      <c r="J514" s="377"/>
      <c r="K514" s="377"/>
      <c r="L514" s="377"/>
      <c r="M514" s="377"/>
      <c r="N514" s="377"/>
      <c r="O514" s="377"/>
    </row>
    <row r="515">
      <c r="B515" s="377"/>
      <c r="C515" s="377"/>
      <c r="D515" s="377"/>
      <c r="E515" s="377"/>
      <c r="F515" s="377"/>
      <c r="G515" s="377"/>
      <c r="H515" s="377"/>
      <c r="I515" s="377"/>
      <c r="J515" s="377"/>
      <c r="K515" s="377"/>
      <c r="L515" s="377"/>
      <c r="M515" s="377"/>
      <c r="N515" s="377"/>
      <c r="O515" s="377"/>
    </row>
    <row r="516">
      <c r="B516" s="377"/>
      <c r="C516" s="377"/>
      <c r="D516" s="377"/>
      <c r="E516" s="377"/>
      <c r="F516" s="377"/>
      <c r="G516" s="377"/>
      <c r="H516" s="377"/>
      <c r="I516" s="377"/>
      <c r="J516" s="377"/>
      <c r="K516" s="377"/>
      <c r="L516" s="377"/>
      <c r="M516" s="377"/>
      <c r="N516" s="377"/>
      <c r="O516" s="377"/>
    </row>
    <row r="517">
      <c r="B517" s="377"/>
      <c r="C517" s="377"/>
      <c r="D517" s="377"/>
      <c r="E517" s="377"/>
      <c r="F517" s="377"/>
      <c r="G517" s="377"/>
      <c r="H517" s="377"/>
      <c r="I517" s="377"/>
      <c r="J517" s="377"/>
      <c r="K517" s="377"/>
      <c r="L517" s="377"/>
      <c r="M517" s="377"/>
      <c r="N517" s="377"/>
      <c r="O517" s="377"/>
    </row>
    <row r="518">
      <c r="B518" s="377"/>
      <c r="C518" s="377"/>
      <c r="D518" s="377"/>
      <c r="E518" s="377"/>
      <c r="F518" s="377"/>
      <c r="G518" s="377"/>
      <c r="H518" s="377"/>
      <c r="I518" s="377"/>
      <c r="J518" s="377"/>
      <c r="K518" s="377"/>
      <c r="L518" s="377"/>
      <c r="M518" s="377"/>
      <c r="N518" s="377"/>
      <c r="O518" s="377"/>
    </row>
    <row r="519">
      <c r="B519" s="377"/>
      <c r="C519" s="377"/>
      <c r="D519" s="377"/>
      <c r="E519" s="377"/>
      <c r="F519" s="377"/>
      <c r="G519" s="377"/>
      <c r="H519" s="377"/>
      <c r="I519" s="377"/>
      <c r="J519" s="377"/>
      <c r="K519" s="377"/>
      <c r="L519" s="377"/>
      <c r="M519" s="377"/>
      <c r="N519" s="377"/>
      <c r="O519" s="377"/>
    </row>
    <row r="520">
      <c r="B520" s="377"/>
      <c r="C520" s="377"/>
      <c r="D520" s="377"/>
      <c r="E520" s="377"/>
      <c r="F520" s="377"/>
      <c r="G520" s="377"/>
      <c r="H520" s="377"/>
      <c r="I520" s="377"/>
      <c r="J520" s="377"/>
      <c r="K520" s="377"/>
      <c r="L520" s="377"/>
      <c r="M520" s="377"/>
      <c r="N520" s="377"/>
      <c r="O520" s="377"/>
    </row>
    <row r="521">
      <c r="B521" s="377"/>
      <c r="C521" s="377"/>
      <c r="D521" s="377"/>
      <c r="E521" s="377"/>
      <c r="F521" s="377"/>
      <c r="G521" s="377"/>
      <c r="H521" s="377"/>
      <c r="I521" s="377"/>
      <c r="J521" s="377"/>
      <c r="K521" s="377"/>
      <c r="L521" s="377"/>
      <c r="M521" s="377"/>
      <c r="N521" s="377"/>
      <c r="O521" s="377"/>
    </row>
    <row r="522">
      <c r="B522" s="377"/>
      <c r="C522" s="377"/>
      <c r="D522" s="377"/>
      <c r="E522" s="377"/>
      <c r="F522" s="377"/>
      <c r="G522" s="377"/>
      <c r="H522" s="377"/>
      <c r="I522" s="377"/>
      <c r="J522" s="377"/>
      <c r="K522" s="377"/>
      <c r="L522" s="377"/>
      <c r="M522" s="377"/>
      <c r="N522" s="377"/>
      <c r="O522" s="377"/>
    </row>
    <row r="523">
      <c r="B523" s="377"/>
      <c r="C523" s="377"/>
      <c r="D523" s="377"/>
      <c r="E523" s="377"/>
      <c r="F523" s="377"/>
      <c r="G523" s="377"/>
      <c r="H523" s="377"/>
      <c r="I523" s="377"/>
      <c r="J523" s="377"/>
      <c r="K523" s="377"/>
      <c r="L523" s="377"/>
      <c r="M523" s="377"/>
      <c r="N523" s="377"/>
      <c r="O523" s="377"/>
    </row>
    <row r="524">
      <c r="B524" s="377"/>
      <c r="C524" s="377"/>
      <c r="D524" s="377"/>
      <c r="E524" s="377"/>
      <c r="F524" s="377"/>
      <c r="G524" s="377"/>
      <c r="H524" s="377"/>
      <c r="I524" s="377"/>
      <c r="J524" s="377"/>
      <c r="K524" s="377"/>
      <c r="L524" s="377"/>
      <c r="M524" s="377"/>
      <c r="N524" s="377"/>
      <c r="O524" s="377"/>
    </row>
    <row r="525">
      <c r="B525" s="377"/>
      <c r="C525" s="377"/>
      <c r="D525" s="377"/>
      <c r="E525" s="377"/>
      <c r="F525" s="377"/>
      <c r="G525" s="377"/>
      <c r="H525" s="377"/>
      <c r="I525" s="377"/>
      <c r="J525" s="377"/>
      <c r="K525" s="377"/>
      <c r="L525" s="377"/>
      <c r="M525" s="377"/>
      <c r="N525" s="377"/>
      <c r="O525" s="377"/>
    </row>
    <row r="526">
      <c r="B526" s="377"/>
      <c r="C526" s="377"/>
      <c r="D526" s="377"/>
      <c r="E526" s="377"/>
      <c r="F526" s="377"/>
      <c r="G526" s="377"/>
      <c r="H526" s="377"/>
      <c r="I526" s="377"/>
      <c r="J526" s="377"/>
      <c r="K526" s="377"/>
      <c r="L526" s="377"/>
      <c r="M526" s="377"/>
      <c r="N526" s="377"/>
      <c r="O526" s="377"/>
    </row>
    <row r="527">
      <c r="B527" s="377"/>
      <c r="C527" s="377"/>
      <c r="D527" s="377"/>
      <c r="E527" s="377"/>
      <c r="F527" s="377"/>
      <c r="G527" s="377"/>
      <c r="H527" s="377"/>
      <c r="I527" s="377"/>
      <c r="J527" s="377"/>
      <c r="K527" s="377"/>
      <c r="L527" s="377"/>
      <c r="M527" s="377"/>
      <c r="N527" s="377"/>
      <c r="O527" s="377"/>
    </row>
    <row r="528">
      <c r="B528" s="377"/>
      <c r="C528" s="377"/>
      <c r="D528" s="377"/>
      <c r="E528" s="377"/>
      <c r="F528" s="377"/>
      <c r="G528" s="377"/>
      <c r="H528" s="377"/>
      <c r="I528" s="377"/>
      <c r="J528" s="377"/>
      <c r="K528" s="377"/>
      <c r="L528" s="377"/>
      <c r="M528" s="377"/>
      <c r="N528" s="377"/>
      <c r="O528" s="377"/>
    </row>
    <row r="529">
      <c r="B529" s="377"/>
      <c r="C529" s="377"/>
      <c r="D529" s="377"/>
      <c r="E529" s="377"/>
      <c r="F529" s="377"/>
      <c r="G529" s="377"/>
      <c r="H529" s="377"/>
      <c r="I529" s="377"/>
      <c r="J529" s="377"/>
      <c r="K529" s="377"/>
      <c r="L529" s="377"/>
      <c r="M529" s="377"/>
      <c r="N529" s="377"/>
      <c r="O529" s="377"/>
    </row>
    <row r="530">
      <c r="B530" s="377"/>
      <c r="C530" s="377"/>
      <c r="D530" s="377"/>
      <c r="E530" s="377"/>
      <c r="F530" s="377"/>
      <c r="G530" s="377"/>
      <c r="H530" s="377"/>
      <c r="I530" s="377"/>
      <c r="J530" s="377"/>
      <c r="K530" s="377"/>
      <c r="L530" s="377"/>
      <c r="M530" s="377"/>
      <c r="N530" s="377"/>
      <c r="O530" s="377"/>
    </row>
    <row r="531">
      <c r="B531" s="377"/>
      <c r="C531" s="377"/>
      <c r="D531" s="377"/>
      <c r="E531" s="377"/>
      <c r="F531" s="377"/>
      <c r="G531" s="377"/>
      <c r="H531" s="377"/>
      <c r="I531" s="377"/>
      <c r="J531" s="377"/>
      <c r="K531" s="377"/>
      <c r="L531" s="377"/>
      <c r="M531" s="377"/>
      <c r="N531" s="377"/>
      <c r="O531" s="377"/>
    </row>
    <row r="532">
      <c r="B532" s="377"/>
      <c r="C532" s="377"/>
      <c r="D532" s="377"/>
      <c r="E532" s="377"/>
      <c r="F532" s="377"/>
      <c r="G532" s="377"/>
      <c r="H532" s="377"/>
      <c r="I532" s="377"/>
      <c r="J532" s="377"/>
      <c r="K532" s="377"/>
      <c r="L532" s="377"/>
      <c r="M532" s="377"/>
      <c r="N532" s="377"/>
      <c r="O532" s="377"/>
    </row>
    <row r="533">
      <c r="B533" s="377"/>
      <c r="C533" s="377"/>
      <c r="D533" s="377"/>
      <c r="E533" s="377"/>
      <c r="F533" s="377"/>
      <c r="G533" s="377"/>
      <c r="H533" s="377"/>
      <c r="I533" s="377"/>
      <c r="J533" s="377"/>
      <c r="K533" s="377"/>
      <c r="L533" s="377"/>
      <c r="M533" s="377"/>
      <c r="N533" s="377"/>
      <c r="O533" s="377"/>
    </row>
    <row r="534">
      <c r="B534" s="377"/>
      <c r="C534" s="377"/>
      <c r="D534" s="377"/>
      <c r="E534" s="377"/>
      <c r="F534" s="377"/>
      <c r="G534" s="377"/>
      <c r="H534" s="377"/>
      <c r="I534" s="377"/>
      <c r="J534" s="377"/>
      <c r="K534" s="377"/>
      <c r="L534" s="377"/>
      <c r="M534" s="377"/>
      <c r="N534" s="377"/>
      <c r="O534" s="377"/>
    </row>
    <row r="535">
      <c r="B535" s="377"/>
      <c r="C535" s="377"/>
      <c r="D535" s="377"/>
      <c r="E535" s="377"/>
      <c r="F535" s="377"/>
      <c r="G535" s="377"/>
      <c r="H535" s="377"/>
      <c r="I535" s="377"/>
      <c r="J535" s="377"/>
      <c r="K535" s="377"/>
      <c r="L535" s="377"/>
      <c r="M535" s="377"/>
      <c r="N535" s="377"/>
      <c r="O535" s="377"/>
    </row>
    <row r="536">
      <c r="B536" s="377"/>
      <c r="C536" s="377"/>
      <c r="D536" s="377"/>
      <c r="E536" s="377"/>
      <c r="F536" s="377"/>
      <c r="G536" s="377"/>
      <c r="H536" s="377"/>
      <c r="I536" s="377"/>
      <c r="J536" s="377"/>
      <c r="K536" s="377"/>
      <c r="L536" s="377"/>
      <c r="M536" s="377"/>
      <c r="N536" s="377"/>
      <c r="O536" s="377"/>
    </row>
    <row r="537">
      <c r="B537" s="377"/>
      <c r="C537" s="377"/>
      <c r="D537" s="377"/>
      <c r="E537" s="377"/>
      <c r="F537" s="377"/>
      <c r="G537" s="377"/>
      <c r="H537" s="377"/>
      <c r="I537" s="377"/>
      <c r="J537" s="377"/>
      <c r="K537" s="377"/>
      <c r="L537" s="377"/>
      <c r="M537" s="377"/>
      <c r="N537" s="377"/>
      <c r="O537" s="377"/>
    </row>
    <row r="538">
      <c r="B538" s="377"/>
      <c r="C538" s="377"/>
      <c r="D538" s="377"/>
      <c r="E538" s="377"/>
      <c r="F538" s="377"/>
      <c r="G538" s="377"/>
      <c r="H538" s="377"/>
      <c r="I538" s="377"/>
      <c r="J538" s="377"/>
      <c r="K538" s="377"/>
      <c r="L538" s="377"/>
      <c r="M538" s="377"/>
      <c r="N538" s="377"/>
      <c r="O538" s="377"/>
    </row>
    <row r="539">
      <c r="B539" s="377"/>
      <c r="C539" s="377"/>
      <c r="D539" s="377"/>
      <c r="E539" s="377"/>
      <c r="F539" s="377"/>
      <c r="G539" s="377"/>
      <c r="H539" s="377"/>
      <c r="I539" s="377"/>
      <c r="J539" s="377"/>
      <c r="K539" s="377"/>
      <c r="L539" s="377"/>
      <c r="M539" s="377"/>
      <c r="N539" s="377"/>
      <c r="O539" s="377"/>
    </row>
    <row r="540">
      <c r="B540" s="377"/>
      <c r="C540" s="377"/>
      <c r="D540" s="377"/>
      <c r="E540" s="377"/>
      <c r="F540" s="377"/>
      <c r="G540" s="377"/>
      <c r="H540" s="377"/>
      <c r="I540" s="377"/>
      <c r="J540" s="377"/>
      <c r="K540" s="377"/>
      <c r="L540" s="377"/>
      <c r="M540" s="377"/>
      <c r="N540" s="377"/>
      <c r="O540" s="377"/>
    </row>
    <row r="541">
      <c r="B541" s="377"/>
      <c r="C541" s="377"/>
      <c r="D541" s="377"/>
      <c r="E541" s="377"/>
      <c r="F541" s="377"/>
      <c r="G541" s="377"/>
      <c r="H541" s="377"/>
      <c r="I541" s="377"/>
      <c r="J541" s="377"/>
      <c r="K541" s="377"/>
      <c r="L541" s="377"/>
      <c r="M541" s="377"/>
      <c r="N541" s="377"/>
      <c r="O541" s="377"/>
    </row>
    <row r="542">
      <c r="B542" s="377"/>
      <c r="C542" s="377"/>
      <c r="D542" s="377"/>
      <c r="E542" s="377"/>
      <c r="F542" s="377"/>
      <c r="G542" s="377"/>
      <c r="H542" s="377"/>
      <c r="I542" s="377"/>
      <c r="J542" s="377"/>
      <c r="K542" s="377"/>
      <c r="L542" s="377"/>
      <c r="M542" s="377"/>
      <c r="N542" s="377"/>
      <c r="O542" s="377"/>
    </row>
    <row r="543">
      <c r="B543" s="377"/>
      <c r="C543" s="377"/>
      <c r="D543" s="377"/>
      <c r="E543" s="377"/>
      <c r="F543" s="377"/>
      <c r="G543" s="377"/>
      <c r="H543" s="377"/>
      <c r="I543" s="377"/>
      <c r="J543" s="377"/>
      <c r="K543" s="377"/>
      <c r="L543" s="377"/>
      <c r="M543" s="377"/>
      <c r="N543" s="377"/>
      <c r="O543" s="377"/>
    </row>
    <row r="544">
      <c r="B544" s="377"/>
      <c r="C544" s="377"/>
      <c r="D544" s="377"/>
      <c r="E544" s="377"/>
      <c r="F544" s="377"/>
      <c r="G544" s="377"/>
      <c r="H544" s="377"/>
      <c r="I544" s="377"/>
      <c r="J544" s="377"/>
      <c r="K544" s="377"/>
      <c r="L544" s="377"/>
      <c r="M544" s="377"/>
      <c r="N544" s="377"/>
      <c r="O544" s="377"/>
    </row>
    <row r="545">
      <c r="B545" s="377"/>
      <c r="C545" s="377"/>
      <c r="D545" s="377"/>
      <c r="E545" s="377"/>
      <c r="F545" s="377"/>
      <c r="G545" s="377"/>
      <c r="H545" s="377"/>
      <c r="I545" s="377"/>
      <c r="J545" s="377"/>
      <c r="K545" s="377"/>
      <c r="L545" s="377"/>
      <c r="M545" s="377"/>
      <c r="N545" s="377"/>
      <c r="O545" s="377"/>
    </row>
    <row r="546">
      <c r="B546" s="377"/>
      <c r="C546" s="377"/>
      <c r="D546" s="377"/>
      <c r="E546" s="377"/>
      <c r="F546" s="377"/>
      <c r="G546" s="377"/>
      <c r="H546" s="377"/>
      <c r="I546" s="377"/>
      <c r="J546" s="377"/>
      <c r="K546" s="377"/>
      <c r="L546" s="377"/>
      <c r="M546" s="377"/>
      <c r="N546" s="377"/>
      <c r="O546" s="377"/>
    </row>
    <row r="547">
      <c r="B547" s="377"/>
      <c r="C547" s="377"/>
      <c r="D547" s="377"/>
      <c r="E547" s="377"/>
      <c r="F547" s="377"/>
      <c r="G547" s="377"/>
      <c r="H547" s="377"/>
      <c r="I547" s="377"/>
      <c r="J547" s="377"/>
      <c r="K547" s="377"/>
      <c r="L547" s="377"/>
      <c r="M547" s="377"/>
      <c r="N547" s="377"/>
      <c r="O547" s="377"/>
    </row>
    <row r="548">
      <c r="B548" s="377"/>
      <c r="C548" s="377"/>
      <c r="D548" s="377"/>
      <c r="E548" s="377"/>
      <c r="F548" s="377"/>
      <c r="G548" s="377"/>
      <c r="H548" s="377"/>
      <c r="I548" s="377"/>
      <c r="J548" s="377"/>
      <c r="K548" s="377"/>
      <c r="L548" s="377"/>
      <c r="M548" s="377"/>
      <c r="N548" s="377"/>
      <c r="O548" s="377"/>
    </row>
    <row r="549">
      <c r="B549" s="377"/>
      <c r="C549" s="377"/>
      <c r="D549" s="377"/>
      <c r="E549" s="377"/>
      <c r="F549" s="377"/>
      <c r="G549" s="377"/>
      <c r="H549" s="377"/>
      <c r="I549" s="377"/>
      <c r="J549" s="377"/>
      <c r="K549" s="377"/>
      <c r="L549" s="377"/>
      <c r="M549" s="377"/>
      <c r="N549" s="377"/>
      <c r="O549" s="377"/>
    </row>
    <row r="550">
      <c r="B550" s="377"/>
      <c r="C550" s="377"/>
      <c r="D550" s="377"/>
      <c r="E550" s="377"/>
      <c r="F550" s="377"/>
      <c r="G550" s="377"/>
      <c r="H550" s="377"/>
      <c r="I550" s="377"/>
      <c r="J550" s="377"/>
      <c r="K550" s="377"/>
      <c r="L550" s="377"/>
      <c r="M550" s="377"/>
      <c r="N550" s="377"/>
      <c r="O550" s="377"/>
    </row>
    <row r="551">
      <c r="B551" s="377"/>
      <c r="C551" s="377"/>
      <c r="D551" s="377"/>
      <c r="E551" s="377"/>
      <c r="F551" s="377"/>
      <c r="G551" s="377"/>
      <c r="H551" s="377"/>
      <c r="I551" s="377"/>
      <c r="J551" s="377"/>
      <c r="K551" s="377"/>
      <c r="L551" s="377"/>
      <c r="M551" s="377"/>
      <c r="N551" s="377"/>
      <c r="O551" s="377"/>
    </row>
    <row r="552">
      <c r="B552" s="377"/>
      <c r="C552" s="377"/>
      <c r="D552" s="377"/>
      <c r="E552" s="377"/>
      <c r="F552" s="377"/>
      <c r="G552" s="377"/>
      <c r="H552" s="377"/>
      <c r="I552" s="377"/>
      <c r="J552" s="377"/>
      <c r="K552" s="377"/>
      <c r="L552" s="377"/>
      <c r="M552" s="377"/>
      <c r="N552" s="377"/>
      <c r="O552" s="377"/>
    </row>
    <row r="553">
      <c r="B553" s="377"/>
      <c r="C553" s="377"/>
      <c r="D553" s="377"/>
      <c r="E553" s="377"/>
      <c r="F553" s="377"/>
      <c r="G553" s="377"/>
      <c r="H553" s="377"/>
      <c r="I553" s="377"/>
      <c r="J553" s="377"/>
      <c r="K553" s="377"/>
      <c r="L553" s="377"/>
      <c r="M553" s="377"/>
      <c r="N553" s="377"/>
      <c r="O553" s="377"/>
    </row>
    <row r="554">
      <c r="B554" s="377"/>
      <c r="C554" s="377"/>
      <c r="D554" s="377"/>
      <c r="E554" s="377"/>
      <c r="F554" s="377"/>
      <c r="G554" s="377"/>
      <c r="H554" s="377"/>
      <c r="I554" s="377"/>
      <c r="J554" s="377"/>
      <c r="K554" s="377"/>
      <c r="L554" s="377"/>
      <c r="M554" s="377"/>
      <c r="N554" s="377"/>
      <c r="O554" s="377"/>
    </row>
    <row r="555">
      <c r="B555" s="377"/>
      <c r="C555" s="377"/>
      <c r="D555" s="377"/>
      <c r="E555" s="377"/>
      <c r="F555" s="377"/>
      <c r="G555" s="377"/>
      <c r="H555" s="377"/>
      <c r="I555" s="377"/>
      <c r="J555" s="377"/>
      <c r="K555" s="377"/>
      <c r="L555" s="377"/>
      <c r="M555" s="377"/>
      <c r="N555" s="377"/>
      <c r="O555" s="377"/>
    </row>
    <row r="556">
      <c r="B556" s="377"/>
      <c r="C556" s="377"/>
      <c r="D556" s="377"/>
      <c r="E556" s="377"/>
      <c r="F556" s="377"/>
      <c r="G556" s="377"/>
      <c r="H556" s="377"/>
      <c r="I556" s="377"/>
      <c r="J556" s="377"/>
      <c r="K556" s="377"/>
      <c r="L556" s="377"/>
      <c r="M556" s="377"/>
      <c r="N556" s="377"/>
      <c r="O556" s="377"/>
    </row>
    <row r="557">
      <c r="B557" s="377"/>
      <c r="C557" s="377"/>
      <c r="D557" s="377"/>
      <c r="E557" s="377"/>
      <c r="F557" s="377"/>
      <c r="G557" s="377"/>
      <c r="H557" s="377"/>
      <c r="I557" s="377"/>
      <c r="J557" s="377"/>
      <c r="K557" s="377"/>
      <c r="L557" s="377"/>
      <c r="M557" s="377"/>
      <c r="N557" s="377"/>
      <c r="O557" s="377"/>
    </row>
    <row r="558">
      <c r="B558" s="377"/>
      <c r="C558" s="377"/>
      <c r="D558" s="377"/>
      <c r="E558" s="377"/>
      <c r="F558" s="377"/>
      <c r="G558" s="377"/>
      <c r="H558" s="377"/>
      <c r="I558" s="377"/>
      <c r="J558" s="377"/>
      <c r="K558" s="377"/>
      <c r="L558" s="377"/>
      <c r="M558" s="377"/>
      <c r="N558" s="377"/>
      <c r="O558" s="377"/>
    </row>
    <row r="559">
      <c r="B559" s="377"/>
      <c r="C559" s="377"/>
      <c r="D559" s="377"/>
      <c r="E559" s="377"/>
      <c r="F559" s="377"/>
      <c r="G559" s="377"/>
      <c r="H559" s="377"/>
      <c r="I559" s="377"/>
      <c r="J559" s="377"/>
      <c r="K559" s="377"/>
      <c r="L559" s="377"/>
      <c r="M559" s="377"/>
      <c r="N559" s="377"/>
      <c r="O559" s="377"/>
    </row>
    <row r="560">
      <c r="B560" s="377"/>
      <c r="C560" s="377"/>
      <c r="D560" s="377"/>
      <c r="E560" s="377"/>
      <c r="F560" s="377"/>
      <c r="G560" s="377"/>
      <c r="H560" s="377"/>
      <c r="I560" s="377"/>
      <c r="J560" s="377"/>
      <c r="K560" s="377"/>
      <c r="L560" s="377"/>
      <c r="M560" s="377"/>
      <c r="N560" s="377"/>
      <c r="O560" s="377"/>
    </row>
    <row r="561">
      <c r="B561" s="377"/>
      <c r="C561" s="377"/>
      <c r="D561" s="377"/>
      <c r="E561" s="377"/>
      <c r="F561" s="377"/>
      <c r="G561" s="377"/>
      <c r="H561" s="377"/>
      <c r="I561" s="377"/>
      <c r="J561" s="377"/>
      <c r="K561" s="377"/>
      <c r="L561" s="377"/>
      <c r="M561" s="377"/>
      <c r="N561" s="377"/>
      <c r="O561" s="377"/>
    </row>
    <row r="562">
      <c r="B562" s="377"/>
      <c r="C562" s="377"/>
      <c r="D562" s="377"/>
      <c r="E562" s="377"/>
      <c r="F562" s="377"/>
      <c r="G562" s="377"/>
      <c r="H562" s="377"/>
      <c r="I562" s="377"/>
      <c r="J562" s="377"/>
      <c r="K562" s="377"/>
      <c r="L562" s="377"/>
      <c r="M562" s="377"/>
      <c r="N562" s="377"/>
      <c r="O562" s="377"/>
    </row>
    <row r="563">
      <c r="B563" s="377"/>
      <c r="C563" s="377"/>
      <c r="D563" s="377"/>
      <c r="E563" s="377"/>
      <c r="F563" s="377"/>
      <c r="G563" s="377"/>
      <c r="H563" s="377"/>
      <c r="I563" s="377"/>
      <c r="J563" s="377"/>
      <c r="K563" s="377"/>
      <c r="L563" s="377"/>
      <c r="M563" s="377"/>
      <c r="N563" s="377"/>
      <c r="O563" s="377"/>
    </row>
    <row r="564">
      <c r="B564" s="377"/>
      <c r="C564" s="377"/>
      <c r="D564" s="377"/>
      <c r="E564" s="377"/>
      <c r="F564" s="377"/>
      <c r="G564" s="377"/>
      <c r="H564" s="377"/>
      <c r="I564" s="377"/>
      <c r="J564" s="377"/>
      <c r="K564" s="377"/>
      <c r="L564" s="377"/>
      <c r="M564" s="377"/>
      <c r="N564" s="377"/>
      <c r="O564" s="377"/>
    </row>
    <row r="565">
      <c r="B565" s="377"/>
      <c r="C565" s="377"/>
      <c r="D565" s="377"/>
      <c r="E565" s="377"/>
      <c r="F565" s="377"/>
      <c r="G565" s="377"/>
      <c r="H565" s="377"/>
      <c r="I565" s="377"/>
      <c r="J565" s="377"/>
      <c r="K565" s="377"/>
      <c r="L565" s="377"/>
      <c r="M565" s="377"/>
      <c r="N565" s="377"/>
      <c r="O565" s="377"/>
    </row>
    <row r="566">
      <c r="B566" s="377"/>
      <c r="C566" s="377"/>
      <c r="D566" s="377"/>
      <c r="E566" s="377"/>
      <c r="F566" s="377"/>
      <c r="G566" s="377"/>
      <c r="H566" s="377"/>
      <c r="I566" s="377"/>
      <c r="J566" s="377"/>
      <c r="K566" s="377"/>
      <c r="L566" s="377"/>
      <c r="M566" s="377"/>
      <c r="N566" s="377"/>
      <c r="O566" s="377"/>
    </row>
    <row r="567">
      <c r="B567" s="377"/>
      <c r="C567" s="377"/>
      <c r="D567" s="377"/>
      <c r="E567" s="377"/>
      <c r="F567" s="377"/>
      <c r="G567" s="377"/>
      <c r="H567" s="377"/>
      <c r="I567" s="377"/>
      <c r="J567" s="377"/>
      <c r="K567" s="377"/>
      <c r="L567" s="377"/>
      <c r="M567" s="377"/>
      <c r="N567" s="377"/>
      <c r="O567" s="377"/>
    </row>
    <row r="568">
      <c r="B568" s="377"/>
      <c r="C568" s="377"/>
      <c r="D568" s="377"/>
      <c r="E568" s="377"/>
      <c r="F568" s="377"/>
      <c r="G568" s="377"/>
      <c r="H568" s="377"/>
      <c r="I568" s="377"/>
      <c r="J568" s="377"/>
      <c r="K568" s="377"/>
      <c r="L568" s="377"/>
      <c r="M568" s="377"/>
      <c r="N568" s="377"/>
      <c r="O568" s="377"/>
    </row>
    <row r="569">
      <c r="B569" s="377"/>
      <c r="C569" s="377"/>
      <c r="D569" s="377"/>
      <c r="E569" s="377"/>
      <c r="F569" s="377"/>
      <c r="G569" s="377"/>
      <c r="H569" s="377"/>
      <c r="I569" s="377"/>
      <c r="J569" s="377"/>
      <c r="K569" s="377"/>
      <c r="L569" s="377"/>
      <c r="M569" s="377"/>
      <c r="N569" s="377"/>
      <c r="O569" s="377"/>
    </row>
    <row r="570">
      <c r="B570" s="377"/>
      <c r="C570" s="377"/>
      <c r="D570" s="377"/>
      <c r="E570" s="377"/>
      <c r="F570" s="377"/>
      <c r="G570" s="377"/>
      <c r="H570" s="377"/>
      <c r="I570" s="377"/>
      <c r="J570" s="377"/>
      <c r="K570" s="377"/>
      <c r="L570" s="377"/>
      <c r="M570" s="377"/>
      <c r="N570" s="377"/>
      <c r="O570" s="377"/>
    </row>
    <row r="571">
      <c r="B571" s="377"/>
      <c r="C571" s="377"/>
      <c r="D571" s="377"/>
      <c r="E571" s="377"/>
      <c r="F571" s="377"/>
      <c r="G571" s="377"/>
      <c r="H571" s="377"/>
      <c r="I571" s="377"/>
      <c r="J571" s="377"/>
      <c r="K571" s="377"/>
      <c r="L571" s="377"/>
      <c r="M571" s="377"/>
      <c r="N571" s="377"/>
      <c r="O571" s="377"/>
    </row>
    <row r="572">
      <c r="B572" s="377"/>
      <c r="C572" s="377"/>
      <c r="D572" s="377"/>
      <c r="E572" s="377"/>
      <c r="F572" s="377"/>
      <c r="G572" s="377"/>
      <c r="H572" s="377"/>
      <c r="I572" s="377"/>
      <c r="J572" s="377"/>
      <c r="K572" s="377"/>
      <c r="L572" s="377"/>
      <c r="M572" s="377"/>
      <c r="N572" s="377"/>
      <c r="O572" s="377"/>
    </row>
    <row r="573">
      <c r="B573" s="377"/>
      <c r="C573" s="377"/>
      <c r="D573" s="377"/>
      <c r="E573" s="377"/>
      <c r="F573" s="377"/>
      <c r="G573" s="377"/>
      <c r="H573" s="377"/>
      <c r="I573" s="377"/>
      <c r="J573" s="377"/>
      <c r="K573" s="377"/>
      <c r="L573" s="377"/>
      <c r="M573" s="377"/>
      <c r="N573" s="377"/>
      <c r="O573" s="377"/>
    </row>
    <row r="574">
      <c r="B574" s="377"/>
      <c r="C574" s="377"/>
      <c r="D574" s="377"/>
      <c r="E574" s="377"/>
      <c r="F574" s="377"/>
      <c r="G574" s="377"/>
      <c r="H574" s="377"/>
      <c r="I574" s="377"/>
      <c r="J574" s="377"/>
      <c r="K574" s="377"/>
      <c r="L574" s="377"/>
      <c r="M574" s="377"/>
      <c r="N574" s="377"/>
      <c r="O574" s="377"/>
    </row>
    <row r="575">
      <c r="B575" s="377"/>
      <c r="C575" s="377"/>
      <c r="D575" s="377"/>
      <c r="E575" s="377"/>
      <c r="F575" s="377"/>
      <c r="G575" s="377"/>
      <c r="H575" s="377"/>
      <c r="I575" s="377"/>
      <c r="J575" s="377"/>
      <c r="K575" s="377"/>
      <c r="L575" s="377"/>
      <c r="M575" s="377"/>
      <c r="N575" s="377"/>
      <c r="O575" s="377"/>
    </row>
    <row r="576">
      <c r="B576" s="377"/>
      <c r="C576" s="377"/>
      <c r="D576" s="377"/>
      <c r="E576" s="377"/>
      <c r="F576" s="377"/>
      <c r="G576" s="377"/>
      <c r="H576" s="377"/>
      <c r="I576" s="377"/>
      <c r="J576" s="377"/>
      <c r="K576" s="377"/>
      <c r="L576" s="377"/>
      <c r="M576" s="377"/>
      <c r="N576" s="377"/>
      <c r="O576" s="377"/>
    </row>
    <row r="577">
      <c r="B577" s="377"/>
      <c r="C577" s="377"/>
      <c r="D577" s="377"/>
      <c r="E577" s="377"/>
      <c r="F577" s="377"/>
      <c r="G577" s="377"/>
      <c r="H577" s="377"/>
      <c r="I577" s="377"/>
      <c r="J577" s="377"/>
      <c r="K577" s="377"/>
      <c r="L577" s="377"/>
      <c r="M577" s="377"/>
      <c r="N577" s="377"/>
      <c r="O577" s="377"/>
    </row>
    <row r="578">
      <c r="B578" s="377"/>
      <c r="C578" s="377"/>
      <c r="D578" s="377"/>
      <c r="E578" s="377"/>
      <c r="F578" s="377"/>
      <c r="G578" s="377"/>
      <c r="H578" s="377"/>
      <c r="I578" s="377"/>
      <c r="J578" s="377"/>
      <c r="K578" s="377"/>
      <c r="L578" s="377"/>
      <c r="M578" s="377"/>
      <c r="N578" s="377"/>
      <c r="O578" s="377"/>
    </row>
    <row r="579">
      <c r="B579" s="377"/>
      <c r="C579" s="377"/>
      <c r="D579" s="377"/>
      <c r="E579" s="377"/>
      <c r="F579" s="377"/>
      <c r="G579" s="377"/>
      <c r="H579" s="377"/>
      <c r="I579" s="377"/>
      <c r="J579" s="377"/>
      <c r="K579" s="377"/>
      <c r="L579" s="377"/>
      <c r="M579" s="377"/>
      <c r="N579" s="377"/>
      <c r="O579" s="377"/>
    </row>
    <row r="580">
      <c r="B580" s="377"/>
      <c r="C580" s="377"/>
      <c r="D580" s="377"/>
      <c r="E580" s="377"/>
      <c r="F580" s="377"/>
      <c r="G580" s="377"/>
      <c r="H580" s="377"/>
      <c r="I580" s="377"/>
      <c r="J580" s="377"/>
      <c r="K580" s="377"/>
      <c r="L580" s="377"/>
      <c r="M580" s="377"/>
      <c r="N580" s="377"/>
      <c r="O580" s="377"/>
    </row>
    <row r="581">
      <c r="B581" s="377"/>
      <c r="C581" s="377"/>
      <c r="D581" s="377"/>
      <c r="E581" s="377"/>
      <c r="F581" s="377"/>
      <c r="G581" s="377"/>
      <c r="H581" s="377"/>
      <c r="I581" s="377"/>
      <c r="J581" s="377"/>
      <c r="K581" s="377"/>
      <c r="L581" s="377"/>
      <c r="M581" s="377"/>
      <c r="N581" s="377"/>
      <c r="O581" s="377"/>
    </row>
    <row r="582">
      <c r="B582" s="377"/>
      <c r="C582" s="377"/>
      <c r="D582" s="377"/>
      <c r="E582" s="377"/>
      <c r="F582" s="377"/>
      <c r="G582" s="377"/>
      <c r="H582" s="377"/>
      <c r="I582" s="377"/>
      <c r="J582" s="377"/>
      <c r="K582" s="377"/>
      <c r="L582" s="377"/>
      <c r="M582" s="377"/>
      <c r="N582" s="377"/>
      <c r="O582" s="377"/>
    </row>
    <row r="583">
      <c r="B583" s="377"/>
      <c r="C583" s="377"/>
      <c r="D583" s="377"/>
      <c r="E583" s="377"/>
      <c r="F583" s="377"/>
      <c r="G583" s="377"/>
      <c r="H583" s="377"/>
      <c r="I583" s="377"/>
      <c r="J583" s="377"/>
      <c r="K583" s="377"/>
      <c r="L583" s="377"/>
      <c r="M583" s="377"/>
      <c r="N583" s="377"/>
      <c r="O583" s="377"/>
    </row>
    <row r="584">
      <c r="B584" s="377"/>
      <c r="C584" s="377"/>
      <c r="D584" s="377"/>
      <c r="E584" s="377"/>
      <c r="F584" s="377"/>
      <c r="G584" s="377"/>
      <c r="H584" s="377"/>
      <c r="I584" s="377"/>
      <c r="J584" s="377"/>
      <c r="K584" s="377"/>
      <c r="L584" s="377"/>
      <c r="M584" s="377"/>
      <c r="N584" s="377"/>
      <c r="O584" s="377"/>
    </row>
    <row r="585">
      <c r="B585" s="377"/>
      <c r="C585" s="377"/>
      <c r="D585" s="377"/>
      <c r="E585" s="377"/>
      <c r="F585" s="377"/>
      <c r="G585" s="377"/>
      <c r="H585" s="377"/>
      <c r="I585" s="377"/>
      <c r="J585" s="377"/>
      <c r="K585" s="377"/>
      <c r="L585" s="377"/>
      <c r="M585" s="377"/>
      <c r="N585" s="377"/>
      <c r="O585" s="377"/>
    </row>
    <row r="586">
      <c r="B586" s="377"/>
      <c r="C586" s="377"/>
      <c r="D586" s="377"/>
      <c r="E586" s="377"/>
      <c r="F586" s="377"/>
      <c r="G586" s="377"/>
      <c r="H586" s="377"/>
      <c r="I586" s="377"/>
      <c r="J586" s="377"/>
      <c r="K586" s="377"/>
      <c r="L586" s="377"/>
      <c r="M586" s="377"/>
      <c r="N586" s="377"/>
      <c r="O586" s="377"/>
    </row>
    <row r="587">
      <c r="B587" s="377"/>
      <c r="C587" s="377"/>
      <c r="D587" s="377"/>
      <c r="E587" s="377"/>
      <c r="F587" s="377"/>
      <c r="G587" s="377"/>
      <c r="H587" s="377"/>
      <c r="I587" s="377"/>
      <c r="J587" s="377"/>
      <c r="K587" s="377"/>
      <c r="L587" s="377"/>
      <c r="M587" s="377"/>
      <c r="N587" s="377"/>
      <c r="O587" s="377"/>
    </row>
    <row r="588">
      <c r="B588" s="377"/>
      <c r="C588" s="377"/>
      <c r="D588" s="377"/>
      <c r="E588" s="377"/>
      <c r="F588" s="377"/>
      <c r="G588" s="377"/>
      <c r="H588" s="377"/>
      <c r="I588" s="377"/>
      <c r="J588" s="377"/>
      <c r="K588" s="377"/>
      <c r="L588" s="377"/>
      <c r="M588" s="377"/>
      <c r="N588" s="377"/>
      <c r="O588" s="377"/>
    </row>
    <row r="589">
      <c r="B589" s="377"/>
      <c r="C589" s="377"/>
      <c r="D589" s="377"/>
      <c r="E589" s="377"/>
      <c r="F589" s="377"/>
      <c r="G589" s="377"/>
      <c r="H589" s="377"/>
      <c r="I589" s="377"/>
      <c r="J589" s="377"/>
      <c r="K589" s="377"/>
      <c r="L589" s="377"/>
      <c r="M589" s="377"/>
      <c r="N589" s="377"/>
      <c r="O589" s="377"/>
    </row>
    <row r="590">
      <c r="B590" s="377"/>
      <c r="C590" s="377"/>
      <c r="D590" s="377"/>
      <c r="E590" s="377"/>
      <c r="F590" s="377"/>
      <c r="G590" s="377"/>
      <c r="H590" s="377"/>
      <c r="I590" s="377"/>
      <c r="J590" s="377"/>
      <c r="K590" s="377"/>
      <c r="L590" s="377"/>
      <c r="M590" s="377"/>
      <c r="N590" s="377"/>
      <c r="O590" s="377"/>
    </row>
    <row r="591">
      <c r="B591" s="377"/>
      <c r="C591" s="377"/>
      <c r="D591" s="377"/>
      <c r="E591" s="377"/>
      <c r="F591" s="377"/>
      <c r="G591" s="377"/>
      <c r="H591" s="377"/>
      <c r="I591" s="377"/>
      <c r="J591" s="377"/>
      <c r="K591" s="377"/>
      <c r="L591" s="377"/>
      <c r="M591" s="377"/>
      <c r="N591" s="377"/>
      <c r="O591" s="377"/>
    </row>
    <row r="592">
      <c r="B592" s="377"/>
      <c r="C592" s="377"/>
      <c r="D592" s="377"/>
      <c r="E592" s="377"/>
      <c r="F592" s="377"/>
      <c r="G592" s="377"/>
      <c r="H592" s="377"/>
      <c r="I592" s="377"/>
      <c r="J592" s="377"/>
      <c r="K592" s="377"/>
      <c r="L592" s="377"/>
      <c r="M592" s="377"/>
      <c r="N592" s="377"/>
      <c r="O592" s="377"/>
    </row>
    <row r="593">
      <c r="B593" s="377"/>
      <c r="C593" s="377"/>
      <c r="D593" s="377"/>
      <c r="E593" s="377"/>
      <c r="F593" s="377"/>
      <c r="G593" s="377"/>
      <c r="H593" s="377"/>
      <c r="I593" s="377"/>
      <c r="J593" s="377"/>
      <c r="K593" s="377"/>
      <c r="L593" s="377"/>
      <c r="M593" s="377"/>
      <c r="N593" s="377"/>
      <c r="O593" s="377"/>
    </row>
    <row r="594">
      <c r="B594" s="377"/>
      <c r="C594" s="377"/>
      <c r="D594" s="377"/>
      <c r="E594" s="377"/>
      <c r="F594" s="377"/>
      <c r="G594" s="377"/>
      <c r="H594" s="377"/>
      <c r="I594" s="377"/>
      <c r="J594" s="377"/>
      <c r="K594" s="377"/>
      <c r="L594" s="377"/>
      <c r="M594" s="377"/>
      <c r="N594" s="377"/>
      <c r="O594" s="377"/>
    </row>
    <row r="595">
      <c r="B595" s="377"/>
      <c r="C595" s="377"/>
      <c r="D595" s="377"/>
      <c r="E595" s="377"/>
      <c r="F595" s="377"/>
      <c r="G595" s="377"/>
      <c r="H595" s="377"/>
      <c r="I595" s="377"/>
      <c r="J595" s="377"/>
      <c r="K595" s="377"/>
      <c r="L595" s="377"/>
      <c r="M595" s="377"/>
      <c r="N595" s="377"/>
      <c r="O595" s="377"/>
    </row>
    <row r="596">
      <c r="B596" s="377"/>
      <c r="C596" s="377"/>
      <c r="D596" s="377"/>
      <c r="E596" s="377"/>
      <c r="F596" s="377"/>
      <c r="G596" s="377"/>
      <c r="H596" s="377"/>
      <c r="I596" s="377"/>
      <c r="J596" s="377"/>
      <c r="K596" s="377"/>
      <c r="L596" s="377"/>
      <c r="M596" s="377"/>
      <c r="N596" s="377"/>
      <c r="O596" s="377"/>
    </row>
    <row r="597">
      <c r="B597" s="377"/>
      <c r="C597" s="377"/>
      <c r="D597" s="377"/>
      <c r="E597" s="377"/>
      <c r="F597" s="377"/>
      <c r="G597" s="377"/>
      <c r="H597" s="377"/>
      <c r="I597" s="377"/>
      <c r="J597" s="377"/>
      <c r="K597" s="377"/>
      <c r="L597" s="377"/>
      <c r="M597" s="377"/>
      <c r="N597" s="377"/>
      <c r="O597" s="377"/>
    </row>
    <row r="598">
      <c r="B598" s="377"/>
      <c r="C598" s="377"/>
      <c r="D598" s="377"/>
      <c r="E598" s="377"/>
      <c r="F598" s="377"/>
      <c r="G598" s="377"/>
      <c r="H598" s="377"/>
      <c r="I598" s="377"/>
      <c r="J598" s="377"/>
      <c r="K598" s="377"/>
      <c r="L598" s="377"/>
      <c r="M598" s="377"/>
      <c r="N598" s="377"/>
      <c r="O598" s="377"/>
    </row>
    <row r="599">
      <c r="B599" s="377"/>
      <c r="C599" s="377"/>
      <c r="D599" s="377"/>
      <c r="E599" s="377"/>
      <c r="F599" s="377"/>
      <c r="G599" s="377"/>
      <c r="H599" s="377"/>
      <c r="I599" s="377"/>
      <c r="J599" s="377"/>
      <c r="K599" s="377"/>
      <c r="L599" s="377"/>
      <c r="M599" s="377"/>
      <c r="N599" s="377"/>
      <c r="O599" s="377"/>
    </row>
    <row r="600">
      <c r="B600" s="377"/>
      <c r="C600" s="377"/>
      <c r="D600" s="377"/>
      <c r="E600" s="377"/>
      <c r="F600" s="377"/>
      <c r="G600" s="377"/>
      <c r="H600" s="377"/>
      <c r="I600" s="377"/>
      <c r="J600" s="377"/>
      <c r="K600" s="377"/>
      <c r="L600" s="377"/>
      <c r="M600" s="377"/>
      <c r="N600" s="377"/>
      <c r="O600" s="377"/>
    </row>
    <row r="601">
      <c r="B601" s="377"/>
      <c r="C601" s="377"/>
      <c r="D601" s="377"/>
      <c r="E601" s="377"/>
      <c r="F601" s="377"/>
      <c r="G601" s="377"/>
      <c r="H601" s="377"/>
      <c r="I601" s="377"/>
      <c r="J601" s="377"/>
      <c r="K601" s="377"/>
      <c r="L601" s="377"/>
      <c r="M601" s="377"/>
      <c r="N601" s="377"/>
      <c r="O601" s="377"/>
    </row>
    <row r="602">
      <c r="B602" s="377"/>
      <c r="C602" s="377"/>
      <c r="D602" s="377"/>
      <c r="E602" s="377"/>
      <c r="F602" s="377"/>
      <c r="G602" s="377"/>
      <c r="H602" s="377"/>
      <c r="I602" s="377"/>
      <c r="J602" s="377"/>
      <c r="K602" s="377"/>
      <c r="L602" s="377"/>
      <c r="M602" s="377"/>
      <c r="N602" s="377"/>
      <c r="O602" s="377"/>
    </row>
    <row r="603">
      <c r="B603" s="377"/>
      <c r="C603" s="377"/>
      <c r="D603" s="377"/>
      <c r="E603" s="377"/>
      <c r="F603" s="377"/>
      <c r="G603" s="377"/>
      <c r="H603" s="377"/>
      <c r="I603" s="377"/>
      <c r="J603" s="377"/>
      <c r="K603" s="377"/>
      <c r="L603" s="377"/>
      <c r="M603" s="377"/>
      <c r="N603" s="377"/>
      <c r="O603" s="377"/>
    </row>
    <row r="604">
      <c r="B604" s="377"/>
      <c r="C604" s="377"/>
      <c r="D604" s="377"/>
      <c r="E604" s="377"/>
      <c r="F604" s="377"/>
      <c r="G604" s="377"/>
      <c r="H604" s="377"/>
      <c r="I604" s="377"/>
      <c r="J604" s="377"/>
      <c r="K604" s="377"/>
      <c r="L604" s="377"/>
      <c r="M604" s="377"/>
      <c r="N604" s="377"/>
      <c r="O604" s="377"/>
    </row>
    <row r="605">
      <c r="B605" s="377"/>
      <c r="C605" s="377"/>
      <c r="D605" s="377"/>
      <c r="E605" s="377"/>
      <c r="F605" s="377"/>
      <c r="G605" s="377"/>
      <c r="H605" s="377"/>
      <c r="I605" s="377"/>
      <c r="J605" s="377"/>
      <c r="K605" s="377"/>
      <c r="L605" s="377"/>
      <c r="M605" s="377"/>
      <c r="N605" s="377"/>
      <c r="O605" s="377"/>
    </row>
    <row r="606">
      <c r="B606" s="377"/>
      <c r="C606" s="377"/>
      <c r="D606" s="377"/>
      <c r="E606" s="377"/>
      <c r="F606" s="377"/>
      <c r="G606" s="377"/>
      <c r="H606" s="377"/>
      <c r="I606" s="377"/>
      <c r="J606" s="377"/>
      <c r="K606" s="377"/>
      <c r="L606" s="377"/>
      <c r="M606" s="377"/>
      <c r="N606" s="377"/>
      <c r="O606" s="377"/>
    </row>
    <row r="607">
      <c r="B607" s="377"/>
      <c r="C607" s="377"/>
      <c r="D607" s="377"/>
      <c r="E607" s="377"/>
      <c r="F607" s="377"/>
      <c r="G607" s="377"/>
      <c r="H607" s="377"/>
      <c r="I607" s="377"/>
      <c r="J607" s="377"/>
      <c r="K607" s="377"/>
      <c r="L607" s="377"/>
      <c r="M607" s="377"/>
      <c r="N607" s="377"/>
      <c r="O607" s="377"/>
    </row>
    <row r="608">
      <c r="B608" s="377"/>
      <c r="C608" s="377"/>
      <c r="D608" s="377"/>
      <c r="E608" s="377"/>
      <c r="F608" s="377"/>
      <c r="G608" s="377"/>
      <c r="H608" s="377"/>
      <c r="I608" s="377"/>
      <c r="J608" s="377"/>
      <c r="K608" s="377"/>
      <c r="L608" s="377"/>
      <c r="M608" s="377"/>
      <c r="N608" s="377"/>
      <c r="O608" s="377"/>
    </row>
    <row r="609">
      <c r="B609" s="377"/>
      <c r="C609" s="377"/>
      <c r="D609" s="377"/>
      <c r="E609" s="377"/>
      <c r="F609" s="377"/>
      <c r="G609" s="377"/>
      <c r="H609" s="377"/>
      <c r="I609" s="377"/>
      <c r="J609" s="377"/>
      <c r="K609" s="377"/>
      <c r="L609" s="377"/>
      <c r="M609" s="377"/>
      <c r="N609" s="377"/>
      <c r="O609" s="377"/>
    </row>
    <row r="610">
      <c r="B610" s="377"/>
      <c r="C610" s="377"/>
      <c r="D610" s="377"/>
      <c r="E610" s="377"/>
      <c r="F610" s="377"/>
      <c r="G610" s="377"/>
      <c r="H610" s="377"/>
      <c r="I610" s="377"/>
      <c r="J610" s="377"/>
      <c r="K610" s="377"/>
      <c r="L610" s="377"/>
      <c r="M610" s="377"/>
      <c r="N610" s="377"/>
      <c r="O610" s="377"/>
    </row>
    <row r="611">
      <c r="B611" s="377"/>
      <c r="C611" s="377"/>
      <c r="D611" s="377"/>
      <c r="E611" s="377"/>
      <c r="F611" s="377"/>
      <c r="G611" s="377"/>
      <c r="H611" s="377"/>
      <c r="I611" s="377"/>
      <c r="J611" s="377"/>
      <c r="K611" s="377"/>
      <c r="L611" s="377"/>
      <c r="M611" s="377"/>
      <c r="N611" s="377"/>
      <c r="O611" s="377"/>
    </row>
    <row r="612">
      <c r="B612" s="377"/>
      <c r="C612" s="377"/>
      <c r="D612" s="377"/>
      <c r="E612" s="377"/>
      <c r="F612" s="377"/>
      <c r="G612" s="377"/>
      <c r="H612" s="377"/>
      <c r="I612" s="377"/>
      <c r="J612" s="377"/>
      <c r="K612" s="377"/>
      <c r="L612" s="377"/>
      <c r="M612" s="377"/>
      <c r="N612" s="377"/>
      <c r="O612" s="377"/>
    </row>
    <row r="613">
      <c r="B613" s="377"/>
      <c r="C613" s="377"/>
      <c r="D613" s="377"/>
      <c r="E613" s="377"/>
      <c r="F613" s="377"/>
      <c r="G613" s="377"/>
      <c r="H613" s="377"/>
      <c r="I613" s="377"/>
      <c r="J613" s="377"/>
      <c r="K613" s="377"/>
      <c r="L613" s="377"/>
      <c r="M613" s="377"/>
      <c r="N613" s="377"/>
      <c r="O613" s="377"/>
    </row>
    <row r="614">
      <c r="B614" s="377"/>
      <c r="C614" s="377"/>
      <c r="D614" s="377"/>
      <c r="E614" s="377"/>
      <c r="F614" s="377"/>
      <c r="G614" s="377"/>
      <c r="H614" s="377"/>
      <c r="I614" s="377"/>
      <c r="J614" s="377"/>
      <c r="K614" s="377"/>
      <c r="L614" s="377"/>
      <c r="M614" s="377"/>
      <c r="N614" s="377"/>
      <c r="O614" s="377"/>
    </row>
    <row r="615">
      <c r="B615" s="377"/>
      <c r="C615" s="377"/>
      <c r="D615" s="377"/>
      <c r="E615" s="377"/>
      <c r="F615" s="377"/>
      <c r="G615" s="377"/>
      <c r="H615" s="377"/>
      <c r="I615" s="377"/>
      <c r="J615" s="377"/>
      <c r="K615" s="377"/>
      <c r="L615" s="377"/>
      <c r="M615" s="377"/>
      <c r="N615" s="377"/>
      <c r="O615" s="377"/>
    </row>
    <row r="616">
      <c r="B616" s="377"/>
      <c r="C616" s="377"/>
      <c r="D616" s="377"/>
      <c r="E616" s="377"/>
      <c r="F616" s="377"/>
      <c r="G616" s="377"/>
      <c r="H616" s="377"/>
      <c r="I616" s="377"/>
      <c r="J616" s="377"/>
      <c r="K616" s="377"/>
      <c r="L616" s="377"/>
      <c r="M616" s="377"/>
      <c r="N616" s="377"/>
      <c r="O616" s="377"/>
    </row>
    <row r="617">
      <c r="B617" s="377"/>
      <c r="C617" s="377"/>
      <c r="D617" s="377"/>
      <c r="E617" s="377"/>
      <c r="F617" s="377"/>
      <c r="G617" s="377"/>
      <c r="H617" s="377"/>
      <c r="I617" s="377"/>
      <c r="J617" s="377"/>
      <c r="K617" s="377"/>
      <c r="L617" s="377"/>
      <c r="M617" s="377"/>
      <c r="N617" s="377"/>
      <c r="O617" s="377"/>
    </row>
    <row r="618">
      <c r="B618" s="377"/>
      <c r="C618" s="377"/>
      <c r="D618" s="377"/>
      <c r="E618" s="377"/>
      <c r="F618" s="377"/>
      <c r="G618" s="377"/>
      <c r="H618" s="377"/>
      <c r="I618" s="377"/>
      <c r="J618" s="377"/>
      <c r="K618" s="377"/>
      <c r="L618" s="377"/>
      <c r="M618" s="377"/>
      <c r="N618" s="377"/>
      <c r="O618" s="377"/>
    </row>
    <row r="619">
      <c r="B619" s="377"/>
      <c r="C619" s="377"/>
      <c r="D619" s="377"/>
      <c r="E619" s="377"/>
      <c r="F619" s="377"/>
      <c r="G619" s="377"/>
      <c r="H619" s="377"/>
      <c r="I619" s="377"/>
      <c r="J619" s="377"/>
      <c r="K619" s="377"/>
      <c r="L619" s="377"/>
      <c r="M619" s="377"/>
      <c r="N619" s="377"/>
      <c r="O619" s="377"/>
    </row>
    <row r="620">
      <c r="B620" s="377"/>
      <c r="C620" s="377"/>
      <c r="D620" s="377"/>
      <c r="E620" s="377"/>
      <c r="F620" s="377"/>
      <c r="G620" s="377"/>
      <c r="H620" s="377"/>
      <c r="I620" s="377"/>
      <c r="J620" s="377"/>
      <c r="K620" s="377"/>
      <c r="L620" s="377"/>
      <c r="M620" s="377"/>
      <c r="N620" s="377"/>
      <c r="O620" s="377"/>
    </row>
    <row r="621">
      <c r="B621" s="377"/>
      <c r="C621" s="377"/>
      <c r="D621" s="377"/>
      <c r="E621" s="377"/>
      <c r="F621" s="377"/>
      <c r="G621" s="377"/>
      <c r="H621" s="377"/>
      <c r="I621" s="377"/>
      <c r="J621" s="377"/>
      <c r="K621" s="377"/>
      <c r="L621" s="377"/>
      <c r="M621" s="377"/>
      <c r="N621" s="377"/>
      <c r="O621" s="377"/>
    </row>
    <row r="622">
      <c r="B622" s="377"/>
      <c r="C622" s="377"/>
      <c r="D622" s="377"/>
      <c r="E622" s="377"/>
      <c r="F622" s="377"/>
      <c r="G622" s="377"/>
      <c r="H622" s="377"/>
      <c r="I622" s="377"/>
      <c r="J622" s="377"/>
      <c r="K622" s="377"/>
      <c r="L622" s="377"/>
      <c r="M622" s="377"/>
      <c r="N622" s="377"/>
      <c r="O622" s="377"/>
    </row>
    <row r="623">
      <c r="B623" s="377"/>
      <c r="C623" s="377"/>
      <c r="D623" s="377"/>
      <c r="E623" s="377"/>
      <c r="F623" s="377"/>
      <c r="G623" s="377"/>
      <c r="H623" s="377"/>
      <c r="I623" s="377"/>
      <c r="J623" s="377"/>
      <c r="K623" s="377"/>
      <c r="L623" s="377"/>
      <c r="M623" s="377"/>
      <c r="N623" s="377"/>
      <c r="O623" s="377"/>
    </row>
    <row r="624">
      <c r="B624" s="377"/>
      <c r="C624" s="377"/>
      <c r="D624" s="377"/>
      <c r="E624" s="377"/>
      <c r="F624" s="377"/>
      <c r="G624" s="377"/>
      <c r="H624" s="377"/>
      <c r="I624" s="377"/>
      <c r="J624" s="377"/>
      <c r="K624" s="377"/>
      <c r="L624" s="377"/>
      <c r="M624" s="377"/>
      <c r="N624" s="377"/>
      <c r="O624" s="377"/>
    </row>
    <row r="625">
      <c r="B625" s="377"/>
      <c r="C625" s="377"/>
      <c r="D625" s="377"/>
      <c r="E625" s="377"/>
      <c r="F625" s="377"/>
      <c r="G625" s="377"/>
      <c r="H625" s="377"/>
      <c r="I625" s="377"/>
      <c r="J625" s="377"/>
      <c r="K625" s="377"/>
      <c r="L625" s="377"/>
      <c r="M625" s="377"/>
      <c r="N625" s="377"/>
      <c r="O625" s="377"/>
    </row>
    <row r="626">
      <c r="B626" s="377"/>
      <c r="C626" s="377"/>
      <c r="D626" s="377"/>
      <c r="E626" s="377"/>
      <c r="F626" s="377"/>
      <c r="G626" s="377"/>
      <c r="H626" s="377"/>
      <c r="I626" s="377"/>
      <c r="J626" s="377"/>
      <c r="K626" s="377"/>
      <c r="L626" s="377"/>
      <c r="M626" s="377"/>
      <c r="N626" s="377"/>
      <c r="O626" s="377"/>
    </row>
    <row r="627">
      <c r="B627" s="377"/>
      <c r="C627" s="377"/>
      <c r="D627" s="377"/>
      <c r="E627" s="377"/>
      <c r="F627" s="377"/>
      <c r="G627" s="377"/>
      <c r="H627" s="377"/>
      <c r="I627" s="377"/>
      <c r="J627" s="377"/>
      <c r="K627" s="377"/>
      <c r="L627" s="377"/>
      <c r="M627" s="377"/>
      <c r="N627" s="377"/>
      <c r="O627" s="377"/>
    </row>
    <row r="628">
      <c r="B628" s="377"/>
      <c r="C628" s="377"/>
      <c r="D628" s="377"/>
      <c r="E628" s="377"/>
      <c r="F628" s="377"/>
      <c r="G628" s="377"/>
      <c r="H628" s="377"/>
      <c r="I628" s="377"/>
      <c r="J628" s="377"/>
      <c r="K628" s="377"/>
      <c r="L628" s="377"/>
      <c r="M628" s="377"/>
      <c r="N628" s="377"/>
      <c r="O628" s="377"/>
    </row>
    <row r="629">
      <c r="B629" s="377"/>
      <c r="C629" s="377"/>
      <c r="D629" s="377"/>
      <c r="E629" s="377"/>
      <c r="F629" s="377"/>
      <c r="G629" s="377"/>
      <c r="H629" s="377"/>
      <c r="I629" s="377"/>
      <c r="J629" s="377"/>
      <c r="K629" s="377"/>
      <c r="L629" s="377"/>
      <c r="M629" s="377"/>
      <c r="N629" s="377"/>
      <c r="O629" s="377"/>
    </row>
    <row r="630">
      <c r="B630" s="377"/>
      <c r="C630" s="377"/>
      <c r="D630" s="377"/>
      <c r="E630" s="377"/>
      <c r="F630" s="377"/>
      <c r="G630" s="377"/>
      <c r="H630" s="377"/>
      <c r="I630" s="377"/>
      <c r="J630" s="377"/>
      <c r="K630" s="377"/>
      <c r="L630" s="377"/>
      <c r="M630" s="377"/>
      <c r="N630" s="377"/>
      <c r="O630" s="377"/>
    </row>
    <row r="631">
      <c r="B631" s="377"/>
      <c r="C631" s="377"/>
      <c r="D631" s="377"/>
      <c r="E631" s="377"/>
      <c r="F631" s="377"/>
      <c r="G631" s="377"/>
      <c r="H631" s="377"/>
      <c r="I631" s="377"/>
      <c r="J631" s="377"/>
      <c r="K631" s="377"/>
      <c r="L631" s="377"/>
      <c r="M631" s="377"/>
      <c r="N631" s="377"/>
      <c r="O631" s="377"/>
    </row>
    <row r="632">
      <c r="B632" s="377"/>
      <c r="C632" s="377"/>
      <c r="D632" s="377"/>
      <c r="E632" s="377"/>
      <c r="F632" s="377"/>
      <c r="G632" s="377"/>
      <c r="H632" s="377"/>
      <c r="I632" s="377"/>
      <c r="J632" s="377"/>
      <c r="K632" s="377"/>
      <c r="L632" s="377"/>
      <c r="M632" s="377"/>
      <c r="N632" s="377"/>
      <c r="O632" s="377"/>
    </row>
    <row r="633">
      <c r="B633" s="377"/>
      <c r="C633" s="377"/>
      <c r="D633" s="377"/>
      <c r="E633" s="377"/>
      <c r="F633" s="377"/>
      <c r="G633" s="377"/>
      <c r="H633" s="377"/>
      <c r="I633" s="377"/>
      <c r="J633" s="377"/>
      <c r="K633" s="377"/>
      <c r="L633" s="377"/>
      <c r="M633" s="377"/>
      <c r="N633" s="377"/>
      <c r="O633" s="377"/>
    </row>
    <row r="634">
      <c r="B634" s="377"/>
      <c r="C634" s="377"/>
      <c r="D634" s="377"/>
      <c r="E634" s="377"/>
      <c r="F634" s="377"/>
      <c r="G634" s="377"/>
      <c r="H634" s="377"/>
      <c r="I634" s="377"/>
      <c r="J634" s="377"/>
      <c r="K634" s="377"/>
      <c r="L634" s="377"/>
      <c r="M634" s="377"/>
      <c r="N634" s="377"/>
      <c r="O634" s="377"/>
    </row>
    <row r="635">
      <c r="B635" s="377"/>
      <c r="C635" s="377"/>
      <c r="D635" s="377"/>
      <c r="E635" s="377"/>
      <c r="F635" s="377"/>
      <c r="G635" s="377"/>
      <c r="H635" s="377"/>
      <c r="I635" s="377"/>
      <c r="J635" s="377"/>
      <c r="K635" s="377"/>
      <c r="L635" s="377"/>
      <c r="M635" s="377"/>
      <c r="N635" s="377"/>
      <c r="O635" s="377"/>
    </row>
    <row r="636">
      <c r="B636" s="377"/>
      <c r="C636" s="377"/>
      <c r="D636" s="377"/>
      <c r="E636" s="377"/>
      <c r="F636" s="377"/>
      <c r="G636" s="377"/>
      <c r="H636" s="377"/>
      <c r="I636" s="377"/>
      <c r="J636" s="377"/>
      <c r="K636" s="377"/>
      <c r="L636" s="377"/>
      <c r="M636" s="377"/>
      <c r="N636" s="377"/>
      <c r="O636" s="377"/>
    </row>
    <row r="637">
      <c r="B637" s="377"/>
      <c r="C637" s="377"/>
      <c r="D637" s="377"/>
      <c r="E637" s="377"/>
      <c r="F637" s="377"/>
      <c r="G637" s="377"/>
      <c r="H637" s="377"/>
      <c r="I637" s="377"/>
      <c r="J637" s="377"/>
      <c r="K637" s="377"/>
      <c r="L637" s="377"/>
      <c r="M637" s="377"/>
      <c r="N637" s="377"/>
      <c r="O637" s="377"/>
    </row>
    <row r="638">
      <c r="B638" s="377"/>
      <c r="C638" s="377"/>
      <c r="D638" s="377"/>
      <c r="E638" s="377"/>
      <c r="F638" s="377"/>
      <c r="G638" s="377"/>
      <c r="H638" s="377"/>
      <c r="I638" s="377"/>
      <c r="J638" s="377"/>
      <c r="K638" s="377"/>
      <c r="L638" s="377"/>
      <c r="M638" s="377"/>
      <c r="N638" s="377"/>
      <c r="O638" s="377"/>
    </row>
    <row r="639">
      <c r="B639" s="377"/>
      <c r="C639" s="377"/>
      <c r="D639" s="377"/>
      <c r="E639" s="377"/>
      <c r="F639" s="377"/>
      <c r="G639" s="377"/>
      <c r="H639" s="377"/>
      <c r="I639" s="377"/>
      <c r="J639" s="377"/>
      <c r="K639" s="377"/>
      <c r="L639" s="377"/>
      <c r="M639" s="377"/>
      <c r="N639" s="377"/>
      <c r="O639" s="377"/>
    </row>
    <row r="640">
      <c r="B640" s="377"/>
      <c r="C640" s="377"/>
      <c r="D640" s="377"/>
      <c r="E640" s="377"/>
      <c r="F640" s="377"/>
      <c r="G640" s="377"/>
      <c r="H640" s="377"/>
      <c r="I640" s="377"/>
      <c r="J640" s="377"/>
      <c r="K640" s="377"/>
      <c r="L640" s="377"/>
      <c r="M640" s="377"/>
      <c r="N640" s="377"/>
      <c r="O640" s="377"/>
    </row>
    <row r="641">
      <c r="B641" s="377"/>
      <c r="C641" s="377"/>
      <c r="D641" s="377"/>
      <c r="E641" s="377"/>
      <c r="F641" s="377"/>
      <c r="G641" s="377"/>
      <c r="H641" s="377"/>
      <c r="I641" s="377"/>
      <c r="J641" s="377"/>
      <c r="K641" s="377"/>
      <c r="L641" s="377"/>
      <c r="M641" s="377"/>
      <c r="N641" s="377"/>
      <c r="O641" s="377"/>
    </row>
    <row r="642">
      <c r="B642" s="377"/>
      <c r="C642" s="377"/>
      <c r="D642" s="377"/>
      <c r="E642" s="377"/>
      <c r="F642" s="377"/>
      <c r="G642" s="377"/>
      <c r="H642" s="377"/>
      <c r="I642" s="377"/>
      <c r="J642" s="377"/>
      <c r="K642" s="377"/>
      <c r="L642" s="377"/>
      <c r="M642" s="377"/>
      <c r="N642" s="377"/>
      <c r="O642" s="377"/>
    </row>
    <row r="643">
      <c r="B643" s="377"/>
      <c r="C643" s="377"/>
      <c r="D643" s="377"/>
      <c r="E643" s="377"/>
      <c r="F643" s="377"/>
      <c r="G643" s="377"/>
      <c r="H643" s="377"/>
      <c r="I643" s="377"/>
      <c r="J643" s="377"/>
      <c r="K643" s="377"/>
      <c r="L643" s="377"/>
      <c r="M643" s="377"/>
      <c r="N643" s="377"/>
      <c r="O643" s="377"/>
    </row>
    <row r="644">
      <c r="B644" s="377"/>
      <c r="C644" s="377"/>
      <c r="D644" s="377"/>
      <c r="E644" s="377"/>
      <c r="F644" s="377"/>
      <c r="G644" s="377"/>
      <c r="H644" s="377"/>
      <c r="I644" s="377"/>
      <c r="J644" s="377"/>
      <c r="K644" s="377"/>
      <c r="L644" s="377"/>
      <c r="M644" s="377"/>
      <c r="N644" s="377"/>
      <c r="O644" s="377"/>
    </row>
    <row r="645">
      <c r="B645" s="377"/>
      <c r="C645" s="377"/>
      <c r="D645" s="377"/>
      <c r="E645" s="377"/>
      <c r="F645" s="377"/>
      <c r="G645" s="377"/>
      <c r="H645" s="377"/>
      <c r="I645" s="377"/>
      <c r="J645" s="377"/>
      <c r="K645" s="377"/>
      <c r="L645" s="377"/>
      <c r="M645" s="377"/>
      <c r="N645" s="377"/>
      <c r="O645" s="377"/>
    </row>
    <row r="646">
      <c r="B646" s="377"/>
      <c r="C646" s="377"/>
      <c r="D646" s="377"/>
      <c r="E646" s="377"/>
      <c r="F646" s="377"/>
      <c r="G646" s="377"/>
      <c r="H646" s="377"/>
      <c r="I646" s="377"/>
      <c r="J646" s="377"/>
      <c r="K646" s="377"/>
      <c r="L646" s="377"/>
      <c r="M646" s="377"/>
      <c r="N646" s="377"/>
      <c r="O646" s="377"/>
    </row>
    <row r="647">
      <c r="B647" s="377"/>
      <c r="C647" s="377"/>
      <c r="D647" s="377"/>
      <c r="E647" s="377"/>
      <c r="F647" s="377"/>
      <c r="G647" s="377"/>
      <c r="H647" s="377"/>
      <c r="I647" s="377"/>
      <c r="J647" s="377"/>
      <c r="K647" s="377"/>
      <c r="L647" s="377"/>
      <c r="M647" s="377"/>
      <c r="N647" s="377"/>
      <c r="O647" s="377"/>
    </row>
    <row r="648">
      <c r="B648" s="377"/>
      <c r="C648" s="377"/>
      <c r="D648" s="377"/>
      <c r="E648" s="377"/>
      <c r="F648" s="377"/>
      <c r="G648" s="377"/>
      <c r="H648" s="377"/>
      <c r="I648" s="377"/>
      <c r="J648" s="377"/>
      <c r="K648" s="377"/>
      <c r="L648" s="377"/>
      <c r="M648" s="377"/>
      <c r="N648" s="377"/>
      <c r="O648" s="377"/>
    </row>
    <row r="649">
      <c r="B649" s="377"/>
      <c r="C649" s="377"/>
      <c r="D649" s="377"/>
      <c r="E649" s="377"/>
      <c r="F649" s="377"/>
      <c r="G649" s="377"/>
      <c r="H649" s="377"/>
      <c r="I649" s="377"/>
      <c r="J649" s="377"/>
      <c r="K649" s="377"/>
      <c r="L649" s="377"/>
      <c r="M649" s="377"/>
      <c r="N649" s="377"/>
      <c r="O649" s="377"/>
    </row>
    <row r="650">
      <c r="B650" s="377"/>
      <c r="C650" s="377"/>
      <c r="D650" s="377"/>
      <c r="E650" s="377"/>
      <c r="F650" s="377"/>
      <c r="G650" s="377"/>
      <c r="H650" s="377"/>
      <c r="I650" s="377"/>
      <c r="J650" s="377"/>
      <c r="K650" s="377"/>
      <c r="L650" s="377"/>
      <c r="M650" s="377"/>
      <c r="N650" s="377"/>
      <c r="O650" s="377"/>
    </row>
    <row r="651">
      <c r="B651" s="377"/>
      <c r="C651" s="377"/>
      <c r="D651" s="377"/>
      <c r="E651" s="377"/>
      <c r="F651" s="377"/>
      <c r="G651" s="377"/>
      <c r="H651" s="377"/>
      <c r="I651" s="377"/>
      <c r="J651" s="377"/>
      <c r="K651" s="377"/>
      <c r="L651" s="377"/>
      <c r="M651" s="377"/>
      <c r="N651" s="377"/>
      <c r="O651" s="377"/>
    </row>
    <row r="652">
      <c r="B652" s="377"/>
      <c r="C652" s="377"/>
      <c r="D652" s="377"/>
      <c r="E652" s="377"/>
      <c r="F652" s="377"/>
      <c r="G652" s="377"/>
      <c r="H652" s="377"/>
      <c r="I652" s="377"/>
      <c r="J652" s="377"/>
      <c r="K652" s="377"/>
      <c r="L652" s="377"/>
      <c r="M652" s="377"/>
      <c r="N652" s="377"/>
      <c r="O652" s="377"/>
    </row>
    <row r="653">
      <c r="B653" s="377"/>
      <c r="C653" s="377"/>
      <c r="D653" s="377"/>
      <c r="E653" s="377"/>
      <c r="F653" s="377"/>
      <c r="G653" s="377"/>
      <c r="H653" s="377"/>
      <c r="I653" s="377"/>
      <c r="J653" s="377"/>
      <c r="K653" s="377"/>
      <c r="L653" s="377"/>
      <c r="M653" s="377"/>
      <c r="N653" s="377"/>
      <c r="O653" s="377"/>
    </row>
    <row r="654">
      <c r="B654" s="377"/>
      <c r="C654" s="377"/>
      <c r="D654" s="377"/>
      <c r="E654" s="377"/>
      <c r="F654" s="377"/>
      <c r="G654" s="377"/>
      <c r="H654" s="377"/>
      <c r="I654" s="377"/>
      <c r="J654" s="377"/>
      <c r="K654" s="377"/>
      <c r="L654" s="377"/>
      <c r="M654" s="377"/>
      <c r="N654" s="377"/>
      <c r="O654" s="377"/>
    </row>
    <row r="655">
      <c r="B655" s="377"/>
      <c r="C655" s="377"/>
      <c r="D655" s="377"/>
      <c r="E655" s="377"/>
      <c r="F655" s="377"/>
      <c r="G655" s="377"/>
      <c r="H655" s="377"/>
      <c r="I655" s="377"/>
      <c r="J655" s="377"/>
      <c r="K655" s="377"/>
      <c r="L655" s="377"/>
      <c r="M655" s="377"/>
      <c r="N655" s="377"/>
      <c r="O655" s="377"/>
    </row>
    <row r="656">
      <c r="B656" s="377"/>
      <c r="C656" s="377"/>
      <c r="D656" s="377"/>
      <c r="E656" s="377"/>
      <c r="F656" s="377"/>
      <c r="G656" s="377"/>
      <c r="H656" s="377"/>
      <c r="I656" s="377"/>
      <c r="J656" s="377"/>
      <c r="K656" s="377"/>
      <c r="L656" s="377"/>
      <c r="M656" s="377"/>
      <c r="N656" s="377"/>
      <c r="O656" s="377"/>
    </row>
    <row r="657">
      <c r="B657" s="377"/>
      <c r="C657" s="377"/>
      <c r="D657" s="377"/>
      <c r="E657" s="377"/>
      <c r="F657" s="377"/>
      <c r="G657" s="377"/>
      <c r="H657" s="377"/>
      <c r="I657" s="377"/>
      <c r="J657" s="377"/>
      <c r="K657" s="377"/>
      <c r="L657" s="377"/>
      <c r="M657" s="377"/>
      <c r="N657" s="377"/>
      <c r="O657" s="377"/>
    </row>
    <row r="658">
      <c r="B658" s="377"/>
      <c r="C658" s="377"/>
      <c r="D658" s="377"/>
      <c r="E658" s="377"/>
      <c r="F658" s="377"/>
      <c r="G658" s="377"/>
      <c r="H658" s="377"/>
      <c r="I658" s="377"/>
      <c r="J658" s="377"/>
      <c r="K658" s="377"/>
      <c r="L658" s="377"/>
      <c r="M658" s="377"/>
      <c r="N658" s="377"/>
      <c r="O658" s="377"/>
    </row>
    <row r="659">
      <c r="B659" s="377"/>
      <c r="C659" s="377"/>
      <c r="D659" s="377"/>
      <c r="E659" s="377"/>
      <c r="F659" s="377"/>
      <c r="G659" s="377"/>
      <c r="H659" s="377"/>
      <c r="I659" s="377"/>
      <c r="J659" s="377"/>
      <c r="K659" s="377"/>
      <c r="L659" s="377"/>
      <c r="M659" s="377"/>
      <c r="N659" s="377"/>
      <c r="O659" s="377"/>
    </row>
    <row r="660">
      <c r="B660" s="377"/>
      <c r="C660" s="377"/>
      <c r="D660" s="377"/>
      <c r="E660" s="377"/>
      <c r="F660" s="377"/>
      <c r="G660" s="377"/>
      <c r="H660" s="377"/>
      <c r="I660" s="377"/>
      <c r="J660" s="377"/>
      <c r="K660" s="377"/>
      <c r="L660" s="377"/>
      <c r="M660" s="377"/>
      <c r="N660" s="377"/>
      <c r="O660" s="377"/>
    </row>
    <row r="661">
      <c r="B661" s="377"/>
      <c r="C661" s="377"/>
      <c r="D661" s="377"/>
      <c r="E661" s="377"/>
      <c r="F661" s="377"/>
      <c r="G661" s="377"/>
      <c r="H661" s="377"/>
      <c r="I661" s="377"/>
      <c r="J661" s="377"/>
      <c r="K661" s="377"/>
      <c r="L661" s="377"/>
      <c r="M661" s="377"/>
      <c r="N661" s="377"/>
      <c r="O661" s="377"/>
    </row>
    <row r="662">
      <c r="B662" s="377"/>
      <c r="C662" s="377"/>
      <c r="D662" s="377"/>
      <c r="E662" s="377"/>
      <c r="F662" s="377"/>
      <c r="G662" s="377"/>
      <c r="H662" s="377"/>
      <c r="I662" s="377"/>
      <c r="J662" s="377"/>
      <c r="K662" s="377"/>
      <c r="L662" s="377"/>
      <c r="M662" s="377"/>
      <c r="N662" s="377"/>
      <c r="O662" s="377"/>
    </row>
    <row r="663">
      <c r="B663" s="377"/>
      <c r="C663" s="377"/>
      <c r="D663" s="377"/>
      <c r="E663" s="377"/>
      <c r="F663" s="377"/>
      <c r="G663" s="377"/>
      <c r="H663" s="377"/>
      <c r="I663" s="377"/>
      <c r="J663" s="377"/>
      <c r="K663" s="377"/>
      <c r="L663" s="377"/>
      <c r="M663" s="377"/>
      <c r="N663" s="377"/>
      <c r="O663" s="377"/>
    </row>
    <row r="664">
      <c r="B664" s="377"/>
      <c r="C664" s="377"/>
      <c r="D664" s="377"/>
      <c r="E664" s="377"/>
      <c r="F664" s="377"/>
      <c r="G664" s="377"/>
      <c r="H664" s="377"/>
      <c r="I664" s="377"/>
      <c r="J664" s="377"/>
      <c r="K664" s="377"/>
      <c r="L664" s="377"/>
      <c r="M664" s="377"/>
      <c r="N664" s="377"/>
      <c r="O664" s="377"/>
    </row>
    <row r="665">
      <c r="B665" s="377"/>
      <c r="C665" s="377"/>
      <c r="D665" s="377"/>
      <c r="E665" s="377"/>
      <c r="F665" s="377"/>
      <c r="G665" s="377"/>
      <c r="H665" s="377"/>
      <c r="I665" s="377"/>
      <c r="J665" s="377"/>
      <c r="K665" s="377"/>
      <c r="L665" s="377"/>
      <c r="M665" s="377"/>
      <c r="N665" s="377"/>
      <c r="O665" s="377"/>
    </row>
    <row r="666">
      <c r="B666" s="377"/>
      <c r="C666" s="377"/>
      <c r="D666" s="377"/>
      <c r="E666" s="377"/>
      <c r="F666" s="377"/>
      <c r="G666" s="377"/>
      <c r="H666" s="377"/>
      <c r="I666" s="377"/>
      <c r="J666" s="377"/>
      <c r="K666" s="377"/>
      <c r="L666" s="377"/>
      <c r="M666" s="377"/>
      <c r="N666" s="377"/>
      <c r="O666" s="377"/>
    </row>
    <row r="667">
      <c r="B667" s="377"/>
      <c r="C667" s="377"/>
      <c r="D667" s="377"/>
      <c r="E667" s="377"/>
      <c r="F667" s="377"/>
      <c r="G667" s="377"/>
      <c r="H667" s="377"/>
      <c r="I667" s="377"/>
      <c r="J667" s="377"/>
      <c r="K667" s="377"/>
      <c r="L667" s="377"/>
      <c r="M667" s="377"/>
      <c r="N667" s="377"/>
      <c r="O667" s="377"/>
    </row>
    <row r="668">
      <c r="B668" s="377"/>
      <c r="C668" s="377"/>
      <c r="D668" s="377"/>
      <c r="E668" s="377"/>
      <c r="F668" s="377"/>
      <c r="G668" s="377"/>
      <c r="H668" s="377"/>
      <c r="I668" s="377"/>
      <c r="J668" s="377"/>
      <c r="K668" s="377"/>
      <c r="L668" s="377"/>
      <c r="M668" s="377"/>
      <c r="N668" s="377"/>
      <c r="O668" s="377"/>
    </row>
    <row r="669">
      <c r="B669" s="377"/>
      <c r="C669" s="377"/>
      <c r="D669" s="377"/>
      <c r="E669" s="377"/>
      <c r="F669" s="377"/>
      <c r="G669" s="377"/>
      <c r="H669" s="377"/>
      <c r="I669" s="377"/>
      <c r="J669" s="377"/>
      <c r="K669" s="377"/>
      <c r="L669" s="377"/>
      <c r="M669" s="377"/>
      <c r="N669" s="377"/>
      <c r="O669" s="377"/>
    </row>
    <row r="670">
      <c r="B670" s="377"/>
      <c r="C670" s="377"/>
      <c r="D670" s="377"/>
      <c r="E670" s="377"/>
      <c r="F670" s="377"/>
      <c r="G670" s="377"/>
      <c r="H670" s="377"/>
      <c r="I670" s="377"/>
      <c r="J670" s="377"/>
      <c r="K670" s="377"/>
      <c r="L670" s="377"/>
      <c r="M670" s="377"/>
      <c r="N670" s="377"/>
      <c r="O670" s="377"/>
    </row>
    <row r="671">
      <c r="B671" s="377"/>
      <c r="C671" s="377"/>
      <c r="D671" s="377"/>
      <c r="E671" s="377"/>
      <c r="F671" s="377"/>
      <c r="G671" s="377"/>
      <c r="H671" s="377"/>
      <c r="I671" s="377"/>
      <c r="J671" s="377"/>
      <c r="K671" s="377"/>
      <c r="L671" s="377"/>
      <c r="M671" s="377"/>
      <c r="N671" s="377"/>
      <c r="O671" s="377"/>
    </row>
    <row r="672">
      <c r="B672" s="377"/>
      <c r="C672" s="377"/>
      <c r="D672" s="377"/>
      <c r="E672" s="377"/>
      <c r="F672" s="377"/>
      <c r="G672" s="377"/>
      <c r="H672" s="377"/>
      <c r="I672" s="377"/>
      <c r="J672" s="377"/>
      <c r="K672" s="377"/>
      <c r="L672" s="377"/>
      <c r="M672" s="377"/>
      <c r="N672" s="377"/>
      <c r="O672" s="377"/>
    </row>
    <row r="673">
      <c r="B673" s="377"/>
      <c r="C673" s="377"/>
      <c r="D673" s="377"/>
      <c r="E673" s="377"/>
      <c r="F673" s="377"/>
      <c r="G673" s="377"/>
      <c r="H673" s="377"/>
      <c r="I673" s="377"/>
      <c r="J673" s="377"/>
      <c r="K673" s="377"/>
      <c r="L673" s="377"/>
      <c r="M673" s="377"/>
      <c r="N673" s="377"/>
      <c r="O673" s="377"/>
    </row>
    <row r="674">
      <c r="B674" s="377"/>
      <c r="C674" s="377"/>
      <c r="D674" s="377"/>
      <c r="E674" s="377"/>
      <c r="F674" s="377"/>
      <c r="G674" s="377"/>
      <c r="H674" s="377"/>
      <c r="I674" s="377"/>
      <c r="J674" s="377"/>
      <c r="K674" s="377"/>
      <c r="L674" s="377"/>
      <c r="M674" s="377"/>
      <c r="N674" s="377"/>
      <c r="O674" s="377"/>
    </row>
    <row r="675">
      <c r="B675" s="377"/>
      <c r="C675" s="377"/>
      <c r="D675" s="377"/>
      <c r="E675" s="377"/>
      <c r="F675" s="377"/>
      <c r="G675" s="377"/>
      <c r="H675" s="377"/>
      <c r="I675" s="377"/>
      <c r="J675" s="377"/>
      <c r="K675" s="377"/>
      <c r="L675" s="377"/>
      <c r="M675" s="377"/>
      <c r="N675" s="377"/>
      <c r="O675" s="377"/>
    </row>
    <row r="676">
      <c r="B676" s="377"/>
      <c r="C676" s="377"/>
      <c r="D676" s="377"/>
      <c r="E676" s="377"/>
      <c r="F676" s="377"/>
      <c r="G676" s="377"/>
      <c r="H676" s="377"/>
      <c r="I676" s="377"/>
      <c r="J676" s="377"/>
      <c r="K676" s="377"/>
      <c r="L676" s="377"/>
      <c r="M676" s="377"/>
      <c r="N676" s="377"/>
      <c r="O676" s="377"/>
    </row>
    <row r="677">
      <c r="B677" s="377"/>
      <c r="C677" s="377"/>
      <c r="D677" s="377"/>
      <c r="E677" s="377"/>
      <c r="F677" s="377"/>
      <c r="G677" s="377"/>
      <c r="H677" s="377"/>
      <c r="I677" s="377"/>
      <c r="J677" s="377"/>
      <c r="K677" s="377"/>
      <c r="L677" s="377"/>
      <c r="M677" s="377"/>
      <c r="N677" s="377"/>
      <c r="O677" s="377"/>
    </row>
    <row r="678">
      <c r="B678" s="377"/>
      <c r="C678" s="377"/>
      <c r="D678" s="377"/>
      <c r="E678" s="377"/>
      <c r="F678" s="377"/>
      <c r="G678" s="377"/>
      <c r="H678" s="377"/>
      <c r="I678" s="377"/>
      <c r="J678" s="377"/>
      <c r="K678" s="377"/>
      <c r="L678" s="377"/>
      <c r="M678" s="377"/>
      <c r="N678" s="377"/>
      <c r="O678" s="377"/>
    </row>
    <row r="679">
      <c r="B679" s="377"/>
      <c r="C679" s="377"/>
      <c r="D679" s="377"/>
      <c r="E679" s="377"/>
      <c r="F679" s="377"/>
      <c r="G679" s="377"/>
      <c r="H679" s="377"/>
      <c r="I679" s="377"/>
      <c r="J679" s="377"/>
      <c r="K679" s="377"/>
      <c r="L679" s="377"/>
      <c r="M679" s="377"/>
      <c r="N679" s="377"/>
      <c r="O679" s="377"/>
    </row>
    <row r="680">
      <c r="B680" s="377"/>
      <c r="C680" s="377"/>
      <c r="D680" s="377"/>
      <c r="E680" s="377"/>
      <c r="F680" s="377"/>
      <c r="G680" s="377"/>
      <c r="H680" s="377"/>
      <c r="I680" s="377"/>
      <c r="J680" s="377"/>
      <c r="K680" s="377"/>
      <c r="L680" s="377"/>
      <c r="M680" s="377"/>
      <c r="N680" s="377"/>
      <c r="O680" s="377"/>
    </row>
    <row r="681">
      <c r="B681" s="377"/>
      <c r="C681" s="377"/>
      <c r="D681" s="377"/>
      <c r="E681" s="377"/>
      <c r="F681" s="377"/>
      <c r="G681" s="377"/>
      <c r="H681" s="377"/>
      <c r="I681" s="377"/>
      <c r="J681" s="377"/>
      <c r="K681" s="377"/>
      <c r="L681" s="377"/>
      <c r="M681" s="377"/>
      <c r="N681" s="377"/>
      <c r="O681" s="377"/>
    </row>
    <row r="682">
      <c r="B682" s="377"/>
      <c r="C682" s="377"/>
      <c r="D682" s="377"/>
      <c r="E682" s="377"/>
      <c r="F682" s="377"/>
      <c r="G682" s="377"/>
      <c r="H682" s="377"/>
      <c r="I682" s="377"/>
      <c r="J682" s="377"/>
      <c r="K682" s="377"/>
      <c r="L682" s="377"/>
      <c r="M682" s="377"/>
      <c r="N682" s="377"/>
      <c r="O682" s="377"/>
    </row>
    <row r="683">
      <c r="B683" s="377"/>
      <c r="C683" s="377"/>
      <c r="D683" s="377"/>
      <c r="E683" s="377"/>
      <c r="F683" s="377"/>
      <c r="G683" s="377"/>
      <c r="H683" s="377"/>
      <c r="I683" s="377"/>
      <c r="J683" s="377"/>
      <c r="K683" s="377"/>
      <c r="L683" s="377"/>
      <c r="M683" s="377"/>
      <c r="N683" s="377"/>
      <c r="O683" s="377"/>
    </row>
    <row r="684">
      <c r="B684" s="377"/>
      <c r="C684" s="377"/>
      <c r="D684" s="377"/>
      <c r="E684" s="377"/>
      <c r="F684" s="377"/>
      <c r="G684" s="377"/>
      <c r="H684" s="377"/>
      <c r="I684" s="377"/>
      <c r="J684" s="377"/>
      <c r="K684" s="377"/>
      <c r="L684" s="377"/>
      <c r="M684" s="377"/>
      <c r="N684" s="377"/>
      <c r="O684" s="377"/>
    </row>
    <row r="685">
      <c r="B685" s="377"/>
      <c r="C685" s="377"/>
      <c r="D685" s="377"/>
      <c r="E685" s="377"/>
      <c r="F685" s="377"/>
      <c r="G685" s="377"/>
      <c r="H685" s="377"/>
      <c r="I685" s="377"/>
      <c r="J685" s="377"/>
      <c r="K685" s="377"/>
      <c r="L685" s="377"/>
      <c r="M685" s="377"/>
      <c r="N685" s="377"/>
      <c r="O685" s="377"/>
    </row>
    <row r="686">
      <c r="B686" s="377"/>
      <c r="C686" s="377"/>
      <c r="D686" s="377"/>
      <c r="E686" s="377"/>
      <c r="F686" s="377"/>
      <c r="G686" s="377"/>
      <c r="H686" s="377"/>
      <c r="I686" s="377"/>
      <c r="J686" s="377"/>
      <c r="K686" s="377"/>
      <c r="L686" s="377"/>
      <c r="M686" s="377"/>
      <c r="N686" s="377"/>
      <c r="O686" s="377"/>
    </row>
    <row r="687">
      <c r="B687" s="377"/>
      <c r="C687" s="377"/>
      <c r="D687" s="377"/>
      <c r="E687" s="377"/>
      <c r="F687" s="377"/>
      <c r="G687" s="377"/>
      <c r="H687" s="377"/>
      <c r="I687" s="377"/>
      <c r="J687" s="377"/>
      <c r="K687" s="377"/>
      <c r="L687" s="377"/>
      <c r="M687" s="377"/>
      <c r="N687" s="377"/>
      <c r="O687" s="377"/>
    </row>
    <row r="688">
      <c r="B688" s="377"/>
      <c r="C688" s="377"/>
      <c r="D688" s="377"/>
      <c r="E688" s="377"/>
      <c r="F688" s="377"/>
      <c r="G688" s="377"/>
      <c r="H688" s="377"/>
      <c r="I688" s="377"/>
      <c r="J688" s="377"/>
      <c r="K688" s="377"/>
      <c r="L688" s="377"/>
      <c r="M688" s="377"/>
      <c r="N688" s="377"/>
      <c r="O688" s="377"/>
    </row>
    <row r="689">
      <c r="B689" s="377"/>
      <c r="C689" s="377"/>
      <c r="D689" s="377"/>
      <c r="E689" s="377"/>
      <c r="F689" s="377"/>
      <c r="G689" s="377"/>
      <c r="H689" s="377"/>
      <c r="I689" s="377"/>
      <c r="J689" s="377"/>
      <c r="K689" s="377"/>
      <c r="L689" s="377"/>
      <c r="M689" s="377"/>
      <c r="N689" s="377"/>
      <c r="O689" s="377"/>
    </row>
    <row r="690">
      <c r="B690" s="377"/>
      <c r="C690" s="377"/>
      <c r="D690" s="377"/>
      <c r="E690" s="377"/>
      <c r="F690" s="377"/>
      <c r="G690" s="377"/>
      <c r="H690" s="377"/>
      <c r="I690" s="377"/>
      <c r="J690" s="377"/>
      <c r="K690" s="377"/>
      <c r="L690" s="377"/>
      <c r="M690" s="377"/>
      <c r="N690" s="377"/>
      <c r="O690" s="377"/>
    </row>
    <row r="691">
      <c r="B691" s="377"/>
      <c r="C691" s="377"/>
      <c r="D691" s="377"/>
      <c r="E691" s="377"/>
      <c r="F691" s="377"/>
      <c r="G691" s="377"/>
      <c r="H691" s="377"/>
      <c r="I691" s="377"/>
      <c r="J691" s="377"/>
      <c r="K691" s="377"/>
      <c r="L691" s="377"/>
      <c r="M691" s="377"/>
      <c r="N691" s="377"/>
      <c r="O691" s="377"/>
    </row>
    <row r="692">
      <c r="B692" s="377"/>
      <c r="C692" s="377"/>
      <c r="D692" s="377"/>
      <c r="E692" s="377"/>
      <c r="F692" s="377"/>
      <c r="G692" s="377"/>
      <c r="H692" s="377"/>
      <c r="I692" s="377"/>
      <c r="J692" s="377"/>
      <c r="K692" s="377"/>
      <c r="L692" s="377"/>
      <c r="M692" s="377"/>
      <c r="N692" s="377"/>
      <c r="O692" s="377"/>
    </row>
    <row r="693">
      <c r="B693" s="377"/>
      <c r="C693" s="377"/>
      <c r="D693" s="377"/>
      <c r="E693" s="377"/>
      <c r="F693" s="377"/>
      <c r="G693" s="377"/>
      <c r="H693" s="377"/>
      <c r="I693" s="377"/>
      <c r="J693" s="377"/>
      <c r="K693" s="377"/>
      <c r="L693" s="377"/>
      <c r="M693" s="377"/>
      <c r="N693" s="377"/>
      <c r="O693" s="377"/>
    </row>
    <row r="694">
      <c r="B694" s="377"/>
      <c r="C694" s="377"/>
      <c r="D694" s="377"/>
      <c r="E694" s="377"/>
      <c r="F694" s="377"/>
      <c r="G694" s="377"/>
      <c r="H694" s="377"/>
      <c r="I694" s="377"/>
      <c r="J694" s="377"/>
      <c r="K694" s="377"/>
      <c r="L694" s="377"/>
      <c r="M694" s="377"/>
      <c r="N694" s="377"/>
      <c r="O694" s="377"/>
    </row>
    <row r="695">
      <c r="B695" s="377"/>
      <c r="C695" s="377"/>
      <c r="D695" s="377"/>
      <c r="E695" s="377"/>
      <c r="F695" s="377"/>
      <c r="G695" s="377"/>
      <c r="H695" s="377"/>
      <c r="I695" s="377"/>
      <c r="J695" s="377"/>
      <c r="K695" s="377"/>
      <c r="L695" s="377"/>
      <c r="M695" s="377"/>
      <c r="N695" s="377"/>
      <c r="O695" s="377"/>
    </row>
    <row r="696">
      <c r="B696" s="377"/>
      <c r="C696" s="377"/>
      <c r="D696" s="377"/>
      <c r="E696" s="377"/>
      <c r="F696" s="377"/>
      <c r="G696" s="377"/>
      <c r="H696" s="377"/>
      <c r="I696" s="377"/>
      <c r="J696" s="377"/>
      <c r="K696" s="377"/>
      <c r="L696" s="377"/>
      <c r="M696" s="377"/>
      <c r="N696" s="377"/>
      <c r="O696" s="377"/>
    </row>
    <row r="697">
      <c r="B697" s="377"/>
      <c r="C697" s="377"/>
      <c r="D697" s="377"/>
      <c r="E697" s="377"/>
      <c r="F697" s="377"/>
      <c r="G697" s="377"/>
      <c r="H697" s="377"/>
      <c r="I697" s="377"/>
      <c r="J697" s="377"/>
      <c r="K697" s="377"/>
      <c r="L697" s="377"/>
      <c r="M697" s="377"/>
      <c r="N697" s="377"/>
      <c r="O697" s="377"/>
    </row>
    <row r="698">
      <c r="B698" s="377"/>
      <c r="C698" s="377"/>
      <c r="D698" s="377"/>
      <c r="E698" s="377"/>
      <c r="F698" s="377"/>
      <c r="G698" s="377"/>
      <c r="H698" s="377"/>
      <c r="I698" s="377"/>
      <c r="J698" s="377"/>
      <c r="K698" s="377"/>
      <c r="L698" s="377"/>
      <c r="M698" s="377"/>
      <c r="N698" s="377"/>
      <c r="O698" s="377"/>
    </row>
    <row r="699">
      <c r="B699" s="377"/>
      <c r="C699" s="377"/>
      <c r="D699" s="377"/>
      <c r="E699" s="377"/>
      <c r="F699" s="377"/>
      <c r="G699" s="377"/>
      <c r="H699" s="377"/>
      <c r="I699" s="377"/>
      <c r="J699" s="377"/>
      <c r="K699" s="377"/>
      <c r="L699" s="377"/>
      <c r="M699" s="377"/>
      <c r="N699" s="377"/>
      <c r="O699" s="377"/>
    </row>
    <row r="700">
      <c r="B700" s="377"/>
      <c r="C700" s="377"/>
      <c r="D700" s="377"/>
      <c r="E700" s="377"/>
      <c r="F700" s="377"/>
      <c r="G700" s="377"/>
      <c r="H700" s="377"/>
      <c r="I700" s="377"/>
      <c r="J700" s="377"/>
      <c r="K700" s="377"/>
      <c r="L700" s="377"/>
      <c r="M700" s="377"/>
      <c r="N700" s="377"/>
      <c r="O700" s="377"/>
    </row>
    <row r="701">
      <c r="B701" s="377"/>
      <c r="C701" s="377"/>
      <c r="D701" s="377"/>
      <c r="E701" s="377"/>
      <c r="F701" s="377"/>
      <c r="G701" s="377"/>
      <c r="H701" s="377"/>
      <c r="I701" s="377"/>
      <c r="J701" s="377"/>
      <c r="K701" s="377"/>
      <c r="L701" s="377"/>
      <c r="M701" s="377"/>
      <c r="N701" s="377"/>
      <c r="O701" s="377"/>
    </row>
    <row r="702">
      <c r="B702" s="377"/>
      <c r="C702" s="377"/>
      <c r="D702" s="377"/>
      <c r="E702" s="377"/>
      <c r="F702" s="377"/>
      <c r="G702" s="377"/>
      <c r="H702" s="377"/>
      <c r="I702" s="377"/>
      <c r="J702" s="377"/>
      <c r="K702" s="377"/>
      <c r="L702" s="377"/>
      <c r="M702" s="377"/>
      <c r="N702" s="377"/>
      <c r="O702" s="377"/>
    </row>
    <row r="703">
      <c r="B703" s="377"/>
      <c r="C703" s="377"/>
      <c r="D703" s="377"/>
      <c r="E703" s="377"/>
      <c r="F703" s="377"/>
      <c r="G703" s="377"/>
      <c r="H703" s="377"/>
      <c r="I703" s="377"/>
      <c r="J703" s="377"/>
      <c r="K703" s="377"/>
      <c r="L703" s="377"/>
      <c r="M703" s="377"/>
      <c r="N703" s="377"/>
      <c r="O703" s="377"/>
    </row>
    <row r="704">
      <c r="B704" s="377"/>
      <c r="C704" s="377"/>
      <c r="D704" s="377"/>
      <c r="E704" s="377"/>
      <c r="F704" s="377"/>
      <c r="G704" s="377"/>
      <c r="H704" s="377"/>
      <c r="I704" s="377"/>
      <c r="J704" s="377"/>
      <c r="K704" s="377"/>
      <c r="L704" s="377"/>
      <c r="M704" s="377"/>
      <c r="N704" s="377"/>
      <c r="O704" s="377"/>
    </row>
    <row r="705">
      <c r="B705" s="377"/>
      <c r="C705" s="377"/>
      <c r="D705" s="377"/>
      <c r="E705" s="377"/>
      <c r="F705" s="377"/>
      <c r="G705" s="377"/>
      <c r="H705" s="377"/>
      <c r="I705" s="377"/>
      <c r="J705" s="377"/>
      <c r="K705" s="377"/>
      <c r="L705" s="377"/>
      <c r="M705" s="377"/>
      <c r="N705" s="377"/>
      <c r="O705" s="377"/>
    </row>
    <row r="706">
      <c r="B706" s="377"/>
      <c r="C706" s="377"/>
      <c r="D706" s="377"/>
      <c r="E706" s="377"/>
      <c r="F706" s="377"/>
      <c r="G706" s="377"/>
      <c r="H706" s="377"/>
      <c r="I706" s="377"/>
      <c r="J706" s="377"/>
      <c r="K706" s="377"/>
      <c r="L706" s="377"/>
      <c r="M706" s="377"/>
      <c r="N706" s="377"/>
      <c r="O706" s="377"/>
    </row>
    <row r="707">
      <c r="B707" s="377"/>
      <c r="C707" s="377"/>
      <c r="D707" s="377"/>
      <c r="E707" s="377"/>
      <c r="F707" s="377"/>
      <c r="G707" s="377"/>
      <c r="H707" s="377"/>
      <c r="I707" s="377"/>
      <c r="J707" s="377"/>
      <c r="K707" s="377"/>
      <c r="L707" s="377"/>
      <c r="M707" s="377"/>
      <c r="N707" s="377"/>
      <c r="O707" s="377"/>
    </row>
    <row r="708">
      <c r="B708" s="377"/>
      <c r="C708" s="377"/>
      <c r="D708" s="377"/>
      <c r="E708" s="377"/>
      <c r="F708" s="377"/>
      <c r="G708" s="377"/>
      <c r="H708" s="377"/>
      <c r="I708" s="377"/>
      <c r="J708" s="377"/>
      <c r="K708" s="377"/>
      <c r="L708" s="377"/>
      <c r="M708" s="377"/>
      <c r="N708" s="377"/>
      <c r="O708" s="377"/>
    </row>
    <row r="709">
      <c r="B709" s="377"/>
      <c r="C709" s="377"/>
      <c r="D709" s="377"/>
      <c r="E709" s="377"/>
      <c r="F709" s="377"/>
      <c r="G709" s="377"/>
      <c r="H709" s="377"/>
      <c r="I709" s="377"/>
      <c r="J709" s="377"/>
      <c r="K709" s="377"/>
      <c r="L709" s="377"/>
      <c r="M709" s="377"/>
      <c r="N709" s="377"/>
      <c r="O709" s="377"/>
    </row>
    <row r="710">
      <c r="B710" s="377"/>
      <c r="C710" s="377"/>
      <c r="D710" s="377"/>
      <c r="E710" s="377"/>
      <c r="F710" s="377"/>
      <c r="G710" s="377"/>
      <c r="H710" s="377"/>
      <c r="I710" s="377"/>
      <c r="J710" s="377"/>
      <c r="K710" s="377"/>
      <c r="L710" s="377"/>
      <c r="M710" s="377"/>
      <c r="N710" s="377"/>
      <c r="O710" s="377"/>
    </row>
    <row r="711">
      <c r="B711" s="377"/>
      <c r="C711" s="377"/>
      <c r="D711" s="377"/>
      <c r="E711" s="377"/>
      <c r="F711" s="377"/>
      <c r="G711" s="377"/>
      <c r="H711" s="377"/>
      <c r="I711" s="377"/>
      <c r="J711" s="377"/>
      <c r="K711" s="377"/>
      <c r="L711" s="377"/>
      <c r="M711" s="377"/>
      <c r="N711" s="377"/>
      <c r="O711" s="377"/>
    </row>
    <row r="712">
      <c r="B712" s="377"/>
      <c r="C712" s="377"/>
      <c r="D712" s="377"/>
      <c r="E712" s="377"/>
      <c r="F712" s="377"/>
      <c r="G712" s="377"/>
      <c r="H712" s="377"/>
      <c r="I712" s="377"/>
      <c r="J712" s="377"/>
      <c r="K712" s="377"/>
      <c r="L712" s="377"/>
      <c r="M712" s="377"/>
      <c r="N712" s="377"/>
      <c r="O712" s="377"/>
    </row>
    <row r="713">
      <c r="B713" s="377"/>
      <c r="C713" s="377"/>
      <c r="D713" s="377"/>
      <c r="E713" s="377"/>
      <c r="F713" s="377"/>
      <c r="G713" s="377"/>
      <c r="H713" s="377"/>
      <c r="I713" s="377"/>
      <c r="J713" s="377"/>
      <c r="K713" s="377"/>
      <c r="L713" s="377"/>
      <c r="M713" s="377"/>
      <c r="N713" s="377"/>
      <c r="O713" s="377"/>
    </row>
    <row r="714">
      <c r="B714" s="377"/>
      <c r="C714" s="377"/>
      <c r="D714" s="377"/>
      <c r="E714" s="377"/>
      <c r="F714" s="377"/>
      <c r="G714" s="377"/>
      <c r="H714" s="377"/>
      <c r="I714" s="377"/>
      <c r="J714" s="377"/>
      <c r="K714" s="377"/>
      <c r="L714" s="377"/>
      <c r="M714" s="377"/>
      <c r="N714" s="377"/>
      <c r="O714" s="377"/>
    </row>
    <row r="715">
      <c r="B715" s="377"/>
      <c r="C715" s="377"/>
      <c r="D715" s="377"/>
      <c r="E715" s="377"/>
      <c r="F715" s="377"/>
      <c r="G715" s="377"/>
      <c r="H715" s="377"/>
      <c r="I715" s="377"/>
      <c r="J715" s="377"/>
      <c r="K715" s="377"/>
      <c r="L715" s="377"/>
      <c r="M715" s="377"/>
      <c r="N715" s="377"/>
      <c r="O715" s="377"/>
    </row>
    <row r="716">
      <c r="B716" s="377"/>
      <c r="C716" s="377"/>
      <c r="D716" s="377"/>
      <c r="E716" s="377"/>
      <c r="F716" s="377"/>
      <c r="G716" s="377"/>
      <c r="H716" s="377"/>
      <c r="I716" s="377"/>
      <c r="J716" s="377"/>
      <c r="K716" s="377"/>
      <c r="L716" s="377"/>
      <c r="M716" s="377"/>
      <c r="N716" s="377"/>
      <c r="O716" s="377"/>
    </row>
    <row r="717">
      <c r="B717" s="377"/>
      <c r="C717" s="377"/>
      <c r="D717" s="377"/>
      <c r="E717" s="377"/>
      <c r="F717" s="377"/>
      <c r="G717" s="377"/>
      <c r="H717" s="377"/>
      <c r="I717" s="377"/>
      <c r="J717" s="377"/>
      <c r="K717" s="377"/>
      <c r="L717" s="377"/>
      <c r="M717" s="377"/>
      <c r="N717" s="377"/>
      <c r="O717" s="377"/>
    </row>
    <row r="718">
      <c r="B718" s="377"/>
      <c r="C718" s="377"/>
      <c r="D718" s="377"/>
      <c r="E718" s="377"/>
      <c r="F718" s="377"/>
      <c r="G718" s="377"/>
      <c r="H718" s="377"/>
      <c r="I718" s="377"/>
      <c r="J718" s="377"/>
      <c r="K718" s="377"/>
      <c r="L718" s="377"/>
      <c r="M718" s="377"/>
      <c r="N718" s="377"/>
      <c r="O718" s="377"/>
    </row>
    <row r="719">
      <c r="B719" s="377"/>
      <c r="C719" s="377"/>
      <c r="D719" s="377"/>
      <c r="E719" s="377"/>
      <c r="F719" s="377"/>
      <c r="G719" s="377"/>
      <c r="H719" s="377"/>
      <c r="I719" s="377"/>
      <c r="J719" s="377"/>
      <c r="K719" s="377"/>
      <c r="L719" s="377"/>
      <c r="M719" s="377"/>
      <c r="N719" s="377"/>
      <c r="O719" s="377"/>
    </row>
    <row r="720">
      <c r="B720" s="377"/>
      <c r="C720" s="377"/>
      <c r="D720" s="377"/>
      <c r="E720" s="377"/>
      <c r="F720" s="377"/>
      <c r="G720" s="377"/>
      <c r="H720" s="377"/>
      <c r="I720" s="377"/>
      <c r="J720" s="377"/>
      <c r="K720" s="377"/>
      <c r="L720" s="377"/>
      <c r="M720" s="377"/>
      <c r="N720" s="377"/>
      <c r="O720" s="377"/>
    </row>
    <row r="721">
      <c r="B721" s="377"/>
      <c r="C721" s="377"/>
      <c r="D721" s="377"/>
      <c r="E721" s="377"/>
      <c r="F721" s="377"/>
      <c r="G721" s="377"/>
      <c r="H721" s="377"/>
      <c r="I721" s="377"/>
      <c r="J721" s="377"/>
      <c r="K721" s="377"/>
      <c r="L721" s="377"/>
      <c r="M721" s="377"/>
      <c r="N721" s="377"/>
      <c r="O721" s="377"/>
    </row>
    <row r="722">
      <c r="B722" s="377"/>
      <c r="C722" s="377"/>
      <c r="D722" s="377"/>
      <c r="E722" s="377"/>
      <c r="F722" s="377"/>
      <c r="G722" s="377"/>
      <c r="H722" s="377"/>
      <c r="I722" s="377"/>
      <c r="J722" s="377"/>
      <c r="K722" s="377"/>
      <c r="L722" s="377"/>
      <c r="M722" s="377"/>
      <c r="N722" s="377"/>
      <c r="O722" s="377"/>
    </row>
    <row r="723">
      <c r="B723" s="377"/>
      <c r="C723" s="377"/>
      <c r="D723" s="377"/>
      <c r="E723" s="377"/>
      <c r="F723" s="377"/>
      <c r="G723" s="377"/>
      <c r="H723" s="377"/>
      <c r="I723" s="377"/>
      <c r="J723" s="377"/>
      <c r="K723" s="377"/>
      <c r="L723" s="377"/>
      <c r="M723" s="377"/>
      <c r="N723" s="377"/>
      <c r="O723" s="377"/>
    </row>
    <row r="724">
      <c r="B724" s="377"/>
      <c r="C724" s="377"/>
      <c r="D724" s="377"/>
      <c r="E724" s="377"/>
      <c r="F724" s="377"/>
      <c r="G724" s="377"/>
      <c r="H724" s="377"/>
      <c r="I724" s="377"/>
      <c r="J724" s="377"/>
      <c r="K724" s="377"/>
      <c r="L724" s="377"/>
      <c r="M724" s="377"/>
      <c r="N724" s="377"/>
      <c r="O724" s="377"/>
    </row>
    <row r="725">
      <c r="B725" s="377"/>
      <c r="C725" s="377"/>
      <c r="D725" s="377"/>
      <c r="E725" s="377"/>
      <c r="F725" s="377"/>
      <c r="G725" s="377"/>
      <c r="H725" s="377"/>
      <c r="I725" s="377"/>
      <c r="J725" s="377"/>
      <c r="K725" s="377"/>
      <c r="L725" s="377"/>
      <c r="M725" s="377"/>
      <c r="N725" s="377"/>
      <c r="O725" s="377"/>
    </row>
    <row r="726">
      <c r="B726" s="377"/>
      <c r="C726" s="377"/>
      <c r="D726" s="377"/>
      <c r="E726" s="377"/>
      <c r="F726" s="377"/>
      <c r="G726" s="377"/>
      <c r="H726" s="377"/>
      <c r="I726" s="377"/>
      <c r="J726" s="377"/>
      <c r="K726" s="377"/>
      <c r="L726" s="377"/>
      <c r="M726" s="377"/>
      <c r="N726" s="377"/>
      <c r="O726" s="377"/>
    </row>
    <row r="727">
      <c r="B727" s="377"/>
      <c r="C727" s="377"/>
      <c r="D727" s="377"/>
      <c r="E727" s="377"/>
      <c r="F727" s="377"/>
      <c r="G727" s="377"/>
      <c r="H727" s="377"/>
      <c r="I727" s="377"/>
      <c r="J727" s="377"/>
      <c r="K727" s="377"/>
      <c r="L727" s="377"/>
      <c r="M727" s="377"/>
      <c r="N727" s="377"/>
      <c r="O727" s="377"/>
    </row>
    <row r="728">
      <c r="B728" s="377"/>
      <c r="C728" s="377"/>
      <c r="D728" s="377"/>
      <c r="E728" s="377"/>
      <c r="F728" s="377"/>
      <c r="G728" s="377"/>
      <c r="H728" s="377"/>
      <c r="I728" s="377"/>
      <c r="J728" s="377"/>
      <c r="K728" s="377"/>
      <c r="L728" s="377"/>
      <c r="M728" s="377"/>
      <c r="N728" s="377"/>
      <c r="O728" s="377"/>
    </row>
    <row r="729">
      <c r="B729" s="377"/>
      <c r="C729" s="377"/>
      <c r="D729" s="377"/>
      <c r="E729" s="377"/>
      <c r="F729" s="377"/>
      <c r="G729" s="377"/>
      <c r="H729" s="377"/>
      <c r="I729" s="377"/>
      <c r="J729" s="377"/>
      <c r="K729" s="377"/>
      <c r="L729" s="377"/>
      <c r="M729" s="377"/>
      <c r="N729" s="377"/>
      <c r="O729" s="377"/>
    </row>
    <row r="730">
      <c r="B730" s="377"/>
      <c r="C730" s="377"/>
      <c r="D730" s="377"/>
      <c r="E730" s="377"/>
      <c r="F730" s="377"/>
      <c r="G730" s="377"/>
      <c r="H730" s="377"/>
      <c r="I730" s="377"/>
      <c r="J730" s="377"/>
      <c r="K730" s="377"/>
      <c r="L730" s="377"/>
      <c r="M730" s="377"/>
      <c r="N730" s="377"/>
      <c r="O730" s="377"/>
    </row>
    <row r="731">
      <c r="B731" s="377"/>
      <c r="C731" s="377"/>
      <c r="D731" s="377"/>
      <c r="E731" s="377"/>
      <c r="F731" s="377"/>
      <c r="G731" s="377"/>
      <c r="H731" s="377"/>
      <c r="I731" s="377"/>
      <c r="J731" s="377"/>
      <c r="K731" s="377"/>
      <c r="L731" s="377"/>
      <c r="M731" s="377"/>
      <c r="N731" s="377"/>
      <c r="O731" s="377"/>
    </row>
    <row r="732">
      <c r="B732" s="377"/>
      <c r="C732" s="377"/>
      <c r="D732" s="377"/>
      <c r="E732" s="377"/>
      <c r="F732" s="377"/>
      <c r="G732" s="377"/>
      <c r="H732" s="377"/>
      <c r="I732" s="377"/>
      <c r="J732" s="377"/>
      <c r="K732" s="377"/>
      <c r="L732" s="377"/>
      <c r="M732" s="377"/>
      <c r="N732" s="377"/>
      <c r="O732" s="377"/>
    </row>
    <row r="733">
      <c r="B733" s="377"/>
      <c r="C733" s="377"/>
      <c r="D733" s="377"/>
      <c r="E733" s="377"/>
      <c r="F733" s="377"/>
      <c r="G733" s="377"/>
      <c r="H733" s="377"/>
      <c r="I733" s="377"/>
      <c r="J733" s="377"/>
      <c r="K733" s="377"/>
      <c r="L733" s="377"/>
      <c r="M733" s="377"/>
      <c r="N733" s="377"/>
      <c r="O733" s="377"/>
    </row>
    <row r="734">
      <c r="B734" s="377"/>
      <c r="C734" s="377"/>
      <c r="D734" s="377"/>
      <c r="E734" s="377"/>
      <c r="F734" s="377"/>
      <c r="G734" s="377"/>
      <c r="H734" s="377"/>
      <c r="I734" s="377"/>
      <c r="J734" s="377"/>
      <c r="K734" s="377"/>
      <c r="L734" s="377"/>
      <c r="M734" s="377"/>
      <c r="N734" s="377"/>
      <c r="O734" s="377"/>
    </row>
    <row r="735">
      <c r="B735" s="377"/>
      <c r="C735" s="377"/>
      <c r="D735" s="377"/>
      <c r="E735" s="377"/>
      <c r="F735" s="377"/>
      <c r="G735" s="377"/>
      <c r="H735" s="377"/>
      <c r="I735" s="377"/>
      <c r="J735" s="377"/>
      <c r="K735" s="377"/>
      <c r="L735" s="377"/>
      <c r="M735" s="377"/>
      <c r="N735" s="377"/>
      <c r="O735" s="377"/>
    </row>
    <row r="736">
      <c r="B736" s="377"/>
      <c r="C736" s="377"/>
      <c r="D736" s="377"/>
      <c r="E736" s="377"/>
      <c r="F736" s="377"/>
      <c r="G736" s="377"/>
      <c r="H736" s="377"/>
      <c r="I736" s="377"/>
      <c r="J736" s="377"/>
      <c r="K736" s="377"/>
      <c r="L736" s="377"/>
      <c r="M736" s="377"/>
      <c r="N736" s="377"/>
      <c r="O736" s="377"/>
    </row>
    <row r="737">
      <c r="B737" s="377"/>
      <c r="C737" s="377"/>
      <c r="D737" s="377"/>
      <c r="E737" s="377"/>
      <c r="F737" s="377"/>
      <c r="G737" s="377"/>
      <c r="H737" s="377"/>
      <c r="I737" s="377"/>
      <c r="J737" s="377"/>
      <c r="K737" s="377"/>
      <c r="L737" s="377"/>
      <c r="M737" s="377"/>
      <c r="N737" s="377"/>
      <c r="O737" s="377"/>
    </row>
    <row r="738">
      <c r="B738" s="377"/>
      <c r="C738" s="377"/>
      <c r="D738" s="377"/>
      <c r="E738" s="377"/>
      <c r="F738" s="377"/>
      <c r="G738" s="377"/>
      <c r="H738" s="377"/>
      <c r="I738" s="377"/>
      <c r="J738" s="377"/>
      <c r="K738" s="377"/>
      <c r="L738" s="377"/>
      <c r="M738" s="377"/>
      <c r="N738" s="377"/>
      <c r="O738" s="377"/>
    </row>
    <row r="739">
      <c r="B739" s="377"/>
      <c r="C739" s="377"/>
      <c r="D739" s="377"/>
      <c r="E739" s="377"/>
      <c r="F739" s="377"/>
      <c r="G739" s="377"/>
      <c r="H739" s="377"/>
      <c r="I739" s="377"/>
      <c r="J739" s="377"/>
      <c r="K739" s="377"/>
      <c r="L739" s="377"/>
      <c r="M739" s="377"/>
      <c r="N739" s="377"/>
      <c r="O739" s="377"/>
    </row>
    <row r="740">
      <c r="B740" s="377"/>
      <c r="C740" s="377"/>
      <c r="D740" s="377"/>
      <c r="E740" s="377"/>
      <c r="F740" s="377"/>
      <c r="G740" s="377"/>
      <c r="H740" s="377"/>
      <c r="I740" s="377"/>
      <c r="J740" s="377"/>
      <c r="K740" s="377"/>
      <c r="L740" s="377"/>
      <c r="M740" s="377"/>
      <c r="N740" s="377"/>
      <c r="O740" s="377"/>
    </row>
    <row r="741">
      <c r="B741" s="377"/>
      <c r="C741" s="377"/>
      <c r="D741" s="377"/>
      <c r="E741" s="377"/>
      <c r="F741" s="377"/>
      <c r="G741" s="377"/>
      <c r="H741" s="377"/>
      <c r="I741" s="377"/>
      <c r="J741" s="377"/>
      <c r="K741" s="377"/>
      <c r="L741" s="377"/>
      <c r="M741" s="377"/>
      <c r="N741" s="377"/>
      <c r="O741" s="377"/>
    </row>
    <row r="742">
      <c r="B742" s="377"/>
      <c r="C742" s="377"/>
      <c r="D742" s="377"/>
      <c r="E742" s="377"/>
      <c r="F742" s="377"/>
      <c r="G742" s="377"/>
      <c r="H742" s="377"/>
      <c r="I742" s="377"/>
      <c r="J742" s="377"/>
      <c r="K742" s="377"/>
      <c r="L742" s="377"/>
      <c r="M742" s="377"/>
      <c r="N742" s="377"/>
      <c r="O742" s="377"/>
    </row>
    <row r="743">
      <c r="B743" s="377"/>
      <c r="C743" s="377"/>
      <c r="D743" s="377"/>
      <c r="E743" s="377"/>
      <c r="F743" s="377"/>
      <c r="G743" s="377"/>
      <c r="H743" s="377"/>
      <c r="I743" s="377"/>
      <c r="J743" s="377"/>
      <c r="K743" s="377"/>
      <c r="L743" s="377"/>
      <c r="M743" s="377"/>
      <c r="N743" s="377"/>
      <c r="O743" s="377"/>
    </row>
    <row r="744">
      <c r="B744" s="377"/>
      <c r="C744" s="377"/>
      <c r="D744" s="377"/>
      <c r="E744" s="377"/>
      <c r="F744" s="377"/>
      <c r="G744" s="377"/>
      <c r="H744" s="377"/>
      <c r="I744" s="377"/>
      <c r="J744" s="377"/>
      <c r="K744" s="377"/>
      <c r="L744" s="377"/>
      <c r="M744" s="377"/>
      <c r="N744" s="377"/>
      <c r="O744" s="377"/>
    </row>
    <row r="745">
      <c r="B745" s="377"/>
      <c r="C745" s="377"/>
      <c r="D745" s="377"/>
      <c r="E745" s="377"/>
      <c r="F745" s="377"/>
      <c r="G745" s="377"/>
      <c r="H745" s="377"/>
      <c r="I745" s="377"/>
      <c r="J745" s="377"/>
      <c r="K745" s="377"/>
      <c r="L745" s="377"/>
      <c r="M745" s="377"/>
      <c r="N745" s="377"/>
      <c r="O745" s="377"/>
    </row>
    <row r="746">
      <c r="B746" s="377"/>
      <c r="C746" s="377"/>
      <c r="D746" s="377"/>
      <c r="E746" s="377"/>
      <c r="F746" s="377"/>
      <c r="G746" s="377"/>
      <c r="H746" s="377"/>
      <c r="I746" s="377"/>
      <c r="J746" s="377"/>
      <c r="K746" s="377"/>
      <c r="L746" s="377"/>
      <c r="M746" s="377"/>
      <c r="N746" s="377"/>
      <c r="O746" s="377"/>
    </row>
    <row r="747">
      <c r="B747" s="377"/>
      <c r="C747" s="377"/>
      <c r="D747" s="377"/>
      <c r="E747" s="377"/>
      <c r="F747" s="377"/>
      <c r="G747" s="377"/>
      <c r="H747" s="377"/>
      <c r="I747" s="377"/>
      <c r="J747" s="377"/>
      <c r="K747" s="377"/>
      <c r="L747" s="377"/>
      <c r="M747" s="377"/>
      <c r="N747" s="377"/>
      <c r="O747" s="377"/>
    </row>
    <row r="748">
      <c r="B748" s="377"/>
      <c r="C748" s="377"/>
      <c r="D748" s="377"/>
      <c r="E748" s="377"/>
      <c r="F748" s="377"/>
      <c r="G748" s="377"/>
      <c r="H748" s="377"/>
      <c r="I748" s="377"/>
      <c r="J748" s="377"/>
      <c r="K748" s="377"/>
      <c r="L748" s="377"/>
      <c r="M748" s="377"/>
      <c r="N748" s="377"/>
      <c r="O748" s="377"/>
    </row>
    <row r="749">
      <c r="B749" s="377"/>
      <c r="C749" s="377"/>
      <c r="D749" s="377"/>
      <c r="E749" s="377"/>
      <c r="F749" s="377"/>
      <c r="G749" s="377"/>
      <c r="H749" s="377"/>
      <c r="I749" s="377"/>
      <c r="J749" s="377"/>
      <c r="K749" s="377"/>
      <c r="L749" s="377"/>
      <c r="M749" s="377"/>
      <c r="N749" s="377"/>
      <c r="O749" s="377"/>
    </row>
    <row r="750">
      <c r="B750" s="377"/>
      <c r="C750" s="377"/>
      <c r="D750" s="377"/>
      <c r="E750" s="377"/>
      <c r="F750" s="377"/>
      <c r="G750" s="377"/>
      <c r="H750" s="377"/>
      <c r="I750" s="377"/>
      <c r="J750" s="377"/>
      <c r="K750" s="377"/>
      <c r="L750" s="377"/>
      <c r="M750" s="377"/>
      <c r="N750" s="377"/>
      <c r="O750" s="377"/>
    </row>
    <row r="751">
      <c r="B751" s="377"/>
      <c r="C751" s="377"/>
      <c r="D751" s="377"/>
      <c r="E751" s="377"/>
      <c r="F751" s="377"/>
      <c r="G751" s="377"/>
      <c r="H751" s="377"/>
      <c r="I751" s="377"/>
      <c r="J751" s="377"/>
      <c r="K751" s="377"/>
      <c r="L751" s="377"/>
      <c r="M751" s="377"/>
      <c r="N751" s="377"/>
      <c r="O751" s="377"/>
    </row>
    <row r="752">
      <c r="B752" s="377"/>
      <c r="C752" s="377"/>
      <c r="D752" s="377"/>
      <c r="E752" s="377"/>
      <c r="F752" s="377"/>
      <c r="G752" s="377"/>
      <c r="H752" s="377"/>
      <c r="I752" s="377"/>
      <c r="J752" s="377"/>
      <c r="K752" s="377"/>
      <c r="L752" s="377"/>
      <c r="M752" s="377"/>
      <c r="N752" s="377"/>
      <c r="O752" s="377"/>
    </row>
    <row r="753">
      <c r="B753" s="377"/>
      <c r="C753" s="377"/>
      <c r="D753" s="377"/>
      <c r="E753" s="377"/>
      <c r="F753" s="377"/>
      <c r="G753" s="377"/>
      <c r="H753" s="377"/>
      <c r="I753" s="377"/>
      <c r="J753" s="377"/>
      <c r="K753" s="377"/>
      <c r="L753" s="377"/>
      <c r="M753" s="377"/>
      <c r="N753" s="377"/>
      <c r="O753" s="377"/>
    </row>
    <row r="754">
      <c r="B754" s="377"/>
      <c r="C754" s="377"/>
      <c r="D754" s="377"/>
      <c r="E754" s="377"/>
      <c r="F754" s="377"/>
      <c r="G754" s="377"/>
      <c r="H754" s="377"/>
      <c r="I754" s="377"/>
      <c r="J754" s="377"/>
      <c r="K754" s="377"/>
      <c r="L754" s="377"/>
      <c r="M754" s="377"/>
      <c r="N754" s="377"/>
      <c r="O754" s="377"/>
    </row>
    <row r="755">
      <c r="B755" s="377"/>
      <c r="C755" s="377"/>
      <c r="D755" s="377"/>
      <c r="E755" s="377"/>
      <c r="F755" s="377"/>
      <c r="G755" s="377"/>
      <c r="H755" s="377"/>
      <c r="I755" s="377"/>
      <c r="J755" s="377"/>
      <c r="K755" s="377"/>
      <c r="L755" s="377"/>
      <c r="M755" s="377"/>
      <c r="N755" s="377"/>
      <c r="O755" s="377"/>
    </row>
    <row r="756">
      <c r="B756" s="377"/>
      <c r="C756" s="377"/>
      <c r="D756" s="377"/>
      <c r="E756" s="377"/>
      <c r="F756" s="377"/>
      <c r="G756" s="377"/>
      <c r="H756" s="377"/>
      <c r="I756" s="377"/>
      <c r="J756" s="377"/>
      <c r="K756" s="377"/>
      <c r="L756" s="377"/>
      <c r="M756" s="377"/>
      <c r="N756" s="377"/>
      <c r="O756" s="377"/>
    </row>
    <row r="757">
      <c r="B757" s="377"/>
      <c r="C757" s="377"/>
      <c r="D757" s="377"/>
      <c r="E757" s="377"/>
      <c r="F757" s="377"/>
      <c r="G757" s="377"/>
      <c r="H757" s="377"/>
      <c r="I757" s="377"/>
      <c r="J757" s="377"/>
      <c r="K757" s="377"/>
      <c r="L757" s="377"/>
      <c r="M757" s="377"/>
      <c r="N757" s="377"/>
      <c r="O757" s="377"/>
    </row>
    <row r="758">
      <c r="B758" s="377"/>
      <c r="C758" s="377"/>
      <c r="D758" s="377"/>
      <c r="E758" s="377"/>
      <c r="F758" s="377"/>
      <c r="G758" s="377"/>
      <c r="H758" s="377"/>
      <c r="I758" s="377"/>
      <c r="J758" s="377"/>
      <c r="K758" s="377"/>
      <c r="L758" s="377"/>
      <c r="M758" s="377"/>
      <c r="N758" s="377"/>
      <c r="O758" s="377"/>
    </row>
    <row r="759">
      <c r="B759" s="377"/>
      <c r="C759" s="377"/>
      <c r="D759" s="377"/>
      <c r="E759" s="377"/>
      <c r="F759" s="377"/>
      <c r="G759" s="377"/>
      <c r="H759" s="377"/>
      <c r="I759" s="377"/>
      <c r="J759" s="377"/>
      <c r="K759" s="377"/>
      <c r="L759" s="377"/>
      <c r="M759" s="377"/>
      <c r="N759" s="377"/>
      <c r="O759" s="377"/>
    </row>
    <row r="760">
      <c r="B760" s="377"/>
      <c r="C760" s="377"/>
      <c r="D760" s="377"/>
      <c r="E760" s="377"/>
      <c r="F760" s="377"/>
      <c r="G760" s="377"/>
      <c r="H760" s="377"/>
      <c r="I760" s="377"/>
      <c r="J760" s="377"/>
      <c r="K760" s="377"/>
      <c r="L760" s="377"/>
      <c r="M760" s="377"/>
      <c r="N760" s="377"/>
      <c r="O760" s="377"/>
    </row>
    <row r="761">
      <c r="B761" s="377"/>
      <c r="C761" s="377"/>
      <c r="D761" s="377"/>
      <c r="E761" s="377"/>
      <c r="F761" s="377"/>
      <c r="G761" s="377"/>
      <c r="H761" s="377"/>
      <c r="I761" s="377"/>
      <c r="J761" s="377"/>
      <c r="K761" s="377"/>
      <c r="L761" s="377"/>
      <c r="M761" s="377"/>
      <c r="N761" s="377"/>
      <c r="O761" s="377"/>
    </row>
    <row r="762">
      <c r="B762" s="377"/>
      <c r="C762" s="377"/>
      <c r="D762" s="377"/>
      <c r="E762" s="377"/>
      <c r="F762" s="377"/>
      <c r="G762" s="377"/>
      <c r="H762" s="377"/>
      <c r="I762" s="377"/>
      <c r="J762" s="377"/>
      <c r="K762" s="377"/>
      <c r="L762" s="377"/>
      <c r="M762" s="377"/>
      <c r="N762" s="377"/>
      <c r="O762" s="377"/>
    </row>
    <row r="763">
      <c r="B763" s="377"/>
      <c r="C763" s="377"/>
      <c r="D763" s="377"/>
      <c r="E763" s="377"/>
      <c r="F763" s="377"/>
      <c r="G763" s="377"/>
      <c r="H763" s="377"/>
      <c r="I763" s="377"/>
      <c r="J763" s="377"/>
      <c r="K763" s="377"/>
      <c r="L763" s="377"/>
      <c r="M763" s="377"/>
      <c r="N763" s="377"/>
      <c r="O763" s="377"/>
    </row>
    <row r="764">
      <c r="B764" s="377"/>
      <c r="C764" s="377"/>
      <c r="D764" s="377"/>
      <c r="E764" s="377"/>
      <c r="F764" s="377"/>
      <c r="G764" s="377"/>
      <c r="H764" s="377"/>
      <c r="I764" s="377"/>
      <c r="J764" s="377"/>
      <c r="K764" s="377"/>
      <c r="L764" s="377"/>
      <c r="M764" s="377"/>
      <c r="N764" s="377"/>
      <c r="O764" s="377"/>
    </row>
    <row r="765">
      <c r="B765" s="377"/>
      <c r="C765" s="377"/>
      <c r="D765" s="377"/>
      <c r="E765" s="377"/>
      <c r="F765" s="377"/>
      <c r="G765" s="377"/>
      <c r="H765" s="377"/>
      <c r="I765" s="377"/>
      <c r="J765" s="377"/>
      <c r="K765" s="377"/>
      <c r="L765" s="377"/>
      <c r="M765" s="377"/>
      <c r="N765" s="377"/>
      <c r="O765" s="377"/>
    </row>
    <row r="766">
      <c r="B766" s="377"/>
      <c r="C766" s="377"/>
      <c r="D766" s="377"/>
      <c r="E766" s="377"/>
      <c r="F766" s="377"/>
      <c r="G766" s="377"/>
      <c r="H766" s="377"/>
      <c r="I766" s="377"/>
      <c r="J766" s="377"/>
      <c r="K766" s="377"/>
      <c r="L766" s="377"/>
      <c r="M766" s="377"/>
      <c r="N766" s="377"/>
      <c r="O766" s="377"/>
    </row>
    <row r="767">
      <c r="B767" s="377"/>
      <c r="C767" s="377"/>
      <c r="D767" s="377"/>
      <c r="E767" s="377"/>
      <c r="F767" s="377"/>
      <c r="G767" s="377"/>
      <c r="H767" s="377"/>
      <c r="I767" s="377"/>
      <c r="J767" s="377"/>
      <c r="K767" s="377"/>
      <c r="L767" s="377"/>
      <c r="M767" s="377"/>
      <c r="N767" s="377"/>
      <c r="O767" s="377"/>
    </row>
    <row r="768">
      <c r="B768" s="377"/>
      <c r="C768" s="377"/>
      <c r="D768" s="377"/>
      <c r="E768" s="377"/>
      <c r="F768" s="377"/>
      <c r="G768" s="377"/>
      <c r="H768" s="377"/>
      <c r="I768" s="377"/>
      <c r="J768" s="377"/>
      <c r="K768" s="377"/>
      <c r="L768" s="377"/>
      <c r="M768" s="377"/>
      <c r="N768" s="377"/>
      <c r="O768" s="377"/>
    </row>
    <row r="769">
      <c r="B769" s="377"/>
      <c r="C769" s="377"/>
      <c r="D769" s="377"/>
      <c r="E769" s="377"/>
      <c r="F769" s="377"/>
      <c r="G769" s="377"/>
      <c r="H769" s="377"/>
      <c r="I769" s="377"/>
      <c r="J769" s="377"/>
      <c r="K769" s="377"/>
      <c r="L769" s="377"/>
      <c r="M769" s="377"/>
      <c r="N769" s="377"/>
      <c r="O769" s="377"/>
    </row>
    <row r="770">
      <c r="B770" s="377"/>
      <c r="C770" s="377"/>
      <c r="D770" s="377"/>
      <c r="E770" s="377"/>
      <c r="F770" s="377"/>
      <c r="G770" s="377"/>
      <c r="H770" s="377"/>
      <c r="I770" s="377"/>
      <c r="J770" s="377"/>
      <c r="K770" s="377"/>
      <c r="L770" s="377"/>
      <c r="M770" s="377"/>
      <c r="N770" s="377"/>
      <c r="O770" s="377"/>
    </row>
    <row r="771">
      <c r="B771" s="377"/>
      <c r="C771" s="377"/>
      <c r="D771" s="377"/>
      <c r="E771" s="377"/>
      <c r="F771" s="377"/>
      <c r="G771" s="377"/>
      <c r="H771" s="377"/>
      <c r="I771" s="377"/>
      <c r="J771" s="377"/>
      <c r="K771" s="377"/>
      <c r="L771" s="377"/>
      <c r="M771" s="377"/>
      <c r="N771" s="377"/>
      <c r="O771" s="377"/>
    </row>
    <row r="772">
      <c r="B772" s="377"/>
      <c r="C772" s="377"/>
      <c r="D772" s="377"/>
      <c r="E772" s="377"/>
      <c r="F772" s="377"/>
      <c r="G772" s="377"/>
      <c r="H772" s="377"/>
      <c r="I772" s="377"/>
      <c r="J772" s="377"/>
      <c r="K772" s="377"/>
      <c r="L772" s="377"/>
      <c r="M772" s="377"/>
      <c r="N772" s="377"/>
      <c r="O772" s="377"/>
    </row>
    <row r="773">
      <c r="B773" s="377"/>
      <c r="C773" s="377"/>
      <c r="D773" s="377"/>
      <c r="E773" s="377"/>
      <c r="F773" s="377"/>
      <c r="G773" s="377"/>
      <c r="H773" s="377"/>
      <c r="I773" s="377"/>
      <c r="J773" s="377"/>
      <c r="K773" s="377"/>
      <c r="L773" s="377"/>
      <c r="M773" s="377"/>
      <c r="N773" s="377"/>
      <c r="O773" s="377"/>
    </row>
    <row r="774">
      <c r="B774" s="377"/>
      <c r="C774" s="377"/>
      <c r="D774" s="377"/>
      <c r="E774" s="377"/>
      <c r="F774" s="377"/>
      <c r="G774" s="377"/>
      <c r="H774" s="377"/>
      <c r="I774" s="377"/>
      <c r="J774" s="377"/>
      <c r="K774" s="377"/>
      <c r="L774" s="377"/>
      <c r="M774" s="377"/>
      <c r="N774" s="377"/>
      <c r="O774" s="377"/>
    </row>
    <row r="775">
      <c r="B775" s="377"/>
      <c r="C775" s="377"/>
      <c r="D775" s="377"/>
      <c r="E775" s="377"/>
      <c r="F775" s="377"/>
      <c r="G775" s="377"/>
      <c r="H775" s="377"/>
      <c r="I775" s="377"/>
      <c r="J775" s="377"/>
      <c r="K775" s="377"/>
      <c r="L775" s="377"/>
      <c r="M775" s="377"/>
      <c r="N775" s="377"/>
      <c r="O775" s="377"/>
    </row>
    <row r="776">
      <c r="B776" s="377"/>
      <c r="C776" s="377"/>
      <c r="D776" s="377"/>
      <c r="E776" s="377"/>
      <c r="F776" s="377"/>
      <c r="G776" s="377"/>
      <c r="H776" s="377"/>
      <c r="I776" s="377"/>
      <c r="J776" s="377"/>
      <c r="K776" s="377"/>
      <c r="L776" s="377"/>
      <c r="M776" s="377"/>
      <c r="N776" s="377"/>
      <c r="O776" s="377"/>
    </row>
    <row r="777">
      <c r="B777" s="377"/>
      <c r="C777" s="377"/>
      <c r="D777" s="377"/>
      <c r="E777" s="377"/>
      <c r="F777" s="377"/>
      <c r="G777" s="377"/>
      <c r="H777" s="377"/>
      <c r="I777" s="377"/>
      <c r="J777" s="377"/>
      <c r="K777" s="377"/>
      <c r="L777" s="377"/>
      <c r="M777" s="377"/>
      <c r="N777" s="377"/>
      <c r="O777" s="377"/>
    </row>
    <row r="778">
      <c r="B778" s="377"/>
      <c r="C778" s="377"/>
      <c r="D778" s="377"/>
      <c r="E778" s="377"/>
      <c r="F778" s="377"/>
      <c r="G778" s="377"/>
      <c r="H778" s="377"/>
      <c r="I778" s="377"/>
      <c r="J778" s="377"/>
      <c r="K778" s="377"/>
      <c r="L778" s="377"/>
      <c r="M778" s="377"/>
      <c r="N778" s="377"/>
      <c r="O778" s="377"/>
    </row>
    <row r="779">
      <c r="B779" s="377"/>
      <c r="C779" s="377"/>
      <c r="D779" s="377"/>
      <c r="E779" s="377"/>
      <c r="F779" s="377"/>
      <c r="G779" s="377"/>
      <c r="H779" s="377"/>
      <c r="I779" s="377"/>
      <c r="J779" s="377"/>
      <c r="K779" s="377"/>
      <c r="L779" s="377"/>
      <c r="M779" s="377"/>
      <c r="N779" s="377"/>
      <c r="O779" s="377"/>
    </row>
    <row r="780">
      <c r="B780" s="377"/>
      <c r="C780" s="377"/>
      <c r="D780" s="377"/>
      <c r="E780" s="377"/>
      <c r="F780" s="377"/>
      <c r="G780" s="377"/>
      <c r="H780" s="377"/>
      <c r="I780" s="377"/>
      <c r="J780" s="377"/>
      <c r="K780" s="377"/>
      <c r="L780" s="377"/>
      <c r="M780" s="377"/>
      <c r="N780" s="377"/>
      <c r="O780" s="377"/>
    </row>
    <row r="781">
      <c r="B781" s="377"/>
      <c r="C781" s="377"/>
      <c r="D781" s="377"/>
      <c r="E781" s="377"/>
      <c r="F781" s="377"/>
      <c r="G781" s="377"/>
      <c r="H781" s="377"/>
      <c r="I781" s="377"/>
      <c r="J781" s="377"/>
      <c r="K781" s="377"/>
      <c r="L781" s="377"/>
      <c r="M781" s="377"/>
      <c r="N781" s="377"/>
      <c r="O781" s="377"/>
    </row>
    <row r="782">
      <c r="B782" s="377"/>
      <c r="C782" s="377"/>
      <c r="D782" s="377"/>
      <c r="E782" s="377"/>
      <c r="F782" s="377"/>
      <c r="G782" s="377"/>
      <c r="H782" s="377"/>
      <c r="I782" s="377"/>
      <c r="J782" s="377"/>
      <c r="K782" s="377"/>
      <c r="L782" s="377"/>
      <c r="M782" s="377"/>
      <c r="N782" s="377"/>
      <c r="O782" s="377"/>
    </row>
    <row r="783">
      <c r="B783" s="377"/>
      <c r="C783" s="377"/>
      <c r="D783" s="377"/>
      <c r="E783" s="377"/>
      <c r="F783" s="377"/>
      <c r="G783" s="377"/>
      <c r="H783" s="377"/>
      <c r="I783" s="377"/>
      <c r="J783" s="377"/>
      <c r="K783" s="377"/>
      <c r="L783" s="377"/>
      <c r="M783" s="377"/>
      <c r="N783" s="377"/>
      <c r="O783" s="377"/>
    </row>
    <row r="784">
      <c r="B784" s="377"/>
      <c r="C784" s="377"/>
      <c r="D784" s="377"/>
      <c r="E784" s="377"/>
      <c r="F784" s="377"/>
      <c r="G784" s="377"/>
      <c r="H784" s="377"/>
      <c r="I784" s="377"/>
      <c r="J784" s="377"/>
      <c r="K784" s="377"/>
      <c r="L784" s="377"/>
      <c r="M784" s="377"/>
      <c r="N784" s="377"/>
      <c r="O784" s="377"/>
    </row>
    <row r="785">
      <c r="B785" s="377"/>
      <c r="C785" s="377"/>
      <c r="D785" s="377"/>
      <c r="E785" s="377"/>
      <c r="F785" s="377"/>
      <c r="G785" s="377"/>
      <c r="H785" s="377"/>
      <c r="I785" s="377"/>
      <c r="J785" s="377"/>
      <c r="K785" s="377"/>
      <c r="L785" s="377"/>
      <c r="M785" s="377"/>
      <c r="N785" s="377"/>
      <c r="O785" s="377"/>
    </row>
    <row r="786">
      <c r="B786" s="377"/>
      <c r="C786" s="377"/>
      <c r="D786" s="377"/>
      <c r="E786" s="377"/>
      <c r="F786" s="377"/>
      <c r="G786" s="377"/>
      <c r="H786" s="377"/>
      <c r="I786" s="377"/>
      <c r="J786" s="377"/>
      <c r="K786" s="377"/>
      <c r="L786" s="377"/>
      <c r="M786" s="377"/>
      <c r="N786" s="377"/>
      <c r="O786" s="377"/>
    </row>
    <row r="787">
      <c r="B787" s="377"/>
      <c r="C787" s="377"/>
      <c r="D787" s="377"/>
      <c r="E787" s="377"/>
      <c r="F787" s="377"/>
      <c r="G787" s="377"/>
      <c r="H787" s="377"/>
      <c r="I787" s="377"/>
      <c r="J787" s="377"/>
      <c r="K787" s="377"/>
      <c r="L787" s="377"/>
      <c r="M787" s="377"/>
      <c r="N787" s="377"/>
      <c r="O787" s="377"/>
    </row>
    <row r="788">
      <c r="B788" s="377"/>
      <c r="C788" s="377"/>
      <c r="D788" s="377"/>
      <c r="E788" s="377"/>
      <c r="F788" s="377"/>
      <c r="G788" s="377"/>
      <c r="H788" s="377"/>
      <c r="I788" s="377"/>
      <c r="J788" s="377"/>
      <c r="K788" s="377"/>
      <c r="L788" s="377"/>
      <c r="M788" s="377"/>
      <c r="N788" s="377"/>
      <c r="O788" s="377"/>
    </row>
    <row r="789">
      <c r="B789" s="377"/>
      <c r="C789" s="377"/>
      <c r="D789" s="377"/>
      <c r="E789" s="377"/>
      <c r="F789" s="377"/>
      <c r="G789" s="377"/>
      <c r="H789" s="377"/>
      <c r="I789" s="377"/>
      <c r="J789" s="377"/>
      <c r="K789" s="377"/>
      <c r="L789" s="377"/>
      <c r="M789" s="377"/>
      <c r="N789" s="377"/>
      <c r="O789" s="377"/>
    </row>
    <row r="790">
      <c r="B790" s="377"/>
      <c r="C790" s="377"/>
      <c r="D790" s="377"/>
      <c r="E790" s="377"/>
      <c r="F790" s="377"/>
      <c r="G790" s="377"/>
      <c r="H790" s="377"/>
      <c r="I790" s="377"/>
      <c r="J790" s="377"/>
      <c r="K790" s="377"/>
      <c r="L790" s="377"/>
      <c r="M790" s="377"/>
      <c r="N790" s="377"/>
      <c r="O790" s="377"/>
    </row>
    <row r="791">
      <c r="B791" s="377"/>
      <c r="C791" s="377"/>
      <c r="D791" s="377"/>
      <c r="E791" s="377"/>
      <c r="F791" s="377"/>
      <c r="G791" s="377"/>
      <c r="H791" s="377"/>
      <c r="I791" s="377"/>
      <c r="J791" s="377"/>
      <c r="K791" s="377"/>
      <c r="L791" s="377"/>
      <c r="M791" s="377"/>
      <c r="N791" s="377"/>
      <c r="O791" s="377"/>
    </row>
    <row r="792">
      <c r="B792" s="377"/>
      <c r="C792" s="377"/>
      <c r="D792" s="377"/>
      <c r="E792" s="377"/>
      <c r="F792" s="377"/>
      <c r="G792" s="377"/>
      <c r="H792" s="377"/>
      <c r="I792" s="377"/>
      <c r="J792" s="377"/>
      <c r="K792" s="377"/>
      <c r="L792" s="377"/>
      <c r="M792" s="377"/>
      <c r="N792" s="377"/>
      <c r="O792" s="377"/>
    </row>
    <row r="793">
      <c r="B793" s="377"/>
      <c r="C793" s="377"/>
      <c r="D793" s="377"/>
      <c r="E793" s="377"/>
      <c r="F793" s="377"/>
      <c r="G793" s="377"/>
      <c r="H793" s="377"/>
      <c r="I793" s="377"/>
      <c r="J793" s="377"/>
      <c r="K793" s="377"/>
      <c r="L793" s="377"/>
      <c r="M793" s="377"/>
      <c r="N793" s="377"/>
      <c r="O793" s="377"/>
    </row>
    <row r="794">
      <c r="B794" s="377"/>
      <c r="C794" s="377"/>
      <c r="D794" s="377"/>
      <c r="E794" s="377"/>
      <c r="F794" s="377"/>
      <c r="G794" s="377"/>
      <c r="H794" s="377"/>
      <c r="I794" s="377"/>
      <c r="J794" s="377"/>
      <c r="K794" s="377"/>
      <c r="L794" s="377"/>
      <c r="M794" s="377"/>
      <c r="N794" s="377"/>
      <c r="O794" s="377"/>
    </row>
    <row r="795">
      <c r="B795" s="377"/>
      <c r="C795" s="377"/>
      <c r="D795" s="377"/>
      <c r="E795" s="377"/>
      <c r="F795" s="377"/>
      <c r="G795" s="377"/>
      <c r="H795" s="377"/>
      <c r="I795" s="377"/>
      <c r="J795" s="377"/>
      <c r="K795" s="377"/>
      <c r="L795" s="377"/>
      <c r="M795" s="377"/>
      <c r="N795" s="377"/>
      <c r="O795" s="377"/>
    </row>
    <row r="796">
      <c r="B796" s="377"/>
      <c r="C796" s="377"/>
      <c r="D796" s="377"/>
      <c r="E796" s="377"/>
      <c r="F796" s="377"/>
      <c r="G796" s="377"/>
      <c r="H796" s="377"/>
      <c r="I796" s="377"/>
      <c r="J796" s="377"/>
      <c r="K796" s="377"/>
      <c r="L796" s="377"/>
      <c r="M796" s="377"/>
      <c r="N796" s="377"/>
      <c r="O796" s="377"/>
    </row>
    <row r="797">
      <c r="B797" s="377"/>
      <c r="C797" s="377"/>
      <c r="D797" s="377"/>
      <c r="E797" s="377"/>
      <c r="F797" s="377"/>
      <c r="G797" s="377"/>
      <c r="H797" s="377"/>
      <c r="I797" s="377"/>
      <c r="J797" s="377"/>
      <c r="K797" s="377"/>
      <c r="L797" s="377"/>
      <c r="M797" s="377"/>
      <c r="N797" s="377"/>
      <c r="O797" s="377"/>
    </row>
    <row r="798">
      <c r="B798" s="377"/>
      <c r="C798" s="377"/>
      <c r="D798" s="377"/>
      <c r="E798" s="377"/>
      <c r="F798" s="377"/>
      <c r="G798" s="377"/>
      <c r="H798" s="377"/>
      <c r="I798" s="377"/>
      <c r="J798" s="377"/>
      <c r="K798" s="377"/>
      <c r="L798" s="377"/>
      <c r="M798" s="377"/>
      <c r="N798" s="377"/>
      <c r="O798" s="377"/>
    </row>
    <row r="799">
      <c r="B799" s="377"/>
      <c r="C799" s="377"/>
      <c r="D799" s="377"/>
      <c r="E799" s="377"/>
      <c r="F799" s="377"/>
      <c r="G799" s="377"/>
      <c r="H799" s="377"/>
      <c r="I799" s="377"/>
      <c r="J799" s="377"/>
      <c r="K799" s="377"/>
      <c r="L799" s="377"/>
      <c r="M799" s="377"/>
      <c r="N799" s="377"/>
      <c r="O799" s="377"/>
    </row>
    <row r="800">
      <c r="B800" s="377"/>
      <c r="C800" s="377"/>
      <c r="D800" s="377"/>
      <c r="E800" s="377"/>
      <c r="F800" s="377"/>
      <c r="G800" s="377"/>
      <c r="H800" s="377"/>
      <c r="I800" s="377"/>
      <c r="J800" s="377"/>
      <c r="K800" s="377"/>
      <c r="L800" s="377"/>
      <c r="M800" s="377"/>
      <c r="N800" s="377"/>
      <c r="O800" s="377"/>
    </row>
    <row r="801">
      <c r="B801" s="377"/>
      <c r="C801" s="377"/>
      <c r="D801" s="377"/>
      <c r="E801" s="377"/>
      <c r="F801" s="377"/>
      <c r="G801" s="377"/>
      <c r="H801" s="377"/>
      <c r="I801" s="377"/>
      <c r="J801" s="377"/>
      <c r="K801" s="377"/>
      <c r="L801" s="377"/>
      <c r="M801" s="377"/>
      <c r="N801" s="377"/>
      <c r="O801" s="377"/>
    </row>
    <row r="802">
      <c r="B802" s="377"/>
      <c r="C802" s="377"/>
      <c r="D802" s="377"/>
      <c r="E802" s="377"/>
      <c r="F802" s="377"/>
      <c r="G802" s="377"/>
      <c r="H802" s="377"/>
      <c r="I802" s="377"/>
      <c r="J802" s="377"/>
      <c r="K802" s="377"/>
      <c r="L802" s="377"/>
      <c r="M802" s="377"/>
      <c r="N802" s="377"/>
      <c r="O802" s="377"/>
    </row>
    <row r="803">
      <c r="B803" s="377"/>
      <c r="C803" s="377"/>
      <c r="D803" s="377"/>
      <c r="E803" s="377"/>
      <c r="F803" s="377"/>
      <c r="G803" s="377"/>
      <c r="H803" s="377"/>
      <c r="I803" s="377"/>
      <c r="J803" s="377"/>
      <c r="K803" s="377"/>
      <c r="L803" s="377"/>
      <c r="M803" s="377"/>
      <c r="N803" s="377"/>
      <c r="O803" s="377"/>
    </row>
    <row r="804">
      <c r="B804" s="377"/>
      <c r="C804" s="377"/>
      <c r="D804" s="377"/>
      <c r="E804" s="377"/>
      <c r="F804" s="377"/>
      <c r="G804" s="377"/>
      <c r="H804" s="377"/>
      <c r="I804" s="377"/>
      <c r="J804" s="377"/>
      <c r="K804" s="377"/>
      <c r="L804" s="377"/>
      <c r="M804" s="377"/>
      <c r="N804" s="377"/>
      <c r="O804" s="377"/>
    </row>
    <row r="805">
      <c r="B805" s="377"/>
      <c r="C805" s="377"/>
      <c r="D805" s="377"/>
      <c r="E805" s="377"/>
      <c r="F805" s="377"/>
      <c r="G805" s="377"/>
      <c r="H805" s="377"/>
      <c r="I805" s="377"/>
      <c r="J805" s="377"/>
      <c r="K805" s="377"/>
      <c r="L805" s="377"/>
      <c r="M805" s="377"/>
      <c r="N805" s="377"/>
      <c r="O805" s="377"/>
    </row>
    <row r="806">
      <c r="B806" s="377"/>
      <c r="C806" s="377"/>
      <c r="D806" s="377"/>
      <c r="E806" s="377"/>
      <c r="F806" s="377"/>
      <c r="G806" s="377"/>
      <c r="H806" s="377"/>
      <c r="I806" s="377"/>
      <c r="J806" s="377"/>
      <c r="K806" s="377"/>
      <c r="L806" s="377"/>
      <c r="M806" s="377"/>
      <c r="N806" s="377"/>
      <c r="O806" s="377"/>
    </row>
    <row r="807">
      <c r="B807" s="377"/>
      <c r="C807" s="377"/>
      <c r="D807" s="377"/>
      <c r="E807" s="377"/>
      <c r="F807" s="377"/>
      <c r="G807" s="377"/>
      <c r="H807" s="377"/>
      <c r="I807" s="377"/>
      <c r="J807" s="377"/>
      <c r="K807" s="377"/>
      <c r="L807" s="377"/>
      <c r="M807" s="377"/>
      <c r="N807" s="377"/>
      <c r="O807" s="377"/>
    </row>
    <row r="808">
      <c r="B808" s="377"/>
      <c r="C808" s="377"/>
      <c r="D808" s="377"/>
      <c r="E808" s="377"/>
      <c r="F808" s="377"/>
      <c r="G808" s="377"/>
      <c r="H808" s="377"/>
      <c r="I808" s="377"/>
      <c r="J808" s="377"/>
      <c r="K808" s="377"/>
      <c r="L808" s="377"/>
      <c r="M808" s="377"/>
      <c r="N808" s="377"/>
      <c r="O808" s="377"/>
    </row>
    <row r="809">
      <c r="B809" s="377"/>
      <c r="C809" s="377"/>
      <c r="D809" s="377"/>
      <c r="E809" s="377"/>
      <c r="F809" s="377"/>
      <c r="G809" s="377"/>
      <c r="H809" s="377"/>
      <c r="I809" s="377"/>
      <c r="J809" s="377"/>
      <c r="K809" s="377"/>
      <c r="L809" s="377"/>
      <c r="M809" s="377"/>
      <c r="N809" s="377"/>
      <c r="O809" s="377"/>
    </row>
    <row r="810">
      <c r="B810" s="377"/>
      <c r="C810" s="377"/>
      <c r="D810" s="377"/>
      <c r="E810" s="377"/>
      <c r="F810" s="377"/>
      <c r="G810" s="377"/>
      <c r="H810" s="377"/>
      <c r="I810" s="377"/>
      <c r="J810" s="377"/>
      <c r="K810" s="377"/>
      <c r="L810" s="377"/>
      <c r="M810" s="377"/>
      <c r="N810" s="377"/>
      <c r="O810" s="377"/>
    </row>
    <row r="811">
      <c r="B811" s="377"/>
      <c r="C811" s="377"/>
      <c r="D811" s="377"/>
      <c r="E811" s="377"/>
      <c r="F811" s="377"/>
      <c r="G811" s="377"/>
      <c r="H811" s="377"/>
      <c r="I811" s="377"/>
      <c r="J811" s="377"/>
      <c r="K811" s="377"/>
      <c r="L811" s="377"/>
      <c r="M811" s="377"/>
      <c r="N811" s="377"/>
      <c r="O811" s="377"/>
    </row>
    <row r="812">
      <c r="B812" s="377"/>
      <c r="C812" s="377"/>
      <c r="D812" s="377"/>
      <c r="E812" s="377"/>
      <c r="F812" s="377"/>
      <c r="G812" s="377"/>
      <c r="H812" s="377"/>
      <c r="I812" s="377"/>
      <c r="J812" s="377"/>
      <c r="K812" s="377"/>
      <c r="L812" s="377"/>
      <c r="M812" s="377"/>
      <c r="N812" s="377"/>
      <c r="O812" s="377"/>
    </row>
    <row r="813">
      <c r="B813" s="377"/>
      <c r="C813" s="377"/>
      <c r="D813" s="377"/>
      <c r="E813" s="377"/>
      <c r="F813" s="377"/>
      <c r="G813" s="377"/>
      <c r="H813" s="377"/>
      <c r="I813" s="377"/>
      <c r="J813" s="377"/>
      <c r="K813" s="377"/>
      <c r="L813" s="377"/>
      <c r="M813" s="377"/>
      <c r="N813" s="377"/>
      <c r="O813" s="377"/>
    </row>
    <row r="814">
      <c r="B814" s="377"/>
      <c r="C814" s="377"/>
      <c r="D814" s="377"/>
      <c r="E814" s="377"/>
      <c r="F814" s="377"/>
      <c r="G814" s="377"/>
      <c r="H814" s="377"/>
      <c r="I814" s="377"/>
      <c r="J814" s="377"/>
      <c r="K814" s="377"/>
      <c r="L814" s="377"/>
      <c r="M814" s="377"/>
      <c r="N814" s="377"/>
      <c r="O814" s="377"/>
    </row>
    <row r="815">
      <c r="B815" s="377"/>
      <c r="C815" s="377"/>
      <c r="D815" s="377"/>
      <c r="E815" s="377"/>
      <c r="F815" s="377"/>
      <c r="G815" s="377"/>
      <c r="H815" s="377"/>
      <c r="I815" s="377"/>
      <c r="J815" s="377"/>
      <c r="K815" s="377"/>
      <c r="L815" s="377"/>
      <c r="M815" s="377"/>
      <c r="N815" s="377"/>
      <c r="O815" s="377"/>
    </row>
    <row r="816">
      <c r="B816" s="377"/>
      <c r="C816" s="377"/>
      <c r="D816" s="377"/>
      <c r="E816" s="377"/>
      <c r="F816" s="377"/>
      <c r="G816" s="377"/>
      <c r="H816" s="377"/>
      <c r="I816" s="377"/>
      <c r="J816" s="377"/>
      <c r="K816" s="377"/>
      <c r="L816" s="377"/>
      <c r="M816" s="377"/>
      <c r="N816" s="377"/>
      <c r="O816" s="377"/>
    </row>
    <row r="817">
      <c r="B817" s="377"/>
      <c r="C817" s="377"/>
      <c r="D817" s="377"/>
      <c r="E817" s="377"/>
      <c r="F817" s="377"/>
      <c r="G817" s="377"/>
      <c r="H817" s="377"/>
      <c r="I817" s="377"/>
      <c r="J817" s="377"/>
      <c r="K817" s="377"/>
      <c r="L817" s="377"/>
      <c r="M817" s="377"/>
      <c r="N817" s="377"/>
      <c r="O817" s="377"/>
    </row>
    <row r="818">
      <c r="B818" s="377"/>
      <c r="C818" s="377"/>
      <c r="D818" s="377"/>
      <c r="E818" s="377"/>
      <c r="F818" s="377"/>
      <c r="G818" s="377"/>
      <c r="H818" s="377"/>
      <c r="I818" s="377"/>
      <c r="J818" s="377"/>
      <c r="K818" s="377"/>
      <c r="L818" s="377"/>
      <c r="M818" s="377"/>
      <c r="N818" s="377"/>
      <c r="O818" s="377"/>
    </row>
    <row r="819">
      <c r="B819" s="377"/>
      <c r="C819" s="377"/>
      <c r="D819" s="377"/>
      <c r="E819" s="377"/>
      <c r="F819" s="377"/>
      <c r="G819" s="377"/>
      <c r="H819" s="377"/>
      <c r="I819" s="377"/>
      <c r="J819" s="377"/>
      <c r="K819" s="377"/>
      <c r="L819" s="377"/>
      <c r="M819" s="377"/>
      <c r="N819" s="377"/>
      <c r="O819" s="377"/>
    </row>
    <row r="820">
      <c r="B820" s="377"/>
      <c r="C820" s="377"/>
      <c r="D820" s="377"/>
      <c r="E820" s="377"/>
      <c r="F820" s="377"/>
      <c r="G820" s="377"/>
      <c r="H820" s="377"/>
      <c r="I820" s="377"/>
      <c r="J820" s="377"/>
      <c r="K820" s="377"/>
      <c r="L820" s="377"/>
      <c r="M820" s="377"/>
      <c r="N820" s="377"/>
      <c r="O820" s="377"/>
    </row>
    <row r="821">
      <c r="B821" s="377"/>
      <c r="C821" s="377"/>
      <c r="D821" s="377"/>
      <c r="E821" s="377"/>
      <c r="F821" s="377"/>
      <c r="G821" s="377"/>
      <c r="H821" s="377"/>
      <c r="I821" s="377"/>
      <c r="J821" s="377"/>
      <c r="K821" s="377"/>
      <c r="L821" s="377"/>
      <c r="M821" s="377"/>
      <c r="N821" s="377"/>
      <c r="O821" s="377"/>
    </row>
    <row r="822">
      <c r="B822" s="377"/>
      <c r="C822" s="377"/>
      <c r="D822" s="377"/>
      <c r="E822" s="377"/>
      <c r="F822" s="377"/>
      <c r="G822" s="377"/>
      <c r="H822" s="377"/>
      <c r="I822" s="377"/>
      <c r="J822" s="377"/>
      <c r="K822" s="377"/>
      <c r="L822" s="377"/>
      <c r="M822" s="377"/>
      <c r="N822" s="377"/>
      <c r="O822" s="377"/>
    </row>
    <row r="823">
      <c r="B823" s="377"/>
      <c r="C823" s="377"/>
      <c r="D823" s="377"/>
      <c r="E823" s="377"/>
      <c r="F823" s="377"/>
      <c r="G823" s="377"/>
      <c r="H823" s="377"/>
      <c r="I823" s="377"/>
      <c r="J823" s="377"/>
      <c r="K823" s="377"/>
      <c r="L823" s="377"/>
      <c r="M823" s="377"/>
      <c r="N823" s="377"/>
      <c r="O823" s="377"/>
    </row>
    <row r="824">
      <c r="B824" s="377"/>
      <c r="C824" s="377"/>
      <c r="D824" s="377"/>
      <c r="E824" s="377"/>
      <c r="F824" s="377"/>
      <c r="G824" s="377"/>
      <c r="H824" s="377"/>
      <c r="I824" s="377"/>
      <c r="J824" s="377"/>
      <c r="K824" s="377"/>
      <c r="L824" s="377"/>
      <c r="M824" s="377"/>
      <c r="N824" s="377"/>
      <c r="O824" s="377"/>
    </row>
    <row r="825">
      <c r="B825" s="377"/>
      <c r="C825" s="377"/>
      <c r="D825" s="377"/>
      <c r="E825" s="377"/>
      <c r="F825" s="377"/>
      <c r="G825" s="377"/>
      <c r="H825" s="377"/>
      <c r="I825" s="377"/>
      <c r="J825" s="377"/>
      <c r="K825" s="377"/>
      <c r="L825" s="377"/>
      <c r="M825" s="377"/>
      <c r="N825" s="377"/>
      <c r="O825" s="377"/>
    </row>
    <row r="826">
      <c r="B826" s="377"/>
      <c r="C826" s="377"/>
      <c r="D826" s="377"/>
      <c r="E826" s="377"/>
      <c r="F826" s="377"/>
      <c r="G826" s="377"/>
      <c r="H826" s="377"/>
      <c r="I826" s="377"/>
      <c r="J826" s="377"/>
      <c r="K826" s="377"/>
      <c r="L826" s="377"/>
      <c r="M826" s="377"/>
      <c r="N826" s="377"/>
      <c r="O826" s="377"/>
    </row>
    <row r="827">
      <c r="B827" s="377"/>
      <c r="C827" s="377"/>
      <c r="D827" s="377"/>
      <c r="E827" s="377"/>
      <c r="F827" s="377"/>
      <c r="G827" s="377"/>
      <c r="H827" s="377"/>
      <c r="I827" s="377"/>
      <c r="J827" s="377"/>
      <c r="K827" s="377"/>
      <c r="L827" s="377"/>
      <c r="M827" s="377"/>
      <c r="N827" s="377"/>
      <c r="O827" s="377"/>
    </row>
    <row r="828">
      <c r="B828" s="377"/>
      <c r="C828" s="377"/>
      <c r="D828" s="377"/>
      <c r="E828" s="377"/>
      <c r="F828" s="377"/>
      <c r="G828" s="377"/>
      <c r="H828" s="377"/>
      <c r="I828" s="377"/>
      <c r="J828" s="377"/>
      <c r="K828" s="377"/>
      <c r="L828" s="377"/>
      <c r="M828" s="377"/>
      <c r="N828" s="377"/>
      <c r="O828" s="377"/>
    </row>
    <row r="829">
      <c r="B829" s="377"/>
      <c r="C829" s="377"/>
      <c r="D829" s="377"/>
      <c r="E829" s="377"/>
      <c r="F829" s="377"/>
      <c r="G829" s="377"/>
      <c r="H829" s="377"/>
      <c r="I829" s="377"/>
      <c r="J829" s="377"/>
      <c r="K829" s="377"/>
      <c r="L829" s="377"/>
      <c r="M829" s="377"/>
      <c r="N829" s="377"/>
      <c r="O829" s="377"/>
    </row>
    <row r="830">
      <c r="B830" s="377"/>
      <c r="C830" s="377"/>
      <c r="D830" s="377"/>
      <c r="E830" s="377"/>
      <c r="F830" s="377"/>
      <c r="G830" s="377"/>
      <c r="H830" s="377"/>
      <c r="I830" s="377"/>
      <c r="J830" s="377"/>
      <c r="K830" s="377"/>
      <c r="L830" s="377"/>
      <c r="M830" s="377"/>
      <c r="N830" s="377"/>
      <c r="O830" s="377"/>
    </row>
    <row r="831">
      <c r="B831" s="377"/>
      <c r="C831" s="377"/>
      <c r="D831" s="377"/>
      <c r="E831" s="377"/>
      <c r="F831" s="377"/>
      <c r="G831" s="377"/>
      <c r="H831" s="377"/>
      <c r="I831" s="377"/>
      <c r="J831" s="377"/>
      <c r="K831" s="377"/>
      <c r="L831" s="377"/>
      <c r="M831" s="377"/>
      <c r="N831" s="377"/>
      <c r="O831" s="377"/>
    </row>
    <row r="832">
      <c r="B832" s="377"/>
      <c r="C832" s="377"/>
      <c r="D832" s="377"/>
      <c r="E832" s="377"/>
      <c r="F832" s="377"/>
      <c r="G832" s="377"/>
      <c r="H832" s="377"/>
      <c r="I832" s="377"/>
      <c r="J832" s="377"/>
      <c r="K832" s="377"/>
      <c r="L832" s="377"/>
      <c r="M832" s="377"/>
      <c r="N832" s="377"/>
      <c r="O832" s="377"/>
    </row>
    <row r="833">
      <c r="B833" s="377"/>
      <c r="C833" s="377"/>
      <c r="D833" s="377"/>
      <c r="E833" s="377"/>
      <c r="F833" s="377"/>
      <c r="G833" s="377"/>
      <c r="H833" s="377"/>
      <c r="I833" s="377"/>
      <c r="J833" s="377"/>
      <c r="K833" s="377"/>
      <c r="L833" s="377"/>
      <c r="M833" s="377"/>
      <c r="N833" s="377"/>
      <c r="O833" s="377"/>
    </row>
    <row r="834">
      <c r="B834" s="377"/>
      <c r="C834" s="377"/>
      <c r="D834" s="377"/>
      <c r="E834" s="377"/>
      <c r="F834" s="377"/>
      <c r="G834" s="377"/>
      <c r="H834" s="377"/>
      <c r="I834" s="377"/>
      <c r="J834" s="377"/>
      <c r="K834" s="377"/>
      <c r="L834" s="377"/>
      <c r="M834" s="377"/>
      <c r="N834" s="377"/>
      <c r="O834" s="377"/>
    </row>
    <row r="835">
      <c r="B835" s="377"/>
      <c r="C835" s="377"/>
      <c r="D835" s="377"/>
      <c r="E835" s="377"/>
      <c r="F835" s="377"/>
      <c r="G835" s="377"/>
      <c r="H835" s="377"/>
      <c r="I835" s="377"/>
      <c r="J835" s="377"/>
      <c r="K835" s="377"/>
      <c r="L835" s="377"/>
      <c r="M835" s="377"/>
      <c r="N835" s="377"/>
      <c r="O835" s="377"/>
    </row>
    <row r="836">
      <c r="B836" s="377"/>
      <c r="C836" s="377"/>
      <c r="D836" s="377"/>
      <c r="E836" s="377"/>
      <c r="F836" s="377"/>
      <c r="G836" s="377"/>
      <c r="H836" s="377"/>
      <c r="I836" s="377"/>
      <c r="J836" s="377"/>
      <c r="K836" s="377"/>
      <c r="L836" s="377"/>
      <c r="M836" s="377"/>
      <c r="N836" s="377"/>
      <c r="O836" s="377"/>
    </row>
    <row r="837">
      <c r="B837" s="377"/>
      <c r="C837" s="377"/>
      <c r="D837" s="377"/>
      <c r="E837" s="377"/>
      <c r="F837" s="377"/>
      <c r="G837" s="377"/>
      <c r="H837" s="377"/>
      <c r="I837" s="377"/>
      <c r="J837" s="377"/>
      <c r="K837" s="377"/>
      <c r="L837" s="377"/>
      <c r="M837" s="377"/>
      <c r="N837" s="377"/>
      <c r="O837" s="377"/>
    </row>
    <row r="838">
      <c r="B838" s="377"/>
      <c r="C838" s="377"/>
      <c r="D838" s="377"/>
      <c r="E838" s="377"/>
      <c r="F838" s="377"/>
      <c r="G838" s="377"/>
      <c r="H838" s="377"/>
      <c r="I838" s="377"/>
      <c r="J838" s="377"/>
      <c r="K838" s="377"/>
      <c r="L838" s="377"/>
      <c r="M838" s="377"/>
      <c r="N838" s="377"/>
      <c r="O838" s="377"/>
    </row>
    <row r="839">
      <c r="B839" s="377"/>
      <c r="C839" s="377"/>
      <c r="D839" s="377"/>
      <c r="E839" s="377"/>
      <c r="F839" s="377"/>
      <c r="G839" s="377"/>
      <c r="H839" s="377"/>
      <c r="I839" s="377"/>
      <c r="J839" s="377"/>
      <c r="K839" s="377"/>
      <c r="L839" s="377"/>
      <c r="M839" s="377"/>
      <c r="N839" s="377"/>
      <c r="O839" s="377"/>
    </row>
    <row r="840">
      <c r="B840" s="377"/>
      <c r="C840" s="377"/>
      <c r="D840" s="377"/>
      <c r="E840" s="377"/>
      <c r="F840" s="377"/>
      <c r="G840" s="377"/>
      <c r="H840" s="377"/>
      <c r="I840" s="377"/>
      <c r="J840" s="377"/>
      <c r="K840" s="377"/>
      <c r="L840" s="377"/>
      <c r="M840" s="377"/>
      <c r="N840" s="377"/>
      <c r="O840" s="377"/>
    </row>
    <row r="841">
      <c r="B841" s="377"/>
      <c r="C841" s="377"/>
      <c r="D841" s="377"/>
      <c r="E841" s="377"/>
      <c r="F841" s="377"/>
      <c r="G841" s="377"/>
      <c r="H841" s="377"/>
      <c r="I841" s="377"/>
      <c r="J841" s="377"/>
      <c r="K841" s="377"/>
      <c r="L841" s="377"/>
      <c r="M841" s="377"/>
      <c r="N841" s="377"/>
      <c r="O841" s="377"/>
    </row>
    <row r="842">
      <c r="B842" s="377"/>
      <c r="C842" s="377"/>
      <c r="D842" s="377"/>
      <c r="E842" s="377"/>
      <c r="F842" s="377"/>
      <c r="G842" s="377"/>
      <c r="H842" s="377"/>
      <c r="I842" s="377"/>
      <c r="J842" s="377"/>
      <c r="K842" s="377"/>
      <c r="L842" s="377"/>
      <c r="M842" s="377"/>
      <c r="N842" s="377"/>
      <c r="O842" s="377"/>
    </row>
    <row r="843">
      <c r="B843" s="377"/>
      <c r="C843" s="377"/>
      <c r="D843" s="377"/>
      <c r="E843" s="377"/>
      <c r="F843" s="377"/>
      <c r="G843" s="377"/>
      <c r="H843" s="377"/>
      <c r="I843" s="377"/>
      <c r="J843" s="377"/>
      <c r="K843" s="377"/>
      <c r="L843" s="377"/>
      <c r="M843" s="377"/>
      <c r="N843" s="377"/>
      <c r="O843" s="377"/>
    </row>
    <row r="844">
      <c r="B844" s="377"/>
      <c r="C844" s="377"/>
      <c r="D844" s="377"/>
      <c r="E844" s="377"/>
      <c r="F844" s="377"/>
      <c r="G844" s="377"/>
      <c r="H844" s="377"/>
      <c r="I844" s="377"/>
      <c r="J844" s="377"/>
      <c r="K844" s="377"/>
      <c r="L844" s="377"/>
      <c r="M844" s="377"/>
      <c r="N844" s="377"/>
      <c r="O844" s="377"/>
    </row>
    <row r="845">
      <c r="B845" s="377"/>
      <c r="C845" s="377"/>
      <c r="D845" s="377"/>
      <c r="E845" s="377"/>
      <c r="F845" s="377"/>
      <c r="G845" s="377"/>
      <c r="H845" s="377"/>
      <c r="I845" s="377"/>
      <c r="J845" s="377"/>
      <c r="K845" s="377"/>
      <c r="L845" s="377"/>
      <c r="M845" s="377"/>
      <c r="N845" s="377"/>
      <c r="O845" s="377"/>
    </row>
    <row r="846">
      <c r="B846" s="377"/>
      <c r="C846" s="377"/>
      <c r="D846" s="377"/>
      <c r="E846" s="377"/>
      <c r="F846" s="377"/>
      <c r="G846" s="377"/>
      <c r="H846" s="377"/>
      <c r="I846" s="377"/>
      <c r="J846" s="377"/>
      <c r="K846" s="377"/>
      <c r="L846" s="377"/>
      <c r="M846" s="377"/>
      <c r="N846" s="377"/>
      <c r="O846" s="377"/>
    </row>
    <row r="847">
      <c r="B847" s="377"/>
      <c r="C847" s="377"/>
      <c r="D847" s="377"/>
      <c r="E847" s="377"/>
      <c r="F847" s="377"/>
      <c r="G847" s="377"/>
      <c r="H847" s="377"/>
      <c r="I847" s="377"/>
      <c r="J847" s="377"/>
      <c r="K847" s="377"/>
      <c r="L847" s="377"/>
      <c r="M847" s="377"/>
      <c r="N847" s="377"/>
      <c r="O847" s="377"/>
    </row>
    <row r="848">
      <c r="B848" s="377"/>
      <c r="C848" s="377"/>
      <c r="D848" s="377"/>
      <c r="E848" s="377"/>
      <c r="F848" s="377"/>
      <c r="G848" s="377"/>
      <c r="H848" s="377"/>
      <c r="I848" s="377"/>
      <c r="J848" s="377"/>
      <c r="K848" s="377"/>
      <c r="L848" s="377"/>
      <c r="M848" s="377"/>
      <c r="N848" s="377"/>
      <c r="O848" s="377"/>
    </row>
    <row r="849">
      <c r="B849" s="377"/>
      <c r="C849" s="377"/>
      <c r="D849" s="377"/>
      <c r="E849" s="377"/>
      <c r="F849" s="377"/>
      <c r="G849" s="377"/>
      <c r="H849" s="377"/>
      <c r="I849" s="377"/>
      <c r="J849" s="377"/>
      <c r="K849" s="377"/>
      <c r="L849" s="377"/>
      <c r="M849" s="377"/>
      <c r="N849" s="377"/>
      <c r="O849" s="377"/>
    </row>
    <row r="850">
      <c r="B850" s="377"/>
      <c r="C850" s="377"/>
      <c r="D850" s="377"/>
      <c r="E850" s="377"/>
      <c r="F850" s="377"/>
      <c r="G850" s="377"/>
      <c r="H850" s="377"/>
      <c r="I850" s="377"/>
      <c r="J850" s="377"/>
      <c r="K850" s="377"/>
      <c r="L850" s="377"/>
      <c r="M850" s="377"/>
      <c r="N850" s="377"/>
      <c r="O850" s="377"/>
    </row>
    <row r="851">
      <c r="B851" s="377"/>
      <c r="C851" s="377"/>
      <c r="D851" s="377"/>
      <c r="E851" s="377"/>
      <c r="F851" s="377"/>
      <c r="G851" s="377"/>
      <c r="H851" s="377"/>
      <c r="I851" s="377"/>
      <c r="J851" s="377"/>
      <c r="K851" s="377"/>
      <c r="L851" s="377"/>
      <c r="M851" s="377"/>
      <c r="N851" s="377"/>
      <c r="O851" s="377"/>
    </row>
    <row r="852">
      <c r="B852" s="377"/>
      <c r="C852" s="377"/>
      <c r="D852" s="377"/>
      <c r="E852" s="377"/>
      <c r="F852" s="377"/>
      <c r="G852" s="377"/>
      <c r="H852" s="377"/>
      <c r="I852" s="377"/>
      <c r="J852" s="377"/>
      <c r="K852" s="377"/>
      <c r="L852" s="377"/>
      <c r="M852" s="377"/>
      <c r="N852" s="377"/>
      <c r="O852" s="377"/>
    </row>
    <row r="853">
      <c r="B853" s="377"/>
      <c r="C853" s="377"/>
      <c r="D853" s="377"/>
      <c r="E853" s="377"/>
      <c r="F853" s="377"/>
      <c r="G853" s="377"/>
      <c r="H853" s="377"/>
      <c r="I853" s="377"/>
      <c r="J853" s="377"/>
      <c r="K853" s="377"/>
      <c r="L853" s="377"/>
      <c r="M853" s="377"/>
      <c r="N853" s="377"/>
      <c r="O853" s="377"/>
    </row>
    <row r="854">
      <c r="B854" s="377"/>
      <c r="C854" s="377"/>
      <c r="D854" s="377"/>
      <c r="E854" s="377"/>
      <c r="F854" s="377"/>
      <c r="G854" s="377"/>
      <c r="H854" s="377"/>
      <c r="I854" s="377"/>
      <c r="J854" s="377"/>
      <c r="K854" s="377"/>
      <c r="L854" s="377"/>
      <c r="M854" s="377"/>
      <c r="N854" s="377"/>
      <c r="O854" s="377"/>
    </row>
    <row r="855">
      <c r="B855" s="377"/>
      <c r="C855" s="377"/>
      <c r="D855" s="377"/>
      <c r="E855" s="377"/>
      <c r="F855" s="377"/>
      <c r="G855" s="377"/>
      <c r="H855" s="377"/>
      <c r="I855" s="377"/>
      <c r="J855" s="377"/>
      <c r="K855" s="377"/>
      <c r="L855" s="377"/>
      <c r="M855" s="377"/>
      <c r="N855" s="377"/>
      <c r="O855" s="377"/>
    </row>
    <row r="856">
      <c r="B856" s="377"/>
      <c r="C856" s="377"/>
      <c r="D856" s="377"/>
      <c r="E856" s="377"/>
      <c r="F856" s="377"/>
      <c r="G856" s="377"/>
      <c r="H856" s="377"/>
      <c r="I856" s="377"/>
      <c r="J856" s="377"/>
      <c r="K856" s="377"/>
      <c r="L856" s="377"/>
      <c r="M856" s="377"/>
      <c r="N856" s="377"/>
      <c r="O856" s="377"/>
    </row>
    <row r="857">
      <c r="B857" s="377"/>
      <c r="C857" s="377"/>
      <c r="D857" s="377"/>
      <c r="E857" s="377"/>
      <c r="F857" s="377"/>
      <c r="G857" s="377"/>
      <c r="H857" s="377"/>
      <c r="I857" s="377"/>
      <c r="J857" s="377"/>
      <c r="K857" s="377"/>
      <c r="L857" s="377"/>
      <c r="M857" s="377"/>
      <c r="N857" s="377"/>
      <c r="O857" s="377"/>
    </row>
    <row r="858">
      <c r="B858" s="377"/>
      <c r="C858" s="377"/>
      <c r="D858" s="377"/>
      <c r="E858" s="377"/>
      <c r="F858" s="377"/>
      <c r="G858" s="377"/>
      <c r="H858" s="377"/>
      <c r="I858" s="377"/>
      <c r="J858" s="377"/>
      <c r="K858" s="377"/>
      <c r="L858" s="377"/>
      <c r="M858" s="377"/>
      <c r="N858" s="377"/>
      <c r="O858" s="377"/>
    </row>
    <row r="859">
      <c r="B859" s="377"/>
      <c r="C859" s="377"/>
      <c r="D859" s="377"/>
      <c r="E859" s="377"/>
      <c r="F859" s="377"/>
      <c r="G859" s="377"/>
      <c r="H859" s="377"/>
      <c r="I859" s="377"/>
      <c r="J859" s="377"/>
      <c r="K859" s="377"/>
      <c r="L859" s="377"/>
      <c r="M859" s="377"/>
      <c r="N859" s="377"/>
      <c r="O859" s="377"/>
    </row>
    <row r="860">
      <c r="B860" s="377"/>
      <c r="C860" s="377"/>
      <c r="D860" s="377"/>
      <c r="E860" s="377"/>
      <c r="F860" s="377"/>
      <c r="G860" s="377"/>
      <c r="H860" s="377"/>
      <c r="I860" s="377"/>
      <c r="J860" s="377"/>
      <c r="K860" s="377"/>
      <c r="L860" s="377"/>
      <c r="M860" s="377"/>
      <c r="N860" s="377"/>
      <c r="O860" s="377"/>
    </row>
    <row r="861">
      <c r="B861" s="377"/>
      <c r="C861" s="377"/>
      <c r="D861" s="377"/>
      <c r="E861" s="377"/>
      <c r="F861" s="377"/>
      <c r="G861" s="377"/>
      <c r="H861" s="377"/>
      <c r="I861" s="377"/>
      <c r="J861" s="377"/>
      <c r="K861" s="377"/>
      <c r="L861" s="377"/>
      <c r="M861" s="377"/>
      <c r="N861" s="377"/>
      <c r="O861" s="377"/>
    </row>
    <row r="862">
      <c r="B862" s="377"/>
      <c r="C862" s="377"/>
      <c r="D862" s="377"/>
      <c r="E862" s="377"/>
      <c r="F862" s="377"/>
      <c r="G862" s="377"/>
      <c r="H862" s="377"/>
      <c r="I862" s="377"/>
      <c r="J862" s="377"/>
      <c r="K862" s="377"/>
      <c r="L862" s="377"/>
      <c r="M862" s="377"/>
      <c r="N862" s="377"/>
      <c r="O862" s="377"/>
    </row>
    <row r="863">
      <c r="B863" s="377"/>
      <c r="C863" s="377"/>
      <c r="D863" s="377"/>
      <c r="E863" s="377"/>
      <c r="F863" s="377"/>
      <c r="G863" s="377"/>
      <c r="H863" s="377"/>
      <c r="I863" s="377"/>
      <c r="J863" s="377"/>
      <c r="K863" s="377"/>
      <c r="L863" s="377"/>
      <c r="M863" s="377"/>
      <c r="N863" s="377"/>
      <c r="O863" s="377"/>
    </row>
    <row r="864">
      <c r="B864" s="377"/>
      <c r="C864" s="377"/>
      <c r="D864" s="377"/>
      <c r="E864" s="377"/>
      <c r="F864" s="377"/>
      <c r="G864" s="377"/>
      <c r="H864" s="377"/>
      <c r="I864" s="377"/>
      <c r="J864" s="377"/>
      <c r="K864" s="377"/>
      <c r="L864" s="377"/>
      <c r="M864" s="377"/>
      <c r="N864" s="377"/>
      <c r="O864" s="377"/>
    </row>
    <row r="865">
      <c r="B865" s="377"/>
      <c r="C865" s="377"/>
      <c r="D865" s="377"/>
      <c r="E865" s="377"/>
      <c r="F865" s="377"/>
      <c r="G865" s="377"/>
      <c r="H865" s="377"/>
      <c r="I865" s="377"/>
      <c r="J865" s="377"/>
      <c r="K865" s="377"/>
      <c r="L865" s="377"/>
      <c r="M865" s="377"/>
      <c r="N865" s="377"/>
      <c r="O865" s="377"/>
    </row>
    <row r="866">
      <c r="B866" s="377"/>
      <c r="C866" s="377"/>
      <c r="D866" s="377"/>
      <c r="E866" s="377"/>
      <c r="F866" s="377"/>
      <c r="G866" s="377"/>
      <c r="H866" s="377"/>
      <c r="I866" s="377"/>
      <c r="J866" s="377"/>
      <c r="K866" s="377"/>
      <c r="L866" s="377"/>
      <c r="M866" s="377"/>
      <c r="N866" s="377"/>
      <c r="O866" s="377"/>
    </row>
    <row r="867">
      <c r="B867" s="377"/>
      <c r="C867" s="377"/>
      <c r="D867" s="377"/>
      <c r="E867" s="377"/>
      <c r="F867" s="377"/>
      <c r="G867" s="377"/>
      <c r="H867" s="377"/>
      <c r="I867" s="377"/>
      <c r="J867" s="377"/>
      <c r="K867" s="377"/>
      <c r="L867" s="377"/>
      <c r="M867" s="377"/>
      <c r="N867" s="377"/>
      <c r="O867" s="377"/>
    </row>
    <row r="868">
      <c r="B868" s="377"/>
      <c r="C868" s="377"/>
      <c r="D868" s="377"/>
      <c r="E868" s="377"/>
      <c r="F868" s="377"/>
      <c r="G868" s="377"/>
      <c r="H868" s="377"/>
      <c r="I868" s="377"/>
      <c r="J868" s="377"/>
      <c r="K868" s="377"/>
      <c r="L868" s="377"/>
      <c r="M868" s="377"/>
      <c r="N868" s="377"/>
      <c r="O868" s="377"/>
    </row>
    <row r="869">
      <c r="B869" s="377"/>
      <c r="C869" s="377"/>
      <c r="D869" s="377"/>
      <c r="E869" s="377"/>
      <c r="F869" s="377"/>
      <c r="G869" s="377"/>
      <c r="H869" s="377"/>
      <c r="I869" s="377"/>
      <c r="J869" s="377"/>
      <c r="K869" s="377"/>
      <c r="L869" s="377"/>
      <c r="M869" s="377"/>
      <c r="N869" s="377"/>
      <c r="O869" s="377"/>
    </row>
    <row r="870">
      <c r="B870" s="377"/>
      <c r="C870" s="377"/>
      <c r="D870" s="377"/>
      <c r="E870" s="377"/>
      <c r="F870" s="377"/>
      <c r="G870" s="377"/>
      <c r="H870" s="377"/>
      <c r="I870" s="377"/>
      <c r="J870" s="377"/>
      <c r="K870" s="377"/>
      <c r="L870" s="377"/>
      <c r="M870" s="377"/>
      <c r="N870" s="377"/>
      <c r="O870" s="377"/>
    </row>
    <row r="871">
      <c r="B871" s="377"/>
      <c r="C871" s="377"/>
      <c r="D871" s="377"/>
      <c r="E871" s="377"/>
      <c r="F871" s="377"/>
      <c r="G871" s="377"/>
      <c r="H871" s="377"/>
      <c r="I871" s="377"/>
      <c r="J871" s="377"/>
      <c r="K871" s="377"/>
      <c r="L871" s="377"/>
      <c r="M871" s="377"/>
      <c r="N871" s="377"/>
      <c r="O871" s="377"/>
    </row>
    <row r="872">
      <c r="B872" s="377"/>
      <c r="C872" s="377"/>
      <c r="D872" s="377"/>
      <c r="E872" s="377"/>
      <c r="F872" s="377"/>
      <c r="G872" s="377"/>
      <c r="H872" s="377"/>
      <c r="I872" s="377"/>
      <c r="J872" s="377"/>
      <c r="K872" s="377"/>
      <c r="L872" s="377"/>
      <c r="M872" s="377"/>
      <c r="N872" s="377"/>
      <c r="O872" s="377"/>
    </row>
    <row r="873">
      <c r="B873" s="377"/>
      <c r="C873" s="377"/>
      <c r="D873" s="377"/>
      <c r="E873" s="377"/>
      <c r="F873" s="377"/>
      <c r="G873" s="377"/>
      <c r="H873" s="377"/>
      <c r="I873" s="377"/>
      <c r="J873" s="377"/>
      <c r="K873" s="377"/>
      <c r="L873" s="377"/>
      <c r="M873" s="377"/>
      <c r="N873" s="377"/>
      <c r="O873" s="377"/>
    </row>
    <row r="874">
      <c r="B874" s="377"/>
      <c r="C874" s="377"/>
      <c r="D874" s="377"/>
      <c r="E874" s="377"/>
      <c r="F874" s="377"/>
      <c r="G874" s="377"/>
      <c r="H874" s="377"/>
      <c r="I874" s="377"/>
      <c r="J874" s="377"/>
      <c r="K874" s="377"/>
      <c r="L874" s="377"/>
      <c r="M874" s="377"/>
      <c r="N874" s="377"/>
      <c r="O874" s="377"/>
    </row>
    <row r="875">
      <c r="B875" s="377"/>
      <c r="C875" s="377"/>
      <c r="D875" s="377"/>
      <c r="E875" s="377"/>
      <c r="F875" s="377"/>
      <c r="G875" s="377"/>
      <c r="H875" s="377"/>
      <c r="I875" s="377"/>
      <c r="J875" s="377"/>
      <c r="K875" s="377"/>
      <c r="L875" s="377"/>
      <c r="M875" s="377"/>
      <c r="N875" s="377"/>
      <c r="O875" s="377"/>
    </row>
    <row r="876">
      <c r="B876" s="377"/>
      <c r="C876" s="377"/>
      <c r="D876" s="377"/>
      <c r="E876" s="377"/>
      <c r="F876" s="377"/>
      <c r="G876" s="377"/>
      <c r="H876" s="377"/>
      <c r="I876" s="377"/>
      <c r="J876" s="377"/>
      <c r="K876" s="377"/>
      <c r="L876" s="377"/>
      <c r="M876" s="377"/>
      <c r="N876" s="377"/>
      <c r="O876" s="377"/>
    </row>
    <row r="877">
      <c r="B877" s="377"/>
      <c r="C877" s="377"/>
      <c r="D877" s="377"/>
      <c r="E877" s="377"/>
      <c r="F877" s="377"/>
      <c r="G877" s="377"/>
      <c r="H877" s="377"/>
      <c r="I877" s="377"/>
      <c r="J877" s="377"/>
      <c r="K877" s="377"/>
      <c r="L877" s="377"/>
      <c r="M877" s="377"/>
      <c r="N877" s="377"/>
      <c r="O877" s="377"/>
    </row>
    <row r="878">
      <c r="B878" s="377"/>
      <c r="C878" s="377"/>
      <c r="D878" s="377"/>
      <c r="E878" s="377"/>
      <c r="F878" s="377"/>
      <c r="G878" s="377"/>
      <c r="H878" s="377"/>
      <c r="I878" s="377"/>
      <c r="J878" s="377"/>
      <c r="K878" s="377"/>
      <c r="L878" s="377"/>
      <c r="M878" s="377"/>
      <c r="N878" s="377"/>
      <c r="O878" s="377"/>
    </row>
    <row r="879">
      <c r="B879" s="377"/>
      <c r="C879" s="377"/>
      <c r="D879" s="377"/>
      <c r="E879" s="377"/>
      <c r="F879" s="377"/>
      <c r="G879" s="377"/>
      <c r="H879" s="377"/>
      <c r="I879" s="377"/>
      <c r="J879" s="377"/>
      <c r="K879" s="377"/>
      <c r="L879" s="377"/>
      <c r="M879" s="377"/>
      <c r="N879" s="377"/>
      <c r="O879" s="377"/>
    </row>
    <row r="880">
      <c r="B880" s="377"/>
      <c r="C880" s="377"/>
      <c r="D880" s="377"/>
      <c r="E880" s="377"/>
      <c r="F880" s="377"/>
      <c r="G880" s="377"/>
      <c r="H880" s="377"/>
      <c r="I880" s="377"/>
      <c r="J880" s="377"/>
      <c r="K880" s="377"/>
      <c r="L880" s="377"/>
      <c r="M880" s="377"/>
      <c r="N880" s="377"/>
      <c r="O880" s="377"/>
    </row>
    <row r="881">
      <c r="B881" s="377"/>
      <c r="C881" s="377"/>
      <c r="D881" s="377"/>
      <c r="E881" s="377"/>
      <c r="F881" s="377"/>
      <c r="G881" s="377"/>
      <c r="H881" s="377"/>
      <c r="I881" s="377"/>
      <c r="J881" s="377"/>
      <c r="K881" s="377"/>
      <c r="L881" s="377"/>
      <c r="M881" s="377"/>
      <c r="N881" s="377"/>
      <c r="O881" s="377"/>
    </row>
    <row r="882">
      <c r="B882" s="377"/>
      <c r="C882" s="377"/>
      <c r="D882" s="377"/>
      <c r="E882" s="377"/>
      <c r="F882" s="377"/>
      <c r="G882" s="377"/>
      <c r="H882" s="377"/>
      <c r="I882" s="377"/>
      <c r="J882" s="377"/>
      <c r="K882" s="377"/>
      <c r="L882" s="377"/>
      <c r="M882" s="377"/>
      <c r="N882" s="377"/>
      <c r="O882" s="377"/>
    </row>
    <row r="883">
      <c r="B883" s="377"/>
      <c r="C883" s="377"/>
      <c r="D883" s="377"/>
      <c r="E883" s="377"/>
      <c r="F883" s="377"/>
      <c r="G883" s="377"/>
      <c r="H883" s="377"/>
      <c r="I883" s="377"/>
      <c r="J883" s="377"/>
      <c r="K883" s="377"/>
      <c r="L883" s="377"/>
      <c r="M883" s="377"/>
      <c r="N883" s="377"/>
      <c r="O883" s="377"/>
    </row>
    <row r="884">
      <c r="B884" s="377"/>
      <c r="C884" s="377"/>
      <c r="D884" s="377"/>
      <c r="E884" s="377"/>
      <c r="F884" s="377"/>
      <c r="G884" s="377"/>
      <c r="H884" s="377"/>
      <c r="I884" s="377"/>
      <c r="J884" s="377"/>
      <c r="K884" s="377"/>
      <c r="L884" s="377"/>
      <c r="M884" s="377"/>
      <c r="N884" s="377"/>
      <c r="O884" s="377"/>
    </row>
    <row r="885">
      <c r="B885" s="377"/>
      <c r="C885" s="377"/>
      <c r="D885" s="377"/>
      <c r="E885" s="377"/>
      <c r="F885" s="377"/>
      <c r="G885" s="377"/>
      <c r="H885" s="377"/>
      <c r="I885" s="377"/>
      <c r="J885" s="377"/>
      <c r="K885" s="377"/>
      <c r="L885" s="377"/>
      <c r="M885" s="377"/>
      <c r="N885" s="377"/>
      <c r="O885" s="377"/>
    </row>
    <row r="886">
      <c r="B886" s="377"/>
      <c r="C886" s="377"/>
      <c r="D886" s="377"/>
      <c r="E886" s="377"/>
      <c r="F886" s="377"/>
      <c r="G886" s="377"/>
      <c r="H886" s="377"/>
      <c r="I886" s="377"/>
      <c r="J886" s="377"/>
      <c r="K886" s="377"/>
      <c r="L886" s="377"/>
      <c r="M886" s="377"/>
      <c r="N886" s="377"/>
      <c r="O886" s="377"/>
    </row>
    <row r="887">
      <c r="B887" s="377"/>
      <c r="C887" s="377"/>
      <c r="D887" s="377"/>
      <c r="E887" s="377"/>
      <c r="F887" s="377"/>
      <c r="G887" s="377"/>
      <c r="H887" s="377"/>
      <c r="I887" s="377"/>
      <c r="J887" s="377"/>
      <c r="K887" s="377"/>
      <c r="L887" s="377"/>
      <c r="M887" s="377"/>
      <c r="N887" s="377"/>
      <c r="O887" s="377"/>
    </row>
    <row r="888">
      <c r="B888" s="377"/>
      <c r="C888" s="377"/>
      <c r="D888" s="377"/>
      <c r="E888" s="377"/>
      <c r="F888" s="377"/>
      <c r="G888" s="377"/>
      <c r="H888" s="377"/>
      <c r="I888" s="377"/>
      <c r="J888" s="377"/>
      <c r="K888" s="377"/>
      <c r="L888" s="377"/>
      <c r="M888" s="377"/>
      <c r="N888" s="377"/>
      <c r="O888" s="377"/>
    </row>
    <row r="889">
      <c r="B889" s="377"/>
      <c r="C889" s="377"/>
      <c r="D889" s="377"/>
      <c r="E889" s="377"/>
      <c r="F889" s="377"/>
      <c r="G889" s="377"/>
      <c r="H889" s="377"/>
      <c r="I889" s="377"/>
      <c r="J889" s="377"/>
      <c r="K889" s="377"/>
      <c r="L889" s="377"/>
      <c r="M889" s="377"/>
      <c r="N889" s="377"/>
      <c r="O889" s="377"/>
    </row>
    <row r="890">
      <c r="B890" s="377"/>
      <c r="C890" s="377"/>
      <c r="D890" s="377"/>
      <c r="E890" s="377"/>
      <c r="F890" s="377"/>
      <c r="G890" s="377"/>
      <c r="H890" s="377"/>
      <c r="I890" s="377"/>
      <c r="J890" s="377"/>
      <c r="K890" s="377"/>
      <c r="L890" s="377"/>
      <c r="M890" s="377"/>
      <c r="N890" s="377"/>
      <c r="O890" s="377"/>
    </row>
    <row r="891">
      <c r="B891" s="377"/>
      <c r="C891" s="377"/>
      <c r="D891" s="377"/>
      <c r="E891" s="377"/>
      <c r="F891" s="377"/>
      <c r="G891" s="377"/>
      <c r="H891" s="377"/>
      <c r="I891" s="377"/>
      <c r="J891" s="377"/>
      <c r="K891" s="377"/>
      <c r="L891" s="377"/>
      <c r="M891" s="377"/>
      <c r="N891" s="377"/>
      <c r="O891" s="377"/>
    </row>
    <row r="892">
      <c r="B892" s="377"/>
      <c r="C892" s="377"/>
      <c r="D892" s="377"/>
      <c r="E892" s="377"/>
      <c r="F892" s="377"/>
      <c r="G892" s="377"/>
      <c r="H892" s="377"/>
      <c r="I892" s="377"/>
      <c r="J892" s="377"/>
      <c r="K892" s="377"/>
      <c r="L892" s="377"/>
      <c r="M892" s="377"/>
      <c r="N892" s="377"/>
      <c r="O892" s="377"/>
    </row>
    <row r="893">
      <c r="B893" s="377"/>
      <c r="C893" s="377"/>
      <c r="D893" s="377"/>
      <c r="E893" s="377"/>
      <c r="F893" s="377"/>
      <c r="G893" s="377"/>
      <c r="H893" s="377"/>
      <c r="I893" s="377"/>
      <c r="J893" s="377"/>
      <c r="K893" s="377"/>
      <c r="L893" s="377"/>
      <c r="M893" s="377"/>
      <c r="N893" s="377"/>
      <c r="O893" s="377"/>
    </row>
    <row r="894">
      <c r="B894" s="377"/>
      <c r="C894" s="377"/>
      <c r="D894" s="377"/>
      <c r="E894" s="377"/>
      <c r="F894" s="377"/>
      <c r="G894" s="377"/>
      <c r="H894" s="377"/>
      <c r="I894" s="377"/>
      <c r="J894" s="377"/>
      <c r="K894" s="377"/>
      <c r="L894" s="377"/>
      <c r="M894" s="377"/>
      <c r="N894" s="377"/>
      <c r="O894" s="377"/>
    </row>
    <row r="895">
      <c r="B895" s="377"/>
      <c r="C895" s="377"/>
      <c r="D895" s="377"/>
      <c r="E895" s="377"/>
      <c r="F895" s="377"/>
      <c r="G895" s="377"/>
      <c r="H895" s="377"/>
      <c r="I895" s="377"/>
      <c r="J895" s="377"/>
      <c r="K895" s="377"/>
      <c r="L895" s="377"/>
      <c r="M895" s="377"/>
      <c r="N895" s="377"/>
      <c r="O895" s="377"/>
    </row>
    <row r="896">
      <c r="B896" s="377"/>
      <c r="C896" s="377"/>
      <c r="D896" s="377"/>
      <c r="E896" s="377"/>
      <c r="F896" s="377"/>
      <c r="G896" s="377"/>
      <c r="H896" s="377"/>
      <c r="I896" s="377"/>
      <c r="J896" s="377"/>
      <c r="K896" s="377"/>
      <c r="L896" s="377"/>
      <c r="M896" s="377"/>
      <c r="N896" s="377"/>
      <c r="O896" s="377"/>
    </row>
    <row r="897">
      <c r="B897" s="377"/>
      <c r="C897" s="377"/>
      <c r="D897" s="377"/>
      <c r="E897" s="377"/>
      <c r="F897" s="377"/>
      <c r="G897" s="377"/>
      <c r="H897" s="377"/>
      <c r="I897" s="377"/>
      <c r="J897" s="377"/>
      <c r="K897" s="377"/>
      <c r="L897" s="377"/>
      <c r="M897" s="377"/>
      <c r="N897" s="377"/>
      <c r="O897" s="377"/>
    </row>
    <row r="898">
      <c r="B898" s="377"/>
      <c r="C898" s="377"/>
      <c r="D898" s="377"/>
      <c r="E898" s="377"/>
      <c r="F898" s="377"/>
      <c r="G898" s="377"/>
      <c r="H898" s="377"/>
      <c r="I898" s="377"/>
      <c r="J898" s="377"/>
      <c r="K898" s="377"/>
      <c r="L898" s="377"/>
      <c r="M898" s="377"/>
      <c r="N898" s="377"/>
      <c r="O898" s="377"/>
    </row>
    <row r="899">
      <c r="B899" s="377"/>
      <c r="C899" s="377"/>
      <c r="D899" s="377"/>
      <c r="E899" s="377"/>
      <c r="F899" s="377"/>
      <c r="G899" s="377"/>
      <c r="H899" s="377"/>
      <c r="I899" s="377"/>
      <c r="J899" s="377"/>
      <c r="K899" s="377"/>
      <c r="L899" s="377"/>
      <c r="M899" s="377"/>
      <c r="N899" s="377"/>
      <c r="O899" s="377"/>
    </row>
    <row r="900">
      <c r="B900" s="377"/>
      <c r="C900" s="377"/>
      <c r="D900" s="377"/>
      <c r="E900" s="377"/>
      <c r="F900" s="377"/>
      <c r="G900" s="377"/>
      <c r="H900" s="377"/>
      <c r="I900" s="377"/>
      <c r="J900" s="377"/>
      <c r="K900" s="377"/>
      <c r="L900" s="377"/>
      <c r="M900" s="377"/>
      <c r="N900" s="377"/>
      <c r="O900" s="377"/>
    </row>
    <row r="901">
      <c r="B901" s="377"/>
      <c r="C901" s="377"/>
      <c r="D901" s="377"/>
      <c r="E901" s="377"/>
      <c r="F901" s="377"/>
      <c r="G901" s="377"/>
      <c r="H901" s="377"/>
      <c r="I901" s="377"/>
      <c r="J901" s="377"/>
      <c r="K901" s="377"/>
      <c r="L901" s="377"/>
      <c r="M901" s="377"/>
      <c r="N901" s="377"/>
      <c r="O901" s="377"/>
    </row>
    <row r="902">
      <c r="B902" s="377"/>
      <c r="C902" s="377"/>
      <c r="D902" s="377"/>
      <c r="E902" s="377"/>
      <c r="F902" s="377"/>
      <c r="G902" s="377"/>
      <c r="H902" s="377"/>
      <c r="I902" s="377"/>
      <c r="J902" s="377"/>
      <c r="K902" s="377"/>
      <c r="L902" s="377"/>
      <c r="M902" s="377"/>
      <c r="N902" s="377"/>
      <c r="O902" s="377"/>
    </row>
    <row r="903">
      <c r="B903" s="377"/>
      <c r="C903" s="377"/>
      <c r="D903" s="377"/>
      <c r="E903" s="377"/>
      <c r="F903" s="377"/>
      <c r="G903" s="377"/>
      <c r="H903" s="377"/>
      <c r="I903" s="377"/>
      <c r="J903" s="377"/>
      <c r="K903" s="377"/>
      <c r="L903" s="377"/>
      <c r="M903" s="377"/>
      <c r="N903" s="377"/>
      <c r="O903" s="377"/>
    </row>
    <row r="904">
      <c r="B904" s="377"/>
      <c r="C904" s="377"/>
      <c r="D904" s="377"/>
      <c r="E904" s="377"/>
      <c r="F904" s="377"/>
      <c r="G904" s="377"/>
      <c r="H904" s="377"/>
      <c r="I904" s="377"/>
      <c r="J904" s="377"/>
      <c r="K904" s="377"/>
      <c r="L904" s="377"/>
      <c r="M904" s="377"/>
      <c r="N904" s="377"/>
      <c r="O904" s="377"/>
    </row>
    <row r="905">
      <c r="B905" s="377"/>
      <c r="C905" s="377"/>
      <c r="D905" s="377"/>
      <c r="E905" s="377"/>
      <c r="F905" s="377"/>
      <c r="G905" s="377"/>
      <c r="H905" s="377"/>
      <c r="I905" s="377"/>
      <c r="J905" s="377"/>
      <c r="K905" s="377"/>
      <c r="L905" s="377"/>
      <c r="M905" s="377"/>
      <c r="N905" s="377"/>
      <c r="O905" s="377"/>
    </row>
    <row r="906">
      <c r="B906" s="377"/>
      <c r="C906" s="377"/>
      <c r="D906" s="377"/>
      <c r="E906" s="377"/>
      <c r="F906" s="377"/>
      <c r="G906" s="377"/>
      <c r="H906" s="377"/>
      <c r="I906" s="377"/>
      <c r="J906" s="377"/>
      <c r="K906" s="377"/>
      <c r="L906" s="377"/>
      <c r="M906" s="377"/>
      <c r="N906" s="377"/>
      <c r="O906" s="377"/>
    </row>
    <row r="907">
      <c r="B907" s="377"/>
      <c r="C907" s="377"/>
      <c r="D907" s="377"/>
      <c r="E907" s="377"/>
      <c r="F907" s="377"/>
      <c r="G907" s="377"/>
      <c r="H907" s="377"/>
      <c r="I907" s="377"/>
      <c r="J907" s="377"/>
      <c r="K907" s="377"/>
      <c r="L907" s="377"/>
      <c r="M907" s="377"/>
      <c r="N907" s="377"/>
      <c r="O907" s="377"/>
    </row>
    <row r="908">
      <c r="B908" s="377"/>
      <c r="C908" s="377"/>
      <c r="D908" s="377"/>
      <c r="E908" s="377"/>
      <c r="F908" s="377"/>
      <c r="G908" s="377"/>
      <c r="H908" s="377"/>
      <c r="I908" s="377"/>
      <c r="J908" s="377"/>
      <c r="K908" s="377"/>
      <c r="L908" s="377"/>
      <c r="M908" s="377"/>
      <c r="N908" s="377"/>
      <c r="O908" s="377"/>
    </row>
    <row r="909">
      <c r="B909" s="377"/>
      <c r="C909" s="377"/>
      <c r="D909" s="377"/>
      <c r="E909" s="377"/>
      <c r="F909" s="377"/>
      <c r="G909" s="377"/>
      <c r="H909" s="377"/>
      <c r="I909" s="377"/>
      <c r="J909" s="377"/>
      <c r="K909" s="377"/>
      <c r="L909" s="377"/>
      <c r="M909" s="377"/>
      <c r="N909" s="377"/>
      <c r="O909" s="377"/>
    </row>
    <row r="910">
      <c r="B910" s="377"/>
      <c r="C910" s="377"/>
      <c r="D910" s="377"/>
      <c r="E910" s="377"/>
      <c r="F910" s="377"/>
      <c r="G910" s="377"/>
      <c r="H910" s="377"/>
      <c r="I910" s="377"/>
      <c r="J910" s="377"/>
      <c r="K910" s="377"/>
      <c r="L910" s="377"/>
      <c r="M910" s="377"/>
      <c r="N910" s="377"/>
      <c r="O910" s="377"/>
    </row>
    <row r="911">
      <c r="B911" s="377"/>
      <c r="C911" s="377"/>
      <c r="D911" s="377"/>
      <c r="E911" s="377"/>
      <c r="F911" s="377"/>
      <c r="G911" s="377"/>
      <c r="H911" s="377"/>
      <c r="I911" s="377"/>
      <c r="J911" s="377"/>
      <c r="K911" s="377"/>
      <c r="L911" s="377"/>
      <c r="M911" s="377"/>
      <c r="N911" s="377"/>
      <c r="O911" s="377"/>
    </row>
    <row r="912">
      <c r="B912" s="377"/>
      <c r="C912" s="377"/>
      <c r="D912" s="377"/>
      <c r="E912" s="377"/>
      <c r="F912" s="377"/>
      <c r="G912" s="377"/>
      <c r="H912" s="377"/>
      <c r="I912" s="377"/>
      <c r="J912" s="377"/>
      <c r="K912" s="377"/>
      <c r="L912" s="377"/>
      <c r="M912" s="377"/>
      <c r="N912" s="377"/>
      <c r="O912" s="377"/>
    </row>
    <row r="913">
      <c r="B913" s="377"/>
      <c r="C913" s="377"/>
      <c r="D913" s="377"/>
      <c r="E913" s="377"/>
      <c r="F913" s="377"/>
      <c r="G913" s="377"/>
      <c r="H913" s="377"/>
      <c r="I913" s="377"/>
      <c r="J913" s="377"/>
      <c r="K913" s="377"/>
      <c r="L913" s="377"/>
      <c r="M913" s="377"/>
      <c r="N913" s="377"/>
      <c r="O913" s="377"/>
    </row>
    <row r="914">
      <c r="B914" s="377"/>
      <c r="C914" s="377"/>
      <c r="D914" s="377"/>
      <c r="E914" s="377"/>
      <c r="F914" s="377"/>
      <c r="G914" s="377"/>
      <c r="H914" s="377"/>
      <c r="I914" s="377"/>
      <c r="J914" s="377"/>
      <c r="K914" s="377"/>
      <c r="L914" s="377"/>
      <c r="M914" s="377"/>
      <c r="N914" s="377"/>
      <c r="O914" s="377"/>
    </row>
    <row r="915">
      <c r="B915" s="377"/>
      <c r="C915" s="377"/>
      <c r="D915" s="377"/>
      <c r="E915" s="377"/>
      <c r="F915" s="377"/>
      <c r="G915" s="377"/>
      <c r="H915" s="377"/>
      <c r="I915" s="377"/>
      <c r="J915" s="377"/>
      <c r="K915" s="377"/>
      <c r="L915" s="377"/>
      <c r="M915" s="377"/>
      <c r="N915" s="377"/>
      <c r="O915" s="377"/>
    </row>
    <row r="916">
      <c r="B916" s="377"/>
      <c r="C916" s="377"/>
      <c r="D916" s="377"/>
      <c r="E916" s="377"/>
      <c r="F916" s="377"/>
      <c r="G916" s="377"/>
      <c r="H916" s="377"/>
      <c r="I916" s="377"/>
      <c r="J916" s="377"/>
      <c r="K916" s="377"/>
      <c r="L916" s="377"/>
      <c r="M916" s="377"/>
      <c r="N916" s="377"/>
      <c r="O916" s="377"/>
    </row>
    <row r="917">
      <c r="B917" s="377"/>
      <c r="C917" s="377"/>
      <c r="D917" s="377"/>
      <c r="E917" s="377"/>
      <c r="F917" s="377"/>
      <c r="G917" s="377"/>
      <c r="H917" s="377"/>
      <c r="I917" s="377"/>
      <c r="J917" s="377"/>
      <c r="K917" s="377"/>
      <c r="L917" s="377"/>
      <c r="M917" s="377"/>
      <c r="N917" s="377"/>
      <c r="O917" s="377"/>
    </row>
    <row r="918">
      <c r="B918" s="377"/>
      <c r="C918" s="377"/>
      <c r="D918" s="377"/>
      <c r="E918" s="377"/>
      <c r="F918" s="377"/>
      <c r="G918" s="377"/>
      <c r="H918" s="377"/>
      <c r="I918" s="377"/>
      <c r="J918" s="377"/>
      <c r="K918" s="377"/>
      <c r="L918" s="377"/>
      <c r="M918" s="377"/>
      <c r="N918" s="377"/>
      <c r="O918" s="377"/>
    </row>
    <row r="919">
      <c r="B919" s="377"/>
      <c r="C919" s="377"/>
      <c r="D919" s="377"/>
      <c r="E919" s="377"/>
      <c r="F919" s="377"/>
      <c r="G919" s="377"/>
      <c r="H919" s="377"/>
      <c r="I919" s="377"/>
      <c r="J919" s="377"/>
      <c r="K919" s="377"/>
      <c r="L919" s="377"/>
      <c r="M919" s="377"/>
      <c r="N919" s="377"/>
      <c r="O919" s="377"/>
    </row>
    <row r="920">
      <c r="B920" s="377"/>
      <c r="C920" s="377"/>
      <c r="D920" s="377"/>
      <c r="E920" s="377"/>
      <c r="F920" s="377"/>
      <c r="G920" s="377"/>
      <c r="H920" s="377"/>
      <c r="I920" s="377"/>
      <c r="J920" s="377"/>
      <c r="K920" s="377"/>
      <c r="L920" s="377"/>
      <c r="M920" s="377"/>
      <c r="N920" s="377"/>
      <c r="O920" s="377"/>
    </row>
    <row r="921">
      <c r="B921" s="377"/>
      <c r="C921" s="377"/>
      <c r="D921" s="377"/>
      <c r="E921" s="377"/>
      <c r="F921" s="377"/>
      <c r="G921" s="377"/>
      <c r="H921" s="377"/>
      <c r="I921" s="377"/>
      <c r="J921" s="377"/>
      <c r="K921" s="377"/>
      <c r="L921" s="377"/>
      <c r="M921" s="377"/>
      <c r="N921" s="377"/>
      <c r="O921" s="377"/>
    </row>
    <row r="922">
      <c r="B922" s="377"/>
      <c r="C922" s="377"/>
      <c r="D922" s="377"/>
      <c r="E922" s="377"/>
      <c r="F922" s="377"/>
      <c r="G922" s="377"/>
      <c r="H922" s="377"/>
      <c r="I922" s="377"/>
      <c r="J922" s="377"/>
      <c r="K922" s="377"/>
      <c r="L922" s="377"/>
      <c r="M922" s="377"/>
      <c r="N922" s="377"/>
      <c r="O922" s="377"/>
    </row>
    <row r="923">
      <c r="B923" s="377"/>
      <c r="C923" s="377"/>
      <c r="D923" s="377"/>
      <c r="E923" s="377"/>
      <c r="F923" s="377"/>
      <c r="G923" s="377"/>
      <c r="H923" s="377"/>
      <c r="I923" s="377"/>
      <c r="J923" s="377"/>
      <c r="K923" s="377"/>
      <c r="L923" s="377"/>
      <c r="M923" s="377"/>
      <c r="N923" s="377"/>
      <c r="O923" s="377"/>
    </row>
    <row r="924">
      <c r="B924" s="377"/>
      <c r="C924" s="377"/>
      <c r="D924" s="377"/>
      <c r="E924" s="377"/>
      <c r="F924" s="377"/>
      <c r="G924" s="377"/>
      <c r="H924" s="377"/>
      <c r="I924" s="377"/>
      <c r="J924" s="377"/>
      <c r="K924" s="377"/>
      <c r="L924" s="377"/>
      <c r="M924" s="377"/>
      <c r="N924" s="377"/>
      <c r="O924" s="377"/>
    </row>
    <row r="925">
      <c r="B925" s="377"/>
      <c r="C925" s="377"/>
      <c r="D925" s="377"/>
      <c r="E925" s="377"/>
      <c r="F925" s="377"/>
      <c r="G925" s="377"/>
      <c r="H925" s="377"/>
      <c r="I925" s="377"/>
      <c r="J925" s="377"/>
      <c r="K925" s="377"/>
      <c r="L925" s="377"/>
      <c r="M925" s="377"/>
      <c r="N925" s="377"/>
      <c r="O925" s="377"/>
    </row>
    <row r="926">
      <c r="B926" s="377"/>
      <c r="C926" s="377"/>
      <c r="D926" s="377"/>
      <c r="E926" s="377"/>
      <c r="F926" s="377"/>
      <c r="G926" s="377"/>
      <c r="H926" s="377"/>
      <c r="I926" s="377"/>
      <c r="J926" s="377"/>
      <c r="K926" s="377"/>
      <c r="L926" s="377"/>
      <c r="M926" s="377"/>
      <c r="N926" s="377"/>
      <c r="O926" s="377"/>
    </row>
    <row r="927">
      <c r="B927" s="377"/>
      <c r="C927" s="377"/>
      <c r="D927" s="377"/>
      <c r="E927" s="377"/>
      <c r="F927" s="377"/>
      <c r="G927" s="377"/>
      <c r="H927" s="377"/>
      <c r="I927" s="377"/>
      <c r="J927" s="377"/>
      <c r="K927" s="377"/>
      <c r="L927" s="377"/>
      <c r="M927" s="377"/>
      <c r="N927" s="377"/>
      <c r="O927" s="377"/>
    </row>
    <row r="928">
      <c r="B928" s="377"/>
      <c r="C928" s="377"/>
      <c r="D928" s="377"/>
      <c r="E928" s="377"/>
      <c r="F928" s="377"/>
      <c r="G928" s="377"/>
      <c r="H928" s="377"/>
      <c r="I928" s="377"/>
      <c r="J928" s="377"/>
      <c r="K928" s="377"/>
      <c r="L928" s="377"/>
      <c r="M928" s="377"/>
      <c r="N928" s="377"/>
      <c r="O928" s="377"/>
    </row>
    <row r="929">
      <c r="B929" s="377"/>
      <c r="C929" s="377"/>
      <c r="D929" s="377"/>
      <c r="E929" s="377"/>
      <c r="F929" s="377"/>
      <c r="G929" s="377"/>
      <c r="H929" s="377"/>
      <c r="I929" s="377"/>
      <c r="J929" s="377"/>
      <c r="K929" s="377"/>
      <c r="L929" s="377"/>
      <c r="M929" s="377"/>
      <c r="N929" s="377"/>
      <c r="O929" s="377"/>
    </row>
    <row r="930">
      <c r="B930" s="377"/>
      <c r="C930" s="377"/>
      <c r="D930" s="377"/>
      <c r="E930" s="377"/>
      <c r="F930" s="377"/>
      <c r="G930" s="377"/>
      <c r="H930" s="377"/>
      <c r="I930" s="377"/>
      <c r="J930" s="377"/>
      <c r="K930" s="377"/>
      <c r="L930" s="377"/>
      <c r="M930" s="377"/>
      <c r="N930" s="377"/>
      <c r="O930" s="377"/>
    </row>
    <row r="931">
      <c r="B931" s="377"/>
      <c r="C931" s="377"/>
      <c r="D931" s="377"/>
      <c r="E931" s="377"/>
      <c r="F931" s="377"/>
      <c r="G931" s="377"/>
      <c r="H931" s="377"/>
      <c r="I931" s="377"/>
      <c r="J931" s="377"/>
      <c r="K931" s="377"/>
      <c r="L931" s="377"/>
      <c r="M931" s="377"/>
      <c r="N931" s="377"/>
      <c r="O931" s="377"/>
    </row>
    <row r="932">
      <c r="B932" s="377"/>
      <c r="C932" s="377"/>
      <c r="D932" s="377"/>
      <c r="E932" s="377"/>
      <c r="F932" s="377"/>
      <c r="G932" s="377"/>
      <c r="H932" s="377"/>
      <c r="I932" s="377"/>
      <c r="J932" s="377"/>
      <c r="K932" s="377"/>
      <c r="L932" s="377"/>
      <c r="M932" s="377"/>
      <c r="N932" s="377"/>
      <c r="O932" s="377"/>
    </row>
    <row r="933">
      <c r="B933" s="377"/>
      <c r="C933" s="377"/>
      <c r="D933" s="377"/>
      <c r="E933" s="377"/>
      <c r="F933" s="377"/>
      <c r="G933" s="377"/>
      <c r="H933" s="377"/>
      <c r="I933" s="377"/>
      <c r="J933" s="377"/>
      <c r="K933" s="377"/>
      <c r="L933" s="377"/>
      <c r="M933" s="377"/>
      <c r="N933" s="377"/>
      <c r="O933" s="377"/>
    </row>
    <row r="934">
      <c r="B934" s="377"/>
      <c r="C934" s="377"/>
      <c r="D934" s="377"/>
      <c r="E934" s="377"/>
      <c r="F934" s="377"/>
      <c r="G934" s="377"/>
      <c r="H934" s="377"/>
      <c r="I934" s="377"/>
      <c r="J934" s="377"/>
      <c r="K934" s="377"/>
      <c r="L934" s="377"/>
      <c r="M934" s="377"/>
      <c r="N934" s="377"/>
      <c r="O934" s="377"/>
    </row>
    <row r="935">
      <c r="B935" s="377"/>
      <c r="C935" s="377"/>
      <c r="D935" s="377"/>
      <c r="E935" s="377"/>
      <c r="F935" s="377"/>
      <c r="G935" s="377"/>
      <c r="H935" s="377"/>
      <c r="I935" s="377"/>
      <c r="J935" s="377"/>
      <c r="K935" s="377"/>
      <c r="L935" s="377"/>
      <c r="M935" s="377"/>
      <c r="N935" s="377"/>
      <c r="O935" s="377"/>
    </row>
    <row r="936">
      <c r="B936" s="377"/>
      <c r="C936" s="377"/>
      <c r="D936" s="377"/>
      <c r="E936" s="377"/>
      <c r="F936" s="377"/>
      <c r="G936" s="377"/>
      <c r="H936" s="377"/>
      <c r="I936" s="377"/>
      <c r="J936" s="377"/>
      <c r="K936" s="377"/>
      <c r="L936" s="377"/>
      <c r="M936" s="377"/>
      <c r="N936" s="377"/>
      <c r="O936" s="377"/>
    </row>
    <row r="937">
      <c r="B937" s="377"/>
      <c r="C937" s="377"/>
      <c r="D937" s="377"/>
      <c r="E937" s="377"/>
      <c r="F937" s="377"/>
      <c r="G937" s="377"/>
      <c r="H937" s="377"/>
      <c r="I937" s="377"/>
      <c r="J937" s="377"/>
      <c r="K937" s="377"/>
      <c r="L937" s="377"/>
      <c r="M937" s="377"/>
      <c r="N937" s="377"/>
      <c r="O937" s="377"/>
    </row>
    <row r="938">
      <c r="B938" s="377"/>
      <c r="C938" s="377"/>
      <c r="D938" s="377"/>
      <c r="E938" s="377"/>
      <c r="F938" s="377"/>
      <c r="G938" s="377"/>
      <c r="H938" s="377"/>
      <c r="I938" s="377"/>
      <c r="J938" s="377"/>
      <c r="K938" s="377"/>
      <c r="L938" s="377"/>
      <c r="M938" s="377"/>
      <c r="N938" s="377"/>
      <c r="O938" s="377"/>
    </row>
    <row r="939">
      <c r="B939" s="377"/>
      <c r="C939" s="377"/>
      <c r="D939" s="377"/>
      <c r="E939" s="377"/>
      <c r="F939" s="377"/>
      <c r="G939" s="377"/>
      <c r="H939" s="377"/>
      <c r="I939" s="377"/>
      <c r="J939" s="377"/>
      <c r="K939" s="377"/>
      <c r="L939" s="377"/>
      <c r="M939" s="377"/>
      <c r="N939" s="377"/>
      <c r="O939" s="377"/>
    </row>
    <row r="940">
      <c r="B940" s="377"/>
      <c r="C940" s="377"/>
      <c r="D940" s="377"/>
      <c r="E940" s="377"/>
      <c r="F940" s="377"/>
      <c r="G940" s="377"/>
      <c r="H940" s="377"/>
      <c r="I940" s="377"/>
      <c r="J940" s="377"/>
      <c r="K940" s="377"/>
      <c r="L940" s="377"/>
      <c r="M940" s="377"/>
      <c r="N940" s="377"/>
      <c r="O940" s="377"/>
    </row>
    <row r="941">
      <c r="B941" s="377"/>
      <c r="C941" s="377"/>
      <c r="D941" s="377"/>
      <c r="E941" s="377"/>
      <c r="F941" s="377"/>
      <c r="G941" s="377"/>
      <c r="H941" s="377"/>
      <c r="I941" s="377"/>
      <c r="J941" s="377"/>
      <c r="K941" s="377"/>
      <c r="L941" s="377"/>
      <c r="M941" s="377"/>
      <c r="N941" s="377"/>
      <c r="O941" s="377"/>
    </row>
    <row r="942">
      <c r="B942" s="377"/>
      <c r="C942" s="377"/>
      <c r="D942" s="377"/>
      <c r="E942" s="377"/>
      <c r="F942" s="377"/>
      <c r="G942" s="377"/>
      <c r="H942" s="377"/>
      <c r="I942" s="377"/>
      <c r="J942" s="377"/>
      <c r="K942" s="377"/>
      <c r="L942" s="377"/>
      <c r="M942" s="377"/>
      <c r="N942" s="377"/>
      <c r="O942" s="377"/>
    </row>
    <row r="943">
      <c r="B943" s="377"/>
      <c r="C943" s="377"/>
      <c r="D943" s="377"/>
      <c r="E943" s="377"/>
      <c r="F943" s="377"/>
      <c r="G943" s="377"/>
      <c r="H943" s="377"/>
      <c r="I943" s="377"/>
      <c r="J943" s="377"/>
      <c r="K943" s="377"/>
      <c r="L943" s="377"/>
      <c r="M943" s="377"/>
      <c r="N943" s="377"/>
      <c r="O943" s="377"/>
    </row>
    <row r="944">
      <c r="B944" s="377"/>
      <c r="C944" s="377"/>
      <c r="D944" s="377"/>
      <c r="E944" s="377"/>
      <c r="F944" s="377"/>
      <c r="G944" s="377"/>
      <c r="H944" s="377"/>
      <c r="I944" s="377"/>
      <c r="J944" s="377"/>
      <c r="K944" s="377"/>
      <c r="L944" s="377"/>
      <c r="M944" s="377"/>
      <c r="N944" s="377"/>
      <c r="O944" s="377"/>
    </row>
    <row r="945">
      <c r="B945" s="377"/>
      <c r="C945" s="377"/>
      <c r="D945" s="377"/>
      <c r="E945" s="377"/>
      <c r="F945" s="377"/>
      <c r="G945" s="377"/>
      <c r="H945" s="377"/>
      <c r="I945" s="377"/>
      <c r="J945" s="377"/>
      <c r="K945" s="377"/>
      <c r="L945" s="377"/>
      <c r="M945" s="377"/>
      <c r="N945" s="377"/>
      <c r="O945" s="377"/>
    </row>
    <row r="946">
      <c r="B946" s="377"/>
      <c r="C946" s="377"/>
      <c r="D946" s="377"/>
      <c r="E946" s="377"/>
      <c r="F946" s="377"/>
      <c r="G946" s="377"/>
      <c r="H946" s="377"/>
      <c r="I946" s="377"/>
      <c r="J946" s="377"/>
      <c r="K946" s="377"/>
      <c r="L946" s="377"/>
      <c r="M946" s="377"/>
      <c r="N946" s="377"/>
      <c r="O946" s="377"/>
    </row>
    <row r="947">
      <c r="B947" s="377"/>
      <c r="C947" s="377"/>
      <c r="D947" s="377"/>
      <c r="E947" s="377"/>
      <c r="F947" s="377"/>
      <c r="G947" s="377"/>
      <c r="H947" s="377"/>
      <c r="I947" s="377"/>
      <c r="J947" s="377"/>
      <c r="K947" s="377"/>
      <c r="L947" s="377"/>
      <c r="M947" s="377"/>
      <c r="N947" s="377"/>
      <c r="O947" s="377"/>
    </row>
    <row r="948">
      <c r="B948" s="377"/>
      <c r="C948" s="377"/>
      <c r="D948" s="377"/>
      <c r="E948" s="377"/>
      <c r="F948" s="377"/>
      <c r="G948" s="377"/>
      <c r="H948" s="377"/>
      <c r="I948" s="377"/>
      <c r="J948" s="377"/>
      <c r="K948" s="377"/>
      <c r="L948" s="377"/>
      <c r="M948" s="377"/>
      <c r="N948" s="377"/>
      <c r="O948" s="377"/>
    </row>
    <row r="949">
      <c r="B949" s="377"/>
      <c r="C949" s="377"/>
      <c r="D949" s="377"/>
      <c r="E949" s="377"/>
      <c r="F949" s="377"/>
      <c r="G949" s="377"/>
      <c r="H949" s="377"/>
      <c r="I949" s="377"/>
      <c r="J949" s="377"/>
      <c r="K949" s="377"/>
      <c r="L949" s="377"/>
      <c r="M949" s="377"/>
      <c r="N949" s="377"/>
      <c r="O949" s="377"/>
    </row>
    <row r="950">
      <c r="B950" s="377"/>
      <c r="C950" s="377"/>
      <c r="D950" s="377"/>
      <c r="E950" s="377"/>
      <c r="F950" s="377"/>
      <c r="G950" s="377"/>
      <c r="H950" s="377"/>
      <c r="I950" s="377"/>
      <c r="J950" s="377"/>
      <c r="K950" s="377"/>
      <c r="L950" s="377"/>
      <c r="M950" s="377"/>
      <c r="N950" s="377"/>
      <c r="O950" s="377"/>
    </row>
    <row r="951">
      <c r="B951" s="377"/>
      <c r="C951" s="377"/>
      <c r="D951" s="377"/>
      <c r="E951" s="377"/>
      <c r="F951" s="377"/>
      <c r="G951" s="377"/>
      <c r="H951" s="377"/>
      <c r="I951" s="377"/>
      <c r="J951" s="377"/>
      <c r="K951" s="377"/>
      <c r="L951" s="377"/>
      <c r="M951" s="377"/>
      <c r="N951" s="377"/>
      <c r="O951" s="377"/>
    </row>
    <row r="952">
      <c r="B952" s="377"/>
      <c r="C952" s="377"/>
      <c r="D952" s="377"/>
      <c r="E952" s="377"/>
      <c r="F952" s="377"/>
      <c r="G952" s="377"/>
      <c r="H952" s="377"/>
      <c r="I952" s="377"/>
      <c r="J952" s="377"/>
      <c r="K952" s="377"/>
      <c r="L952" s="377"/>
      <c r="M952" s="377"/>
      <c r="N952" s="377"/>
      <c r="O952" s="377"/>
    </row>
    <row r="953">
      <c r="B953" s="377"/>
      <c r="C953" s="377"/>
      <c r="D953" s="377"/>
      <c r="E953" s="377"/>
      <c r="F953" s="377"/>
      <c r="G953" s="377"/>
      <c r="H953" s="377"/>
      <c r="I953" s="377"/>
      <c r="J953" s="377"/>
      <c r="K953" s="377"/>
      <c r="L953" s="377"/>
      <c r="M953" s="377"/>
      <c r="N953" s="377"/>
      <c r="O953" s="377"/>
    </row>
    <row r="954">
      <c r="B954" s="377"/>
      <c r="C954" s="377"/>
      <c r="D954" s="377"/>
      <c r="E954" s="377"/>
      <c r="F954" s="377"/>
      <c r="G954" s="377"/>
      <c r="H954" s="377"/>
      <c r="I954" s="377"/>
      <c r="J954" s="377"/>
      <c r="K954" s="377"/>
      <c r="L954" s="377"/>
      <c r="M954" s="377"/>
      <c r="N954" s="377"/>
      <c r="O954" s="377"/>
    </row>
    <row r="955">
      <c r="B955" s="377"/>
      <c r="C955" s="377"/>
      <c r="D955" s="377"/>
      <c r="E955" s="377"/>
      <c r="F955" s="377"/>
      <c r="G955" s="377"/>
      <c r="H955" s="377"/>
      <c r="I955" s="377"/>
      <c r="J955" s="377"/>
      <c r="K955" s="377"/>
      <c r="L955" s="377"/>
      <c r="M955" s="377"/>
      <c r="N955" s="377"/>
      <c r="O955" s="377"/>
    </row>
    <row r="956">
      <c r="B956" s="377"/>
      <c r="C956" s="377"/>
      <c r="D956" s="377"/>
      <c r="E956" s="377"/>
      <c r="F956" s="377"/>
      <c r="G956" s="377"/>
      <c r="H956" s="377"/>
      <c r="I956" s="377"/>
      <c r="J956" s="377"/>
      <c r="K956" s="377"/>
      <c r="L956" s="377"/>
      <c r="M956" s="377"/>
      <c r="N956" s="377"/>
      <c r="O956" s="377"/>
    </row>
    <row r="957">
      <c r="B957" s="377"/>
      <c r="C957" s="377"/>
      <c r="D957" s="377"/>
      <c r="E957" s="377"/>
      <c r="F957" s="377"/>
      <c r="G957" s="377"/>
      <c r="H957" s="377"/>
      <c r="I957" s="377"/>
      <c r="J957" s="377"/>
      <c r="K957" s="377"/>
      <c r="L957" s="377"/>
      <c r="M957" s="377"/>
      <c r="N957" s="377"/>
      <c r="O957" s="377"/>
    </row>
    <row r="958">
      <c r="B958" s="377"/>
      <c r="C958" s="377"/>
      <c r="D958" s="377"/>
      <c r="E958" s="377"/>
      <c r="F958" s="377"/>
      <c r="G958" s="377"/>
      <c r="H958" s="377"/>
      <c r="I958" s="377"/>
      <c r="J958" s="377"/>
      <c r="K958" s="377"/>
      <c r="L958" s="377"/>
      <c r="M958" s="377"/>
      <c r="N958" s="377"/>
      <c r="O958" s="377"/>
    </row>
    <row r="959">
      <c r="B959" s="377"/>
      <c r="C959" s="377"/>
      <c r="D959" s="377"/>
      <c r="E959" s="377"/>
      <c r="F959" s="377"/>
      <c r="G959" s="377"/>
      <c r="H959" s="377"/>
      <c r="I959" s="377"/>
      <c r="J959" s="377"/>
      <c r="K959" s="377"/>
      <c r="L959" s="377"/>
      <c r="M959" s="377"/>
      <c r="N959" s="377"/>
      <c r="O959" s="377"/>
    </row>
    <row r="960">
      <c r="B960" s="377"/>
      <c r="C960" s="377"/>
      <c r="D960" s="377"/>
      <c r="E960" s="377"/>
      <c r="F960" s="377"/>
      <c r="G960" s="377"/>
      <c r="H960" s="377"/>
      <c r="I960" s="377"/>
      <c r="J960" s="377"/>
      <c r="K960" s="377"/>
      <c r="L960" s="377"/>
      <c r="M960" s="377"/>
      <c r="N960" s="377"/>
      <c r="O960" s="377"/>
    </row>
    <row r="961">
      <c r="B961" s="377"/>
      <c r="C961" s="377"/>
      <c r="D961" s="377"/>
      <c r="E961" s="377"/>
      <c r="F961" s="377"/>
      <c r="G961" s="377"/>
      <c r="H961" s="377"/>
      <c r="I961" s="377"/>
      <c r="J961" s="377"/>
      <c r="K961" s="377"/>
      <c r="L961" s="377"/>
      <c r="M961" s="377"/>
      <c r="N961" s="377"/>
      <c r="O961" s="377"/>
    </row>
    <row r="962">
      <c r="B962" s="377"/>
      <c r="C962" s="377"/>
      <c r="D962" s="377"/>
      <c r="E962" s="377"/>
      <c r="F962" s="377"/>
      <c r="G962" s="377"/>
      <c r="H962" s="377"/>
      <c r="I962" s="377"/>
      <c r="J962" s="377"/>
      <c r="K962" s="377"/>
      <c r="L962" s="377"/>
      <c r="M962" s="377"/>
      <c r="N962" s="377"/>
      <c r="O962" s="377"/>
    </row>
    <row r="963">
      <c r="B963" s="377"/>
      <c r="C963" s="377"/>
      <c r="D963" s="377"/>
      <c r="E963" s="377"/>
      <c r="F963" s="377"/>
      <c r="G963" s="377"/>
      <c r="H963" s="377"/>
      <c r="I963" s="377"/>
      <c r="J963" s="377"/>
      <c r="K963" s="377"/>
      <c r="L963" s="377"/>
      <c r="M963" s="377"/>
      <c r="N963" s="377"/>
      <c r="O963" s="377"/>
    </row>
    <row r="964">
      <c r="B964" s="377"/>
      <c r="C964" s="377"/>
      <c r="D964" s="377"/>
      <c r="E964" s="377"/>
      <c r="F964" s="377"/>
      <c r="G964" s="377"/>
      <c r="H964" s="377"/>
      <c r="I964" s="377"/>
      <c r="J964" s="377"/>
      <c r="K964" s="377"/>
      <c r="L964" s="377"/>
      <c r="M964" s="377"/>
      <c r="N964" s="377"/>
      <c r="O964" s="377"/>
    </row>
    <row r="965">
      <c r="B965" s="377"/>
      <c r="C965" s="377"/>
      <c r="D965" s="377"/>
      <c r="E965" s="377"/>
      <c r="F965" s="377"/>
      <c r="G965" s="377"/>
      <c r="H965" s="377"/>
      <c r="I965" s="377"/>
      <c r="J965" s="377"/>
      <c r="K965" s="377"/>
      <c r="L965" s="377"/>
      <c r="M965" s="377"/>
      <c r="N965" s="377"/>
      <c r="O965" s="377"/>
    </row>
    <row r="966">
      <c r="B966" s="377"/>
      <c r="C966" s="377"/>
      <c r="D966" s="377"/>
      <c r="E966" s="377"/>
      <c r="F966" s="377"/>
      <c r="G966" s="377"/>
      <c r="H966" s="377"/>
      <c r="I966" s="377"/>
      <c r="J966" s="377"/>
      <c r="K966" s="377"/>
      <c r="L966" s="377"/>
      <c r="M966" s="377"/>
      <c r="N966" s="377"/>
      <c r="O966" s="377"/>
    </row>
    <row r="967">
      <c r="B967" s="377"/>
      <c r="C967" s="377"/>
      <c r="D967" s="377"/>
      <c r="E967" s="377"/>
      <c r="F967" s="377"/>
      <c r="G967" s="377"/>
      <c r="H967" s="377"/>
      <c r="I967" s="377"/>
      <c r="J967" s="377"/>
      <c r="K967" s="377"/>
      <c r="L967" s="377"/>
      <c r="M967" s="377"/>
      <c r="N967" s="377"/>
      <c r="O967" s="377"/>
    </row>
    <row r="968">
      <c r="B968" s="377"/>
      <c r="C968" s="377"/>
      <c r="D968" s="377"/>
      <c r="E968" s="377"/>
      <c r="F968" s="377"/>
      <c r="G968" s="377"/>
      <c r="H968" s="377"/>
      <c r="I968" s="377"/>
      <c r="J968" s="377"/>
      <c r="K968" s="377"/>
      <c r="L968" s="377"/>
      <c r="M968" s="377"/>
      <c r="N968" s="377"/>
      <c r="O968" s="377"/>
    </row>
    <row r="969">
      <c r="B969" s="377"/>
      <c r="C969" s="377"/>
      <c r="D969" s="377"/>
      <c r="E969" s="377"/>
      <c r="F969" s="377"/>
      <c r="G969" s="377"/>
      <c r="H969" s="377"/>
      <c r="I969" s="377"/>
      <c r="J969" s="377"/>
      <c r="K969" s="377"/>
      <c r="L969" s="377"/>
      <c r="M969" s="377"/>
      <c r="N969" s="377"/>
      <c r="O969" s="377"/>
    </row>
    <row r="970">
      <c r="B970" s="377"/>
      <c r="C970" s="377"/>
      <c r="D970" s="377"/>
      <c r="E970" s="377"/>
      <c r="F970" s="377"/>
      <c r="G970" s="377"/>
      <c r="H970" s="377"/>
      <c r="I970" s="377"/>
      <c r="J970" s="377"/>
      <c r="K970" s="377"/>
      <c r="L970" s="377"/>
      <c r="M970" s="377"/>
      <c r="N970" s="377"/>
      <c r="O970" s="377"/>
    </row>
    <row r="971">
      <c r="B971" s="377"/>
      <c r="C971" s="377"/>
      <c r="D971" s="377"/>
      <c r="E971" s="377"/>
      <c r="F971" s="377"/>
      <c r="G971" s="377"/>
      <c r="H971" s="377"/>
      <c r="I971" s="377"/>
      <c r="J971" s="377"/>
      <c r="K971" s="377"/>
      <c r="L971" s="377"/>
      <c r="M971" s="377"/>
      <c r="N971" s="377"/>
      <c r="O971" s="377"/>
    </row>
    <row r="972">
      <c r="B972" s="377"/>
      <c r="C972" s="377"/>
      <c r="D972" s="377"/>
      <c r="E972" s="377"/>
      <c r="F972" s="377"/>
      <c r="G972" s="377"/>
      <c r="H972" s="377"/>
      <c r="I972" s="377"/>
      <c r="J972" s="377"/>
      <c r="K972" s="377"/>
      <c r="L972" s="377"/>
      <c r="M972" s="377"/>
      <c r="N972" s="377"/>
      <c r="O972" s="377"/>
    </row>
    <row r="973">
      <c r="B973" s="377"/>
      <c r="C973" s="377"/>
      <c r="D973" s="377"/>
      <c r="E973" s="377"/>
      <c r="F973" s="377"/>
      <c r="G973" s="377"/>
      <c r="H973" s="377"/>
      <c r="I973" s="377"/>
      <c r="J973" s="377"/>
      <c r="K973" s="377"/>
      <c r="L973" s="377"/>
      <c r="M973" s="377"/>
      <c r="N973" s="377"/>
      <c r="O973" s="377"/>
    </row>
    <row r="974">
      <c r="B974" s="377"/>
      <c r="C974" s="377"/>
      <c r="D974" s="377"/>
      <c r="E974" s="377"/>
      <c r="F974" s="377"/>
      <c r="G974" s="377"/>
      <c r="H974" s="377"/>
      <c r="I974" s="377"/>
      <c r="J974" s="377"/>
      <c r="K974" s="377"/>
      <c r="L974" s="377"/>
      <c r="M974" s="377"/>
      <c r="N974" s="377"/>
      <c r="O974" s="377"/>
    </row>
    <row r="975">
      <c r="B975" s="377"/>
      <c r="C975" s="377"/>
      <c r="D975" s="377"/>
      <c r="E975" s="377"/>
      <c r="F975" s="377"/>
      <c r="G975" s="377"/>
      <c r="H975" s="377"/>
      <c r="I975" s="377"/>
      <c r="J975" s="377"/>
      <c r="K975" s="377"/>
      <c r="L975" s="377"/>
      <c r="M975" s="377"/>
      <c r="N975" s="377"/>
      <c r="O975" s="377"/>
    </row>
    <row r="976">
      <c r="B976" s="377"/>
      <c r="C976" s="377"/>
      <c r="D976" s="377"/>
      <c r="E976" s="377"/>
      <c r="F976" s="377"/>
      <c r="G976" s="377"/>
      <c r="H976" s="377"/>
      <c r="I976" s="377"/>
      <c r="J976" s="377"/>
      <c r="K976" s="377"/>
      <c r="L976" s="377"/>
      <c r="M976" s="377"/>
      <c r="N976" s="377"/>
      <c r="O976" s="377"/>
    </row>
    <row r="977">
      <c r="B977" s="377"/>
      <c r="C977" s="377"/>
      <c r="D977" s="377"/>
      <c r="E977" s="377"/>
      <c r="F977" s="377"/>
      <c r="G977" s="377"/>
      <c r="H977" s="377"/>
      <c r="I977" s="377"/>
      <c r="J977" s="377"/>
      <c r="K977" s="377"/>
      <c r="L977" s="377"/>
      <c r="M977" s="377"/>
      <c r="N977" s="377"/>
      <c r="O977" s="377"/>
    </row>
    <row r="978">
      <c r="B978" s="377"/>
      <c r="C978" s="377"/>
      <c r="D978" s="377"/>
      <c r="E978" s="377"/>
      <c r="F978" s="377"/>
      <c r="G978" s="377"/>
      <c r="H978" s="377"/>
      <c r="I978" s="377"/>
      <c r="J978" s="377"/>
      <c r="K978" s="377"/>
      <c r="L978" s="377"/>
      <c r="M978" s="377"/>
      <c r="N978" s="377"/>
      <c r="O978" s="377"/>
    </row>
    <row r="979">
      <c r="B979" s="377"/>
      <c r="C979" s="377"/>
      <c r="D979" s="377"/>
      <c r="E979" s="377"/>
      <c r="F979" s="377"/>
      <c r="G979" s="377"/>
      <c r="H979" s="377"/>
      <c r="I979" s="377"/>
      <c r="J979" s="377"/>
      <c r="K979" s="377"/>
      <c r="L979" s="377"/>
      <c r="M979" s="377"/>
      <c r="N979" s="377"/>
      <c r="O979" s="377"/>
    </row>
    <row r="980">
      <c r="B980" s="377"/>
      <c r="C980" s="377"/>
      <c r="D980" s="377"/>
      <c r="E980" s="377"/>
      <c r="F980" s="377"/>
      <c r="G980" s="377"/>
      <c r="H980" s="377"/>
      <c r="I980" s="377"/>
      <c r="J980" s="377"/>
      <c r="K980" s="377"/>
      <c r="L980" s="377"/>
      <c r="M980" s="377"/>
      <c r="N980" s="377"/>
      <c r="O980" s="377"/>
    </row>
    <row r="981">
      <c r="B981" s="377"/>
      <c r="C981" s="377"/>
      <c r="D981" s="377"/>
      <c r="E981" s="377"/>
      <c r="F981" s="377"/>
      <c r="G981" s="377"/>
      <c r="H981" s="377"/>
      <c r="I981" s="377"/>
      <c r="J981" s="377"/>
      <c r="K981" s="377"/>
      <c r="L981" s="377"/>
      <c r="M981" s="377"/>
      <c r="N981" s="377"/>
      <c r="O981" s="377"/>
    </row>
    <row r="982">
      <c r="B982" s="377"/>
      <c r="C982" s="377"/>
      <c r="D982" s="377"/>
      <c r="E982" s="377"/>
      <c r="F982" s="377"/>
      <c r="G982" s="377"/>
      <c r="H982" s="377"/>
      <c r="I982" s="377"/>
      <c r="J982" s="377"/>
      <c r="K982" s="377"/>
      <c r="L982" s="377"/>
      <c r="M982" s="377"/>
      <c r="N982" s="377"/>
      <c r="O982" s="377"/>
    </row>
    <row r="983">
      <c r="B983" s="377"/>
      <c r="C983" s="377"/>
      <c r="D983" s="377"/>
      <c r="E983" s="377"/>
      <c r="F983" s="377"/>
      <c r="G983" s="377"/>
      <c r="H983" s="377"/>
      <c r="I983" s="377"/>
      <c r="J983" s="377"/>
      <c r="K983" s="377"/>
      <c r="L983" s="377"/>
      <c r="M983" s="377"/>
      <c r="N983" s="377"/>
      <c r="O983" s="377"/>
    </row>
    <row r="984">
      <c r="B984" s="377"/>
      <c r="C984" s="377"/>
      <c r="D984" s="377"/>
      <c r="E984" s="377"/>
      <c r="F984" s="377"/>
      <c r="G984" s="377"/>
      <c r="H984" s="377"/>
      <c r="I984" s="377"/>
      <c r="J984" s="377"/>
      <c r="K984" s="377"/>
      <c r="L984" s="377"/>
      <c r="M984" s="377"/>
      <c r="N984" s="377"/>
      <c r="O984" s="377"/>
    </row>
    <row r="985">
      <c r="B985" s="377"/>
      <c r="C985" s="377"/>
      <c r="D985" s="377"/>
      <c r="E985" s="377"/>
      <c r="F985" s="377"/>
      <c r="G985" s="377"/>
      <c r="H985" s="377"/>
      <c r="I985" s="377"/>
      <c r="J985" s="377"/>
      <c r="K985" s="377"/>
      <c r="L985" s="377"/>
      <c r="M985" s="377"/>
      <c r="N985" s="377"/>
      <c r="O985" s="377"/>
    </row>
    <row r="986">
      <c r="B986" s="377"/>
      <c r="C986" s="377"/>
      <c r="D986" s="377"/>
      <c r="E986" s="377"/>
      <c r="F986" s="377"/>
      <c r="G986" s="377"/>
      <c r="H986" s="377"/>
      <c r="I986" s="377"/>
      <c r="J986" s="377"/>
      <c r="K986" s="377"/>
      <c r="L986" s="377"/>
      <c r="M986" s="377"/>
      <c r="N986" s="377"/>
      <c r="O986" s="377"/>
    </row>
    <row r="987">
      <c r="B987" s="377"/>
      <c r="C987" s="377"/>
      <c r="D987" s="377"/>
      <c r="E987" s="377"/>
      <c r="F987" s="377"/>
      <c r="G987" s="377"/>
      <c r="H987" s="377"/>
      <c r="I987" s="377"/>
      <c r="J987" s="377"/>
      <c r="K987" s="377"/>
      <c r="L987" s="377"/>
      <c r="M987" s="377"/>
      <c r="N987" s="377"/>
      <c r="O987" s="377"/>
    </row>
    <row r="988">
      <c r="B988" s="377"/>
      <c r="C988" s="377"/>
      <c r="D988" s="377"/>
      <c r="E988" s="377"/>
      <c r="F988" s="377"/>
      <c r="G988" s="377"/>
      <c r="H988" s="377"/>
      <c r="I988" s="377"/>
      <c r="J988" s="377"/>
      <c r="K988" s="377"/>
      <c r="L988" s="377"/>
      <c r="M988" s="377"/>
      <c r="N988" s="377"/>
      <c r="O988" s="377"/>
    </row>
    <row r="989">
      <c r="B989" s="377"/>
      <c r="C989" s="377"/>
      <c r="D989" s="377"/>
      <c r="E989" s="377"/>
      <c r="F989" s="377"/>
      <c r="G989" s="377"/>
      <c r="H989" s="377"/>
      <c r="I989" s="377"/>
      <c r="J989" s="377"/>
      <c r="K989" s="377"/>
      <c r="L989" s="377"/>
      <c r="M989" s="377"/>
      <c r="N989" s="377"/>
      <c r="O989" s="377"/>
    </row>
    <row r="990">
      <c r="B990" s="377"/>
      <c r="C990" s="377"/>
      <c r="D990" s="377"/>
      <c r="E990" s="377"/>
      <c r="F990" s="377"/>
      <c r="G990" s="377"/>
      <c r="H990" s="377"/>
      <c r="I990" s="377"/>
      <c r="J990" s="377"/>
      <c r="K990" s="377"/>
      <c r="L990" s="377"/>
      <c r="M990" s="377"/>
      <c r="N990" s="377"/>
      <c r="O990" s="377"/>
    </row>
    <row r="991">
      <c r="B991" s="377"/>
      <c r="C991" s="377"/>
      <c r="D991" s="377"/>
      <c r="E991" s="377"/>
      <c r="F991" s="377"/>
      <c r="G991" s="377"/>
      <c r="H991" s="377"/>
      <c r="I991" s="377"/>
      <c r="J991" s="377"/>
      <c r="K991" s="377"/>
      <c r="L991" s="377"/>
      <c r="M991" s="377"/>
      <c r="N991" s="377"/>
      <c r="O991" s="377"/>
    </row>
    <row r="992">
      <c r="B992" s="377"/>
      <c r="C992" s="377"/>
      <c r="D992" s="377"/>
      <c r="E992" s="377"/>
      <c r="F992" s="377"/>
      <c r="G992" s="377"/>
      <c r="H992" s="377"/>
      <c r="I992" s="377"/>
      <c r="J992" s="377"/>
      <c r="K992" s="377"/>
      <c r="L992" s="377"/>
      <c r="M992" s="377"/>
      <c r="N992" s="377"/>
      <c r="O992" s="377"/>
    </row>
    <row r="993">
      <c r="B993" s="377"/>
      <c r="C993" s="377"/>
      <c r="D993" s="377"/>
      <c r="E993" s="377"/>
      <c r="F993" s="377"/>
      <c r="G993" s="377"/>
      <c r="H993" s="377"/>
      <c r="I993" s="377"/>
      <c r="J993" s="377"/>
      <c r="K993" s="377"/>
      <c r="L993" s="377"/>
      <c r="M993" s="377"/>
      <c r="N993" s="377"/>
      <c r="O993" s="377"/>
    </row>
    <row r="994">
      <c r="B994" s="377"/>
      <c r="C994" s="377"/>
      <c r="D994" s="377"/>
      <c r="E994" s="377"/>
      <c r="F994" s="377"/>
      <c r="G994" s="377"/>
      <c r="H994" s="377"/>
      <c r="I994" s="377"/>
      <c r="J994" s="377"/>
      <c r="K994" s="377"/>
      <c r="L994" s="377"/>
      <c r="M994" s="377"/>
      <c r="N994" s="377"/>
      <c r="O994" s="377"/>
    </row>
    <row r="995">
      <c r="B995" s="377"/>
      <c r="C995" s="377"/>
      <c r="D995" s="377"/>
      <c r="E995" s="377"/>
      <c r="F995" s="377"/>
      <c r="G995" s="377"/>
      <c r="H995" s="377"/>
      <c r="I995" s="377"/>
      <c r="J995" s="377"/>
      <c r="K995" s="377"/>
      <c r="L995" s="377"/>
      <c r="M995" s="377"/>
      <c r="N995" s="377"/>
      <c r="O995" s="377"/>
    </row>
    <row r="996">
      <c r="B996" s="377"/>
      <c r="C996" s="377"/>
      <c r="D996" s="377"/>
      <c r="E996" s="377"/>
      <c r="F996" s="377"/>
      <c r="G996" s="377"/>
      <c r="H996" s="377"/>
      <c r="I996" s="377"/>
      <c r="J996" s="377"/>
      <c r="K996" s="377"/>
      <c r="L996" s="377"/>
      <c r="M996" s="377"/>
      <c r="N996" s="377"/>
      <c r="O996" s="377"/>
    </row>
    <row r="997">
      <c r="B997" s="377"/>
      <c r="C997" s="377"/>
      <c r="D997" s="377"/>
      <c r="E997" s="377"/>
      <c r="F997" s="377"/>
      <c r="G997" s="377"/>
      <c r="H997" s="377"/>
      <c r="I997" s="377"/>
      <c r="J997" s="377"/>
      <c r="K997" s="377"/>
      <c r="L997" s="377"/>
      <c r="M997" s="377"/>
      <c r="N997" s="377"/>
      <c r="O997" s="377"/>
    </row>
    <row r="998">
      <c r="B998" s="377"/>
      <c r="C998" s="377"/>
      <c r="D998" s="377"/>
      <c r="E998" s="377"/>
      <c r="F998" s="377"/>
      <c r="G998" s="377"/>
      <c r="H998" s="377"/>
      <c r="I998" s="377"/>
      <c r="J998" s="377"/>
      <c r="K998" s="377"/>
      <c r="L998" s="377"/>
      <c r="M998" s="377"/>
      <c r="N998" s="377"/>
      <c r="O998" s="377"/>
    </row>
    <row r="999">
      <c r="B999" s="377"/>
      <c r="C999" s="377"/>
      <c r="D999" s="377"/>
      <c r="E999" s="377"/>
      <c r="F999" s="377"/>
      <c r="G999" s="377"/>
      <c r="H999" s="377"/>
      <c r="I999" s="377"/>
      <c r="J999" s="377"/>
      <c r="K999" s="377"/>
      <c r="L999" s="377"/>
      <c r="M999" s="377"/>
      <c r="N999" s="377"/>
      <c r="O999" s="377"/>
    </row>
    <row r="1000">
      <c r="B1000" s="377"/>
      <c r="C1000" s="377"/>
      <c r="D1000" s="377"/>
      <c r="E1000" s="377"/>
      <c r="F1000" s="377"/>
      <c r="G1000" s="377"/>
      <c r="H1000" s="377"/>
      <c r="I1000" s="377"/>
      <c r="J1000" s="377"/>
      <c r="K1000" s="377"/>
      <c r="L1000" s="377"/>
      <c r="M1000" s="377"/>
      <c r="N1000" s="377"/>
      <c r="O1000" s="377"/>
    </row>
    <row r="1001">
      <c r="B1001" s="377"/>
      <c r="C1001" s="377"/>
      <c r="D1001" s="377"/>
      <c r="E1001" s="377"/>
      <c r="F1001" s="377"/>
      <c r="G1001" s="377"/>
      <c r="H1001" s="377"/>
      <c r="I1001" s="377"/>
      <c r="J1001" s="377"/>
      <c r="K1001" s="377"/>
      <c r="L1001" s="377"/>
      <c r="M1001" s="377"/>
      <c r="N1001" s="377"/>
      <c r="O1001" s="377"/>
    </row>
    <row r="1002">
      <c r="B1002" s="377"/>
      <c r="C1002" s="377"/>
      <c r="D1002" s="377"/>
      <c r="E1002" s="377"/>
      <c r="F1002" s="377"/>
      <c r="G1002" s="377"/>
      <c r="H1002" s="377"/>
      <c r="I1002" s="377"/>
      <c r="J1002" s="377"/>
      <c r="K1002" s="377"/>
      <c r="L1002" s="377"/>
      <c r="M1002" s="377"/>
      <c r="N1002" s="377"/>
      <c r="O1002" s="377"/>
    </row>
    <row r="1003">
      <c r="B1003" s="377"/>
      <c r="C1003" s="377"/>
      <c r="D1003" s="377"/>
      <c r="E1003" s="377"/>
      <c r="F1003" s="377"/>
      <c r="G1003" s="377"/>
      <c r="H1003" s="377"/>
      <c r="I1003" s="377"/>
      <c r="J1003" s="377"/>
      <c r="K1003" s="377"/>
      <c r="L1003" s="377"/>
      <c r="M1003" s="377"/>
      <c r="N1003" s="377"/>
      <c r="O1003" s="377"/>
    </row>
    <row r="1004">
      <c r="B1004" s="377"/>
      <c r="C1004" s="377"/>
      <c r="D1004" s="377"/>
      <c r="E1004" s="377"/>
      <c r="F1004" s="377"/>
      <c r="G1004" s="377"/>
      <c r="H1004" s="377"/>
      <c r="I1004" s="377"/>
      <c r="J1004" s="377"/>
      <c r="K1004" s="377"/>
      <c r="L1004" s="377"/>
      <c r="M1004" s="377"/>
      <c r="N1004" s="377"/>
      <c r="O1004" s="377"/>
    </row>
    <row r="1005">
      <c r="B1005" s="377"/>
      <c r="C1005" s="377"/>
      <c r="D1005" s="377"/>
      <c r="E1005" s="377"/>
      <c r="F1005" s="377"/>
      <c r="G1005" s="377"/>
      <c r="H1005" s="377"/>
      <c r="I1005" s="377"/>
      <c r="J1005" s="377"/>
      <c r="K1005" s="377"/>
      <c r="L1005" s="377"/>
      <c r="M1005" s="377"/>
      <c r="N1005" s="377"/>
      <c r="O1005" s="377"/>
    </row>
  </sheetData>
  <mergeCells count="2">
    <mergeCell ref="A2:O4"/>
    <mergeCell ref="R2:AE4"/>
  </mergeCells>
  <conditionalFormatting sqref="B9:O55">
    <cfRule type="cellIs" dxfId="1" priority="1" operator="greaterThan">
      <formula>1</formula>
    </cfRule>
  </conditionalFormatting>
  <conditionalFormatting sqref="AM8 AH9:AH47">
    <cfRule type="colorScale" priority="2">
      <colorScale>
        <cfvo type="min"/>
        <cfvo type="percentile" val="50"/>
        <cfvo type="max"/>
        <color rgb="FF57BB8A"/>
        <color rgb="FFFFFFFF"/>
        <color rgb="FFE67C73"/>
      </colorScale>
    </cfRule>
  </conditionalFormatting>
  <conditionalFormatting sqref="S9:AF45">
    <cfRule type="cellIs" dxfId="1" priority="3" operator="greaterThanOrEqual">
      <formula>2</formula>
    </cfRule>
  </conditionalFormatting>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50.25"/>
  </cols>
  <sheetData>
    <row r="1">
      <c r="A1" s="12" t="s">
        <v>708</v>
      </c>
      <c r="B1" s="12" t="s">
        <v>469</v>
      </c>
    </row>
    <row r="2">
      <c r="A2" s="12" t="s">
        <v>709</v>
      </c>
      <c r="B2" s="12" t="s">
        <v>102</v>
      </c>
    </row>
    <row r="3">
      <c r="A3" s="12" t="s">
        <v>710</v>
      </c>
      <c r="B3" s="373" t="s">
        <v>711</v>
      </c>
    </row>
    <row r="4">
      <c r="A4" s="12" t="s">
        <v>712</v>
      </c>
      <c r="B4" s="12" t="s">
        <v>713</v>
      </c>
    </row>
    <row r="5">
      <c r="A5" s="12" t="s">
        <v>714</v>
      </c>
      <c r="B5" s="12" t="s">
        <v>715</v>
      </c>
    </row>
    <row r="6">
      <c r="A6" s="12" t="s">
        <v>716</v>
      </c>
      <c r="B6" s="12" t="s">
        <v>717</v>
      </c>
    </row>
    <row r="7">
      <c r="A7" s="12" t="s">
        <v>718</v>
      </c>
      <c r="B7" s="373" t="s">
        <v>719</v>
      </c>
    </row>
    <row r="8">
      <c r="A8" s="12" t="s">
        <v>720</v>
      </c>
      <c r="B8" s="373" t="s">
        <v>721</v>
      </c>
    </row>
    <row r="9">
      <c r="A9" s="12" t="s">
        <v>722</v>
      </c>
      <c r="B9" s="12" t="s">
        <v>236</v>
      </c>
    </row>
    <row r="10">
      <c r="A10" s="12" t="s">
        <v>723</v>
      </c>
      <c r="B10" s="12" t="s">
        <v>724</v>
      </c>
    </row>
    <row r="11">
      <c r="A11" s="12" t="s">
        <v>725</v>
      </c>
      <c r="B11" s="373" t="s">
        <v>726</v>
      </c>
    </row>
    <row r="12">
      <c r="A12" s="12" t="s">
        <v>727</v>
      </c>
      <c r="B12" s="373" t="s">
        <v>728</v>
      </c>
    </row>
    <row r="13">
      <c r="A13" s="12" t="s">
        <v>729</v>
      </c>
      <c r="B13" s="373" t="s">
        <v>730</v>
      </c>
    </row>
    <row r="14">
      <c r="A14" s="12" t="s">
        <v>731</v>
      </c>
      <c r="B14" s="373" t="s">
        <v>721</v>
      </c>
    </row>
    <row r="15">
      <c r="A15" s="12" t="s">
        <v>732</v>
      </c>
      <c r="B15" s="373" t="s">
        <v>280</v>
      </c>
    </row>
    <row r="16">
      <c r="A16" s="12" t="s">
        <v>733</v>
      </c>
      <c r="B16" s="373" t="s">
        <v>721</v>
      </c>
    </row>
    <row r="17">
      <c r="A17" s="12" t="s">
        <v>734</v>
      </c>
      <c r="B17" s="373" t="s">
        <v>735</v>
      </c>
    </row>
    <row r="18">
      <c r="A18" s="12" t="s">
        <v>736</v>
      </c>
      <c r="B18" s="373" t="s">
        <v>737</v>
      </c>
    </row>
    <row r="19">
      <c r="A19" s="12" t="s">
        <v>738</v>
      </c>
      <c r="B19" s="12" t="s">
        <v>236</v>
      </c>
    </row>
    <row r="20">
      <c r="A20" s="12" t="s">
        <v>739</v>
      </c>
      <c r="B20" s="12" t="s">
        <v>236</v>
      </c>
    </row>
    <row r="21">
      <c r="A21" s="12" t="s">
        <v>740</v>
      </c>
      <c r="B21" s="373" t="s">
        <v>741</v>
      </c>
    </row>
    <row r="22">
      <c r="A22" s="12" t="s">
        <v>742</v>
      </c>
      <c r="B22" s="373" t="s">
        <v>743</v>
      </c>
    </row>
    <row r="23">
      <c r="A23" s="12" t="s">
        <v>744</v>
      </c>
      <c r="B23" s="373" t="s">
        <v>745</v>
      </c>
    </row>
    <row r="24">
      <c r="A24" s="12" t="s">
        <v>746</v>
      </c>
      <c r="B24" s="373" t="s">
        <v>747</v>
      </c>
    </row>
    <row r="25">
      <c r="A25" s="12" t="s">
        <v>748</v>
      </c>
      <c r="B25" s="373" t="s">
        <v>749</v>
      </c>
    </row>
    <row r="26">
      <c r="A26" s="12" t="s">
        <v>750</v>
      </c>
      <c r="B26" s="12" t="s">
        <v>751</v>
      </c>
    </row>
    <row r="27">
      <c r="A27" s="12" t="s">
        <v>752</v>
      </c>
      <c r="B27" s="373" t="s">
        <v>753</v>
      </c>
    </row>
    <row r="28">
      <c r="A28" s="12" t="s">
        <v>754</v>
      </c>
      <c r="B28" s="373" t="s">
        <v>755</v>
      </c>
    </row>
    <row r="29">
      <c r="A29" s="12" t="s">
        <v>756</v>
      </c>
      <c r="B29" s="12" t="s">
        <v>757</v>
      </c>
    </row>
    <row r="30">
      <c r="A30" s="12" t="s">
        <v>758</v>
      </c>
      <c r="B30" s="12" t="s">
        <v>759</v>
      </c>
    </row>
    <row r="31">
      <c r="A31" s="12" t="s">
        <v>760</v>
      </c>
      <c r="B31" s="12" t="s">
        <v>761</v>
      </c>
    </row>
    <row r="32">
      <c r="A32" s="12" t="s">
        <v>762</v>
      </c>
      <c r="B32" s="12" t="s">
        <v>763</v>
      </c>
    </row>
    <row r="33">
      <c r="A33" s="12" t="s">
        <v>764</v>
      </c>
      <c r="B33" s="12" t="s">
        <v>765</v>
      </c>
    </row>
    <row r="34">
      <c r="A34" s="12" t="s">
        <v>766</v>
      </c>
      <c r="B34" s="373" t="s">
        <v>767</v>
      </c>
    </row>
    <row r="35">
      <c r="A35" s="12" t="s">
        <v>768</v>
      </c>
      <c r="B35" s="12" t="s">
        <v>769</v>
      </c>
    </row>
    <row r="36">
      <c r="A36" s="12" t="s">
        <v>770</v>
      </c>
      <c r="B36" s="12" t="s">
        <v>236</v>
      </c>
    </row>
    <row r="37">
      <c r="A37" s="12" t="s">
        <v>771</v>
      </c>
      <c r="B37" s="12" t="s">
        <v>772</v>
      </c>
    </row>
    <row r="38">
      <c r="A38" s="12" t="s">
        <v>773</v>
      </c>
      <c r="B38" s="12" t="s">
        <v>774</v>
      </c>
    </row>
    <row r="39">
      <c r="A39" s="12" t="s">
        <v>775</v>
      </c>
      <c r="B39" s="12" t="s">
        <v>776</v>
      </c>
    </row>
    <row r="40">
      <c r="A40" s="12" t="s">
        <v>777</v>
      </c>
      <c r="B40" s="12" t="s">
        <v>778</v>
      </c>
    </row>
    <row r="41">
      <c r="A41" s="12" t="s">
        <v>779</v>
      </c>
      <c r="B41" s="373" t="s">
        <v>280</v>
      </c>
    </row>
    <row r="42">
      <c r="A42" s="12" t="s">
        <v>780</v>
      </c>
      <c r="B42" s="373" t="s">
        <v>781</v>
      </c>
    </row>
    <row r="43">
      <c r="A43" s="12" t="s">
        <v>782</v>
      </c>
      <c r="B43" s="12" t="s">
        <v>783</v>
      </c>
    </row>
    <row r="44">
      <c r="A44" s="12" t="s">
        <v>784</v>
      </c>
      <c r="B44" s="12" t="s">
        <v>236</v>
      </c>
    </row>
    <row r="45">
      <c r="A45" s="12" t="s">
        <v>785</v>
      </c>
      <c r="B45" s="373" t="s">
        <v>786</v>
      </c>
    </row>
    <row r="46">
      <c r="A46" s="12" t="s">
        <v>787</v>
      </c>
      <c r="B46" s="12" t="s">
        <v>236</v>
      </c>
    </row>
    <row r="47">
      <c r="A47" s="12" t="s">
        <v>788</v>
      </c>
      <c r="B47" s="373" t="s">
        <v>789</v>
      </c>
    </row>
    <row r="48">
      <c r="A48" s="12" t="s">
        <v>790</v>
      </c>
      <c r="B48" s="373" t="s">
        <v>791</v>
      </c>
    </row>
    <row r="49">
      <c r="A49" s="12" t="s">
        <v>792</v>
      </c>
      <c r="B49" s="12" t="s">
        <v>236</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2" max="2" width="47.63"/>
    <col customWidth="1" min="8" max="8" width="14.75"/>
  </cols>
  <sheetData>
    <row r="1">
      <c r="A1" s="12" t="s">
        <v>21</v>
      </c>
      <c r="B1" s="12" t="s">
        <v>22</v>
      </c>
      <c r="C1" s="12" t="s">
        <v>23</v>
      </c>
      <c r="D1" s="12" t="s">
        <v>24</v>
      </c>
      <c r="E1" s="12" t="s">
        <v>25</v>
      </c>
      <c r="F1" s="12" t="s">
        <v>26</v>
      </c>
      <c r="G1" s="12" t="s">
        <v>27</v>
      </c>
      <c r="H1" s="12" t="s">
        <v>28</v>
      </c>
      <c r="I1" s="12" t="s">
        <v>324</v>
      </c>
      <c r="J1" s="357"/>
    </row>
    <row r="2">
      <c r="A2" s="12" t="s">
        <v>793</v>
      </c>
      <c r="B2" s="12" t="s">
        <v>793</v>
      </c>
      <c r="C2" s="12" t="s">
        <v>793</v>
      </c>
      <c r="D2" s="12" t="s">
        <v>96</v>
      </c>
      <c r="E2" s="12" t="s">
        <v>183</v>
      </c>
      <c r="F2" s="321">
        <v>1.0</v>
      </c>
      <c r="G2" s="12" t="s">
        <v>236</v>
      </c>
      <c r="H2" s="12" t="s">
        <v>262</v>
      </c>
      <c r="I2" s="321">
        <v>2.0</v>
      </c>
    </row>
    <row r="3">
      <c r="A3" s="12" t="s">
        <v>794</v>
      </c>
      <c r="B3" s="12" t="s">
        <v>794</v>
      </c>
      <c r="C3" s="12" t="s">
        <v>794</v>
      </c>
      <c r="D3" s="12" t="s">
        <v>96</v>
      </c>
      <c r="E3" s="12" t="s">
        <v>185</v>
      </c>
      <c r="F3" s="321">
        <v>1.0</v>
      </c>
      <c r="G3" s="12" t="s">
        <v>236</v>
      </c>
      <c r="H3" s="12" t="s">
        <v>262</v>
      </c>
      <c r="I3" s="321">
        <v>2.0</v>
      </c>
    </row>
    <row r="4">
      <c r="A4" s="12" t="s">
        <v>795</v>
      </c>
      <c r="B4" s="12" t="s">
        <v>795</v>
      </c>
      <c r="C4" s="12" t="s">
        <v>795</v>
      </c>
      <c r="D4" s="12" t="s">
        <v>96</v>
      </c>
      <c r="E4" s="12" t="s">
        <v>185</v>
      </c>
      <c r="F4" s="321">
        <v>1.0</v>
      </c>
      <c r="G4" s="12" t="s">
        <v>236</v>
      </c>
      <c r="H4" s="12" t="s">
        <v>262</v>
      </c>
      <c r="I4" s="321">
        <v>2.0</v>
      </c>
    </row>
    <row r="5">
      <c r="A5" s="12" t="s">
        <v>796</v>
      </c>
      <c r="B5" s="12" t="s">
        <v>796</v>
      </c>
      <c r="C5" s="12" t="s">
        <v>796</v>
      </c>
      <c r="D5" s="12" t="s">
        <v>96</v>
      </c>
      <c r="E5" s="12" t="s">
        <v>334</v>
      </c>
      <c r="F5" s="321">
        <v>1.0</v>
      </c>
      <c r="G5" s="12" t="s">
        <v>236</v>
      </c>
      <c r="H5" s="12" t="s">
        <v>262</v>
      </c>
      <c r="I5" s="321">
        <v>2.0</v>
      </c>
    </row>
    <row r="6">
      <c r="A6" s="12" t="s">
        <v>797</v>
      </c>
      <c r="B6" s="12" t="s">
        <v>797</v>
      </c>
      <c r="C6" s="12" t="s">
        <v>797</v>
      </c>
      <c r="D6" s="12" t="s">
        <v>96</v>
      </c>
      <c r="E6" s="12" t="s">
        <v>333</v>
      </c>
      <c r="F6" s="321">
        <v>1.0</v>
      </c>
      <c r="G6" s="12" t="s">
        <v>236</v>
      </c>
      <c r="H6" s="12" t="s">
        <v>262</v>
      </c>
      <c r="I6" s="321">
        <v>1.0</v>
      </c>
    </row>
    <row r="7">
      <c r="A7" s="12" t="s">
        <v>798</v>
      </c>
      <c r="B7" s="12" t="s">
        <v>798</v>
      </c>
      <c r="C7" s="12" t="s">
        <v>798</v>
      </c>
      <c r="D7" s="12" t="s">
        <v>96</v>
      </c>
      <c r="E7" s="12" t="s">
        <v>333</v>
      </c>
      <c r="F7" s="321">
        <v>1.0</v>
      </c>
      <c r="G7" s="12" t="s">
        <v>236</v>
      </c>
      <c r="H7" s="12" t="s">
        <v>262</v>
      </c>
      <c r="I7" s="321">
        <v>1.0</v>
      </c>
    </row>
    <row r="8">
      <c r="A8" s="12" t="s">
        <v>799</v>
      </c>
      <c r="B8" s="12" t="s">
        <v>799</v>
      </c>
      <c r="C8" s="12" t="s">
        <v>799</v>
      </c>
      <c r="D8" s="12" t="s">
        <v>96</v>
      </c>
      <c r="E8" s="12" t="s">
        <v>177</v>
      </c>
      <c r="F8" s="321">
        <v>1.0</v>
      </c>
      <c r="G8" s="12" t="s">
        <v>236</v>
      </c>
      <c r="H8" s="12" t="s">
        <v>262</v>
      </c>
      <c r="I8" s="321">
        <v>1.0</v>
      </c>
    </row>
    <row r="9">
      <c r="A9" s="12" t="s">
        <v>800</v>
      </c>
      <c r="B9" s="12" t="s">
        <v>800</v>
      </c>
      <c r="C9" s="12" t="s">
        <v>800</v>
      </c>
      <c r="D9" s="12" t="s">
        <v>96</v>
      </c>
      <c r="E9" s="12" t="s">
        <v>216</v>
      </c>
      <c r="F9" s="321">
        <v>1.0</v>
      </c>
      <c r="G9" s="12" t="s">
        <v>236</v>
      </c>
      <c r="H9" s="12" t="s">
        <v>262</v>
      </c>
      <c r="I9" s="321">
        <v>1.0</v>
      </c>
    </row>
    <row r="10">
      <c r="A10" s="12" t="s">
        <v>801</v>
      </c>
      <c r="B10" s="12" t="s">
        <v>802</v>
      </c>
      <c r="C10" s="12" t="s">
        <v>803</v>
      </c>
      <c r="D10" s="12" t="s">
        <v>96</v>
      </c>
      <c r="E10" s="12" t="s">
        <v>423</v>
      </c>
      <c r="F10" s="321">
        <v>1.0</v>
      </c>
      <c r="G10" s="12" t="s">
        <v>804</v>
      </c>
      <c r="H10" s="12" t="s">
        <v>661</v>
      </c>
      <c r="I10" s="321">
        <v>15.0</v>
      </c>
    </row>
    <row r="11">
      <c r="A11" s="12" t="s">
        <v>805</v>
      </c>
      <c r="B11" s="12" t="s">
        <v>802</v>
      </c>
      <c r="C11" s="12" t="s">
        <v>803</v>
      </c>
      <c r="D11" s="12" t="s">
        <v>96</v>
      </c>
      <c r="E11" s="12" t="s">
        <v>423</v>
      </c>
      <c r="F11" s="321">
        <v>2.0</v>
      </c>
      <c r="G11" s="12" t="s">
        <v>804</v>
      </c>
      <c r="H11" s="12" t="s">
        <v>661</v>
      </c>
      <c r="I11" s="321">
        <v>15.0</v>
      </c>
    </row>
    <row r="12">
      <c r="A12" s="12" t="s">
        <v>806</v>
      </c>
      <c r="B12" s="12" t="s">
        <v>802</v>
      </c>
      <c r="C12" s="12" t="s">
        <v>803</v>
      </c>
      <c r="D12" s="12" t="s">
        <v>96</v>
      </c>
      <c r="E12" s="12" t="s">
        <v>423</v>
      </c>
      <c r="F12" s="321">
        <v>3.0</v>
      </c>
      <c r="G12" s="12" t="s">
        <v>804</v>
      </c>
      <c r="H12" s="12" t="s">
        <v>661</v>
      </c>
      <c r="I12" s="321">
        <v>15.0</v>
      </c>
    </row>
    <row r="13">
      <c r="A13" s="12" t="s">
        <v>807</v>
      </c>
      <c r="B13" s="12" t="s">
        <v>802</v>
      </c>
      <c r="C13" s="12" t="s">
        <v>803</v>
      </c>
      <c r="D13" s="12" t="s">
        <v>96</v>
      </c>
      <c r="E13" s="12" t="s">
        <v>423</v>
      </c>
      <c r="F13" s="321">
        <v>4.0</v>
      </c>
      <c r="G13" s="12" t="s">
        <v>804</v>
      </c>
      <c r="H13" s="12" t="s">
        <v>661</v>
      </c>
      <c r="I13" s="321">
        <v>15.0</v>
      </c>
    </row>
    <row r="14">
      <c r="A14" s="12" t="s">
        <v>808</v>
      </c>
      <c r="B14" s="12" t="s">
        <v>802</v>
      </c>
      <c r="C14" s="12" t="s">
        <v>803</v>
      </c>
      <c r="D14" s="12" t="s">
        <v>96</v>
      </c>
      <c r="E14" s="12" t="s">
        <v>423</v>
      </c>
      <c r="F14" s="321">
        <v>5.0</v>
      </c>
      <c r="G14" s="12" t="s">
        <v>804</v>
      </c>
      <c r="H14" s="12" t="s">
        <v>661</v>
      </c>
      <c r="I14" s="321">
        <v>15.0</v>
      </c>
    </row>
    <row r="15">
      <c r="A15" s="12" t="s">
        <v>809</v>
      </c>
      <c r="B15" s="12" t="s">
        <v>802</v>
      </c>
      <c r="C15" s="12" t="s">
        <v>803</v>
      </c>
      <c r="D15" s="12" t="s">
        <v>96</v>
      </c>
      <c r="E15" s="12" t="s">
        <v>423</v>
      </c>
      <c r="F15" s="321">
        <v>6.0</v>
      </c>
      <c r="G15" s="12" t="s">
        <v>804</v>
      </c>
      <c r="H15" s="12" t="s">
        <v>661</v>
      </c>
      <c r="I15" s="321">
        <v>15.0</v>
      </c>
    </row>
    <row r="16">
      <c r="A16" s="12" t="s">
        <v>810</v>
      </c>
      <c r="B16" s="12" t="s">
        <v>802</v>
      </c>
      <c r="C16" s="12" t="s">
        <v>803</v>
      </c>
      <c r="D16" s="12" t="s">
        <v>96</v>
      </c>
      <c r="E16" s="12" t="s">
        <v>423</v>
      </c>
      <c r="F16" s="321">
        <v>7.0</v>
      </c>
      <c r="G16" s="12" t="s">
        <v>804</v>
      </c>
      <c r="H16" s="12" t="s">
        <v>661</v>
      </c>
      <c r="I16" s="321">
        <v>15.0</v>
      </c>
    </row>
    <row r="17">
      <c r="A17" s="12" t="s">
        <v>811</v>
      </c>
      <c r="B17" s="12" t="s">
        <v>802</v>
      </c>
      <c r="C17" s="12" t="s">
        <v>803</v>
      </c>
      <c r="D17" s="12" t="s">
        <v>96</v>
      </c>
      <c r="E17" s="12" t="s">
        <v>423</v>
      </c>
      <c r="F17" s="321">
        <v>8.0</v>
      </c>
      <c r="G17" s="12" t="s">
        <v>804</v>
      </c>
      <c r="H17" s="12" t="s">
        <v>661</v>
      </c>
      <c r="I17" s="321">
        <v>15.0</v>
      </c>
    </row>
    <row r="18">
      <c r="A18" s="12" t="s">
        <v>812</v>
      </c>
      <c r="B18" s="12" t="s">
        <v>802</v>
      </c>
      <c r="C18" s="12" t="s">
        <v>803</v>
      </c>
      <c r="D18" s="12" t="s">
        <v>96</v>
      </c>
      <c r="E18" s="12" t="s">
        <v>423</v>
      </c>
      <c r="F18" s="321">
        <v>9.0</v>
      </c>
      <c r="G18" s="12" t="s">
        <v>804</v>
      </c>
      <c r="H18" s="12" t="s">
        <v>661</v>
      </c>
      <c r="I18" s="321">
        <v>15.0</v>
      </c>
    </row>
    <row r="19">
      <c r="A19" s="12" t="s">
        <v>813</v>
      </c>
      <c r="B19" s="12" t="s">
        <v>802</v>
      </c>
      <c r="C19" s="12" t="s">
        <v>803</v>
      </c>
      <c r="D19" s="12" t="s">
        <v>96</v>
      </c>
      <c r="E19" s="12" t="s">
        <v>423</v>
      </c>
      <c r="F19" s="321">
        <v>10.0</v>
      </c>
      <c r="G19" s="12" t="s">
        <v>804</v>
      </c>
      <c r="H19" s="12" t="s">
        <v>661</v>
      </c>
      <c r="I19" s="321">
        <v>15.0</v>
      </c>
    </row>
    <row r="20">
      <c r="A20" s="12" t="s">
        <v>704</v>
      </c>
      <c r="B20" s="12" t="s">
        <v>802</v>
      </c>
      <c r="C20" s="12" t="s">
        <v>814</v>
      </c>
      <c r="D20" s="12" t="s">
        <v>96</v>
      </c>
      <c r="E20" s="12" t="s">
        <v>423</v>
      </c>
      <c r="F20" s="321">
        <v>1.0</v>
      </c>
      <c r="G20" s="12" t="s">
        <v>815</v>
      </c>
      <c r="H20" s="12" t="s">
        <v>661</v>
      </c>
      <c r="I20" s="321">
        <v>15.0</v>
      </c>
    </row>
    <row r="21">
      <c r="A21" s="12" t="s">
        <v>816</v>
      </c>
      <c r="B21" s="12" t="s">
        <v>802</v>
      </c>
      <c r="C21" s="12" t="s">
        <v>814</v>
      </c>
      <c r="D21" s="12" t="s">
        <v>96</v>
      </c>
      <c r="E21" s="12" t="s">
        <v>423</v>
      </c>
      <c r="F21" s="321">
        <v>1.0</v>
      </c>
      <c r="G21" s="12" t="s">
        <v>815</v>
      </c>
      <c r="H21" s="12" t="s">
        <v>661</v>
      </c>
      <c r="I21" s="321">
        <v>15.0</v>
      </c>
    </row>
    <row r="22">
      <c r="A22" s="12" t="s">
        <v>817</v>
      </c>
      <c r="B22" s="12" t="s">
        <v>802</v>
      </c>
      <c r="C22" s="12" t="s">
        <v>814</v>
      </c>
      <c r="D22" s="12" t="s">
        <v>96</v>
      </c>
      <c r="E22" s="12" t="s">
        <v>423</v>
      </c>
      <c r="F22" s="321">
        <v>1.0</v>
      </c>
      <c r="G22" s="12" t="s">
        <v>815</v>
      </c>
      <c r="H22" s="12" t="s">
        <v>661</v>
      </c>
      <c r="I22" s="321">
        <v>15.0</v>
      </c>
    </row>
    <row r="23">
      <c r="A23" s="12" t="s">
        <v>818</v>
      </c>
      <c r="B23" s="12" t="s">
        <v>819</v>
      </c>
      <c r="C23" s="12" t="s">
        <v>803</v>
      </c>
      <c r="D23" s="12" t="s">
        <v>96</v>
      </c>
      <c r="E23" s="12" t="s">
        <v>428</v>
      </c>
      <c r="F23" s="321">
        <v>1.0</v>
      </c>
      <c r="G23" s="12" t="s">
        <v>820</v>
      </c>
      <c r="H23" s="12" t="s">
        <v>661</v>
      </c>
      <c r="I23" s="321">
        <v>15.0</v>
      </c>
    </row>
    <row r="24">
      <c r="A24" s="12" t="s">
        <v>821</v>
      </c>
      <c r="B24" s="12" t="s">
        <v>819</v>
      </c>
      <c r="C24" s="12" t="s">
        <v>803</v>
      </c>
      <c r="D24" s="12" t="s">
        <v>96</v>
      </c>
      <c r="E24" s="12" t="s">
        <v>428</v>
      </c>
      <c r="F24" s="321">
        <v>2.0</v>
      </c>
      <c r="G24" s="12" t="s">
        <v>820</v>
      </c>
      <c r="H24" s="12" t="s">
        <v>661</v>
      </c>
      <c r="I24" s="321">
        <v>15.0</v>
      </c>
    </row>
    <row r="25">
      <c r="A25" s="12" t="s">
        <v>822</v>
      </c>
      <c r="B25" s="12" t="s">
        <v>819</v>
      </c>
      <c r="C25" s="12" t="s">
        <v>803</v>
      </c>
      <c r="D25" s="12" t="s">
        <v>96</v>
      </c>
      <c r="E25" s="12" t="s">
        <v>428</v>
      </c>
      <c r="F25" s="321">
        <v>3.0</v>
      </c>
      <c r="G25" s="12" t="s">
        <v>820</v>
      </c>
      <c r="H25" s="12" t="s">
        <v>661</v>
      </c>
      <c r="I25" s="321">
        <v>15.0</v>
      </c>
    </row>
    <row r="26">
      <c r="A26" s="12" t="s">
        <v>823</v>
      </c>
      <c r="B26" s="12" t="s">
        <v>819</v>
      </c>
      <c r="C26" s="12" t="s">
        <v>803</v>
      </c>
      <c r="D26" s="12" t="s">
        <v>96</v>
      </c>
      <c r="E26" s="12" t="s">
        <v>428</v>
      </c>
      <c r="F26" s="321">
        <v>4.0</v>
      </c>
      <c r="G26" s="12" t="s">
        <v>820</v>
      </c>
      <c r="H26" s="12" t="s">
        <v>661</v>
      </c>
      <c r="I26" s="321">
        <v>15.0</v>
      </c>
    </row>
    <row r="27">
      <c r="A27" s="12" t="s">
        <v>824</v>
      </c>
      <c r="B27" s="12" t="s">
        <v>819</v>
      </c>
      <c r="C27" s="12" t="s">
        <v>803</v>
      </c>
      <c r="D27" s="12" t="s">
        <v>96</v>
      </c>
      <c r="E27" s="12" t="s">
        <v>428</v>
      </c>
      <c r="F27" s="321">
        <v>5.0</v>
      </c>
      <c r="G27" s="12" t="s">
        <v>820</v>
      </c>
      <c r="H27" s="12" t="s">
        <v>661</v>
      </c>
      <c r="I27" s="321">
        <v>15.0</v>
      </c>
    </row>
    <row r="28">
      <c r="A28" s="12" t="s">
        <v>825</v>
      </c>
      <c r="B28" s="12" t="s">
        <v>819</v>
      </c>
      <c r="C28" s="12" t="s">
        <v>803</v>
      </c>
      <c r="D28" s="12" t="s">
        <v>96</v>
      </c>
      <c r="E28" s="12" t="s">
        <v>428</v>
      </c>
      <c r="F28" s="321">
        <v>6.0</v>
      </c>
      <c r="G28" s="12" t="s">
        <v>820</v>
      </c>
      <c r="H28" s="12" t="s">
        <v>661</v>
      </c>
      <c r="I28" s="321">
        <v>15.0</v>
      </c>
    </row>
    <row r="29">
      <c r="A29" s="12" t="s">
        <v>826</v>
      </c>
      <c r="B29" s="12" t="s">
        <v>819</v>
      </c>
      <c r="C29" s="12" t="s">
        <v>803</v>
      </c>
      <c r="D29" s="12" t="s">
        <v>96</v>
      </c>
      <c r="E29" s="12" t="s">
        <v>428</v>
      </c>
      <c r="F29" s="321">
        <v>7.0</v>
      </c>
      <c r="G29" s="12" t="s">
        <v>820</v>
      </c>
      <c r="H29" s="12" t="s">
        <v>661</v>
      </c>
      <c r="I29" s="321">
        <v>15.0</v>
      </c>
    </row>
    <row r="30">
      <c r="A30" s="12" t="s">
        <v>827</v>
      </c>
      <c r="B30" s="12" t="s">
        <v>819</v>
      </c>
      <c r="C30" s="12" t="s">
        <v>803</v>
      </c>
      <c r="D30" s="12" t="s">
        <v>96</v>
      </c>
      <c r="E30" s="12" t="s">
        <v>428</v>
      </c>
      <c r="F30" s="321">
        <v>8.0</v>
      </c>
      <c r="G30" s="12" t="s">
        <v>820</v>
      </c>
      <c r="H30" s="12" t="s">
        <v>661</v>
      </c>
      <c r="I30" s="321">
        <v>15.0</v>
      </c>
    </row>
    <row r="31">
      <c r="A31" s="12" t="s">
        <v>828</v>
      </c>
      <c r="B31" s="12" t="s">
        <v>819</v>
      </c>
      <c r="C31" s="12" t="s">
        <v>803</v>
      </c>
      <c r="D31" s="12" t="s">
        <v>96</v>
      </c>
      <c r="E31" s="12" t="s">
        <v>428</v>
      </c>
      <c r="F31" s="321">
        <v>9.0</v>
      </c>
      <c r="G31" s="12" t="s">
        <v>820</v>
      </c>
      <c r="H31" s="12" t="s">
        <v>661</v>
      </c>
      <c r="I31" s="321">
        <v>15.0</v>
      </c>
    </row>
    <row r="32">
      <c r="A32" s="12" t="s">
        <v>829</v>
      </c>
      <c r="B32" s="12" t="s">
        <v>819</v>
      </c>
      <c r="C32" s="12" t="s">
        <v>803</v>
      </c>
      <c r="D32" s="12" t="s">
        <v>96</v>
      </c>
      <c r="E32" s="12" t="s">
        <v>428</v>
      </c>
      <c r="F32" s="321">
        <v>10.0</v>
      </c>
      <c r="G32" s="12" t="s">
        <v>820</v>
      </c>
      <c r="H32" s="12" t="s">
        <v>661</v>
      </c>
      <c r="I32" s="321">
        <v>15.0</v>
      </c>
    </row>
    <row r="33">
      <c r="A33" s="12" t="s">
        <v>688</v>
      </c>
      <c r="B33" s="12" t="s">
        <v>819</v>
      </c>
      <c r="C33" s="12" t="s">
        <v>814</v>
      </c>
      <c r="D33" s="12" t="s">
        <v>96</v>
      </c>
      <c r="E33" s="12" t="s">
        <v>428</v>
      </c>
      <c r="F33" s="321">
        <v>1.0</v>
      </c>
      <c r="G33" s="12" t="s">
        <v>830</v>
      </c>
      <c r="H33" s="12" t="s">
        <v>661</v>
      </c>
      <c r="I33" s="321">
        <v>15.0</v>
      </c>
    </row>
    <row r="34">
      <c r="A34" s="12" t="s">
        <v>831</v>
      </c>
      <c r="B34" s="12" t="s">
        <v>819</v>
      </c>
      <c r="C34" s="12" t="s">
        <v>814</v>
      </c>
      <c r="D34" s="12" t="s">
        <v>96</v>
      </c>
      <c r="E34" s="12" t="s">
        <v>428</v>
      </c>
      <c r="F34" s="321">
        <v>1.0</v>
      </c>
      <c r="G34" s="12" t="s">
        <v>830</v>
      </c>
      <c r="H34" s="12" t="s">
        <v>661</v>
      </c>
      <c r="I34" s="321">
        <v>15.0</v>
      </c>
    </row>
    <row r="35">
      <c r="A35" s="12" t="s">
        <v>832</v>
      </c>
      <c r="B35" s="12" t="s">
        <v>819</v>
      </c>
      <c r="C35" s="12" t="s">
        <v>814</v>
      </c>
      <c r="D35" s="12" t="s">
        <v>96</v>
      </c>
      <c r="E35" s="12" t="s">
        <v>428</v>
      </c>
      <c r="F35" s="321">
        <v>1.0</v>
      </c>
      <c r="G35" s="12" t="s">
        <v>830</v>
      </c>
      <c r="H35" s="12" t="s">
        <v>661</v>
      </c>
      <c r="I35" s="321">
        <v>15.0</v>
      </c>
    </row>
    <row r="36">
      <c r="A36" s="12" t="s">
        <v>833</v>
      </c>
      <c r="B36" s="12" t="s">
        <v>834</v>
      </c>
      <c r="C36" s="12" t="s">
        <v>803</v>
      </c>
      <c r="D36" s="12" t="s">
        <v>96</v>
      </c>
      <c r="E36" s="12" t="s">
        <v>424</v>
      </c>
      <c r="F36" s="321">
        <v>1.0</v>
      </c>
      <c r="G36" s="12" t="s">
        <v>835</v>
      </c>
      <c r="H36" s="12" t="s">
        <v>661</v>
      </c>
      <c r="I36" s="321">
        <v>15.0</v>
      </c>
    </row>
    <row r="37">
      <c r="A37" s="12" t="s">
        <v>836</v>
      </c>
      <c r="B37" s="12" t="s">
        <v>834</v>
      </c>
      <c r="C37" s="12" t="s">
        <v>803</v>
      </c>
      <c r="D37" s="12" t="s">
        <v>96</v>
      </c>
      <c r="E37" s="12" t="s">
        <v>424</v>
      </c>
      <c r="F37" s="321">
        <v>2.0</v>
      </c>
      <c r="G37" s="12" t="s">
        <v>835</v>
      </c>
      <c r="H37" s="12" t="s">
        <v>661</v>
      </c>
      <c r="I37" s="321">
        <v>15.0</v>
      </c>
    </row>
    <row r="38">
      <c r="A38" s="12" t="s">
        <v>837</v>
      </c>
      <c r="B38" s="12" t="s">
        <v>834</v>
      </c>
      <c r="C38" s="12" t="s">
        <v>803</v>
      </c>
      <c r="D38" s="12" t="s">
        <v>96</v>
      </c>
      <c r="E38" s="12" t="s">
        <v>424</v>
      </c>
      <c r="F38" s="321">
        <v>3.0</v>
      </c>
      <c r="G38" s="12" t="s">
        <v>835</v>
      </c>
      <c r="H38" s="12" t="s">
        <v>661</v>
      </c>
      <c r="I38" s="321">
        <v>15.0</v>
      </c>
    </row>
    <row r="39">
      <c r="A39" s="12" t="s">
        <v>838</v>
      </c>
      <c r="B39" s="12" t="s">
        <v>834</v>
      </c>
      <c r="C39" s="12" t="s">
        <v>803</v>
      </c>
      <c r="D39" s="12" t="s">
        <v>96</v>
      </c>
      <c r="E39" s="12" t="s">
        <v>424</v>
      </c>
      <c r="F39" s="321">
        <v>4.0</v>
      </c>
      <c r="G39" s="12" t="s">
        <v>835</v>
      </c>
      <c r="H39" s="12" t="s">
        <v>661</v>
      </c>
      <c r="I39" s="321">
        <v>15.0</v>
      </c>
    </row>
    <row r="40">
      <c r="A40" s="12" t="s">
        <v>839</v>
      </c>
      <c r="B40" s="12" t="s">
        <v>834</v>
      </c>
      <c r="C40" s="12" t="s">
        <v>803</v>
      </c>
      <c r="D40" s="12" t="s">
        <v>96</v>
      </c>
      <c r="E40" s="12" t="s">
        <v>424</v>
      </c>
      <c r="F40" s="321">
        <v>5.0</v>
      </c>
      <c r="G40" s="12" t="s">
        <v>835</v>
      </c>
      <c r="H40" s="12" t="s">
        <v>661</v>
      </c>
      <c r="I40" s="321">
        <v>15.0</v>
      </c>
    </row>
    <row r="41">
      <c r="A41" s="12" t="s">
        <v>840</v>
      </c>
      <c r="B41" s="12" t="s">
        <v>834</v>
      </c>
      <c r="C41" s="12" t="s">
        <v>803</v>
      </c>
      <c r="D41" s="12" t="s">
        <v>96</v>
      </c>
      <c r="E41" s="12" t="s">
        <v>424</v>
      </c>
      <c r="F41" s="321">
        <v>6.0</v>
      </c>
      <c r="G41" s="12" t="s">
        <v>835</v>
      </c>
      <c r="H41" s="12" t="s">
        <v>661</v>
      </c>
      <c r="I41" s="321">
        <v>15.0</v>
      </c>
    </row>
    <row r="42">
      <c r="A42" s="12" t="s">
        <v>841</v>
      </c>
      <c r="B42" s="12" t="s">
        <v>834</v>
      </c>
      <c r="C42" s="12" t="s">
        <v>803</v>
      </c>
      <c r="D42" s="12" t="s">
        <v>96</v>
      </c>
      <c r="E42" s="12" t="s">
        <v>424</v>
      </c>
      <c r="F42" s="321">
        <v>7.0</v>
      </c>
      <c r="G42" s="12" t="s">
        <v>835</v>
      </c>
      <c r="H42" s="12" t="s">
        <v>661</v>
      </c>
      <c r="I42" s="321">
        <v>15.0</v>
      </c>
    </row>
    <row r="43">
      <c r="A43" s="12" t="s">
        <v>842</v>
      </c>
      <c r="B43" s="12" t="s">
        <v>834</v>
      </c>
      <c r="C43" s="12" t="s">
        <v>803</v>
      </c>
      <c r="D43" s="12" t="s">
        <v>96</v>
      </c>
      <c r="E43" s="12" t="s">
        <v>424</v>
      </c>
      <c r="F43" s="321">
        <v>8.0</v>
      </c>
      <c r="G43" s="12" t="s">
        <v>835</v>
      </c>
      <c r="H43" s="12" t="s">
        <v>661</v>
      </c>
      <c r="I43" s="321">
        <v>15.0</v>
      </c>
    </row>
    <row r="44">
      <c r="A44" s="12" t="s">
        <v>843</v>
      </c>
      <c r="B44" s="12" t="s">
        <v>834</v>
      </c>
      <c r="C44" s="12" t="s">
        <v>803</v>
      </c>
      <c r="D44" s="12" t="s">
        <v>96</v>
      </c>
      <c r="E44" s="12" t="s">
        <v>424</v>
      </c>
      <c r="F44" s="321">
        <v>9.0</v>
      </c>
      <c r="G44" s="12" t="s">
        <v>835</v>
      </c>
      <c r="H44" s="12" t="s">
        <v>661</v>
      </c>
      <c r="I44" s="321">
        <v>15.0</v>
      </c>
    </row>
    <row r="45">
      <c r="A45" s="12" t="s">
        <v>844</v>
      </c>
      <c r="B45" s="12" t="s">
        <v>834</v>
      </c>
      <c r="C45" s="12" t="s">
        <v>803</v>
      </c>
      <c r="D45" s="12" t="s">
        <v>96</v>
      </c>
      <c r="E45" s="12" t="s">
        <v>424</v>
      </c>
      <c r="F45" s="321">
        <v>10.0</v>
      </c>
      <c r="G45" s="12" t="s">
        <v>835</v>
      </c>
      <c r="H45" s="12" t="s">
        <v>661</v>
      </c>
      <c r="I45" s="321">
        <v>15.0</v>
      </c>
    </row>
    <row r="46">
      <c r="A46" s="12" t="s">
        <v>702</v>
      </c>
      <c r="B46" s="12" t="s">
        <v>834</v>
      </c>
      <c r="C46" s="12" t="s">
        <v>814</v>
      </c>
      <c r="D46" s="12" t="s">
        <v>96</v>
      </c>
      <c r="E46" s="12" t="s">
        <v>424</v>
      </c>
      <c r="F46" s="321">
        <v>1.0</v>
      </c>
      <c r="G46" s="12" t="s">
        <v>845</v>
      </c>
      <c r="H46" s="12" t="s">
        <v>661</v>
      </c>
      <c r="I46" s="321">
        <v>15.0</v>
      </c>
    </row>
    <row r="47">
      <c r="A47" s="12" t="s">
        <v>846</v>
      </c>
      <c r="B47" s="12" t="s">
        <v>834</v>
      </c>
      <c r="C47" s="12" t="s">
        <v>814</v>
      </c>
      <c r="D47" s="12" t="s">
        <v>96</v>
      </c>
      <c r="E47" s="12" t="s">
        <v>424</v>
      </c>
      <c r="F47" s="321">
        <v>1.0</v>
      </c>
      <c r="G47" s="12" t="s">
        <v>845</v>
      </c>
      <c r="H47" s="12" t="s">
        <v>661</v>
      </c>
      <c r="I47" s="321">
        <v>15.0</v>
      </c>
    </row>
    <row r="48">
      <c r="A48" s="12" t="s">
        <v>847</v>
      </c>
      <c r="B48" s="12" t="s">
        <v>834</v>
      </c>
      <c r="C48" s="12" t="s">
        <v>814</v>
      </c>
      <c r="D48" s="12" t="s">
        <v>96</v>
      </c>
      <c r="E48" s="12" t="s">
        <v>424</v>
      </c>
      <c r="F48" s="321">
        <v>1.0</v>
      </c>
      <c r="G48" s="12" t="s">
        <v>845</v>
      </c>
      <c r="H48" s="12" t="s">
        <v>661</v>
      </c>
      <c r="I48" s="321">
        <v>15.0</v>
      </c>
    </row>
    <row r="49">
      <c r="A49" s="12" t="s">
        <v>848</v>
      </c>
      <c r="B49" s="12" t="s">
        <v>849</v>
      </c>
      <c r="C49" s="12" t="s">
        <v>803</v>
      </c>
      <c r="D49" s="12" t="s">
        <v>96</v>
      </c>
      <c r="E49" s="12" t="s">
        <v>429</v>
      </c>
      <c r="F49" s="321">
        <v>1.0</v>
      </c>
      <c r="G49" s="12" t="s">
        <v>850</v>
      </c>
      <c r="H49" s="12" t="s">
        <v>661</v>
      </c>
      <c r="I49" s="321">
        <v>15.0</v>
      </c>
    </row>
    <row r="50">
      <c r="A50" s="12" t="s">
        <v>851</v>
      </c>
      <c r="B50" s="12" t="s">
        <v>849</v>
      </c>
      <c r="C50" s="12" t="s">
        <v>803</v>
      </c>
      <c r="D50" s="12" t="s">
        <v>96</v>
      </c>
      <c r="E50" s="12" t="s">
        <v>429</v>
      </c>
      <c r="F50" s="321">
        <v>2.0</v>
      </c>
      <c r="G50" s="12" t="s">
        <v>850</v>
      </c>
      <c r="H50" s="12" t="s">
        <v>661</v>
      </c>
      <c r="I50" s="321">
        <v>15.0</v>
      </c>
    </row>
    <row r="51">
      <c r="A51" s="12" t="s">
        <v>852</v>
      </c>
      <c r="B51" s="12" t="s">
        <v>849</v>
      </c>
      <c r="C51" s="12" t="s">
        <v>803</v>
      </c>
      <c r="D51" s="12" t="s">
        <v>96</v>
      </c>
      <c r="E51" s="12" t="s">
        <v>429</v>
      </c>
      <c r="F51" s="321">
        <v>3.0</v>
      </c>
      <c r="G51" s="12" t="s">
        <v>850</v>
      </c>
      <c r="H51" s="12" t="s">
        <v>661</v>
      </c>
      <c r="I51" s="321">
        <v>15.0</v>
      </c>
    </row>
    <row r="52">
      <c r="A52" s="12" t="s">
        <v>853</v>
      </c>
      <c r="B52" s="12" t="s">
        <v>849</v>
      </c>
      <c r="C52" s="12" t="s">
        <v>803</v>
      </c>
      <c r="D52" s="12" t="s">
        <v>96</v>
      </c>
      <c r="E52" s="12" t="s">
        <v>429</v>
      </c>
      <c r="F52" s="321">
        <v>4.0</v>
      </c>
      <c r="G52" s="12" t="s">
        <v>850</v>
      </c>
      <c r="H52" s="12" t="s">
        <v>661</v>
      </c>
      <c r="I52" s="321">
        <v>15.0</v>
      </c>
    </row>
    <row r="53">
      <c r="A53" s="12" t="s">
        <v>854</v>
      </c>
      <c r="B53" s="12" t="s">
        <v>849</v>
      </c>
      <c r="C53" s="12" t="s">
        <v>803</v>
      </c>
      <c r="D53" s="12" t="s">
        <v>96</v>
      </c>
      <c r="E53" s="12" t="s">
        <v>429</v>
      </c>
      <c r="F53" s="321">
        <v>5.0</v>
      </c>
      <c r="G53" s="12" t="s">
        <v>850</v>
      </c>
      <c r="H53" s="12" t="s">
        <v>661</v>
      </c>
      <c r="I53" s="321">
        <v>15.0</v>
      </c>
    </row>
    <row r="54">
      <c r="A54" s="12" t="s">
        <v>855</v>
      </c>
      <c r="B54" s="12" t="s">
        <v>849</v>
      </c>
      <c r="C54" s="12" t="s">
        <v>803</v>
      </c>
      <c r="D54" s="12" t="s">
        <v>96</v>
      </c>
      <c r="E54" s="12" t="s">
        <v>429</v>
      </c>
      <c r="F54" s="321">
        <v>6.0</v>
      </c>
      <c r="G54" s="12" t="s">
        <v>850</v>
      </c>
      <c r="H54" s="12" t="s">
        <v>661</v>
      </c>
      <c r="I54" s="321">
        <v>15.0</v>
      </c>
    </row>
    <row r="55">
      <c r="A55" s="12" t="s">
        <v>856</v>
      </c>
      <c r="B55" s="12" t="s">
        <v>849</v>
      </c>
      <c r="C55" s="12" t="s">
        <v>803</v>
      </c>
      <c r="D55" s="12" t="s">
        <v>96</v>
      </c>
      <c r="E55" s="12" t="s">
        <v>429</v>
      </c>
      <c r="F55" s="321">
        <v>7.0</v>
      </c>
      <c r="G55" s="12" t="s">
        <v>850</v>
      </c>
      <c r="H55" s="12" t="s">
        <v>661</v>
      </c>
      <c r="I55" s="321">
        <v>15.0</v>
      </c>
    </row>
    <row r="56">
      <c r="A56" s="12" t="s">
        <v>857</v>
      </c>
      <c r="B56" s="12" t="s">
        <v>849</v>
      </c>
      <c r="C56" s="12" t="s">
        <v>803</v>
      </c>
      <c r="D56" s="12" t="s">
        <v>96</v>
      </c>
      <c r="E56" s="12" t="s">
        <v>429</v>
      </c>
      <c r="F56" s="321">
        <v>8.0</v>
      </c>
      <c r="G56" s="12" t="s">
        <v>850</v>
      </c>
      <c r="H56" s="12" t="s">
        <v>661</v>
      </c>
      <c r="I56" s="321">
        <v>15.0</v>
      </c>
    </row>
    <row r="57">
      <c r="A57" s="12" t="s">
        <v>858</v>
      </c>
      <c r="B57" s="12" t="s">
        <v>849</v>
      </c>
      <c r="C57" s="12" t="s">
        <v>803</v>
      </c>
      <c r="D57" s="12" t="s">
        <v>96</v>
      </c>
      <c r="E57" s="12" t="s">
        <v>429</v>
      </c>
      <c r="F57" s="321">
        <v>9.0</v>
      </c>
      <c r="G57" s="12" t="s">
        <v>850</v>
      </c>
      <c r="H57" s="12" t="s">
        <v>661</v>
      </c>
      <c r="I57" s="321">
        <v>15.0</v>
      </c>
    </row>
    <row r="58">
      <c r="A58" s="12" t="s">
        <v>859</v>
      </c>
      <c r="B58" s="12" t="s">
        <v>849</v>
      </c>
      <c r="C58" s="12" t="s">
        <v>803</v>
      </c>
      <c r="D58" s="12" t="s">
        <v>96</v>
      </c>
      <c r="E58" s="12" t="s">
        <v>429</v>
      </c>
      <c r="F58" s="321">
        <v>10.0</v>
      </c>
      <c r="G58" s="12" t="s">
        <v>850</v>
      </c>
      <c r="H58" s="12" t="s">
        <v>661</v>
      </c>
      <c r="I58" s="321">
        <v>15.0</v>
      </c>
    </row>
    <row r="59">
      <c r="A59" s="12" t="s">
        <v>703</v>
      </c>
      <c r="B59" s="12" t="s">
        <v>849</v>
      </c>
      <c r="C59" s="12" t="s">
        <v>814</v>
      </c>
      <c r="D59" s="12" t="s">
        <v>96</v>
      </c>
      <c r="E59" s="12" t="s">
        <v>429</v>
      </c>
      <c r="F59" s="321">
        <v>1.0</v>
      </c>
      <c r="G59" s="12" t="s">
        <v>860</v>
      </c>
      <c r="H59" s="12" t="s">
        <v>661</v>
      </c>
      <c r="I59" s="321">
        <v>15.0</v>
      </c>
    </row>
    <row r="60">
      <c r="A60" s="12" t="s">
        <v>861</v>
      </c>
      <c r="B60" s="12" t="s">
        <v>849</v>
      </c>
      <c r="C60" s="12" t="s">
        <v>814</v>
      </c>
      <c r="D60" s="12" t="s">
        <v>96</v>
      </c>
      <c r="E60" s="12" t="s">
        <v>429</v>
      </c>
      <c r="F60" s="321">
        <v>1.0</v>
      </c>
      <c r="G60" s="12" t="s">
        <v>860</v>
      </c>
      <c r="H60" s="12" t="s">
        <v>661</v>
      </c>
      <c r="I60" s="321">
        <v>15.0</v>
      </c>
    </row>
    <row r="61">
      <c r="A61" s="12" t="s">
        <v>862</v>
      </c>
      <c r="B61" s="12" t="s">
        <v>849</v>
      </c>
      <c r="C61" s="12" t="s">
        <v>814</v>
      </c>
      <c r="D61" s="12" t="s">
        <v>96</v>
      </c>
      <c r="E61" s="12" t="s">
        <v>429</v>
      </c>
      <c r="F61" s="321">
        <v>1.0</v>
      </c>
      <c r="G61" s="12" t="s">
        <v>860</v>
      </c>
      <c r="H61" s="12" t="s">
        <v>661</v>
      </c>
      <c r="I61" s="321">
        <v>15.0</v>
      </c>
    </row>
    <row r="62">
      <c r="A62" s="12" t="s">
        <v>863</v>
      </c>
      <c r="B62" s="12" t="s">
        <v>864</v>
      </c>
      <c r="C62" s="12" t="s">
        <v>803</v>
      </c>
      <c r="D62" s="12" t="s">
        <v>96</v>
      </c>
      <c r="E62" s="12" t="s">
        <v>153</v>
      </c>
      <c r="F62" s="321">
        <v>1.0</v>
      </c>
      <c r="G62" s="12" t="s">
        <v>865</v>
      </c>
      <c r="H62" s="12" t="s">
        <v>661</v>
      </c>
      <c r="I62" s="321">
        <v>16.0</v>
      </c>
    </row>
    <row r="63">
      <c r="A63" s="12" t="s">
        <v>866</v>
      </c>
      <c r="B63" s="12" t="s">
        <v>864</v>
      </c>
      <c r="C63" s="12" t="s">
        <v>803</v>
      </c>
      <c r="D63" s="12" t="s">
        <v>96</v>
      </c>
      <c r="E63" s="12" t="s">
        <v>153</v>
      </c>
      <c r="F63" s="321">
        <v>2.0</v>
      </c>
      <c r="G63" s="12" t="s">
        <v>865</v>
      </c>
      <c r="H63" s="12" t="s">
        <v>661</v>
      </c>
      <c r="I63" s="321">
        <v>16.0</v>
      </c>
    </row>
    <row r="64">
      <c r="A64" s="12" t="s">
        <v>867</v>
      </c>
      <c r="B64" s="12" t="s">
        <v>864</v>
      </c>
      <c r="C64" s="12" t="s">
        <v>803</v>
      </c>
      <c r="D64" s="12" t="s">
        <v>96</v>
      </c>
      <c r="E64" s="12" t="s">
        <v>153</v>
      </c>
      <c r="F64" s="321">
        <v>3.0</v>
      </c>
      <c r="G64" s="12" t="s">
        <v>865</v>
      </c>
      <c r="H64" s="12" t="s">
        <v>661</v>
      </c>
      <c r="I64" s="321">
        <v>16.0</v>
      </c>
    </row>
    <row r="65">
      <c r="A65" s="12" t="s">
        <v>868</v>
      </c>
      <c r="B65" s="12" t="s">
        <v>864</v>
      </c>
      <c r="C65" s="12" t="s">
        <v>803</v>
      </c>
      <c r="D65" s="12" t="s">
        <v>96</v>
      </c>
      <c r="E65" s="12" t="s">
        <v>153</v>
      </c>
      <c r="F65" s="321">
        <v>4.0</v>
      </c>
      <c r="G65" s="12" t="s">
        <v>865</v>
      </c>
      <c r="H65" s="12" t="s">
        <v>661</v>
      </c>
      <c r="I65" s="321">
        <v>16.0</v>
      </c>
    </row>
    <row r="66">
      <c r="A66" s="12" t="s">
        <v>869</v>
      </c>
      <c r="B66" s="12" t="s">
        <v>864</v>
      </c>
      <c r="C66" s="12" t="s">
        <v>803</v>
      </c>
      <c r="D66" s="12" t="s">
        <v>96</v>
      </c>
      <c r="E66" s="12" t="s">
        <v>153</v>
      </c>
      <c r="F66" s="321">
        <v>5.0</v>
      </c>
      <c r="G66" s="12" t="s">
        <v>865</v>
      </c>
      <c r="H66" s="12" t="s">
        <v>661</v>
      </c>
      <c r="I66" s="321">
        <v>16.0</v>
      </c>
    </row>
    <row r="67">
      <c r="A67" s="12" t="s">
        <v>870</v>
      </c>
      <c r="B67" s="12" t="s">
        <v>864</v>
      </c>
      <c r="C67" s="12" t="s">
        <v>803</v>
      </c>
      <c r="D67" s="12" t="s">
        <v>96</v>
      </c>
      <c r="E67" s="12" t="s">
        <v>153</v>
      </c>
      <c r="F67" s="321">
        <v>6.0</v>
      </c>
      <c r="G67" s="12" t="s">
        <v>865</v>
      </c>
      <c r="H67" s="12" t="s">
        <v>661</v>
      </c>
      <c r="I67" s="321">
        <v>16.0</v>
      </c>
    </row>
    <row r="68">
      <c r="A68" s="12" t="s">
        <v>871</v>
      </c>
      <c r="B68" s="12" t="s">
        <v>864</v>
      </c>
      <c r="C68" s="12" t="s">
        <v>803</v>
      </c>
      <c r="D68" s="12" t="s">
        <v>96</v>
      </c>
      <c r="E68" s="12" t="s">
        <v>153</v>
      </c>
      <c r="F68" s="321">
        <v>7.0</v>
      </c>
      <c r="G68" s="12" t="s">
        <v>865</v>
      </c>
      <c r="H68" s="12" t="s">
        <v>661</v>
      </c>
      <c r="I68" s="321">
        <v>16.0</v>
      </c>
    </row>
    <row r="69">
      <c r="A69" s="12" t="s">
        <v>872</v>
      </c>
      <c r="B69" s="12" t="s">
        <v>864</v>
      </c>
      <c r="C69" s="12" t="s">
        <v>803</v>
      </c>
      <c r="D69" s="12" t="s">
        <v>96</v>
      </c>
      <c r="E69" s="12" t="s">
        <v>153</v>
      </c>
      <c r="F69" s="321">
        <v>8.0</v>
      </c>
      <c r="G69" s="12" t="s">
        <v>865</v>
      </c>
      <c r="H69" s="12" t="s">
        <v>661</v>
      </c>
      <c r="I69" s="321">
        <v>16.0</v>
      </c>
    </row>
    <row r="70">
      <c r="A70" s="12" t="s">
        <v>873</v>
      </c>
      <c r="B70" s="12" t="s">
        <v>864</v>
      </c>
      <c r="C70" s="12" t="s">
        <v>803</v>
      </c>
      <c r="D70" s="12" t="s">
        <v>96</v>
      </c>
      <c r="E70" s="12" t="s">
        <v>153</v>
      </c>
      <c r="F70" s="321">
        <v>9.0</v>
      </c>
      <c r="G70" s="12" t="s">
        <v>865</v>
      </c>
      <c r="H70" s="12" t="s">
        <v>661</v>
      </c>
      <c r="I70" s="321">
        <v>16.0</v>
      </c>
    </row>
    <row r="71">
      <c r="A71" s="12" t="s">
        <v>874</v>
      </c>
      <c r="B71" s="12" t="s">
        <v>864</v>
      </c>
      <c r="C71" s="12" t="s">
        <v>803</v>
      </c>
      <c r="D71" s="12" t="s">
        <v>96</v>
      </c>
      <c r="E71" s="12" t="s">
        <v>153</v>
      </c>
      <c r="F71" s="321">
        <v>10.0</v>
      </c>
      <c r="G71" s="12" t="s">
        <v>865</v>
      </c>
      <c r="H71" s="12" t="s">
        <v>661</v>
      </c>
      <c r="I71" s="321">
        <v>16.0</v>
      </c>
    </row>
    <row r="72">
      <c r="A72" s="12" t="s">
        <v>689</v>
      </c>
      <c r="B72" s="12" t="s">
        <v>864</v>
      </c>
      <c r="C72" s="12" t="s">
        <v>814</v>
      </c>
      <c r="D72" s="12" t="s">
        <v>96</v>
      </c>
      <c r="E72" s="12" t="s">
        <v>153</v>
      </c>
      <c r="F72" s="321">
        <v>1.0</v>
      </c>
      <c r="G72" s="12" t="s">
        <v>875</v>
      </c>
      <c r="H72" s="12" t="s">
        <v>661</v>
      </c>
      <c r="I72" s="321">
        <v>16.0</v>
      </c>
    </row>
    <row r="73">
      <c r="A73" s="12" t="s">
        <v>876</v>
      </c>
      <c r="B73" s="12" t="s">
        <v>864</v>
      </c>
      <c r="C73" s="12" t="s">
        <v>814</v>
      </c>
      <c r="D73" s="12" t="s">
        <v>96</v>
      </c>
      <c r="E73" s="12" t="s">
        <v>153</v>
      </c>
      <c r="F73" s="321">
        <v>1.0</v>
      </c>
      <c r="G73" s="12" t="s">
        <v>875</v>
      </c>
      <c r="H73" s="12" t="s">
        <v>661</v>
      </c>
      <c r="I73" s="321">
        <v>16.0</v>
      </c>
    </row>
    <row r="74">
      <c r="A74" s="12" t="s">
        <v>877</v>
      </c>
      <c r="B74" s="12" t="s">
        <v>864</v>
      </c>
      <c r="C74" s="12" t="s">
        <v>814</v>
      </c>
      <c r="D74" s="12" t="s">
        <v>96</v>
      </c>
      <c r="E74" s="12" t="s">
        <v>153</v>
      </c>
      <c r="F74" s="321">
        <v>1.0</v>
      </c>
      <c r="G74" s="12" t="s">
        <v>875</v>
      </c>
      <c r="H74" s="12" t="s">
        <v>661</v>
      </c>
      <c r="I74" s="321">
        <v>16.0</v>
      </c>
    </row>
    <row r="75">
      <c r="A75" s="12" t="s">
        <v>878</v>
      </c>
      <c r="B75" s="12" t="s">
        <v>879</v>
      </c>
      <c r="C75" s="12" t="s">
        <v>803</v>
      </c>
      <c r="D75" s="12" t="s">
        <v>96</v>
      </c>
      <c r="E75" s="12" t="s">
        <v>430</v>
      </c>
      <c r="F75" s="321">
        <v>1.0</v>
      </c>
      <c r="G75" s="12" t="s">
        <v>880</v>
      </c>
      <c r="H75" s="12" t="s">
        <v>661</v>
      </c>
      <c r="I75" s="321">
        <v>15.0</v>
      </c>
    </row>
    <row r="76">
      <c r="A76" s="12" t="s">
        <v>881</v>
      </c>
      <c r="B76" s="12" t="s">
        <v>879</v>
      </c>
      <c r="C76" s="12" t="s">
        <v>803</v>
      </c>
      <c r="D76" s="12" t="s">
        <v>96</v>
      </c>
      <c r="E76" s="12" t="s">
        <v>430</v>
      </c>
      <c r="F76" s="321">
        <v>2.0</v>
      </c>
      <c r="G76" s="12" t="s">
        <v>880</v>
      </c>
      <c r="H76" s="12" t="s">
        <v>661</v>
      </c>
      <c r="I76" s="321">
        <v>15.0</v>
      </c>
    </row>
    <row r="77">
      <c r="A77" s="12" t="s">
        <v>882</v>
      </c>
      <c r="B77" s="12" t="s">
        <v>879</v>
      </c>
      <c r="C77" s="12" t="s">
        <v>803</v>
      </c>
      <c r="D77" s="12" t="s">
        <v>96</v>
      </c>
      <c r="E77" s="12" t="s">
        <v>430</v>
      </c>
      <c r="F77" s="321">
        <v>3.0</v>
      </c>
      <c r="G77" s="12" t="s">
        <v>880</v>
      </c>
      <c r="H77" s="12" t="s">
        <v>661</v>
      </c>
      <c r="I77" s="321">
        <v>15.0</v>
      </c>
    </row>
    <row r="78">
      <c r="A78" s="12" t="s">
        <v>883</v>
      </c>
      <c r="B78" s="12" t="s">
        <v>879</v>
      </c>
      <c r="C78" s="12" t="s">
        <v>803</v>
      </c>
      <c r="D78" s="12" t="s">
        <v>96</v>
      </c>
      <c r="E78" s="12" t="s">
        <v>430</v>
      </c>
      <c r="F78" s="321">
        <v>4.0</v>
      </c>
      <c r="G78" s="12" t="s">
        <v>880</v>
      </c>
      <c r="H78" s="12" t="s">
        <v>661</v>
      </c>
      <c r="I78" s="321">
        <v>15.0</v>
      </c>
    </row>
    <row r="79">
      <c r="A79" s="12" t="s">
        <v>884</v>
      </c>
      <c r="B79" s="12" t="s">
        <v>879</v>
      </c>
      <c r="C79" s="12" t="s">
        <v>803</v>
      </c>
      <c r="D79" s="12" t="s">
        <v>96</v>
      </c>
      <c r="E79" s="12" t="s">
        <v>430</v>
      </c>
      <c r="F79" s="321">
        <v>5.0</v>
      </c>
      <c r="G79" s="12" t="s">
        <v>880</v>
      </c>
      <c r="H79" s="12" t="s">
        <v>661</v>
      </c>
      <c r="I79" s="321">
        <v>15.0</v>
      </c>
    </row>
    <row r="80">
      <c r="A80" s="12" t="s">
        <v>885</v>
      </c>
      <c r="B80" s="12" t="s">
        <v>879</v>
      </c>
      <c r="C80" s="12" t="s">
        <v>803</v>
      </c>
      <c r="D80" s="12" t="s">
        <v>96</v>
      </c>
      <c r="E80" s="12" t="s">
        <v>430</v>
      </c>
      <c r="F80" s="321">
        <v>6.0</v>
      </c>
      <c r="G80" s="12" t="s">
        <v>880</v>
      </c>
      <c r="H80" s="12" t="s">
        <v>661</v>
      </c>
      <c r="I80" s="321">
        <v>15.0</v>
      </c>
    </row>
    <row r="81">
      <c r="A81" s="12" t="s">
        <v>886</v>
      </c>
      <c r="B81" s="12" t="s">
        <v>879</v>
      </c>
      <c r="C81" s="12" t="s">
        <v>803</v>
      </c>
      <c r="D81" s="12" t="s">
        <v>96</v>
      </c>
      <c r="E81" s="12" t="s">
        <v>430</v>
      </c>
      <c r="F81" s="321">
        <v>7.0</v>
      </c>
      <c r="G81" s="12" t="s">
        <v>880</v>
      </c>
      <c r="H81" s="12" t="s">
        <v>661</v>
      </c>
      <c r="I81" s="321">
        <v>15.0</v>
      </c>
    </row>
    <row r="82">
      <c r="A82" s="12" t="s">
        <v>887</v>
      </c>
      <c r="B82" s="12" t="s">
        <v>879</v>
      </c>
      <c r="C82" s="12" t="s">
        <v>803</v>
      </c>
      <c r="D82" s="12" t="s">
        <v>96</v>
      </c>
      <c r="E82" s="12" t="s">
        <v>430</v>
      </c>
      <c r="F82" s="321">
        <v>8.0</v>
      </c>
      <c r="G82" s="12" t="s">
        <v>880</v>
      </c>
      <c r="H82" s="12" t="s">
        <v>661</v>
      </c>
      <c r="I82" s="321">
        <v>15.0</v>
      </c>
    </row>
    <row r="83">
      <c r="A83" s="12" t="s">
        <v>888</v>
      </c>
      <c r="B83" s="12" t="s">
        <v>879</v>
      </c>
      <c r="C83" s="12" t="s">
        <v>803</v>
      </c>
      <c r="D83" s="12" t="s">
        <v>96</v>
      </c>
      <c r="E83" s="12" t="s">
        <v>430</v>
      </c>
      <c r="F83" s="321">
        <v>9.0</v>
      </c>
      <c r="G83" s="12" t="s">
        <v>880</v>
      </c>
      <c r="H83" s="12" t="s">
        <v>661</v>
      </c>
      <c r="I83" s="321">
        <v>15.0</v>
      </c>
    </row>
    <row r="84">
      <c r="A84" s="12" t="s">
        <v>889</v>
      </c>
      <c r="B84" s="12" t="s">
        <v>879</v>
      </c>
      <c r="C84" s="12" t="s">
        <v>803</v>
      </c>
      <c r="D84" s="12" t="s">
        <v>96</v>
      </c>
      <c r="E84" s="12" t="s">
        <v>430</v>
      </c>
      <c r="F84" s="321">
        <v>10.0</v>
      </c>
      <c r="G84" s="12" t="s">
        <v>880</v>
      </c>
      <c r="H84" s="12" t="s">
        <v>661</v>
      </c>
      <c r="I84" s="321">
        <v>15.0</v>
      </c>
    </row>
    <row r="85">
      <c r="A85" s="12" t="s">
        <v>698</v>
      </c>
      <c r="B85" s="12" t="s">
        <v>879</v>
      </c>
      <c r="C85" s="12" t="s">
        <v>814</v>
      </c>
      <c r="D85" s="12" t="s">
        <v>96</v>
      </c>
      <c r="E85" s="12" t="s">
        <v>430</v>
      </c>
      <c r="F85" s="321">
        <v>1.0</v>
      </c>
      <c r="G85" s="12" t="s">
        <v>890</v>
      </c>
      <c r="H85" s="12" t="s">
        <v>661</v>
      </c>
      <c r="I85" s="321">
        <v>15.0</v>
      </c>
    </row>
    <row r="86">
      <c r="A86" s="12" t="s">
        <v>891</v>
      </c>
      <c r="B86" s="12" t="s">
        <v>879</v>
      </c>
      <c r="C86" s="12" t="s">
        <v>814</v>
      </c>
      <c r="D86" s="12" t="s">
        <v>96</v>
      </c>
      <c r="E86" s="12" t="s">
        <v>430</v>
      </c>
      <c r="F86" s="321">
        <v>1.0</v>
      </c>
      <c r="G86" s="12" t="s">
        <v>890</v>
      </c>
      <c r="H86" s="12" t="s">
        <v>661</v>
      </c>
      <c r="I86" s="321">
        <v>15.0</v>
      </c>
    </row>
    <row r="87">
      <c r="A87" s="12" t="s">
        <v>892</v>
      </c>
      <c r="B87" s="12" t="s">
        <v>879</v>
      </c>
      <c r="C87" s="12" t="s">
        <v>814</v>
      </c>
      <c r="D87" s="12" t="s">
        <v>96</v>
      </c>
      <c r="E87" s="12" t="s">
        <v>430</v>
      </c>
      <c r="F87" s="321">
        <v>1.0</v>
      </c>
      <c r="G87" s="12" t="s">
        <v>890</v>
      </c>
      <c r="H87" s="12" t="s">
        <v>661</v>
      </c>
      <c r="I87" s="321">
        <v>15.0</v>
      </c>
    </row>
    <row r="88">
      <c r="A88" s="12" t="s">
        <v>676</v>
      </c>
      <c r="B88" s="12" t="s">
        <v>893</v>
      </c>
      <c r="C88" s="12" t="s">
        <v>814</v>
      </c>
      <c r="D88" s="12" t="s">
        <v>96</v>
      </c>
      <c r="E88" s="12" t="s">
        <v>197</v>
      </c>
      <c r="F88" s="321">
        <v>1.0</v>
      </c>
      <c r="G88" s="12" t="s">
        <v>894</v>
      </c>
      <c r="H88" s="12" t="s">
        <v>661</v>
      </c>
      <c r="I88" s="321">
        <v>18.0</v>
      </c>
    </row>
    <row r="89">
      <c r="A89" s="12" t="s">
        <v>895</v>
      </c>
      <c r="B89" s="12" t="s">
        <v>893</v>
      </c>
      <c r="C89" s="12" t="s">
        <v>814</v>
      </c>
      <c r="D89" s="12" t="s">
        <v>96</v>
      </c>
      <c r="E89" s="12" t="s">
        <v>197</v>
      </c>
      <c r="F89" s="321">
        <v>1.0</v>
      </c>
      <c r="G89" s="12" t="s">
        <v>894</v>
      </c>
      <c r="H89" s="12" t="s">
        <v>661</v>
      </c>
      <c r="I89" s="321">
        <v>18.0</v>
      </c>
    </row>
    <row r="90">
      <c r="A90" s="12" t="s">
        <v>896</v>
      </c>
      <c r="B90" s="12" t="s">
        <v>893</v>
      </c>
      <c r="C90" s="12" t="s">
        <v>814</v>
      </c>
      <c r="D90" s="12" t="s">
        <v>96</v>
      </c>
      <c r="E90" s="12" t="s">
        <v>197</v>
      </c>
      <c r="F90" s="321">
        <v>1.0</v>
      </c>
      <c r="G90" s="12" t="s">
        <v>894</v>
      </c>
      <c r="H90" s="12" t="s">
        <v>661</v>
      </c>
      <c r="I90" s="321">
        <v>18.0</v>
      </c>
    </row>
    <row r="91">
      <c r="A91" s="12" t="s">
        <v>687</v>
      </c>
      <c r="B91" s="12" t="s">
        <v>897</v>
      </c>
      <c r="C91" s="12" t="s">
        <v>814</v>
      </c>
      <c r="D91" s="12" t="s">
        <v>96</v>
      </c>
      <c r="E91" s="12" t="s">
        <v>418</v>
      </c>
      <c r="F91" s="321">
        <v>1.0</v>
      </c>
      <c r="G91" s="12" t="s">
        <v>898</v>
      </c>
      <c r="H91" s="12" t="s">
        <v>661</v>
      </c>
      <c r="I91" s="321">
        <v>14.0</v>
      </c>
    </row>
    <row r="92">
      <c r="A92" s="12" t="s">
        <v>899</v>
      </c>
      <c r="B92" s="12" t="s">
        <v>897</v>
      </c>
      <c r="C92" s="12" t="s">
        <v>814</v>
      </c>
      <c r="D92" s="12" t="s">
        <v>96</v>
      </c>
      <c r="E92" s="12" t="s">
        <v>418</v>
      </c>
      <c r="F92" s="321">
        <v>1.0</v>
      </c>
      <c r="G92" s="12" t="s">
        <v>898</v>
      </c>
      <c r="H92" s="12" t="s">
        <v>661</v>
      </c>
      <c r="I92" s="321">
        <v>14.0</v>
      </c>
    </row>
    <row r="93">
      <c r="A93" s="12" t="s">
        <v>900</v>
      </c>
      <c r="B93" s="12" t="s">
        <v>897</v>
      </c>
      <c r="C93" s="12" t="s">
        <v>814</v>
      </c>
      <c r="D93" s="12" t="s">
        <v>96</v>
      </c>
      <c r="E93" s="12" t="s">
        <v>418</v>
      </c>
      <c r="F93" s="321">
        <v>1.0</v>
      </c>
      <c r="G93" s="12" t="s">
        <v>898</v>
      </c>
      <c r="H93" s="12" t="s">
        <v>661</v>
      </c>
      <c r="I93" s="321">
        <v>14.0</v>
      </c>
    </row>
    <row r="94">
      <c r="A94" s="12" t="s">
        <v>697</v>
      </c>
      <c r="B94" s="12" t="s">
        <v>901</v>
      </c>
      <c r="C94" s="12" t="s">
        <v>814</v>
      </c>
      <c r="D94" s="12" t="s">
        <v>96</v>
      </c>
      <c r="E94" s="12" t="s">
        <v>129</v>
      </c>
      <c r="F94" s="321">
        <v>1.0</v>
      </c>
      <c r="G94" s="12" t="s">
        <v>902</v>
      </c>
      <c r="H94" s="12" t="s">
        <v>661</v>
      </c>
      <c r="I94" s="321">
        <v>18.0</v>
      </c>
    </row>
    <row r="95">
      <c r="A95" s="12" t="s">
        <v>903</v>
      </c>
      <c r="B95" s="12" t="s">
        <v>901</v>
      </c>
      <c r="C95" s="12" t="s">
        <v>814</v>
      </c>
      <c r="D95" s="12" t="s">
        <v>96</v>
      </c>
      <c r="E95" s="12" t="s">
        <v>129</v>
      </c>
      <c r="F95" s="321">
        <v>1.0</v>
      </c>
      <c r="G95" s="12" t="s">
        <v>902</v>
      </c>
      <c r="H95" s="12" t="s">
        <v>661</v>
      </c>
      <c r="I95" s="321">
        <v>18.0</v>
      </c>
    </row>
    <row r="96">
      <c r="A96" s="12" t="s">
        <v>904</v>
      </c>
      <c r="B96" s="12" t="s">
        <v>901</v>
      </c>
      <c r="C96" s="12" t="s">
        <v>814</v>
      </c>
      <c r="D96" s="12" t="s">
        <v>96</v>
      </c>
      <c r="E96" s="12" t="s">
        <v>129</v>
      </c>
      <c r="F96" s="321">
        <v>1.0</v>
      </c>
      <c r="G96" s="12" t="s">
        <v>902</v>
      </c>
      <c r="H96" s="12" t="s">
        <v>661</v>
      </c>
      <c r="I96" s="321">
        <v>18.0</v>
      </c>
    </row>
    <row r="97">
      <c r="A97" s="12" t="s">
        <v>699</v>
      </c>
      <c r="B97" s="12" t="s">
        <v>905</v>
      </c>
      <c r="C97" s="12" t="s">
        <v>814</v>
      </c>
      <c r="D97" s="12" t="s">
        <v>96</v>
      </c>
      <c r="E97" s="12" t="s">
        <v>431</v>
      </c>
      <c r="F97" s="321">
        <v>1.0</v>
      </c>
      <c r="G97" s="12" t="s">
        <v>906</v>
      </c>
      <c r="H97" s="12" t="s">
        <v>661</v>
      </c>
      <c r="I97" s="321">
        <v>16.0</v>
      </c>
    </row>
    <row r="98">
      <c r="A98" s="12" t="s">
        <v>907</v>
      </c>
      <c r="B98" s="12" t="s">
        <v>905</v>
      </c>
      <c r="C98" s="12" t="s">
        <v>814</v>
      </c>
      <c r="D98" s="12" t="s">
        <v>96</v>
      </c>
      <c r="E98" s="12" t="s">
        <v>431</v>
      </c>
      <c r="F98" s="321">
        <v>1.0</v>
      </c>
      <c r="G98" s="12" t="s">
        <v>906</v>
      </c>
      <c r="H98" s="12" t="s">
        <v>661</v>
      </c>
      <c r="I98" s="321">
        <v>16.0</v>
      </c>
    </row>
    <row r="99">
      <c r="A99" s="12" t="s">
        <v>908</v>
      </c>
      <c r="B99" s="12" t="s">
        <v>905</v>
      </c>
      <c r="C99" s="12" t="s">
        <v>814</v>
      </c>
      <c r="D99" s="12" t="s">
        <v>96</v>
      </c>
      <c r="E99" s="12" t="s">
        <v>431</v>
      </c>
      <c r="F99" s="321">
        <v>1.0</v>
      </c>
      <c r="G99" s="12" t="s">
        <v>906</v>
      </c>
      <c r="H99" s="12" t="s">
        <v>661</v>
      </c>
      <c r="I99" s="321">
        <v>16.0</v>
      </c>
    </row>
    <row r="100">
      <c r="A100" s="12" t="s">
        <v>700</v>
      </c>
      <c r="B100" s="12" t="s">
        <v>909</v>
      </c>
      <c r="C100" s="12" t="s">
        <v>814</v>
      </c>
      <c r="D100" s="12" t="s">
        <v>96</v>
      </c>
      <c r="E100" s="12" t="s">
        <v>438</v>
      </c>
      <c r="F100" s="321">
        <v>1.0</v>
      </c>
      <c r="G100" s="12" t="s">
        <v>910</v>
      </c>
      <c r="H100" s="12" t="s">
        <v>661</v>
      </c>
      <c r="I100" s="321">
        <v>17.0</v>
      </c>
    </row>
    <row r="101">
      <c r="A101" s="12" t="s">
        <v>911</v>
      </c>
      <c r="B101" s="12" t="s">
        <v>909</v>
      </c>
      <c r="C101" s="12" t="s">
        <v>814</v>
      </c>
      <c r="D101" s="12" t="s">
        <v>96</v>
      </c>
      <c r="E101" s="12" t="s">
        <v>438</v>
      </c>
      <c r="F101" s="321">
        <v>1.0</v>
      </c>
      <c r="G101" s="12" t="s">
        <v>910</v>
      </c>
      <c r="H101" s="12" t="s">
        <v>661</v>
      </c>
      <c r="I101" s="321">
        <v>17.0</v>
      </c>
    </row>
    <row r="102">
      <c r="A102" s="12" t="s">
        <v>912</v>
      </c>
      <c r="B102" s="12" t="s">
        <v>909</v>
      </c>
      <c r="C102" s="12" t="s">
        <v>814</v>
      </c>
      <c r="D102" s="12" t="s">
        <v>96</v>
      </c>
      <c r="E102" s="12" t="s">
        <v>438</v>
      </c>
      <c r="F102" s="321">
        <v>1.0</v>
      </c>
      <c r="G102" s="12" t="s">
        <v>910</v>
      </c>
      <c r="H102" s="12" t="s">
        <v>661</v>
      </c>
      <c r="I102" s="321">
        <v>17.0</v>
      </c>
    </row>
    <row r="103">
      <c r="A103" s="12" t="s">
        <v>701</v>
      </c>
      <c r="B103" s="12" t="s">
        <v>913</v>
      </c>
      <c r="C103" s="12" t="s">
        <v>814</v>
      </c>
      <c r="D103" s="12" t="s">
        <v>96</v>
      </c>
      <c r="E103" s="12" t="s">
        <v>420</v>
      </c>
      <c r="F103" s="321">
        <v>1.0</v>
      </c>
      <c r="G103" s="12" t="s">
        <v>914</v>
      </c>
      <c r="H103" s="12" t="s">
        <v>661</v>
      </c>
      <c r="I103" s="321">
        <v>14.0</v>
      </c>
    </row>
    <row r="104">
      <c r="A104" s="12" t="s">
        <v>915</v>
      </c>
      <c r="B104" s="12" t="s">
        <v>913</v>
      </c>
      <c r="C104" s="12" t="s">
        <v>814</v>
      </c>
      <c r="D104" s="12" t="s">
        <v>96</v>
      </c>
      <c r="E104" s="12" t="s">
        <v>420</v>
      </c>
      <c r="F104" s="321">
        <v>1.0</v>
      </c>
      <c r="G104" s="12" t="s">
        <v>914</v>
      </c>
      <c r="H104" s="12" t="s">
        <v>661</v>
      </c>
      <c r="I104" s="321">
        <v>14.0</v>
      </c>
    </row>
    <row r="105">
      <c r="A105" s="12" t="s">
        <v>916</v>
      </c>
      <c r="B105" s="12" t="s">
        <v>913</v>
      </c>
      <c r="C105" s="12" t="s">
        <v>814</v>
      </c>
      <c r="D105" s="12" t="s">
        <v>96</v>
      </c>
      <c r="E105" s="12" t="s">
        <v>420</v>
      </c>
      <c r="F105" s="321">
        <v>1.0</v>
      </c>
      <c r="G105" s="12" t="s">
        <v>914</v>
      </c>
      <c r="H105" s="12" t="s">
        <v>661</v>
      </c>
      <c r="I105" s="321">
        <v>14.0</v>
      </c>
    </row>
    <row r="106">
      <c r="A106" s="12" t="s">
        <v>705</v>
      </c>
      <c r="B106" s="12" t="s">
        <v>917</v>
      </c>
      <c r="C106" s="12" t="s">
        <v>814</v>
      </c>
      <c r="D106" s="12" t="s">
        <v>96</v>
      </c>
      <c r="E106" s="12" t="s">
        <v>195</v>
      </c>
      <c r="F106" s="321">
        <v>1.0</v>
      </c>
      <c r="G106" s="12" t="s">
        <v>918</v>
      </c>
      <c r="H106" s="12" t="s">
        <v>661</v>
      </c>
      <c r="I106" s="321">
        <v>18.0</v>
      </c>
    </row>
    <row r="107">
      <c r="A107" s="12" t="s">
        <v>919</v>
      </c>
      <c r="B107" s="12" t="s">
        <v>917</v>
      </c>
      <c r="C107" s="12" t="s">
        <v>814</v>
      </c>
      <c r="D107" s="12" t="s">
        <v>96</v>
      </c>
      <c r="E107" s="12" t="s">
        <v>195</v>
      </c>
      <c r="F107" s="321">
        <v>1.0</v>
      </c>
      <c r="G107" s="12" t="s">
        <v>918</v>
      </c>
      <c r="H107" s="12" t="s">
        <v>661</v>
      </c>
      <c r="I107" s="321">
        <v>18.0</v>
      </c>
    </row>
    <row r="108">
      <c r="A108" s="12" t="s">
        <v>920</v>
      </c>
      <c r="B108" s="12" t="s">
        <v>917</v>
      </c>
      <c r="C108" s="12" t="s">
        <v>814</v>
      </c>
      <c r="D108" s="12" t="s">
        <v>96</v>
      </c>
      <c r="E108" s="12" t="s">
        <v>195</v>
      </c>
      <c r="F108" s="321">
        <v>1.0</v>
      </c>
      <c r="G108" s="12" t="s">
        <v>918</v>
      </c>
      <c r="H108" s="12" t="s">
        <v>661</v>
      </c>
      <c r="I108" s="321">
        <v>18.0</v>
      </c>
    </row>
    <row r="109">
      <c r="A109" s="12" t="s">
        <v>706</v>
      </c>
      <c r="B109" s="12" t="s">
        <v>921</v>
      </c>
      <c r="C109" s="12" t="s">
        <v>814</v>
      </c>
      <c r="D109" s="12" t="s">
        <v>96</v>
      </c>
      <c r="E109" s="12" t="s">
        <v>193</v>
      </c>
      <c r="F109" s="321">
        <v>1.0</v>
      </c>
      <c r="G109" s="12" t="s">
        <v>922</v>
      </c>
      <c r="H109" s="12" t="s">
        <v>661</v>
      </c>
      <c r="I109" s="321">
        <v>18.0</v>
      </c>
    </row>
    <row r="110">
      <c r="A110" s="12" t="s">
        <v>923</v>
      </c>
      <c r="B110" s="12" t="s">
        <v>921</v>
      </c>
      <c r="C110" s="12" t="s">
        <v>814</v>
      </c>
      <c r="D110" s="12" t="s">
        <v>96</v>
      </c>
      <c r="E110" s="12" t="s">
        <v>193</v>
      </c>
      <c r="F110" s="321">
        <v>1.0</v>
      </c>
      <c r="G110" s="12" t="s">
        <v>922</v>
      </c>
      <c r="H110" s="12" t="s">
        <v>661</v>
      </c>
      <c r="I110" s="321">
        <v>18.0</v>
      </c>
    </row>
    <row r="111">
      <c r="A111" s="12" t="s">
        <v>924</v>
      </c>
      <c r="B111" s="12" t="s">
        <v>921</v>
      </c>
      <c r="C111" s="12" t="s">
        <v>814</v>
      </c>
      <c r="D111" s="12" t="s">
        <v>96</v>
      </c>
      <c r="E111" s="12" t="s">
        <v>193</v>
      </c>
      <c r="F111" s="321">
        <v>1.0</v>
      </c>
      <c r="G111" s="12" t="s">
        <v>922</v>
      </c>
      <c r="H111" s="12" t="s">
        <v>661</v>
      </c>
      <c r="I111" s="321">
        <v>18.0</v>
      </c>
    </row>
    <row r="112">
      <c r="A112" s="12" t="s">
        <v>707</v>
      </c>
      <c r="B112" s="12" t="s">
        <v>925</v>
      </c>
      <c r="C112" s="12" t="s">
        <v>814</v>
      </c>
      <c r="D112" s="12" t="s">
        <v>96</v>
      </c>
      <c r="E112" s="12" t="s">
        <v>317</v>
      </c>
      <c r="F112" s="321">
        <v>1.0</v>
      </c>
      <c r="G112" s="12" t="s">
        <v>926</v>
      </c>
      <c r="H112" s="12" t="s">
        <v>661</v>
      </c>
      <c r="I112" s="321">
        <v>13.0</v>
      </c>
    </row>
    <row r="113">
      <c r="A113" s="12" t="s">
        <v>927</v>
      </c>
      <c r="B113" s="12" t="s">
        <v>925</v>
      </c>
      <c r="C113" s="12" t="s">
        <v>814</v>
      </c>
      <c r="D113" s="12" t="s">
        <v>96</v>
      </c>
      <c r="E113" s="12" t="s">
        <v>317</v>
      </c>
      <c r="F113" s="321">
        <v>1.0</v>
      </c>
      <c r="G113" s="12" t="s">
        <v>926</v>
      </c>
      <c r="H113" s="12" t="s">
        <v>661</v>
      </c>
      <c r="I113" s="321">
        <v>13.0</v>
      </c>
    </row>
    <row r="114">
      <c r="A114" s="12" t="s">
        <v>928</v>
      </c>
      <c r="B114" s="12" t="s">
        <v>925</v>
      </c>
      <c r="C114" s="12" t="s">
        <v>814</v>
      </c>
      <c r="D114" s="12" t="s">
        <v>96</v>
      </c>
      <c r="E114" s="12" t="s">
        <v>317</v>
      </c>
      <c r="F114" s="321">
        <v>1.0</v>
      </c>
      <c r="G114" s="12" t="s">
        <v>926</v>
      </c>
      <c r="H114" s="12" t="s">
        <v>661</v>
      </c>
      <c r="I114" s="321">
        <v>13.0</v>
      </c>
    </row>
    <row r="115">
      <c r="A115" s="12" t="s">
        <v>666</v>
      </c>
      <c r="B115" s="12" t="s">
        <v>929</v>
      </c>
      <c r="C115" s="12" t="s">
        <v>814</v>
      </c>
      <c r="D115" s="12" t="s">
        <v>96</v>
      </c>
      <c r="E115" s="12" t="s">
        <v>426</v>
      </c>
      <c r="F115" s="321">
        <v>1.0</v>
      </c>
      <c r="G115" s="12" t="s">
        <v>930</v>
      </c>
      <c r="H115" s="12" t="s">
        <v>661</v>
      </c>
      <c r="I115" s="321">
        <v>15.0</v>
      </c>
    </row>
    <row r="116">
      <c r="A116" s="12" t="s">
        <v>931</v>
      </c>
      <c r="B116" s="12" t="s">
        <v>929</v>
      </c>
      <c r="C116" s="12" t="s">
        <v>814</v>
      </c>
      <c r="D116" s="12" t="s">
        <v>96</v>
      </c>
      <c r="E116" s="12" t="s">
        <v>426</v>
      </c>
      <c r="F116" s="321">
        <v>1.0</v>
      </c>
      <c r="G116" s="12" t="s">
        <v>930</v>
      </c>
      <c r="H116" s="12" t="s">
        <v>661</v>
      </c>
      <c r="I116" s="321">
        <v>15.0</v>
      </c>
    </row>
    <row r="117">
      <c r="A117" s="12" t="s">
        <v>932</v>
      </c>
      <c r="B117" s="12" t="s">
        <v>929</v>
      </c>
      <c r="C117" s="12" t="s">
        <v>814</v>
      </c>
      <c r="D117" s="12" t="s">
        <v>96</v>
      </c>
      <c r="E117" s="12" t="s">
        <v>426</v>
      </c>
      <c r="F117" s="321">
        <v>1.0</v>
      </c>
      <c r="G117" s="12" t="s">
        <v>930</v>
      </c>
      <c r="H117" s="12" t="s">
        <v>661</v>
      </c>
      <c r="I117" s="321">
        <v>15.0</v>
      </c>
    </row>
    <row r="118">
      <c r="A118" s="12" t="s">
        <v>667</v>
      </c>
      <c r="B118" s="12" t="s">
        <v>933</v>
      </c>
      <c r="C118" s="12" t="s">
        <v>814</v>
      </c>
      <c r="D118" s="12" t="s">
        <v>96</v>
      </c>
      <c r="E118" s="12" t="s">
        <v>20</v>
      </c>
      <c r="F118" s="321">
        <v>1.0</v>
      </c>
      <c r="G118" s="12" t="s">
        <v>934</v>
      </c>
      <c r="H118" s="12" t="s">
        <v>661</v>
      </c>
      <c r="I118" s="321">
        <v>18.0</v>
      </c>
    </row>
    <row r="119">
      <c r="A119" s="12" t="s">
        <v>935</v>
      </c>
      <c r="B119" s="12" t="s">
        <v>933</v>
      </c>
      <c r="C119" s="12" t="s">
        <v>814</v>
      </c>
      <c r="D119" s="12" t="s">
        <v>96</v>
      </c>
      <c r="E119" s="12" t="s">
        <v>20</v>
      </c>
      <c r="F119" s="321">
        <v>1.0</v>
      </c>
      <c r="G119" s="12" t="s">
        <v>934</v>
      </c>
      <c r="H119" s="12" t="s">
        <v>661</v>
      </c>
      <c r="I119" s="321">
        <v>18.0</v>
      </c>
    </row>
    <row r="120">
      <c r="A120" s="12" t="s">
        <v>936</v>
      </c>
      <c r="B120" s="12" t="s">
        <v>933</v>
      </c>
      <c r="C120" s="12" t="s">
        <v>814</v>
      </c>
      <c r="D120" s="12" t="s">
        <v>96</v>
      </c>
      <c r="E120" s="12" t="s">
        <v>20</v>
      </c>
      <c r="F120" s="321">
        <v>1.0</v>
      </c>
      <c r="G120" s="12" t="s">
        <v>934</v>
      </c>
      <c r="H120" s="12" t="s">
        <v>661</v>
      </c>
      <c r="I120" s="321">
        <v>18.0</v>
      </c>
    </row>
    <row r="121">
      <c r="A121" s="12" t="s">
        <v>668</v>
      </c>
      <c r="B121" s="12" t="s">
        <v>937</v>
      </c>
      <c r="C121" s="12" t="s">
        <v>814</v>
      </c>
      <c r="D121" s="12" t="s">
        <v>96</v>
      </c>
      <c r="E121" s="12" t="s">
        <v>421</v>
      </c>
      <c r="F121" s="321">
        <v>1.0</v>
      </c>
      <c r="G121" s="12" t="s">
        <v>938</v>
      </c>
      <c r="H121" s="12" t="s">
        <v>661</v>
      </c>
      <c r="I121" s="321">
        <v>14.0</v>
      </c>
    </row>
    <row r="122">
      <c r="A122" s="12" t="s">
        <v>939</v>
      </c>
      <c r="B122" s="12" t="s">
        <v>937</v>
      </c>
      <c r="C122" s="12" t="s">
        <v>814</v>
      </c>
      <c r="D122" s="12" t="s">
        <v>96</v>
      </c>
      <c r="E122" s="12" t="s">
        <v>421</v>
      </c>
      <c r="F122" s="321">
        <v>1.0</v>
      </c>
      <c r="G122" s="12" t="s">
        <v>938</v>
      </c>
      <c r="H122" s="12" t="s">
        <v>661</v>
      </c>
      <c r="I122" s="321">
        <v>14.0</v>
      </c>
    </row>
    <row r="123">
      <c r="A123" s="12" t="s">
        <v>940</v>
      </c>
      <c r="B123" s="12" t="s">
        <v>937</v>
      </c>
      <c r="C123" s="12" t="s">
        <v>814</v>
      </c>
      <c r="D123" s="12" t="s">
        <v>96</v>
      </c>
      <c r="E123" s="12" t="s">
        <v>421</v>
      </c>
      <c r="F123" s="321">
        <v>1.0</v>
      </c>
      <c r="G123" s="12" t="s">
        <v>938</v>
      </c>
      <c r="H123" s="12" t="s">
        <v>661</v>
      </c>
      <c r="I123" s="321">
        <v>14.0</v>
      </c>
    </row>
    <row r="124">
      <c r="A124" s="12" t="s">
        <v>669</v>
      </c>
      <c r="B124" s="12" t="s">
        <v>941</v>
      </c>
      <c r="C124" s="12" t="s">
        <v>814</v>
      </c>
      <c r="D124" s="12" t="s">
        <v>96</v>
      </c>
      <c r="E124" s="12" t="s">
        <v>409</v>
      </c>
      <c r="F124" s="321">
        <v>1.0</v>
      </c>
      <c r="G124" s="12" t="s">
        <v>942</v>
      </c>
      <c r="H124" s="12" t="s">
        <v>661</v>
      </c>
      <c r="I124" s="321">
        <v>13.0</v>
      </c>
    </row>
    <row r="125">
      <c r="A125" s="12" t="s">
        <v>943</v>
      </c>
      <c r="B125" s="12" t="s">
        <v>941</v>
      </c>
      <c r="C125" s="12" t="s">
        <v>814</v>
      </c>
      <c r="D125" s="12" t="s">
        <v>96</v>
      </c>
      <c r="E125" s="12" t="s">
        <v>409</v>
      </c>
      <c r="F125" s="321">
        <v>1.0</v>
      </c>
      <c r="G125" s="12" t="s">
        <v>942</v>
      </c>
      <c r="H125" s="12" t="s">
        <v>661</v>
      </c>
      <c r="I125" s="321">
        <v>13.0</v>
      </c>
    </row>
    <row r="126">
      <c r="A126" s="12" t="s">
        <v>944</v>
      </c>
      <c r="B126" s="12" t="s">
        <v>941</v>
      </c>
      <c r="C126" s="12" t="s">
        <v>814</v>
      </c>
      <c r="D126" s="12" t="s">
        <v>96</v>
      </c>
      <c r="E126" s="12" t="s">
        <v>409</v>
      </c>
      <c r="F126" s="321">
        <v>1.0</v>
      </c>
      <c r="G126" s="12" t="s">
        <v>942</v>
      </c>
      <c r="H126" s="12" t="s">
        <v>661</v>
      </c>
      <c r="I126" s="321">
        <v>13.0</v>
      </c>
    </row>
    <row r="127">
      <c r="A127" s="12" t="s">
        <v>670</v>
      </c>
      <c r="B127" s="12" t="s">
        <v>945</v>
      </c>
      <c r="C127" s="12" t="s">
        <v>814</v>
      </c>
      <c r="D127" s="12" t="s">
        <v>96</v>
      </c>
      <c r="E127" s="12" t="s">
        <v>416</v>
      </c>
      <c r="F127" s="321">
        <v>1.0</v>
      </c>
      <c r="G127" s="12" t="s">
        <v>946</v>
      </c>
      <c r="H127" s="12" t="s">
        <v>661</v>
      </c>
      <c r="I127" s="321">
        <v>13.0</v>
      </c>
    </row>
    <row r="128">
      <c r="A128" s="12" t="s">
        <v>947</v>
      </c>
      <c r="B128" s="12" t="s">
        <v>945</v>
      </c>
      <c r="C128" s="12" t="s">
        <v>814</v>
      </c>
      <c r="D128" s="12" t="s">
        <v>96</v>
      </c>
      <c r="E128" s="12" t="s">
        <v>416</v>
      </c>
      <c r="F128" s="321">
        <v>1.0</v>
      </c>
      <c r="G128" s="12" t="s">
        <v>946</v>
      </c>
      <c r="H128" s="12" t="s">
        <v>661</v>
      </c>
      <c r="I128" s="321">
        <v>13.0</v>
      </c>
    </row>
    <row r="129">
      <c r="A129" s="12" t="s">
        <v>948</v>
      </c>
      <c r="B129" s="12" t="s">
        <v>945</v>
      </c>
      <c r="C129" s="12" t="s">
        <v>814</v>
      </c>
      <c r="D129" s="12" t="s">
        <v>96</v>
      </c>
      <c r="E129" s="12" t="s">
        <v>416</v>
      </c>
      <c r="F129" s="321">
        <v>1.0</v>
      </c>
      <c r="G129" s="12" t="s">
        <v>946</v>
      </c>
      <c r="H129" s="12" t="s">
        <v>661</v>
      </c>
      <c r="I129" s="321">
        <v>13.0</v>
      </c>
    </row>
    <row r="130">
      <c r="A130" s="12" t="s">
        <v>671</v>
      </c>
      <c r="B130" s="12" t="s">
        <v>949</v>
      </c>
      <c r="C130" s="12" t="s">
        <v>814</v>
      </c>
      <c r="D130" s="12" t="s">
        <v>96</v>
      </c>
      <c r="E130" s="12" t="s">
        <v>145</v>
      </c>
      <c r="F130" s="321">
        <v>1.0</v>
      </c>
      <c r="G130" s="12" t="s">
        <v>950</v>
      </c>
      <c r="H130" s="12" t="s">
        <v>661</v>
      </c>
      <c r="I130" s="321">
        <v>16.0</v>
      </c>
    </row>
    <row r="131">
      <c r="A131" s="12" t="s">
        <v>951</v>
      </c>
      <c r="B131" s="12" t="s">
        <v>949</v>
      </c>
      <c r="C131" s="12" t="s">
        <v>814</v>
      </c>
      <c r="D131" s="12" t="s">
        <v>96</v>
      </c>
      <c r="E131" s="12" t="s">
        <v>145</v>
      </c>
      <c r="F131" s="321">
        <v>1.0</v>
      </c>
      <c r="G131" s="12" t="s">
        <v>950</v>
      </c>
      <c r="H131" s="12" t="s">
        <v>661</v>
      </c>
      <c r="I131" s="321">
        <v>16.0</v>
      </c>
    </row>
    <row r="132">
      <c r="A132" s="12" t="s">
        <v>952</v>
      </c>
      <c r="B132" s="12" t="s">
        <v>949</v>
      </c>
      <c r="C132" s="12" t="s">
        <v>814</v>
      </c>
      <c r="D132" s="12" t="s">
        <v>96</v>
      </c>
      <c r="E132" s="12" t="s">
        <v>145</v>
      </c>
      <c r="F132" s="321">
        <v>1.0</v>
      </c>
      <c r="G132" s="12" t="s">
        <v>950</v>
      </c>
      <c r="H132" s="12" t="s">
        <v>661</v>
      </c>
      <c r="I132" s="321">
        <v>16.0</v>
      </c>
    </row>
    <row r="133">
      <c r="A133" s="12" t="s">
        <v>672</v>
      </c>
      <c r="B133" s="12" t="s">
        <v>953</v>
      </c>
      <c r="C133" s="12" t="s">
        <v>814</v>
      </c>
      <c r="D133" s="12" t="s">
        <v>96</v>
      </c>
      <c r="E133" s="12" t="s">
        <v>17</v>
      </c>
      <c r="F133" s="321">
        <v>1.0</v>
      </c>
      <c r="G133" s="12" t="s">
        <v>954</v>
      </c>
      <c r="H133" s="12" t="s">
        <v>661</v>
      </c>
      <c r="I133" s="321">
        <v>14.0</v>
      </c>
    </row>
    <row r="134">
      <c r="A134" s="12" t="s">
        <v>955</v>
      </c>
      <c r="B134" s="12" t="s">
        <v>953</v>
      </c>
      <c r="C134" s="12" t="s">
        <v>814</v>
      </c>
      <c r="D134" s="12" t="s">
        <v>96</v>
      </c>
      <c r="E134" s="12" t="s">
        <v>17</v>
      </c>
      <c r="F134" s="321">
        <v>1.0</v>
      </c>
      <c r="G134" s="12" t="s">
        <v>954</v>
      </c>
      <c r="H134" s="12" t="s">
        <v>661</v>
      </c>
      <c r="I134" s="321">
        <v>14.0</v>
      </c>
    </row>
    <row r="135">
      <c r="A135" s="12" t="s">
        <v>956</v>
      </c>
      <c r="B135" s="12" t="s">
        <v>953</v>
      </c>
      <c r="C135" s="12" t="s">
        <v>814</v>
      </c>
      <c r="D135" s="12" t="s">
        <v>96</v>
      </c>
      <c r="E135" s="12" t="s">
        <v>17</v>
      </c>
      <c r="F135" s="321">
        <v>1.0</v>
      </c>
      <c r="G135" s="12" t="s">
        <v>954</v>
      </c>
      <c r="H135" s="12" t="s">
        <v>661</v>
      </c>
      <c r="I135" s="321">
        <v>14.0</v>
      </c>
    </row>
    <row r="136">
      <c r="A136" s="12" t="s">
        <v>673</v>
      </c>
      <c r="B136" s="12" t="s">
        <v>957</v>
      </c>
      <c r="C136" s="12" t="s">
        <v>814</v>
      </c>
      <c r="D136" s="12" t="s">
        <v>96</v>
      </c>
      <c r="E136" s="12" t="s">
        <v>411</v>
      </c>
      <c r="F136" s="321">
        <v>1.0</v>
      </c>
      <c r="G136" s="12" t="s">
        <v>958</v>
      </c>
      <c r="H136" s="12" t="s">
        <v>661</v>
      </c>
      <c r="I136" s="321">
        <v>13.0</v>
      </c>
    </row>
    <row r="137">
      <c r="A137" s="12" t="s">
        <v>959</v>
      </c>
      <c r="B137" s="12" t="s">
        <v>957</v>
      </c>
      <c r="C137" s="12" t="s">
        <v>814</v>
      </c>
      <c r="D137" s="12" t="s">
        <v>96</v>
      </c>
      <c r="E137" s="12" t="s">
        <v>411</v>
      </c>
      <c r="F137" s="321">
        <v>1.0</v>
      </c>
      <c r="G137" s="12" t="s">
        <v>958</v>
      </c>
      <c r="H137" s="12" t="s">
        <v>661</v>
      </c>
      <c r="I137" s="321">
        <v>13.0</v>
      </c>
    </row>
    <row r="138">
      <c r="A138" s="12" t="s">
        <v>960</v>
      </c>
      <c r="B138" s="12" t="s">
        <v>957</v>
      </c>
      <c r="C138" s="12" t="s">
        <v>814</v>
      </c>
      <c r="D138" s="12" t="s">
        <v>96</v>
      </c>
      <c r="E138" s="12" t="s">
        <v>411</v>
      </c>
      <c r="F138" s="321">
        <v>1.0</v>
      </c>
      <c r="G138" s="12" t="s">
        <v>958</v>
      </c>
      <c r="H138" s="12" t="s">
        <v>661</v>
      </c>
      <c r="I138" s="321">
        <v>13.0</v>
      </c>
    </row>
    <row r="139">
      <c r="A139" s="12" t="s">
        <v>674</v>
      </c>
      <c r="B139" s="12" t="s">
        <v>961</v>
      </c>
      <c r="C139" s="12" t="s">
        <v>814</v>
      </c>
      <c r="D139" s="12" t="s">
        <v>96</v>
      </c>
      <c r="E139" s="12" t="s">
        <v>318</v>
      </c>
      <c r="F139" s="321">
        <v>1.0</v>
      </c>
      <c r="G139" s="12" t="s">
        <v>962</v>
      </c>
      <c r="H139" s="12" t="s">
        <v>661</v>
      </c>
      <c r="I139" s="321">
        <v>16.0</v>
      </c>
    </row>
    <row r="140">
      <c r="A140" s="12" t="s">
        <v>963</v>
      </c>
      <c r="B140" s="12" t="s">
        <v>961</v>
      </c>
      <c r="C140" s="12" t="s">
        <v>814</v>
      </c>
      <c r="D140" s="12" t="s">
        <v>96</v>
      </c>
      <c r="E140" s="12" t="s">
        <v>318</v>
      </c>
      <c r="F140" s="321">
        <v>1.0</v>
      </c>
      <c r="G140" s="12" t="s">
        <v>962</v>
      </c>
      <c r="H140" s="12" t="s">
        <v>661</v>
      </c>
      <c r="I140" s="321">
        <v>16.0</v>
      </c>
    </row>
    <row r="141">
      <c r="A141" s="12" t="s">
        <v>964</v>
      </c>
      <c r="B141" s="12" t="s">
        <v>961</v>
      </c>
      <c r="C141" s="12" t="s">
        <v>814</v>
      </c>
      <c r="D141" s="12" t="s">
        <v>96</v>
      </c>
      <c r="E141" s="12" t="s">
        <v>318</v>
      </c>
      <c r="F141" s="321">
        <v>1.0</v>
      </c>
      <c r="G141" s="12" t="s">
        <v>962</v>
      </c>
      <c r="H141" s="12" t="s">
        <v>661</v>
      </c>
      <c r="I141" s="321">
        <v>16.0</v>
      </c>
    </row>
    <row r="142">
      <c r="A142" s="12" t="s">
        <v>675</v>
      </c>
      <c r="B142" s="12" t="s">
        <v>965</v>
      </c>
      <c r="C142" s="12" t="s">
        <v>814</v>
      </c>
      <c r="D142" s="12" t="s">
        <v>96</v>
      </c>
      <c r="E142" s="12" t="s">
        <v>79</v>
      </c>
      <c r="F142" s="321">
        <v>1.0</v>
      </c>
      <c r="G142" s="12" t="s">
        <v>966</v>
      </c>
      <c r="H142" s="12" t="s">
        <v>661</v>
      </c>
      <c r="I142" s="321">
        <v>17.0</v>
      </c>
    </row>
    <row r="143">
      <c r="A143" s="12" t="s">
        <v>967</v>
      </c>
      <c r="B143" s="12" t="s">
        <v>965</v>
      </c>
      <c r="C143" s="12" t="s">
        <v>814</v>
      </c>
      <c r="D143" s="12" t="s">
        <v>96</v>
      </c>
      <c r="E143" s="12" t="s">
        <v>79</v>
      </c>
      <c r="F143" s="321">
        <v>1.0</v>
      </c>
      <c r="G143" s="12" t="s">
        <v>966</v>
      </c>
      <c r="H143" s="12" t="s">
        <v>661</v>
      </c>
      <c r="I143" s="321">
        <v>17.0</v>
      </c>
    </row>
    <row r="144">
      <c r="A144" s="12" t="s">
        <v>968</v>
      </c>
      <c r="B144" s="12" t="s">
        <v>965</v>
      </c>
      <c r="C144" s="12" t="s">
        <v>814</v>
      </c>
      <c r="D144" s="12" t="s">
        <v>96</v>
      </c>
      <c r="E144" s="12" t="s">
        <v>79</v>
      </c>
      <c r="F144" s="321">
        <v>1.0</v>
      </c>
      <c r="G144" s="12" t="s">
        <v>966</v>
      </c>
      <c r="H144" s="12" t="s">
        <v>661</v>
      </c>
      <c r="I144" s="321">
        <v>17.0</v>
      </c>
    </row>
    <row r="145">
      <c r="A145" s="12" t="s">
        <v>677</v>
      </c>
      <c r="B145" s="12" t="s">
        <v>969</v>
      </c>
      <c r="C145" s="12" t="s">
        <v>814</v>
      </c>
      <c r="D145" s="12" t="s">
        <v>96</v>
      </c>
      <c r="E145" s="12" t="s">
        <v>203</v>
      </c>
      <c r="F145" s="321">
        <v>1.0</v>
      </c>
      <c r="G145" s="12" t="s">
        <v>970</v>
      </c>
      <c r="H145" s="12" t="s">
        <v>661</v>
      </c>
      <c r="I145" s="321">
        <v>18.0</v>
      </c>
    </row>
    <row r="146">
      <c r="A146" s="12" t="s">
        <v>971</v>
      </c>
      <c r="B146" s="12" t="s">
        <v>969</v>
      </c>
      <c r="C146" s="12" t="s">
        <v>814</v>
      </c>
      <c r="D146" s="12" t="s">
        <v>96</v>
      </c>
      <c r="E146" s="12" t="s">
        <v>203</v>
      </c>
      <c r="F146" s="321">
        <v>1.0</v>
      </c>
      <c r="G146" s="12" t="s">
        <v>970</v>
      </c>
      <c r="H146" s="12" t="s">
        <v>661</v>
      </c>
      <c r="I146" s="321">
        <v>18.0</v>
      </c>
    </row>
    <row r="147">
      <c r="A147" s="12" t="s">
        <v>972</v>
      </c>
      <c r="B147" s="12" t="s">
        <v>969</v>
      </c>
      <c r="C147" s="12" t="s">
        <v>814</v>
      </c>
      <c r="D147" s="12" t="s">
        <v>96</v>
      </c>
      <c r="E147" s="12" t="s">
        <v>203</v>
      </c>
      <c r="F147" s="321">
        <v>1.0</v>
      </c>
      <c r="G147" s="12" t="s">
        <v>970</v>
      </c>
      <c r="H147" s="12" t="s">
        <v>661</v>
      </c>
      <c r="I147" s="321">
        <v>18.0</v>
      </c>
    </row>
    <row r="148">
      <c r="A148" s="12" t="s">
        <v>678</v>
      </c>
      <c r="B148" s="12" t="s">
        <v>973</v>
      </c>
      <c r="C148" s="12" t="s">
        <v>814</v>
      </c>
      <c r="D148" s="12" t="s">
        <v>96</v>
      </c>
      <c r="E148" s="12" t="s">
        <v>433</v>
      </c>
      <c r="F148" s="321">
        <v>1.0</v>
      </c>
      <c r="G148" s="12" t="s">
        <v>974</v>
      </c>
      <c r="H148" s="12" t="s">
        <v>661</v>
      </c>
      <c r="I148" s="321">
        <v>16.0</v>
      </c>
    </row>
    <row r="149">
      <c r="A149" s="12" t="s">
        <v>975</v>
      </c>
      <c r="B149" s="12" t="s">
        <v>973</v>
      </c>
      <c r="C149" s="12" t="s">
        <v>814</v>
      </c>
      <c r="D149" s="12" t="s">
        <v>96</v>
      </c>
      <c r="E149" s="12" t="s">
        <v>433</v>
      </c>
      <c r="F149" s="321">
        <v>1.0</v>
      </c>
      <c r="G149" s="12" t="s">
        <v>974</v>
      </c>
      <c r="H149" s="12" t="s">
        <v>661</v>
      </c>
      <c r="I149" s="321">
        <v>16.0</v>
      </c>
    </row>
    <row r="150">
      <c r="A150" s="12" t="s">
        <v>976</v>
      </c>
      <c r="B150" s="12" t="s">
        <v>973</v>
      </c>
      <c r="C150" s="12" t="s">
        <v>814</v>
      </c>
      <c r="D150" s="12" t="s">
        <v>96</v>
      </c>
      <c r="E150" s="12" t="s">
        <v>433</v>
      </c>
      <c r="F150" s="321">
        <v>1.0</v>
      </c>
      <c r="G150" s="12" t="s">
        <v>974</v>
      </c>
      <c r="H150" s="12" t="s">
        <v>661</v>
      </c>
      <c r="I150" s="321">
        <v>16.0</v>
      </c>
    </row>
    <row r="151">
      <c r="A151" s="12" t="s">
        <v>679</v>
      </c>
      <c r="B151" s="12" t="s">
        <v>977</v>
      </c>
      <c r="C151" s="12" t="s">
        <v>814</v>
      </c>
      <c r="D151" s="12" t="s">
        <v>96</v>
      </c>
      <c r="E151" s="12" t="s">
        <v>201</v>
      </c>
      <c r="F151" s="321">
        <v>1.0</v>
      </c>
      <c r="G151" s="12" t="s">
        <v>978</v>
      </c>
      <c r="H151" s="12" t="s">
        <v>661</v>
      </c>
      <c r="I151" s="321">
        <v>18.0</v>
      </c>
    </row>
    <row r="152">
      <c r="A152" s="12" t="s">
        <v>979</v>
      </c>
      <c r="B152" s="12" t="s">
        <v>977</v>
      </c>
      <c r="C152" s="12" t="s">
        <v>814</v>
      </c>
      <c r="D152" s="12" t="s">
        <v>96</v>
      </c>
      <c r="E152" s="12" t="s">
        <v>201</v>
      </c>
      <c r="F152" s="321">
        <v>1.0</v>
      </c>
      <c r="G152" s="12" t="s">
        <v>978</v>
      </c>
      <c r="H152" s="12" t="s">
        <v>661</v>
      </c>
      <c r="I152" s="321">
        <v>18.0</v>
      </c>
    </row>
    <row r="153">
      <c r="A153" s="12" t="s">
        <v>980</v>
      </c>
      <c r="B153" s="12" t="s">
        <v>977</v>
      </c>
      <c r="C153" s="12" t="s">
        <v>814</v>
      </c>
      <c r="D153" s="12" t="s">
        <v>96</v>
      </c>
      <c r="E153" s="12" t="s">
        <v>201</v>
      </c>
      <c r="F153" s="321">
        <v>1.0</v>
      </c>
      <c r="G153" s="12" t="s">
        <v>978</v>
      </c>
      <c r="H153" s="12" t="s">
        <v>661</v>
      </c>
      <c r="I153" s="321">
        <v>18.0</v>
      </c>
    </row>
    <row r="154">
      <c r="A154" s="12" t="s">
        <v>680</v>
      </c>
      <c r="B154" s="12" t="s">
        <v>981</v>
      </c>
      <c r="C154" s="12" t="s">
        <v>814</v>
      </c>
      <c r="D154" s="12" t="s">
        <v>96</v>
      </c>
      <c r="E154" s="12" t="s">
        <v>414</v>
      </c>
      <c r="F154" s="321">
        <v>1.0</v>
      </c>
      <c r="G154" s="12" t="s">
        <v>982</v>
      </c>
      <c r="H154" s="12" t="s">
        <v>661</v>
      </c>
      <c r="I154" s="321">
        <v>13.0</v>
      </c>
    </row>
    <row r="155">
      <c r="A155" s="12" t="s">
        <v>983</v>
      </c>
      <c r="B155" s="12" t="s">
        <v>981</v>
      </c>
      <c r="C155" s="12" t="s">
        <v>814</v>
      </c>
      <c r="D155" s="12" t="s">
        <v>96</v>
      </c>
      <c r="E155" s="12" t="s">
        <v>414</v>
      </c>
      <c r="F155" s="321">
        <v>1.0</v>
      </c>
      <c r="G155" s="12" t="s">
        <v>982</v>
      </c>
      <c r="H155" s="12" t="s">
        <v>661</v>
      </c>
      <c r="I155" s="321">
        <v>13.0</v>
      </c>
    </row>
    <row r="156">
      <c r="A156" s="12" t="s">
        <v>984</v>
      </c>
      <c r="B156" s="12" t="s">
        <v>981</v>
      </c>
      <c r="C156" s="12" t="s">
        <v>814</v>
      </c>
      <c r="D156" s="12" t="s">
        <v>96</v>
      </c>
      <c r="E156" s="12" t="s">
        <v>414</v>
      </c>
      <c r="F156" s="321">
        <v>1.0</v>
      </c>
      <c r="G156" s="12" t="s">
        <v>982</v>
      </c>
      <c r="H156" s="12" t="s">
        <v>661</v>
      </c>
      <c r="I156" s="321">
        <v>13.0</v>
      </c>
    </row>
    <row r="157">
      <c r="A157" s="12" t="s">
        <v>681</v>
      </c>
      <c r="B157" s="12" t="s">
        <v>985</v>
      </c>
      <c r="C157" s="12" t="s">
        <v>814</v>
      </c>
      <c r="D157" s="12" t="s">
        <v>96</v>
      </c>
      <c r="E157" s="12" t="s">
        <v>212</v>
      </c>
      <c r="F157" s="321">
        <v>1.0</v>
      </c>
      <c r="G157" s="12" t="s">
        <v>986</v>
      </c>
      <c r="H157" s="12" t="s">
        <v>661</v>
      </c>
      <c r="I157" s="321">
        <v>14.0</v>
      </c>
    </row>
    <row r="158">
      <c r="A158" s="12" t="s">
        <v>987</v>
      </c>
      <c r="B158" s="12" t="s">
        <v>985</v>
      </c>
      <c r="C158" s="12" t="s">
        <v>814</v>
      </c>
      <c r="D158" s="12" t="s">
        <v>96</v>
      </c>
      <c r="E158" s="12" t="s">
        <v>212</v>
      </c>
      <c r="F158" s="321">
        <v>1.0</v>
      </c>
      <c r="G158" s="12" t="s">
        <v>986</v>
      </c>
      <c r="H158" s="12" t="s">
        <v>661</v>
      </c>
      <c r="I158" s="321">
        <v>14.0</v>
      </c>
    </row>
    <row r="159">
      <c r="A159" s="12" t="s">
        <v>988</v>
      </c>
      <c r="B159" s="12" t="s">
        <v>985</v>
      </c>
      <c r="C159" s="12" t="s">
        <v>814</v>
      </c>
      <c r="D159" s="12" t="s">
        <v>96</v>
      </c>
      <c r="E159" s="12" t="s">
        <v>212</v>
      </c>
      <c r="F159" s="321">
        <v>1.0</v>
      </c>
      <c r="G159" s="12" t="s">
        <v>986</v>
      </c>
      <c r="H159" s="12" t="s">
        <v>661</v>
      </c>
      <c r="I159" s="321">
        <v>14.0</v>
      </c>
    </row>
    <row r="160">
      <c r="A160" s="12" t="s">
        <v>682</v>
      </c>
      <c r="B160" s="12" t="s">
        <v>989</v>
      </c>
      <c r="C160" s="12" t="s">
        <v>814</v>
      </c>
      <c r="D160" s="12" t="s">
        <v>96</v>
      </c>
      <c r="E160" s="12" t="s">
        <v>171</v>
      </c>
      <c r="F160" s="321">
        <v>1.0</v>
      </c>
      <c r="G160" s="12" t="s">
        <v>990</v>
      </c>
      <c r="H160" s="12" t="s">
        <v>661</v>
      </c>
      <c r="I160" s="321">
        <v>14.0</v>
      </c>
    </row>
    <row r="161">
      <c r="A161" s="12" t="s">
        <v>991</v>
      </c>
      <c r="B161" s="12" t="s">
        <v>989</v>
      </c>
      <c r="C161" s="12" t="s">
        <v>814</v>
      </c>
      <c r="D161" s="12" t="s">
        <v>96</v>
      </c>
      <c r="E161" s="12" t="s">
        <v>171</v>
      </c>
      <c r="F161" s="321">
        <v>1.0</v>
      </c>
      <c r="G161" s="12" t="s">
        <v>990</v>
      </c>
      <c r="H161" s="12" t="s">
        <v>661</v>
      </c>
      <c r="I161" s="321">
        <v>14.0</v>
      </c>
    </row>
    <row r="162">
      <c r="A162" s="12" t="s">
        <v>992</v>
      </c>
      <c r="B162" s="12" t="s">
        <v>989</v>
      </c>
      <c r="C162" s="12" t="s">
        <v>814</v>
      </c>
      <c r="D162" s="12" t="s">
        <v>96</v>
      </c>
      <c r="E162" s="12" t="s">
        <v>171</v>
      </c>
      <c r="F162" s="321">
        <v>1.0</v>
      </c>
      <c r="G162" s="12" t="s">
        <v>990</v>
      </c>
      <c r="H162" s="12" t="s">
        <v>661</v>
      </c>
      <c r="I162" s="321">
        <v>14.0</v>
      </c>
    </row>
    <row r="163">
      <c r="A163" s="12" t="s">
        <v>683</v>
      </c>
      <c r="B163" s="12" t="s">
        <v>993</v>
      </c>
      <c r="C163" s="12" t="s">
        <v>814</v>
      </c>
      <c r="D163" s="12" t="s">
        <v>96</v>
      </c>
      <c r="E163" s="12" t="s">
        <v>78</v>
      </c>
      <c r="F163" s="321">
        <v>1.0</v>
      </c>
      <c r="G163" s="12" t="s">
        <v>994</v>
      </c>
      <c r="H163" s="12" t="s">
        <v>661</v>
      </c>
      <c r="I163" s="321">
        <v>16.0</v>
      </c>
    </row>
    <row r="164">
      <c r="A164" s="12" t="s">
        <v>995</v>
      </c>
      <c r="B164" s="12" t="s">
        <v>993</v>
      </c>
      <c r="C164" s="12" t="s">
        <v>814</v>
      </c>
      <c r="D164" s="12" t="s">
        <v>96</v>
      </c>
      <c r="E164" s="12" t="s">
        <v>78</v>
      </c>
      <c r="F164" s="321">
        <v>1.0</v>
      </c>
      <c r="G164" s="12" t="s">
        <v>994</v>
      </c>
      <c r="H164" s="12" t="s">
        <v>661</v>
      </c>
      <c r="I164" s="321">
        <v>16.0</v>
      </c>
    </row>
    <row r="165">
      <c r="A165" s="12" t="s">
        <v>996</v>
      </c>
      <c r="B165" s="12" t="s">
        <v>993</v>
      </c>
      <c r="C165" s="12" t="s">
        <v>814</v>
      </c>
      <c r="D165" s="12" t="s">
        <v>96</v>
      </c>
      <c r="E165" s="12" t="s">
        <v>78</v>
      </c>
      <c r="F165" s="321">
        <v>1.0</v>
      </c>
      <c r="G165" s="12" t="s">
        <v>994</v>
      </c>
      <c r="H165" s="12" t="s">
        <v>661</v>
      </c>
      <c r="I165" s="321">
        <v>16.0</v>
      </c>
    </row>
    <row r="166">
      <c r="A166" s="12" t="s">
        <v>684</v>
      </c>
      <c r="B166" s="12" t="s">
        <v>997</v>
      </c>
      <c r="C166" s="12" t="s">
        <v>814</v>
      </c>
      <c r="D166" s="12" t="s">
        <v>96</v>
      </c>
      <c r="E166" s="12" t="s">
        <v>199</v>
      </c>
      <c r="F166" s="321">
        <v>1.0</v>
      </c>
      <c r="G166" s="12" t="s">
        <v>998</v>
      </c>
      <c r="H166" s="12" t="s">
        <v>661</v>
      </c>
      <c r="I166" s="321">
        <v>18.0</v>
      </c>
    </row>
    <row r="167">
      <c r="A167" s="12" t="s">
        <v>999</v>
      </c>
      <c r="B167" s="12" t="s">
        <v>997</v>
      </c>
      <c r="C167" s="12" t="s">
        <v>814</v>
      </c>
      <c r="D167" s="12" t="s">
        <v>96</v>
      </c>
      <c r="E167" s="12" t="s">
        <v>199</v>
      </c>
      <c r="F167" s="321">
        <v>1.0</v>
      </c>
      <c r="G167" s="12" t="s">
        <v>998</v>
      </c>
      <c r="H167" s="12" t="s">
        <v>661</v>
      </c>
      <c r="I167" s="321">
        <v>18.0</v>
      </c>
    </row>
    <row r="168">
      <c r="A168" s="12" t="s">
        <v>1000</v>
      </c>
      <c r="B168" s="12" t="s">
        <v>997</v>
      </c>
      <c r="C168" s="12" t="s">
        <v>814</v>
      </c>
      <c r="D168" s="12" t="s">
        <v>96</v>
      </c>
      <c r="E168" s="12" t="s">
        <v>199</v>
      </c>
      <c r="F168" s="321">
        <v>1.0</v>
      </c>
      <c r="G168" s="12" t="s">
        <v>998</v>
      </c>
      <c r="H168" s="12" t="s">
        <v>661</v>
      </c>
      <c r="I168" s="321">
        <v>18.0</v>
      </c>
    </row>
    <row r="169">
      <c r="A169" s="12" t="s">
        <v>685</v>
      </c>
      <c r="B169" s="12" t="s">
        <v>1001</v>
      </c>
      <c r="C169" s="12" t="s">
        <v>814</v>
      </c>
      <c r="D169" s="12" t="s">
        <v>96</v>
      </c>
      <c r="E169" s="12" t="s">
        <v>76</v>
      </c>
      <c r="F169" s="321">
        <v>1.0</v>
      </c>
      <c r="G169" s="12" t="s">
        <v>1002</v>
      </c>
      <c r="H169" s="12" t="s">
        <v>661</v>
      </c>
      <c r="I169" s="321">
        <v>13.0</v>
      </c>
    </row>
    <row r="170">
      <c r="A170" s="12" t="s">
        <v>1003</v>
      </c>
      <c r="B170" s="12" t="s">
        <v>1001</v>
      </c>
      <c r="C170" s="12" t="s">
        <v>814</v>
      </c>
      <c r="D170" s="12" t="s">
        <v>96</v>
      </c>
      <c r="E170" s="12" t="s">
        <v>76</v>
      </c>
      <c r="F170" s="321">
        <v>1.0</v>
      </c>
      <c r="G170" s="12" t="s">
        <v>1002</v>
      </c>
      <c r="H170" s="12" t="s">
        <v>661</v>
      </c>
      <c r="I170" s="321">
        <v>13.0</v>
      </c>
    </row>
    <row r="171">
      <c r="A171" s="12" t="s">
        <v>1004</v>
      </c>
      <c r="B171" s="12" t="s">
        <v>1001</v>
      </c>
      <c r="C171" s="12" t="s">
        <v>814</v>
      </c>
      <c r="D171" s="12" t="s">
        <v>96</v>
      </c>
      <c r="E171" s="12" t="s">
        <v>76</v>
      </c>
      <c r="F171" s="321">
        <v>1.0</v>
      </c>
      <c r="G171" s="12" t="s">
        <v>1002</v>
      </c>
      <c r="H171" s="12" t="s">
        <v>661</v>
      </c>
      <c r="I171" s="321">
        <v>13.0</v>
      </c>
    </row>
    <row r="172">
      <c r="A172" s="12" t="s">
        <v>686</v>
      </c>
      <c r="B172" s="12" t="s">
        <v>1005</v>
      </c>
      <c r="C172" s="12" t="s">
        <v>814</v>
      </c>
      <c r="D172" s="12" t="s">
        <v>96</v>
      </c>
      <c r="E172" s="12" t="s">
        <v>422</v>
      </c>
      <c r="F172" s="321">
        <v>1.0</v>
      </c>
      <c r="G172" s="12" t="s">
        <v>1006</v>
      </c>
      <c r="H172" s="12" t="s">
        <v>661</v>
      </c>
      <c r="I172" s="321">
        <v>14.0</v>
      </c>
    </row>
    <row r="173">
      <c r="A173" s="12" t="s">
        <v>1007</v>
      </c>
      <c r="B173" s="12" t="s">
        <v>1005</v>
      </c>
      <c r="C173" s="12" t="s">
        <v>814</v>
      </c>
      <c r="D173" s="12" t="s">
        <v>96</v>
      </c>
      <c r="E173" s="12" t="s">
        <v>422</v>
      </c>
      <c r="F173" s="321">
        <v>1.0</v>
      </c>
      <c r="G173" s="12" t="s">
        <v>1006</v>
      </c>
      <c r="H173" s="12" t="s">
        <v>661</v>
      </c>
      <c r="I173" s="321">
        <v>14.0</v>
      </c>
    </row>
    <row r="174">
      <c r="A174" s="12" t="s">
        <v>1008</v>
      </c>
      <c r="B174" s="12" t="s">
        <v>1005</v>
      </c>
      <c r="C174" s="12" t="s">
        <v>814</v>
      </c>
      <c r="D174" s="12" t="s">
        <v>96</v>
      </c>
      <c r="E174" s="12" t="s">
        <v>422</v>
      </c>
      <c r="F174" s="321">
        <v>1.0</v>
      </c>
      <c r="G174" s="12" t="s">
        <v>1006</v>
      </c>
      <c r="H174" s="12" t="s">
        <v>661</v>
      </c>
      <c r="I174" s="321">
        <v>14.0</v>
      </c>
    </row>
    <row r="175">
      <c r="A175" s="12" t="s">
        <v>690</v>
      </c>
      <c r="B175" s="12" t="s">
        <v>1009</v>
      </c>
      <c r="C175" s="12" t="s">
        <v>814</v>
      </c>
      <c r="D175" s="12" t="s">
        <v>96</v>
      </c>
      <c r="E175" s="12" t="s">
        <v>150</v>
      </c>
      <c r="F175" s="321">
        <v>1.0</v>
      </c>
      <c r="G175" s="12" t="s">
        <v>1010</v>
      </c>
      <c r="H175" s="12" t="s">
        <v>661</v>
      </c>
      <c r="I175" s="321">
        <v>14.0</v>
      </c>
    </row>
    <row r="176">
      <c r="A176" s="12" t="s">
        <v>1011</v>
      </c>
      <c r="B176" s="12" t="s">
        <v>1009</v>
      </c>
      <c r="C176" s="12" t="s">
        <v>814</v>
      </c>
      <c r="D176" s="12" t="s">
        <v>96</v>
      </c>
      <c r="E176" s="12" t="s">
        <v>150</v>
      </c>
      <c r="F176" s="321">
        <v>1.0</v>
      </c>
      <c r="G176" s="12" t="s">
        <v>1010</v>
      </c>
      <c r="H176" s="12" t="s">
        <v>661</v>
      </c>
      <c r="I176" s="321">
        <v>14.0</v>
      </c>
    </row>
    <row r="177">
      <c r="A177" s="12" t="s">
        <v>1012</v>
      </c>
      <c r="B177" s="12" t="s">
        <v>1009</v>
      </c>
      <c r="C177" s="12" t="s">
        <v>814</v>
      </c>
      <c r="D177" s="12" t="s">
        <v>96</v>
      </c>
      <c r="E177" s="12" t="s">
        <v>150</v>
      </c>
      <c r="F177" s="321">
        <v>1.0</v>
      </c>
      <c r="G177" s="12" t="s">
        <v>1010</v>
      </c>
      <c r="H177" s="12" t="s">
        <v>661</v>
      </c>
      <c r="I177" s="321">
        <v>14.0</v>
      </c>
    </row>
    <row r="178">
      <c r="A178" s="12" t="s">
        <v>691</v>
      </c>
      <c r="B178" s="12" t="s">
        <v>1013</v>
      </c>
      <c r="C178" s="12" t="s">
        <v>814</v>
      </c>
      <c r="D178" s="12" t="s">
        <v>96</v>
      </c>
      <c r="E178" s="12" t="s">
        <v>419</v>
      </c>
      <c r="F178" s="321">
        <v>1.0</v>
      </c>
      <c r="G178" s="12" t="s">
        <v>1014</v>
      </c>
      <c r="H178" s="12" t="s">
        <v>661</v>
      </c>
      <c r="I178" s="321">
        <v>14.0</v>
      </c>
    </row>
    <row r="179">
      <c r="A179" s="12" t="s">
        <v>1015</v>
      </c>
      <c r="B179" s="12" t="s">
        <v>1013</v>
      </c>
      <c r="C179" s="12" t="s">
        <v>814</v>
      </c>
      <c r="D179" s="12" t="s">
        <v>96</v>
      </c>
      <c r="E179" s="12" t="s">
        <v>419</v>
      </c>
      <c r="F179" s="321">
        <v>1.0</v>
      </c>
      <c r="G179" s="12" t="s">
        <v>1014</v>
      </c>
      <c r="H179" s="12" t="s">
        <v>661</v>
      </c>
      <c r="I179" s="321">
        <v>14.0</v>
      </c>
    </row>
    <row r="180">
      <c r="A180" s="12" t="s">
        <v>1016</v>
      </c>
      <c r="B180" s="12" t="s">
        <v>1013</v>
      </c>
      <c r="C180" s="12" t="s">
        <v>814</v>
      </c>
      <c r="D180" s="12" t="s">
        <v>96</v>
      </c>
      <c r="E180" s="12" t="s">
        <v>419</v>
      </c>
      <c r="F180" s="321">
        <v>1.0</v>
      </c>
      <c r="G180" s="12" t="s">
        <v>1014</v>
      </c>
      <c r="H180" s="12" t="s">
        <v>661</v>
      </c>
      <c r="I180" s="321">
        <v>14.0</v>
      </c>
    </row>
    <row r="181">
      <c r="A181" s="12" t="s">
        <v>692</v>
      </c>
      <c r="B181" s="12" t="s">
        <v>1017</v>
      </c>
      <c r="C181" s="12" t="s">
        <v>814</v>
      </c>
      <c r="D181" s="12" t="s">
        <v>96</v>
      </c>
      <c r="E181" s="12" t="s">
        <v>214</v>
      </c>
      <c r="F181" s="321">
        <v>1.0</v>
      </c>
      <c r="G181" s="12" t="s">
        <v>1018</v>
      </c>
      <c r="H181" s="12" t="s">
        <v>661</v>
      </c>
      <c r="I181" s="321">
        <v>16.0</v>
      </c>
    </row>
    <row r="182">
      <c r="A182" s="12" t="s">
        <v>1019</v>
      </c>
      <c r="B182" s="12" t="s">
        <v>1017</v>
      </c>
      <c r="C182" s="12" t="s">
        <v>814</v>
      </c>
      <c r="D182" s="12" t="s">
        <v>96</v>
      </c>
      <c r="E182" s="12" t="s">
        <v>214</v>
      </c>
      <c r="F182" s="321">
        <v>1.0</v>
      </c>
      <c r="G182" s="12" t="s">
        <v>1018</v>
      </c>
      <c r="H182" s="12" t="s">
        <v>661</v>
      </c>
      <c r="I182" s="321">
        <v>16.0</v>
      </c>
    </row>
    <row r="183">
      <c r="A183" s="12" t="s">
        <v>1020</v>
      </c>
      <c r="B183" s="12" t="s">
        <v>1017</v>
      </c>
      <c r="C183" s="12" t="s">
        <v>814</v>
      </c>
      <c r="D183" s="12" t="s">
        <v>96</v>
      </c>
      <c r="E183" s="12" t="s">
        <v>214</v>
      </c>
      <c r="F183" s="321">
        <v>1.0</v>
      </c>
      <c r="G183" s="12" t="s">
        <v>1018</v>
      </c>
      <c r="H183" s="12" t="s">
        <v>661</v>
      </c>
      <c r="I183" s="321">
        <v>16.0</v>
      </c>
    </row>
    <row r="184">
      <c r="A184" s="12" t="s">
        <v>693</v>
      </c>
      <c r="B184" s="12" t="s">
        <v>1021</v>
      </c>
      <c r="C184" s="12" t="s">
        <v>814</v>
      </c>
      <c r="D184" s="12" t="s">
        <v>96</v>
      </c>
      <c r="E184" s="12" t="s">
        <v>412</v>
      </c>
      <c r="F184" s="321">
        <v>1.0</v>
      </c>
      <c r="G184" s="12" t="s">
        <v>1022</v>
      </c>
      <c r="H184" s="12" t="s">
        <v>661</v>
      </c>
      <c r="I184" s="321">
        <v>13.0</v>
      </c>
    </row>
    <row r="185">
      <c r="A185" s="12" t="s">
        <v>1023</v>
      </c>
      <c r="B185" s="12" t="s">
        <v>1021</v>
      </c>
      <c r="C185" s="12" t="s">
        <v>814</v>
      </c>
      <c r="D185" s="12" t="s">
        <v>96</v>
      </c>
      <c r="E185" s="12" t="s">
        <v>412</v>
      </c>
      <c r="F185" s="321">
        <v>1.0</v>
      </c>
      <c r="G185" s="12" t="s">
        <v>1022</v>
      </c>
      <c r="H185" s="12" t="s">
        <v>661</v>
      </c>
      <c r="I185" s="321">
        <v>13.0</v>
      </c>
    </row>
    <row r="186">
      <c r="A186" s="12" t="s">
        <v>1024</v>
      </c>
      <c r="B186" s="12" t="s">
        <v>1021</v>
      </c>
      <c r="C186" s="12" t="s">
        <v>814</v>
      </c>
      <c r="D186" s="12" t="s">
        <v>96</v>
      </c>
      <c r="E186" s="12" t="s">
        <v>412</v>
      </c>
      <c r="F186" s="321">
        <v>1.0</v>
      </c>
      <c r="G186" s="12" t="s">
        <v>1022</v>
      </c>
      <c r="H186" s="12" t="s">
        <v>661</v>
      </c>
      <c r="I186" s="321">
        <v>13.0</v>
      </c>
    </row>
    <row r="187">
      <c r="A187" s="12" t="s">
        <v>694</v>
      </c>
      <c r="B187" s="12" t="s">
        <v>1025</v>
      </c>
      <c r="C187" s="12" t="s">
        <v>814</v>
      </c>
      <c r="D187" s="12" t="s">
        <v>96</v>
      </c>
      <c r="E187" s="12" t="s">
        <v>77</v>
      </c>
      <c r="F187" s="321">
        <v>1.0</v>
      </c>
      <c r="G187" s="12" t="s">
        <v>1026</v>
      </c>
      <c r="H187" s="12" t="s">
        <v>661</v>
      </c>
      <c r="I187" s="321">
        <v>14.0</v>
      </c>
    </row>
    <row r="188">
      <c r="A188" s="12" t="s">
        <v>1027</v>
      </c>
      <c r="B188" s="12" t="s">
        <v>1025</v>
      </c>
      <c r="C188" s="12" t="s">
        <v>814</v>
      </c>
      <c r="D188" s="12" t="s">
        <v>96</v>
      </c>
      <c r="E188" s="12" t="s">
        <v>77</v>
      </c>
      <c r="F188" s="321">
        <v>1.0</v>
      </c>
      <c r="G188" s="12" t="s">
        <v>1026</v>
      </c>
      <c r="H188" s="12" t="s">
        <v>661</v>
      </c>
      <c r="I188" s="321">
        <v>14.0</v>
      </c>
    </row>
    <row r="189">
      <c r="A189" s="12" t="s">
        <v>1028</v>
      </c>
      <c r="B189" s="12" t="s">
        <v>1025</v>
      </c>
      <c r="C189" s="12" t="s">
        <v>814</v>
      </c>
      <c r="D189" s="12" t="s">
        <v>96</v>
      </c>
      <c r="E189" s="12" t="s">
        <v>77</v>
      </c>
      <c r="F189" s="321">
        <v>1.0</v>
      </c>
      <c r="G189" s="12" t="s">
        <v>1026</v>
      </c>
      <c r="H189" s="12" t="s">
        <v>661</v>
      </c>
      <c r="I189" s="321">
        <v>14.0</v>
      </c>
    </row>
    <row r="190">
      <c r="A190" s="12" t="s">
        <v>695</v>
      </c>
      <c r="B190" s="12" t="s">
        <v>1029</v>
      </c>
      <c r="C190" s="12" t="s">
        <v>814</v>
      </c>
      <c r="D190" s="12" t="s">
        <v>96</v>
      </c>
      <c r="E190" s="12" t="s">
        <v>208</v>
      </c>
      <c r="F190" s="321">
        <v>1.0</v>
      </c>
      <c r="G190" s="12" t="s">
        <v>1030</v>
      </c>
      <c r="H190" s="12" t="s">
        <v>661</v>
      </c>
      <c r="I190" s="321">
        <v>17.0</v>
      </c>
    </row>
    <row r="191">
      <c r="A191" s="12" t="s">
        <v>1031</v>
      </c>
      <c r="B191" s="12" t="s">
        <v>1029</v>
      </c>
      <c r="C191" s="12" t="s">
        <v>814</v>
      </c>
      <c r="D191" s="12" t="s">
        <v>96</v>
      </c>
      <c r="E191" s="12" t="s">
        <v>208</v>
      </c>
      <c r="F191" s="321">
        <v>1.0</v>
      </c>
      <c r="G191" s="12" t="s">
        <v>1030</v>
      </c>
      <c r="H191" s="12" t="s">
        <v>661</v>
      </c>
      <c r="I191" s="321">
        <v>17.0</v>
      </c>
    </row>
    <row r="192">
      <c r="A192" s="12" t="s">
        <v>1032</v>
      </c>
      <c r="B192" s="12" t="s">
        <v>1029</v>
      </c>
      <c r="C192" s="12" t="s">
        <v>814</v>
      </c>
      <c r="D192" s="12" t="s">
        <v>96</v>
      </c>
      <c r="E192" s="12" t="s">
        <v>208</v>
      </c>
      <c r="F192" s="321">
        <v>1.0</v>
      </c>
      <c r="G192" s="12" t="s">
        <v>1030</v>
      </c>
      <c r="H192" s="12" t="s">
        <v>661</v>
      </c>
      <c r="I192" s="321">
        <v>17.0</v>
      </c>
    </row>
    <row r="193">
      <c r="A193" s="12" t="s">
        <v>696</v>
      </c>
      <c r="B193" s="12" t="s">
        <v>1033</v>
      </c>
      <c r="C193" s="12" t="s">
        <v>814</v>
      </c>
      <c r="D193" s="12" t="s">
        <v>96</v>
      </c>
      <c r="E193" s="12" t="s">
        <v>206</v>
      </c>
      <c r="F193" s="321">
        <v>1.0</v>
      </c>
      <c r="G193" s="12" t="s">
        <v>1034</v>
      </c>
      <c r="H193" s="12" t="s">
        <v>661</v>
      </c>
      <c r="I193" s="321">
        <v>17.0</v>
      </c>
    </row>
    <row r="194">
      <c r="A194" s="12" t="s">
        <v>1035</v>
      </c>
      <c r="B194" s="12" t="s">
        <v>1033</v>
      </c>
      <c r="C194" s="12" t="s">
        <v>814</v>
      </c>
      <c r="D194" s="12" t="s">
        <v>96</v>
      </c>
      <c r="E194" s="12" t="s">
        <v>206</v>
      </c>
      <c r="F194" s="321">
        <v>1.0</v>
      </c>
      <c r="G194" s="12" t="s">
        <v>1034</v>
      </c>
      <c r="H194" s="12" t="s">
        <v>661</v>
      </c>
      <c r="I194" s="321">
        <v>17.0</v>
      </c>
    </row>
    <row r="195">
      <c r="A195" s="12" t="s">
        <v>1036</v>
      </c>
      <c r="B195" s="12" t="s">
        <v>1033</v>
      </c>
      <c r="C195" s="12" t="s">
        <v>814</v>
      </c>
      <c r="D195" s="12" t="s">
        <v>96</v>
      </c>
      <c r="E195" s="12" t="s">
        <v>206</v>
      </c>
      <c r="F195" s="321">
        <v>1.0</v>
      </c>
      <c r="G195" s="12" t="s">
        <v>1034</v>
      </c>
      <c r="H195" s="12" t="s">
        <v>661</v>
      </c>
      <c r="I195" s="321">
        <v>17.0</v>
      </c>
    </row>
    <row r="196">
      <c r="A196" s="12" t="s">
        <v>676</v>
      </c>
      <c r="B196" s="12" t="s">
        <v>1037</v>
      </c>
      <c r="C196" s="12" t="s">
        <v>1038</v>
      </c>
      <c r="D196" s="12" t="s">
        <v>96</v>
      </c>
      <c r="E196" s="12" t="s">
        <v>71</v>
      </c>
      <c r="F196" s="321">
        <v>1.0</v>
      </c>
      <c r="G196" s="12" t="s">
        <v>236</v>
      </c>
      <c r="H196" s="12" t="s">
        <v>265</v>
      </c>
      <c r="I196" s="321">
        <v>5.0</v>
      </c>
    </row>
    <row r="197">
      <c r="A197" s="12" t="s">
        <v>700</v>
      </c>
      <c r="B197" s="12" t="s">
        <v>1037</v>
      </c>
      <c r="C197" s="12" t="s">
        <v>1038</v>
      </c>
      <c r="D197" s="12" t="s">
        <v>96</v>
      </c>
      <c r="E197" s="12" t="s">
        <v>71</v>
      </c>
      <c r="F197" s="321">
        <v>1.0</v>
      </c>
      <c r="G197" s="12" t="s">
        <v>236</v>
      </c>
      <c r="H197" s="12" t="s">
        <v>265</v>
      </c>
      <c r="I197" s="321">
        <v>5.0</v>
      </c>
    </row>
    <row r="198">
      <c r="A198" s="12" t="s">
        <v>675</v>
      </c>
      <c r="B198" s="12" t="s">
        <v>1037</v>
      </c>
      <c r="C198" s="12" t="s">
        <v>1038</v>
      </c>
      <c r="D198" s="12" t="s">
        <v>96</v>
      </c>
      <c r="E198" s="12" t="s">
        <v>71</v>
      </c>
      <c r="F198" s="321">
        <v>1.0</v>
      </c>
      <c r="G198" s="12" t="s">
        <v>236</v>
      </c>
      <c r="H198" s="12" t="s">
        <v>265</v>
      </c>
      <c r="I198" s="321">
        <v>5.0</v>
      </c>
    </row>
    <row r="199">
      <c r="A199" s="12" t="s">
        <v>666</v>
      </c>
      <c r="B199" s="12" t="s">
        <v>1037</v>
      </c>
      <c r="C199" s="12" t="s">
        <v>1038</v>
      </c>
      <c r="D199" s="12" t="s">
        <v>96</v>
      </c>
      <c r="E199" s="12" t="s">
        <v>71</v>
      </c>
      <c r="F199" s="321">
        <v>1.0</v>
      </c>
      <c r="G199" s="12" t="s">
        <v>236</v>
      </c>
      <c r="H199" s="12" t="s">
        <v>265</v>
      </c>
      <c r="I199" s="321">
        <v>5.0</v>
      </c>
    </row>
    <row r="200">
      <c r="A200" s="12" t="s">
        <v>691</v>
      </c>
      <c r="B200" s="12" t="s">
        <v>1037</v>
      </c>
      <c r="C200" s="12" t="s">
        <v>1038</v>
      </c>
      <c r="D200" s="12" t="s">
        <v>96</v>
      </c>
      <c r="E200" s="12" t="s">
        <v>71</v>
      </c>
      <c r="F200" s="321">
        <v>1.0</v>
      </c>
      <c r="G200" s="12" t="s">
        <v>236</v>
      </c>
      <c r="H200" s="12" t="s">
        <v>265</v>
      </c>
      <c r="I200" s="321">
        <v>5.0</v>
      </c>
    </row>
    <row r="201">
      <c r="A201" s="12" t="s">
        <v>895</v>
      </c>
      <c r="B201" s="12" t="s">
        <v>1037</v>
      </c>
      <c r="C201" s="12" t="s">
        <v>1039</v>
      </c>
      <c r="D201" s="12" t="s">
        <v>96</v>
      </c>
      <c r="E201" s="12" t="s">
        <v>71</v>
      </c>
      <c r="F201" s="321">
        <v>1.0</v>
      </c>
      <c r="G201" s="12" t="s">
        <v>236</v>
      </c>
      <c r="H201" s="12" t="s">
        <v>265</v>
      </c>
      <c r="I201" s="321">
        <v>5.0</v>
      </c>
    </row>
    <row r="202">
      <c r="A202" s="12" t="s">
        <v>911</v>
      </c>
      <c r="B202" s="12" t="s">
        <v>1037</v>
      </c>
      <c r="C202" s="12" t="s">
        <v>1039</v>
      </c>
      <c r="D202" s="12" t="s">
        <v>96</v>
      </c>
      <c r="E202" s="12" t="s">
        <v>71</v>
      </c>
      <c r="F202" s="321">
        <v>1.0</v>
      </c>
      <c r="G202" s="12" t="s">
        <v>236</v>
      </c>
      <c r="H202" s="12" t="s">
        <v>265</v>
      </c>
      <c r="I202" s="321">
        <v>5.0</v>
      </c>
    </row>
    <row r="203">
      <c r="A203" s="12" t="s">
        <v>967</v>
      </c>
      <c r="B203" s="12" t="s">
        <v>1037</v>
      </c>
      <c r="C203" s="12" t="s">
        <v>1039</v>
      </c>
      <c r="D203" s="12" t="s">
        <v>96</v>
      </c>
      <c r="E203" s="12" t="s">
        <v>71</v>
      </c>
      <c r="F203" s="321">
        <v>1.0</v>
      </c>
      <c r="G203" s="12" t="s">
        <v>236</v>
      </c>
      <c r="H203" s="12" t="s">
        <v>265</v>
      </c>
      <c r="I203" s="321">
        <v>5.0</v>
      </c>
    </row>
    <row r="204">
      <c r="A204" s="12" t="s">
        <v>931</v>
      </c>
      <c r="B204" s="12" t="s">
        <v>1037</v>
      </c>
      <c r="C204" s="12" t="s">
        <v>1039</v>
      </c>
      <c r="D204" s="12" t="s">
        <v>96</v>
      </c>
      <c r="E204" s="12" t="s">
        <v>71</v>
      </c>
      <c r="F204" s="321">
        <v>1.0</v>
      </c>
      <c r="G204" s="12" t="s">
        <v>236</v>
      </c>
      <c r="H204" s="12" t="s">
        <v>265</v>
      </c>
      <c r="I204" s="321">
        <v>5.0</v>
      </c>
    </row>
    <row r="205">
      <c r="A205" s="12" t="s">
        <v>1015</v>
      </c>
      <c r="B205" s="12" t="s">
        <v>1037</v>
      </c>
      <c r="C205" s="12" t="s">
        <v>1039</v>
      </c>
      <c r="D205" s="12" t="s">
        <v>96</v>
      </c>
      <c r="E205" s="12" t="s">
        <v>71</v>
      </c>
      <c r="F205" s="321">
        <v>1.0</v>
      </c>
      <c r="G205" s="12" t="s">
        <v>236</v>
      </c>
      <c r="H205" s="12" t="s">
        <v>265</v>
      </c>
      <c r="I205" s="321">
        <v>5.0</v>
      </c>
    </row>
    <row r="206">
      <c r="A206" s="12" t="s">
        <v>896</v>
      </c>
      <c r="B206" s="12" t="s">
        <v>1037</v>
      </c>
      <c r="C206" s="12" t="s">
        <v>1038</v>
      </c>
      <c r="D206" s="12" t="s">
        <v>96</v>
      </c>
      <c r="E206" s="12" t="s">
        <v>71</v>
      </c>
      <c r="F206" s="321">
        <v>2.0</v>
      </c>
      <c r="G206" s="12" t="s">
        <v>236</v>
      </c>
      <c r="H206" s="12" t="s">
        <v>265</v>
      </c>
      <c r="I206" s="321">
        <v>5.0</v>
      </c>
    </row>
    <row r="207">
      <c r="A207" s="12" t="s">
        <v>912</v>
      </c>
      <c r="B207" s="12" t="s">
        <v>1037</v>
      </c>
      <c r="C207" s="12" t="s">
        <v>1038</v>
      </c>
      <c r="D207" s="12" t="s">
        <v>96</v>
      </c>
      <c r="E207" s="12" t="s">
        <v>71</v>
      </c>
      <c r="F207" s="321">
        <v>2.0</v>
      </c>
      <c r="G207" s="12" t="s">
        <v>236</v>
      </c>
      <c r="H207" s="12" t="s">
        <v>265</v>
      </c>
      <c r="I207" s="321">
        <v>5.0</v>
      </c>
    </row>
    <row r="208">
      <c r="A208" s="12" t="s">
        <v>968</v>
      </c>
      <c r="B208" s="12" t="s">
        <v>1037</v>
      </c>
      <c r="C208" s="12" t="s">
        <v>1038</v>
      </c>
      <c r="D208" s="12" t="s">
        <v>96</v>
      </c>
      <c r="E208" s="12" t="s">
        <v>71</v>
      </c>
      <c r="F208" s="321">
        <v>2.0</v>
      </c>
      <c r="G208" s="12" t="s">
        <v>236</v>
      </c>
      <c r="H208" s="12" t="s">
        <v>265</v>
      </c>
      <c r="I208" s="321">
        <v>5.0</v>
      </c>
    </row>
    <row r="209">
      <c r="A209" s="12" t="s">
        <v>932</v>
      </c>
      <c r="B209" s="12" t="s">
        <v>1037</v>
      </c>
      <c r="C209" s="12" t="s">
        <v>1038</v>
      </c>
      <c r="D209" s="12" t="s">
        <v>96</v>
      </c>
      <c r="E209" s="12" t="s">
        <v>71</v>
      </c>
      <c r="F209" s="321">
        <v>2.0</v>
      </c>
      <c r="G209" s="12" t="s">
        <v>236</v>
      </c>
      <c r="H209" s="12" t="s">
        <v>265</v>
      </c>
      <c r="I209" s="321">
        <v>5.0</v>
      </c>
    </row>
    <row r="210">
      <c r="A210" s="12" t="s">
        <v>1016</v>
      </c>
      <c r="B210" s="12" t="s">
        <v>1037</v>
      </c>
      <c r="C210" s="12" t="s">
        <v>1038</v>
      </c>
      <c r="D210" s="12" t="s">
        <v>96</v>
      </c>
      <c r="E210" s="12" t="s">
        <v>71</v>
      </c>
      <c r="F210" s="321">
        <v>2.0</v>
      </c>
      <c r="G210" s="12" t="s">
        <v>236</v>
      </c>
      <c r="H210" s="12" t="s">
        <v>265</v>
      </c>
      <c r="I210" s="321">
        <v>5.0</v>
      </c>
    </row>
    <row r="211">
      <c r="A211" s="12" t="s">
        <v>669</v>
      </c>
      <c r="B211" s="12" t="s">
        <v>1040</v>
      </c>
      <c r="C211" s="12" t="s">
        <v>1041</v>
      </c>
      <c r="D211" s="12" t="s">
        <v>96</v>
      </c>
      <c r="E211" s="12" t="s">
        <v>348</v>
      </c>
      <c r="F211" s="321">
        <v>1.0</v>
      </c>
      <c r="G211" s="12" t="s">
        <v>236</v>
      </c>
      <c r="H211" s="12" t="s">
        <v>265</v>
      </c>
      <c r="I211" s="321">
        <v>4.0</v>
      </c>
    </row>
    <row r="212">
      <c r="A212" s="12" t="s">
        <v>668</v>
      </c>
      <c r="B212" s="12" t="s">
        <v>1040</v>
      </c>
      <c r="C212" s="12" t="s">
        <v>1041</v>
      </c>
      <c r="D212" s="12" t="s">
        <v>96</v>
      </c>
      <c r="E212" s="12" t="s">
        <v>348</v>
      </c>
      <c r="F212" s="321">
        <v>1.0</v>
      </c>
      <c r="G212" s="12" t="s">
        <v>236</v>
      </c>
      <c r="H212" s="12" t="s">
        <v>265</v>
      </c>
      <c r="I212" s="321">
        <v>4.0</v>
      </c>
    </row>
    <row r="213">
      <c r="A213" s="12" t="s">
        <v>678</v>
      </c>
      <c r="B213" s="12" t="s">
        <v>1040</v>
      </c>
      <c r="C213" s="12" t="s">
        <v>1041</v>
      </c>
      <c r="D213" s="12" t="s">
        <v>96</v>
      </c>
      <c r="E213" s="12" t="s">
        <v>348</v>
      </c>
      <c r="F213" s="321">
        <v>1.0</v>
      </c>
      <c r="G213" s="12" t="s">
        <v>236</v>
      </c>
      <c r="H213" s="12" t="s">
        <v>265</v>
      </c>
      <c r="I213" s="321">
        <v>4.0</v>
      </c>
    </row>
    <row r="214">
      <c r="A214" s="12" t="s">
        <v>686</v>
      </c>
      <c r="B214" s="12" t="s">
        <v>1040</v>
      </c>
      <c r="C214" s="12" t="s">
        <v>1041</v>
      </c>
      <c r="D214" s="12" t="s">
        <v>96</v>
      </c>
      <c r="E214" s="12" t="s">
        <v>348</v>
      </c>
      <c r="F214" s="321">
        <v>1.0</v>
      </c>
      <c r="G214" s="12" t="s">
        <v>236</v>
      </c>
      <c r="H214" s="12" t="s">
        <v>265</v>
      </c>
      <c r="I214" s="321">
        <v>4.0</v>
      </c>
    </row>
    <row r="215">
      <c r="A215" s="12" t="s">
        <v>895</v>
      </c>
      <c r="B215" s="12" t="s">
        <v>1040</v>
      </c>
      <c r="C215" s="12" t="s">
        <v>1041</v>
      </c>
      <c r="D215" s="12" t="s">
        <v>96</v>
      </c>
      <c r="E215" s="12" t="s">
        <v>348</v>
      </c>
      <c r="F215" s="321">
        <v>2.0</v>
      </c>
      <c r="G215" s="12" t="s">
        <v>236</v>
      </c>
      <c r="H215" s="12" t="s">
        <v>265</v>
      </c>
      <c r="I215" s="321">
        <v>4.0</v>
      </c>
    </row>
    <row r="216">
      <c r="A216" s="12" t="s">
        <v>959</v>
      </c>
      <c r="B216" s="12" t="s">
        <v>1040</v>
      </c>
      <c r="C216" s="12" t="s">
        <v>1041</v>
      </c>
      <c r="D216" s="12" t="s">
        <v>96</v>
      </c>
      <c r="E216" s="12" t="s">
        <v>348</v>
      </c>
      <c r="F216" s="321">
        <v>1.0</v>
      </c>
      <c r="G216" s="12" t="s">
        <v>236</v>
      </c>
      <c r="H216" s="12" t="s">
        <v>265</v>
      </c>
      <c r="I216" s="321">
        <v>4.0</v>
      </c>
    </row>
    <row r="217">
      <c r="A217" s="12" t="s">
        <v>931</v>
      </c>
      <c r="B217" s="12" t="s">
        <v>1040</v>
      </c>
      <c r="C217" s="12" t="s">
        <v>1041</v>
      </c>
      <c r="D217" s="12" t="s">
        <v>96</v>
      </c>
      <c r="E217" s="12" t="s">
        <v>348</v>
      </c>
      <c r="F217" s="321">
        <v>1.0</v>
      </c>
      <c r="G217" s="12" t="s">
        <v>236</v>
      </c>
      <c r="H217" s="12" t="s">
        <v>265</v>
      </c>
      <c r="I217" s="321">
        <v>4.0</v>
      </c>
    </row>
    <row r="218">
      <c r="A218" s="12" t="s">
        <v>944</v>
      </c>
      <c r="B218" s="12" t="s">
        <v>1040</v>
      </c>
      <c r="C218" s="12" t="s">
        <v>1041</v>
      </c>
      <c r="D218" s="12" t="s">
        <v>96</v>
      </c>
      <c r="E218" s="12" t="s">
        <v>348</v>
      </c>
      <c r="F218" s="321">
        <v>2.0</v>
      </c>
      <c r="G218" s="12" t="s">
        <v>236</v>
      </c>
      <c r="H218" s="12" t="s">
        <v>265</v>
      </c>
      <c r="I218" s="321">
        <v>4.0</v>
      </c>
    </row>
    <row r="219">
      <c r="A219" s="12" t="s">
        <v>940</v>
      </c>
      <c r="B219" s="12" t="s">
        <v>1040</v>
      </c>
      <c r="C219" s="12" t="s">
        <v>1041</v>
      </c>
      <c r="D219" s="12" t="s">
        <v>96</v>
      </c>
      <c r="E219" s="12" t="s">
        <v>348</v>
      </c>
      <c r="F219" s="321">
        <v>2.0</v>
      </c>
      <c r="G219" s="12" t="s">
        <v>236</v>
      </c>
      <c r="H219" s="12" t="s">
        <v>265</v>
      </c>
      <c r="I219" s="321">
        <v>4.0</v>
      </c>
    </row>
    <row r="220">
      <c r="A220" s="12" t="s">
        <v>976</v>
      </c>
      <c r="B220" s="12" t="s">
        <v>1040</v>
      </c>
      <c r="C220" s="12" t="s">
        <v>1041</v>
      </c>
      <c r="D220" s="12" t="s">
        <v>96</v>
      </c>
      <c r="E220" s="12" t="s">
        <v>348</v>
      </c>
      <c r="F220" s="321">
        <v>2.0</v>
      </c>
      <c r="G220" s="12" t="s">
        <v>236</v>
      </c>
      <c r="H220" s="12" t="s">
        <v>265</v>
      </c>
      <c r="I220" s="321">
        <v>4.0</v>
      </c>
    </row>
    <row r="221">
      <c r="A221" s="12" t="s">
        <v>1008</v>
      </c>
      <c r="B221" s="12" t="s">
        <v>1040</v>
      </c>
      <c r="C221" s="12" t="s">
        <v>1041</v>
      </c>
      <c r="D221" s="12" t="s">
        <v>96</v>
      </c>
      <c r="E221" s="12" t="s">
        <v>348</v>
      </c>
      <c r="F221" s="321">
        <v>2.0</v>
      </c>
      <c r="G221" s="12" t="s">
        <v>236</v>
      </c>
      <c r="H221" s="12" t="s">
        <v>265</v>
      </c>
      <c r="I221" s="321">
        <v>4.0</v>
      </c>
    </row>
    <row r="222">
      <c r="A222" s="12" t="s">
        <v>676</v>
      </c>
      <c r="B222" s="12" t="s">
        <v>1042</v>
      </c>
      <c r="C222" s="12" t="s">
        <v>1043</v>
      </c>
      <c r="D222" s="12" t="s">
        <v>96</v>
      </c>
      <c r="E222" s="12" t="s">
        <v>390</v>
      </c>
      <c r="F222" s="321">
        <v>1.0</v>
      </c>
      <c r="G222" s="12" t="s">
        <v>236</v>
      </c>
      <c r="H222" s="12" t="s">
        <v>265</v>
      </c>
      <c r="I222" s="321">
        <v>9.0</v>
      </c>
    </row>
    <row r="223">
      <c r="A223" s="12" t="s">
        <v>943</v>
      </c>
      <c r="B223" s="12" t="s">
        <v>1042</v>
      </c>
      <c r="C223" s="12" t="s">
        <v>1043</v>
      </c>
      <c r="D223" s="12" t="s">
        <v>96</v>
      </c>
      <c r="E223" s="12" t="s">
        <v>390</v>
      </c>
      <c r="F223" s="321">
        <v>1.0</v>
      </c>
      <c r="G223" s="12" t="s">
        <v>236</v>
      </c>
      <c r="H223" s="12" t="s">
        <v>265</v>
      </c>
      <c r="I223" s="321">
        <v>9.0</v>
      </c>
    </row>
    <row r="224">
      <c r="A224" s="12" t="s">
        <v>939</v>
      </c>
      <c r="B224" s="12" t="s">
        <v>1042</v>
      </c>
      <c r="C224" s="12" t="s">
        <v>1043</v>
      </c>
      <c r="D224" s="12" t="s">
        <v>96</v>
      </c>
      <c r="E224" s="12" t="s">
        <v>390</v>
      </c>
      <c r="F224" s="321">
        <v>1.0</v>
      </c>
      <c r="G224" s="12" t="s">
        <v>236</v>
      </c>
      <c r="H224" s="12" t="s">
        <v>265</v>
      </c>
      <c r="I224" s="321">
        <v>9.0</v>
      </c>
    </row>
    <row r="225">
      <c r="A225" s="12" t="s">
        <v>975</v>
      </c>
      <c r="B225" s="12" t="s">
        <v>1042</v>
      </c>
      <c r="C225" s="12" t="s">
        <v>1043</v>
      </c>
      <c r="D225" s="12" t="s">
        <v>96</v>
      </c>
      <c r="E225" s="12" t="s">
        <v>390</v>
      </c>
      <c r="F225" s="321">
        <v>1.0</v>
      </c>
      <c r="G225" s="12" t="s">
        <v>236</v>
      </c>
      <c r="H225" s="12" t="s">
        <v>265</v>
      </c>
      <c r="I225" s="321">
        <v>9.0</v>
      </c>
    </row>
    <row r="226">
      <c r="A226" s="12" t="s">
        <v>1007</v>
      </c>
      <c r="B226" s="12" t="s">
        <v>1042</v>
      </c>
      <c r="C226" s="12" t="s">
        <v>1043</v>
      </c>
      <c r="D226" s="12" t="s">
        <v>96</v>
      </c>
      <c r="E226" s="12" t="s">
        <v>390</v>
      </c>
      <c r="F226" s="321">
        <v>1.0</v>
      </c>
      <c r="G226" s="12" t="s">
        <v>236</v>
      </c>
      <c r="H226" s="12" t="s">
        <v>265</v>
      </c>
      <c r="I226" s="321">
        <v>9.0</v>
      </c>
    </row>
    <row r="227">
      <c r="A227" s="12" t="s">
        <v>896</v>
      </c>
      <c r="B227" s="12" t="s">
        <v>1042</v>
      </c>
      <c r="C227" s="12" t="s">
        <v>1043</v>
      </c>
      <c r="D227" s="12" t="s">
        <v>96</v>
      </c>
      <c r="E227" s="12" t="s">
        <v>390</v>
      </c>
      <c r="F227" s="321">
        <v>2.0</v>
      </c>
      <c r="G227" s="12" t="s">
        <v>236</v>
      </c>
      <c r="H227" s="12" t="s">
        <v>265</v>
      </c>
      <c r="I227" s="321">
        <v>9.0</v>
      </c>
    </row>
    <row r="228">
      <c r="A228" s="12" t="s">
        <v>960</v>
      </c>
      <c r="B228" s="12" t="s">
        <v>1042</v>
      </c>
      <c r="C228" s="12" t="s">
        <v>1043</v>
      </c>
      <c r="D228" s="12" t="s">
        <v>96</v>
      </c>
      <c r="E228" s="12" t="s">
        <v>390</v>
      </c>
      <c r="F228" s="321">
        <v>1.0</v>
      </c>
      <c r="G228" s="12" t="s">
        <v>236</v>
      </c>
      <c r="H228" s="12" t="s">
        <v>265</v>
      </c>
      <c r="I228" s="321">
        <v>9.0</v>
      </c>
    </row>
    <row r="229">
      <c r="A229" s="12" t="s">
        <v>932</v>
      </c>
      <c r="B229" s="12" t="s">
        <v>1042</v>
      </c>
      <c r="C229" s="12" t="s">
        <v>1043</v>
      </c>
      <c r="D229" s="12" t="s">
        <v>96</v>
      </c>
      <c r="E229" s="12" t="s">
        <v>390</v>
      </c>
      <c r="F229" s="321">
        <v>1.0</v>
      </c>
      <c r="G229" s="12" t="s">
        <v>236</v>
      </c>
      <c r="H229" s="12" t="s">
        <v>265</v>
      </c>
      <c r="I229" s="321">
        <v>9.0</v>
      </c>
    </row>
    <row r="230">
      <c r="A230" s="12" t="s">
        <v>687</v>
      </c>
      <c r="B230" s="12" t="s">
        <v>1044</v>
      </c>
      <c r="C230" s="12" t="s">
        <v>1045</v>
      </c>
      <c r="D230" s="12" t="s">
        <v>96</v>
      </c>
      <c r="E230" s="12" t="s">
        <v>362</v>
      </c>
      <c r="F230" s="321">
        <v>1.0</v>
      </c>
      <c r="G230" s="12" t="s">
        <v>236</v>
      </c>
      <c r="H230" s="12" t="s">
        <v>265</v>
      </c>
      <c r="I230" s="321">
        <v>6.0</v>
      </c>
    </row>
    <row r="231">
      <c r="A231" s="12" t="s">
        <v>697</v>
      </c>
      <c r="B231" s="12" t="s">
        <v>1044</v>
      </c>
      <c r="C231" s="12" t="s">
        <v>1045</v>
      </c>
      <c r="D231" s="12" t="s">
        <v>96</v>
      </c>
      <c r="E231" s="12" t="s">
        <v>362</v>
      </c>
      <c r="F231" s="321">
        <v>1.0</v>
      </c>
      <c r="G231" s="12" t="s">
        <v>236</v>
      </c>
      <c r="H231" s="12" t="s">
        <v>265</v>
      </c>
      <c r="I231" s="321">
        <v>6.0</v>
      </c>
    </row>
    <row r="232">
      <c r="A232" s="12" t="s">
        <v>899</v>
      </c>
      <c r="B232" s="12" t="s">
        <v>1044</v>
      </c>
      <c r="C232" s="12" t="s">
        <v>1045</v>
      </c>
      <c r="D232" s="12" t="s">
        <v>96</v>
      </c>
      <c r="E232" s="12" t="s">
        <v>362</v>
      </c>
      <c r="F232" s="321">
        <v>1.0</v>
      </c>
      <c r="G232" s="12" t="s">
        <v>236</v>
      </c>
      <c r="H232" s="12" t="s">
        <v>265</v>
      </c>
      <c r="I232" s="321">
        <v>6.0</v>
      </c>
    </row>
    <row r="233">
      <c r="A233" s="12" t="s">
        <v>903</v>
      </c>
      <c r="B233" s="12" t="s">
        <v>1044</v>
      </c>
      <c r="C233" s="12" t="s">
        <v>1045</v>
      </c>
      <c r="D233" s="12" t="s">
        <v>96</v>
      </c>
      <c r="E233" s="12" t="s">
        <v>362</v>
      </c>
      <c r="F233" s="321">
        <v>1.0</v>
      </c>
      <c r="G233" s="12" t="s">
        <v>236</v>
      </c>
      <c r="H233" s="12" t="s">
        <v>265</v>
      </c>
      <c r="I233" s="321">
        <v>6.0</v>
      </c>
    </row>
    <row r="234">
      <c r="A234" s="12" t="s">
        <v>900</v>
      </c>
      <c r="B234" s="12" t="s">
        <v>1044</v>
      </c>
      <c r="C234" s="12" t="s">
        <v>1045</v>
      </c>
      <c r="D234" s="12" t="s">
        <v>96</v>
      </c>
      <c r="E234" s="12" t="s">
        <v>362</v>
      </c>
      <c r="F234" s="321">
        <v>2.0</v>
      </c>
      <c r="G234" s="12" t="s">
        <v>236</v>
      </c>
      <c r="H234" s="12" t="s">
        <v>265</v>
      </c>
      <c r="I234" s="321">
        <v>6.0</v>
      </c>
    </row>
    <row r="235">
      <c r="A235" s="12" t="s">
        <v>904</v>
      </c>
      <c r="B235" s="12" t="s">
        <v>1044</v>
      </c>
      <c r="C235" s="12" t="s">
        <v>1045</v>
      </c>
      <c r="D235" s="12" t="s">
        <v>96</v>
      </c>
      <c r="E235" s="12" t="s">
        <v>362</v>
      </c>
      <c r="F235" s="321">
        <v>2.0</v>
      </c>
      <c r="G235" s="12" t="s">
        <v>236</v>
      </c>
      <c r="H235" s="12" t="s">
        <v>265</v>
      </c>
      <c r="I235" s="321">
        <v>6.0</v>
      </c>
    </row>
    <row r="236">
      <c r="A236" s="12" t="s">
        <v>936</v>
      </c>
      <c r="B236" s="12" t="s">
        <v>1044</v>
      </c>
      <c r="C236" s="12" t="s">
        <v>1045</v>
      </c>
      <c r="D236" s="12" t="s">
        <v>96</v>
      </c>
      <c r="E236" s="12" t="s">
        <v>362</v>
      </c>
      <c r="F236" s="321">
        <v>1.0</v>
      </c>
      <c r="G236" s="12" t="s">
        <v>236</v>
      </c>
      <c r="H236" s="12" t="s">
        <v>265</v>
      </c>
      <c r="I236" s="321">
        <v>6.0</v>
      </c>
    </row>
    <row r="237">
      <c r="A237" s="12" t="s">
        <v>667</v>
      </c>
      <c r="B237" s="12" t="s">
        <v>1046</v>
      </c>
      <c r="C237" s="12" t="s">
        <v>1047</v>
      </c>
      <c r="D237" s="12" t="s">
        <v>96</v>
      </c>
      <c r="E237" s="12" t="s">
        <v>356</v>
      </c>
      <c r="F237" s="321">
        <v>1.0</v>
      </c>
      <c r="G237" s="12" t="s">
        <v>236</v>
      </c>
      <c r="H237" s="12" t="s">
        <v>265</v>
      </c>
      <c r="I237" s="321">
        <v>5.0</v>
      </c>
    </row>
    <row r="238">
      <c r="A238" s="12" t="s">
        <v>848</v>
      </c>
      <c r="B238" s="12" t="s">
        <v>1046</v>
      </c>
      <c r="C238" s="12" t="s">
        <v>1047</v>
      </c>
      <c r="D238" s="12" t="s">
        <v>96</v>
      </c>
      <c r="E238" s="12" t="s">
        <v>356</v>
      </c>
      <c r="F238" s="321">
        <v>1.0</v>
      </c>
      <c r="G238" s="12" t="s">
        <v>236</v>
      </c>
      <c r="H238" s="12" t="s">
        <v>265</v>
      </c>
      <c r="I238" s="321">
        <v>5.0</v>
      </c>
    </row>
    <row r="239">
      <c r="A239" s="12" t="s">
        <v>851</v>
      </c>
      <c r="B239" s="12" t="s">
        <v>1046</v>
      </c>
      <c r="C239" s="12" t="s">
        <v>1047</v>
      </c>
      <c r="D239" s="12" t="s">
        <v>96</v>
      </c>
      <c r="E239" s="12" t="s">
        <v>356</v>
      </c>
      <c r="F239" s="321">
        <v>2.0</v>
      </c>
      <c r="G239" s="12" t="s">
        <v>236</v>
      </c>
      <c r="H239" s="12" t="s">
        <v>265</v>
      </c>
      <c r="I239" s="321">
        <v>5.0</v>
      </c>
    </row>
    <row r="240">
      <c r="A240" s="12" t="s">
        <v>852</v>
      </c>
      <c r="B240" s="12" t="s">
        <v>1046</v>
      </c>
      <c r="C240" s="12" t="s">
        <v>1047</v>
      </c>
      <c r="D240" s="12" t="s">
        <v>96</v>
      </c>
      <c r="E240" s="12" t="s">
        <v>356</v>
      </c>
      <c r="F240" s="321">
        <v>3.0</v>
      </c>
      <c r="G240" s="12" t="s">
        <v>236</v>
      </c>
      <c r="H240" s="12" t="s">
        <v>265</v>
      </c>
      <c r="I240" s="321">
        <v>5.0</v>
      </c>
    </row>
    <row r="241">
      <c r="A241" s="12" t="s">
        <v>853</v>
      </c>
      <c r="B241" s="12" t="s">
        <v>1046</v>
      </c>
      <c r="C241" s="12" t="s">
        <v>1047</v>
      </c>
      <c r="D241" s="12" t="s">
        <v>96</v>
      </c>
      <c r="E241" s="12" t="s">
        <v>356</v>
      </c>
      <c r="F241" s="321">
        <v>4.0</v>
      </c>
      <c r="G241" s="12" t="s">
        <v>236</v>
      </c>
      <c r="H241" s="12" t="s">
        <v>265</v>
      </c>
      <c r="I241" s="321">
        <v>5.0</v>
      </c>
    </row>
    <row r="242">
      <c r="A242" s="12" t="s">
        <v>854</v>
      </c>
      <c r="B242" s="12" t="s">
        <v>1046</v>
      </c>
      <c r="C242" s="12" t="s">
        <v>1047</v>
      </c>
      <c r="D242" s="12" t="s">
        <v>96</v>
      </c>
      <c r="E242" s="12" t="s">
        <v>356</v>
      </c>
      <c r="F242" s="321">
        <v>5.0</v>
      </c>
      <c r="G242" s="12" t="s">
        <v>236</v>
      </c>
      <c r="H242" s="12" t="s">
        <v>265</v>
      </c>
      <c r="I242" s="321">
        <v>5.0</v>
      </c>
    </row>
    <row r="243">
      <c r="A243" s="12" t="s">
        <v>855</v>
      </c>
      <c r="B243" s="12" t="s">
        <v>1046</v>
      </c>
      <c r="C243" s="12" t="s">
        <v>1047</v>
      </c>
      <c r="D243" s="12" t="s">
        <v>96</v>
      </c>
      <c r="E243" s="12" t="s">
        <v>356</v>
      </c>
      <c r="F243" s="321">
        <v>6.0</v>
      </c>
      <c r="G243" s="12" t="s">
        <v>236</v>
      </c>
      <c r="H243" s="12" t="s">
        <v>265</v>
      </c>
      <c r="I243" s="321">
        <v>5.0</v>
      </c>
    </row>
    <row r="244">
      <c r="A244" s="12" t="s">
        <v>856</v>
      </c>
      <c r="B244" s="12" t="s">
        <v>1046</v>
      </c>
      <c r="C244" s="12" t="s">
        <v>1047</v>
      </c>
      <c r="D244" s="12" t="s">
        <v>96</v>
      </c>
      <c r="E244" s="12" t="s">
        <v>356</v>
      </c>
      <c r="F244" s="321">
        <v>7.0</v>
      </c>
      <c r="G244" s="12" t="s">
        <v>236</v>
      </c>
      <c r="H244" s="12" t="s">
        <v>265</v>
      </c>
      <c r="I244" s="321">
        <v>5.0</v>
      </c>
    </row>
    <row r="245">
      <c r="A245" s="12" t="s">
        <v>857</v>
      </c>
      <c r="B245" s="12" t="s">
        <v>1046</v>
      </c>
      <c r="C245" s="12" t="s">
        <v>1047</v>
      </c>
      <c r="D245" s="12" t="s">
        <v>96</v>
      </c>
      <c r="E245" s="12" t="s">
        <v>356</v>
      </c>
      <c r="F245" s="321">
        <v>8.0</v>
      </c>
      <c r="G245" s="12" t="s">
        <v>236</v>
      </c>
      <c r="H245" s="12" t="s">
        <v>265</v>
      </c>
      <c r="I245" s="321">
        <v>5.0</v>
      </c>
    </row>
    <row r="246">
      <c r="A246" s="12" t="s">
        <v>858</v>
      </c>
      <c r="B246" s="12" t="s">
        <v>1046</v>
      </c>
      <c r="C246" s="12" t="s">
        <v>1047</v>
      </c>
      <c r="D246" s="12" t="s">
        <v>96</v>
      </c>
      <c r="E246" s="12" t="s">
        <v>356</v>
      </c>
      <c r="F246" s="321">
        <v>9.0</v>
      </c>
      <c r="G246" s="12" t="s">
        <v>236</v>
      </c>
      <c r="H246" s="12" t="s">
        <v>265</v>
      </c>
      <c r="I246" s="321">
        <v>5.0</v>
      </c>
    </row>
    <row r="247">
      <c r="A247" s="12" t="s">
        <v>859</v>
      </c>
      <c r="B247" s="12" t="s">
        <v>1046</v>
      </c>
      <c r="C247" s="12" t="s">
        <v>1047</v>
      </c>
      <c r="D247" s="12" t="s">
        <v>96</v>
      </c>
      <c r="E247" s="12" t="s">
        <v>356</v>
      </c>
      <c r="F247" s="321">
        <v>10.0</v>
      </c>
      <c r="G247" s="12" t="s">
        <v>236</v>
      </c>
      <c r="H247" s="12" t="s">
        <v>265</v>
      </c>
      <c r="I247" s="321">
        <v>5.0</v>
      </c>
    </row>
    <row r="248">
      <c r="A248" s="12" t="s">
        <v>899</v>
      </c>
      <c r="B248" s="12" t="s">
        <v>1046</v>
      </c>
      <c r="C248" s="12" t="s">
        <v>1047</v>
      </c>
      <c r="D248" s="12" t="s">
        <v>96</v>
      </c>
      <c r="E248" s="12" t="s">
        <v>356</v>
      </c>
      <c r="F248" s="321">
        <v>1.0</v>
      </c>
      <c r="G248" s="12" t="s">
        <v>236</v>
      </c>
      <c r="H248" s="12" t="s">
        <v>265</v>
      </c>
      <c r="I248" s="321">
        <v>5.0</v>
      </c>
    </row>
    <row r="249">
      <c r="A249" s="12" t="s">
        <v>903</v>
      </c>
      <c r="B249" s="12" t="s">
        <v>1046</v>
      </c>
      <c r="C249" s="12" t="s">
        <v>1047</v>
      </c>
      <c r="D249" s="12" t="s">
        <v>96</v>
      </c>
      <c r="E249" s="12" t="s">
        <v>356</v>
      </c>
      <c r="F249" s="321">
        <v>1.0</v>
      </c>
      <c r="G249" s="12" t="s">
        <v>236</v>
      </c>
      <c r="H249" s="12" t="s">
        <v>265</v>
      </c>
      <c r="I249" s="321">
        <v>5.0</v>
      </c>
    </row>
    <row r="250">
      <c r="A250" s="12" t="s">
        <v>935</v>
      </c>
      <c r="B250" s="12" t="s">
        <v>1046</v>
      </c>
      <c r="C250" s="12" t="s">
        <v>1047</v>
      </c>
      <c r="D250" s="12" t="s">
        <v>96</v>
      </c>
      <c r="E250" s="12" t="s">
        <v>356</v>
      </c>
      <c r="F250" s="321">
        <v>1.0</v>
      </c>
      <c r="G250" s="12" t="s">
        <v>236</v>
      </c>
      <c r="H250" s="12" t="s">
        <v>265</v>
      </c>
      <c r="I250" s="321">
        <v>5.0</v>
      </c>
    </row>
    <row r="251">
      <c r="A251" s="12" t="s">
        <v>687</v>
      </c>
      <c r="B251" s="12" t="s">
        <v>1048</v>
      </c>
      <c r="C251" s="12" t="s">
        <v>1049</v>
      </c>
      <c r="D251" s="12" t="s">
        <v>96</v>
      </c>
      <c r="E251" s="12" t="s">
        <v>382</v>
      </c>
      <c r="F251" s="321">
        <v>1.0</v>
      </c>
      <c r="G251" s="12" t="s">
        <v>236</v>
      </c>
      <c r="H251" s="12" t="s">
        <v>265</v>
      </c>
      <c r="I251" s="321">
        <v>8.0</v>
      </c>
    </row>
    <row r="252">
      <c r="A252" s="12" t="s">
        <v>699</v>
      </c>
      <c r="B252" s="12" t="s">
        <v>1048</v>
      </c>
      <c r="C252" s="12" t="s">
        <v>1049</v>
      </c>
      <c r="D252" s="12" t="s">
        <v>96</v>
      </c>
      <c r="E252" s="12" t="s">
        <v>382</v>
      </c>
      <c r="F252" s="321">
        <v>2.0</v>
      </c>
      <c r="G252" s="12" t="s">
        <v>236</v>
      </c>
      <c r="H252" s="12" t="s">
        <v>265</v>
      </c>
      <c r="I252" s="321">
        <v>8.0</v>
      </c>
    </row>
    <row r="253">
      <c r="A253" s="12" t="s">
        <v>899</v>
      </c>
      <c r="B253" s="12" t="s">
        <v>1048</v>
      </c>
      <c r="C253" s="12" t="s">
        <v>1049</v>
      </c>
      <c r="D253" s="12" t="s">
        <v>96</v>
      </c>
      <c r="E253" s="12" t="s">
        <v>382</v>
      </c>
      <c r="F253" s="321">
        <v>1.0</v>
      </c>
      <c r="G253" s="12" t="s">
        <v>236</v>
      </c>
      <c r="H253" s="12" t="s">
        <v>265</v>
      </c>
      <c r="I253" s="321">
        <v>8.0</v>
      </c>
    </row>
    <row r="254">
      <c r="A254" s="12" t="s">
        <v>907</v>
      </c>
      <c r="B254" s="12" t="s">
        <v>1048</v>
      </c>
      <c r="C254" s="12" t="s">
        <v>1049</v>
      </c>
      <c r="D254" s="12" t="s">
        <v>96</v>
      </c>
      <c r="E254" s="12" t="s">
        <v>382</v>
      </c>
      <c r="F254" s="321">
        <v>3.0</v>
      </c>
      <c r="G254" s="12" t="s">
        <v>236</v>
      </c>
      <c r="H254" s="12" t="s">
        <v>265</v>
      </c>
      <c r="I254" s="321">
        <v>8.0</v>
      </c>
    </row>
    <row r="255">
      <c r="A255" s="12" t="s">
        <v>900</v>
      </c>
      <c r="B255" s="12" t="s">
        <v>1048</v>
      </c>
      <c r="C255" s="12" t="s">
        <v>1049</v>
      </c>
      <c r="D255" s="12" t="s">
        <v>96</v>
      </c>
      <c r="E255" s="12" t="s">
        <v>382</v>
      </c>
      <c r="F255" s="321">
        <v>2.0</v>
      </c>
      <c r="G255" s="12" t="s">
        <v>236</v>
      </c>
      <c r="H255" s="12" t="s">
        <v>265</v>
      </c>
      <c r="I255" s="321">
        <v>8.0</v>
      </c>
    </row>
    <row r="256">
      <c r="A256" s="12" t="s">
        <v>908</v>
      </c>
      <c r="B256" s="12" t="s">
        <v>1048</v>
      </c>
      <c r="C256" s="12" t="s">
        <v>1049</v>
      </c>
      <c r="D256" s="12" t="s">
        <v>96</v>
      </c>
      <c r="E256" s="12" t="s">
        <v>382</v>
      </c>
      <c r="F256" s="321">
        <v>4.0</v>
      </c>
      <c r="G256" s="12" t="s">
        <v>236</v>
      </c>
      <c r="H256" s="12" t="s">
        <v>265</v>
      </c>
      <c r="I256" s="321">
        <v>8.0</v>
      </c>
    </row>
    <row r="257">
      <c r="A257" s="12" t="s">
        <v>687</v>
      </c>
      <c r="B257" s="12" t="s">
        <v>1050</v>
      </c>
      <c r="C257" s="12" t="s">
        <v>1051</v>
      </c>
      <c r="D257" s="12" t="s">
        <v>96</v>
      </c>
      <c r="E257" s="12" t="s">
        <v>392</v>
      </c>
      <c r="F257" s="321">
        <v>1.0</v>
      </c>
      <c r="G257" s="12" t="s">
        <v>236</v>
      </c>
      <c r="H257" s="12" t="s">
        <v>265</v>
      </c>
      <c r="I257" s="321">
        <v>10.0</v>
      </c>
    </row>
    <row r="258">
      <c r="A258" s="12" t="s">
        <v>672</v>
      </c>
      <c r="B258" s="12" t="s">
        <v>1050</v>
      </c>
      <c r="C258" s="12" t="s">
        <v>1051</v>
      </c>
      <c r="D258" s="12" t="s">
        <v>96</v>
      </c>
      <c r="E258" s="12" t="s">
        <v>392</v>
      </c>
      <c r="F258" s="321">
        <v>1.0</v>
      </c>
      <c r="G258" s="12" t="s">
        <v>236</v>
      </c>
      <c r="H258" s="12" t="s">
        <v>265</v>
      </c>
      <c r="I258" s="321">
        <v>10.0</v>
      </c>
    </row>
    <row r="259">
      <c r="A259" s="12" t="s">
        <v>899</v>
      </c>
      <c r="B259" s="12" t="s">
        <v>1050</v>
      </c>
      <c r="C259" s="12" t="s">
        <v>1052</v>
      </c>
      <c r="D259" s="12" t="s">
        <v>96</v>
      </c>
      <c r="E259" s="12" t="s">
        <v>392</v>
      </c>
      <c r="F259" s="321">
        <v>1.0</v>
      </c>
      <c r="G259" s="12" t="s">
        <v>236</v>
      </c>
      <c r="H259" s="12" t="s">
        <v>265</v>
      </c>
      <c r="I259" s="321">
        <v>10.0</v>
      </c>
    </row>
    <row r="260">
      <c r="A260" s="12" t="s">
        <v>955</v>
      </c>
      <c r="B260" s="12" t="s">
        <v>1050</v>
      </c>
      <c r="C260" s="12" t="s">
        <v>1052</v>
      </c>
      <c r="D260" s="12" t="s">
        <v>96</v>
      </c>
      <c r="E260" s="12" t="s">
        <v>392</v>
      </c>
      <c r="F260" s="321">
        <v>1.0</v>
      </c>
      <c r="G260" s="12" t="s">
        <v>236</v>
      </c>
      <c r="H260" s="12" t="s">
        <v>265</v>
      </c>
      <c r="I260" s="321">
        <v>10.0</v>
      </c>
    </row>
    <row r="261">
      <c r="A261" s="12" t="s">
        <v>900</v>
      </c>
      <c r="B261" s="12" t="s">
        <v>1050</v>
      </c>
      <c r="C261" s="12" t="s">
        <v>1051</v>
      </c>
      <c r="D261" s="12" t="s">
        <v>96</v>
      </c>
      <c r="E261" s="12" t="s">
        <v>392</v>
      </c>
      <c r="F261" s="321">
        <v>2.0</v>
      </c>
      <c r="G261" s="12" t="s">
        <v>236</v>
      </c>
      <c r="H261" s="12" t="s">
        <v>265</v>
      </c>
      <c r="I261" s="321">
        <v>10.0</v>
      </c>
    </row>
    <row r="262">
      <c r="A262" s="12" t="s">
        <v>956</v>
      </c>
      <c r="B262" s="12" t="s">
        <v>1050</v>
      </c>
      <c r="C262" s="12" t="s">
        <v>1051</v>
      </c>
      <c r="D262" s="12" t="s">
        <v>96</v>
      </c>
      <c r="E262" s="12" t="s">
        <v>392</v>
      </c>
      <c r="F262" s="321">
        <v>2.0</v>
      </c>
      <c r="G262" s="12" t="s">
        <v>236</v>
      </c>
      <c r="H262" s="12" t="s">
        <v>265</v>
      </c>
      <c r="I262" s="321">
        <v>10.0</v>
      </c>
    </row>
    <row r="263">
      <c r="A263" s="12" t="s">
        <v>697</v>
      </c>
      <c r="B263" s="12" t="s">
        <v>1053</v>
      </c>
      <c r="C263" s="12" t="s">
        <v>1054</v>
      </c>
      <c r="D263" s="12" t="s">
        <v>96</v>
      </c>
      <c r="E263" s="12" t="s">
        <v>386</v>
      </c>
      <c r="F263" s="321">
        <v>1.0</v>
      </c>
      <c r="G263" s="12" t="s">
        <v>236</v>
      </c>
      <c r="H263" s="12" t="s">
        <v>265</v>
      </c>
      <c r="I263" s="321">
        <v>9.0</v>
      </c>
    </row>
    <row r="264">
      <c r="A264" s="12" t="s">
        <v>666</v>
      </c>
      <c r="B264" s="12" t="s">
        <v>1053</v>
      </c>
      <c r="C264" s="12" t="s">
        <v>1054</v>
      </c>
      <c r="D264" s="12" t="s">
        <v>96</v>
      </c>
      <c r="E264" s="12" t="s">
        <v>386</v>
      </c>
      <c r="F264" s="321">
        <v>1.0</v>
      </c>
      <c r="G264" s="12" t="s">
        <v>236</v>
      </c>
      <c r="H264" s="12" t="s">
        <v>265</v>
      </c>
      <c r="I264" s="321">
        <v>9.0</v>
      </c>
    </row>
    <row r="265">
      <c r="A265" s="12" t="s">
        <v>903</v>
      </c>
      <c r="B265" s="12" t="s">
        <v>1053</v>
      </c>
      <c r="C265" s="12" t="s">
        <v>1055</v>
      </c>
      <c r="D265" s="12" t="s">
        <v>96</v>
      </c>
      <c r="E265" s="12" t="s">
        <v>386</v>
      </c>
      <c r="F265" s="321">
        <v>1.0</v>
      </c>
      <c r="G265" s="12" t="s">
        <v>236</v>
      </c>
      <c r="H265" s="12" t="s">
        <v>265</v>
      </c>
      <c r="I265" s="321">
        <v>9.0</v>
      </c>
    </row>
    <row r="266">
      <c r="A266" s="12" t="s">
        <v>931</v>
      </c>
      <c r="B266" s="12" t="s">
        <v>1053</v>
      </c>
      <c r="C266" s="12" t="s">
        <v>1055</v>
      </c>
      <c r="D266" s="12" t="s">
        <v>96</v>
      </c>
      <c r="E266" s="12" t="s">
        <v>386</v>
      </c>
      <c r="F266" s="321">
        <v>1.0</v>
      </c>
      <c r="G266" s="12" t="s">
        <v>236</v>
      </c>
      <c r="H266" s="12" t="s">
        <v>265</v>
      </c>
      <c r="I266" s="321">
        <v>9.0</v>
      </c>
    </row>
    <row r="267">
      <c r="A267" s="12" t="s">
        <v>904</v>
      </c>
      <c r="B267" s="12" t="s">
        <v>1053</v>
      </c>
      <c r="C267" s="12" t="s">
        <v>1054</v>
      </c>
      <c r="D267" s="12" t="s">
        <v>96</v>
      </c>
      <c r="E267" s="12" t="s">
        <v>386</v>
      </c>
      <c r="F267" s="321">
        <v>2.0</v>
      </c>
      <c r="G267" s="12" t="s">
        <v>236</v>
      </c>
      <c r="H267" s="12" t="s">
        <v>265</v>
      </c>
      <c r="I267" s="321">
        <v>9.0</v>
      </c>
    </row>
    <row r="268">
      <c r="A268" s="12" t="s">
        <v>932</v>
      </c>
      <c r="B268" s="12" t="s">
        <v>1053</v>
      </c>
      <c r="C268" s="12" t="s">
        <v>1054</v>
      </c>
      <c r="D268" s="12" t="s">
        <v>96</v>
      </c>
      <c r="E268" s="12" t="s">
        <v>386</v>
      </c>
      <c r="F268" s="321">
        <v>2.0</v>
      </c>
      <c r="G268" s="12" t="s">
        <v>236</v>
      </c>
      <c r="H268" s="12" t="s">
        <v>265</v>
      </c>
      <c r="I268" s="321">
        <v>9.0</v>
      </c>
    </row>
    <row r="269">
      <c r="A269" s="12" t="s">
        <v>699</v>
      </c>
      <c r="B269" s="12" t="s">
        <v>1056</v>
      </c>
      <c r="C269" s="12" t="s">
        <v>1057</v>
      </c>
      <c r="D269" s="12" t="s">
        <v>96</v>
      </c>
      <c r="E269" s="12" t="s">
        <v>350</v>
      </c>
      <c r="F269" s="321">
        <v>1.0</v>
      </c>
      <c r="G269" s="12" t="s">
        <v>236</v>
      </c>
      <c r="H269" s="12" t="s">
        <v>265</v>
      </c>
      <c r="I269" s="321">
        <v>5.0</v>
      </c>
    </row>
    <row r="270">
      <c r="A270" s="12" t="s">
        <v>907</v>
      </c>
      <c r="B270" s="12" t="s">
        <v>1056</v>
      </c>
      <c r="C270" s="12" t="s">
        <v>1058</v>
      </c>
      <c r="D270" s="12" t="s">
        <v>96</v>
      </c>
      <c r="E270" s="12" t="s">
        <v>350</v>
      </c>
      <c r="F270" s="321">
        <v>1.0</v>
      </c>
      <c r="G270" s="12" t="s">
        <v>236</v>
      </c>
      <c r="H270" s="12" t="s">
        <v>265</v>
      </c>
      <c r="I270" s="321">
        <v>5.0</v>
      </c>
    </row>
    <row r="271">
      <c r="A271" s="12" t="s">
        <v>908</v>
      </c>
      <c r="B271" s="12" t="s">
        <v>1056</v>
      </c>
      <c r="C271" s="12" t="s">
        <v>1059</v>
      </c>
      <c r="D271" s="12" t="s">
        <v>96</v>
      </c>
      <c r="E271" s="12" t="s">
        <v>350</v>
      </c>
      <c r="F271" s="321">
        <v>1.0</v>
      </c>
      <c r="G271" s="12" t="s">
        <v>236</v>
      </c>
      <c r="H271" s="12" t="s">
        <v>265</v>
      </c>
      <c r="I271" s="321">
        <v>5.0</v>
      </c>
    </row>
    <row r="272">
      <c r="A272" s="12" t="s">
        <v>699</v>
      </c>
      <c r="B272" s="12" t="s">
        <v>1060</v>
      </c>
      <c r="C272" s="12" t="s">
        <v>1061</v>
      </c>
      <c r="D272" s="12" t="s">
        <v>96</v>
      </c>
      <c r="E272" s="12" t="s">
        <v>367</v>
      </c>
      <c r="F272" s="321">
        <v>1.0</v>
      </c>
      <c r="G272" s="12" t="s">
        <v>236</v>
      </c>
      <c r="H272" s="12" t="s">
        <v>265</v>
      </c>
      <c r="I272" s="321">
        <v>7.0</v>
      </c>
    </row>
    <row r="273">
      <c r="A273" s="12" t="s">
        <v>678</v>
      </c>
      <c r="B273" s="12" t="s">
        <v>1060</v>
      </c>
      <c r="C273" s="12" t="s">
        <v>1061</v>
      </c>
      <c r="D273" s="12" t="s">
        <v>96</v>
      </c>
      <c r="E273" s="12" t="s">
        <v>367</v>
      </c>
      <c r="F273" s="321">
        <v>1.0</v>
      </c>
      <c r="G273" s="12" t="s">
        <v>236</v>
      </c>
      <c r="H273" s="12" t="s">
        <v>265</v>
      </c>
      <c r="I273" s="321">
        <v>7.0</v>
      </c>
    </row>
    <row r="274">
      <c r="A274" s="12" t="s">
        <v>672</v>
      </c>
      <c r="B274" s="12" t="s">
        <v>1060</v>
      </c>
      <c r="C274" s="12" t="s">
        <v>1061</v>
      </c>
      <c r="D274" s="12" t="s">
        <v>96</v>
      </c>
      <c r="E274" s="12" t="s">
        <v>367</v>
      </c>
      <c r="F274" s="321">
        <v>1.0</v>
      </c>
      <c r="G274" s="12" t="s">
        <v>236</v>
      </c>
      <c r="H274" s="12" t="s">
        <v>265</v>
      </c>
      <c r="I274" s="321">
        <v>7.0</v>
      </c>
    </row>
    <row r="275">
      <c r="A275" s="12" t="s">
        <v>666</v>
      </c>
      <c r="B275" s="12" t="s">
        <v>1060</v>
      </c>
      <c r="C275" s="12" t="s">
        <v>1061</v>
      </c>
      <c r="D275" s="12" t="s">
        <v>96</v>
      </c>
      <c r="E275" s="12" t="s">
        <v>367</v>
      </c>
      <c r="F275" s="321">
        <v>1.0</v>
      </c>
      <c r="G275" s="12" t="s">
        <v>236</v>
      </c>
      <c r="H275" s="12" t="s">
        <v>265</v>
      </c>
      <c r="I275" s="321">
        <v>7.0</v>
      </c>
    </row>
    <row r="276">
      <c r="A276" s="12" t="s">
        <v>923</v>
      </c>
      <c r="B276" s="12" t="s">
        <v>1060</v>
      </c>
      <c r="C276" s="12" t="s">
        <v>1062</v>
      </c>
      <c r="D276" s="12" t="s">
        <v>96</v>
      </c>
      <c r="E276" s="12" t="s">
        <v>367</v>
      </c>
      <c r="F276" s="321">
        <v>1.0</v>
      </c>
      <c r="G276" s="12" t="s">
        <v>236</v>
      </c>
      <c r="H276" s="12" t="s">
        <v>265</v>
      </c>
      <c r="I276" s="321">
        <v>7.0</v>
      </c>
    </row>
    <row r="277">
      <c r="A277" s="12" t="s">
        <v>908</v>
      </c>
      <c r="B277" s="12" t="s">
        <v>1060</v>
      </c>
      <c r="C277" s="12" t="s">
        <v>1062</v>
      </c>
      <c r="D277" s="12" t="s">
        <v>96</v>
      </c>
      <c r="E277" s="12" t="s">
        <v>367</v>
      </c>
      <c r="F277" s="321">
        <v>1.0</v>
      </c>
      <c r="G277" s="12" t="s">
        <v>236</v>
      </c>
      <c r="H277" s="12" t="s">
        <v>265</v>
      </c>
      <c r="I277" s="321">
        <v>7.0</v>
      </c>
    </row>
    <row r="278">
      <c r="A278" s="12" t="s">
        <v>976</v>
      </c>
      <c r="B278" s="12" t="s">
        <v>1060</v>
      </c>
      <c r="C278" s="12" t="s">
        <v>1062</v>
      </c>
      <c r="D278" s="12" t="s">
        <v>96</v>
      </c>
      <c r="E278" s="12" t="s">
        <v>367</v>
      </c>
      <c r="F278" s="321">
        <v>1.0</v>
      </c>
      <c r="G278" s="12" t="s">
        <v>236</v>
      </c>
      <c r="H278" s="12" t="s">
        <v>265</v>
      </c>
      <c r="I278" s="321">
        <v>7.0</v>
      </c>
    </row>
    <row r="279">
      <c r="A279" s="12" t="s">
        <v>956</v>
      </c>
      <c r="B279" s="12" t="s">
        <v>1060</v>
      </c>
      <c r="C279" s="12" t="s">
        <v>1062</v>
      </c>
      <c r="D279" s="12" t="s">
        <v>96</v>
      </c>
      <c r="E279" s="12" t="s">
        <v>367</v>
      </c>
      <c r="F279" s="321">
        <v>1.0</v>
      </c>
      <c r="G279" s="12" t="s">
        <v>236</v>
      </c>
      <c r="H279" s="12" t="s">
        <v>265</v>
      </c>
      <c r="I279" s="321">
        <v>7.0</v>
      </c>
    </row>
    <row r="280">
      <c r="A280" s="12" t="s">
        <v>932</v>
      </c>
      <c r="B280" s="12" t="s">
        <v>1060</v>
      </c>
      <c r="C280" s="12" t="s">
        <v>1062</v>
      </c>
      <c r="D280" s="12" t="s">
        <v>96</v>
      </c>
      <c r="E280" s="12" t="s">
        <v>367</v>
      </c>
      <c r="F280" s="321">
        <v>1.0</v>
      </c>
      <c r="G280" s="12" t="s">
        <v>236</v>
      </c>
      <c r="H280" s="12" t="s">
        <v>265</v>
      </c>
      <c r="I280" s="321">
        <v>7.0</v>
      </c>
    </row>
    <row r="281">
      <c r="A281" s="12" t="s">
        <v>706</v>
      </c>
      <c r="B281" s="12" t="s">
        <v>1063</v>
      </c>
      <c r="C281" s="12" t="s">
        <v>1064</v>
      </c>
      <c r="D281" s="12" t="s">
        <v>96</v>
      </c>
      <c r="E281" s="12" t="s">
        <v>384</v>
      </c>
      <c r="F281" s="321">
        <v>1.0</v>
      </c>
      <c r="G281" s="12" t="s">
        <v>236</v>
      </c>
      <c r="H281" s="12" t="s">
        <v>265</v>
      </c>
      <c r="I281" s="321">
        <v>9.0</v>
      </c>
    </row>
    <row r="282">
      <c r="A282" s="12" t="s">
        <v>907</v>
      </c>
      <c r="B282" s="12" t="s">
        <v>1063</v>
      </c>
      <c r="C282" s="12" t="s">
        <v>1064</v>
      </c>
      <c r="D282" s="12" t="s">
        <v>96</v>
      </c>
      <c r="E282" s="12" t="s">
        <v>384</v>
      </c>
      <c r="F282" s="321">
        <v>1.0</v>
      </c>
      <c r="G282" s="12" t="s">
        <v>236</v>
      </c>
      <c r="H282" s="12" t="s">
        <v>265</v>
      </c>
      <c r="I282" s="321">
        <v>9.0</v>
      </c>
    </row>
    <row r="283">
      <c r="A283" s="12" t="s">
        <v>975</v>
      </c>
      <c r="B283" s="12" t="s">
        <v>1063</v>
      </c>
      <c r="C283" s="12" t="s">
        <v>1064</v>
      </c>
      <c r="D283" s="12" t="s">
        <v>96</v>
      </c>
      <c r="E283" s="12" t="s">
        <v>384</v>
      </c>
      <c r="F283" s="321">
        <v>1.0</v>
      </c>
      <c r="G283" s="12" t="s">
        <v>236</v>
      </c>
      <c r="H283" s="12" t="s">
        <v>265</v>
      </c>
      <c r="I283" s="321">
        <v>9.0</v>
      </c>
    </row>
    <row r="284">
      <c r="A284" s="12" t="s">
        <v>955</v>
      </c>
      <c r="B284" s="12" t="s">
        <v>1063</v>
      </c>
      <c r="C284" s="12" t="s">
        <v>1064</v>
      </c>
      <c r="D284" s="12" t="s">
        <v>96</v>
      </c>
      <c r="E284" s="12" t="s">
        <v>384</v>
      </c>
      <c r="F284" s="321">
        <v>1.0</v>
      </c>
      <c r="G284" s="12" t="s">
        <v>236</v>
      </c>
      <c r="H284" s="12" t="s">
        <v>265</v>
      </c>
      <c r="I284" s="321">
        <v>9.0</v>
      </c>
    </row>
    <row r="285">
      <c r="A285" s="12" t="s">
        <v>931</v>
      </c>
      <c r="B285" s="12" t="s">
        <v>1063</v>
      </c>
      <c r="C285" s="12" t="s">
        <v>1064</v>
      </c>
      <c r="D285" s="12" t="s">
        <v>96</v>
      </c>
      <c r="E285" s="12" t="s">
        <v>384</v>
      </c>
      <c r="F285" s="321">
        <v>1.0</v>
      </c>
      <c r="G285" s="12" t="s">
        <v>236</v>
      </c>
      <c r="H285" s="12" t="s">
        <v>265</v>
      </c>
      <c r="I285" s="321">
        <v>9.0</v>
      </c>
    </row>
    <row r="286">
      <c r="A286" s="12" t="s">
        <v>924</v>
      </c>
      <c r="B286" s="12" t="s">
        <v>1063</v>
      </c>
      <c r="C286" s="12" t="s">
        <v>1064</v>
      </c>
      <c r="D286" s="12" t="s">
        <v>96</v>
      </c>
      <c r="E286" s="12" t="s">
        <v>384</v>
      </c>
      <c r="F286" s="321">
        <v>2.0</v>
      </c>
      <c r="G286" s="12" t="s">
        <v>236</v>
      </c>
      <c r="H286" s="12" t="s">
        <v>265</v>
      </c>
      <c r="I286" s="321">
        <v>9.0</v>
      </c>
    </row>
    <row r="287">
      <c r="A287" s="12" t="s">
        <v>667</v>
      </c>
      <c r="B287" s="12" t="s">
        <v>1065</v>
      </c>
      <c r="C287" s="12" t="s">
        <v>1066</v>
      </c>
      <c r="D287" s="12" t="s">
        <v>96</v>
      </c>
      <c r="E287" s="12" t="s">
        <v>336</v>
      </c>
      <c r="F287" s="321">
        <v>1.0</v>
      </c>
      <c r="G287" s="12" t="s">
        <v>236</v>
      </c>
      <c r="H287" s="12" t="s">
        <v>265</v>
      </c>
      <c r="I287" s="321">
        <v>3.0</v>
      </c>
    </row>
    <row r="288">
      <c r="A288" s="12" t="s">
        <v>935</v>
      </c>
      <c r="B288" s="12" t="s">
        <v>1065</v>
      </c>
      <c r="C288" s="12" t="s">
        <v>1067</v>
      </c>
      <c r="D288" s="12" t="s">
        <v>96</v>
      </c>
      <c r="E288" s="12" t="s">
        <v>336</v>
      </c>
      <c r="F288" s="321">
        <v>1.0</v>
      </c>
      <c r="G288" s="12" t="s">
        <v>236</v>
      </c>
      <c r="H288" s="12" t="s">
        <v>265</v>
      </c>
      <c r="I288" s="321">
        <v>3.0</v>
      </c>
    </row>
    <row r="289">
      <c r="A289" s="12" t="s">
        <v>936</v>
      </c>
      <c r="B289" s="12" t="s">
        <v>1065</v>
      </c>
      <c r="C289" s="12" t="s">
        <v>1066</v>
      </c>
      <c r="D289" s="12" t="s">
        <v>96</v>
      </c>
      <c r="E289" s="12" t="s">
        <v>336</v>
      </c>
      <c r="F289" s="321">
        <v>2.0</v>
      </c>
      <c r="G289" s="12" t="s">
        <v>236</v>
      </c>
      <c r="H289" s="12" t="s">
        <v>265</v>
      </c>
      <c r="I289" s="321">
        <v>3.0</v>
      </c>
    </row>
    <row r="290">
      <c r="A290" s="12" t="s">
        <v>669</v>
      </c>
      <c r="B290" s="12" t="s">
        <v>1068</v>
      </c>
      <c r="C290" s="12" t="s">
        <v>1069</v>
      </c>
      <c r="D290" s="12" t="s">
        <v>96</v>
      </c>
      <c r="E290" s="12" t="s">
        <v>353</v>
      </c>
      <c r="F290" s="321">
        <v>1.0</v>
      </c>
      <c r="G290" s="12" t="s">
        <v>236</v>
      </c>
      <c r="H290" s="12" t="s">
        <v>265</v>
      </c>
      <c r="I290" s="321">
        <v>5.0</v>
      </c>
    </row>
    <row r="291">
      <c r="A291" s="12" t="s">
        <v>943</v>
      </c>
      <c r="B291" s="12" t="s">
        <v>1068</v>
      </c>
      <c r="C291" s="12" t="s">
        <v>1070</v>
      </c>
      <c r="D291" s="12" t="s">
        <v>96</v>
      </c>
      <c r="E291" s="12" t="s">
        <v>353</v>
      </c>
      <c r="F291" s="321">
        <v>1.0</v>
      </c>
      <c r="G291" s="12" t="s">
        <v>236</v>
      </c>
      <c r="H291" s="12" t="s">
        <v>265</v>
      </c>
      <c r="I291" s="321">
        <v>5.0</v>
      </c>
    </row>
    <row r="292">
      <c r="A292" s="12" t="s">
        <v>670</v>
      </c>
      <c r="B292" s="12" t="s">
        <v>1071</v>
      </c>
      <c r="C292" s="12" t="s">
        <v>1072</v>
      </c>
      <c r="D292" s="12" t="s">
        <v>96</v>
      </c>
      <c r="E292" s="12" t="s">
        <v>381</v>
      </c>
      <c r="F292" s="321">
        <v>1.0</v>
      </c>
      <c r="G292" s="12" t="s">
        <v>236</v>
      </c>
      <c r="H292" s="12" t="s">
        <v>265</v>
      </c>
      <c r="I292" s="321">
        <v>8.0</v>
      </c>
    </row>
    <row r="293">
      <c r="A293" s="12" t="s">
        <v>666</v>
      </c>
      <c r="B293" s="12" t="s">
        <v>1071</v>
      </c>
      <c r="C293" s="12" t="s">
        <v>1072</v>
      </c>
      <c r="D293" s="12" t="s">
        <v>96</v>
      </c>
      <c r="E293" s="12" t="s">
        <v>381</v>
      </c>
      <c r="F293" s="321">
        <v>1.0</v>
      </c>
      <c r="G293" s="12" t="s">
        <v>236</v>
      </c>
      <c r="H293" s="12" t="s">
        <v>265</v>
      </c>
      <c r="I293" s="321">
        <v>8.0</v>
      </c>
    </row>
    <row r="294">
      <c r="A294" s="12" t="s">
        <v>696</v>
      </c>
      <c r="B294" s="12" t="s">
        <v>1071</v>
      </c>
      <c r="C294" s="12" t="s">
        <v>1072</v>
      </c>
      <c r="D294" s="12" t="s">
        <v>96</v>
      </c>
      <c r="E294" s="12" t="s">
        <v>381</v>
      </c>
      <c r="F294" s="321">
        <v>1.0</v>
      </c>
      <c r="G294" s="12" t="s">
        <v>236</v>
      </c>
      <c r="H294" s="12" t="s">
        <v>265</v>
      </c>
      <c r="I294" s="321">
        <v>8.0</v>
      </c>
    </row>
    <row r="295">
      <c r="A295" s="12" t="s">
        <v>947</v>
      </c>
      <c r="B295" s="12" t="s">
        <v>1071</v>
      </c>
      <c r="C295" s="12" t="s">
        <v>1073</v>
      </c>
      <c r="D295" s="12" t="s">
        <v>96</v>
      </c>
      <c r="E295" s="12" t="s">
        <v>381</v>
      </c>
      <c r="F295" s="321">
        <v>1.0</v>
      </c>
      <c r="G295" s="12" t="s">
        <v>236</v>
      </c>
      <c r="H295" s="12" t="s">
        <v>265</v>
      </c>
      <c r="I295" s="321">
        <v>8.0</v>
      </c>
    </row>
    <row r="296">
      <c r="A296" s="12" t="s">
        <v>931</v>
      </c>
      <c r="B296" s="12" t="s">
        <v>1071</v>
      </c>
      <c r="C296" s="12" t="s">
        <v>1073</v>
      </c>
      <c r="D296" s="12" t="s">
        <v>96</v>
      </c>
      <c r="E296" s="12" t="s">
        <v>381</v>
      </c>
      <c r="F296" s="321">
        <v>1.0</v>
      </c>
      <c r="G296" s="12" t="s">
        <v>236</v>
      </c>
      <c r="H296" s="12" t="s">
        <v>265</v>
      </c>
      <c r="I296" s="321">
        <v>8.0</v>
      </c>
    </row>
    <row r="297">
      <c r="A297" s="12" t="s">
        <v>1035</v>
      </c>
      <c r="B297" s="12" t="s">
        <v>1071</v>
      </c>
      <c r="C297" s="12" t="s">
        <v>1073</v>
      </c>
      <c r="D297" s="12" t="s">
        <v>96</v>
      </c>
      <c r="E297" s="12" t="s">
        <v>381</v>
      </c>
      <c r="F297" s="321">
        <v>1.0</v>
      </c>
      <c r="G297" s="12" t="s">
        <v>236</v>
      </c>
      <c r="H297" s="12" t="s">
        <v>265</v>
      </c>
      <c r="I297" s="321">
        <v>8.0</v>
      </c>
    </row>
    <row r="298">
      <c r="A298" s="12" t="s">
        <v>948</v>
      </c>
      <c r="B298" s="12" t="s">
        <v>1071</v>
      </c>
      <c r="C298" s="12" t="s">
        <v>1074</v>
      </c>
      <c r="D298" s="12" t="s">
        <v>96</v>
      </c>
      <c r="E298" s="12" t="s">
        <v>381</v>
      </c>
      <c r="F298" s="321">
        <v>1.0</v>
      </c>
      <c r="G298" s="12" t="s">
        <v>236</v>
      </c>
      <c r="H298" s="12" t="s">
        <v>265</v>
      </c>
      <c r="I298" s="321">
        <v>8.0</v>
      </c>
    </row>
    <row r="299">
      <c r="A299" s="12" t="s">
        <v>932</v>
      </c>
      <c r="B299" s="12" t="s">
        <v>1071</v>
      </c>
      <c r="C299" s="12" t="s">
        <v>1074</v>
      </c>
      <c r="D299" s="12" t="s">
        <v>96</v>
      </c>
      <c r="E299" s="12" t="s">
        <v>381</v>
      </c>
      <c r="F299" s="321">
        <v>1.0</v>
      </c>
      <c r="G299" s="12" t="s">
        <v>236</v>
      </c>
      <c r="H299" s="12" t="s">
        <v>265</v>
      </c>
      <c r="I299" s="321">
        <v>8.0</v>
      </c>
    </row>
    <row r="300">
      <c r="A300" s="12" t="s">
        <v>1036</v>
      </c>
      <c r="B300" s="12" t="s">
        <v>1071</v>
      </c>
      <c r="C300" s="12" t="s">
        <v>1074</v>
      </c>
      <c r="D300" s="12" t="s">
        <v>96</v>
      </c>
      <c r="E300" s="12" t="s">
        <v>381</v>
      </c>
      <c r="F300" s="321">
        <v>1.0</v>
      </c>
      <c r="G300" s="12" t="s">
        <v>236</v>
      </c>
      <c r="H300" s="12" t="s">
        <v>265</v>
      </c>
      <c r="I300" s="321">
        <v>8.0</v>
      </c>
    </row>
    <row r="301">
      <c r="A301" s="12" t="s">
        <v>668</v>
      </c>
      <c r="B301" s="12" t="s">
        <v>1075</v>
      </c>
      <c r="C301" s="12" t="s">
        <v>1076</v>
      </c>
      <c r="D301" s="12" t="s">
        <v>96</v>
      </c>
      <c r="E301" s="12" t="s">
        <v>373</v>
      </c>
      <c r="F301" s="321">
        <v>1.0</v>
      </c>
      <c r="G301" s="12" t="s">
        <v>236</v>
      </c>
      <c r="H301" s="12" t="s">
        <v>265</v>
      </c>
      <c r="I301" s="321">
        <v>7.0</v>
      </c>
    </row>
    <row r="302">
      <c r="A302" s="12" t="s">
        <v>939</v>
      </c>
      <c r="B302" s="12" t="s">
        <v>1075</v>
      </c>
      <c r="C302" s="12" t="s">
        <v>1076</v>
      </c>
      <c r="D302" s="12" t="s">
        <v>96</v>
      </c>
      <c r="E302" s="12" t="s">
        <v>373</v>
      </c>
      <c r="F302" s="321">
        <v>2.0</v>
      </c>
      <c r="G302" s="12" t="s">
        <v>236</v>
      </c>
      <c r="H302" s="12" t="s">
        <v>265</v>
      </c>
      <c r="I302" s="321">
        <v>7.0</v>
      </c>
    </row>
    <row r="303">
      <c r="A303" s="12" t="s">
        <v>940</v>
      </c>
      <c r="B303" s="12" t="s">
        <v>1075</v>
      </c>
      <c r="C303" s="12" t="s">
        <v>1076</v>
      </c>
      <c r="D303" s="12" t="s">
        <v>96</v>
      </c>
      <c r="E303" s="12" t="s">
        <v>373</v>
      </c>
      <c r="F303" s="321">
        <v>2.0</v>
      </c>
      <c r="G303" s="12" t="s">
        <v>236</v>
      </c>
      <c r="H303" s="12" t="s">
        <v>265</v>
      </c>
      <c r="I303" s="321">
        <v>7.0</v>
      </c>
    </row>
    <row r="304">
      <c r="A304" s="12" t="s">
        <v>668</v>
      </c>
      <c r="B304" s="12" t="s">
        <v>1077</v>
      </c>
      <c r="C304" s="12" t="s">
        <v>1078</v>
      </c>
      <c r="D304" s="12" t="s">
        <v>96</v>
      </c>
      <c r="E304" s="12" t="s">
        <v>378</v>
      </c>
      <c r="F304" s="321">
        <v>1.0</v>
      </c>
      <c r="G304" s="12" t="s">
        <v>236</v>
      </c>
      <c r="H304" s="12" t="s">
        <v>265</v>
      </c>
      <c r="I304" s="321">
        <v>8.0</v>
      </c>
    </row>
    <row r="305">
      <c r="A305" s="12" t="s">
        <v>685</v>
      </c>
      <c r="B305" s="12" t="s">
        <v>1077</v>
      </c>
      <c r="C305" s="12" t="s">
        <v>1078</v>
      </c>
      <c r="D305" s="12" t="s">
        <v>96</v>
      </c>
      <c r="E305" s="12" t="s">
        <v>378</v>
      </c>
      <c r="F305" s="321">
        <v>1.0</v>
      </c>
      <c r="G305" s="12" t="s">
        <v>236</v>
      </c>
      <c r="H305" s="12" t="s">
        <v>265</v>
      </c>
      <c r="I305" s="321">
        <v>8.0</v>
      </c>
    </row>
    <row r="306">
      <c r="A306" s="12" t="s">
        <v>683</v>
      </c>
      <c r="B306" s="12" t="s">
        <v>1077</v>
      </c>
      <c r="C306" s="12" t="s">
        <v>1078</v>
      </c>
      <c r="D306" s="12" t="s">
        <v>96</v>
      </c>
      <c r="E306" s="12" t="s">
        <v>378</v>
      </c>
      <c r="F306" s="321">
        <v>1.0</v>
      </c>
      <c r="G306" s="12" t="s">
        <v>236</v>
      </c>
      <c r="H306" s="12" t="s">
        <v>265</v>
      </c>
      <c r="I306" s="321">
        <v>8.0</v>
      </c>
    </row>
    <row r="307">
      <c r="A307" s="12" t="s">
        <v>939</v>
      </c>
      <c r="B307" s="12" t="s">
        <v>1077</v>
      </c>
      <c r="C307" s="12" t="s">
        <v>1078</v>
      </c>
      <c r="D307" s="12" t="s">
        <v>96</v>
      </c>
      <c r="E307" s="12" t="s">
        <v>378</v>
      </c>
      <c r="F307" s="321">
        <v>1.0</v>
      </c>
      <c r="G307" s="12" t="s">
        <v>236</v>
      </c>
      <c r="H307" s="12" t="s">
        <v>265</v>
      </c>
      <c r="I307" s="321">
        <v>8.0</v>
      </c>
    </row>
    <row r="308">
      <c r="A308" s="12" t="s">
        <v>1003</v>
      </c>
      <c r="B308" s="12" t="s">
        <v>1077</v>
      </c>
      <c r="C308" s="12" t="s">
        <v>1078</v>
      </c>
      <c r="D308" s="12" t="s">
        <v>96</v>
      </c>
      <c r="E308" s="12" t="s">
        <v>378</v>
      </c>
      <c r="F308" s="321">
        <v>2.0</v>
      </c>
      <c r="G308" s="12" t="s">
        <v>236</v>
      </c>
      <c r="H308" s="12" t="s">
        <v>265</v>
      </c>
      <c r="I308" s="321">
        <v>8.0</v>
      </c>
    </row>
    <row r="309">
      <c r="A309" s="12" t="s">
        <v>995</v>
      </c>
      <c r="B309" s="12" t="s">
        <v>1077</v>
      </c>
      <c r="C309" s="12" t="s">
        <v>1078</v>
      </c>
      <c r="D309" s="12" t="s">
        <v>96</v>
      </c>
      <c r="E309" s="12" t="s">
        <v>378</v>
      </c>
      <c r="F309" s="321">
        <v>2.0</v>
      </c>
      <c r="G309" s="12" t="s">
        <v>236</v>
      </c>
      <c r="H309" s="12" t="s">
        <v>265</v>
      </c>
      <c r="I309" s="321">
        <v>8.0</v>
      </c>
    </row>
    <row r="310">
      <c r="A310" s="12" t="s">
        <v>940</v>
      </c>
      <c r="B310" s="12" t="s">
        <v>1077</v>
      </c>
      <c r="C310" s="12" t="s">
        <v>1078</v>
      </c>
      <c r="D310" s="12" t="s">
        <v>96</v>
      </c>
      <c r="E310" s="12" t="s">
        <v>378</v>
      </c>
      <c r="F310" s="321">
        <v>2.0</v>
      </c>
      <c r="G310" s="12" t="s">
        <v>236</v>
      </c>
      <c r="H310" s="12" t="s">
        <v>265</v>
      </c>
      <c r="I310" s="321">
        <v>8.0</v>
      </c>
    </row>
    <row r="311">
      <c r="A311" s="12" t="s">
        <v>1004</v>
      </c>
      <c r="B311" s="12" t="s">
        <v>1077</v>
      </c>
      <c r="C311" s="12" t="s">
        <v>1078</v>
      </c>
      <c r="D311" s="12" t="s">
        <v>96</v>
      </c>
      <c r="E311" s="12" t="s">
        <v>378</v>
      </c>
      <c r="F311" s="321">
        <v>2.0</v>
      </c>
      <c r="G311" s="12" t="s">
        <v>236</v>
      </c>
      <c r="H311" s="12" t="s">
        <v>265</v>
      </c>
      <c r="I311" s="321">
        <v>8.0</v>
      </c>
    </row>
    <row r="312">
      <c r="A312" s="12" t="s">
        <v>996</v>
      </c>
      <c r="B312" s="12" t="s">
        <v>1077</v>
      </c>
      <c r="C312" s="12" t="s">
        <v>1078</v>
      </c>
      <c r="D312" s="12" t="s">
        <v>96</v>
      </c>
      <c r="E312" s="12" t="s">
        <v>378</v>
      </c>
      <c r="F312" s="321">
        <v>2.0</v>
      </c>
      <c r="G312" s="12" t="s">
        <v>236</v>
      </c>
      <c r="H312" s="12" t="s">
        <v>265</v>
      </c>
      <c r="I312" s="321">
        <v>8.0</v>
      </c>
    </row>
    <row r="313">
      <c r="A313" s="12" t="s">
        <v>668</v>
      </c>
      <c r="B313" s="12" t="s">
        <v>1079</v>
      </c>
      <c r="C313" s="12" t="s">
        <v>1080</v>
      </c>
      <c r="D313" s="12" t="s">
        <v>96</v>
      </c>
      <c r="E313" s="12" t="s">
        <v>352</v>
      </c>
      <c r="F313" s="321">
        <v>1.0</v>
      </c>
      <c r="G313" s="12" t="s">
        <v>236</v>
      </c>
      <c r="H313" s="12" t="s">
        <v>265</v>
      </c>
      <c r="I313" s="321">
        <v>5.0</v>
      </c>
    </row>
    <row r="314">
      <c r="A314" s="12" t="s">
        <v>681</v>
      </c>
      <c r="B314" s="12" t="s">
        <v>1081</v>
      </c>
      <c r="C314" s="12" t="s">
        <v>1082</v>
      </c>
      <c r="D314" s="12" t="s">
        <v>96</v>
      </c>
      <c r="E314" s="12" t="s">
        <v>355</v>
      </c>
      <c r="F314" s="321">
        <v>1.0</v>
      </c>
      <c r="G314" s="12" t="s">
        <v>236</v>
      </c>
      <c r="H314" s="12" t="s">
        <v>265</v>
      </c>
      <c r="I314" s="321">
        <v>5.0</v>
      </c>
    </row>
    <row r="315">
      <c r="A315" s="12" t="s">
        <v>801</v>
      </c>
      <c r="B315" s="12" t="s">
        <v>1081</v>
      </c>
      <c r="C315" s="12" t="s">
        <v>1082</v>
      </c>
      <c r="D315" s="12" t="s">
        <v>96</v>
      </c>
      <c r="E315" s="12" t="s">
        <v>355</v>
      </c>
      <c r="F315" s="321">
        <v>1.0</v>
      </c>
      <c r="G315" s="12" t="s">
        <v>236</v>
      </c>
      <c r="H315" s="12" t="s">
        <v>265</v>
      </c>
      <c r="I315" s="321">
        <v>5.0</v>
      </c>
    </row>
    <row r="316">
      <c r="A316" s="12" t="s">
        <v>805</v>
      </c>
      <c r="B316" s="12" t="s">
        <v>1081</v>
      </c>
      <c r="C316" s="12" t="s">
        <v>1082</v>
      </c>
      <c r="D316" s="12" t="s">
        <v>96</v>
      </c>
      <c r="E316" s="12" t="s">
        <v>355</v>
      </c>
      <c r="F316" s="321">
        <v>2.0</v>
      </c>
      <c r="G316" s="12" t="s">
        <v>236</v>
      </c>
      <c r="H316" s="12" t="s">
        <v>265</v>
      </c>
      <c r="I316" s="321">
        <v>5.0</v>
      </c>
    </row>
    <row r="317">
      <c r="A317" s="12" t="s">
        <v>806</v>
      </c>
      <c r="B317" s="12" t="s">
        <v>1081</v>
      </c>
      <c r="C317" s="12" t="s">
        <v>1082</v>
      </c>
      <c r="D317" s="12" t="s">
        <v>96</v>
      </c>
      <c r="E317" s="12" t="s">
        <v>355</v>
      </c>
      <c r="F317" s="321">
        <v>3.0</v>
      </c>
      <c r="G317" s="12" t="s">
        <v>236</v>
      </c>
      <c r="H317" s="12" t="s">
        <v>265</v>
      </c>
      <c r="I317" s="321">
        <v>5.0</v>
      </c>
    </row>
    <row r="318">
      <c r="A318" s="12" t="s">
        <v>807</v>
      </c>
      <c r="B318" s="12" t="s">
        <v>1081</v>
      </c>
      <c r="C318" s="12" t="s">
        <v>1082</v>
      </c>
      <c r="D318" s="12" t="s">
        <v>96</v>
      </c>
      <c r="E318" s="12" t="s">
        <v>355</v>
      </c>
      <c r="F318" s="321">
        <v>4.0</v>
      </c>
      <c r="G318" s="12" t="s">
        <v>236</v>
      </c>
      <c r="H318" s="12" t="s">
        <v>265</v>
      </c>
      <c r="I318" s="321">
        <v>5.0</v>
      </c>
    </row>
    <row r="319">
      <c r="A319" s="12" t="s">
        <v>808</v>
      </c>
      <c r="B319" s="12" t="s">
        <v>1081</v>
      </c>
      <c r="C319" s="12" t="s">
        <v>1082</v>
      </c>
      <c r="D319" s="12" t="s">
        <v>96</v>
      </c>
      <c r="E319" s="12" t="s">
        <v>355</v>
      </c>
      <c r="F319" s="321">
        <v>5.0</v>
      </c>
      <c r="G319" s="12" t="s">
        <v>236</v>
      </c>
      <c r="H319" s="12" t="s">
        <v>265</v>
      </c>
      <c r="I319" s="321">
        <v>5.0</v>
      </c>
    </row>
    <row r="320">
      <c r="A320" s="12" t="s">
        <v>809</v>
      </c>
      <c r="B320" s="12" t="s">
        <v>1081</v>
      </c>
      <c r="C320" s="12" t="s">
        <v>1082</v>
      </c>
      <c r="D320" s="12" t="s">
        <v>96</v>
      </c>
      <c r="E320" s="12" t="s">
        <v>355</v>
      </c>
      <c r="F320" s="321">
        <v>6.0</v>
      </c>
      <c r="G320" s="12" t="s">
        <v>236</v>
      </c>
      <c r="H320" s="12" t="s">
        <v>265</v>
      </c>
      <c r="I320" s="321">
        <v>5.0</v>
      </c>
    </row>
    <row r="321">
      <c r="A321" s="12" t="s">
        <v>810</v>
      </c>
      <c r="B321" s="12" t="s">
        <v>1081</v>
      </c>
      <c r="C321" s="12" t="s">
        <v>1082</v>
      </c>
      <c r="D321" s="12" t="s">
        <v>96</v>
      </c>
      <c r="E321" s="12" t="s">
        <v>355</v>
      </c>
      <c r="F321" s="321">
        <v>7.0</v>
      </c>
      <c r="G321" s="12" t="s">
        <v>236</v>
      </c>
      <c r="H321" s="12" t="s">
        <v>265</v>
      </c>
      <c r="I321" s="321">
        <v>5.0</v>
      </c>
    </row>
    <row r="322">
      <c r="A322" s="12" t="s">
        <v>811</v>
      </c>
      <c r="B322" s="12" t="s">
        <v>1081</v>
      </c>
      <c r="C322" s="12" t="s">
        <v>1082</v>
      </c>
      <c r="D322" s="12" t="s">
        <v>96</v>
      </c>
      <c r="E322" s="12" t="s">
        <v>355</v>
      </c>
      <c r="F322" s="321">
        <v>8.0</v>
      </c>
      <c r="G322" s="12" t="s">
        <v>236</v>
      </c>
      <c r="H322" s="12" t="s">
        <v>265</v>
      </c>
      <c r="I322" s="321">
        <v>5.0</v>
      </c>
    </row>
    <row r="323">
      <c r="A323" s="12" t="s">
        <v>812</v>
      </c>
      <c r="B323" s="12" t="s">
        <v>1081</v>
      </c>
      <c r="C323" s="12" t="s">
        <v>1082</v>
      </c>
      <c r="D323" s="12" t="s">
        <v>96</v>
      </c>
      <c r="E323" s="12" t="s">
        <v>355</v>
      </c>
      <c r="F323" s="321">
        <v>9.0</v>
      </c>
      <c r="G323" s="12" t="s">
        <v>236</v>
      </c>
      <c r="H323" s="12" t="s">
        <v>265</v>
      </c>
      <c r="I323" s="321">
        <v>5.0</v>
      </c>
    </row>
    <row r="324">
      <c r="A324" s="12" t="s">
        <v>813</v>
      </c>
      <c r="B324" s="12" t="s">
        <v>1081</v>
      </c>
      <c r="C324" s="12" t="s">
        <v>1082</v>
      </c>
      <c r="D324" s="12" t="s">
        <v>96</v>
      </c>
      <c r="E324" s="12" t="s">
        <v>355</v>
      </c>
      <c r="F324" s="321">
        <v>10.0</v>
      </c>
      <c r="G324" s="12" t="s">
        <v>236</v>
      </c>
      <c r="H324" s="12" t="s">
        <v>265</v>
      </c>
      <c r="I324" s="321">
        <v>5.0</v>
      </c>
    </row>
    <row r="325">
      <c r="A325" s="12" t="s">
        <v>818</v>
      </c>
      <c r="B325" s="12" t="s">
        <v>1081</v>
      </c>
      <c r="C325" s="12" t="s">
        <v>1082</v>
      </c>
      <c r="D325" s="12" t="s">
        <v>96</v>
      </c>
      <c r="E325" s="12" t="s">
        <v>355</v>
      </c>
      <c r="F325" s="321">
        <v>2.0</v>
      </c>
      <c r="G325" s="12" t="s">
        <v>236</v>
      </c>
      <c r="H325" s="12" t="s">
        <v>265</v>
      </c>
      <c r="I325" s="321">
        <v>5.0</v>
      </c>
    </row>
    <row r="326">
      <c r="A326" s="12" t="s">
        <v>821</v>
      </c>
      <c r="B326" s="12" t="s">
        <v>1081</v>
      </c>
      <c r="C326" s="12" t="s">
        <v>1082</v>
      </c>
      <c r="D326" s="12" t="s">
        <v>96</v>
      </c>
      <c r="E326" s="12" t="s">
        <v>355</v>
      </c>
      <c r="F326" s="321">
        <v>4.0</v>
      </c>
      <c r="G326" s="12" t="s">
        <v>236</v>
      </c>
      <c r="H326" s="12" t="s">
        <v>265</v>
      </c>
      <c r="I326" s="321">
        <v>5.0</v>
      </c>
    </row>
    <row r="327">
      <c r="A327" s="12" t="s">
        <v>822</v>
      </c>
      <c r="B327" s="12" t="s">
        <v>1081</v>
      </c>
      <c r="C327" s="12" t="s">
        <v>1082</v>
      </c>
      <c r="D327" s="12" t="s">
        <v>96</v>
      </c>
      <c r="E327" s="12" t="s">
        <v>355</v>
      </c>
      <c r="F327" s="321">
        <v>6.0</v>
      </c>
      <c r="G327" s="12" t="s">
        <v>236</v>
      </c>
      <c r="H327" s="12" t="s">
        <v>265</v>
      </c>
      <c r="I327" s="321">
        <v>5.0</v>
      </c>
    </row>
    <row r="328">
      <c r="A328" s="12" t="s">
        <v>823</v>
      </c>
      <c r="B328" s="12" t="s">
        <v>1081</v>
      </c>
      <c r="C328" s="12" t="s">
        <v>1082</v>
      </c>
      <c r="D328" s="12" t="s">
        <v>96</v>
      </c>
      <c r="E328" s="12" t="s">
        <v>355</v>
      </c>
      <c r="F328" s="321">
        <v>8.0</v>
      </c>
      <c r="G328" s="12" t="s">
        <v>236</v>
      </c>
      <c r="H328" s="12" t="s">
        <v>265</v>
      </c>
      <c r="I328" s="321">
        <v>5.0</v>
      </c>
    </row>
    <row r="329">
      <c r="A329" s="12" t="s">
        <v>824</v>
      </c>
      <c r="B329" s="12" t="s">
        <v>1081</v>
      </c>
      <c r="C329" s="12" t="s">
        <v>1082</v>
      </c>
      <c r="D329" s="12" t="s">
        <v>96</v>
      </c>
      <c r="E329" s="12" t="s">
        <v>355</v>
      </c>
      <c r="F329" s="321">
        <v>10.0</v>
      </c>
      <c r="G329" s="12" t="s">
        <v>236</v>
      </c>
      <c r="H329" s="12" t="s">
        <v>265</v>
      </c>
      <c r="I329" s="321">
        <v>5.0</v>
      </c>
    </row>
    <row r="330">
      <c r="A330" s="12" t="s">
        <v>825</v>
      </c>
      <c r="B330" s="12" t="s">
        <v>1081</v>
      </c>
      <c r="C330" s="12" t="s">
        <v>1082</v>
      </c>
      <c r="D330" s="12" t="s">
        <v>96</v>
      </c>
      <c r="E330" s="12" t="s">
        <v>355</v>
      </c>
      <c r="F330" s="321">
        <v>12.0</v>
      </c>
      <c r="G330" s="12" t="s">
        <v>236</v>
      </c>
      <c r="H330" s="12" t="s">
        <v>265</v>
      </c>
      <c r="I330" s="321">
        <v>5.0</v>
      </c>
    </row>
    <row r="331">
      <c r="A331" s="12" t="s">
        <v>826</v>
      </c>
      <c r="B331" s="12" t="s">
        <v>1081</v>
      </c>
      <c r="C331" s="12" t="s">
        <v>1082</v>
      </c>
      <c r="D331" s="12" t="s">
        <v>96</v>
      </c>
      <c r="E331" s="12" t="s">
        <v>355</v>
      </c>
      <c r="F331" s="321">
        <v>14.0</v>
      </c>
      <c r="G331" s="12" t="s">
        <v>236</v>
      </c>
      <c r="H331" s="12" t="s">
        <v>265</v>
      </c>
      <c r="I331" s="321">
        <v>5.0</v>
      </c>
    </row>
    <row r="332">
      <c r="A332" s="12" t="s">
        <v>827</v>
      </c>
      <c r="B332" s="12" t="s">
        <v>1081</v>
      </c>
      <c r="C332" s="12" t="s">
        <v>1082</v>
      </c>
      <c r="D332" s="12" t="s">
        <v>96</v>
      </c>
      <c r="E332" s="12" t="s">
        <v>355</v>
      </c>
      <c r="F332" s="321">
        <v>16.0</v>
      </c>
      <c r="G332" s="12" t="s">
        <v>236</v>
      </c>
      <c r="H332" s="12" t="s">
        <v>265</v>
      </c>
      <c r="I332" s="321">
        <v>5.0</v>
      </c>
    </row>
    <row r="333">
      <c r="A333" s="12" t="s">
        <v>828</v>
      </c>
      <c r="B333" s="12" t="s">
        <v>1081</v>
      </c>
      <c r="C333" s="12" t="s">
        <v>1082</v>
      </c>
      <c r="D333" s="12" t="s">
        <v>96</v>
      </c>
      <c r="E333" s="12" t="s">
        <v>355</v>
      </c>
      <c r="F333" s="321">
        <v>18.0</v>
      </c>
      <c r="G333" s="12" t="s">
        <v>236</v>
      </c>
      <c r="H333" s="12" t="s">
        <v>265</v>
      </c>
      <c r="I333" s="321">
        <v>5.0</v>
      </c>
    </row>
    <row r="334">
      <c r="A334" s="12" t="s">
        <v>829</v>
      </c>
      <c r="B334" s="12" t="s">
        <v>1081</v>
      </c>
      <c r="C334" s="12" t="s">
        <v>1082</v>
      </c>
      <c r="D334" s="12" t="s">
        <v>96</v>
      </c>
      <c r="E334" s="12" t="s">
        <v>355</v>
      </c>
      <c r="F334" s="321">
        <v>20.0</v>
      </c>
      <c r="G334" s="12" t="s">
        <v>236</v>
      </c>
      <c r="H334" s="12" t="s">
        <v>265</v>
      </c>
      <c r="I334" s="321">
        <v>5.0</v>
      </c>
    </row>
    <row r="335">
      <c r="A335" s="12" t="s">
        <v>987</v>
      </c>
      <c r="B335" s="12" t="s">
        <v>1081</v>
      </c>
      <c r="C335" s="12" t="s">
        <v>1082</v>
      </c>
      <c r="D335" s="12" t="s">
        <v>96</v>
      </c>
      <c r="E335" s="12" t="s">
        <v>355</v>
      </c>
      <c r="F335" s="321">
        <v>2.0</v>
      </c>
      <c r="G335" s="12" t="s">
        <v>236</v>
      </c>
      <c r="H335" s="12" t="s">
        <v>265</v>
      </c>
      <c r="I335" s="321">
        <v>5.0</v>
      </c>
    </row>
    <row r="336">
      <c r="A336" s="12" t="s">
        <v>988</v>
      </c>
      <c r="B336" s="12" t="s">
        <v>1081</v>
      </c>
      <c r="C336" s="12" t="s">
        <v>1082</v>
      </c>
      <c r="D336" s="12" t="s">
        <v>96</v>
      </c>
      <c r="E336" s="12" t="s">
        <v>355</v>
      </c>
      <c r="F336" s="321">
        <v>2.0</v>
      </c>
      <c r="G336" s="12" t="s">
        <v>236</v>
      </c>
      <c r="H336" s="12" t="s">
        <v>265</v>
      </c>
      <c r="I336" s="321">
        <v>5.0</v>
      </c>
    </row>
    <row r="337">
      <c r="A337" s="12" t="s">
        <v>681</v>
      </c>
      <c r="B337" s="12" t="s">
        <v>1083</v>
      </c>
      <c r="C337" s="12" t="s">
        <v>1084</v>
      </c>
      <c r="D337" s="12" t="s">
        <v>96</v>
      </c>
      <c r="E337" s="12" t="s">
        <v>379</v>
      </c>
      <c r="F337" s="321">
        <v>1.0</v>
      </c>
      <c r="G337" s="12" t="s">
        <v>236</v>
      </c>
      <c r="H337" s="12" t="s">
        <v>265</v>
      </c>
      <c r="I337" s="321">
        <v>8.0</v>
      </c>
    </row>
    <row r="338">
      <c r="A338" s="12" t="s">
        <v>987</v>
      </c>
      <c r="B338" s="12" t="s">
        <v>1083</v>
      </c>
      <c r="C338" s="12" t="s">
        <v>1085</v>
      </c>
      <c r="D338" s="12" t="s">
        <v>96</v>
      </c>
      <c r="E338" s="12" t="s">
        <v>379</v>
      </c>
      <c r="F338" s="321">
        <v>1.0</v>
      </c>
      <c r="G338" s="12" t="s">
        <v>236</v>
      </c>
      <c r="H338" s="12" t="s">
        <v>265</v>
      </c>
      <c r="I338" s="321">
        <v>8.0</v>
      </c>
    </row>
    <row r="339">
      <c r="A339" s="12" t="s">
        <v>988</v>
      </c>
      <c r="B339" s="12" t="s">
        <v>1083</v>
      </c>
      <c r="C339" s="12" t="s">
        <v>1086</v>
      </c>
      <c r="D339" s="12" t="s">
        <v>96</v>
      </c>
      <c r="E339" s="12" t="s">
        <v>379</v>
      </c>
      <c r="F339" s="321">
        <v>1.0</v>
      </c>
      <c r="G339" s="12" t="s">
        <v>236</v>
      </c>
      <c r="H339" s="12" t="s">
        <v>265</v>
      </c>
      <c r="I339" s="321">
        <v>8.0</v>
      </c>
    </row>
    <row r="340">
      <c r="A340" s="12" t="s">
        <v>684</v>
      </c>
      <c r="B340" s="12" t="s">
        <v>1087</v>
      </c>
      <c r="C340" s="12" t="s">
        <v>1088</v>
      </c>
      <c r="D340" s="12" t="s">
        <v>96</v>
      </c>
      <c r="E340" s="12" t="s">
        <v>395</v>
      </c>
      <c r="F340" s="321">
        <v>1.0</v>
      </c>
      <c r="G340" s="12" t="s">
        <v>236</v>
      </c>
      <c r="H340" s="12" t="s">
        <v>265</v>
      </c>
      <c r="I340" s="321">
        <v>10.0</v>
      </c>
    </row>
    <row r="341">
      <c r="A341" s="12" t="s">
        <v>915</v>
      </c>
      <c r="B341" s="12" t="s">
        <v>1087</v>
      </c>
      <c r="C341" s="12" t="s">
        <v>1088</v>
      </c>
      <c r="D341" s="12" t="s">
        <v>96</v>
      </c>
      <c r="E341" s="12" t="s">
        <v>395</v>
      </c>
      <c r="F341" s="321">
        <v>2.0</v>
      </c>
      <c r="G341" s="12" t="s">
        <v>236</v>
      </c>
      <c r="H341" s="12" t="s">
        <v>265</v>
      </c>
      <c r="I341" s="321">
        <v>10.0</v>
      </c>
    </row>
    <row r="342">
      <c r="A342" s="12" t="s">
        <v>1000</v>
      </c>
      <c r="B342" s="12" t="s">
        <v>1087</v>
      </c>
      <c r="C342" s="12" t="s">
        <v>1088</v>
      </c>
      <c r="D342" s="12" t="s">
        <v>96</v>
      </c>
      <c r="E342" s="12" t="s">
        <v>395</v>
      </c>
      <c r="F342" s="321">
        <v>2.0</v>
      </c>
      <c r="G342" s="12" t="s">
        <v>236</v>
      </c>
      <c r="H342" s="12" t="s">
        <v>265</v>
      </c>
      <c r="I342" s="321">
        <v>10.0</v>
      </c>
    </row>
    <row r="343">
      <c r="A343" s="12" t="s">
        <v>701</v>
      </c>
      <c r="B343" s="12" t="s">
        <v>1089</v>
      </c>
      <c r="C343" s="12" t="s">
        <v>1090</v>
      </c>
      <c r="D343" s="12" t="s">
        <v>96</v>
      </c>
      <c r="E343" s="12" t="s">
        <v>344</v>
      </c>
      <c r="F343" s="321">
        <v>1.0</v>
      </c>
      <c r="G343" s="12" t="s">
        <v>236</v>
      </c>
      <c r="H343" s="12" t="s">
        <v>265</v>
      </c>
      <c r="I343" s="321">
        <v>4.0</v>
      </c>
    </row>
    <row r="344">
      <c r="A344" s="12" t="s">
        <v>999</v>
      </c>
      <c r="B344" s="12" t="s">
        <v>1089</v>
      </c>
      <c r="C344" s="12" t="s">
        <v>1090</v>
      </c>
      <c r="D344" s="12" t="s">
        <v>96</v>
      </c>
      <c r="E344" s="12" t="s">
        <v>344</v>
      </c>
      <c r="F344" s="321">
        <v>1.0</v>
      </c>
      <c r="G344" s="12" t="s">
        <v>236</v>
      </c>
      <c r="H344" s="12" t="s">
        <v>265</v>
      </c>
      <c r="I344" s="321">
        <v>4.0</v>
      </c>
    </row>
    <row r="345">
      <c r="A345" s="12" t="s">
        <v>916</v>
      </c>
      <c r="B345" s="12" t="s">
        <v>1089</v>
      </c>
      <c r="C345" s="12" t="s">
        <v>1090</v>
      </c>
      <c r="D345" s="12" t="s">
        <v>96</v>
      </c>
      <c r="E345" s="12" t="s">
        <v>344</v>
      </c>
      <c r="F345" s="321">
        <v>2.0</v>
      </c>
      <c r="G345" s="12" t="s">
        <v>236</v>
      </c>
      <c r="H345" s="12" t="s">
        <v>265</v>
      </c>
      <c r="I345" s="321">
        <v>4.0</v>
      </c>
    </row>
    <row r="346">
      <c r="A346" s="12" t="s">
        <v>701</v>
      </c>
      <c r="B346" s="12" t="s">
        <v>1091</v>
      </c>
      <c r="C346" s="12" t="s">
        <v>1092</v>
      </c>
      <c r="D346" s="12" t="s">
        <v>96</v>
      </c>
      <c r="E346" s="12" t="s">
        <v>376</v>
      </c>
      <c r="F346" s="321">
        <v>1.0</v>
      </c>
      <c r="G346" s="12" t="s">
        <v>236</v>
      </c>
      <c r="H346" s="12" t="s">
        <v>265</v>
      </c>
      <c r="I346" s="321">
        <v>8.0</v>
      </c>
    </row>
    <row r="347">
      <c r="A347" s="12" t="s">
        <v>915</v>
      </c>
      <c r="B347" s="12" t="s">
        <v>1091</v>
      </c>
      <c r="C347" s="12" t="s">
        <v>1092</v>
      </c>
      <c r="D347" s="12" t="s">
        <v>96</v>
      </c>
      <c r="E347" s="12" t="s">
        <v>376</v>
      </c>
      <c r="F347" s="321">
        <v>1.0</v>
      </c>
      <c r="G347" s="12" t="s">
        <v>236</v>
      </c>
      <c r="H347" s="12" t="s">
        <v>265</v>
      </c>
      <c r="I347" s="321">
        <v>8.0</v>
      </c>
    </row>
    <row r="348">
      <c r="A348" s="12" t="s">
        <v>916</v>
      </c>
      <c r="B348" s="12" t="s">
        <v>1091</v>
      </c>
      <c r="C348" s="12" t="s">
        <v>1092</v>
      </c>
      <c r="D348" s="12" t="s">
        <v>96</v>
      </c>
      <c r="E348" s="12" t="s">
        <v>376</v>
      </c>
      <c r="F348" s="321">
        <v>2.0</v>
      </c>
      <c r="G348" s="12" t="s">
        <v>236</v>
      </c>
      <c r="H348" s="12" t="s">
        <v>265</v>
      </c>
      <c r="I348" s="321">
        <v>8.0</v>
      </c>
    </row>
    <row r="349">
      <c r="A349" s="12" t="s">
        <v>673</v>
      </c>
      <c r="B349" s="12" t="s">
        <v>1093</v>
      </c>
      <c r="C349" s="12" t="s">
        <v>1094</v>
      </c>
      <c r="D349" s="12" t="s">
        <v>96</v>
      </c>
      <c r="E349" s="12" t="s">
        <v>372</v>
      </c>
      <c r="F349" s="321">
        <v>1.0</v>
      </c>
      <c r="G349" s="12" t="s">
        <v>236</v>
      </c>
      <c r="H349" s="12" t="s">
        <v>265</v>
      </c>
      <c r="I349" s="321">
        <v>7.0</v>
      </c>
    </row>
    <row r="350">
      <c r="A350" s="12" t="s">
        <v>959</v>
      </c>
      <c r="B350" s="12" t="s">
        <v>1093</v>
      </c>
      <c r="C350" s="12" t="s">
        <v>1094</v>
      </c>
      <c r="D350" s="12" t="s">
        <v>96</v>
      </c>
      <c r="E350" s="12" t="s">
        <v>372</v>
      </c>
      <c r="F350" s="321">
        <v>2.0</v>
      </c>
      <c r="G350" s="12" t="s">
        <v>236</v>
      </c>
      <c r="H350" s="12" t="s">
        <v>265</v>
      </c>
      <c r="I350" s="321">
        <v>7.0</v>
      </c>
    </row>
    <row r="351">
      <c r="A351" s="12" t="s">
        <v>960</v>
      </c>
      <c r="B351" s="12" t="s">
        <v>1093</v>
      </c>
      <c r="C351" s="12" t="s">
        <v>1094</v>
      </c>
      <c r="D351" s="12" t="s">
        <v>96</v>
      </c>
      <c r="E351" s="12" t="s">
        <v>372</v>
      </c>
      <c r="F351" s="321">
        <v>2.0</v>
      </c>
      <c r="G351" s="12" t="s">
        <v>236</v>
      </c>
      <c r="H351" s="12" t="s">
        <v>265</v>
      </c>
      <c r="I351" s="321">
        <v>7.0</v>
      </c>
    </row>
    <row r="352">
      <c r="A352" s="12" t="s">
        <v>673</v>
      </c>
      <c r="B352" s="12" t="s">
        <v>1095</v>
      </c>
      <c r="C352" s="12" t="s">
        <v>1096</v>
      </c>
      <c r="D352" s="12" t="s">
        <v>96</v>
      </c>
      <c r="E352" s="12" t="s">
        <v>397</v>
      </c>
      <c r="F352" s="321">
        <v>1.0</v>
      </c>
      <c r="G352" s="12" t="s">
        <v>236</v>
      </c>
      <c r="H352" s="12" t="s">
        <v>265</v>
      </c>
      <c r="I352" s="321">
        <v>10.0</v>
      </c>
    </row>
    <row r="353">
      <c r="A353" s="12" t="s">
        <v>666</v>
      </c>
      <c r="B353" s="12" t="s">
        <v>1095</v>
      </c>
      <c r="C353" s="12" t="s">
        <v>1096</v>
      </c>
      <c r="D353" s="12" t="s">
        <v>96</v>
      </c>
      <c r="E353" s="12" t="s">
        <v>397</v>
      </c>
      <c r="F353" s="321">
        <v>1.0</v>
      </c>
      <c r="G353" s="12" t="s">
        <v>236</v>
      </c>
      <c r="H353" s="12" t="s">
        <v>265</v>
      </c>
      <c r="I353" s="321">
        <v>10.0</v>
      </c>
    </row>
    <row r="354">
      <c r="A354" s="12" t="s">
        <v>674</v>
      </c>
      <c r="B354" s="12" t="s">
        <v>1097</v>
      </c>
      <c r="C354" s="12" t="s">
        <v>1098</v>
      </c>
      <c r="D354" s="12" t="s">
        <v>96</v>
      </c>
      <c r="E354" s="12" t="s">
        <v>393</v>
      </c>
      <c r="F354" s="321">
        <v>1.0</v>
      </c>
      <c r="G354" s="12" t="s">
        <v>236</v>
      </c>
      <c r="H354" s="12" t="s">
        <v>265</v>
      </c>
      <c r="I354" s="321">
        <v>10.0</v>
      </c>
    </row>
    <row r="355">
      <c r="A355" s="12" t="s">
        <v>963</v>
      </c>
      <c r="B355" s="12" t="s">
        <v>1097</v>
      </c>
      <c r="C355" s="12" t="s">
        <v>1099</v>
      </c>
      <c r="D355" s="12" t="s">
        <v>96</v>
      </c>
      <c r="E355" s="12" t="s">
        <v>393</v>
      </c>
      <c r="F355" s="321">
        <v>1.0</v>
      </c>
      <c r="G355" s="12" t="s">
        <v>236</v>
      </c>
      <c r="H355" s="12" t="s">
        <v>265</v>
      </c>
      <c r="I355" s="321">
        <v>10.0</v>
      </c>
    </row>
    <row r="356">
      <c r="A356" s="12" t="s">
        <v>964</v>
      </c>
      <c r="B356" s="12" t="s">
        <v>1097</v>
      </c>
      <c r="C356" s="12" t="s">
        <v>1098</v>
      </c>
      <c r="D356" s="12" t="s">
        <v>96</v>
      </c>
      <c r="E356" s="12" t="s">
        <v>393</v>
      </c>
      <c r="F356" s="321">
        <v>2.0</v>
      </c>
      <c r="G356" s="12" t="s">
        <v>236</v>
      </c>
      <c r="H356" s="12" t="s">
        <v>265</v>
      </c>
      <c r="I356" s="321">
        <v>10.0</v>
      </c>
    </row>
    <row r="357">
      <c r="A357" s="12" t="s">
        <v>674</v>
      </c>
      <c r="B357" s="12" t="s">
        <v>1100</v>
      </c>
      <c r="C357" s="12" t="s">
        <v>1101</v>
      </c>
      <c r="D357" s="12" t="s">
        <v>96</v>
      </c>
      <c r="E357" s="12" t="s">
        <v>342</v>
      </c>
      <c r="F357" s="321">
        <v>1.0</v>
      </c>
      <c r="G357" s="12" t="s">
        <v>236</v>
      </c>
      <c r="H357" s="12" t="s">
        <v>265</v>
      </c>
      <c r="I357" s="321">
        <v>4.0</v>
      </c>
    </row>
    <row r="358">
      <c r="A358" s="12" t="s">
        <v>672</v>
      </c>
      <c r="B358" s="12" t="s">
        <v>1100</v>
      </c>
      <c r="C358" s="12" t="s">
        <v>1101</v>
      </c>
      <c r="D358" s="12" t="s">
        <v>96</v>
      </c>
      <c r="E358" s="12" t="s">
        <v>342</v>
      </c>
      <c r="F358" s="321">
        <v>1.0</v>
      </c>
      <c r="G358" s="12" t="s">
        <v>236</v>
      </c>
      <c r="H358" s="12" t="s">
        <v>265</v>
      </c>
      <c r="I358" s="321">
        <v>4.0</v>
      </c>
    </row>
    <row r="359">
      <c r="A359" s="12" t="s">
        <v>685</v>
      </c>
      <c r="B359" s="12" t="s">
        <v>1100</v>
      </c>
      <c r="C359" s="12" t="s">
        <v>1101</v>
      </c>
      <c r="D359" s="12" t="s">
        <v>96</v>
      </c>
      <c r="E359" s="12" t="s">
        <v>342</v>
      </c>
      <c r="F359" s="321">
        <v>1.0</v>
      </c>
      <c r="G359" s="12" t="s">
        <v>236</v>
      </c>
      <c r="H359" s="12" t="s">
        <v>265</v>
      </c>
      <c r="I359" s="321">
        <v>4.0</v>
      </c>
    </row>
    <row r="360">
      <c r="A360" s="12" t="s">
        <v>963</v>
      </c>
      <c r="B360" s="12" t="s">
        <v>1100</v>
      </c>
      <c r="C360" s="12" t="s">
        <v>1102</v>
      </c>
      <c r="D360" s="12" t="s">
        <v>96</v>
      </c>
      <c r="E360" s="12" t="s">
        <v>342</v>
      </c>
      <c r="F360" s="321">
        <v>1.0</v>
      </c>
      <c r="G360" s="12" t="s">
        <v>236</v>
      </c>
      <c r="H360" s="12" t="s">
        <v>265</v>
      </c>
      <c r="I360" s="321">
        <v>4.0</v>
      </c>
    </row>
    <row r="361">
      <c r="A361" s="12" t="s">
        <v>955</v>
      </c>
      <c r="B361" s="12" t="s">
        <v>1100</v>
      </c>
      <c r="C361" s="12" t="s">
        <v>1102</v>
      </c>
      <c r="D361" s="12" t="s">
        <v>96</v>
      </c>
      <c r="E361" s="12" t="s">
        <v>342</v>
      </c>
      <c r="F361" s="321">
        <v>1.0</v>
      </c>
      <c r="G361" s="12" t="s">
        <v>236</v>
      </c>
      <c r="H361" s="12" t="s">
        <v>265</v>
      </c>
      <c r="I361" s="321">
        <v>4.0</v>
      </c>
    </row>
    <row r="362">
      <c r="A362" s="12" t="s">
        <v>1003</v>
      </c>
      <c r="B362" s="12" t="s">
        <v>1100</v>
      </c>
      <c r="C362" s="12" t="s">
        <v>1102</v>
      </c>
      <c r="D362" s="12" t="s">
        <v>96</v>
      </c>
      <c r="E362" s="12" t="s">
        <v>342</v>
      </c>
      <c r="F362" s="321">
        <v>1.0</v>
      </c>
      <c r="G362" s="12" t="s">
        <v>236</v>
      </c>
      <c r="H362" s="12" t="s">
        <v>265</v>
      </c>
      <c r="I362" s="321">
        <v>4.0</v>
      </c>
    </row>
    <row r="363">
      <c r="A363" s="12" t="s">
        <v>964</v>
      </c>
      <c r="B363" s="12" t="s">
        <v>1100</v>
      </c>
      <c r="C363" s="12" t="s">
        <v>1101</v>
      </c>
      <c r="D363" s="12" t="s">
        <v>96</v>
      </c>
      <c r="E363" s="12" t="s">
        <v>342</v>
      </c>
      <c r="F363" s="321">
        <v>2.0</v>
      </c>
      <c r="G363" s="12" t="s">
        <v>236</v>
      </c>
      <c r="H363" s="12" t="s">
        <v>265</v>
      </c>
      <c r="I363" s="321">
        <v>4.0</v>
      </c>
    </row>
    <row r="364">
      <c r="A364" s="12" t="s">
        <v>956</v>
      </c>
      <c r="B364" s="12" t="s">
        <v>1100</v>
      </c>
      <c r="C364" s="12" t="s">
        <v>1101</v>
      </c>
      <c r="D364" s="12" t="s">
        <v>96</v>
      </c>
      <c r="E364" s="12" t="s">
        <v>342</v>
      </c>
      <c r="F364" s="321">
        <v>2.0</v>
      </c>
      <c r="G364" s="12" t="s">
        <v>236</v>
      </c>
      <c r="H364" s="12" t="s">
        <v>265</v>
      </c>
      <c r="I364" s="321">
        <v>4.0</v>
      </c>
    </row>
    <row r="365">
      <c r="A365" s="12" t="s">
        <v>1004</v>
      </c>
      <c r="B365" s="12" t="s">
        <v>1100</v>
      </c>
      <c r="C365" s="12" t="s">
        <v>1101</v>
      </c>
      <c r="D365" s="12" t="s">
        <v>96</v>
      </c>
      <c r="E365" s="12" t="s">
        <v>342</v>
      </c>
      <c r="F365" s="321">
        <v>2.0</v>
      </c>
      <c r="G365" s="12" t="s">
        <v>236</v>
      </c>
      <c r="H365" s="12" t="s">
        <v>265</v>
      </c>
      <c r="I365" s="321">
        <v>4.0</v>
      </c>
    </row>
    <row r="366">
      <c r="A366" s="12" t="s">
        <v>679</v>
      </c>
      <c r="B366" s="12" t="s">
        <v>1103</v>
      </c>
      <c r="C366" s="12" t="s">
        <v>1104</v>
      </c>
      <c r="D366" s="12" t="s">
        <v>96</v>
      </c>
      <c r="E366" s="12" t="s">
        <v>364</v>
      </c>
      <c r="F366" s="321">
        <v>1.0</v>
      </c>
      <c r="G366" s="12" t="s">
        <v>236</v>
      </c>
      <c r="H366" s="12" t="s">
        <v>265</v>
      </c>
      <c r="I366" s="321">
        <v>6.0</v>
      </c>
    </row>
    <row r="367">
      <c r="A367" s="12" t="s">
        <v>979</v>
      </c>
      <c r="B367" s="12" t="s">
        <v>1103</v>
      </c>
      <c r="C367" s="12" t="s">
        <v>1104</v>
      </c>
      <c r="D367" s="12" t="s">
        <v>96</v>
      </c>
      <c r="E367" s="12" t="s">
        <v>364</v>
      </c>
      <c r="F367" s="321">
        <v>2.0</v>
      </c>
      <c r="G367" s="12" t="s">
        <v>236</v>
      </c>
      <c r="H367" s="12" t="s">
        <v>265</v>
      </c>
      <c r="I367" s="321">
        <v>6.0</v>
      </c>
    </row>
    <row r="368">
      <c r="A368" s="12" t="s">
        <v>980</v>
      </c>
      <c r="B368" s="12" t="s">
        <v>1103</v>
      </c>
      <c r="C368" s="12" t="s">
        <v>1104</v>
      </c>
      <c r="D368" s="12" t="s">
        <v>96</v>
      </c>
      <c r="E368" s="12" t="s">
        <v>364</v>
      </c>
      <c r="F368" s="321">
        <v>2.0</v>
      </c>
      <c r="G368" s="12" t="s">
        <v>236</v>
      </c>
      <c r="H368" s="12" t="s">
        <v>265</v>
      </c>
      <c r="I368" s="321">
        <v>6.0</v>
      </c>
    </row>
    <row r="369">
      <c r="A369" s="12" t="s">
        <v>680</v>
      </c>
      <c r="B369" s="12" t="s">
        <v>1105</v>
      </c>
      <c r="C369" s="12" t="s">
        <v>1106</v>
      </c>
      <c r="D369" s="12" t="s">
        <v>96</v>
      </c>
      <c r="E369" s="12" t="s">
        <v>146</v>
      </c>
      <c r="F369" s="321">
        <v>1.0</v>
      </c>
      <c r="G369" s="12" t="s">
        <v>236</v>
      </c>
      <c r="H369" s="12" t="s">
        <v>265</v>
      </c>
      <c r="I369" s="321">
        <v>8.0</v>
      </c>
    </row>
    <row r="370">
      <c r="A370" s="12" t="s">
        <v>983</v>
      </c>
      <c r="B370" s="12" t="s">
        <v>1105</v>
      </c>
      <c r="C370" s="12" t="s">
        <v>1107</v>
      </c>
      <c r="D370" s="12" t="s">
        <v>96</v>
      </c>
      <c r="E370" s="12" t="s">
        <v>146</v>
      </c>
      <c r="F370" s="321">
        <v>1.0</v>
      </c>
      <c r="G370" s="12" t="s">
        <v>236</v>
      </c>
      <c r="H370" s="12" t="s">
        <v>265</v>
      </c>
      <c r="I370" s="321">
        <v>8.0</v>
      </c>
    </row>
    <row r="371">
      <c r="A371" s="12" t="s">
        <v>984</v>
      </c>
      <c r="B371" s="12" t="s">
        <v>1105</v>
      </c>
      <c r="C371" s="12" t="s">
        <v>1108</v>
      </c>
      <c r="D371" s="12" t="s">
        <v>96</v>
      </c>
      <c r="E371" s="12" t="s">
        <v>146</v>
      </c>
      <c r="F371" s="321">
        <v>1.0</v>
      </c>
      <c r="G371" s="12" t="s">
        <v>236</v>
      </c>
      <c r="H371" s="12" t="s">
        <v>265</v>
      </c>
      <c r="I371" s="321">
        <v>8.0</v>
      </c>
    </row>
    <row r="372">
      <c r="A372" s="12" t="s">
        <v>671</v>
      </c>
      <c r="B372" s="12" t="s">
        <v>1109</v>
      </c>
      <c r="C372" s="12" t="s">
        <v>1110</v>
      </c>
      <c r="D372" s="12" t="s">
        <v>96</v>
      </c>
      <c r="E372" s="12" t="s">
        <v>341</v>
      </c>
      <c r="F372" s="321">
        <v>1.0</v>
      </c>
      <c r="G372" s="12" t="s">
        <v>236</v>
      </c>
      <c r="H372" s="12" t="s">
        <v>265</v>
      </c>
      <c r="I372" s="321">
        <v>4.0</v>
      </c>
    </row>
    <row r="373">
      <c r="A373" s="12" t="s">
        <v>951</v>
      </c>
      <c r="B373" s="12" t="s">
        <v>1109</v>
      </c>
      <c r="C373" s="12" t="s">
        <v>1111</v>
      </c>
      <c r="D373" s="12" t="s">
        <v>96</v>
      </c>
      <c r="E373" s="12" t="s">
        <v>341</v>
      </c>
      <c r="F373" s="321">
        <v>1.0</v>
      </c>
      <c r="G373" s="12" t="s">
        <v>236</v>
      </c>
      <c r="H373" s="12" t="s">
        <v>265</v>
      </c>
      <c r="I373" s="321">
        <v>4.0</v>
      </c>
    </row>
    <row r="374">
      <c r="A374" s="12" t="s">
        <v>952</v>
      </c>
      <c r="B374" s="12" t="s">
        <v>1109</v>
      </c>
      <c r="C374" s="12" t="s">
        <v>1110</v>
      </c>
      <c r="D374" s="12" t="s">
        <v>96</v>
      </c>
      <c r="E374" s="12" t="s">
        <v>341</v>
      </c>
      <c r="F374" s="321">
        <v>2.0</v>
      </c>
      <c r="G374" s="12" t="s">
        <v>236</v>
      </c>
      <c r="H374" s="12" t="s">
        <v>265</v>
      </c>
      <c r="I374" s="321">
        <v>4.0</v>
      </c>
    </row>
    <row r="375">
      <c r="A375" s="12" t="s">
        <v>671</v>
      </c>
      <c r="B375" s="12" t="s">
        <v>1112</v>
      </c>
      <c r="C375" s="12" t="s">
        <v>1113</v>
      </c>
      <c r="D375" s="12" t="s">
        <v>96</v>
      </c>
      <c r="E375" s="12" t="s">
        <v>351</v>
      </c>
      <c r="F375" s="321">
        <v>1.0</v>
      </c>
      <c r="G375" s="12" t="s">
        <v>236</v>
      </c>
      <c r="H375" s="12" t="s">
        <v>265</v>
      </c>
      <c r="I375" s="321">
        <v>5.0</v>
      </c>
    </row>
    <row r="376">
      <c r="A376" s="12" t="s">
        <v>1015</v>
      </c>
      <c r="B376" s="12" t="s">
        <v>1112</v>
      </c>
      <c r="C376" s="12" t="s">
        <v>1113</v>
      </c>
      <c r="D376" s="12" t="s">
        <v>96</v>
      </c>
      <c r="E376" s="12" t="s">
        <v>351</v>
      </c>
      <c r="F376" s="321">
        <v>1.0</v>
      </c>
      <c r="G376" s="12" t="s">
        <v>236</v>
      </c>
      <c r="H376" s="12" t="s">
        <v>265</v>
      </c>
      <c r="I376" s="321">
        <v>5.0</v>
      </c>
    </row>
    <row r="377">
      <c r="A377" s="12" t="s">
        <v>691</v>
      </c>
      <c r="B377" s="12" t="s">
        <v>1114</v>
      </c>
      <c r="C377" s="12" t="s">
        <v>1115</v>
      </c>
      <c r="D377" s="12" t="s">
        <v>96</v>
      </c>
      <c r="E377" s="12" t="s">
        <v>338</v>
      </c>
      <c r="F377" s="321">
        <v>1.0</v>
      </c>
      <c r="G377" s="12" t="s">
        <v>236</v>
      </c>
      <c r="H377" s="12" t="s">
        <v>265</v>
      </c>
      <c r="I377" s="321">
        <v>3.0</v>
      </c>
    </row>
    <row r="378">
      <c r="A378" s="12" t="s">
        <v>951</v>
      </c>
      <c r="B378" s="12" t="s">
        <v>1114</v>
      </c>
      <c r="C378" s="12" t="s">
        <v>1115</v>
      </c>
      <c r="D378" s="12" t="s">
        <v>96</v>
      </c>
      <c r="E378" s="12" t="s">
        <v>338</v>
      </c>
      <c r="F378" s="321">
        <v>1.0</v>
      </c>
      <c r="G378" s="12" t="s">
        <v>236</v>
      </c>
      <c r="H378" s="12" t="s">
        <v>265</v>
      </c>
      <c r="I378" s="321">
        <v>3.0</v>
      </c>
    </row>
    <row r="379">
      <c r="A379" s="12" t="s">
        <v>1015</v>
      </c>
      <c r="B379" s="12" t="s">
        <v>1114</v>
      </c>
      <c r="C379" s="12" t="s">
        <v>1115</v>
      </c>
      <c r="D379" s="12" t="s">
        <v>96</v>
      </c>
      <c r="E379" s="12" t="s">
        <v>338</v>
      </c>
      <c r="F379" s="321">
        <v>1.0</v>
      </c>
      <c r="G379" s="12" t="s">
        <v>236</v>
      </c>
      <c r="H379" s="12" t="s">
        <v>265</v>
      </c>
      <c r="I379" s="321">
        <v>3.0</v>
      </c>
    </row>
    <row r="380">
      <c r="A380" s="12" t="s">
        <v>952</v>
      </c>
      <c r="B380" s="12" t="s">
        <v>1114</v>
      </c>
      <c r="C380" s="12" t="s">
        <v>1115</v>
      </c>
      <c r="D380" s="12" t="s">
        <v>96</v>
      </c>
      <c r="E380" s="12" t="s">
        <v>338</v>
      </c>
      <c r="F380" s="321">
        <v>1.0</v>
      </c>
      <c r="G380" s="12" t="s">
        <v>236</v>
      </c>
      <c r="H380" s="12" t="s">
        <v>265</v>
      </c>
      <c r="I380" s="321">
        <v>3.0</v>
      </c>
    </row>
    <row r="381">
      <c r="A381" s="12" t="s">
        <v>1016</v>
      </c>
      <c r="B381" s="12" t="s">
        <v>1114</v>
      </c>
      <c r="C381" s="12" t="s">
        <v>1115</v>
      </c>
      <c r="D381" s="12" t="s">
        <v>96</v>
      </c>
      <c r="E381" s="12" t="s">
        <v>338</v>
      </c>
      <c r="F381" s="321">
        <v>2.0</v>
      </c>
      <c r="G381" s="12" t="s">
        <v>236</v>
      </c>
      <c r="H381" s="12" t="s">
        <v>265</v>
      </c>
      <c r="I381" s="321">
        <v>3.0</v>
      </c>
    </row>
    <row r="382">
      <c r="A382" s="12" t="s">
        <v>671</v>
      </c>
      <c r="B382" s="12" t="s">
        <v>1116</v>
      </c>
      <c r="C382" s="12" t="s">
        <v>1117</v>
      </c>
      <c r="D382" s="12" t="s">
        <v>96</v>
      </c>
      <c r="E382" s="12" t="s">
        <v>375</v>
      </c>
      <c r="F382" s="321">
        <v>1.0</v>
      </c>
      <c r="G382" s="12" t="s">
        <v>236</v>
      </c>
      <c r="H382" s="12" t="s">
        <v>265</v>
      </c>
      <c r="I382" s="321">
        <v>8.0</v>
      </c>
    </row>
    <row r="383">
      <c r="A383" s="12" t="s">
        <v>951</v>
      </c>
      <c r="B383" s="12" t="s">
        <v>1116</v>
      </c>
      <c r="C383" s="12" t="s">
        <v>1118</v>
      </c>
      <c r="D383" s="12" t="s">
        <v>96</v>
      </c>
      <c r="E383" s="12" t="s">
        <v>375</v>
      </c>
      <c r="F383" s="321">
        <v>1.0</v>
      </c>
      <c r="G383" s="12" t="s">
        <v>236</v>
      </c>
      <c r="H383" s="12" t="s">
        <v>265</v>
      </c>
      <c r="I383" s="321">
        <v>8.0</v>
      </c>
    </row>
    <row r="384">
      <c r="A384" s="12" t="s">
        <v>952</v>
      </c>
      <c r="B384" s="12" t="s">
        <v>1116</v>
      </c>
      <c r="C384" s="12" t="s">
        <v>1119</v>
      </c>
      <c r="D384" s="12" t="s">
        <v>96</v>
      </c>
      <c r="E384" s="12" t="s">
        <v>375</v>
      </c>
      <c r="F384" s="321">
        <v>1.0</v>
      </c>
      <c r="G384" s="12" t="s">
        <v>236</v>
      </c>
      <c r="H384" s="12" t="s">
        <v>265</v>
      </c>
      <c r="I384" s="321">
        <v>8.0</v>
      </c>
    </row>
    <row r="385">
      <c r="A385" s="12" t="s">
        <v>677</v>
      </c>
      <c r="B385" s="12" t="s">
        <v>1120</v>
      </c>
      <c r="C385" s="12" t="s">
        <v>1121</v>
      </c>
      <c r="D385" s="12" t="s">
        <v>96</v>
      </c>
      <c r="E385" s="12" t="s">
        <v>358</v>
      </c>
      <c r="F385" s="321">
        <v>1.0</v>
      </c>
      <c r="G385" s="12" t="s">
        <v>236</v>
      </c>
      <c r="H385" s="12" t="s">
        <v>265</v>
      </c>
      <c r="I385" s="321">
        <v>6.0</v>
      </c>
    </row>
    <row r="386">
      <c r="A386" s="12" t="s">
        <v>971</v>
      </c>
      <c r="B386" s="12" t="s">
        <v>1120</v>
      </c>
      <c r="C386" s="12" t="s">
        <v>1122</v>
      </c>
      <c r="D386" s="12" t="s">
        <v>96</v>
      </c>
      <c r="E386" s="12" t="s">
        <v>358</v>
      </c>
      <c r="F386" s="321">
        <v>1.0</v>
      </c>
      <c r="G386" s="12" t="s">
        <v>236</v>
      </c>
      <c r="H386" s="12" t="s">
        <v>265</v>
      </c>
      <c r="I386" s="321">
        <v>6.0</v>
      </c>
    </row>
    <row r="387">
      <c r="A387" s="12" t="s">
        <v>972</v>
      </c>
      <c r="B387" s="12" t="s">
        <v>1120</v>
      </c>
      <c r="C387" s="12" t="s">
        <v>1121</v>
      </c>
      <c r="D387" s="12" t="s">
        <v>96</v>
      </c>
      <c r="E387" s="12" t="s">
        <v>358</v>
      </c>
      <c r="F387" s="321">
        <v>2.0</v>
      </c>
      <c r="G387" s="12" t="s">
        <v>236</v>
      </c>
      <c r="H387" s="12" t="s">
        <v>265</v>
      </c>
      <c r="I387" s="321">
        <v>6.0</v>
      </c>
    </row>
    <row r="388">
      <c r="A388" s="12" t="s">
        <v>677</v>
      </c>
      <c r="B388" s="12" t="s">
        <v>1123</v>
      </c>
      <c r="C388" s="12" t="s">
        <v>1124</v>
      </c>
      <c r="D388" s="12" t="s">
        <v>96</v>
      </c>
      <c r="E388" s="12" t="s">
        <v>349</v>
      </c>
      <c r="F388" s="321">
        <v>1.0</v>
      </c>
      <c r="G388" s="12" t="s">
        <v>236</v>
      </c>
      <c r="H388" s="12" t="s">
        <v>265</v>
      </c>
      <c r="I388" s="321">
        <v>4.0</v>
      </c>
    </row>
    <row r="389">
      <c r="A389" s="12" t="s">
        <v>848</v>
      </c>
      <c r="B389" s="12" t="s">
        <v>1123</v>
      </c>
      <c r="C389" s="12" t="s">
        <v>1124</v>
      </c>
      <c r="D389" s="12" t="s">
        <v>96</v>
      </c>
      <c r="E389" s="12" t="s">
        <v>349</v>
      </c>
      <c r="F389" s="321">
        <v>2.0</v>
      </c>
      <c r="G389" s="12" t="s">
        <v>236</v>
      </c>
      <c r="H389" s="12" t="s">
        <v>265</v>
      </c>
      <c r="I389" s="321">
        <v>4.0</v>
      </c>
    </row>
    <row r="390">
      <c r="A390" s="12" t="s">
        <v>851</v>
      </c>
      <c r="B390" s="12" t="s">
        <v>1123</v>
      </c>
      <c r="C390" s="12" t="s">
        <v>1124</v>
      </c>
      <c r="D390" s="12" t="s">
        <v>96</v>
      </c>
      <c r="E390" s="12" t="s">
        <v>349</v>
      </c>
      <c r="F390" s="321">
        <v>4.0</v>
      </c>
      <c r="G390" s="12" t="s">
        <v>236</v>
      </c>
      <c r="H390" s="12" t="s">
        <v>265</v>
      </c>
      <c r="I390" s="321">
        <v>4.0</v>
      </c>
    </row>
    <row r="391">
      <c r="A391" s="12" t="s">
        <v>852</v>
      </c>
      <c r="B391" s="12" t="s">
        <v>1123</v>
      </c>
      <c r="C391" s="12" t="s">
        <v>1124</v>
      </c>
      <c r="D391" s="12" t="s">
        <v>96</v>
      </c>
      <c r="E391" s="12" t="s">
        <v>349</v>
      </c>
      <c r="F391" s="321">
        <v>6.0</v>
      </c>
      <c r="G391" s="12" t="s">
        <v>236</v>
      </c>
      <c r="H391" s="12" t="s">
        <v>265</v>
      </c>
      <c r="I391" s="321">
        <v>4.0</v>
      </c>
    </row>
    <row r="392">
      <c r="A392" s="12" t="s">
        <v>853</v>
      </c>
      <c r="B392" s="12" t="s">
        <v>1123</v>
      </c>
      <c r="C392" s="12" t="s">
        <v>1124</v>
      </c>
      <c r="D392" s="12" t="s">
        <v>96</v>
      </c>
      <c r="E392" s="12" t="s">
        <v>349</v>
      </c>
      <c r="F392" s="321">
        <v>8.0</v>
      </c>
      <c r="G392" s="12" t="s">
        <v>236</v>
      </c>
      <c r="H392" s="12" t="s">
        <v>265</v>
      </c>
      <c r="I392" s="321">
        <v>4.0</v>
      </c>
    </row>
    <row r="393">
      <c r="A393" s="12" t="s">
        <v>854</v>
      </c>
      <c r="B393" s="12" t="s">
        <v>1123</v>
      </c>
      <c r="C393" s="12" t="s">
        <v>1124</v>
      </c>
      <c r="D393" s="12" t="s">
        <v>96</v>
      </c>
      <c r="E393" s="12" t="s">
        <v>349</v>
      </c>
      <c r="F393" s="321">
        <v>10.0</v>
      </c>
      <c r="G393" s="12" t="s">
        <v>236</v>
      </c>
      <c r="H393" s="12" t="s">
        <v>265</v>
      </c>
      <c r="I393" s="321">
        <v>4.0</v>
      </c>
    </row>
    <row r="394">
      <c r="A394" s="12" t="s">
        <v>855</v>
      </c>
      <c r="B394" s="12" t="s">
        <v>1123</v>
      </c>
      <c r="C394" s="12" t="s">
        <v>1124</v>
      </c>
      <c r="D394" s="12" t="s">
        <v>96</v>
      </c>
      <c r="E394" s="12" t="s">
        <v>349</v>
      </c>
      <c r="F394" s="321">
        <v>12.0</v>
      </c>
      <c r="G394" s="12" t="s">
        <v>236</v>
      </c>
      <c r="H394" s="12" t="s">
        <v>265</v>
      </c>
      <c r="I394" s="321">
        <v>4.0</v>
      </c>
    </row>
    <row r="395">
      <c r="A395" s="12" t="s">
        <v>856</v>
      </c>
      <c r="B395" s="12" t="s">
        <v>1123</v>
      </c>
      <c r="C395" s="12" t="s">
        <v>1124</v>
      </c>
      <c r="D395" s="12" t="s">
        <v>96</v>
      </c>
      <c r="E395" s="12" t="s">
        <v>349</v>
      </c>
      <c r="F395" s="321">
        <v>14.0</v>
      </c>
      <c r="G395" s="12" t="s">
        <v>236</v>
      </c>
      <c r="H395" s="12" t="s">
        <v>265</v>
      </c>
      <c r="I395" s="321">
        <v>4.0</v>
      </c>
    </row>
    <row r="396">
      <c r="A396" s="12" t="s">
        <v>857</v>
      </c>
      <c r="B396" s="12" t="s">
        <v>1123</v>
      </c>
      <c r="C396" s="12" t="s">
        <v>1124</v>
      </c>
      <c r="D396" s="12" t="s">
        <v>96</v>
      </c>
      <c r="E396" s="12" t="s">
        <v>349</v>
      </c>
      <c r="F396" s="321">
        <v>16.0</v>
      </c>
      <c r="G396" s="12" t="s">
        <v>236</v>
      </c>
      <c r="H396" s="12" t="s">
        <v>265</v>
      </c>
      <c r="I396" s="321">
        <v>4.0</v>
      </c>
    </row>
    <row r="397">
      <c r="A397" s="12" t="s">
        <v>858</v>
      </c>
      <c r="B397" s="12" t="s">
        <v>1123</v>
      </c>
      <c r="C397" s="12" t="s">
        <v>1124</v>
      </c>
      <c r="D397" s="12" t="s">
        <v>96</v>
      </c>
      <c r="E397" s="12" t="s">
        <v>349</v>
      </c>
      <c r="F397" s="321">
        <v>18.0</v>
      </c>
      <c r="G397" s="12" t="s">
        <v>236</v>
      </c>
      <c r="H397" s="12" t="s">
        <v>265</v>
      </c>
      <c r="I397" s="321">
        <v>4.0</v>
      </c>
    </row>
    <row r="398">
      <c r="A398" s="12" t="s">
        <v>859</v>
      </c>
      <c r="B398" s="12" t="s">
        <v>1123</v>
      </c>
      <c r="C398" s="12" t="s">
        <v>1124</v>
      </c>
      <c r="D398" s="12" t="s">
        <v>96</v>
      </c>
      <c r="E398" s="12" t="s">
        <v>349</v>
      </c>
      <c r="F398" s="321">
        <v>20.0</v>
      </c>
      <c r="G398" s="12" t="s">
        <v>236</v>
      </c>
      <c r="H398" s="12" t="s">
        <v>265</v>
      </c>
      <c r="I398" s="321">
        <v>4.0</v>
      </c>
    </row>
    <row r="399">
      <c r="A399" s="12" t="s">
        <v>971</v>
      </c>
      <c r="B399" s="12" t="s">
        <v>1123</v>
      </c>
      <c r="C399" s="12" t="s">
        <v>1124</v>
      </c>
      <c r="D399" s="12" t="s">
        <v>96</v>
      </c>
      <c r="E399" s="12" t="s">
        <v>349</v>
      </c>
      <c r="F399" s="321">
        <v>1.0</v>
      </c>
      <c r="G399" s="12" t="s">
        <v>236</v>
      </c>
      <c r="H399" s="12" t="s">
        <v>265</v>
      </c>
      <c r="I399" s="321">
        <v>4.0</v>
      </c>
    </row>
    <row r="400">
      <c r="A400" s="12" t="s">
        <v>972</v>
      </c>
      <c r="B400" s="12" t="s">
        <v>1123</v>
      </c>
      <c r="C400" s="12" t="s">
        <v>1124</v>
      </c>
      <c r="D400" s="12" t="s">
        <v>96</v>
      </c>
      <c r="E400" s="12" t="s">
        <v>349</v>
      </c>
      <c r="F400" s="321">
        <v>2.0</v>
      </c>
      <c r="G400" s="12" t="s">
        <v>236</v>
      </c>
      <c r="H400" s="12" t="s">
        <v>265</v>
      </c>
      <c r="I400" s="321">
        <v>4.0</v>
      </c>
    </row>
    <row r="401">
      <c r="A401" s="12" t="s">
        <v>666</v>
      </c>
      <c r="B401" s="12" t="s">
        <v>1125</v>
      </c>
      <c r="C401" s="12" t="s">
        <v>1126</v>
      </c>
      <c r="D401" s="12" t="s">
        <v>96</v>
      </c>
      <c r="E401" s="12" t="s">
        <v>335</v>
      </c>
      <c r="F401" s="321">
        <v>1.0</v>
      </c>
      <c r="G401" s="12" t="s">
        <v>236</v>
      </c>
      <c r="H401" s="12" t="s">
        <v>265</v>
      </c>
      <c r="I401" s="321">
        <v>3.0</v>
      </c>
    </row>
    <row r="402">
      <c r="A402" s="12" t="s">
        <v>931</v>
      </c>
      <c r="B402" s="12" t="s">
        <v>1125</v>
      </c>
      <c r="C402" s="12" t="s">
        <v>1127</v>
      </c>
      <c r="D402" s="12" t="s">
        <v>96</v>
      </c>
      <c r="E402" s="12" t="s">
        <v>335</v>
      </c>
      <c r="F402" s="321">
        <v>1.0</v>
      </c>
      <c r="G402" s="12" t="s">
        <v>236</v>
      </c>
      <c r="H402" s="12" t="s">
        <v>265</v>
      </c>
      <c r="I402" s="321">
        <v>3.0</v>
      </c>
    </row>
    <row r="403">
      <c r="A403" s="12" t="s">
        <v>932</v>
      </c>
      <c r="B403" s="12" t="s">
        <v>1125</v>
      </c>
      <c r="C403" s="12" t="s">
        <v>1128</v>
      </c>
      <c r="D403" s="12" t="s">
        <v>96</v>
      </c>
      <c r="E403" s="12" t="s">
        <v>335</v>
      </c>
      <c r="F403" s="321">
        <v>1.0</v>
      </c>
      <c r="G403" s="12" t="s">
        <v>236</v>
      </c>
      <c r="H403" s="12" t="s">
        <v>265</v>
      </c>
      <c r="I403" s="321">
        <v>3.0</v>
      </c>
    </row>
    <row r="404">
      <c r="A404" s="12" t="s">
        <v>686</v>
      </c>
      <c r="B404" s="12" t="s">
        <v>1129</v>
      </c>
      <c r="C404" s="12" t="s">
        <v>1130</v>
      </c>
      <c r="D404" s="12" t="s">
        <v>96</v>
      </c>
      <c r="E404" s="12" t="s">
        <v>369</v>
      </c>
      <c r="F404" s="321">
        <v>1.0</v>
      </c>
      <c r="G404" s="12" t="s">
        <v>236</v>
      </c>
      <c r="H404" s="12" t="s">
        <v>265</v>
      </c>
      <c r="I404" s="321">
        <v>7.0</v>
      </c>
    </row>
    <row r="405">
      <c r="A405" s="12" t="s">
        <v>1007</v>
      </c>
      <c r="B405" s="12" t="s">
        <v>1129</v>
      </c>
      <c r="C405" s="12" t="s">
        <v>1131</v>
      </c>
      <c r="D405" s="12" t="s">
        <v>96</v>
      </c>
      <c r="E405" s="12" t="s">
        <v>369</v>
      </c>
      <c r="F405" s="321">
        <v>1.0</v>
      </c>
      <c r="G405" s="12" t="s">
        <v>236</v>
      </c>
      <c r="H405" s="12" t="s">
        <v>265</v>
      </c>
      <c r="I405" s="321">
        <v>7.0</v>
      </c>
    </row>
    <row r="406">
      <c r="A406" s="12" t="s">
        <v>1008</v>
      </c>
      <c r="B406" s="12" t="s">
        <v>1129</v>
      </c>
      <c r="C406" s="12" t="s">
        <v>1132</v>
      </c>
      <c r="D406" s="12" t="s">
        <v>96</v>
      </c>
      <c r="E406" s="12" t="s">
        <v>369</v>
      </c>
      <c r="F406" s="321">
        <v>1.0</v>
      </c>
      <c r="G406" s="12" t="s">
        <v>236</v>
      </c>
      <c r="H406" s="12" t="s">
        <v>265</v>
      </c>
      <c r="I406" s="321">
        <v>7.0</v>
      </c>
    </row>
    <row r="407">
      <c r="A407" s="12" t="s">
        <v>690</v>
      </c>
      <c r="B407" s="12" t="s">
        <v>1133</v>
      </c>
      <c r="C407" s="12" t="s">
        <v>1134</v>
      </c>
      <c r="D407" s="12" t="s">
        <v>96</v>
      </c>
      <c r="E407" s="12" t="s">
        <v>345</v>
      </c>
      <c r="F407" s="321">
        <v>1.0</v>
      </c>
      <c r="G407" s="12" t="s">
        <v>236</v>
      </c>
      <c r="H407" s="12" t="s">
        <v>265</v>
      </c>
      <c r="I407" s="321">
        <v>4.0</v>
      </c>
    </row>
    <row r="408">
      <c r="A408" s="12" t="s">
        <v>1011</v>
      </c>
      <c r="B408" s="12" t="s">
        <v>1133</v>
      </c>
      <c r="C408" s="12" t="s">
        <v>1135</v>
      </c>
      <c r="D408" s="12" t="s">
        <v>96</v>
      </c>
      <c r="E408" s="12" t="s">
        <v>345</v>
      </c>
      <c r="F408" s="321">
        <v>1.0</v>
      </c>
      <c r="G408" s="12" t="s">
        <v>236</v>
      </c>
      <c r="H408" s="12" t="s">
        <v>265</v>
      </c>
      <c r="I408" s="321">
        <v>4.0</v>
      </c>
    </row>
    <row r="409">
      <c r="A409" s="12" t="s">
        <v>1012</v>
      </c>
      <c r="B409" s="12" t="s">
        <v>1133</v>
      </c>
      <c r="C409" s="12" t="s">
        <v>1136</v>
      </c>
      <c r="D409" s="12" t="s">
        <v>96</v>
      </c>
      <c r="E409" s="12" t="s">
        <v>345</v>
      </c>
      <c r="F409" s="321">
        <v>1.0</v>
      </c>
      <c r="G409" s="12" t="s">
        <v>236</v>
      </c>
      <c r="H409" s="12" t="s">
        <v>265</v>
      </c>
      <c r="I409" s="321">
        <v>4.0</v>
      </c>
    </row>
    <row r="410">
      <c r="A410" s="12" t="s">
        <v>691</v>
      </c>
      <c r="B410" s="12" t="s">
        <v>1137</v>
      </c>
      <c r="C410" s="12" t="s">
        <v>1138</v>
      </c>
      <c r="D410" s="12" t="s">
        <v>96</v>
      </c>
      <c r="E410" s="12" t="s">
        <v>377</v>
      </c>
      <c r="F410" s="321">
        <v>1.0</v>
      </c>
      <c r="G410" s="12" t="s">
        <v>236</v>
      </c>
      <c r="H410" s="12" t="s">
        <v>265</v>
      </c>
      <c r="I410" s="321">
        <v>8.0</v>
      </c>
    </row>
    <row r="411">
      <c r="A411" s="12" t="s">
        <v>1015</v>
      </c>
      <c r="B411" s="12" t="s">
        <v>1137</v>
      </c>
      <c r="C411" s="12" t="s">
        <v>1139</v>
      </c>
      <c r="D411" s="12" t="s">
        <v>96</v>
      </c>
      <c r="E411" s="12" t="s">
        <v>377</v>
      </c>
      <c r="F411" s="321">
        <v>1.0</v>
      </c>
      <c r="G411" s="12" t="s">
        <v>236</v>
      </c>
      <c r="H411" s="12" t="s">
        <v>265</v>
      </c>
      <c r="I411" s="321">
        <v>8.0</v>
      </c>
    </row>
    <row r="412">
      <c r="A412" s="12" t="s">
        <v>1016</v>
      </c>
      <c r="B412" s="12" t="s">
        <v>1137</v>
      </c>
      <c r="C412" s="12" t="s">
        <v>1139</v>
      </c>
      <c r="D412" s="12" t="s">
        <v>96</v>
      </c>
      <c r="E412" s="12" t="s">
        <v>377</v>
      </c>
      <c r="F412" s="321">
        <v>1.0</v>
      </c>
      <c r="G412" s="12" t="s">
        <v>236</v>
      </c>
      <c r="H412" s="12" t="s">
        <v>265</v>
      </c>
      <c r="I412" s="321">
        <v>8.0</v>
      </c>
    </row>
    <row r="413">
      <c r="A413" s="12" t="s">
        <v>692</v>
      </c>
      <c r="B413" s="12" t="s">
        <v>1140</v>
      </c>
      <c r="C413" s="12" t="s">
        <v>1141</v>
      </c>
      <c r="D413" s="12" t="s">
        <v>96</v>
      </c>
      <c r="E413" s="12" t="s">
        <v>347</v>
      </c>
      <c r="F413" s="321">
        <v>1.0</v>
      </c>
      <c r="G413" s="12" t="s">
        <v>236</v>
      </c>
      <c r="H413" s="12" t="s">
        <v>265</v>
      </c>
      <c r="I413" s="321">
        <v>4.0</v>
      </c>
    </row>
    <row r="414">
      <c r="A414" s="12" t="s">
        <v>1019</v>
      </c>
      <c r="B414" s="12" t="s">
        <v>1140</v>
      </c>
      <c r="C414" s="12" t="s">
        <v>1142</v>
      </c>
      <c r="D414" s="12" t="s">
        <v>96</v>
      </c>
      <c r="E414" s="12" t="s">
        <v>347</v>
      </c>
      <c r="F414" s="321">
        <v>1.0</v>
      </c>
      <c r="G414" s="12" t="s">
        <v>236</v>
      </c>
      <c r="H414" s="12" t="s">
        <v>265</v>
      </c>
      <c r="I414" s="321">
        <v>4.0</v>
      </c>
    </row>
    <row r="415">
      <c r="A415" s="12" t="s">
        <v>1020</v>
      </c>
      <c r="B415" s="12" t="s">
        <v>1140</v>
      </c>
      <c r="C415" s="12" t="s">
        <v>1141</v>
      </c>
      <c r="D415" s="12" t="s">
        <v>96</v>
      </c>
      <c r="E415" s="12" t="s">
        <v>347</v>
      </c>
      <c r="F415" s="321">
        <v>2.0</v>
      </c>
      <c r="G415" s="12" t="s">
        <v>236</v>
      </c>
      <c r="H415" s="12" t="s">
        <v>265</v>
      </c>
      <c r="I415" s="321">
        <v>4.0</v>
      </c>
    </row>
    <row r="416">
      <c r="A416" s="12" t="s">
        <v>693</v>
      </c>
      <c r="B416" s="12" t="s">
        <v>1143</v>
      </c>
      <c r="C416" s="12" t="s">
        <v>1144</v>
      </c>
      <c r="D416" s="12" t="s">
        <v>96</v>
      </c>
      <c r="E416" s="12" t="s">
        <v>363</v>
      </c>
      <c r="F416" s="321">
        <v>1.0</v>
      </c>
      <c r="G416" s="12" t="s">
        <v>236</v>
      </c>
      <c r="H416" s="12" t="s">
        <v>265</v>
      </c>
      <c r="I416" s="321">
        <v>6.0</v>
      </c>
    </row>
    <row r="417">
      <c r="A417" s="12" t="s">
        <v>1023</v>
      </c>
      <c r="B417" s="12" t="s">
        <v>1143</v>
      </c>
      <c r="C417" s="12" t="s">
        <v>1145</v>
      </c>
      <c r="D417" s="12" t="s">
        <v>96</v>
      </c>
      <c r="E417" s="12" t="s">
        <v>363</v>
      </c>
      <c r="F417" s="321">
        <v>1.0</v>
      </c>
      <c r="G417" s="12" t="s">
        <v>236</v>
      </c>
      <c r="H417" s="12" t="s">
        <v>265</v>
      </c>
      <c r="I417" s="321">
        <v>6.0</v>
      </c>
    </row>
    <row r="418">
      <c r="A418" s="12" t="s">
        <v>1024</v>
      </c>
      <c r="B418" s="12" t="s">
        <v>1143</v>
      </c>
      <c r="C418" s="12" t="s">
        <v>1144</v>
      </c>
      <c r="D418" s="12" t="s">
        <v>96</v>
      </c>
      <c r="E418" s="12" t="s">
        <v>363</v>
      </c>
      <c r="F418" s="321">
        <v>2.0</v>
      </c>
      <c r="G418" s="12" t="s">
        <v>236</v>
      </c>
      <c r="H418" s="12" t="s">
        <v>265</v>
      </c>
      <c r="I418" s="321">
        <v>6.0</v>
      </c>
    </row>
    <row r="419">
      <c r="A419" s="12" t="s">
        <v>684</v>
      </c>
      <c r="B419" s="12" t="s">
        <v>1146</v>
      </c>
      <c r="C419" s="12" t="s">
        <v>1147</v>
      </c>
      <c r="D419" s="12" t="s">
        <v>96</v>
      </c>
      <c r="E419" s="12" t="s">
        <v>354</v>
      </c>
      <c r="F419" s="321">
        <v>1.0</v>
      </c>
      <c r="G419" s="12" t="s">
        <v>236</v>
      </c>
      <c r="H419" s="12" t="s">
        <v>265</v>
      </c>
      <c r="I419" s="321">
        <v>5.0</v>
      </c>
    </row>
    <row r="420">
      <c r="A420" s="12" t="s">
        <v>999</v>
      </c>
      <c r="B420" s="12" t="s">
        <v>1146</v>
      </c>
      <c r="C420" s="12" t="s">
        <v>1148</v>
      </c>
      <c r="D420" s="12" t="s">
        <v>96</v>
      </c>
      <c r="E420" s="12" t="s">
        <v>354</v>
      </c>
      <c r="F420" s="321">
        <v>1.0</v>
      </c>
      <c r="G420" s="12" t="s">
        <v>236</v>
      </c>
      <c r="H420" s="12" t="s">
        <v>265</v>
      </c>
      <c r="I420" s="321">
        <v>5.0</v>
      </c>
    </row>
    <row r="421">
      <c r="A421" s="12" t="s">
        <v>1000</v>
      </c>
      <c r="B421" s="12" t="s">
        <v>1146</v>
      </c>
      <c r="C421" s="12" t="s">
        <v>1149</v>
      </c>
      <c r="D421" s="12" t="s">
        <v>96</v>
      </c>
      <c r="E421" s="12" t="s">
        <v>354</v>
      </c>
      <c r="F421" s="321">
        <v>1.0</v>
      </c>
      <c r="G421" s="12" t="s">
        <v>236</v>
      </c>
      <c r="H421" s="12" t="s">
        <v>265</v>
      </c>
      <c r="I421" s="321">
        <v>5.0</v>
      </c>
    </row>
    <row r="422">
      <c r="A422" s="12" t="s">
        <v>684</v>
      </c>
      <c r="B422" s="12" t="s">
        <v>1150</v>
      </c>
      <c r="C422" s="12" t="s">
        <v>1151</v>
      </c>
      <c r="D422" s="12" t="s">
        <v>96</v>
      </c>
      <c r="E422" s="12" t="s">
        <v>380</v>
      </c>
      <c r="F422" s="321">
        <v>1.0</v>
      </c>
      <c r="G422" s="12" t="s">
        <v>236</v>
      </c>
      <c r="H422" s="12" t="s">
        <v>265</v>
      </c>
      <c r="I422" s="321">
        <v>8.0</v>
      </c>
    </row>
    <row r="423">
      <c r="A423" s="12" t="s">
        <v>695</v>
      </c>
      <c r="B423" s="12" t="s">
        <v>1150</v>
      </c>
      <c r="C423" s="12" t="s">
        <v>1151</v>
      </c>
      <c r="D423" s="12" t="s">
        <v>96</v>
      </c>
      <c r="E423" s="12" t="s">
        <v>380</v>
      </c>
      <c r="F423" s="321">
        <v>1.0</v>
      </c>
      <c r="G423" s="12" t="s">
        <v>236</v>
      </c>
      <c r="H423" s="12" t="s">
        <v>265</v>
      </c>
      <c r="I423" s="321">
        <v>8.0</v>
      </c>
    </row>
    <row r="424">
      <c r="A424" s="12" t="s">
        <v>999</v>
      </c>
      <c r="B424" s="12" t="s">
        <v>1150</v>
      </c>
      <c r="C424" s="12" t="s">
        <v>1152</v>
      </c>
      <c r="D424" s="12" t="s">
        <v>96</v>
      </c>
      <c r="E424" s="12" t="s">
        <v>380</v>
      </c>
      <c r="F424" s="321">
        <v>1.0</v>
      </c>
      <c r="G424" s="12" t="s">
        <v>236</v>
      </c>
      <c r="H424" s="12" t="s">
        <v>265</v>
      </c>
      <c r="I424" s="321">
        <v>8.0</v>
      </c>
    </row>
    <row r="425">
      <c r="A425" s="12" t="s">
        <v>1031</v>
      </c>
      <c r="B425" s="12" t="s">
        <v>1150</v>
      </c>
      <c r="C425" s="12" t="s">
        <v>1152</v>
      </c>
      <c r="D425" s="12" t="s">
        <v>96</v>
      </c>
      <c r="E425" s="12" t="s">
        <v>380</v>
      </c>
      <c r="F425" s="321">
        <v>1.0</v>
      </c>
      <c r="G425" s="12" t="s">
        <v>236</v>
      </c>
      <c r="H425" s="12" t="s">
        <v>265</v>
      </c>
      <c r="I425" s="321">
        <v>8.0</v>
      </c>
    </row>
    <row r="426">
      <c r="A426" s="12" t="s">
        <v>1000</v>
      </c>
      <c r="B426" s="12" t="s">
        <v>1150</v>
      </c>
      <c r="C426" s="12" t="s">
        <v>1152</v>
      </c>
      <c r="D426" s="12" t="s">
        <v>96</v>
      </c>
      <c r="E426" s="12" t="s">
        <v>380</v>
      </c>
      <c r="F426" s="321">
        <v>1.0</v>
      </c>
      <c r="G426" s="12" t="s">
        <v>236</v>
      </c>
      <c r="H426" s="12" t="s">
        <v>265</v>
      </c>
      <c r="I426" s="321">
        <v>8.0</v>
      </c>
    </row>
    <row r="427">
      <c r="A427" s="12" t="s">
        <v>1032</v>
      </c>
      <c r="B427" s="12" t="s">
        <v>1150</v>
      </c>
      <c r="C427" s="12" t="s">
        <v>1152</v>
      </c>
      <c r="D427" s="12" t="s">
        <v>96</v>
      </c>
      <c r="E427" s="12" t="s">
        <v>380</v>
      </c>
      <c r="F427" s="321">
        <v>1.0</v>
      </c>
      <c r="G427" s="12" t="s">
        <v>236</v>
      </c>
      <c r="H427" s="12" t="s">
        <v>265</v>
      </c>
      <c r="I427" s="321">
        <v>8.0</v>
      </c>
    </row>
    <row r="428">
      <c r="A428" s="12" t="s">
        <v>684</v>
      </c>
      <c r="B428" s="12" t="s">
        <v>1153</v>
      </c>
      <c r="C428" s="12" t="s">
        <v>1154</v>
      </c>
      <c r="D428" s="12" t="s">
        <v>96</v>
      </c>
      <c r="E428" s="12" t="s">
        <v>346</v>
      </c>
      <c r="F428" s="321">
        <v>1.0</v>
      </c>
      <c r="G428" s="12" t="s">
        <v>236</v>
      </c>
      <c r="H428" s="12" t="s">
        <v>265</v>
      </c>
      <c r="I428" s="321">
        <v>4.0</v>
      </c>
    </row>
    <row r="429">
      <c r="A429" s="12" t="s">
        <v>999</v>
      </c>
      <c r="B429" s="12" t="s">
        <v>1153</v>
      </c>
      <c r="C429" s="12" t="s">
        <v>1155</v>
      </c>
      <c r="D429" s="12" t="s">
        <v>96</v>
      </c>
      <c r="E429" s="12" t="s">
        <v>346</v>
      </c>
      <c r="F429" s="321">
        <v>1.0</v>
      </c>
      <c r="G429" s="12" t="s">
        <v>236</v>
      </c>
      <c r="H429" s="12" t="s">
        <v>265</v>
      </c>
      <c r="I429" s="321">
        <v>4.0</v>
      </c>
    </row>
    <row r="430">
      <c r="A430" s="12" t="s">
        <v>1000</v>
      </c>
      <c r="B430" s="12" t="s">
        <v>1153</v>
      </c>
      <c r="C430" s="12" t="s">
        <v>1156</v>
      </c>
      <c r="D430" s="12" t="s">
        <v>96</v>
      </c>
      <c r="E430" s="12" t="s">
        <v>346</v>
      </c>
      <c r="F430" s="321">
        <v>1.0</v>
      </c>
      <c r="G430" s="12" t="s">
        <v>236</v>
      </c>
      <c r="H430" s="12" t="s">
        <v>265</v>
      </c>
      <c r="I430" s="321">
        <v>4.0</v>
      </c>
    </row>
    <row r="431">
      <c r="A431" s="12" t="s">
        <v>683</v>
      </c>
      <c r="B431" s="12" t="s">
        <v>1157</v>
      </c>
      <c r="C431" s="12" t="s">
        <v>1158</v>
      </c>
      <c r="D431" s="12" t="s">
        <v>96</v>
      </c>
      <c r="E431" s="12" t="s">
        <v>12</v>
      </c>
      <c r="F431" s="321">
        <v>1.0</v>
      </c>
      <c r="G431" s="12" t="s">
        <v>236</v>
      </c>
      <c r="H431" s="12" t="s">
        <v>265</v>
      </c>
      <c r="I431" s="321">
        <v>5.0</v>
      </c>
    </row>
    <row r="432">
      <c r="A432" s="12" t="s">
        <v>995</v>
      </c>
      <c r="B432" s="12" t="s">
        <v>1157</v>
      </c>
      <c r="C432" s="12" t="s">
        <v>1159</v>
      </c>
      <c r="D432" s="12" t="s">
        <v>96</v>
      </c>
      <c r="E432" s="12" t="s">
        <v>12</v>
      </c>
      <c r="F432" s="321">
        <v>1.0</v>
      </c>
      <c r="G432" s="12" t="s">
        <v>236</v>
      </c>
      <c r="H432" s="12" t="s">
        <v>265</v>
      </c>
      <c r="I432" s="321">
        <v>5.0</v>
      </c>
    </row>
    <row r="433">
      <c r="A433" s="12" t="s">
        <v>996</v>
      </c>
      <c r="B433" s="12" t="s">
        <v>1157</v>
      </c>
      <c r="C433" s="12" t="s">
        <v>1160</v>
      </c>
      <c r="D433" s="12" t="s">
        <v>96</v>
      </c>
      <c r="E433" s="12" t="s">
        <v>12</v>
      </c>
      <c r="F433" s="321">
        <v>1.0</v>
      </c>
      <c r="G433" s="12" t="s">
        <v>236</v>
      </c>
      <c r="H433" s="12" t="s">
        <v>265</v>
      </c>
      <c r="I433" s="321">
        <v>5.0</v>
      </c>
    </row>
    <row r="434">
      <c r="A434" s="12" t="s">
        <v>683</v>
      </c>
      <c r="B434" s="12" t="s">
        <v>1161</v>
      </c>
      <c r="C434" s="12" t="s">
        <v>1162</v>
      </c>
      <c r="D434" s="12" t="s">
        <v>96</v>
      </c>
      <c r="E434" s="12" t="s">
        <v>394</v>
      </c>
      <c r="F434" s="321">
        <v>1.0</v>
      </c>
      <c r="G434" s="12" t="s">
        <v>236</v>
      </c>
      <c r="H434" s="12" t="s">
        <v>265</v>
      </c>
      <c r="I434" s="321">
        <v>10.0</v>
      </c>
    </row>
    <row r="435">
      <c r="A435" s="12" t="s">
        <v>995</v>
      </c>
      <c r="B435" s="12" t="s">
        <v>1161</v>
      </c>
      <c r="C435" s="12" t="s">
        <v>1162</v>
      </c>
      <c r="D435" s="12" t="s">
        <v>96</v>
      </c>
      <c r="E435" s="12" t="s">
        <v>394</v>
      </c>
      <c r="F435" s="321">
        <v>2.0</v>
      </c>
      <c r="G435" s="12" t="s">
        <v>236</v>
      </c>
      <c r="H435" s="12" t="s">
        <v>265</v>
      </c>
      <c r="I435" s="321">
        <v>10.0</v>
      </c>
    </row>
    <row r="436">
      <c r="A436" s="12" t="s">
        <v>996</v>
      </c>
      <c r="B436" s="12" t="s">
        <v>1161</v>
      </c>
      <c r="C436" s="12" t="s">
        <v>1162</v>
      </c>
      <c r="D436" s="12" t="s">
        <v>96</v>
      </c>
      <c r="E436" s="12" t="s">
        <v>394</v>
      </c>
      <c r="F436" s="321">
        <v>2.0</v>
      </c>
      <c r="G436" s="12" t="s">
        <v>236</v>
      </c>
      <c r="H436" s="12" t="s">
        <v>265</v>
      </c>
      <c r="I436" s="321">
        <v>10.0</v>
      </c>
    </row>
    <row r="437">
      <c r="A437" s="12" t="s">
        <v>695</v>
      </c>
      <c r="B437" s="12" t="s">
        <v>1163</v>
      </c>
      <c r="C437" s="12" t="s">
        <v>1164</v>
      </c>
      <c r="D437" s="12" t="s">
        <v>96</v>
      </c>
      <c r="E437" s="12" t="s">
        <v>389</v>
      </c>
      <c r="F437" s="321">
        <v>1.0</v>
      </c>
      <c r="G437" s="12" t="s">
        <v>236</v>
      </c>
      <c r="H437" s="12" t="s">
        <v>265</v>
      </c>
      <c r="I437" s="321">
        <v>9.0</v>
      </c>
    </row>
    <row r="438">
      <c r="A438" s="12" t="s">
        <v>1031</v>
      </c>
      <c r="B438" s="12" t="s">
        <v>1163</v>
      </c>
      <c r="C438" s="12" t="s">
        <v>1165</v>
      </c>
      <c r="D438" s="12" t="s">
        <v>96</v>
      </c>
      <c r="E438" s="12" t="s">
        <v>389</v>
      </c>
      <c r="F438" s="321">
        <v>1.0</v>
      </c>
      <c r="G438" s="12" t="s">
        <v>236</v>
      </c>
      <c r="H438" s="12" t="s">
        <v>265</v>
      </c>
      <c r="I438" s="321">
        <v>9.0</v>
      </c>
    </row>
    <row r="439">
      <c r="A439" s="12" t="s">
        <v>1032</v>
      </c>
      <c r="B439" s="12" t="s">
        <v>1163</v>
      </c>
      <c r="C439" s="12" t="s">
        <v>1166</v>
      </c>
      <c r="D439" s="12" t="s">
        <v>96</v>
      </c>
      <c r="E439" s="12" t="s">
        <v>389</v>
      </c>
      <c r="F439" s="321">
        <v>1.0</v>
      </c>
      <c r="G439" s="12" t="s">
        <v>236</v>
      </c>
      <c r="H439" s="12" t="s">
        <v>265</v>
      </c>
      <c r="I439" s="321">
        <v>9.0</v>
      </c>
    </row>
    <row r="440">
      <c r="A440" s="12" t="s">
        <v>696</v>
      </c>
      <c r="B440" s="12" t="s">
        <v>1167</v>
      </c>
      <c r="C440" s="12" t="s">
        <v>1168</v>
      </c>
      <c r="D440" s="12" t="s">
        <v>96</v>
      </c>
      <c r="E440" s="12" t="s">
        <v>360</v>
      </c>
      <c r="F440" s="321">
        <v>1.0</v>
      </c>
      <c r="G440" s="12" t="s">
        <v>236</v>
      </c>
      <c r="H440" s="12" t="s">
        <v>265</v>
      </c>
      <c r="I440" s="321">
        <v>6.0</v>
      </c>
    </row>
    <row r="441">
      <c r="A441" s="12" t="s">
        <v>1035</v>
      </c>
      <c r="B441" s="12" t="s">
        <v>1167</v>
      </c>
      <c r="C441" s="12" t="s">
        <v>1169</v>
      </c>
      <c r="D441" s="12" t="s">
        <v>96</v>
      </c>
      <c r="E441" s="12" t="s">
        <v>360</v>
      </c>
      <c r="F441" s="321">
        <v>1.0</v>
      </c>
      <c r="G441" s="12" t="s">
        <v>236</v>
      </c>
      <c r="H441" s="12" t="s">
        <v>265</v>
      </c>
      <c r="I441" s="321">
        <v>6.0</v>
      </c>
    </row>
    <row r="442">
      <c r="A442" s="12" t="s">
        <v>1036</v>
      </c>
      <c r="B442" s="12" t="s">
        <v>1167</v>
      </c>
      <c r="C442" s="12" t="s">
        <v>1170</v>
      </c>
      <c r="D442" s="12" t="s">
        <v>96</v>
      </c>
      <c r="E442" s="12" t="s">
        <v>360</v>
      </c>
      <c r="F442" s="321">
        <v>1.0</v>
      </c>
      <c r="G442" s="12" t="s">
        <v>236</v>
      </c>
      <c r="H442" s="12" t="s">
        <v>265</v>
      </c>
      <c r="I442" s="321">
        <v>6.0</v>
      </c>
    </row>
    <row r="443">
      <c r="A443" s="12" t="s">
        <v>833</v>
      </c>
      <c r="B443" s="12" t="s">
        <v>1171</v>
      </c>
      <c r="C443" s="12" t="s">
        <v>1172</v>
      </c>
      <c r="D443" s="12" t="s">
        <v>96</v>
      </c>
      <c r="E443" s="12" t="s">
        <v>383</v>
      </c>
      <c r="F443" s="321">
        <v>1.0</v>
      </c>
      <c r="G443" s="12" t="s">
        <v>236</v>
      </c>
      <c r="H443" s="12" t="s">
        <v>265</v>
      </c>
      <c r="I443" s="321">
        <v>9.0</v>
      </c>
    </row>
    <row r="444">
      <c r="A444" s="12" t="s">
        <v>836</v>
      </c>
      <c r="B444" s="12" t="s">
        <v>1171</v>
      </c>
      <c r="C444" s="12" t="s">
        <v>1172</v>
      </c>
      <c r="D444" s="12" t="s">
        <v>96</v>
      </c>
      <c r="E444" s="12" t="s">
        <v>383</v>
      </c>
      <c r="F444" s="321">
        <v>2.0</v>
      </c>
      <c r="G444" s="12" t="s">
        <v>236</v>
      </c>
      <c r="H444" s="12" t="s">
        <v>265</v>
      </c>
      <c r="I444" s="321">
        <v>9.0</v>
      </c>
    </row>
    <row r="445">
      <c r="A445" s="12" t="s">
        <v>837</v>
      </c>
      <c r="B445" s="12" t="s">
        <v>1171</v>
      </c>
      <c r="C445" s="12" t="s">
        <v>1172</v>
      </c>
      <c r="D445" s="12" t="s">
        <v>96</v>
      </c>
      <c r="E445" s="12" t="s">
        <v>383</v>
      </c>
      <c r="F445" s="321">
        <v>3.0</v>
      </c>
      <c r="G445" s="12" t="s">
        <v>236</v>
      </c>
      <c r="H445" s="12" t="s">
        <v>265</v>
      </c>
      <c r="I445" s="321">
        <v>9.0</v>
      </c>
    </row>
    <row r="446">
      <c r="A446" s="12" t="s">
        <v>838</v>
      </c>
      <c r="B446" s="12" t="s">
        <v>1171</v>
      </c>
      <c r="C446" s="12" t="s">
        <v>1172</v>
      </c>
      <c r="D446" s="12" t="s">
        <v>96</v>
      </c>
      <c r="E446" s="12" t="s">
        <v>383</v>
      </c>
      <c r="F446" s="321">
        <v>4.0</v>
      </c>
      <c r="G446" s="12" t="s">
        <v>236</v>
      </c>
      <c r="H446" s="12" t="s">
        <v>265</v>
      </c>
      <c r="I446" s="321">
        <v>9.0</v>
      </c>
    </row>
    <row r="447">
      <c r="A447" s="12" t="s">
        <v>839</v>
      </c>
      <c r="B447" s="12" t="s">
        <v>1171</v>
      </c>
      <c r="C447" s="12" t="s">
        <v>1172</v>
      </c>
      <c r="D447" s="12" t="s">
        <v>96</v>
      </c>
      <c r="E447" s="12" t="s">
        <v>383</v>
      </c>
      <c r="F447" s="321">
        <v>5.0</v>
      </c>
      <c r="G447" s="12" t="s">
        <v>236</v>
      </c>
      <c r="H447" s="12" t="s">
        <v>265</v>
      </c>
      <c r="I447" s="321">
        <v>9.0</v>
      </c>
    </row>
    <row r="448">
      <c r="A448" s="12" t="s">
        <v>840</v>
      </c>
      <c r="B448" s="12" t="s">
        <v>1171</v>
      </c>
      <c r="C448" s="12" t="s">
        <v>1172</v>
      </c>
      <c r="D448" s="12" t="s">
        <v>96</v>
      </c>
      <c r="E448" s="12" t="s">
        <v>383</v>
      </c>
      <c r="F448" s="321">
        <v>6.0</v>
      </c>
      <c r="G448" s="12" t="s">
        <v>236</v>
      </c>
      <c r="H448" s="12" t="s">
        <v>265</v>
      </c>
      <c r="I448" s="321">
        <v>9.0</v>
      </c>
    </row>
    <row r="449">
      <c r="A449" s="12" t="s">
        <v>841</v>
      </c>
      <c r="B449" s="12" t="s">
        <v>1171</v>
      </c>
      <c r="C449" s="12" t="s">
        <v>1172</v>
      </c>
      <c r="D449" s="12" t="s">
        <v>96</v>
      </c>
      <c r="E449" s="12" t="s">
        <v>383</v>
      </c>
      <c r="F449" s="321">
        <v>7.0</v>
      </c>
      <c r="G449" s="12" t="s">
        <v>236</v>
      </c>
      <c r="H449" s="12" t="s">
        <v>265</v>
      </c>
      <c r="I449" s="321">
        <v>9.0</v>
      </c>
    </row>
    <row r="450">
      <c r="A450" s="12" t="s">
        <v>842</v>
      </c>
      <c r="B450" s="12" t="s">
        <v>1171</v>
      </c>
      <c r="C450" s="12" t="s">
        <v>1172</v>
      </c>
      <c r="D450" s="12" t="s">
        <v>96</v>
      </c>
      <c r="E450" s="12" t="s">
        <v>383</v>
      </c>
      <c r="F450" s="321">
        <v>8.0</v>
      </c>
      <c r="G450" s="12" t="s">
        <v>236</v>
      </c>
      <c r="H450" s="12" t="s">
        <v>265</v>
      </c>
      <c r="I450" s="321">
        <v>9.0</v>
      </c>
    </row>
    <row r="451">
      <c r="A451" s="12" t="s">
        <v>843</v>
      </c>
      <c r="B451" s="12" t="s">
        <v>1171</v>
      </c>
      <c r="C451" s="12" t="s">
        <v>1172</v>
      </c>
      <c r="D451" s="12" t="s">
        <v>96</v>
      </c>
      <c r="E451" s="12" t="s">
        <v>383</v>
      </c>
      <c r="F451" s="321">
        <v>9.0</v>
      </c>
      <c r="G451" s="12" t="s">
        <v>236</v>
      </c>
      <c r="H451" s="12" t="s">
        <v>265</v>
      </c>
      <c r="I451" s="321">
        <v>9.0</v>
      </c>
    </row>
    <row r="452">
      <c r="A452" s="12" t="s">
        <v>844</v>
      </c>
      <c r="B452" s="12" t="s">
        <v>1171</v>
      </c>
      <c r="C452" s="12" t="s">
        <v>1172</v>
      </c>
      <c r="D452" s="12" t="s">
        <v>96</v>
      </c>
      <c r="E452" s="12" t="s">
        <v>383</v>
      </c>
      <c r="F452" s="321">
        <v>10.0</v>
      </c>
      <c r="G452" s="12" t="s">
        <v>236</v>
      </c>
      <c r="H452" s="12" t="s">
        <v>265</v>
      </c>
      <c r="I452" s="321">
        <v>9.0</v>
      </c>
    </row>
    <row r="453">
      <c r="A453" s="12" t="s">
        <v>848</v>
      </c>
      <c r="B453" s="12" t="s">
        <v>1173</v>
      </c>
      <c r="C453" s="12" t="s">
        <v>1174</v>
      </c>
      <c r="D453" s="12" t="s">
        <v>96</v>
      </c>
      <c r="E453" s="12" t="s">
        <v>388</v>
      </c>
      <c r="F453" s="321">
        <v>1.0</v>
      </c>
      <c r="G453" s="12" t="s">
        <v>236</v>
      </c>
      <c r="H453" s="12" t="s">
        <v>265</v>
      </c>
      <c r="I453" s="321">
        <v>9.0</v>
      </c>
    </row>
    <row r="454">
      <c r="A454" s="12" t="s">
        <v>851</v>
      </c>
      <c r="B454" s="12" t="s">
        <v>1173</v>
      </c>
      <c r="C454" s="12" t="s">
        <v>1174</v>
      </c>
      <c r="D454" s="12" t="s">
        <v>96</v>
      </c>
      <c r="E454" s="12" t="s">
        <v>388</v>
      </c>
      <c r="F454" s="321">
        <v>2.0</v>
      </c>
      <c r="G454" s="12" t="s">
        <v>236</v>
      </c>
      <c r="H454" s="12" t="s">
        <v>265</v>
      </c>
      <c r="I454" s="321">
        <v>9.0</v>
      </c>
    </row>
    <row r="455">
      <c r="A455" s="12" t="s">
        <v>852</v>
      </c>
      <c r="B455" s="12" t="s">
        <v>1173</v>
      </c>
      <c r="C455" s="12" t="s">
        <v>1174</v>
      </c>
      <c r="D455" s="12" t="s">
        <v>96</v>
      </c>
      <c r="E455" s="12" t="s">
        <v>388</v>
      </c>
      <c r="F455" s="321">
        <v>3.0</v>
      </c>
      <c r="G455" s="12" t="s">
        <v>236</v>
      </c>
      <c r="H455" s="12" t="s">
        <v>265</v>
      </c>
      <c r="I455" s="321">
        <v>9.0</v>
      </c>
    </row>
    <row r="456">
      <c r="A456" s="12" t="s">
        <v>853</v>
      </c>
      <c r="B456" s="12" t="s">
        <v>1173</v>
      </c>
      <c r="C456" s="12" t="s">
        <v>1174</v>
      </c>
      <c r="D456" s="12" t="s">
        <v>96</v>
      </c>
      <c r="E456" s="12" t="s">
        <v>388</v>
      </c>
      <c r="F456" s="321">
        <v>4.0</v>
      </c>
      <c r="G456" s="12" t="s">
        <v>236</v>
      </c>
      <c r="H456" s="12" t="s">
        <v>265</v>
      </c>
      <c r="I456" s="321">
        <v>9.0</v>
      </c>
    </row>
    <row r="457">
      <c r="A457" s="12" t="s">
        <v>854</v>
      </c>
      <c r="B457" s="12" t="s">
        <v>1173</v>
      </c>
      <c r="C457" s="12" t="s">
        <v>1174</v>
      </c>
      <c r="D457" s="12" t="s">
        <v>96</v>
      </c>
      <c r="E457" s="12" t="s">
        <v>388</v>
      </c>
      <c r="F457" s="321">
        <v>5.0</v>
      </c>
      <c r="G457" s="12" t="s">
        <v>236</v>
      </c>
      <c r="H457" s="12" t="s">
        <v>265</v>
      </c>
      <c r="I457" s="321">
        <v>9.0</v>
      </c>
    </row>
    <row r="458">
      <c r="A458" s="12" t="s">
        <v>855</v>
      </c>
      <c r="B458" s="12" t="s">
        <v>1173</v>
      </c>
      <c r="C458" s="12" t="s">
        <v>1174</v>
      </c>
      <c r="D458" s="12" t="s">
        <v>96</v>
      </c>
      <c r="E458" s="12" t="s">
        <v>388</v>
      </c>
      <c r="F458" s="321">
        <v>6.0</v>
      </c>
      <c r="G458" s="12" t="s">
        <v>236</v>
      </c>
      <c r="H458" s="12" t="s">
        <v>265</v>
      </c>
      <c r="I458" s="321">
        <v>9.0</v>
      </c>
    </row>
    <row r="459">
      <c r="A459" s="12" t="s">
        <v>856</v>
      </c>
      <c r="B459" s="12" t="s">
        <v>1173</v>
      </c>
      <c r="C459" s="12" t="s">
        <v>1174</v>
      </c>
      <c r="D459" s="12" t="s">
        <v>96</v>
      </c>
      <c r="E459" s="12" t="s">
        <v>388</v>
      </c>
      <c r="F459" s="321">
        <v>7.0</v>
      </c>
      <c r="G459" s="12" t="s">
        <v>236</v>
      </c>
      <c r="H459" s="12" t="s">
        <v>265</v>
      </c>
      <c r="I459" s="321">
        <v>9.0</v>
      </c>
    </row>
    <row r="460">
      <c r="A460" s="12" t="s">
        <v>857</v>
      </c>
      <c r="B460" s="12" t="s">
        <v>1173</v>
      </c>
      <c r="C460" s="12" t="s">
        <v>1174</v>
      </c>
      <c r="D460" s="12" t="s">
        <v>96</v>
      </c>
      <c r="E460" s="12" t="s">
        <v>388</v>
      </c>
      <c r="F460" s="321">
        <v>8.0</v>
      </c>
      <c r="G460" s="12" t="s">
        <v>236</v>
      </c>
      <c r="H460" s="12" t="s">
        <v>265</v>
      </c>
      <c r="I460" s="321">
        <v>9.0</v>
      </c>
    </row>
    <row r="461">
      <c r="A461" s="12" t="s">
        <v>858</v>
      </c>
      <c r="B461" s="12" t="s">
        <v>1173</v>
      </c>
      <c r="C461" s="12" t="s">
        <v>1174</v>
      </c>
      <c r="D461" s="12" t="s">
        <v>96</v>
      </c>
      <c r="E461" s="12" t="s">
        <v>388</v>
      </c>
      <c r="F461" s="321">
        <v>9.0</v>
      </c>
      <c r="G461" s="12" t="s">
        <v>236</v>
      </c>
      <c r="H461" s="12" t="s">
        <v>265</v>
      </c>
      <c r="I461" s="321">
        <v>9.0</v>
      </c>
    </row>
    <row r="462">
      <c r="A462" s="12" t="s">
        <v>859</v>
      </c>
      <c r="B462" s="12" t="s">
        <v>1173</v>
      </c>
      <c r="C462" s="12" t="s">
        <v>1174</v>
      </c>
      <c r="D462" s="12" t="s">
        <v>96</v>
      </c>
      <c r="E462" s="12" t="s">
        <v>388</v>
      </c>
      <c r="F462" s="321">
        <v>10.0</v>
      </c>
      <c r="G462" s="12" t="s">
        <v>236</v>
      </c>
      <c r="H462" s="12" t="s">
        <v>265</v>
      </c>
      <c r="I462" s="321">
        <v>9.0</v>
      </c>
    </row>
    <row r="463">
      <c r="A463" s="12" t="s">
        <v>944</v>
      </c>
      <c r="B463" s="12" t="s">
        <v>1173</v>
      </c>
      <c r="C463" s="12" t="s">
        <v>1174</v>
      </c>
      <c r="D463" s="12" t="s">
        <v>96</v>
      </c>
      <c r="E463" s="12" t="s">
        <v>388</v>
      </c>
      <c r="F463" s="321">
        <v>1.0</v>
      </c>
      <c r="G463" s="12" t="s">
        <v>236</v>
      </c>
      <c r="H463" s="12" t="s">
        <v>265</v>
      </c>
      <c r="I463" s="321">
        <v>9.0</v>
      </c>
    </row>
    <row r="464">
      <c r="A464" s="12" t="s">
        <v>848</v>
      </c>
      <c r="B464" s="12" t="s">
        <v>1175</v>
      </c>
      <c r="C464" s="12" t="s">
        <v>1176</v>
      </c>
      <c r="D464" s="12" t="s">
        <v>96</v>
      </c>
      <c r="E464" s="12" t="s">
        <v>357</v>
      </c>
      <c r="F464" s="321">
        <v>1.0</v>
      </c>
      <c r="G464" s="12" t="s">
        <v>236</v>
      </c>
      <c r="H464" s="12" t="s">
        <v>265</v>
      </c>
      <c r="I464" s="321">
        <v>6.0</v>
      </c>
    </row>
    <row r="465">
      <c r="A465" s="12" t="s">
        <v>851</v>
      </c>
      <c r="B465" s="12" t="s">
        <v>1175</v>
      </c>
      <c r="C465" s="12" t="s">
        <v>1176</v>
      </c>
      <c r="D465" s="12" t="s">
        <v>96</v>
      </c>
      <c r="E465" s="12" t="s">
        <v>357</v>
      </c>
      <c r="F465" s="321">
        <v>2.0</v>
      </c>
      <c r="G465" s="12" t="s">
        <v>236</v>
      </c>
      <c r="H465" s="12" t="s">
        <v>265</v>
      </c>
      <c r="I465" s="321">
        <v>6.0</v>
      </c>
    </row>
    <row r="466">
      <c r="A466" s="12" t="s">
        <v>852</v>
      </c>
      <c r="B466" s="12" t="s">
        <v>1175</v>
      </c>
      <c r="C466" s="12" t="s">
        <v>1176</v>
      </c>
      <c r="D466" s="12" t="s">
        <v>96</v>
      </c>
      <c r="E466" s="12" t="s">
        <v>357</v>
      </c>
      <c r="F466" s="321">
        <v>3.0</v>
      </c>
      <c r="G466" s="12" t="s">
        <v>236</v>
      </c>
      <c r="H466" s="12" t="s">
        <v>265</v>
      </c>
      <c r="I466" s="321">
        <v>6.0</v>
      </c>
    </row>
    <row r="467">
      <c r="A467" s="12" t="s">
        <v>853</v>
      </c>
      <c r="B467" s="12" t="s">
        <v>1175</v>
      </c>
      <c r="C467" s="12" t="s">
        <v>1176</v>
      </c>
      <c r="D467" s="12" t="s">
        <v>96</v>
      </c>
      <c r="E467" s="12" t="s">
        <v>357</v>
      </c>
      <c r="F467" s="321">
        <v>4.0</v>
      </c>
      <c r="G467" s="12" t="s">
        <v>236</v>
      </c>
      <c r="H467" s="12" t="s">
        <v>265</v>
      </c>
      <c r="I467" s="321">
        <v>6.0</v>
      </c>
    </row>
    <row r="468">
      <c r="A468" s="12" t="s">
        <v>854</v>
      </c>
      <c r="B468" s="12" t="s">
        <v>1175</v>
      </c>
      <c r="C468" s="12" t="s">
        <v>1176</v>
      </c>
      <c r="D468" s="12" t="s">
        <v>96</v>
      </c>
      <c r="E468" s="12" t="s">
        <v>357</v>
      </c>
      <c r="F468" s="321">
        <v>5.0</v>
      </c>
      <c r="G468" s="12" t="s">
        <v>236</v>
      </c>
      <c r="H468" s="12" t="s">
        <v>265</v>
      </c>
      <c r="I468" s="321">
        <v>6.0</v>
      </c>
    </row>
    <row r="469">
      <c r="A469" s="12" t="s">
        <v>855</v>
      </c>
      <c r="B469" s="12" t="s">
        <v>1175</v>
      </c>
      <c r="C469" s="12" t="s">
        <v>1176</v>
      </c>
      <c r="D469" s="12" t="s">
        <v>96</v>
      </c>
      <c r="E469" s="12" t="s">
        <v>357</v>
      </c>
      <c r="F469" s="321">
        <v>6.0</v>
      </c>
      <c r="G469" s="12" t="s">
        <v>236</v>
      </c>
      <c r="H469" s="12" t="s">
        <v>265</v>
      </c>
      <c r="I469" s="321">
        <v>6.0</v>
      </c>
    </row>
    <row r="470">
      <c r="A470" s="12" t="s">
        <v>856</v>
      </c>
      <c r="B470" s="12" t="s">
        <v>1175</v>
      </c>
      <c r="C470" s="12" t="s">
        <v>1176</v>
      </c>
      <c r="D470" s="12" t="s">
        <v>96</v>
      </c>
      <c r="E470" s="12" t="s">
        <v>357</v>
      </c>
      <c r="F470" s="321">
        <v>7.0</v>
      </c>
      <c r="G470" s="12" t="s">
        <v>236</v>
      </c>
      <c r="H470" s="12" t="s">
        <v>265</v>
      </c>
      <c r="I470" s="321">
        <v>6.0</v>
      </c>
    </row>
    <row r="471">
      <c r="A471" s="12" t="s">
        <v>857</v>
      </c>
      <c r="B471" s="12" t="s">
        <v>1175</v>
      </c>
      <c r="C471" s="12" t="s">
        <v>1176</v>
      </c>
      <c r="D471" s="12" t="s">
        <v>96</v>
      </c>
      <c r="E471" s="12" t="s">
        <v>357</v>
      </c>
      <c r="F471" s="321">
        <v>8.0</v>
      </c>
      <c r="G471" s="12" t="s">
        <v>236</v>
      </c>
      <c r="H471" s="12" t="s">
        <v>265</v>
      </c>
      <c r="I471" s="321">
        <v>6.0</v>
      </c>
    </row>
    <row r="472">
      <c r="A472" s="12" t="s">
        <v>858</v>
      </c>
      <c r="B472" s="12" t="s">
        <v>1175</v>
      </c>
      <c r="C472" s="12" t="s">
        <v>1176</v>
      </c>
      <c r="D472" s="12" t="s">
        <v>96</v>
      </c>
      <c r="E472" s="12" t="s">
        <v>357</v>
      </c>
      <c r="F472" s="321">
        <v>9.0</v>
      </c>
      <c r="G472" s="12" t="s">
        <v>236</v>
      </c>
      <c r="H472" s="12" t="s">
        <v>265</v>
      </c>
      <c r="I472" s="321">
        <v>6.0</v>
      </c>
    </row>
    <row r="473">
      <c r="A473" s="12" t="s">
        <v>859</v>
      </c>
      <c r="B473" s="12" t="s">
        <v>1175</v>
      </c>
      <c r="C473" s="12" t="s">
        <v>1176</v>
      </c>
      <c r="D473" s="12" t="s">
        <v>96</v>
      </c>
      <c r="E473" s="12" t="s">
        <v>357</v>
      </c>
      <c r="F473" s="321">
        <v>10.0</v>
      </c>
      <c r="G473" s="12" t="s">
        <v>236</v>
      </c>
      <c r="H473" s="12" t="s">
        <v>265</v>
      </c>
      <c r="I473" s="321">
        <v>6.0</v>
      </c>
    </row>
    <row r="474">
      <c r="A474" s="12" t="s">
        <v>939</v>
      </c>
      <c r="B474" s="12" t="s">
        <v>1175</v>
      </c>
      <c r="C474" s="12" t="s">
        <v>1176</v>
      </c>
      <c r="D474" s="12" t="s">
        <v>96</v>
      </c>
      <c r="E474" s="12" t="s">
        <v>357</v>
      </c>
      <c r="F474" s="321">
        <v>1.0</v>
      </c>
      <c r="G474" s="12" t="s">
        <v>236</v>
      </c>
      <c r="H474" s="12" t="s">
        <v>265</v>
      </c>
      <c r="I474" s="321">
        <v>6.0</v>
      </c>
    </row>
    <row r="475">
      <c r="A475" s="12" t="s">
        <v>940</v>
      </c>
      <c r="B475" s="12" t="s">
        <v>1175</v>
      </c>
      <c r="C475" s="12" t="s">
        <v>1176</v>
      </c>
      <c r="D475" s="12" t="s">
        <v>96</v>
      </c>
      <c r="E475" s="12" t="s">
        <v>357</v>
      </c>
      <c r="F475" s="321">
        <v>1.0</v>
      </c>
      <c r="G475" s="12" t="s">
        <v>236</v>
      </c>
      <c r="H475" s="12" t="s">
        <v>265</v>
      </c>
      <c r="I475" s="321">
        <v>6.0</v>
      </c>
    </row>
    <row r="476">
      <c r="A476" s="12" t="s">
        <v>863</v>
      </c>
      <c r="B476" s="12" t="s">
        <v>1177</v>
      </c>
      <c r="C476" s="12" t="s">
        <v>1178</v>
      </c>
      <c r="D476" s="12" t="s">
        <v>96</v>
      </c>
      <c r="E476" s="12" t="s">
        <v>343</v>
      </c>
      <c r="F476" s="321">
        <v>1.0</v>
      </c>
      <c r="G476" s="12" t="s">
        <v>236</v>
      </c>
      <c r="H476" s="12" t="s">
        <v>265</v>
      </c>
      <c r="I476" s="321">
        <v>4.0</v>
      </c>
    </row>
    <row r="477">
      <c r="A477" s="12" t="s">
        <v>866</v>
      </c>
      <c r="B477" s="12" t="s">
        <v>1177</v>
      </c>
      <c r="C477" s="12" t="s">
        <v>1178</v>
      </c>
      <c r="D477" s="12" t="s">
        <v>96</v>
      </c>
      <c r="E477" s="12" t="s">
        <v>343</v>
      </c>
      <c r="F477" s="321">
        <v>2.0</v>
      </c>
      <c r="G477" s="12" t="s">
        <v>236</v>
      </c>
      <c r="H477" s="12" t="s">
        <v>265</v>
      </c>
      <c r="I477" s="321">
        <v>4.0</v>
      </c>
    </row>
    <row r="478">
      <c r="A478" s="12" t="s">
        <v>867</v>
      </c>
      <c r="B478" s="12" t="s">
        <v>1177</v>
      </c>
      <c r="C478" s="12" t="s">
        <v>1178</v>
      </c>
      <c r="D478" s="12" t="s">
        <v>96</v>
      </c>
      <c r="E478" s="12" t="s">
        <v>343</v>
      </c>
      <c r="F478" s="321">
        <v>3.0</v>
      </c>
      <c r="G478" s="12" t="s">
        <v>236</v>
      </c>
      <c r="H478" s="12" t="s">
        <v>265</v>
      </c>
      <c r="I478" s="321">
        <v>4.0</v>
      </c>
    </row>
    <row r="479">
      <c r="A479" s="12" t="s">
        <v>868</v>
      </c>
      <c r="B479" s="12" t="s">
        <v>1177</v>
      </c>
      <c r="C479" s="12" t="s">
        <v>1178</v>
      </c>
      <c r="D479" s="12" t="s">
        <v>96</v>
      </c>
      <c r="E479" s="12" t="s">
        <v>343</v>
      </c>
      <c r="F479" s="321">
        <v>4.0</v>
      </c>
      <c r="G479" s="12" t="s">
        <v>236</v>
      </c>
      <c r="H479" s="12" t="s">
        <v>265</v>
      </c>
      <c r="I479" s="321">
        <v>4.0</v>
      </c>
    </row>
    <row r="480">
      <c r="A480" s="12" t="s">
        <v>869</v>
      </c>
      <c r="B480" s="12" t="s">
        <v>1177</v>
      </c>
      <c r="C480" s="12" t="s">
        <v>1178</v>
      </c>
      <c r="D480" s="12" t="s">
        <v>96</v>
      </c>
      <c r="E480" s="12" t="s">
        <v>343</v>
      </c>
      <c r="F480" s="321">
        <v>5.0</v>
      </c>
      <c r="G480" s="12" t="s">
        <v>236</v>
      </c>
      <c r="H480" s="12" t="s">
        <v>265</v>
      </c>
      <c r="I480" s="321">
        <v>4.0</v>
      </c>
    </row>
    <row r="481">
      <c r="A481" s="12" t="s">
        <v>870</v>
      </c>
      <c r="B481" s="12" t="s">
        <v>1177</v>
      </c>
      <c r="C481" s="12" t="s">
        <v>1178</v>
      </c>
      <c r="D481" s="12" t="s">
        <v>96</v>
      </c>
      <c r="E481" s="12" t="s">
        <v>343</v>
      </c>
      <c r="F481" s="321">
        <v>6.0</v>
      </c>
      <c r="G481" s="12" t="s">
        <v>236</v>
      </c>
      <c r="H481" s="12" t="s">
        <v>265</v>
      </c>
      <c r="I481" s="321">
        <v>4.0</v>
      </c>
    </row>
    <row r="482">
      <c r="A482" s="12" t="s">
        <v>871</v>
      </c>
      <c r="B482" s="12" t="s">
        <v>1177</v>
      </c>
      <c r="C482" s="12" t="s">
        <v>1178</v>
      </c>
      <c r="D482" s="12" t="s">
        <v>96</v>
      </c>
      <c r="E482" s="12" t="s">
        <v>343</v>
      </c>
      <c r="F482" s="321">
        <v>7.0</v>
      </c>
      <c r="G482" s="12" t="s">
        <v>236</v>
      </c>
      <c r="H482" s="12" t="s">
        <v>265</v>
      </c>
      <c r="I482" s="321">
        <v>4.0</v>
      </c>
    </row>
    <row r="483">
      <c r="A483" s="12" t="s">
        <v>872</v>
      </c>
      <c r="B483" s="12" t="s">
        <v>1177</v>
      </c>
      <c r="C483" s="12" t="s">
        <v>1178</v>
      </c>
      <c r="D483" s="12" t="s">
        <v>96</v>
      </c>
      <c r="E483" s="12" t="s">
        <v>343</v>
      </c>
      <c r="F483" s="321">
        <v>8.0</v>
      </c>
      <c r="G483" s="12" t="s">
        <v>236</v>
      </c>
      <c r="H483" s="12" t="s">
        <v>265</v>
      </c>
      <c r="I483" s="321">
        <v>4.0</v>
      </c>
    </row>
    <row r="484">
      <c r="A484" s="12" t="s">
        <v>873</v>
      </c>
      <c r="B484" s="12" t="s">
        <v>1177</v>
      </c>
      <c r="C484" s="12" t="s">
        <v>1178</v>
      </c>
      <c r="D484" s="12" t="s">
        <v>96</v>
      </c>
      <c r="E484" s="12" t="s">
        <v>343</v>
      </c>
      <c r="F484" s="321">
        <v>9.0</v>
      </c>
      <c r="G484" s="12" t="s">
        <v>236</v>
      </c>
      <c r="H484" s="12" t="s">
        <v>265</v>
      </c>
      <c r="I484" s="321">
        <v>4.0</v>
      </c>
    </row>
    <row r="485">
      <c r="A485" s="12" t="s">
        <v>874</v>
      </c>
      <c r="B485" s="12" t="s">
        <v>1177</v>
      </c>
      <c r="C485" s="12" t="s">
        <v>1178</v>
      </c>
      <c r="D485" s="12" t="s">
        <v>96</v>
      </c>
      <c r="E485" s="12" t="s">
        <v>343</v>
      </c>
      <c r="F485" s="321">
        <v>10.0</v>
      </c>
      <c r="G485" s="12" t="s">
        <v>236</v>
      </c>
      <c r="H485" s="12" t="s">
        <v>265</v>
      </c>
      <c r="I485" s="321">
        <v>4.0</v>
      </c>
    </row>
    <row r="486">
      <c r="A486" s="12" t="s">
        <v>878</v>
      </c>
      <c r="B486" s="12" t="s">
        <v>1179</v>
      </c>
      <c r="C486" s="12" t="s">
        <v>1180</v>
      </c>
      <c r="D486" s="12" t="s">
        <v>96</v>
      </c>
      <c r="E486" s="12" t="s">
        <v>365</v>
      </c>
      <c r="F486" s="321">
        <v>1.0</v>
      </c>
      <c r="G486" s="12" t="s">
        <v>236</v>
      </c>
      <c r="H486" s="12" t="s">
        <v>265</v>
      </c>
      <c r="I486" s="321">
        <v>6.0</v>
      </c>
    </row>
    <row r="487">
      <c r="A487" s="12" t="s">
        <v>881</v>
      </c>
      <c r="B487" s="12" t="s">
        <v>1179</v>
      </c>
      <c r="C487" s="12" t="s">
        <v>1180</v>
      </c>
      <c r="D487" s="12" t="s">
        <v>96</v>
      </c>
      <c r="E487" s="12" t="s">
        <v>365</v>
      </c>
      <c r="F487" s="321">
        <v>2.0</v>
      </c>
      <c r="G487" s="12" t="s">
        <v>236</v>
      </c>
      <c r="H487" s="12" t="s">
        <v>265</v>
      </c>
      <c r="I487" s="321">
        <v>6.0</v>
      </c>
    </row>
    <row r="488">
      <c r="A488" s="12" t="s">
        <v>882</v>
      </c>
      <c r="B488" s="12" t="s">
        <v>1179</v>
      </c>
      <c r="C488" s="12" t="s">
        <v>1180</v>
      </c>
      <c r="D488" s="12" t="s">
        <v>96</v>
      </c>
      <c r="E488" s="12" t="s">
        <v>365</v>
      </c>
      <c r="F488" s="321">
        <v>3.0</v>
      </c>
      <c r="G488" s="12" t="s">
        <v>236</v>
      </c>
      <c r="H488" s="12" t="s">
        <v>265</v>
      </c>
      <c r="I488" s="321">
        <v>6.0</v>
      </c>
    </row>
    <row r="489">
      <c r="A489" s="12" t="s">
        <v>883</v>
      </c>
      <c r="B489" s="12" t="s">
        <v>1179</v>
      </c>
      <c r="C489" s="12" t="s">
        <v>1180</v>
      </c>
      <c r="D489" s="12" t="s">
        <v>96</v>
      </c>
      <c r="E489" s="12" t="s">
        <v>365</v>
      </c>
      <c r="F489" s="321">
        <v>4.0</v>
      </c>
      <c r="G489" s="12" t="s">
        <v>236</v>
      </c>
      <c r="H489" s="12" t="s">
        <v>265</v>
      </c>
      <c r="I489" s="321">
        <v>6.0</v>
      </c>
    </row>
    <row r="490">
      <c r="A490" s="12" t="s">
        <v>884</v>
      </c>
      <c r="B490" s="12" t="s">
        <v>1179</v>
      </c>
      <c r="C490" s="12" t="s">
        <v>1180</v>
      </c>
      <c r="D490" s="12" t="s">
        <v>96</v>
      </c>
      <c r="E490" s="12" t="s">
        <v>365</v>
      </c>
      <c r="F490" s="321">
        <v>5.0</v>
      </c>
      <c r="G490" s="12" t="s">
        <v>236</v>
      </c>
      <c r="H490" s="12" t="s">
        <v>265</v>
      </c>
      <c r="I490" s="321">
        <v>6.0</v>
      </c>
    </row>
    <row r="491">
      <c r="A491" s="12" t="s">
        <v>885</v>
      </c>
      <c r="B491" s="12" t="s">
        <v>1179</v>
      </c>
      <c r="C491" s="12" t="s">
        <v>1180</v>
      </c>
      <c r="D491" s="12" t="s">
        <v>96</v>
      </c>
      <c r="E491" s="12" t="s">
        <v>365</v>
      </c>
      <c r="F491" s="321">
        <v>6.0</v>
      </c>
      <c r="G491" s="12" t="s">
        <v>236</v>
      </c>
      <c r="H491" s="12" t="s">
        <v>265</v>
      </c>
      <c r="I491" s="321">
        <v>6.0</v>
      </c>
    </row>
    <row r="492">
      <c r="A492" s="12" t="s">
        <v>886</v>
      </c>
      <c r="B492" s="12" t="s">
        <v>1179</v>
      </c>
      <c r="C492" s="12" t="s">
        <v>1180</v>
      </c>
      <c r="D492" s="12" t="s">
        <v>96</v>
      </c>
      <c r="E492" s="12" t="s">
        <v>365</v>
      </c>
      <c r="F492" s="321">
        <v>7.0</v>
      </c>
      <c r="G492" s="12" t="s">
        <v>236</v>
      </c>
      <c r="H492" s="12" t="s">
        <v>265</v>
      </c>
      <c r="I492" s="321">
        <v>6.0</v>
      </c>
    </row>
    <row r="493">
      <c r="A493" s="12" t="s">
        <v>887</v>
      </c>
      <c r="B493" s="12" t="s">
        <v>1179</v>
      </c>
      <c r="C493" s="12" t="s">
        <v>1180</v>
      </c>
      <c r="D493" s="12" t="s">
        <v>96</v>
      </c>
      <c r="E493" s="12" t="s">
        <v>365</v>
      </c>
      <c r="F493" s="321">
        <v>8.0</v>
      </c>
      <c r="G493" s="12" t="s">
        <v>236</v>
      </c>
      <c r="H493" s="12" t="s">
        <v>265</v>
      </c>
      <c r="I493" s="321">
        <v>6.0</v>
      </c>
    </row>
    <row r="494">
      <c r="A494" s="12" t="s">
        <v>888</v>
      </c>
      <c r="B494" s="12" t="s">
        <v>1179</v>
      </c>
      <c r="C494" s="12" t="s">
        <v>1180</v>
      </c>
      <c r="D494" s="12" t="s">
        <v>96</v>
      </c>
      <c r="E494" s="12" t="s">
        <v>365</v>
      </c>
      <c r="F494" s="321">
        <v>9.0</v>
      </c>
      <c r="G494" s="12" t="s">
        <v>236</v>
      </c>
      <c r="H494" s="12" t="s">
        <v>265</v>
      </c>
      <c r="I494" s="321">
        <v>6.0</v>
      </c>
    </row>
    <row r="495">
      <c r="A495" s="12" t="s">
        <v>889</v>
      </c>
      <c r="B495" s="12" t="s">
        <v>1179</v>
      </c>
      <c r="C495" s="12" t="s">
        <v>1180</v>
      </c>
      <c r="D495" s="12" t="s">
        <v>96</v>
      </c>
      <c r="E495" s="12" t="s">
        <v>365</v>
      </c>
      <c r="F495" s="321">
        <v>10.0</v>
      </c>
      <c r="G495" s="12" t="s">
        <v>236</v>
      </c>
      <c r="H495" s="12" t="s">
        <v>265</v>
      </c>
      <c r="I495" s="321">
        <v>6.0</v>
      </c>
    </row>
    <row r="496">
      <c r="A496" s="12" t="s">
        <v>878</v>
      </c>
      <c r="B496" s="12" t="s">
        <v>1181</v>
      </c>
      <c r="C496" s="12" t="s">
        <v>1182</v>
      </c>
      <c r="D496" s="12" t="s">
        <v>96</v>
      </c>
      <c r="E496" s="12" t="s">
        <v>371</v>
      </c>
      <c r="F496" s="321">
        <v>1.0</v>
      </c>
      <c r="G496" s="12" t="s">
        <v>236</v>
      </c>
      <c r="H496" s="12" t="s">
        <v>265</v>
      </c>
      <c r="I496" s="321">
        <v>7.0</v>
      </c>
    </row>
    <row r="497">
      <c r="A497" s="12" t="s">
        <v>881</v>
      </c>
      <c r="B497" s="12" t="s">
        <v>1181</v>
      </c>
      <c r="C497" s="12" t="s">
        <v>1182</v>
      </c>
      <c r="D497" s="12" t="s">
        <v>96</v>
      </c>
      <c r="E497" s="12" t="s">
        <v>371</v>
      </c>
      <c r="F497" s="321">
        <v>2.0</v>
      </c>
      <c r="G497" s="12" t="s">
        <v>236</v>
      </c>
      <c r="H497" s="12" t="s">
        <v>265</v>
      </c>
      <c r="I497" s="321">
        <v>7.0</v>
      </c>
    </row>
    <row r="498">
      <c r="A498" s="12" t="s">
        <v>882</v>
      </c>
      <c r="B498" s="12" t="s">
        <v>1181</v>
      </c>
      <c r="C498" s="12" t="s">
        <v>1182</v>
      </c>
      <c r="D498" s="12" t="s">
        <v>96</v>
      </c>
      <c r="E498" s="12" t="s">
        <v>371</v>
      </c>
      <c r="F498" s="321">
        <v>3.0</v>
      </c>
      <c r="G498" s="12" t="s">
        <v>236</v>
      </c>
      <c r="H498" s="12" t="s">
        <v>265</v>
      </c>
      <c r="I498" s="321">
        <v>7.0</v>
      </c>
    </row>
    <row r="499">
      <c r="A499" s="12" t="s">
        <v>883</v>
      </c>
      <c r="B499" s="12" t="s">
        <v>1181</v>
      </c>
      <c r="C499" s="12" t="s">
        <v>1182</v>
      </c>
      <c r="D499" s="12" t="s">
        <v>96</v>
      </c>
      <c r="E499" s="12" t="s">
        <v>371</v>
      </c>
      <c r="F499" s="321">
        <v>4.0</v>
      </c>
      <c r="G499" s="12" t="s">
        <v>236</v>
      </c>
      <c r="H499" s="12" t="s">
        <v>265</v>
      </c>
      <c r="I499" s="321">
        <v>7.0</v>
      </c>
    </row>
    <row r="500">
      <c r="A500" s="12" t="s">
        <v>884</v>
      </c>
      <c r="B500" s="12" t="s">
        <v>1181</v>
      </c>
      <c r="C500" s="12" t="s">
        <v>1182</v>
      </c>
      <c r="D500" s="12" t="s">
        <v>96</v>
      </c>
      <c r="E500" s="12" t="s">
        <v>371</v>
      </c>
      <c r="F500" s="321">
        <v>5.0</v>
      </c>
      <c r="G500" s="12" t="s">
        <v>236</v>
      </c>
      <c r="H500" s="12" t="s">
        <v>265</v>
      </c>
      <c r="I500" s="321">
        <v>7.0</v>
      </c>
    </row>
    <row r="501">
      <c r="A501" s="12" t="s">
        <v>885</v>
      </c>
      <c r="B501" s="12" t="s">
        <v>1181</v>
      </c>
      <c r="C501" s="12" t="s">
        <v>1182</v>
      </c>
      <c r="D501" s="12" t="s">
        <v>96</v>
      </c>
      <c r="E501" s="12" t="s">
        <v>371</v>
      </c>
      <c r="F501" s="321">
        <v>6.0</v>
      </c>
      <c r="G501" s="12" t="s">
        <v>236</v>
      </c>
      <c r="H501" s="12" t="s">
        <v>265</v>
      </c>
      <c r="I501" s="321">
        <v>7.0</v>
      </c>
    </row>
    <row r="502">
      <c r="A502" s="12" t="s">
        <v>886</v>
      </c>
      <c r="B502" s="12" t="s">
        <v>1181</v>
      </c>
      <c r="C502" s="12" t="s">
        <v>1182</v>
      </c>
      <c r="D502" s="12" t="s">
        <v>96</v>
      </c>
      <c r="E502" s="12" t="s">
        <v>371</v>
      </c>
      <c r="F502" s="321">
        <v>7.0</v>
      </c>
      <c r="G502" s="12" t="s">
        <v>236</v>
      </c>
      <c r="H502" s="12" t="s">
        <v>265</v>
      </c>
      <c r="I502" s="321">
        <v>7.0</v>
      </c>
    </row>
    <row r="503">
      <c r="A503" s="12" t="s">
        <v>887</v>
      </c>
      <c r="B503" s="12" t="s">
        <v>1181</v>
      </c>
      <c r="C503" s="12" t="s">
        <v>1182</v>
      </c>
      <c r="D503" s="12" t="s">
        <v>96</v>
      </c>
      <c r="E503" s="12" t="s">
        <v>371</v>
      </c>
      <c r="F503" s="321">
        <v>8.0</v>
      </c>
      <c r="G503" s="12" t="s">
        <v>236</v>
      </c>
      <c r="H503" s="12" t="s">
        <v>265</v>
      </c>
      <c r="I503" s="321">
        <v>7.0</v>
      </c>
    </row>
    <row r="504">
      <c r="A504" s="12" t="s">
        <v>888</v>
      </c>
      <c r="B504" s="12" t="s">
        <v>1181</v>
      </c>
      <c r="C504" s="12" t="s">
        <v>1182</v>
      </c>
      <c r="D504" s="12" t="s">
        <v>96</v>
      </c>
      <c r="E504" s="12" t="s">
        <v>371</v>
      </c>
      <c r="F504" s="321">
        <v>9.0</v>
      </c>
      <c r="G504" s="12" t="s">
        <v>236</v>
      </c>
      <c r="H504" s="12" t="s">
        <v>265</v>
      </c>
      <c r="I504" s="321">
        <v>7.0</v>
      </c>
    </row>
    <row r="505">
      <c r="A505" s="12" t="s">
        <v>889</v>
      </c>
      <c r="B505" s="12" t="s">
        <v>1181</v>
      </c>
      <c r="C505" s="12" t="s">
        <v>1182</v>
      </c>
      <c r="D505" s="12" t="s">
        <v>96</v>
      </c>
      <c r="E505" s="12" t="s">
        <v>371</v>
      </c>
      <c r="F505" s="321">
        <v>10.0</v>
      </c>
      <c r="G505" s="12" t="s">
        <v>236</v>
      </c>
      <c r="H505" s="12" t="s">
        <v>265</v>
      </c>
      <c r="I505" s="321">
        <v>7.0</v>
      </c>
    </row>
    <row r="506">
      <c r="A506" s="12" t="s">
        <v>700</v>
      </c>
      <c r="B506" s="12" t="s">
        <v>1183</v>
      </c>
      <c r="C506" s="12" t="s">
        <v>1184</v>
      </c>
      <c r="D506" s="12" t="s">
        <v>96</v>
      </c>
      <c r="E506" s="12" t="s">
        <v>432</v>
      </c>
      <c r="F506" s="321">
        <v>1.0</v>
      </c>
      <c r="G506" s="12" t="s">
        <v>236</v>
      </c>
      <c r="H506" s="12" t="s">
        <v>661</v>
      </c>
      <c r="I506" s="321">
        <v>16.0</v>
      </c>
    </row>
    <row r="507">
      <c r="A507" s="12" t="s">
        <v>677</v>
      </c>
      <c r="B507" s="12" t="s">
        <v>1183</v>
      </c>
      <c r="C507" s="12" t="s">
        <v>1184</v>
      </c>
      <c r="D507" s="12" t="s">
        <v>96</v>
      </c>
      <c r="E507" s="12" t="s">
        <v>432</v>
      </c>
      <c r="F507" s="321">
        <v>1.0</v>
      </c>
      <c r="G507" s="12" t="s">
        <v>236</v>
      </c>
      <c r="H507" s="12" t="s">
        <v>661</v>
      </c>
      <c r="I507" s="321">
        <v>16.0</v>
      </c>
    </row>
    <row r="508">
      <c r="A508" s="12" t="s">
        <v>911</v>
      </c>
      <c r="B508" s="12" t="s">
        <v>1183</v>
      </c>
      <c r="C508" s="12" t="s">
        <v>1184</v>
      </c>
      <c r="D508" s="12" t="s">
        <v>96</v>
      </c>
      <c r="E508" s="12" t="s">
        <v>432</v>
      </c>
      <c r="F508" s="321">
        <v>1.0</v>
      </c>
      <c r="G508" s="12" t="s">
        <v>236</v>
      </c>
      <c r="H508" s="12" t="s">
        <v>661</v>
      </c>
      <c r="I508" s="321">
        <v>16.0</v>
      </c>
    </row>
    <row r="509">
      <c r="A509" s="12" t="s">
        <v>971</v>
      </c>
      <c r="B509" s="12" t="s">
        <v>1183</v>
      </c>
      <c r="C509" s="12" t="s">
        <v>1184</v>
      </c>
      <c r="D509" s="12" t="s">
        <v>96</v>
      </c>
      <c r="E509" s="12" t="s">
        <v>432</v>
      </c>
      <c r="F509" s="321">
        <v>2.0</v>
      </c>
      <c r="G509" s="12" t="s">
        <v>236</v>
      </c>
      <c r="H509" s="12" t="s">
        <v>661</v>
      </c>
      <c r="I509" s="321">
        <v>16.0</v>
      </c>
    </row>
    <row r="510">
      <c r="A510" s="12" t="s">
        <v>912</v>
      </c>
      <c r="B510" s="12" t="s">
        <v>1183</v>
      </c>
      <c r="C510" s="12" t="s">
        <v>1184</v>
      </c>
      <c r="D510" s="12" t="s">
        <v>96</v>
      </c>
      <c r="E510" s="12" t="s">
        <v>432</v>
      </c>
      <c r="F510" s="321">
        <v>2.0</v>
      </c>
      <c r="G510" s="12" t="s">
        <v>236</v>
      </c>
      <c r="H510" s="12" t="s">
        <v>661</v>
      </c>
      <c r="I510" s="321">
        <v>16.0</v>
      </c>
    </row>
    <row r="511">
      <c r="A511" s="12" t="s">
        <v>972</v>
      </c>
      <c r="B511" s="12" t="s">
        <v>1183</v>
      </c>
      <c r="C511" s="12" t="s">
        <v>1184</v>
      </c>
      <c r="D511" s="12" t="s">
        <v>96</v>
      </c>
      <c r="E511" s="12" t="s">
        <v>432</v>
      </c>
      <c r="F511" s="321">
        <v>2.0</v>
      </c>
      <c r="G511" s="12" t="s">
        <v>236</v>
      </c>
      <c r="H511" s="12" t="s">
        <v>661</v>
      </c>
      <c r="I511" s="321">
        <v>16.0</v>
      </c>
    </row>
    <row r="512">
      <c r="A512" s="12" t="s">
        <v>673</v>
      </c>
      <c r="B512" s="12" t="s">
        <v>1185</v>
      </c>
      <c r="C512" s="12" t="s">
        <v>1186</v>
      </c>
      <c r="D512" s="12" t="s">
        <v>96</v>
      </c>
      <c r="E512" s="12" t="s">
        <v>437</v>
      </c>
      <c r="F512" s="321">
        <v>1.0</v>
      </c>
      <c r="G512" s="12" t="s">
        <v>236</v>
      </c>
      <c r="H512" s="12" t="s">
        <v>661</v>
      </c>
      <c r="I512" s="321">
        <v>17.0</v>
      </c>
    </row>
    <row r="513">
      <c r="A513" s="12" t="s">
        <v>959</v>
      </c>
      <c r="B513" s="12" t="s">
        <v>1185</v>
      </c>
      <c r="C513" s="12" t="s">
        <v>1187</v>
      </c>
      <c r="D513" s="12" t="s">
        <v>96</v>
      </c>
      <c r="E513" s="12" t="s">
        <v>437</v>
      </c>
      <c r="F513" s="321">
        <v>1.0</v>
      </c>
      <c r="G513" s="12" t="s">
        <v>236</v>
      </c>
      <c r="H513" s="12" t="s">
        <v>661</v>
      </c>
      <c r="I513" s="321">
        <v>17.0</v>
      </c>
    </row>
    <row r="514">
      <c r="A514" s="12" t="s">
        <v>960</v>
      </c>
      <c r="B514" s="12" t="s">
        <v>1185</v>
      </c>
      <c r="C514" s="12" t="s">
        <v>1188</v>
      </c>
      <c r="D514" s="12" t="s">
        <v>96</v>
      </c>
      <c r="E514" s="12" t="s">
        <v>437</v>
      </c>
      <c r="F514" s="321">
        <v>1.0</v>
      </c>
      <c r="G514" s="12" t="s">
        <v>236</v>
      </c>
      <c r="H514" s="12" t="s">
        <v>661</v>
      </c>
      <c r="I514" s="321">
        <v>17.0</v>
      </c>
    </row>
    <row r="515">
      <c r="A515" s="12" t="s">
        <v>679</v>
      </c>
      <c r="B515" s="12" t="s">
        <v>1189</v>
      </c>
      <c r="C515" s="12" t="s">
        <v>1190</v>
      </c>
      <c r="D515" s="12" t="s">
        <v>96</v>
      </c>
      <c r="E515" s="12" t="s">
        <v>408</v>
      </c>
      <c r="F515" s="321">
        <v>1.0</v>
      </c>
      <c r="G515" s="12" t="s">
        <v>236</v>
      </c>
      <c r="H515" s="12" t="s">
        <v>661</v>
      </c>
      <c r="I515" s="321">
        <v>13.0</v>
      </c>
    </row>
    <row r="516">
      <c r="A516" s="12" t="s">
        <v>979</v>
      </c>
      <c r="B516" s="12" t="s">
        <v>1189</v>
      </c>
      <c r="C516" s="12" t="s">
        <v>1191</v>
      </c>
      <c r="D516" s="12" t="s">
        <v>96</v>
      </c>
      <c r="E516" s="12" t="s">
        <v>408</v>
      </c>
      <c r="F516" s="321">
        <v>1.0</v>
      </c>
      <c r="G516" s="12" t="s">
        <v>236</v>
      </c>
      <c r="H516" s="12" t="s">
        <v>661</v>
      </c>
      <c r="I516" s="321">
        <v>13.0</v>
      </c>
    </row>
    <row r="517">
      <c r="A517" s="12" t="s">
        <v>980</v>
      </c>
      <c r="B517" s="12" t="s">
        <v>1189</v>
      </c>
      <c r="C517" s="12" t="s">
        <v>1192</v>
      </c>
      <c r="D517" s="12" t="s">
        <v>96</v>
      </c>
      <c r="E517" s="12" t="s">
        <v>408</v>
      </c>
      <c r="F517" s="321">
        <v>1.0</v>
      </c>
      <c r="G517" s="12" t="s">
        <v>236</v>
      </c>
      <c r="H517" s="12" t="s">
        <v>661</v>
      </c>
      <c r="I517" s="321">
        <v>13.0</v>
      </c>
    </row>
    <row r="518">
      <c r="A518" s="12" t="s">
        <v>680</v>
      </c>
      <c r="B518" s="12" t="s">
        <v>1193</v>
      </c>
      <c r="C518" s="12" t="s">
        <v>1194</v>
      </c>
      <c r="D518" s="12" t="s">
        <v>96</v>
      </c>
      <c r="E518" s="12" t="s">
        <v>436</v>
      </c>
      <c r="F518" s="321">
        <v>1.0</v>
      </c>
      <c r="G518" s="12" t="s">
        <v>236</v>
      </c>
      <c r="H518" s="12" t="s">
        <v>661</v>
      </c>
      <c r="I518" s="321">
        <v>17.0</v>
      </c>
    </row>
    <row r="519">
      <c r="A519" s="12" t="s">
        <v>983</v>
      </c>
      <c r="B519" s="12" t="s">
        <v>1193</v>
      </c>
      <c r="C519" s="12" t="s">
        <v>1194</v>
      </c>
      <c r="D519" s="12" t="s">
        <v>96</v>
      </c>
      <c r="E519" s="12" t="s">
        <v>436</v>
      </c>
      <c r="F519" s="321">
        <v>2.0</v>
      </c>
      <c r="G519" s="12" t="s">
        <v>236</v>
      </c>
      <c r="H519" s="12" t="s">
        <v>661</v>
      </c>
      <c r="I519" s="321">
        <v>17.0</v>
      </c>
    </row>
    <row r="520">
      <c r="A520" s="12" t="s">
        <v>984</v>
      </c>
      <c r="B520" s="12" t="s">
        <v>1193</v>
      </c>
      <c r="C520" s="12" t="s">
        <v>1194</v>
      </c>
      <c r="D520" s="12" t="s">
        <v>96</v>
      </c>
      <c r="E520" s="12" t="s">
        <v>436</v>
      </c>
      <c r="F520" s="321">
        <v>2.0</v>
      </c>
      <c r="G520" s="12" t="s">
        <v>236</v>
      </c>
      <c r="H520" s="12" t="s">
        <v>661</v>
      </c>
      <c r="I520" s="321">
        <v>17.0</v>
      </c>
    </row>
    <row r="521">
      <c r="A521" s="12" t="s">
        <v>666</v>
      </c>
      <c r="B521" s="12" t="s">
        <v>1195</v>
      </c>
      <c r="C521" s="12" t="s">
        <v>1196</v>
      </c>
      <c r="D521" s="12" t="s">
        <v>96</v>
      </c>
      <c r="E521" s="12" t="s">
        <v>435</v>
      </c>
      <c r="F521" s="321">
        <v>1.0</v>
      </c>
      <c r="G521" s="12" t="s">
        <v>236</v>
      </c>
      <c r="H521" s="12" t="s">
        <v>661</v>
      </c>
      <c r="I521" s="321">
        <v>17.0</v>
      </c>
    </row>
    <row r="522">
      <c r="A522" s="12" t="s">
        <v>1197</v>
      </c>
      <c r="B522" s="12" t="s">
        <v>1195</v>
      </c>
      <c r="C522" s="12" t="s">
        <v>1196</v>
      </c>
      <c r="D522" s="12" t="s">
        <v>96</v>
      </c>
      <c r="E522" s="12" t="s">
        <v>435</v>
      </c>
      <c r="F522" s="321">
        <v>1.0</v>
      </c>
      <c r="G522" s="12" t="s">
        <v>236</v>
      </c>
      <c r="H522" s="12" t="s">
        <v>661</v>
      </c>
      <c r="I522" s="321">
        <v>17.0</v>
      </c>
    </row>
    <row r="523">
      <c r="A523" s="12" t="s">
        <v>848</v>
      </c>
      <c r="B523" s="12" t="s">
        <v>1195</v>
      </c>
      <c r="C523" s="12" t="s">
        <v>1196</v>
      </c>
      <c r="D523" s="12" t="s">
        <v>96</v>
      </c>
      <c r="E523" s="12" t="s">
        <v>435</v>
      </c>
      <c r="F523" s="321">
        <v>1.0</v>
      </c>
      <c r="G523" s="12" t="s">
        <v>236</v>
      </c>
      <c r="H523" s="12" t="s">
        <v>661</v>
      </c>
      <c r="I523" s="321">
        <v>17.0</v>
      </c>
    </row>
    <row r="524">
      <c r="A524" s="12" t="s">
        <v>851</v>
      </c>
      <c r="B524" s="12" t="s">
        <v>1195</v>
      </c>
      <c r="C524" s="12" t="s">
        <v>1196</v>
      </c>
      <c r="D524" s="12" t="s">
        <v>96</v>
      </c>
      <c r="E524" s="12" t="s">
        <v>435</v>
      </c>
      <c r="F524" s="321">
        <v>2.0</v>
      </c>
      <c r="G524" s="12" t="s">
        <v>236</v>
      </c>
      <c r="H524" s="12" t="s">
        <v>661</v>
      </c>
      <c r="I524" s="321">
        <v>17.0</v>
      </c>
    </row>
    <row r="525">
      <c r="A525" s="12" t="s">
        <v>852</v>
      </c>
      <c r="B525" s="12" t="s">
        <v>1195</v>
      </c>
      <c r="C525" s="12" t="s">
        <v>1196</v>
      </c>
      <c r="D525" s="12" t="s">
        <v>96</v>
      </c>
      <c r="E525" s="12" t="s">
        <v>435</v>
      </c>
      <c r="F525" s="321">
        <v>3.0</v>
      </c>
      <c r="G525" s="12" t="s">
        <v>236</v>
      </c>
      <c r="H525" s="12" t="s">
        <v>661</v>
      </c>
      <c r="I525" s="321">
        <v>17.0</v>
      </c>
    </row>
    <row r="526">
      <c r="A526" s="12" t="s">
        <v>853</v>
      </c>
      <c r="B526" s="12" t="s">
        <v>1195</v>
      </c>
      <c r="C526" s="12" t="s">
        <v>1196</v>
      </c>
      <c r="D526" s="12" t="s">
        <v>96</v>
      </c>
      <c r="E526" s="12" t="s">
        <v>435</v>
      </c>
      <c r="F526" s="321">
        <v>4.0</v>
      </c>
      <c r="G526" s="12" t="s">
        <v>236</v>
      </c>
      <c r="H526" s="12" t="s">
        <v>661</v>
      </c>
      <c r="I526" s="321">
        <v>17.0</v>
      </c>
    </row>
    <row r="527">
      <c r="A527" s="12" t="s">
        <v>854</v>
      </c>
      <c r="B527" s="12" t="s">
        <v>1195</v>
      </c>
      <c r="C527" s="12" t="s">
        <v>1196</v>
      </c>
      <c r="D527" s="12" t="s">
        <v>96</v>
      </c>
      <c r="E527" s="12" t="s">
        <v>435</v>
      </c>
      <c r="F527" s="321">
        <v>5.0</v>
      </c>
      <c r="G527" s="12" t="s">
        <v>236</v>
      </c>
      <c r="H527" s="12" t="s">
        <v>661</v>
      </c>
      <c r="I527" s="321">
        <v>17.0</v>
      </c>
    </row>
    <row r="528">
      <c r="A528" s="12" t="s">
        <v>855</v>
      </c>
      <c r="B528" s="12" t="s">
        <v>1195</v>
      </c>
      <c r="C528" s="12" t="s">
        <v>1196</v>
      </c>
      <c r="D528" s="12" t="s">
        <v>96</v>
      </c>
      <c r="E528" s="12" t="s">
        <v>435</v>
      </c>
      <c r="F528" s="321">
        <v>6.0</v>
      </c>
      <c r="G528" s="12" t="s">
        <v>236</v>
      </c>
      <c r="H528" s="12" t="s">
        <v>661</v>
      </c>
      <c r="I528" s="321">
        <v>17.0</v>
      </c>
    </row>
    <row r="529">
      <c r="A529" s="12" t="s">
        <v>856</v>
      </c>
      <c r="B529" s="12" t="s">
        <v>1195</v>
      </c>
      <c r="C529" s="12" t="s">
        <v>1196</v>
      </c>
      <c r="D529" s="12" t="s">
        <v>96</v>
      </c>
      <c r="E529" s="12" t="s">
        <v>435</v>
      </c>
      <c r="F529" s="321">
        <v>7.0</v>
      </c>
      <c r="G529" s="12" t="s">
        <v>236</v>
      </c>
      <c r="H529" s="12" t="s">
        <v>661</v>
      </c>
      <c r="I529" s="321">
        <v>17.0</v>
      </c>
    </row>
    <row r="530">
      <c r="A530" s="12" t="s">
        <v>857</v>
      </c>
      <c r="B530" s="12" t="s">
        <v>1195</v>
      </c>
      <c r="C530" s="12" t="s">
        <v>1196</v>
      </c>
      <c r="D530" s="12" t="s">
        <v>96</v>
      </c>
      <c r="E530" s="12" t="s">
        <v>435</v>
      </c>
      <c r="F530" s="321">
        <v>8.0</v>
      </c>
      <c r="G530" s="12" t="s">
        <v>236</v>
      </c>
      <c r="H530" s="12" t="s">
        <v>661</v>
      </c>
      <c r="I530" s="321">
        <v>17.0</v>
      </c>
    </row>
    <row r="531">
      <c r="A531" s="12" t="s">
        <v>858</v>
      </c>
      <c r="B531" s="12" t="s">
        <v>1195</v>
      </c>
      <c r="C531" s="12" t="s">
        <v>1196</v>
      </c>
      <c r="D531" s="12" t="s">
        <v>96</v>
      </c>
      <c r="E531" s="12" t="s">
        <v>435</v>
      </c>
      <c r="F531" s="321">
        <v>9.0</v>
      </c>
      <c r="G531" s="12" t="s">
        <v>236</v>
      </c>
      <c r="H531" s="12" t="s">
        <v>661</v>
      </c>
      <c r="I531" s="321">
        <v>17.0</v>
      </c>
    </row>
    <row r="532">
      <c r="A532" s="12" t="s">
        <v>859</v>
      </c>
      <c r="B532" s="12" t="s">
        <v>1195</v>
      </c>
      <c r="C532" s="12" t="s">
        <v>1196</v>
      </c>
      <c r="D532" s="12" t="s">
        <v>96</v>
      </c>
      <c r="E532" s="12" t="s">
        <v>435</v>
      </c>
      <c r="F532" s="321">
        <v>10.0</v>
      </c>
      <c r="G532" s="12" t="s">
        <v>236</v>
      </c>
      <c r="H532" s="12" t="s">
        <v>661</v>
      </c>
      <c r="I532" s="321">
        <v>17.0</v>
      </c>
    </row>
    <row r="533">
      <c r="A533" s="12" t="s">
        <v>931</v>
      </c>
      <c r="B533" s="12" t="s">
        <v>1195</v>
      </c>
      <c r="C533" s="12" t="s">
        <v>1196</v>
      </c>
      <c r="D533" s="12" t="s">
        <v>96</v>
      </c>
      <c r="E533" s="12" t="s">
        <v>435</v>
      </c>
      <c r="F533" s="321">
        <v>2.0</v>
      </c>
      <c r="G533" s="12" t="s">
        <v>236</v>
      </c>
      <c r="H533" s="12" t="s">
        <v>661</v>
      </c>
      <c r="I533" s="321">
        <v>17.0</v>
      </c>
    </row>
    <row r="534">
      <c r="A534" s="12" t="s">
        <v>932</v>
      </c>
      <c r="B534" s="12" t="s">
        <v>1195</v>
      </c>
      <c r="C534" s="12" t="s">
        <v>1196</v>
      </c>
      <c r="D534" s="12" t="s">
        <v>96</v>
      </c>
      <c r="E534" s="12" t="s">
        <v>435</v>
      </c>
      <c r="F534" s="321">
        <v>2.0</v>
      </c>
      <c r="G534" s="12" t="s">
        <v>236</v>
      </c>
      <c r="H534" s="12" t="s">
        <v>661</v>
      </c>
      <c r="I534" s="321">
        <v>17.0</v>
      </c>
    </row>
    <row r="535">
      <c r="A535" s="12" t="s">
        <v>1198</v>
      </c>
      <c r="B535" s="12" t="s">
        <v>1199</v>
      </c>
      <c r="C535" s="12" t="s">
        <v>1200</v>
      </c>
      <c r="D535" s="12" t="s">
        <v>96</v>
      </c>
      <c r="E535" s="12" t="s">
        <v>425</v>
      </c>
      <c r="F535" s="321">
        <v>1.0</v>
      </c>
      <c r="G535" s="12" t="s">
        <v>236</v>
      </c>
      <c r="H535" s="12" t="s">
        <v>661</v>
      </c>
      <c r="I535" s="321">
        <v>15.0</v>
      </c>
    </row>
    <row r="536">
      <c r="A536" s="12" t="s">
        <v>863</v>
      </c>
      <c r="B536" s="12" t="s">
        <v>1199</v>
      </c>
      <c r="C536" s="12" t="s">
        <v>1200</v>
      </c>
      <c r="D536" s="12" t="s">
        <v>96</v>
      </c>
      <c r="E536" s="12" t="s">
        <v>425</v>
      </c>
      <c r="F536" s="321">
        <v>1.0</v>
      </c>
      <c r="G536" s="12" t="s">
        <v>236</v>
      </c>
      <c r="H536" s="12" t="s">
        <v>661</v>
      </c>
      <c r="I536" s="321">
        <v>15.0</v>
      </c>
    </row>
    <row r="537">
      <c r="A537" s="12" t="s">
        <v>866</v>
      </c>
      <c r="B537" s="12" t="s">
        <v>1199</v>
      </c>
      <c r="C537" s="12" t="s">
        <v>1200</v>
      </c>
      <c r="D537" s="12" t="s">
        <v>96</v>
      </c>
      <c r="E537" s="12" t="s">
        <v>425</v>
      </c>
      <c r="F537" s="321">
        <v>2.0</v>
      </c>
      <c r="G537" s="12" t="s">
        <v>236</v>
      </c>
      <c r="H537" s="12" t="s">
        <v>661</v>
      </c>
      <c r="I537" s="321">
        <v>15.0</v>
      </c>
    </row>
    <row r="538">
      <c r="A538" s="12" t="s">
        <v>867</v>
      </c>
      <c r="B538" s="12" t="s">
        <v>1199</v>
      </c>
      <c r="C538" s="12" t="s">
        <v>1200</v>
      </c>
      <c r="D538" s="12" t="s">
        <v>96</v>
      </c>
      <c r="E538" s="12" t="s">
        <v>425</v>
      </c>
      <c r="F538" s="321">
        <v>3.0</v>
      </c>
      <c r="G538" s="12" t="s">
        <v>236</v>
      </c>
      <c r="H538" s="12" t="s">
        <v>661</v>
      </c>
      <c r="I538" s="321">
        <v>15.0</v>
      </c>
    </row>
    <row r="539">
      <c r="A539" s="12" t="s">
        <v>868</v>
      </c>
      <c r="B539" s="12" t="s">
        <v>1199</v>
      </c>
      <c r="C539" s="12" t="s">
        <v>1200</v>
      </c>
      <c r="D539" s="12" t="s">
        <v>96</v>
      </c>
      <c r="E539" s="12" t="s">
        <v>425</v>
      </c>
      <c r="F539" s="321">
        <v>4.0</v>
      </c>
      <c r="G539" s="12" t="s">
        <v>236</v>
      </c>
      <c r="H539" s="12" t="s">
        <v>661</v>
      </c>
      <c r="I539" s="321">
        <v>15.0</v>
      </c>
    </row>
    <row r="540">
      <c r="A540" s="12" t="s">
        <v>869</v>
      </c>
      <c r="B540" s="12" t="s">
        <v>1199</v>
      </c>
      <c r="C540" s="12" t="s">
        <v>1200</v>
      </c>
      <c r="D540" s="12" t="s">
        <v>96</v>
      </c>
      <c r="E540" s="12" t="s">
        <v>425</v>
      </c>
      <c r="F540" s="321">
        <v>5.0</v>
      </c>
      <c r="G540" s="12" t="s">
        <v>236</v>
      </c>
      <c r="H540" s="12" t="s">
        <v>661</v>
      </c>
      <c r="I540" s="321">
        <v>15.0</v>
      </c>
    </row>
    <row r="541">
      <c r="A541" s="12" t="s">
        <v>870</v>
      </c>
      <c r="B541" s="12" t="s">
        <v>1199</v>
      </c>
      <c r="C541" s="12" t="s">
        <v>1200</v>
      </c>
      <c r="D541" s="12" t="s">
        <v>96</v>
      </c>
      <c r="E541" s="12" t="s">
        <v>425</v>
      </c>
      <c r="F541" s="321">
        <v>6.0</v>
      </c>
      <c r="G541" s="12" t="s">
        <v>236</v>
      </c>
      <c r="H541" s="12" t="s">
        <v>661</v>
      </c>
      <c r="I541" s="321">
        <v>15.0</v>
      </c>
    </row>
    <row r="542">
      <c r="A542" s="12" t="s">
        <v>871</v>
      </c>
      <c r="B542" s="12" t="s">
        <v>1199</v>
      </c>
      <c r="C542" s="12" t="s">
        <v>1200</v>
      </c>
      <c r="D542" s="12" t="s">
        <v>96</v>
      </c>
      <c r="E542" s="12" t="s">
        <v>425</v>
      </c>
      <c r="F542" s="321">
        <v>7.0</v>
      </c>
      <c r="G542" s="12" t="s">
        <v>236</v>
      </c>
      <c r="H542" s="12" t="s">
        <v>661</v>
      </c>
      <c r="I542" s="321">
        <v>15.0</v>
      </c>
    </row>
    <row r="543">
      <c r="A543" s="12" t="s">
        <v>872</v>
      </c>
      <c r="B543" s="12" t="s">
        <v>1199</v>
      </c>
      <c r="C543" s="12" t="s">
        <v>1200</v>
      </c>
      <c r="D543" s="12" t="s">
        <v>96</v>
      </c>
      <c r="E543" s="12" t="s">
        <v>425</v>
      </c>
      <c r="F543" s="321">
        <v>8.0</v>
      </c>
      <c r="G543" s="12" t="s">
        <v>236</v>
      </c>
      <c r="H543" s="12" t="s">
        <v>661</v>
      </c>
      <c r="I543" s="321">
        <v>15.0</v>
      </c>
    </row>
    <row r="544">
      <c r="A544" s="12" t="s">
        <v>873</v>
      </c>
      <c r="B544" s="12" t="s">
        <v>1199</v>
      </c>
      <c r="C544" s="12" t="s">
        <v>1200</v>
      </c>
      <c r="D544" s="12" t="s">
        <v>96</v>
      </c>
      <c r="E544" s="12" t="s">
        <v>425</v>
      </c>
      <c r="F544" s="321">
        <v>9.0</v>
      </c>
      <c r="G544" s="12" t="s">
        <v>236</v>
      </c>
      <c r="H544" s="12" t="s">
        <v>661</v>
      </c>
      <c r="I544" s="321">
        <v>15.0</v>
      </c>
    </row>
    <row r="545">
      <c r="A545" s="12" t="s">
        <v>874</v>
      </c>
      <c r="B545" s="12" t="s">
        <v>1199</v>
      </c>
      <c r="C545" s="12" t="s">
        <v>1200</v>
      </c>
      <c r="D545" s="12" t="s">
        <v>96</v>
      </c>
      <c r="E545" s="12" t="s">
        <v>425</v>
      </c>
      <c r="F545" s="321">
        <v>10.0</v>
      </c>
      <c r="G545" s="12" t="s">
        <v>236</v>
      </c>
      <c r="H545" s="12" t="s">
        <v>661</v>
      </c>
      <c r="I545" s="321">
        <v>15.0</v>
      </c>
    </row>
    <row r="546">
      <c r="A546" s="12" t="s">
        <v>971</v>
      </c>
      <c r="B546" s="12" t="s">
        <v>1201</v>
      </c>
      <c r="C546" s="12" t="s">
        <v>1202</v>
      </c>
      <c r="D546" s="12" t="s">
        <v>96</v>
      </c>
      <c r="E546" s="12" t="s">
        <v>385</v>
      </c>
      <c r="F546" s="321">
        <v>1.0</v>
      </c>
      <c r="G546" s="12" t="s">
        <v>236</v>
      </c>
      <c r="H546" s="12" t="s">
        <v>265</v>
      </c>
      <c r="I546" s="321">
        <v>9.0</v>
      </c>
    </row>
    <row r="547">
      <c r="A547" s="12" t="s">
        <v>1203</v>
      </c>
      <c r="B547" s="12" t="s">
        <v>11</v>
      </c>
      <c r="C547" s="12" t="s">
        <v>275</v>
      </c>
      <c r="D547" s="12" t="s">
        <v>96</v>
      </c>
      <c r="E547" s="12" t="s">
        <v>339</v>
      </c>
      <c r="F547" s="321">
        <v>1.0</v>
      </c>
      <c r="G547" s="12" t="s">
        <v>236</v>
      </c>
      <c r="H547" s="12" t="s">
        <v>265</v>
      </c>
      <c r="I547" s="321">
        <v>3.0</v>
      </c>
    </row>
    <row r="548">
      <c r="A548" s="12" t="s">
        <v>285</v>
      </c>
      <c r="B548" s="12" t="s">
        <v>11</v>
      </c>
      <c r="C548" s="12" t="s">
        <v>275</v>
      </c>
      <c r="D548" s="12" t="s">
        <v>96</v>
      </c>
      <c r="E548" s="12" t="s">
        <v>339</v>
      </c>
      <c r="F548" s="321">
        <v>1.0</v>
      </c>
      <c r="G548" s="12" t="s">
        <v>236</v>
      </c>
      <c r="H548" s="12" t="s">
        <v>265</v>
      </c>
      <c r="I548" s="321">
        <v>3.0</v>
      </c>
    </row>
    <row r="549">
      <c r="A549" s="12" t="s">
        <v>1204</v>
      </c>
      <c r="B549" s="12" t="s">
        <v>11</v>
      </c>
      <c r="C549" s="12" t="s">
        <v>275</v>
      </c>
      <c r="D549" s="12" t="s">
        <v>96</v>
      </c>
      <c r="E549" s="12" t="s">
        <v>339</v>
      </c>
      <c r="F549" s="321">
        <v>1.0</v>
      </c>
      <c r="G549" s="12" t="s">
        <v>236</v>
      </c>
      <c r="H549" s="12" t="s">
        <v>265</v>
      </c>
      <c r="I549" s="321">
        <v>3.0</v>
      </c>
    </row>
    <row r="550">
      <c r="A550" s="12" t="s">
        <v>286</v>
      </c>
      <c r="B550" s="12" t="s">
        <v>11</v>
      </c>
      <c r="C550" s="12" t="s">
        <v>275</v>
      </c>
      <c r="D550" s="12" t="s">
        <v>96</v>
      </c>
      <c r="E550" s="12" t="s">
        <v>339</v>
      </c>
      <c r="F550" s="321">
        <v>2.0</v>
      </c>
      <c r="G550" s="12" t="s">
        <v>236</v>
      </c>
      <c r="H550" s="12" t="s">
        <v>265</v>
      </c>
      <c r="I550" s="321">
        <v>3.0</v>
      </c>
    </row>
    <row r="551">
      <c r="A551" s="12" t="s">
        <v>1205</v>
      </c>
      <c r="B551" s="12" t="s">
        <v>11</v>
      </c>
      <c r="C551" s="12" t="s">
        <v>275</v>
      </c>
      <c r="D551" s="12" t="s">
        <v>96</v>
      </c>
      <c r="E551" s="12" t="s">
        <v>339</v>
      </c>
      <c r="F551" s="321">
        <v>2.0</v>
      </c>
      <c r="G551" s="12" t="s">
        <v>236</v>
      </c>
      <c r="H551" s="12" t="s">
        <v>265</v>
      </c>
      <c r="I551" s="321">
        <v>3.0</v>
      </c>
    </row>
    <row r="552">
      <c r="A552" s="12" t="s">
        <v>274</v>
      </c>
      <c r="B552" s="12" t="s">
        <v>11</v>
      </c>
      <c r="C552" s="12" t="s">
        <v>275</v>
      </c>
      <c r="D552" s="12" t="s">
        <v>96</v>
      </c>
      <c r="E552" s="12" t="s">
        <v>339</v>
      </c>
      <c r="F552" s="321">
        <v>2.0</v>
      </c>
      <c r="G552" s="12" t="s">
        <v>236</v>
      </c>
      <c r="H552" s="12" t="s">
        <v>265</v>
      </c>
      <c r="I552" s="321">
        <v>3.0</v>
      </c>
    </row>
    <row r="553">
      <c r="A553" s="12" t="s">
        <v>1206</v>
      </c>
      <c r="B553" s="12" t="s">
        <v>11</v>
      </c>
      <c r="C553" s="12" t="s">
        <v>275</v>
      </c>
      <c r="D553" s="12" t="s">
        <v>96</v>
      </c>
      <c r="E553" s="12" t="s">
        <v>339</v>
      </c>
      <c r="F553" s="321">
        <v>3.0</v>
      </c>
      <c r="G553" s="12" t="s">
        <v>236</v>
      </c>
      <c r="H553" s="12" t="s">
        <v>265</v>
      </c>
      <c r="I553" s="321">
        <v>3.0</v>
      </c>
    </row>
    <row r="554">
      <c r="A554" s="12" t="s">
        <v>1207</v>
      </c>
      <c r="B554" s="12" t="s">
        <v>11</v>
      </c>
      <c r="C554" s="12" t="s">
        <v>275</v>
      </c>
      <c r="D554" s="12" t="s">
        <v>96</v>
      </c>
      <c r="E554" s="12" t="s">
        <v>339</v>
      </c>
      <c r="F554" s="321">
        <v>3.0</v>
      </c>
      <c r="G554" s="12" t="s">
        <v>236</v>
      </c>
      <c r="H554" s="12" t="s">
        <v>265</v>
      </c>
      <c r="I554" s="321">
        <v>3.0</v>
      </c>
    </row>
    <row r="555">
      <c r="A555" s="12" t="s">
        <v>1203</v>
      </c>
      <c r="B555" s="12" t="s">
        <v>16</v>
      </c>
      <c r="C555" s="12" t="s">
        <v>275</v>
      </c>
      <c r="D555" s="12" t="s">
        <v>96</v>
      </c>
      <c r="E555" s="12" t="s">
        <v>361</v>
      </c>
      <c r="F555" s="321">
        <v>0.0</v>
      </c>
      <c r="G555" s="12" t="s">
        <v>236</v>
      </c>
      <c r="H555" s="12" t="s">
        <v>265</v>
      </c>
      <c r="I555" s="321">
        <v>6.0</v>
      </c>
    </row>
    <row r="556">
      <c r="A556" s="12" t="s">
        <v>285</v>
      </c>
      <c r="B556" s="12" t="s">
        <v>16</v>
      </c>
      <c r="C556" s="12" t="s">
        <v>275</v>
      </c>
      <c r="D556" s="12" t="s">
        <v>96</v>
      </c>
      <c r="E556" s="12" t="s">
        <v>361</v>
      </c>
      <c r="F556" s="321">
        <v>1.0</v>
      </c>
      <c r="G556" s="12" t="s">
        <v>236</v>
      </c>
      <c r="H556" s="12" t="s">
        <v>265</v>
      </c>
      <c r="I556" s="321">
        <v>6.0</v>
      </c>
    </row>
    <row r="557">
      <c r="A557" s="12" t="s">
        <v>1204</v>
      </c>
      <c r="B557" s="12" t="s">
        <v>16</v>
      </c>
      <c r="C557" s="12" t="s">
        <v>275</v>
      </c>
      <c r="D557" s="12" t="s">
        <v>96</v>
      </c>
      <c r="E557" s="12" t="s">
        <v>361</v>
      </c>
      <c r="F557" s="321">
        <v>1.0</v>
      </c>
      <c r="G557" s="12" t="s">
        <v>236</v>
      </c>
      <c r="H557" s="12" t="s">
        <v>265</v>
      </c>
      <c r="I557" s="321">
        <v>6.0</v>
      </c>
    </row>
    <row r="558">
      <c r="A558" s="12" t="s">
        <v>286</v>
      </c>
      <c r="B558" s="12" t="s">
        <v>16</v>
      </c>
      <c r="C558" s="12" t="s">
        <v>275</v>
      </c>
      <c r="D558" s="12" t="s">
        <v>96</v>
      </c>
      <c r="E558" s="12" t="s">
        <v>361</v>
      </c>
      <c r="F558" s="321">
        <v>1.0</v>
      </c>
      <c r="G558" s="12" t="s">
        <v>236</v>
      </c>
      <c r="H558" s="12" t="s">
        <v>265</v>
      </c>
      <c r="I558" s="321">
        <v>6.0</v>
      </c>
    </row>
    <row r="559">
      <c r="A559" s="12" t="s">
        <v>1205</v>
      </c>
      <c r="B559" s="12" t="s">
        <v>16</v>
      </c>
      <c r="C559" s="12" t="s">
        <v>275</v>
      </c>
      <c r="D559" s="12" t="s">
        <v>96</v>
      </c>
      <c r="E559" s="12" t="s">
        <v>361</v>
      </c>
      <c r="F559" s="321">
        <v>2.0</v>
      </c>
      <c r="G559" s="12" t="s">
        <v>236</v>
      </c>
      <c r="H559" s="12" t="s">
        <v>265</v>
      </c>
      <c r="I559" s="321">
        <v>6.0</v>
      </c>
    </row>
    <row r="560">
      <c r="A560" s="12" t="s">
        <v>274</v>
      </c>
      <c r="B560" s="12" t="s">
        <v>16</v>
      </c>
      <c r="C560" s="12" t="s">
        <v>275</v>
      </c>
      <c r="D560" s="12" t="s">
        <v>96</v>
      </c>
      <c r="E560" s="12" t="s">
        <v>361</v>
      </c>
      <c r="F560" s="321">
        <v>2.0</v>
      </c>
      <c r="G560" s="12" t="s">
        <v>236</v>
      </c>
      <c r="H560" s="12" t="s">
        <v>265</v>
      </c>
      <c r="I560" s="321">
        <v>6.0</v>
      </c>
    </row>
    <row r="561">
      <c r="A561" s="12" t="s">
        <v>1206</v>
      </c>
      <c r="B561" s="12" t="s">
        <v>16</v>
      </c>
      <c r="C561" s="12" t="s">
        <v>275</v>
      </c>
      <c r="D561" s="12" t="s">
        <v>96</v>
      </c>
      <c r="E561" s="12" t="s">
        <v>361</v>
      </c>
      <c r="F561" s="321">
        <v>2.0</v>
      </c>
      <c r="G561" s="12" t="s">
        <v>236</v>
      </c>
      <c r="H561" s="12" t="s">
        <v>265</v>
      </c>
      <c r="I561" s="321">
        <v>6.0</v>
      </c>
    </row>
    <row r="562">
      <c r="A562" s="12" t="s">
        <v>1207</v>
      </c>
      <c r="B562" s="12" t="s">
        <v>16</v>
      </c>
      <c r="C562" s="12" t="s">
        <v>275</v>
      </c>
      <c r="D562" s="12" t="s">
        <v>96</v>
      </c>
      <c r="E562" s="12" t="s">
        <v>361</v>
      </c>
      <c r="F562" s="321">
        <v>3.0</v>
      </c>
      <c r="G562" s="12" t="s">
        <v>236</v>
      </c>
      <c r="H562" s="12" t="s">
        <v>265</v>
      </c>
      <c r="I562" s="321">
        <v>6.0</v>
      </c>
    </row>
    <row r="563">
      <c r="A563" s="12" t="s">
        <v>1203</v>
      </c>
      <c r="B563" s="12" t="s">
        <v>19</v>
      </c>
      <c r="C563" s="12" t="s">
        <v>275</v>
      </c>
      <c r="D563" s="12" t="s">
        <v>96</v>
      </c>
      <c r="E563" s="12" t="s">
        <v>396</v>
      </c>
      <c r="F563" s="321">
        <v>0.0</v>
      </c>
      <c r="G563" s="12" t="s">
        <v>236</v>
      </c>
      <c r="H563" s="12" t="s">
        <v>265</v>
      </c>
      <c r="I563" s="321">
        <v>10.0</v>
      </c>
    </row>
    <row r="564">
      <c r="A564" s="12" t="s">
        <v>285</v>
      </c>
      <c r="B564" s="12" t="s">
        <v>19</v>
      </c>
      <c r="C564" s="12" t="s">
        <v>275</v>
      </c>
      <c r="D564" s="12" t="s">
        <v>96</v>
      </c>
      <c r="E564" s="12" t="s">
        <v>396</v>
      </c>
      <c r="F564" s="321">
        <v>0.0</v>
      </c>
      <c r="G564" s="12" t="s">
        <v>236</v>
      </c>
      <c r="H564" s="12" t="s">
        <v>265</v>
      </c>
      <c r="I564" s="321">
        <v>10.0</v>
      </c>
    </row>
    <row r="565">
      <c r="A565" s="12" t="s">
        <v>1204</v>
      </c>
      <c r="B565" s="12" t="s">
        <v>19</v>
      </c>
      <c r="C565" s="12" t="s">
        <v>275</v>
      </c>
      <c r="D565" s="12" t="s">
        <v>96</v>
      </c>
      <c r="E565" s="12" t="s">
        <v>396</v>
      </c>
      <c r="F565" s="321">
        <v>1.0</v>
      </c>
      <c r="G565" s="12" t="s">
        <v>236</v>
      </c>
      <c r="H565" s="12" t="s">
        <v>265</v>
      </c>
      <c r="I565" s="321">
        <v>10.0</v>
      </c>
    </row>
    <row r="566">
      <c r="A566" s="12" t="s">
        <v>286</v>
      </c>
      <c r="B566" s="12" t="s">
        <v>19</v>
      </c>
      <c r="C566" s="12" t="s">
        <v>275</v>
      </c>
      <c r="D566" s="12" t="s">
        <v>96</v>
      </c>
      <c r="E566" s="12" t="s">
        <v>396</v>
      </c>
      <c r="F566" s="321">
        <v>1.0</v>
      </c>
      <c r="G566" s="12" t="s">
        <v>236</v>
      </c>
      <c r="H566" s="12" t="s">
        <v>265</v>
      </c>
      <c r="I566" s="321">
        <v>10.0</v>
      </c>
    </row>
    <row r="567">
      <c r="A567" s="12" t="s">
        <v>1205</v>
      </c>
      <c r="B567" s="12" t="s">
        <v>19</v>
      </c>
      <c r="C567" s="12" t="s">
        <v>275</v>
      </c>
      <c r="D567" s="12" t="s">
        <v>96</v>
      </c>
      <c r="E567" s="12" t="s">
        <v>396</v>
      </c>
      <c r="F567" s="321">
        <v>1.0</v>
      </c>
      <c r="G567" s="12" t="s">
        <v>236</v>
      </c>
      <c r="H567" s="12" t="s">
        <v>265</v>
      </c>
      <c r="I567" s="321">
        <v>10.0</v>
      </c>
    </row>
    <row r="568">
      <c r="A568" s="12" t="s">
        <v>274</v>
      </c>
      <c r="B568" s="12" t="s">
        <v>19</v>
      </c>
      <c r="C568" s="12" t="s">
        <v>275</v>
      </c>
      <c r="D568" s="12" t="s">
        <v>96</v>
      </c>
      <c r="E568" s="12" t="s">
        <v>396</v>
      </c>
      <c r="F568" s="321">
        <v>2.0</v>
      </c>
      <c r="G568" s="12" t="s">
        <v>236</v>
      </c>
      <c r="H568" s="12" t="s">
        <v>265</v>
      </c>
      <c r="I568" s="321">
        <v>10.0</v>
      </c>
    </row>
    <row r="569">
      <c r="A569" s="12" t="s">
        <v>1206</v>
      </c>
      <c r="B569" s="12" t="s">
        <v>19</v>
      </c>
      <c r="C569" s="12" t="s">
        <v>275</v>
      </c>
      <c r="D569" s="12" t="s">
        <v>96</v>
      </c>
      <c r="E569" s="12" t="s">
        <v>396</v>
      </c>
      <c r="F569" s="321">
        <v>2.0</v>
      </c>
      <c r="G569" s="12" t="s">
        <v>236</v>
      </c>
      <c r="H569" s="12" t="s">
        <v>265</v>
      </c>
      <c r="I569" s="321">
        <v>10.0</v>
      </c>
    </row>
    <row r="570">
      <c r="A570" s="12" t="s">
        <v>1207</v>
      </c>
      <c r="B570" s="12" t="s">
        <v>19</v>
      </c>
      <c r="C570" s="12" t="s">
        <v>275</v>
      </c>
      <c r="D570" s="12" t="s">
        <v>96</v>
      </c>
      <c r="E570" s="12" t="s">
        <v>396</v>
      </c>
      <c r="F570" s="321">
        <v>2.0</v>
      </c>
      <c r="G570" s="12" t="s">
        <v>236</v>
      </c>
      <c r="H570" s="12" t="s">
        <v>265</v>
      </c>
      <c r="I570" s="321">
        <v>10.0</v>
      </c>
    </row>
    <row r="571">
      <c r="A571" s="12" t="s">
        <v>1208</v>
      </c>
      <c r="B571" s="12" t="s">
        <v>1208</v>
      </c>
      <c r="C571" s="12" t="s">
        <v>1208</v>
      </c>
      <c r="D571" s="12" t="s">
        <v>96</v>
      </c>
      <c r="E571" s="12" t="s">
        <v>175</v>
      </c>
      <c r="F571" s="321">
        <v>1.0</v>
      </c>
      <c r="G571" s="12" t="s">
        <v>236</v>
      </c>
      <c r="H571" s="12" t="s">
        <v>262</v>
      </c>
      <c r="I571" s="321">
        <v>1.0</v>
      </c>
    </row>
    <row r="572">
      <c r="A572" s="12" t="s">
        <v>1209</v>
      </c>
      <c r="B572" s="12" t="s">
        <v>1209</v>
      </c>
      <c r="C572" s="12" t="s">
        <v>1209</v>
      </c>
      <c r="D572" s="12" t="s">
        <v>96</v>
      </c>
      <c r="E572" s="12" t="s">
        <v>216</v>
      </c>
      <c r="F572" s="321">
        <v>1.0</v>
      </c>
      <c r="G572" s="12" t="s">
        <v>236</v>
      </c>
      <c r="H572" s="12" t="s">
        <v>262</v>
      </c>
      <c r="I572" s="321">
        <v>1.0</v>
      </c>
    </row>
    <row r="573">
      <c r="A573" s="12" t="s">
        <v>1210</v>
      </c>
      <c r="B573" s="12" t="s">
        <v>1210</v>
      </c>
      <c r="C573" s="12" t="s">
        <v>1210</v>
      </c>
      <c r="D573" s="12" t="s">
        <v>96</v>
      </c>
      <c r="E573" s="12" t="s">
        <v>177</v>
      </c>
      <c r="F573" s="321">
        <v>1.0</v>
      </c>
      <c r="G573" s="12" t="s">
        <v>236</v>
      </c>
      <c r="H573" s="12" t="s">
        <v>262</v>
      </c>
      <c r="I573" s="321">
        <v>1.0</v>
      </c>
    </row>
    <row r="574">
      <c r="A574" s="12" t="s">
        <v>1211</v>
      </c>
      <c r="B574" s="12" t="s">
        <v>1211</v>
      </c>
      <c r="C574" s="12" t="s">
        <v>264</v>
      </c>
      <c r="D574" s="12" t="s">
        <v>96</v>
      </c>
      <c r="E574" s="12" t="s">
        <v>427</v>
      </c>
      <c r="F574" s="321">
        <v>1.0</v>
      </c>
      <c r="G574" s="12" t="s">
        <v>236</v>
      </c>
      <c r="H574" s="12" t="s">
        <v>661</v>
      </c>
      <c r="I574" s="321">
        <v>15.0</v>
      </c>
    </row>
    <row r="575">
      <c r="A575" s="12" t="s">
        <v>1212</v>
      </c>
      <c r="B575" s="12" t="s">
        <v>1212</v>
      </c>
      <c r="C575" s="12" t="s">
        <v>264</v>
      </c>
      <c r="D575" s="12" t="s">
        <v>96</v>
      </c>
      <c r="E575" s="12" t="s">
        <v>434</v>
      </c>
      <c r="F575" s="321">
        <v>1.0</v>
      </c>
      <c r="G575" s="12" t="s">
        <v>236</v>
      </c>
      <c r="H575" s="12" t="s">
        <v>661</v>
      </c>
      <c r="I575" s="321">
        <v>17.0</v>
      </c>
    </row>
    <row r="576">
      <c r="A576" s="12" t="s">
        <v>1213</v>
      </c>
      <c r="B576" s="12" t="s">
        <v>1213</v>
      </c>
      <c r="C576" s="12" t="s">
        <v>264</v>
      </c>
      <c r="D576" s="12" t="s">
        <v>96</v>
      </c>
      <c r="E576" s="12" t="s">
        <v>366</v>
      </c>
      <c r="F576" s="321">
        <v>1.0</v>
      </c>
      <c r="G576" s="12" t="s">
        <v>236</v>
      </c>
      <c r="H576" s="12" t="s">
        <v>265</v>
      </c>
      <c r="I576" s="321">
        <v>7.0</v>
      </c>
    </row>
    <row r="577">
      <c r="A577" s="12" t="s">
        <v>1214</v>
      </c>
      <c r="B577" s="12" t="s">
        <v>1215</v>
      </c>
      <c r="C577" s="12" t="s">
        <v>1216</v>
      </c>
      <c r="D577" s="12" t="s">
        <v>96</v>
      </c>
      <c r="E577" s="12" t="s">
        <v>370</v>
      </c>
      <c r="F577" s="321">
        <v>1.0</v>
      </c>
      <c r="G577" s="12" t="s">
        <v>236</v>
      </c>
      <c r="H577" s="12" t="s">
        <v>265</v>
      </c>
      <c r="I577" s="321">
        <v>7.0</v>
      </c>
    </row>
    <row r="578">
      <c r="A578" s="12" t="s">
        <v>1217</v>
      </c>
      <c r="B578" s="12" t="s">
        <v>1218</v>
      </c>
      <c r="C578" s="12" t="s">
        <v>1219</v>
      </c>
      <c r="D578" s="12" t="s">
        <v>96</v>
      </c>
      <c r="E578" s="12" t="s">
        <v>387</v>
      </c>
      <c r="F578" s="321">
        <v>1.0</v>
      </c>
      <c r="G578" s="12" t="s">
        <v>236</v>
      </c>
      <c r="H578" s="12" t="s">
        <v>265</v>
      </c>
      <c r="I578" s="321">
        <v>9.0</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86" t="s">
        <v>25</v>
      </c>
      <c r="B1" s="186" t="s">
        <v>1220</v>
      </c>
    </row>
    <row r="2">
      <c r="A2" s="186"/>
      <c r="B2" s="186">
        <v>0.0</v>
      </c>
    </row>
    <row r="3">
      <c r="A3" s="186" t="s">
        <v>175</v>
      </c>
      <c r="B3" s="186">
        <v>1.0</v>
      </c>
    </row>
    <row r="4">
      <c r="A4" s="186" t="s">
        <v>177</v>
      </c>
      <c r="B4" s="186">
        <v>1.0</v>
      </c>
    </row>
    <row r="5">
      <c r="A5" s="186" t="s">
        <v>179</v>
      </c>
      <c r="B5" s="186">
        <v>1.0</v>
      </c>
    </row>
    <row r="6">
      <c r="A6" s="186" t="s">
        <v>189</v>
      </c>
      <c r="B6" s="186">
        <v>1.0</v>
      </c>
    </row>
    <row r="7">
      <c r="A7" s="186" t="s">
        <v>181</v>
      </c>
      <c r="B7" s="186">
        <v>1.0</v>
      </c>
    </row>
    <row r="8">
      <c r="A8" s="186" t="s">
        <v>185</v>
      </c>
      <c r="B8" s="186">
        <v>1.0</v>
      </c>
    </row>
    <row r="9">
      <c r="A9" s="186" t="s">
        <v>191</v>
      </c>
      <c r="B9" s="186">
        <v>1.0</v>
      </c>
    </row>
    <row r="10">
      <c r="A10" s="186" t="s">
        <v>416</v>
      </c>
      <c r="B10" s="186">
        <v>1.0</v>
      </c>
    </row>
    <row r="11">
      <c r="A11" s="186" t="s">
        <v>17</v>
      </c>
      <c r="B11" s="186">
        <v>1.0</v>
      </c>
    </row>
    <row r="12">
      <c r="A12" s="186" t="s">
        <v>420</v>
      </c>
      <c r="B12" s="186">
        <v>1.0</v>
      </c>
    </row>
    <row r="13">
      <c r="A13" s="186" t="s">
        <v>77</v>
      </c>
      <c r="B13" s="186">
        <v>1.0</v>
      </c>
    </row>
    <row r="14">
      <c r="A14" s="186" t="s">
        <v>421</v>
      </c>
      <c r="B14" s="186">
        <v>1.0</v>
      </c>
    </row>
    <row r="15">
      <c r="A15" s="186" t="s">
        <v>183</v>
      </c>
      <c r="B15" s="186">
        <v>1.0</v>
      </c>
    </row>
    <row r="16">
      <c r="A16" s="186" t="s">
        <v>150</v>
      </c>
      <c r="B16" s="186">
        <v>1.0</v>
      </c>
    </row>
    <row r="17">
      <c r="A17" s="186" t="s">
        <v>187</v>
      </c>
      <c r="B17" s="186">
        <v>1.0</v>
      </c>
    </row>
    <row r="18">
      <c r="A18" s="186" t="s">
        <v>431</v>
      </c>
      <c r="B18" s="186">
        <v>1.0</v>
      </c>
    </row>
    <row r="19">
      <c r="A19" s="186" t="s">
        <v>78</v>
      </c>
      <c r="B19" s="186">
        <v>1.0</v>
      </c>
    </row>
    <row r="20">
      <c r="A20" s="186" t="s">
        <v>432</v>
      </c>
      <c r="B20" s="186">
        <v>1.0</v>
      </c>
    </row>
    <row r="21">
      <c r="A21" s="186" t="s">
        <v>436</v>
      </c>
      <c r="B21" s="186">
        <v>1.0</v>
      </c>
    </row>
    <row r="22">
      <c r="A22" s="186" t="s">
        <v>438</v>
      </c>
      <c r="B22" s="186">
        <v>1.0</v>
      </c>
    </row>
    <row r="23">
      <c r="A23" s="186" t="s">
        <v>79</v>
      </c>
      <c r="B23" s="186">
        <v>1.0</v>
      </c>
    </row>
    <row r="24">
      <c r="A24" s="186" t="s">
        <v>206</v>
      </c>
      <c r="B24" s="186">
        <v>1.0</v>
      </c>
    </row>
    <row r="25">
      <c r="A25" s="186" t="s">
        <v>20</v>
      </c>
      <c r="B25" s="186">
        <v>1.0</v>
      </c>
    </row>
    <row r="26">
      <c r="A26" s="186" t="s">
        <v>199</v>
      </c>
      <c r="B26" s="186">
        <v>1.0</v>
      </c>
    </row>
    <row r="27">
      <c r="A27" s="186" t="s">
        <v>193</v>
      </c>
      <c r="B27" s="186">
        <v>1.0</v>
      </c>
    </row>
    <row r="28">
      <c r="A28" s="186" t="s">
        <v>129</v>
      </c>
      <c r="B28" s="186">
        <v>1.0</v>
      </c>
    </row>
    <row r="29">
      <c r="A29" s="186" t="s">
        <v>12</v>
      </c>
      <c r="B29" s="186">
        <v>1.0</v>
      </c>
    </row>
    <row r="30">
      <c r="A30" s="186" t="s">
        <v>71</v>
      </c>
      <c r="B30" s="186">
        <v>1.0</v>
      </c>
    </row>
    <row r="31">
      <c r="A31" s="186" t="s">
        <v>378</v>
      </c>
      <c r="B31" s="186">
        <v>1.0</v>
      </c>
    </row>
    <row r="32">
      <c r="A32" s="186" t="s">
        <v>381</v>
      </c>
      <c r="B32" s="186">
        <v>1.0</v>
      </c>
    </row>
    <row r="33">
      <c r="A33" s="186" t="s">
        <v>404</v>
      </c>
      <c r="B33" s="186">
        <v>1.0</v>
      </c>
    </row>
    <row r="34">
      <c r="A34" s="186" t="s">
        <v>149</v>
      </c>
      <c r="B34" s="186">
        <v>1.0</v>
      </c>
    </row>
    <row r="35">
      <c r="A35" s="186" t="s">
        <v>166</v>
      </c>
      <c r="B35" s="186">
        <v>1.0</v>
      </c>
    </row>
    <row r="36">
      <c r="A36" s="186" t="s">
        <v>411</v>
      </c>
      <c r="B36" s="186">
        <v>1.0</v>
      </c>
    </row>
    <row r="37">
      <c r="A37" s="186" t="s">
        <v>414</v>
      </c>
      <c r="B37" s="186">
        <v>1.0</v>
      </c>
    </row>
    <row r="38">
      <c r="A38" s="186" t="s">
        <v>76</v>
      </c>
      <c r="B38" s="186">
        <v>1.0</v>
      </c>
    </row>
  </sheetData>
  <conditionalFormatting sqref="B1:B1000">
    <cfRule type="cellIs" dxfId="17" priority="1" operator="greaterThan">
      <formula>1</formula>
    </cfRule>
  </conditionalFormatting>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86" t="s">
        <v>25</v>
      </c>
      <c r="B1" s="186" t="s">
        <v>1220</v>
      </c>
    </row>
    <row r="2">
      <c r="A2" s="186"/>
      <c r="B2" s="186">
        <v>0.0</v>
      </c>
    </row>
    <row r="3">
      <c r="A3" s="186" t="s">
        <v>333</v>
      </c>
      <c r="B3" s="186">
        <v>2.0</v>
      </c>
    </row>
    <row r="4">
      <c r="A4" s="186" t="s">
        <v>175</v>
      </c>
      <c r="B4" s="186">
        <v>1.0</v>
      </c>
    </row>
    <row r="5">
      <c r="A5" s="186" t="s">
        <v>177</v>
      </c>
      <c r="B5" s="186">
        <v>2.0</v>
      </c>
    </row>
    <row r="6">
      <c r="A6" s="186" t="s">
        <v>216</v>
      </c>
      <c r="B6" s="186">
        <v>2.0</v>
      </c>
    </row>
    <row r="7">
      <c r="A7" s="186" t="s">
        <v>185</v>
      </c>
      <c r="B7" s="186">
        <v>2.0</v>
      </c>
    </row>
    <row r="8">
      <c r="A8" s="186" t="s">
        <v>334</v>
      </c>
      <c r="B8" s="186">
        <v>1.0</v>
      </c>
    </row>
    <row r="9">
      <c r="A9" s="186" t="s">
        <v>416</v>
      </c>
      <c r="B9" s="186">
        <v>1.0</v>
      </c>
    </row>
    <row r="10">
      <c r="A10" s="186" t="s">
        <v>317</v>
      </c>
      <c r="B10" s="186">
        <v>1.0</v>
      </c>
    </row>
    <row r="11">
      <c r="A11" s="186" t="s">
        <v>418</v>
      </c>
      <c r="B11" s="186">
        <v>1.0</v>
      </c>
    </row>
    <row r="12">
      <c r="A12" s="186" t="s">
        <v>419</v>
      </c>
      <c r="B12" s="186">
        <v>1.0</v>
      </c>
    </row>
    <row r="13">
      <c r="A13" s="186" t="s">
        <v>17</v>
      </c>
      <c r="B13" s="186">
        <v>1.0</v>
      </c>
    </row>
    <row r="14">
      <c r="A14" s="186" t="s">
        <v>171</v>
      </c>
      <c r="B14" s="186">
        <v>1.0</v>
      </c>
    </row>
    <row r="15">
      <c r="A15" s="186" t="s">
        <v>420</v>
      </c>
      <c r="B15" s="186">
        <v>1.0</v>
      </c>
    </row>
    <row r="16">
      <c r="A16" s="186" t="s">
        <v>77</v>
      </c>
      <c r="B16" s="186">
        <v>1.0</v>
      </c>
    </row>
    <row r="17">
      <c r="A17" s="186" t="s">
        <v>421</v>
      </c>
      <c r="B17" s="186">
        <v>1.0</v>
      </c>
    </row>
    <row r="18">
      <c r="A18" s="186" t="s">
        <v>183</v>
      </c>
      <c r="B18" s="186">
        <v>1.0</v>
      </c>
    </row>
    <row r="19">
      <c r="A19" s="186" t="s">
        <v>150</v>
      </c>
      <c r="B19" s="186">
        <v>1.0</v>
      </c>
    </row>
    <row r="20">
      <c r="A20" s="186" t="s">
        <v>422</v>
      </c>
      <c r="B20" s="186">
        <v>1.0</v>
      </c>
    </row>
    <row r="21">
      <c r="A21" s="186" t="s">
        <v>212</v>
      </c>
      <c r="B21" s="186">
        <v>1.0</v>
      </c>
    </row>
    <row r="22">
      <c r="A22" s="186" t="s">
        <v>423</v>
      </c>
      <c r="B22" s="186">
        <v>1.0</v>
      </c>
    </row>
    <row r="23">
      <c r="A23" s="186" t="s">
        <v>424</v>
      </c>
      <c r="B23" s="186">
        <v>1.0</v>
      </c>
    </row>
    <row r="24">
      <c r="A24" s="186" t="s">
        <v>425</v>
      </c>
      <c r="B24" s="186">
        <v>1.0</v>
      </c>
    </row>
    <row r="25">
      <c r="A25" s="186" t="s">
        <v>426</v>
      </c>
      <c r="B25" s="186">
        <v>1.0</v>
      </c>
    </row>
    <row r="26">
      <c r="A26" s="186" t="s">
        <v>427</v>
      </c>
      <c r="B26" s="186">
        <v>1.0</v>
      </c>
    </row>
    <row r="27">
      <c r="A27" s="186" t="s">
        <v>428</v>
      </c>
      <c r="B27" s="186">
        <v>1.0</v>
      </c>
    </row>
    <row r="28">
      <c r="A28" s="186" t="s">
        <v>429</v>
      </c>
      <c r="B28" s="186">
        <v>1.0</v>
      </c>
    </row>
    <row r="29">
      <c r="A29" s="186" t="s">
        <v>430</v>
      </c>
      <c r="B29" s="186">
        <v>1.0</v>
      </c>
    </row>
    <row r="30">
      <c r="A30" s="186" t="s">
        <v>431</v>
      </c>
      <c r="B30" s="186">
        <v>1.0</v>
      </c>
    </row>
    <row r="31">
      <c r="A31" s="186" t="s">
        <v>153</v>
      </c>
      <c r="B31" s="186">
        <v>1.0</v>
      </c>
    </row>
    <row r="32">
      <c r="A32" s="186" t="s">
        <v>78</v>
      </c>
      <c r="B32" s="186">
        <v>1.0</v>
      </c>
    </row>
    <row r="33">
      <c r="A33" s="186" t="s">
        <v>214</v>
      </c>
      <c r="B33" s="186">
        <v>1.0</v>
      </c>
    </row>
    <row r="34">
      <c r="A34" s="186" t="s">
        <v>432</v>
      </c>
      <c r="B34" s="186">
        <v>1.0</v>
      </c>
    </row>
    <row r="35">
      <c r="A35" s="186" t="s">
        <v>318</v>
      </c>
      <c r="B35" s="186">
        <v>1.0</v>
      </c>
    </row>
    <row r="36">
      <c r="A36" s="186" t="s">
        <v>145</v>
      </c>
      <c r="B36" s="186">
        <v>1.0</v>
      </c>
    </row>
    <row r="37">
      <c r="A37" s="186" t="s">
        <v>433</v>
      </c>
      <c r="B37" s="186">
        <v>1.0</v>
      </c>
    </row>
    <row r="38">
      <c r="A38" s="186" t="s">
        <v>434</v>
      </c>
      <c r="B38" s="186">
        <v>1.0</v>
      </c>
    </row>
    <row r="39">
      <c r="A39" s="186" t="s">
        <v>335</v>
      </c>
      <c r="B39" s="186">
        <v>1.0</v>
      </c>
    </row>
    <row r="40">
      <c r="A40" s="186" t="s">
        <v>435</v>
      </c>
      <c r="B40" s="186">
        <v>1.0</v>
      </c>
    </row>
    <row r="41">
      <c r="A41" s="186" t="s">
        <v>436</v>
      </c>
      <c r="B41" s="186">
        <v>1.0</v>
      </c>
    </row>
    <row r="42">
      <c r="A42" s="186" t="s">
        <v>437</v>
      </c>
      <c r="B42" s="186">
        <v>1.0</v>
      </c>
    </row>
    <row r="43">
      <c r="A43" s="186" t="s">
        <v>438</v>
      </c>
      <c r="B43" s="186">
        <v>1.0</v>
      </c>
    </row>
    <row r="44">
      <c r="A44" s="186" t="s">
        <v>79</v>
      </c>
      <c r="B44" s="186">
        <v>1.0</v>
      </c>
    </row>
    <row r="45">
      <c r="A45" s="186" t="s">
        <v>206</v>
      </c>
      <c r="B45" s="186">
        <v>1.0</v>
      </c>
    </row>
    <row r="46">
      <c r="A46" s="186" t="s">
        <v>208</v>
      </c>
      <c r="B46" s="186">
        <v>1.0</v>
      </c>
    </row>
    <row r="47">
      <c r="A47" s="186" t="s">
        <v>20</v>
      </c>
      <c r="B47" s="186">
        <v>1.0</v>
      </c>
    </row>
    <row r="48">
      <c r="A48" s="186" t="s">
        <v>203</v>
      </c>
      <c r="B48" s="186">
        <v>1.0</v>
      </c>
    </row>
    <row r="49">
      <c r="A49" s="186" t="s">
        <v>199</v>
      </c>
      <c r="B49" s="186">
        <v>1.0</v>
      </c>
    </row>
    <row r="50">
      <c r="A50" s="186" t="s">
        <v>336</v>
      </c>
      <c r="B50" s="186">
        <v>1.0</v>
      </c>
    </row>
    <row r="51">
      <c r="A51" s="186" t="s">
        <v>201</v>
      </c>
      <c r="B51" s="186">
        <v>1.0</v>
      </c>
    </row>
    <row r="52">
      <c r="A52" s="186" t="s">
        <v>197</v>
      </c>
      <c r="B52" s="186">
        <v>1.0</v>
      </c>
    </row>
    <row r="53">
      <c r="A53" s="186" t="s">
        <v>195</v>
      </c>
      <c r="B53" s="186">
        <v>1.0</v>
      </c>
    </row>
    <row r="54">
      <c r="A54" s="186" t="s">
        <v>193</v>
      </c>
      <c r="B54" s="186">
        <v>1.0</v>
      </c>
    </row>
    <row r="55">
      <c r="A55" s="186" t="s">
        <v>129</v>
      </c>
      <c r="B55" s="186">
        <v>1.0</v>
      </c>
    </row>
    <row r="56">
      <c r="A56" s="186" t="s">
        <v>338</v>
      </c>
      <c r="B56" s="186">
        <v>1.0</v>
      </c>
    </row>
    <row r="57">
      <c r="A57" s="186" t="s">
        <v>339</v>
      </c>
      <c r="B57" s="186">
        <v>1.0</v>
      </c>
    </row>
    <row r="58">
      <c r="A58" s="186" t="s">
        <v>341</v>
      </c>
      <c r="B58" s="186">
        <v>1.0</v>
      </c>
    </row>
    <row r="59">
      <c r="A59" s="186" t="s">
        <v>342</v>
      </c>
      <c r="B59" s="186">
        <v>1.0</v>
      </c>
    </row>
    <row r="60">
      <c r="A60" s="186" t="s">
        <v>343</v>
      </c>
      <c r="B60" s="186">
        <v>1.0</v>
      </c>
    </row>
    <row r="61">
      <c r="A61" s="186" t="s">
        <v>344</v>
      </c>
      <c r="B61" s="186">
        <v>1.0</v>
      </c>
    </row>
    <row r="62">
      <c r="A62" s="186" t="s">
        <v>345</v>
      </c>
      <c r="B62" s="186">
        <v>1.0</v>
      </c>
    </row>
    <row r="63">
      <c r="A63" s="186" t="s">
        <v>346</v>
      </c>
      <c r="B63" s="186">
        <v>1.0</v>
      </c>
    </row>
    <row r="64">
      <c r="A64" s="186" t="s">
        <v>347</v>
      </c>
      <c r="B64" s="186">
        <v>1.0</v>
      </c>
    </row>
    <row r="65">
      <c r="A65" s="186" t="s">
        <v>348</v>
      </c>
      <c r="B65" s="186">
        <v>1.0</v>
      </c>
    </row>
    <row r="66">
      <c r="A66" s="186" t="s">
        <v>349</v>
      </c>
      <c r="B66" s="186">
        <v>1.0</v>
      </c>
    </row>
    <row r="67">
      <c r="A67" s="186" t="s">
        <v>350</v>
      </c>
      <c r="B67" s="186">
        <v>1.0</v>
      </c>
    </row>
    <row r="68">
      <c r="A68" s="186" t="s">
        <v>12</v>
      </c>
      <c r="B68" s="186">
        <v>1.0</v>
      </c>
    </row>
    <row r="69">
      <c r="A69" s="186" t="s">
        <v>351</v>
      </c>
      <c r="B69" s="186">
        <v>1.0</v>
      </c>
    </row>
    <row r="70">
      <c r="A70" s="186" t="s">
        <v>352</v>
      </c>
      <c r="B70" s="186">
        <v>1.0</v>
      </c>
    </row>
    <row r="71">
      <c r="A71" s="186" t="s">
        <v>71</v>
      </c>
      <c r="B71" s="186">
        <v>1.0</v>
      </c>
    </row>
    <row r="72">
      <c r="A72" s="186" t="s">
        <v>353</v>
      </c>
      <c r="B72" s="186">
        <v>1.0</v>
      </c>
    </row>
    <row r="73">
      <c r="A73" s="186" t="s">
        <v>354</v>
      </c>
      <c r="B73" s="186">
        <v>1.0</v>
      </c>
    </row>
    <row r="74">
      <c r="A74" s="186" t="s">
        <v>355</v>
      </c>
      <c r="B74" s="186">
        <v>1.0</v>
      </c>
    </row>
    <row r="75">
      <c r="A75" s="186" t="s">
        <v>356</v>
      </c>
      <c r="B75" s="186">
        <v>1.0</v>
      </c>
    </row>
    <row r="76">
      <c r="A76" s="186" t="s">
        <v>357</v>
      </c>
      <c r="B76" s="186">
        <v>1.0</v>
      </c>
    </row>
    <row r="77">
      <c r="A77" s="186" t="s">
        <v>358</v>
      </c>
      <c r="B77" s="186">
        <v>1.0</v>
      </c>
    </row>
    <row r="78">
      <c r="A78" s="186" t="s">
        <v>360</v>
      </c>
      <c r="B78" s="186">
        <v>1.0</v>
      </c>
    </row>
    <row r="79">
      <c r="A79" s="186" t="s">
        <v>361</v>
      </c>
      <c r="B79" s="186">
        <v>1.0</v>
      </c>
    </row>
    <row r="80">
      <c r="A80" s="186" t="s">
        <v>362</v>
      </c>
      <c r="B80" s="186">
        <v>1.0</v>
      </c>
    </row>
    <row r="81">
      <c r="A81" s="186" t="s">
        <v>363</v>
      </c>
      <c r="B81" s="186">
        <v>1.0</v>
      </c>
    </row>
    <row r="82">
      <c r="A82" s="186" t="s">
        <v>364</v>
      </c>
      <c r="B82" s="186">
        <v>1.0</v>
      </c>
    </row>
    <row r="83">
      <c r="A83" s="186" t="s">
        <v>365</v>
      </c>
      <c r="B83" s="186">
        <v>1.0</v>
      </c>
    </row>
    <row r="84">
      <c r="A84" s="186" t="s">
        <v>366</v>
      </c>
      <c r="B84" s="186">
        <v>1.0</v>
      </c>
    </row>
    <row r="85">
      <c r="A85" s="186" t="s">
        <v>367</v>
      </c>
      <c r="B85" s="186">
        <v>1.0</v>
      </c>
    </row>
    <row r="86">
      <c r="A86" s="186" t="s">
        <v>369</v>
      </c>
      <c r="B86" s="186">
        <v>1.0</v>
      </c>
    </row>
    <row r="87">
      <c r="A87" s="186" t="s">
        <v>370</v>
      </c>
      <c r="B87" s="186">
        <v>1.0</v>
      </c>
    </row>
    <row r="88">
      <c r="A88" s="186" t="s">
        <v>371</v>
      </c>
      <c r="B88" s="186">
        <v>1.0</v>
      </c>
    </row>
    <row r="89">
      <c r="A89" s="186" t="s">
        <v>372</v>
      </c>
      <c r="B89" s="186">
        <v>1.0</v>
      </c>
    </row>
    <row r="90">
      <c r="A90" s="186" t="s">
        <v>373</v>
      </c>
      <c r="B90" s="186">
        <v>1.0</v>
      </c>
    </row>
    <row r="91">
      <c r="A91" s="186" t="s">
        <v>375</v>
      </c>
      <c r="B91" s="186">
        <v>1.0</v>
      </c>
    </row>
    <row r="92">
      <c r="A92" s="186" t="s">
        <v>376</v>
      </c>
      <c r="B92" s="186">
        <v>1.0</v>
      </c>
    </row>
    <row r="93">
      <c r="A93" s="186" t="s">
        <v>377</v>
      </c>
      <c r="B93" s="186">
        <v>1.0</v>
      </c>
    </row>
    <row r="94">
      <c r="A94" s="186" t="s">
        <v>146</v>
      </c>
      <c r="B94" s="186">
        <v>1.0</v>
      </c>
    </row>
    <row r="95">
      <c r="A95" s="186" t="s">
        <v>378</v>
      </c>
      <c r="B95" s="186">
        <v>1.0</v>
      </c>
    </row>
    <row r="96">
      <c r="A96" s="186" t="s">
        <v>379</v>
      </c>
      <c r="B96" s="186">
        <v>1.0</v>
      </c>
    </row>
    <row r="97">
      <c r="A97" s="186" t="s">
        <v>380</v>
      </c>
      <c r="B97" s="186">
        <v>1.0</v>
      </c>
    </row>
    <row r="98">
      <c r="A98" s="186" t="s">
        <v>381</v>
      </c>
      <c r="B98" s="186">
        <v>1.0</v>
      </c>
    </row>
    <row r="99">
      <c r="A99" s="186" t="s">
        <v>382</v>
      </c>
      <c r="B99" s="186">
        <v>1.0</v>
      </c>
    </row>
    <row r="100">
      <c r="A100" s="186" t="s">
        <v>383</v>
      </c>
      <c r="B100" s="186">
        <v>1.0</v>
      </c>
    </row>
    <row r="101">
      <c r="A101" s="186" t="s">
        <v>384</v>
      </c>
      <c r="B101" s="186">
        <v>1.0</v>
      </c>
    </row>
    <row r="102">
      <c r="A102" s="186" t="s">
        <v>385</v>
      </c>
      <c r="B102" s="186">
        <v>1.0</v>
      </c>
    </row>
    <row r="103">
      <c r="A103" s="186" t="s">
        <v>386</v>
      </c>
      <c r="B103" s="186">
        <v>1.0</v>
      </c>
    </row>
    <row r="104">
      <c r="A104" s="186" t="s">
        <v>387</v>
      </c>
      <c r="B104" s="186">
        <v>1.0</v>
      </c>
    </row>
    <row r="105">
      <c r="A105" s="186" t="s">
        <v>388</v>
      </c>
      <c r="B105" s="186">
        <v>1.0</v>
      </c>
    </row>
    <row r="106">
      <c r="A106" s="186" t="s">
        <v>389</v>
      </c>
      <c r="B106" s="186">
        <v>1.0</v>
      </c>
    </row>
    <row r="107">
      <c r="A107" s="186" t="s">
        <v>390</v>
      </c>
      <c r="B107" s="186">
        <v>1.0</v>
      </c>
    </row>
    <row r="108">
      <c r="A108" s="186" t="s">
        <v>392</v>
      </c>
      <c r="B108" s="186">
        <v>1.0</v>
      </c>
    </row>
    <row r="109">
      <c r="A109" s="186" t="s">
        <v>393</v>
      </c>
      <c r="B109" s="186">
        <v>1.0</v>
      </c>
    </row>
    <row r="110">
      <c r="A110" s="186" t="s">
        <v>394</v>
      </c>
      <c r="B110" s="186">
        <v>1.0</v>
      </c>
    </row>
    <row r="111">
      <c r="A111" s="186" t="s">
        <v>395</v>
      </c>
      <c r="B111" s="186">
        <v>1.0</v>
      </c>
    </row>
    <row r="112">
      <c r="A112" s="186" t="s">
        <v>396</v>
      </c>
      <c r="B112" s="186">
        <v>1.0</v>
      </c>
    </row>
    <row r="113">
      <c r="A113" s="186" t="s">
        <v>397</v>
      </c>
      <c r="B113" s="186">
        <v>1.0</v>
      </c>
    </row>
    <row r="114">
      <c r="A114" s="186" t="s">
        <v>408</v>
      </c>
      <c r="B114" s="186">
        <v>1.0</v>
      </c>
    </row>
    <row r="115">
      <c r="A115" s="186" t="s">
        <v>409</v>
      </c>
      <c r="B115" s="186">
        <v>1.0</v>
      </c>
    </row>
    <row r="116">
      <c r="A116" s="186" t="s">
        <v>411</v>
      </c>
      <c r="B116" s="186">
        <v>1.0</v>
      </c>
    </row>
    <row r="117">
      <c r="A117" s="186" t="s">
        <v>412</v>
      </c>
      <c r="B117" s="186">
        <v>1.0</v>
      </c>
    </row>
    <row r="118">
      <c r="A118" s="186" t="s">
        <v>414</v>
      </c>
      <c r="B118" s="186">
        <v>1.0</v>
      </c>
    </row>
    <row r="119">
      <c r="A119" s="186" t="s">
        <v>76</v>
      </c>
      <c r="B119" s="186">
        <v>1.0</v>
      </c>
    </row>
  </sheetData>
  <drawing r:id="rId1"/>
</worksheet>
</file>